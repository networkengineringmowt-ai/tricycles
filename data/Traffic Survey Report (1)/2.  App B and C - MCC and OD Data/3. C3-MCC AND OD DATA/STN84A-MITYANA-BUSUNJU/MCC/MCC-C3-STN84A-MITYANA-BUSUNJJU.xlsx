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8.xml" ContentType="application/vnd.openxmlformats-officedocument.drawing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9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10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\Desktop\C-3 Analysis   Complete-Steve\STN84A-MITYANA-BUSUNJU\MCC\"/>
    </mc:Choice>
  </mc:AlternateContent>
  <bookViews>
    <workbookView xWindow="-120" yWindow="-120" windowWidth="20730" windowHeight="11160" tabRatio="904" firstSheet="14" activeTab="16"/>
  </bookViews>
  <sheets>
    <sheet name="17.10 MITYANA-BUSUNJU" sheetId="94" r:id="rId1"/>
    <sheet name="17.10 BUSUNGU-MITYANA" sheetId="93" r:id="rId2"/>
    <sheet name="18.10 MITYANA-BUSUNJU 24hr" sheetId="101" r:id="rId3"/>
    <sheet name="18.10 BUSUNJU-MITYANA 24hr" sheetId="105" r:id="rId4"/>
    <sheet name="19.10 MITYANA-BUSUNJU 24hr" sheetId="109" r:id="rId5"/>
    <sheet name="19.10 BUSUNJU-MITYANA 24hr" sheetId="110" r:id="rId6"/>
    <sheet name="20.10  MITYANA-BUSUNJU" sheetId="99" r:id="rId7"/>
    <sheet name="20.10  BUSUNJU-MITYANA" sheetId="98" r:id="rId8"/>
    <sheet name="21.10 MITYANA-BUSUNJU " sheetId="100" r:id="rId9"/>
    <sheet name="21.10 BUSUNJU-MITYANA " sheetId="97" r:id="rId10"/>
    <sheet name="22.10 MITYANA-BUSUNJU " sheetId="104" r:id="rId11"/>
    <sheet name="22.10 BUSUNJU-MITYANA " sheetId="103" r:id="rId12"/>
    <sheet name="23.10 MITYANA-BUSUNJU " sheetId="96" r:id="rId13"/>
    <sheet name="23.10 BUSUNJU-MITYANA " sheetId="95" r:id="rId14"/>
    <sheet name="Avg Week MITYANA-BUSUNJU" sheetId="107" r:id="rId15"/>
    <sheet name="Avg Week BUSUNJU-MITYANA" sheetId="108" r:id="rId16"/>
    <sheet name="Avg Week MITYANA-BUSUNJU-2Dirc " sheetId="111" r:id="rId17"/>
  </sheets>
  <definedNames>
    <definedName name="_xlnm.Print_Area" localSheetId="1">'17.10 BUSUNGU-MITYANA'!$A$1:$AF$60</definedName>
    <definedName name="_xlnm.Print_Area" localSheetId="0">'17.10 MITYANA-BUSUNJU'!$A$1:$AF$60</definedName>
    <definedName name="_xlnm.Print_Area" localSheetId="3">'18.10 BUSUNJU-MITYANA 24hr'!$A$1:$AF$108</definedName>
    <definedName name="_xlnm.Print_Area" localSheetId="2">'18.10 MITYANA-BUSUNJU 24hr'!$A$1:$AF$108</definedName>
    <definedName name="_xlnm.Print_Area" localSheetId="5">'19.10 BUSUNJU-MITYANA 24hr'!$A$1:$AF$108</definedName>
    <definedName name="_xlnm.Print_Area" localSheetId="4">'19.10 MITYANA-BUSUNJU 24hr'!$A$1:$AF$108</definedName>
    <definedName name="_xlnm.Print_Area" localSheetId="7">'20.10  BUSUNJU-MITYANA'!$A$1:$AF$60</definedName>
    <definedName name="_xlnm.Print_Area" localSheetId="6">'20.10  MITYANA-BUSUNJU'!$A$1:$AF$60</definedName>
    <definedName name="_xlnm.Print_Area" localSheetId="9">'21.10 BUSUNJU-MITYANA '!$A$1:$AF$60</definedName>
    <definedName name="_xlnm.Print_Area" localSheetId="8">'21.10 MITYANA-BUSUNJU '!$A$1:$AF$60</definedName>
    <definedName name="_xlnm.Print_Area" localSheetId="11">'22.10 BUSUNJU-MITYANA '!$A$1:$AF$60</definedName>
    <definedName name="_xlnm.Print_Area" localSheetId="10">'22.10 MITYANA-BUSUNJU '!$A$1:$AF$60</definedName>
    <definedName name="_xlnm.Print_Area" localSheetId="13">'23.10 BUSUNJU-MITYANA '!$A$1:$AF$60</definedName>
    <definedName name="_xlnm.Print_Area" localSheetId="12">'23.10 MITYANA-BUSUNJU '!$A$1:$AF$60</definedName>
    <definedName name="_xlnm.Print_Area" localSheetId="15">'Avg Week BUSUNJU-MITYANA'!$A$1:$AF$108</definedName>
    <definedName name="_xlnm.Print_Area" localSheetId="14">'Avg Week MITYANA-BUSUNJU'!$A$1:$AF$108</definedName>
    <definedName name="_xlnm.Print_Area" localSheetId="16">'Avg Week MITYANA-BUSUNJU-2Dirc '!$A$1:$AF$108</definedName>
    <definedName name="_xlnm.Print_Titles" localSheetId="1">'17.10 BUSUNGU-MITYANA'!$1:$8</definedName>
    <definedName name="_xlnm.Print_Titles" localSheetId="0">'17.10 MITYANA-BUSUNJU'!$1:$8</definedName>
    <definedName name="_xlnm.Print_Titles" localSheetId="3">'18.10 BUSUNJU-MITYANA 24hr'!$1:$8</definedName>
    <definedName name="_xlnm.Print_Titles" localSheetId="2">'18.10 MITYANA-BUSUNJU 24hr'!$1:$8</definedName>
    <definedName name="_xlnm.Print_Titles" localSheetId="5">'19.10 BUSUNJU-MITYANA 24hr'!$1:$8</definedName>
    <definedName name="_xlnm.Print_Titles" localSheetId="4">'19.10 MITYANA-BUSUNJU 24hr'!$1:$8</definedName>
    <definedName name="_xlnm.Print_Titles" localSheetId="7">'20.10  BUSUNJU-MITYANA'!$1:$8</definedName>
    <definedName name="_xlnm.Print_Titles" localSheetId="6">'20.10  MITYANA-BUSUNJU'!$1:$8</definedName>
    <definedName name="_xlnm.Print_Titles" localSheetId="9">'21.10 BUSUNJU-MITYANA '!$1:$8</definedName>
    <definedName name="_xlnm.Print_Titles" localSheetId="8">'21.10 MITYANA-BUSUNJU '!$1:$8</definedName>
    <definedName name="_xlnm.Print_Titles" localSheetId="11">'22.10 BUSUNJU-MITYANA '!$1:$8</definedName>
    <definedName name="_xlnm.Print_Titles" localSheetId="10">'22.10 MITYANA-BUSUNJU '!$1:$8</definedName>
    <definedName name="_xlnm.Print_Titles" localSheetId="13">'23.10 BUSUNJU-MITYANA '!$1:$8</definedName>
    <definedName name="_xlnm.Print_Titles" localSheetId="12">'23.10 MITYANA-BUSUNJU '!$1:$8</definedName>
    <definedName name="_xlnm.Print_Titles" localSheetId="15">'Avg Week BUSUNJU-MITYANA'!$1:$8</definedName>
    <definedName name="_xlnm.Print_Titles" localSheetId="14">'Avg Week MITYANA-BUSUNJU'!$1:$8</definedName>
    <definedName name="_xlnm.Print_Titles" localSheetId="16">'Avg Week MITYANA-BUSUNJU-2Dirc 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6" i="108" l="1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106" i="11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P58" i="111" l="1"/>
  <c r="P59" i="111"/>
  <c r="P60" i="111"/>
  <c r="P61" i="111"/>
  <c r="AF22" i="111" s="1"/>
  <c r="P62" i="111"/>
  <c r="P63" i="111"/>
  <c r="P64" i="111"/>
  <c r="P65" i="111"/>
  <c r="AF23" i="111" s="1"/>
  <c r="P66" i="111"/>
  <c r="P67" i="111"/>
  <c r="P68" i="111"/>
  <c r="P69" i="111"/>
  <c r="AF24" i="111" s="1"/>
  <c r="P70" i="111"/>
  <c r="P71" i="111"/>
  <c r="P72" i="111"/>
  <c r="P73" i="111"/>
  <c r="AF25" i="111" s="1"/>
  <c r="P74" i="111"/>
  <c r="P75" i="111"/>
  <c r="P76" i="111"/>
  <c r="P77" i="111"/>
  <c r="AF26" i="111" s="1"/>
  <c r="P78" i="111"/>
  <c r="P79" i="111"/>
  <c r="P80" i="111"/>
  <c r="P81" i="111"/>
  <c r="AF27" i="111" s="1"/>
  <c r="P82" i="111"/>
  <c r="P83" i="111"/>
  <c r="P84" i="111"/>
  <c r="P85" i="111"/>
  <c r="AF28" i="111" s="1"/>
  <c r="P86" i="111"/>
  <c r="P87" i="111"/>
  <c r="P88" i="111"/>
  <c r="P89" i="111"/>
  <c r="AF29" i="111" s="1"/>
  <c r="P90" i="111"/>
  <c r="P91" i="111"/>
  <c r="P92" i="111"/>
  <c r="P93" i="111"/>
  <c r="AF30" i="111" s="1"/>
  <c r="P94" i="111"/>
  <c r="P95" i="111"/>
  <c r="P96" i="111"/>
  <c r="P97" i="111"/>
  <c r="AF31" i="111" s="1"/>
  <c r="P98" i="111"/>
  <c r="P99" i="111"/>
  <c r="P100" i="111"/>
  <c r="P101" i="111"/>
  <c r="AF32" i="111" s="1"/>
  <c r="P102" i="111"/>
  <c r="P103" i="111"/>
  <c r="P104" i="111"/>
  <c r="P105" i="111"/>
  <c r="AF33" i="111" s="1"/>
  <c r="O58" i="111"/>
  <c r="O59" i="111"/>
  <c r="O60" i="111"/>
  <c r="O61" i="111"/>
  <c r="O62" i="111"/>
  <c r="O63" i="111"/>
  <c r="O64" i="111"/>
  <c r="O65" i="111"/>
  <c r="AE23" i="111" s="1"/>
  <c r="O66" i="111"/>
  <c r="O67" i="111"/>
  <c r="O68" i="111"/>
  <c r="O69" i="111"/>
  <c r="AE24" i="111" s="1"/>
  <c r="O70" i="111"/>
  <c r="O71" i="111"/>
  <c r="O72" i="111"/>
  <c r="O73" i="111"/>
  <c r="O74" i="111"/>
  <c r="O75" i="111"/>
  <c r="O76" i="111"/>
  <c r="O77" i="111"/>
  <c r="AE26" i="111" s="1"/>
  <c r="O78" i="111"/>
  <c r="O79" i="111"/>
  <c r="O80" i="111"/>
  <c r="O81" i="111"/>
  <c r="AE27" i="111" s="1"/>
  <c r="O82" i="111"/>
  <c r="O83" i="111"/>
  <c r="O84" i="111"/>
  <c r="O85" i="111"/>
  <c r="O86" i="111"/>
  <c r="O87" i="111"/>
  <c r="O88" i="111"/>
  <c r="O89" i="111"/>
  <c r="O90" i="111"/>
  <c r="O91" i="111"/>
  <c r="O92" i="111"/>
  <c r="O93" i="111"/>
  <c r="AE30" i="111" s="1"/>
  <c r="O94" i="111"/>
  <c r="O95" i="111"/>
  <c r="O96" i="111"/>
  <c r="O97" i="111"/>
  <c r="AE31" i="111" s="1"/>
  <c r="O98" i="111"/>
  <c r="O99" i="111"/>
  <c r="O100" i="111"/>
  <c r="O101" i="111"/>
  <c r="AE32" i="111" s="1"/>
  <c r="O102" i="111"/>
  <c r="O103" i="111"/>
  <c r="O104" i="111"/>
  <c r="O105" i="111"/>
  <c r="AE33" i="111" s="1"/>
  <c r="D58" i="111"/>
  <c r="E58" i="111"/>
  <c r="F58" i="111"/>
  <c r="G58" i="111"/>
  <c r="W22" i="111" s="1"/>
  <c r="H58" i="111"/>
  <c r="I58" i="111"/>
  <c r="J58" i="111"/>
  <c r="K58" i="111"/>
  <c r="AA22" i="111" s="1"/>
  <c r="L58" i="111"/>
  <c r="M58" i="111"/>
  <c r="N58" i="111"/>
  <c r="D59" i="111"/>
  <c r="T22" i="111" s="1"/>
  <c r="E59" i="111"/>
  <c r="F59" i="111"/>
  <c r="G59" i="111"/>
  <c r="H59" i="111"/>
  <c r="X22" i="111" s="1"/>
  <c r="I59" i="111"/>
  <c r="J59" i="111"/>
  <c r="K59" i="111"/>
  <c r="L59" i="111"/>
  <c r="AB22" i="111" s="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V22" i="111" s="1"/>
  <c r="G61" i="111"/>
  <c r="H61" i="111"/>
  <c r="I61" i="111"/>
  <c r="J61" i="111"/>
  <c r="Z22" i="111" s="1"/>
  <c r="K61" i="111"/>
  <c r="L61" i="111"/>
  <c r="M61" i="111"/>
  <c r="N61" i="111"/>
  <c r="AD22" i="111" s="1"/>
  <c r="D62" i="111"/>
  <c r="E62" i="111"/>
  <c r="F62" i="111"/>
  <c r="V23" i="111" s="1"/>
  <c r="G62" i="111"/>
  <c r="W23" i="111" s="1"/>
  <c r="H62" i="111"/>
  <c r="I62" i="111"/>
  <c r="J62" i="111"/>
  <c r="Z23" i="111" s="1"/>
  <c r="K62" i="111"/>
  <c r="AA23" i="111" s="1"/>
  <c r="L62" i="111"/>
  <c r="M62" i="111"/>
  <c r="N62" i="111"/>
  <c r="AD23" i="111" s="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U23" i="111" s="1"/>
  <c r="F64" i="111"/>
  <c r="G64" i="111"/>
  <c r="H64" i="111"/>
  <c r="I64" i="111"/>
  <c r="Y23" i="111" s="1"/>
  <c r="J64" i="111"/>
  <c r="K64" i="111"/>
  <c r="L64" i="111"/>
  <c r="M64" i="111"/>
  <c r="AC23" i="111" s="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W24" i="111" s="1"/>
  <c r="H66" i="111"/>
  <c r="I66" i="111"/>
  <c r="J66" i="111"/>
  <c r="K66" i="111"/>
  <c r="AA24" i="111" s="1"/>
  <c r="L66" i="111"/>
  <c r="M66" i="111"/>
  <c r="N66" i="111"/>
  <c r="D67" i="111"/>
  <c r="T24" i="111" s="1"/>
  <c r="E67" i="111"/>
  <c r="F67" i="111"/>
  <c r="G67" i="111"/>
  <c r="H67" i="111"/>
  <c r="X24" i="111" s="1"/>
  <c r="I67" i="111"/>
  <c r="J67" i="111"/>
  <c r="K67" i="111"/>
  <c r="L67" i="111"/>
  <c r="AB24" i="111" s="1"/>
  <c r="M67" i="111"/>
  <c r="N67" i="111"/>
  <c r="D68" i="111"/>
  <c r="E68" i="111"/>
  <c r="U24" i="111" s="1"/>
  <c r="F68" i="111"/>
  <c r="G68" i="111"/>
  <c r="H68" i="111"/>
  <c r="I68" i="111"/>
  <c r="Y24" i="111" s="1"/>
  <c r="J68" i="111"/>
  <c r="K68" i="111"/>
  <c r="L68" i="111"/>
  <c r="M68" i="111"/>
  <c r="AC24" i="111" s="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W25" i="111" s="1"/>
  <c r="H70" i="111"/>
  <c r="I70" i="111"/>
  <c r="J70" i="111"/>
  <c r="K70" i="111"/>
  <c r="AA25" i="111" s="1"/>
  <c r="L70" i="111"/>
  <c r="M70" i="111"/>
  <c r="N70" i="111"/>
  <c r="D71" i="111"/>
  <c r="T25" i="111" s="1"/>
  <c r="E71" i="111"/>
  <c r="F71" i="111"/>
  <c r="G71" i="111"/>
  <c r="H71" i="111"/>
  <c r="X25" i="111" s="1"/>
  <c r="I71" i="111"/>
  <c r="J71" i="111"/>
  <c r="K71" i="111"/>
  <c r="L71" i="111"/>
  <c r="AB25" i="111" s="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V25" i="111" s="1"/>
  <c r="G73" i="111"/>
  <c r="H73" i="111"/>
  <c r="I73" i="111"/>
  <c r="J73" i="111"/>
  <c r="Z25" i="111" s="1"/>
  <c r="K73" i="111"/>
  <c r="L73" i="111"/>
  <c r="M73" i="111"/>
  <c r="N73" i="111"/>
  <c r="AD25" i="111" s="1"/>
  <c r="D74" i="111"/>
  <c r="E74" i="111"/>
  <c r="F74" i="111"/>
  <c r="V26" i="111" s="1"/>
  <c r="G74" i="111"/>
  <c r="H74" i="111"/>
  <c r="I74" i="111"/>
  <c r="J74" i="111"/>
  <c r="Z26" i="111" s="1"/>
  <c r="K74" i="111"/>
  <c r="L74" i="111"/>
  <c r="M74" i="111"/>
  <c r="N74" i="111"/>
  <c r="AD26" i="111" s="1"/>
  <c r="D75" i="111"/>
  <c r="T26" i="111" s="1"/>
  <c r="E75" i="111"/>
  <c r="F75" i="111"/>
  <c r="G75" i="111"/>
  <c r="H75" i="111"/>
  <c r="X26" i="111" s="1"/>
  <c r="I75" i="111"/>
  <c r="J75" i="111"/>
  <c r="K75" i="111"/>
  <c r="L75" i="111"/>
  <c r="AB26" i="111" s="1"/>
  <c r="M75" i="111"/>
  <c r="N75" i="111"/>
  <c r="D76" i="111"/>
  <c r="E76" i="111"/>
  <c r="U26" i="111" s="1"/>
  <c r="F76" i="111"/>
  <c r="G76" i="111"/>
  <c r="H76" i="111"/>
  <c r="I76" i="111"/>
  <c r="Y26" i="111" s="1"/>
  <c r="J76" i="111"/>
  <c r="K76" i="111"/>
  <c r="L76" i="111"/>
  <c r="M76" i="111"/>
  <c r="AC26" i="111" s="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W27" i="111" s="1"/>
  <c r="H78" i="111"/>
  <c r="I78" i="111"/>
  <c r="J78" i="111"/>
  <c r="K78" i="111"/>
  <c r="AA27" i="111" s="1"/>
  <c r="L78" i="111"/>
  <c r="M78" i="111"/>
  <c r="N78" i="111"/>
  <c r="D79" i="111"/>
  <c r="T27" i="111" s="1"/>
  <c r="E79" i="111"/>
  <c r="F79" i="111"/>
  <c r="G79" i="111"/>
  <c r="H79" i="111"/>
  <c r="X27" i="111" s="1"/>
  <c r="I79" i="111"/>
  <c r="J79" i="111"/>
  <c r="K79" i="111"/>
  <c r="L79" i="111"/>
  <c r="AB27" i="111" s="1"/>
  <c r="M79" i="111"/>
  <c r="N79" i="111"/>
  <c r="D80" i="111"/>
  <c r="E80" i="111"/>
  <c r="U27" i="111" s="1"/>
  <c r="F80" i="111"/>
  <c r="G80" i="111"/>
  <c r="H80" i="111"/>
  <c r="I80" i="111"/>
  <c r="Y27" i="111" s="1"/>
  <c r="J80" i="111"/>
  <c r="K80" i="111"/>
  <c r="L80" i="111"/>
  <c r="M80" i="111"/>
  <c r="AC27" i="111" s="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V28" i="111" s="1"/>
  <c r="G82" i="111"/>
  <c r="W28" i="111" s="1"/>
  <c r="H82" i="111"/>
  <c r="I82" i="111"/>
  <c r="J82" i="111"/>
  <c r="Z28" i="111" s="1"/>
  <c r="K82" i="111"/>
  <c r="AA28" i="111" s="1"/>
  <c r="L82" i="111"/>
  <c r="M82" i="111"/>
  <c r="N82" i="111"/>
  <c r="AD28" i="111" s="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U28" i="111" s="1"/>
  <c r="F84" i="111"/>
  <c r="G84" i="111"/>
  <c r="H84" i="111"/>
  <c r="I84" i="111"/>
  <c r="Y28" i="111" s="1"/>
  <c r="J84" i="111"/>
  <c r="K84" i="111"/>
  <c r="L84" i="111"/>
  <c r="M84" i="111"/>
  <c r="AC28" i="111" s="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V29" i="111" s="1"/>
  <c r="G86" i="111"/>
  <c r="H86" i="111"/>
  <c r="I86" i="111"/>
  <c r="J86" i="111"/>
  <c r="Z29" i="111" s="1"/>
  <c r="K86" i="111"/>
  <c r="L86" i="111"/>
  <c r="M86" i="111"/>
  <c r="N86" i="111"/>
  <c r="AD29" i="111" s="1"/>
  <c r="D87" i="111"/>
  <c r="T29" i="111" s="1"/>
  <c r="E87" i="111"/>
  <c r="F87" i="111"/>
  <c r="G87" i="111"/>
  <c r="H87" i="111"/>
  <c r="X29" i="111" s="1"/>
  <c r="I87" i="111"/>
  <c r="J87" i="111"/>
  <c r="K87" i="111"/>
  <c r="L87" i="111"/>
  <c r="AB29" i="111" s="1"/>
  <c r="M87" i="111"/>
  <c r="N87" i="111"/>
  <c r="D88" i="111"/>
  <c r="E88" i="111"/>
  <c r="U29" i="111" s="1"/>
  <c r="F88" i="111"/>
  <c r="G88" i="111"/>
  <c r="H88" i="111"/>
  <c r="I88" i="111"/>
  <c r="Y29" i="111" s="1"/>
  <c r="J88" i="111"/>
  <c r="K88" i="111"/>
  <c r="L88" i="111"/>
  <c r="M88" i="111"/>
  <c r="AC29" i="111" s="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W30" i="111" s="1"/>
  <c r="H90" i="111"/>
  <c r="I90" i="111"/>
  <c r="J90" i="111"/>
  <c r="K90" i="111"/>
  <c r="AA30" i="111" s="1"/>
  <c r="L90" i="111"/>
  <c r="M90" i="111"/>
  <c r="N90" i="111"/>
  <c r="D91" i="111"/>
  <c r="T30" i="111" s="1"/>
  <c r="E91" i="111"/>
  <c r="F91" i="111"/>
  <c r="G91" i="111"/>
  <c r="H91" i="111"/>
  <c r="X30" i="111" s="1"/>
  <c r="I91" i="111"/>
  <c r="J91" i="111"/>
  <c r="K91" i="111"/>
  <c r="L91" i="111"/>
  <c r="AB30" i="111" s="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V30" i="111" s="1"/>
  <c r="G93" i="111"/>
  <c r="H93" i="111"/>
  <c r="I93" i="111"/>
  <c r="J93" i="111"/>
  <c r="Z30" i="111" s="1"/>
  <c r="K93" i="111"/>
  <c r="L93" i="111"/>
  <c r="M93" i="111"/>
  <c r="N93" i="111"/>
  <c r="AD30" i="111" s="1"/>
  <c r="D94" i="111"/>
  <c r="E94" i="111"/>
  <c r="F94" i="111"/>
  <c r="V31" i="111" s="1"/>
  <c r="G94" i="111"/>
  <c r="W31" i="111" s="1"/>
  <c r="H94" i="111"/>
  <c r="I94" i="111"/>
  <c r="J94" i="111"/>
  <c r="Z31" i="111" s="1"/>
  <c r="K94" i="111"/>
  <c r="AA31" i="111" s="1"/>
  <c r="L94" i="111"/>
  <c r="M94" i="111"/>
  <c r="N94" i="111"/>
  <c r="AD31" i="111" s="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U31" i="111" s="1"/>
  <c r="F96" i="111"/>
  <c r="G96" i="111"/>
  <c r="H96" i="111"/>
  <c r="I96" i="111"/>
  <c r="Y31" i="111" s="1"/>
  <c r="J96" i="111"/>
  <c r="K96" i="111"/>
  <c r="L96" i="111"/>
  <c r="M96" i="111"/>
  <c r="AC31" i="111" s="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W32" i="111" s="1"/>
  <c r="H98" i="111"/>
  <c r="I98" i="111"/>
  <c r="J98" i="111"/>
  <c r="K98" i="111"/>
  <c r="AA32" i="111" s="1"/>
  <c r="L98" i="111"/>
  <c r="M98" i="111"/>
  <c r="N98" i="111"/>
  <c r="D99" i="111"/>
  <c r="T32" i="111" s="1"/>
  <c r="E99" i="111"/>
  <c r="F99" i="111"/>
  <c r="G99" i="111"/>
  <c r="H99" i="111"/>
  <c r="X32" i="111" s="1"/>
  <c r="I99" i="111"/>
  <c r="J99" i="111"/>
  <c r="K99" i="111"/>
  <c r="L99" i="111"/>
  <c r="AB32" i="111" s="1"/>
  <c r="M99" i="111"/>
  <c r="N99" i="111"/>
  <c r="D100" i="111"/>
  <c r="E100" i="111"/>
  <c r="U32" i="111" s="1"/>
  <c r="F100" i="111"/>
  <c r="G100" i="111"/>
  <c r="H100" i="111"/>
  <c r="I100" i="111"/>
  <c r="Y32" i="111" s="1"/>
  <c r="J100" i="111"/>
  <c r="K100" i="111"/>
  <c r="L100" i="111"/>
  <c r="M100" i="111"/>
  <c r="AC32" i="111" s="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W33" i="111" s="1"/>
  <c r="H102" i="111"/>
  <c r="I102" i="111"/>
  <c r="J102" i="111"/>
  <c r="K102" i="111"/>
  <c r="AA33" i="111" s="1"/>
  <c r="L102" i="111"/>
  <c r="M102" i="111"/>
  <c r="N102" i="111"/>
  <c r="D103" i="111"/>
  <c r="T33" i="111" s="1"/>
  <c r="E103" i="111"/>
  <c r="F103" i="111"/>
  <c r="G103" i="111"/>
  <c r="H103" i="111"/>
  <c r="X33" i="111" s="1"/>
  <c r="I103" i="111"/>
  <c r="J103" i="111"/>
  <c r="K103" i="111"/>
  <c r="L103" i="111"/>
  <c r="AB33" i="111" s="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V33" i="111" s="1"/>
  <c r="G105" i="111"/>
  <c r="H105" i="111"/>
  <c r="I105" i="111"/>
  <c r="J105" i="111"/>
  <c r="Z33" i="111" s="1"/>
  <c r="K105" i="111"/>
  <c r="L105" i="111"/>
  <c r="M105" i="111"/>
  <c r="N105" i="111"/>
  <c r="AD33" i="111" s="1"/>
  <c r="C59" i="111"/>
  <c r="C60" i="111"/>
  <c r="C61" i="111"/>
  <c r="C62" i="111"/>
  <c r="S23" i="111" s="1"/>
  <c r="C63" i="111"/>
  <c r="C64" i="111"/>
  <c r="C65" i="111"/>
  <c r="C66" i="111"/>
  <c r="C67" i="111"/>
  <c r="C68" i="111"/>
  <c r="C69" i="111"/>
  <c r="C70" i="111"/>
  <c r="S25" i="111" s="1"/>
  <c r="C71" i="111"/>
  <c r="C72" i="111"/>
  <c r="C73" i="111"/>
  <c r="C74" i="111"/>
  <c r="C75" i="111"/>
  <c r="C76" i="111"/>
  <c r="C77" i="111"/>
  <c r="C78" i="111"/>
  <c r="S27" i="111" s="1"/>
  <c r="C79" i="111"/>
  <c r="C80" i="111"/>
  <c r="C81" i="111"/>
  <c r="C82" i="111"/>
  <c r="C83" i="111"/>
  <c r="C84" i="111"/>
  <c r="C85" i="111"/>
  <c r="C86" i="111"/>
  <c r="S29" i="111" s="1"/>
  <c r="C87" i="111"/>
  <c r="C88" i="111"/>
  <c r="C89" i="111"/>
  <c r="C90" i="111"/>
  <c r="C91" i="111"/>
  <c r="C92" i="111"/>
  <c r="C93" i="111"/>
  <c r="C94" i="111"/>
  <c r="S31" i="111" s="1"/>
  <c r="C95" i="111"/>
  <c r="C96" i="111"/>
  <c r="C97" i="111"/>
  <c r="C98" i="111"/>
  <c r="C99" i="111"/>
  <c r="C100" i="111"/>
  <c r="C101" i="111"/>
  <c r="C102" i="111"/>
  <c r="S33" i="111" s="1"/>
  <c r="C103" i="111"/>
  <c r="C104" i="111"/>
  <c r="C105" i="111"/>
  <c r="C58" i="111"/>
  <c r="P58" i="108"/>
  <c r="P59" i="108"/>
  <c r="P60" i="108"/>
  <c r="P61" i="108"/>
  <c r="AF22" i="108" s="1"/>
  <c r="P62" i="108"/>
  <c r="P63" i="108"/>
  <c r="P64" i="108"/>
  <c r="P65" i="108"/>
  <c r="AF23" i="108" s="1"/>
  <c r="P66" i="108"/>
  <c r="P67" i="108"/>
  <c r="P68" i="108"/>
  <c r="AF24" i="108" s="1"/>
  <c r="P69" i="108"/>
  <c r="P70" i="108"/>
  <c r="P71" i="108"/>
  <c r="P72" i="108"/>
  <c r="P73" i="108"/>
  <c r="P74" i="108"/>
  <c r="P75" i="108"/>
  <c r="P76" i="108"/>
  <c r="P77" i="108"/>
  <c r="P78" i="108"/>
  <c r="P79" i="108"/>
  <c r="P80" i="108"/>
  <c r="P81" i="108"/>
  <c r="P82" i="108"/>
  <c r="P83" i="108"/>
  <c r="P84" i="108"/>
  <c r="P85" i="108"/>
  <c r="AF28" i="108" s="1"/>
  <c r="P86" i="108"/>
  <c r="P87" i="108"/>
  <c r="P88" i="108"/>
  <c r="P89" i="108"/>
  <c r="AF29" i="108" s="1"/>
  <c r="P90" i="108"/>
  <c r="P91" i="108"/>
  <c r="P92" i="108"/>
  <c r="AF30" i="108" s="1"/>
  <c r="P93" i="108"/>
  <c r="P94" i="108"/>
  <c r="P95" i="108"/>
  <c r="P96" i="108"/>
  <c r="AF31" i="108" s="1"/>
  <c r="P97" i="108"/>
  <c r="P98" i="108"/>
  <c r="P99" i="108"/>
  <c r="P100" i="108"/>
  <c r="P101" i="108"/>
  <c r="P102" i="108"/>
  <c r="P103" i="108"/>
  <c r="P104" i="108"/>
  <c r="P105" i="108"/>
  <c r="O58" i="108"/>
  <c r="O59" i="108"/>
  <c r="O60" i="108"/>
  <c r="O61" i="108"/>
  <c r="O62" i="108"/>
  <c r="O63" i="108"/>
  <c r="O64" i="108"/>
  <c r="O65" i="108"/>
  <c r="AE23" i="108" s="1"/>
  <c r="O66" i="108"/>
  <c r="O67" i="108"/>
  <c r="O68" i="108"/>
  <c r="AE24" i="108" s="1"/>
  <c r="O69" i="108"/>
  <c r="O70" i="108"/>
  <c r="O71" i="108"/>
  <c r="O72" i="108"/>
  <c r="O73" i="108"/>
  <c r="O74" i="108"/>
  <c r="O75" i="108"/>
  <c r="O76" i="108"/>
  <c r="O77" i="108"/>
  <c r="AE26" i="108" s="1"/>
  <c r="O78" i="108"/>
  <c r="O79" i="108"/>
  <c r="O80" i="108"/>
  <c r="AE27" i="108" s="1"/>
  <c r="O81" i="108"/>
  <c r="O82" i="108"/>
  <c r="O83" i="108"/>
  <c r="O84" i="108"/>
  <c r="O85" i="108"/>
  <c r="O86" i="108"/>
  <c r="O87" i="108"/>
  <c r="O88" i="108"/>
  <c r="O89" i="108"/>
  <c r="O90" i="108"/>
  <c r="O91" i="108"/>
  <c r="O92" i="108"/>
  <c r="AE30" i="108" s="1"/>
  <c r="O93" i="108"/>
  <c r="O94" i="108"/>
  <c r="O95" i="108"/>
  <c r="O96" i="108"/>
  <c r="AE31" i="108" s="1"/>
  <c r="O97" i="108"/>
  <c r="O98" i="108"/>
  <c r="O99" i="108"/>
  <c r="O100" i="108"/>
  <c r="O101" i="108"/>
  <c r="AE32" i="108" s="1"/>
  <c r="O102" i="108"/>
  <c r="O103" i="108"/>
  <c r="O104" i="108"/>
  <c r="AE33" i="108" s="1"/>
  <c r="O105" i="108"/>
  <c r="D58" i="108"/>
  <c r="E58" i="108"/>
  <c r="F58" i="108"/>
  <c r="G58" i="108"/>
  <c r="W22" i="108" s="1"/>
  <c r="H58" i="108"/>
  <c r="I58" i="108"/>
  <c r="J58" i="108"/>
  <c r="K58" i="108"/>
  <c r="AA22" i="108" s="1"/>
  <c r="L58" i="108"/>
  <c r="M58" i="108"/>
  <c r="N58" i="108"/>
  <c r="D59" i="108"/>
  <c r="T22" i="108" s="1"/>
  <c r="E59" i="108"/>
  <c r="F59" i="108"/>
  <c r="G59" i="108"/>
  <c r="H59" i="108"/>
  <c r="X22" i="108" s="1"/>
  <c r="I59" i="108"/>
  <c r="J59" i="108"/>
  <c r="K59" i="108"/>
  <c r="L59" i="108"/>
  <c r="AB22" i="108" s="1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V22" i="108" s="1"/>
  <c r="G61" i="108"/>
  <c r="H61" i="108"/>
  <c r="I61" i="108"/>
  <c r="J61" i="108"/>
  <c r="Z22" i="108" s="1"/>
  <c r="K61" i="108"/>
  <c r="L61" i="108"/>
  <c r="M61" i="108"/>
  <c r="N61" i="108"/>
  <c r="AD22" i="108" s="1"/>
  <c r="D62" i="108"/>
  <c r="E62" i="108"/>
  <c r="F62" i="108"/>
  <c r="G62" i="108"/>
  <c r="W23" i="108" s="1"/>
  <c r="H62" i="108"/>
  <c r="I62" i="108"/>
  <c r="J62" i="108"/>
  <c r="K62" i="108"/>
  <c r="AA23" i="108" s="1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U23" i="108" s="1"/>
  <c r="F64" i="108"/>
  <c r="G64" i="108"/>
  <c r="H64" i="108"/>
  <c r="I64" i="108"/>
  <c r="Y23" i="108" s="1"/>
  <c r="J64" i="108"/>
  <c r="K64" i="108"/>
  <c r="L64" i="108"/>
  <c r="M64" i="108"/>
  <c r="AC23" i="108" s="1"/>
  <c r="N64" i="108"/>
  <c r="D65" i="108"/>
  <c r="E65" i="108"/>
  <c r="F65" i="108"/>
  <c r="V23" i="108" s="1"/>
  <c r="G65" i="108"/>
  <c r="H65" i="108"/>
  <c r="I65" i="108"/>
  <c r="J65" i="108"/>
  <c r="Z23" i="108" s="1"/>
  <c r="K65" i="108"/>
  <c r="L65" i="108"/>
  <c r="M65" i="108"/>
  <c r="N65" i="108"/>
  <c r="AD23" i="108" s="1"/>
  <c r="D66" i="108"/>
  <c r="E66" i="108"/>
  <c r="F66" i="108"/>
  <c r="G66" i="108"/>
  <c r="W24" i="108" s="1"/>
  <c r="H66" i="108"/>
  <c r="I66" i="108"/>
  <c r="J66" i="108"/>
  <c r="K66" i="108"/>
  <c r="AA24" i="108" s="1"/>
  <c r="L66" i="108"/>
  <c r="M66" i="108"/>
  <c r="N66" i="108"/>
  <c r="D67" i="108"/>
  <c r="T24" i="108" s="1"/>
  <c r="E67" i="108"/>
  <c r="F67" i="108"/>
  <c r="G67" i="108"/>
  <c r="H67" i="108"/>
  <c r="X24" i="108" s="1"/>
  <c r="I67" i="108"/>
  <c r="J67" i="108"/>
  <c r="K67" i="108"/>
  <c r="L67" i="108"/>
  <c r="AB24" i="108" s="1"/>
  <c r="M67" i="108"/>
  <c r="N67" i="108"/>
  <c r="D68" i="108"/>
  <c r="E68" i="108"/>
  <c r="U24" i="108" s="1"/>
  <c r="F68" i="108"/>
  <c r="G68" i="108"/>
  <c r="H68" i="108"/>
  <c r="I68" i="108"/>
  <c r="Y24" i="108" s="1"/>
  <c r="J68" i="108"/>
  <c r="K68" i="108"/>
  <c r="L68" i="108"/>
  <c r="M68" i="108"/>
  <c r="AC24" i="108" s="1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W25" i="108" s="1"/>
  <c r="H70" i="108"/>
  <c r="I70" i="108"/>
  <c r="J70" i="108"/>
  <c r="K70" i="108"/>
  <c r="AA25" i="108" s="1"/>
  <c r="L70" i="108"/>
  <c r="M70" i="108"/>
  <c r="N70" i="108"/>
  <c r="D71" i="108"/>
  <c r="T25" i="108" s="1"/>
  <c r="E71" i="108"/>
  <c r="F71" i="108"/>
  <c r="G71" i="108"/>
  <c r="H71" i="108"/>
  <c r="X25" i="108" s="1"/>
  <c r="I71" i="108"/>
  <c r="J71" i="108"/>
  <c r="K71" i="108"/>
  <c r="L71" i="108"/>
  <c r="AB25" i="108" s="1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V25" i="108" s="1"/>
  <c r="G73" i="108"/>
  <c r="H73" i="108"/>
  <c r="I73" i="108"/>
  <c r="J73" i="108"/>
  <c r="Z25" i="108" s="1"/>
  <c r="K73" i="108"/>
  <c r="L73" i="108"/>
  <c r="M73" i="108"/>
  <c r="N73" i="108"/>
  <c r="AD25" i="108" s="1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T26" i="108" s="1"/>
  <c r="E75" i="108"/>
  <c r="F75" i="108"/>
  <c r="G75" i="108"/>
  <c r="H75" i="108"/>
  <c r="X26" i="108" s="1"/>
  <c r="I75" i="108"/>
  <c r="J75" i="108"/>
  <c r="K75" i="108"/>
  <c r="L75" i="108"/>
  <c r="AB26" i="108" s="1"/>
  <c r="M75" i="108"/>
  <c r="N75" i="108"/>
  <c r="D76" i="108"/>
  <c r="E76" i="108"/>
  <c r="U26" i="108" s="1"/>
  <c r="F76" i="108"/>
  <c r="G76" i="108"/>
  <c r="H76" i="108"/>
  <c r="I76" i="108"/>
  <c r="Y26" i="108" s="1"/>
  <c r="J76" i="108"/>
  <c r="K76" i="108"/>
  <c r="L76" i="108"/>
  <c r="M76" i="108"/>
  <c r="AC26" i="108" s="1"/>
  <c r="N76" i="108"/>
  <c r="D77" i="108"/>
  <c r="E77" i="108"/>
  <c r="F77" i="108"/>
  <c r="V26" i="108" s="1"/>
  <c r="G77" i="108"/>
  <c r="H77" i="108"/>
  <c r="I77" i="108"/>
  <c r="J77" i="108"/>
  <c r="Z26" i="108" s="1"/>
  <c r="K77" i="108"/>
  <c r="L77" i="108"/>
  <c r="M77" i="108"/>
  <c r="N77" i="108"/>
  <c r="AD26" i="108" s="1"/>
  <c r="D78" i="108"/>
  <c r="E78" i="108"/>
  <c r="F78" i="108"/>
  <c r="G78" i="108"/>
  <c r="W27" i="108" s="1"/>
  <c r="H78" i="108"/>
  <c r="I78" i="108"/>
  <c r="J78" i="108"/>
  <c r="K78" i="108"/>
  <c r="AA27" i="108" s="1"/>
  <c r="L78" i="108"/>
  <c r="M78" i="108"/>
  <c r="N78" i="108"/>
  <c r="D79" i="108"/>
  <c r="T27" i="108" s="1"/>
  <c r="E79" i="108"/>
  <c r="F79" i="108"/>
  <c r="G79" i="108"/>
  <c r="H79" i="108"/>
  <c r="X27" i="108" s="1"/>
  <c r="I79" i="108"/>
  <c r="J79" i="108"/>
  <c r="K79" i="108"/>
  <c r="L79" i="108"/>
  <c r="AB27" i="108" s="1"/>
  <c r="M79" i="108"/>
  <c r="N79" i="108"/>
  <c r="D80" i="108"/>
  <c r="E80" i="108"/>
  <c r="U27" i="108" s="1"/>
  <c r="F80" i="108"/>
  <c r="G80" i="108"/>
  <c r="H80" i="108"/>
  <c r="I80" i="108"/>
  <c r="Y27" i="108" s="1"/>
  <c r="J80" i="108"/>
  <c r="K80" i="108"/>
  <c r="L80" i="108"/>
  <c r="M80" i="108"/>
  <c r="AC27" i="108" s="1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W28" i="108" s="1"/>
  <c r="H82" i="108"/>
  <c r="I82" i="108"/>
  <c r="J82" i="108"/>
  <c r="K82" i="108"/>
  <c r="AA28" i="108" s="1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U28" i="108" s="1"/>
  <c r="F84" i="108"/>
  <c r="G84" i="108"/>
  <c r="H84" i="108"/>
  <c r="I84" i="108"/>
  <c r="Y28" i="108" s="1"/>
  <c r="J84" i="108"/>
  <c r="K84" i="108"/>
  <c r="L84" i="108"/>
  <c r="M84" i="108"/>
  <c r="AC28" i="108" s="1"/>
  <c r="N84" i="108"/>
  <c r="D85" i="108"/>
  <c r="E85" i="108"/>
  <c r="F85" i="108"/>
  <c r="V28" i="108" s="1"/>
  <c r="G85" i="108"/>
  <c r="H85" i="108"/>
  <c r="I85" i="108"/>
  <c r="J85" i="108"/>
  <c r="Z28" i="108" s="1"/>
  <c r="K85" i="108"/>
  <c r="L85" i="108"/>
  <c r="M85" i="108"/>
  <c r="N85" i="108"/>
  <c r="AD28" i="108" s="1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T29" i="108" s="1"/>
  <c r="E87" i="108"/>
  <c r="F87" i="108"/>
  <c r="G87" i="108"/>
  <c r="H87" i="108"/>
  <c r="X29" i="108" s="1"/>
  <c r="I87" i="108"/>
  <c r="J87" i="108"/>
  <c r="K87" i="108"/>
  <c r="L87" i="108"/>
  <c r="AB29" i="108" s="1"/>
  <c r="M87" i="108"/>
  <c r="N87" i="108"/>
  <c r="D88" i="108"/>
  <c r="E88" i="108"/>
  <c r="U29" i="108" s="1"/>
  <c r="F88" i="108"/>
  <c r="G88" i="108"/>
  <c r="H88" i="108"/>
  <c r="I88" i="108"/>
  <c r="Y29" i="108" s="1"/>
  <c r="J88" i="108"/>
  <c r="K88" i="108"/>
  <c r="L88" i="108"/>
  <c r="M88" i="108"/>
  <c r="AC29" i="108" s="1"/>
  <c r="N88" i="108"/>
  <c r="D89" i="108"/>
  <c r="E89" i="108"/>
  <c r="F89" i="108"/>
  <c r="V29" i="108" s="1"/>
  <c r="G89" i="108"/>
  <c r="H89" i="108"/>
  <c r="I89" i="108"/>
  <c r="J89" i="108"/>
  <c r="Z29" i="108" s="1"/>
  <c r="K89" i="108"/>
  <c r="L89" i="108"/>
  <c r="M89" i="108"/>
  <c r="N89" i="108"/>
  <c r="AD29" i="108" s="1"/>
  <c r="D90" i="108"/>
  <c r="E90" i="108"/>
  <c r="F90" i="108"/>
  <c r="G90" i="108"/>
  <c r="W30" i="108" s="1"/>
  <c r="H90" i="108"/>
  <c r="I90" i="108"/>
  <c r="J90" i="108"/>
  <c r="K90" i="108"/>
  <c r="AA30" i="108" s="1"/>
  <c r="L90" i="108"/>
  <c r="M90" i="108"/>
  <c r="N90" i="108"/>
  <c r="D91" i="108"/>
  <c r="T30" i="108" s="1"/>
  <c r="E91" i="108"/>
  <c r="F91" i="108"/>
  <c r="G91" i="108"/>
  <c r="H91" i="108"/>
  <c r="X30" i="108" s="1"/>
  <c r="I91" i="108"/>
  <c r="J91" i="108"/>
  <c r="K91" i="108"/>
  <c r="L91" i="108"/>
  <c r="AB30" i="108" s="1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V30" i="108" s="1"/>
  <c r="G93" i="108"/>
  <c r="H93" i="108"/>
  <c r="I93" i="108"/>
  <c r="J93" i="108"/>
  <c r="Z30" i="108" s="1"/>
  <c r="K93" i="108"/>
  <c r="L93" i="108"/>
  <c r="M93" i="108"/>
  <c r="N93" i="108"/>
  <c r="AD30" i="108" s="1"/>
  <c r="D94" i="108"/>
  <c r="E94" i="108"/>
  <c r="F94" i="108"/>
  <c r="G94" i="108"/>
  <c r="W31" i="108" s="1"/>
  <c r="H94" i="108"/>
  <c r="I94" i="108"/>
  <c r="J94" i="108"/>
  <c r="K94" i="108"/>
  <c r="AA31" i="108" s="1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U31" i="108" s="1"/>
  <c r="F96" i="108"/>
  <c r="G96" i="108"/>
  <c r="H96" i="108"/>
  <c r="I96" i="108"/>
  <c r="Y31" i="108" s="1"/>
  <c r="J96" i="108"/>
  <c r="K96" i="108"/>
  <c r="L96" i="108"/>
  <c r="M96" i="108"/>
  <c r="AC31" i="108" s="1"/>
  <c r="N96" i="108"/>
  <c r="D97" i="108"/>
  <c r="E97" i="108"/>
  <c r="F97" i="108"/>
  <c r="V31" i="108" s="1"/>
  <c r="G97" i="108"/>
  <c r="H97" i="108"/>
  <c r="I97" i="108"/>
  <c r="J97" i="108"/>
  <c r="Z31" i="108" s="1"/>
  <c r="K97" i="108"/>
  <c r="L97" i="108"/>
  <c r="M97" i="108"/>
  <c r="N97" i="108"/>
  <c r="AD31" i="108" s="1"/>
  <c r="D98" i="108"/>
  <c r="E98" i="108"/>
  <c r="F98" i="108"/>
  <c r="G98" i="108"/>
  <c r="W32" i="108" s="1"/>
  <c r="H98" i="108"/>
  <c r="I98" i="108"/>
  <c r="J98" i="108"/>
  <c r="K98" i="108"/>
  <c r="AA32" i="108" s="1"/>
  <c r="L98" i="108"/>
  <c r="M98" i="108"/>
  <c r="N98" i="108"/>
  <c r="D99" i="108"/>
  <c r="T32" i="108" s="1"/>
  <c r="E99" i="108"/>
  <c r="F99" i="108"/>
  <c r="G99" i="108"/>
  <c r="H99" i="108"/>
  <c r="X32" i="108" s="1"/>
  <c r="I99" i="108"/>
  <c r="J99" i="108"/>
  <c r="K99" i="108"/>
  <c r="L99" i="108"/>
  <c r="AB32" i="108" s="1"/>
  <c r="M99" i="108"/>
  <c r="N99" i="108"/>
  <c r="D100" i="108"/>
  <c r="E100" i="108"/>
  <c r="U32" i="108" s="1"/>
  <c r="F100" i="108"/>
  <c r="G100" i="108"/>
  <c r="H100" i="108"/>
  <c r="I100" i="108"/>
  <c r="Y32" i="108" s="1"/>
  <c r="J100" i="108"/>
  <c r="K100" i="108"/>
  <c r="L100" i="108"/>
  <c r="M100" i="108"/>
  <c r="AC32" i="108" s="1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W33" i="108" s="1"/>
  <c r="H102" i="108"/>
  <c r="I102" i="108"/>
  <c r="J102" i="108"/>
  <c r="K102" i="108"/>
  <c r="AA33" i="108" s="1"/>
  <c r="L102" i="108"/>
  <c r="M102" i="108"/>
  <c r="N102" i="108"/>
  <c r="D103" i="108"/>
  <c r="T33" i="108" s="1"/>
  <c r="E103" i="108"/>
  <c r="F103" i="108"/>
  <c r="G103" i="108"/>
  <c r="H103" i="108"/>
  <c r="X33" i="108" s="1"/>
  <c r="I103" i="108"/>
  <c r="J103" i="108"/>
  <c r="K103" i="108"/>
  <c r="L103" i="108"/>
  <c r="AB33" i="108" s="1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V33" i="108" s="1"/>
  <c r="G105" i="108"/>
  <c r="H105" i="108"/>
  <c r="I105" i="108"/>
  <c r="J105" i="108"/>
  <c r="Z33" i="108" s="1"/>
  <c r="K105" i="108"/>
  <c r="L105" i="108"/>
  <c r="M105" i="108"/>
  <c r="N105" i="108"/>
  <c r="AD33" i="108" s="1"/>
  <c r="C59" i="108"/>
  <c r="C60" i="108"/>
  <c r="C61" i="108"/>
  <c r="C62" i="108"/>
  <c r="S23" i="108" s="1"/>
  <c r="C63" i="108"/>
  <c r="C64" i="108"/>
  <c r="C65" i="108"/>
  <c r="C66" i="108"/>
  <c r="C67" i="108"/>
  <c r="C68" i="108"/>
  <c r="C69" i="108"/>
  <c r="C70" i="108"/>
  <c r="S25" i="108" s="1"/>
  <c r="C71" i="108"/>
  <c r="C72" i="108"/>
  <c r="C73" i="108"/>
  <c r="C74" i="108"/>
  <c r="C75" i="108"/>
  <c r="C76" i="108"/>
  <c r="C77" i="108"/>
  <c r="C78" i="108"/>
  <c r="S27" i="108" s="1"/>
  <c r="C79" i="108"/>
  <c r="C80" i="108"/>
  <c r="C81" i="108"/>
  <c r="C82" i="108"/>
  <c r="C83" i="108"/>
  <c r="C84" i="108"/>
  <c r="C85" i="108"/>
  <c r="C86" i="108"/>
  <c r="S29" i="108" s="1"/>
  <c r="C87" i="108"/>
  <c r="C88" i="108"/>
  <c r="C89" i="108"/>
  <c r="C90" i="108"/>
  <c r="C91" i="108"/>
  <c r="C92" i="108"/>
  <c r="C93" i="108"/>
  <c r="C94" i="108"/>
  <c r="S31" i="108" s="1"/>
  <c r="C95" i="108"/>
  <c r="C96" i="108"/>
  <c r="C97" i="108"/>
  <c r="C98" i="108"/>
  <c r="C99" i="108"/>
  <c r="C100" i="108"/>
  <c r="C101" i="108"/>
  <c r="C102" i="108"/>
  <c r="S33" i="108" s="1"/>
  <c r="C103" i="108"/>
  <c r="C104" i="108"/>
  <c r="C105" i="108"/>
  <c r="C58" i="108"/>
  <c r="P58" i="107"/>
  <c r="P59" i="107"/>
  <c r="P60" i="107"/>
  <c r="P61" i="107"/>
  <c r="AF22" i="107" s="1"/>
  <c r="P62" i="107"/>
  <c r="P63" i="107"/>
  <c r="P64" i="107"/>
  <c r="P65" i="107"/>
  <c r="AF23" i="107" s="1"/>
  <c r="P66" i="107"/>
  <c r="P67" i="107"/>
  <c r="P68" i="107"/>
  <c r="P69" i="107"/>
  <c r="P70" i="107"/>
  <c r="P71" i="107"/>
  <c r="P72" i="107"/>
  <c r="P73" i="107"/>
  <c r="P74" i="107"/>
  <c r="P75" i="107"/>
  <c r="P76" i="107"/>
  <c r="P77" i="107"/>
  <c r="P78" i="107"/>
  <c r="P79" i="107"/>
  <c r="P80" i="107"/>
  <c r="P81" i="107"/>
  <c r="P82" i="107"/>
  <c r="P83" i="107"/>
  <c r="P84" i="107"/>
  <c r="P85" i="107"/>
  <c r="AF28" i="107" s="1"/>
  <c r="P86" i="107"/>
  <c r="P87" i="107"/>
  <c r="P88" i="107"/>
  <c r="P89" i="107"/>
  <c r="AF29" i="107" s="1"/>
  <c r="P90" i="107"/>
  <c r="P91" i="107"/>
  <c r="P92" i="107"/>
  <c r="P93" i="107"/>
  <c r="P94" i="107"/>
  <c r="P95" i="107"/>
  <c r="P96" i="107"/>
  <c r="P97" i="107"/>
  <c r="P98" i="107"/>
  <c r="P99" i="107"/>
  <c r="P100" i="107"/>
  <c r="P101" i="107"/>
  <c r="AF32" i="107" s="1"/>
  <c r="P102" i="107"/>
  <c r="P103" i="107"/>
  <c r="P104" i="107"/>
  <c r="P105" i="107"/>
  <c r="AF33" i="107" s="1"/>
  <c r="O58" i="107"/>
  <c r="O59" i="107"/>
  <c r="O60" i="107"/>
  <c r="O61" i="107"/>
  <c r="O62" i="107"/>
  <c r="O63" i="107"/>
  <c r="O64" i="107"/>
  <c r="O65" i="107"/>
  <c r="AE23" i="107" s="1"/>
  <c r="O66" i="107"/>
  <c r="O67" i="107"/>
  <c r="O68" i="107"/>
  <c r="AE24" i="107" s="1"/>
  <c r="O69" i="107"/>
  <c r="O70" i="107"/>
  <c r="O71" i="107"/>
  <c r="O72" i="107"/>
  <c r="O73" i="107"/>
  <c r="O74" i="107"/>
  <c r="O75" i="107"/>
  <c r="O76" i="107"/>
  <c r="O77" i="107"/>
  <c r="AE26" i="107" s="1"/>
  <c r="O78" i="107"/>
  <c r="O79" i="107"/>
  <c r="O80" i="107"/>
  <c r="AE27" i="107" s="1"/>
  <c r="O81" i="107"/>
  <c r="O82" i="107"/>
  <c r="O83" i="107"/>
  <c r="O84" i="107"/>
  <c r="O85" i="107"/>
  <c r="O86" i="107"/>
  <c r="O87" i="107"/>
  <c r="O88" i="107"/>
  <c r="O89" i="107"/>
  <c r="O90" i="107"/>
  <c r="O91" i="107"/>
  <c r="O92" i="107"/>
  <c r="AE30" i="107" s="1"/>
  <c r="O93" i="107"/>
  <c r="O94" i="107"/>
  <c r="O95" i="107"/>
  <c r="O96" i="107"/>
  <c r="AE31" i="107" s="1"/>
  <c r="O97" i="107"/>
  <c r="O98" i="107"/>
  <c r="O99" i="107"/>
  <c r="O100" i="107"/>
  <c r="O101" i="107"/>
  <c r="AE32" i="107" s="1"/>
  <c r="O102" i="107"/>
  <c r="O103" i="107"/>
  <c r="O104" i="107"/>
  <c r="AE33" i="107" s="1"/>
  <c r="O105" i="107"/>
  <c r="D58" i="107"/>
  <c r="E58" i="107"/>
  <c r="F58" i="107"/>
  <c r="G58" i="107"/>
  <c r="W22" i="107" s="1"/>
  <c r="H58" i="107"/>
  <c r="I58" i="107"/>
  <c r="J58" i="107"/>
  <c r="K58" i="107"/>
  <c r="AA22" i="107" s="1"/>
  <c r="L58" i="107"/>
  <c r="M58" i="107"/>
  <c r="N58" i="107"/>
  <c r="D59" i="107"/>
  <c r="T22" i="107" s="1"/>
  <c r="E59" i="107"/>
  <c r="F59" i="107"/>
  <c r="G59" i="107"/>
  <c r="H59" i="107"/>
  <c r="X22" i="107" s="1"/>
  <c r="I59" i="107"/>
  <c r="J59" i="107"/>
  <c r="K59" i="107"/>
  <c r="L59" i="107"/>
  <c r="AB22" i="107" s="1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V22" i="107" s="1"/>
  <c r="G61" i="107"/>
  <c r="H61" i="107"/>
  <c r="I61" i="107"/>
  <c r="J61" i="107"/>
  <c r="Z22" i="107" s="1"/>
  <c r="K61" i="107"/>
  <c r="L61" i="107"/>
  <c r="M61" i="107"/>
  <c r="N61" i="107"/>
  <c r="AD22" i="107" s="1"/>
  <c r="D62" i="107"/>
  <c r="E62" i="107"/>
  <c r="F62" i="107"/>
  <c r="G62" i="107"/>
  <c r="W23" i="107" s="1"/>
  <c r="H62" i="107"/>
  <c r="I62" i="107"/>
  <c r="J62" i="107"/>
  <c r="K62" i="107"/>
  <c r="AA23" i="107" s="1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U23" i="107" s="1"/>
  <c r="F64" i="107"/>
  <c r="G64" i="107"/>
  <c r="H64" i="107"/>
  <c r="I64" i="107"/>
  <c r="Y23" i="107" s="1"/>
  <c r="J64" i="107"/>
  <c r="K64" i="107"/>
  <c r="L64" i="107"/>
  <c r="M64" i="107"/>
  <c r="AC23" i="107" s="1"/>
  <c r="N64" i="107"/>
  <c r="D65" i="107"/>
  <c r="E65" i="107"/>
  <c r="F65" i="107"/>
  <c r="V23" i="107" s="1"/>
  <c r="G65" i="107"/>
  <c r="H65" i="107"/>
  <c r="I65" i="107"/>
  <c r="J65" i="107"/>
  <c r="Z23" i="107" s="1"/>
  <c r="K65" i="107"/>
  <c r="L65" i="107"/>
  <c r="M65" i="107"/>
  <c r="N65" i="107"/>
  <c r="AD23" i="107" s="1"/>
  <c r="D66" i="107"/>
  <c r="E66" i="107"/>
  <c r="F66" i="107"/>
  <c r="G66" i="107"/>
  <c r="W24" i="107" s="1"/>
  <c r="H66" i="107"/>
  <c r="I66" i="107"/>
  <c r="J66" i="107"/>
  <c r="K66" i="107"/>
  <c r="AA24" i="107" s="1"/>
  <c r="L66" i="107"/>
  <c r="M66" i="107"/>
  <c r="N66" i="107"/>
  <c r="D67" i="107"/>
  <c r="T24" i="107" s="1"/>
  <c r="E67" i="107"/>
  <c r="F67" i="107"/>
  <c r="G67" i="107"/>
  <c r="H67" i="107"/>
  <c r="X24" i="107" s="1"/>
  <c r="I67" i="107"/>
  <c r="J67" i="107"/>
  <c r="K67" i="107"/>
  <c r="L67" i="107"/>
  <c r="AB24" i="107" s="1"/>
  <c r="M67" i="107"/>
  <c r="N67" i="107"/>
  <c r="D68" i="107"/>
  <c r="E68" i="107"/>
  <c r="U24" i="107" s="1"/>
  <c r="F68" i="107"/>
  <c r="G68" i="107"/>
  <c r="H68" i="107"/>
  <c r="I68" i="107"/>
  <c r="Y24" i="107" s="1"/>
  <c r="J68" i="107"/>
  <c r="K68" i="107"/>
  <c r="L68" i="107"/>
  <c r="M68" i="107"/>
  <c r="AC24" i="107" s="1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W25" i="107" s="1"/>
  <c r="H70" i="107"/>
  <c r="I70" i="107"/>
  <c r="J70" i="107"/>
  <c r="K70" i="107"/>
  <c r="AA25" i="107" s="1"/>
  <c r="L70" i="107"/>
  <c r="M70" i="107"/>
  <c r="N70" i="107"/>
  <c r="D71" i="107"/>
  <c r="T25" i="107" s="1"/>
  <c r="E71" i="107"/>
  <c r="F71" i="107"/>
  <c r="G71" i="107"/>
  <c r="H71" i="107"/>
  <c r="X25" i="107" s="1"/>
  <c r="I71" i="107"/>
  <c r="J71" i="107"/>
  <c r="K71" i="107"/>
  <c r="L71" i="107"/>
  <c r="AB25" i="107" s="1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V25" i="107" s="1"/>
  <c r="G73" i="107"/>
  <c r="H73" i="107"/>
  <c r="I73" i="107"/>
  <c r="J73" i="107"/>
  <c r="Z25" i="107" s="1"/>
  <c r="K73" i="107"/>
  <c r="L73" i="107"/>
  <c r="M73" i="107"/>
  <c r="N73" i="107"/>
  <c r="AD25" i="107" s="1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T26" i="107" s="1"/>
  <c r="E75" i="107"/>
  <c r="F75" i="107"/>
  <c r="G75" i="107"/>
  <c r="H75" i="107"/>
  <c r="X26" i="107" s="1"/>
  <c r="I75" i="107"/>
  <c r="J75" i="107"/>
  <c r="K75" i="107"/>
  <c r="L75" i="107"/>
  <c r="AB26" i="107" s="1"/>
  <c r="M75" i="107"/>
  <c r="N75" i="107"/>
  <c r="D76" i="107"/>
  <c r="E76" i="107"/>
  <c r="U26" i="107" s="1"/>
  <c r="F76" i="107"/>
  <c r="G76" i="107"/>
  <c r="H76" i="107"/>
  <c r="I76" i="107"/>
  <c r="Y26" i="107" s="1"/>
  <c r="J76" i="107"/>
  <c r="K76" i="107"/>
  <c r="L76" i="107"/>
  <c r="M76" i="107"/>
  <c r="AC26" i="107" s="1"/>
  <c r="N76" i="107"/>
  <c r="D77" i="107"/>
  <c r="E77" i="107"/>
  <c r="F77" i="107"/>
  <c r="V26" i="107" s="1"/>
  <c r="G77" i="107"/>
  <c r="H77" i="107"/>
  <c r="I77" i="107"/>
  <c r="J77" i="107"/>
  <c r="Z26" i="107" s="1"/>
  <c r="K77" i="107"/>
  <c r="L77" i="107"/>
  <c r="M77" i="107"/>
  <c r="N77" i="107"/>
  <c r="AD26" i="107" s="1"/>
  <c r="D78" i="107"/>
  <c r="E78" i="107"/>
  <c r="F78" i="107"/>
  <c r="G78" i="107"/>
  <c r="W27" i="107" s="1"/>
  <c r="H78" i="107"/>
  <c r="I78" i="107"/>
  <c r="J78" i="107"/>
  <c r="K78" i="107"/>
  <c r="AA27" i="107" s="1"/>
  <c r="L78" i="107"/>
  <c r="M78" i="107"/>
  <c r="N78" i="107"/>
  <c r="D79" i="107"/>
  <c r="T27" i="107" s="1"/>
  <c r="E79" i="107"/>
  <c r="F79" i="107"/>
  <c r="G79" i="107"/>
  <c r="H79" i="107"/>
  <c r="X27" i="107" s="1"/>
  <c r="I79" i="107"/>
  <c r="J79" i="107"/>
  <c r="K79" i="107"/>
  <c r="L79" i="107"/>
  <c r="AB27" i="107" s="1"/>
  <c r="M79" i="107"/>
  <c r="N79" i="107"/>
  <c r="D80" i="107"/>
  <c r="E80" i="107"/>
  <c r="U27" i="107" s="1"/>
  <c r="F80" i="107"/>
  <c r="G80" i="107"/>
  <c r="H80" i="107"/>
  <c r="I80" i="107"/>
  <c r="Y27" i="107" s="1"/>
  <c r="J80" i="107"/>
  <c r="K80" i="107"/>
  <c r="L80" i="107"/>
  <c r="M80" i="107"/>
  <c r="AC27" i="107" s="1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W28" i="107" s="1"/>
  <c r="H82" i="107"/>
  <c r="I82" i="107"/>
  <c r="J82" i="107"/>
  <c r="K82" i="107"/>
  <c r="AA28" i="107" s="1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U28" i="107" s="1"/>
  <c r="F84" i="107"/>
  <c r="G84" i="107"/>
  <c r="H84" i="107"/>
  <c r="I84" i="107"/>
  <c r="Y28" i="107" s="1"/>
  <c r="J84" i="107"/>
  <c r="K84" i="107"/>
  <c r="L84" i="107"/>
  <c r="M84" i="107"/>
  <c r="AC28" i="107" s="1"/>
  <c r="N84" i="107"/>
  <c r="D85" i="107"/>
  <c r="E85" i="107"/>
  <c r="F85" i="107"/>
  <c r="V28" i="107" s="1"/>
  <c r="G85" i="107"/>
  <c r="H85" i="107"/>
  <c r="I85" i="107"/>
  <c r="J85" i="107"/>
  <c r="Z28" i="107" s="1"/>
  <c r="K85" i="107"/>
  <c r="L85" i="107"/>
  <c r="M85" i="107"/>
  <c r="N85" i="107"/>
  <c r="AD28" i="107" s="1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T29" i="107" s="1"/>
  <c r="E87" i="107"/>
  <c r="F87" i="107"/>
  <c r="G87" i="107"/>
  <c r="H87" i="107"/>
  <c r="X29" i="107" s="1"/>
  <c r="I87" i="107"/>
  <c r="J87" i="107"/>
  <c r="K87" i="107"/>
  <c r="L87" i="107"/>
  <c r="AB29" i="107" s="1"/>
  <c r="M87" i="107"/>
  <c r="N87" i="107"/>
  <c r="D88" i="107"/>
  <c r="E88" i="107"/>
  <c r="U29" i="107" s="1"/>
  <c r="F88" i="107"/>
  <c r="G88" i="107"/>
  <c r="H88" i="107"/>
  <c r="I88" i="107"/>
  <c r="Y29" i="107" s="1"/>
  <c r="J88" i="107"/>
  <c r="K88" i="107"/>
  <c r="L88" i="107"/>
  <c r="M88" i="107"/>
  <c r="AC29" i="107" s="1"/>
  <c r="N88" i="107"/>
  <c r="D89" i="107"/>
  <c r="E89" i="107"/>
  <c r="F89" i="107"/>
  <c r="V29" i="107" s="1"/>
  <c r="G89" i="107"/>
  <c r="H89" i="107"/>
  <c r="I89" i="107"/>
  <c r="J89" i="107"/>
  <c r="Z29" i="107" s="1"/>
  <c r="K89" i="107"/>
  <c r="L89" i="107"/>
  <c r="M89" i="107"/>
  <c r="N89" i="107"/>
  <c r="AD29" i="107" s="1"/>
  <c r="D90" i="107"/>
  <c r="E90" i="107"/>
  <c r="F90" i="107"/>
  <c r="G90" i="107"/>
  <c r="W30" i="107" s="1"/>
  <c r="H90" i="107"/>
  <c r="I90" i="107"/>
  <c r="J90" i="107"/>
  <c r="K90" i="107"/>
  <c r="AA30" i="107" s="1"/>
  <c r="L90" i="107"/>
  <c r="M90" i="107"/>
  <c r="N90" i="107"/>
  <c r="D91" i="107"/>
  <c r="T30" i="107" s="1"/>
  <c r="E91" i="107"/>
  <c r="F91" i="107"/>
  <c r="G91" i="107"/>
  <c r="H91" i="107"/>
  <c r="X30" i="107" s="1"/>
  <c r="I91" i="107"/>
  <c r="J91" i="107"/>
  <c r="K91" i="107"/>
  <c r="L91" i="107"/>
  <c r="AB30" i="107" s="1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V30" i="107" s="1"/>
  <c r="G93" i="107"/>
  <c r="H93" i="107"/>
  <c r="I93" i="107"/>
  <c r="J93" i="107"/>
  <c r="Z30" i="107" s="1"/>
  <c r="K93" i="107"/>
  <c r="L93" i="107"/>
  <c r="M93" i="107"/>
  <c r="N93" i="107"/>
  <c r="AD30" i="107" s="1"/>
  <c r="D94" i="107"/>
  <c r="E94" i="107"/>
  <c r="F94" i="107"/>
  <c r="G94" i="107"/>
  <c r="W31" i="107" s="1"/>
  <c r="H94" i="107"/>
  <c r="I94" i="107"/>
  <c r="J94" i="107"/>
  <c r="K94" i="107"/>
  <c r="AA31" i="107" s="1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U31" i="107" s="1"/>
  <c r="F96" i="107"/>
  <c r="G96" i="107"/>
  <c r="H96" i="107"/>
  <c r="I96" i="107"/>
  <c r="Y31" i="107" s="1"/>
  <c r="J96" i="107"/>
  <c r="K96" i="107"/>
  <c r="L96" i="107"/>
  <c r="M96" i="107"/>
  <c r="AC31" i="107" s="1"/>
  <c r="N96" i="107"/>
  <c r="D97" i="107"/>
  <c r="E97" i="107"/>
  <c r="F97" i="107"/>
  <c r="V31" i="107" s="1"/>
  <c r="G97" i="107"/>
  <c r="H97" i="107"/>
  <c r="I97" i="107"/>
  <c r="J97" i="107"/>
  <c r="Z31" i="107" s="1"/>
  <c r="K97" i="107"/>
  <c r="L97" i="107"/>
  <c r="M97" i="107"/>
  <c r="N97" i="107"/>
  <c r="AD31" i="107" s="1"/>
  <c r="D98" i="107"/>
  <c r="E98" i="107"/>
  <c r="F98" i="107"/>
  <c r="G98" i="107"/>
  <c r="W32" i="107" s="1"/>
  <c r="H98" i="107"/>
  <c r="I98" i="107"/>
  <c r="J98" i="107"/>
  <c r="K98" i="107"/>
  <c r="AA32" i="107" s="1"/>
  <c r="L98" i="107"/>
  <c r="M98" i="107"/>
  <c r="N98" i="107"/>
  <c r="D99" i="107"/>
  <c r="T32" i="107" s="1"/>
  <c r="E99" i="107"/>
  <c r="F99" i="107"/>
  <c r="G99" i="107"/>
  <c r="H99" i="107"/>
  <c r="X32" i="107" s="1"/>
  <c r="I99" i="107"/>
  <c r="J99" i="107"/>
  <c r="K99" i="107"/>
  <c r="L99" i="107"/>
  <c r="AB32" i="107" s="1"/>
  <c r="M99" i="107"/>
  <c r="N99" i="107"/>
  <c r="D100" i="107"/>
  <c r="E100" i="107"/>
  <c r="U32" i="107" s="1"/>
  <c r="F100" i="107"/>
  <c r="G100" i="107"/>
  <c r="H100" i="107"/>
  <c r="I100" i="107"/>
  <c r="Y32" i="107" s="1"/>
  <c r="J100" i="107"/>
  <c r="K100" i="107"/>
  <c r="L100" i="107"/>
  <c r="M100" i="107"/>
  <c r="AC32" i="107" s="1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W33" i="107" s="1"/>
  <c r="H102" i="107"/>
  <c r="I102" i="107"/>
  <c r="J102" i="107"/>
  <c r="K102" i="107"/>
  <c r="AA33" i="107" s="1"/>
  <c r="L102" i="107"/>
  <c r="M102" i="107"/>
  <c r="N102" i="107"/>
  <c r="D103" i="107"/>
  <c r="T33" i="107" s="1"/>
  <c r="E103" i="107"/>
  <c r="F103" i="107"/>
  <c r="G103" i="107"/>
  <c r="H103" i="107"/>
  <c r="X33" i="107" s="1"/>
  <c r="I103" i="107"/>
  <c r="J103" i="107"/>
  <c r="K103" i="107"/>
  <c r="L103" i="107"/>
  <c r="AB33" i="107" s="1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V33" i="107" s="1"/>
  <c r="G105" i="107"/>
  <c r="H105" i="107"/>
  <c r="I105" i="107"/>
  <c r="J105" i="107"/>
  <c r="Z33" i="107" s="1"/>
  <c r="K105" i="107"/>
  <c r="L105" i="107"/>
  <c r="M105" i="107"/>
  <c r="N105" i="107"/>
  <c r="AD33" i="107" s="1"/>
  <c r="C59" i="107"/>
  <c r="C60" i="107"/>
  <c r="C61" i="107"/>
  <c r="C62" i="107"/>
  <c r="S23" i="107" s="1"/>
  <c r="C63" i="107"/>
  <c r="C64" i="107"/>
  <c r="C65" i="107"/>
  <c r="C66" i="107"/>
  <c r="C67" i="107"/>
  <c r="C68" i="107"/>
  <c r="C69" i="107"/>
  <c r="C70" i="107"/>
  <c r="S25" i="107" s="1"/>
  <c r="C71" i="107"/>
  <c r="C72" i="107"/>
  <c r="C73" i="107"/>
  <c r="C74" i="107"/>
  <c r="C75" i="107"/>
  <c r="C76" i="107"/>
  <c r="C77" i="107"/>
  <c r="C78" i="107"/>
  <c r="S27" i="107" s="1"/>
  <c r="C79" i="107"/>
  <c r="C80" i="107"/>
  <c r="C81" i="107"/>
  <c r="C82" i="107"/>
  <c r="C83" i="107"/>
  <c r="C84" i="107"/>
  <c r="C85" i="107"/>
  <c r="C86" i="107"/>
  <c r="S29" i="107" s="1"/>
  <c r="C87" i="107"/>
  <c r="C88" i="107"/>
  <c r="C89" i="107"/>
  <c r="C90" i="107"/>
  <c r="C91" i="107"/>
  <c r="C92" i="107"/>
  <c r="C93" i="107"/>
  <c r="C94" i="107"/>
  <c r="S31" i="107" s="1"/>
  <c r="C95" i="107"/>
  <c r="C96" i="107"/>
  <c r="C97" i="107"/>
  <c r="C98" i="107"/>
  <c r="C99" i="107"/>
  <c r="C100" i="107"/>
  <c r="C101" i="107"/>
  <c r="C102" i="107"/>
  <c r="S33" i="107" s="1"/>
  <c r="C103" i="107"/>
  <c r="C104" i="107"/>
  <c r="C105" i="107"/>
  <c r="C58" i="107"/>
  <c r="AC33" i="111"/>
  <c r="Y33" i="111"/>
  <c r="U33" i="111"/>
  <c r="AD32" i="111"/>
  <c r="Z32" i="111"/>
  <c r="V32" i="111"/>
  <c r="S32" i="111"/>
  <c r="AB31" i="111"/>
  <c r="X31" i="111"/>
  <c r="T31" i="111"/>
  <c r="AC30" i="111"/>
  <c r="Y30" i="111"/>
  <c r="U30" i="111"/>
  <c r="S30" i="111"/>
  <c r="AE29" i="111"/>
  <c r="AA29" i="111"/>
  <c r="W29" i="111"/>
  <c r="AE28" i="111"/>
  <c r="AB28" i="111"/>
  <c r="X28" i="111"/>
  <c r="T28" i="111"/>
  <c r="S28" i="111"/>
  <c r="AD27" i="111"/>
  <c r="Z27" i="111"/>
  <c r="V27" i="111"/>
  <c r="AA26" i="111"/>
  <c r="W26" i="111"/>
  <c r="S26" i="111"/>
  <c r="AE25" i="111"/>
  <c r="AC25" i="111"/>
  <c r="Y25" i="111"/>
  <c r="U25" i="111"/>
  <c r="AD24" i="111"/>
  <c r="Z24" i="111"/>
  <c r="V24" i="111"/>
  <c r="S24" i="111"/>
  <c r="AB23" i="111"/>
  <c r="X23" i="111"/>
  <c r="T23" i="111"/>
  <c r="AE22" i="111"/>
  <c r="AC22" i="111"/>
  <c r="Y22" i="111"/>
  <c r="U22" i="111"/>
  <c r="S22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D20" i="111"/>
  <c r="AC20" i="111"/>
  <c r="AC36" i="111" s="1"/>
  <c r="AB20" i="111"/>
  <c r="AA20" i="111"/>
  <c r="Z20" i="111"/>
  <c r="Y20" i="111"/>
  <c r="Y36" i="111" s="1"/>
  <c r="X20" i="111"/>
  <c r="W20" i="111"/>
  <c r="V20" i="111"/>
  <c r="U20" i="111"/>
  <c r="U36" i="111" s="1"/>
  <c r="T20" i="111"/>
  <c r="S20" i="111"/>
  <c r="AF19" i="111"/>
  <c r="AF36" i="111" s="1"/>
  <c r="AE19" i="111"/>
  <c r="AE39" i="111" s="1"/>
  <c r="AD19" i="111"/>
  <c r="AD39" i="111" s="1"/>
  <c r="AC19" i="111"/>
  <c r="AC39" i="111" s="1"/>
  <c r="AB19" i="111"/>
  <c r="AB36" i="111" s="1"/>
  <c r="AA19" i="111"/>
  <c r="AA36" i="111" s="1"/>
  <c r="Z19" i="111"/>
  <c r="Z39" i="111" s="1"/>
  <c r="Y19" i="111"/>
  <c r="Y39" i="111" s="1"/>
  <c r="X19" i="111"/>
  <c r="X36" i="111" s="1"/>
  <c r="W19" i="111"/>
  <c r="W36" i="111" s="1"/>
  <c r="V19" i="111"/>
  <c r="V39" i="111" s="1"/>
  <c r="U19" i="111"/>
  <c r="U39" i="111" s="1"/>
  <c r="T19" i="111"/>
  <c r="T36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B15" i="111"/>
  <c r="AA15" i="111"/>
  <c r="Z15" i="111"/>
  <c r="Y15" i="111"/>
  <c r="X15" i="111"/>
  <c r="W15" i="111"/>
  <c r="V15" i="111"/>
  <c r="U15" i="111"/>
  <c r="T15" i="111"/>
  <c r="S15" i="111"/>
  <c r="AF14" i="111"/>
  <c r="AE14" i="111"/>
  <c r="AD14" i="111"/>
  <c r="AC14" i="111"/>
  <c r="AC38" i="111" s="1"/>
  <c r="AB14" i="111"/>
  <c r="AA14" i="111"/>
  <c r="Z14" i="111"/>
  <c r="Y14" i="111"/>
  <c r="Y38" i="111" s="1"/>
  <c r="X14" i="111"/>
  <c r="W14" i="111"/>
  <c r="V14" i="111"/>
  <c r="U14" i="111"/>
  <c r="U38" i="111" s="1"/>
  <c r="T14" i="111"/>
  <c r="S14" i="111"/>
  <c r="AF13" i="111"/>
  <c r="AF38" i="111" s="1"/>
  <c r="AE13" i="111"/>
  <c r="AE35" i="111" s="1"/>
  <c r="AD13" i="111"/>
  <c r="AD35" i="111" s="1"/>
  <c r="AC13" i="111"/>
  <c r="AC35" i="111" s="1"/>
  <c r="AB13" i="111"/>
  <c r="AB38" i="111" s="1"/>
  <c r="AA13" i="111"/>
  <c r="AA38" i="111" s="1"/>
  <c r="Z13" i="111"/>
  <c r="Z35" i="111" s="1"/>
  <c r="Y13" i="111"/>
  <c r="Y35" i="111" s="1"/>
  <c r="X13" i="111"/>
  <c r="X38" i="111" s="1"/>
  <c r="W13" i="111"/>
  <c r="W38" i="111" s="1"/>
  <c r="V13" i="111"/>
  <c r="V35" i="111" s="1"/>
  <c r="U13" i="111"/>
  <c r="U35" i="111" s="1"/>
  <c r="T13" i="111"/>
  <c r="T38" i="111" s="1"/>
  <c r="S13" i="111"/>
  <c r="S38" i="111" s="1"/>
  <c r="AF12" i="111"/>
  <c r="AE12" i="111"/>
  <c r="AD12" i="111"/>
  <c r="AC12" i="111"/>
  <c r="AB12" i="111"/>
  <c r="AA12" i="111"/>
  <c r="Z12" i="111"/>
  <c r="Y12" i="111"/>
  <c r="X12" i="111"/>
  <c r="W12" i="111"/>
  <c r="V12" i="111"/>
  <c r="U12" i="111"/>
  <c r="T12" i="111"/>
  <c r="S12" i="111"/>
  <c r="AF11" i="111"/>
  <c r="AE11" i="111"/>
  <c r="AE37" i="111" s="1"/>
  <c r="AD11" i="111"/>
  <c r="AC11" i="111"/>
  <c r="AB11" i="111"/>
  <c r="AA11" i="111"/>
  <c r="Z11" i="111"/>
  <c r="Y11" i="111"/>
  <c r="X11" i="111"/>
  <c r="W11" i="111"/>
  <c r="V11" i="111"/>
  <c r="U11" i="111"/>
  <c r="T11" i="111"/>
  <c r="S11" i="111"/>
  <c r="S37" i="111" s="1"/>
  <c r="AF10" i="111"/>
  <c r="AF40" i="111" s="1"/>
  <c r="AE10" i="111"/>
  <c r="AE40" i="111" s="1"/>
  <c r="AD10" i="111"/>
  <c r="AC10" i="111"/>
  <c r="AC40" i="111" s="1"/>
  <c r="AB10" i="111"/>
  <c r="AB40" i="111" s="1"/>
  <c r="AA10" i="111"/>
  <c r="AA40" i="111" s="1"/>
  <c r="Z10" i="111"/>
  <c r="Y10" i="111"/>
  <c r="X10" i="111"/>
  <c r="X40" i="111" s="1"/>
  <c r="W10" i="111"/>
  <c r="W40" i="111" s="1"/>
  <c r="V10" i="111"/>
  <c r="U10" i="111"/>
  <c r="U34" i="111" s="1"/>
  <c r="T10" i="111"/>
  <c r="T40" i="111" s="1"/>
  <c r="S10" i="111"/>
  <c r="S40" i="111" s="1"/>
  <c r="AF33" i="108"/>
  <c r="AC33" i="108"/>
  <c r="Y33" i="108"/>
  <c r="U33" i="108"/>
  <c r="AF32" i="108"/>
  <c r="AD32" i="108"/>
  <c r="Z32" i="108"/>
  <c r="V32" i="108"/>
  <c r="S32" i="108"/>
  <c r="AB31" i="108"/>
  <c r="X31" i="108"/>
  <c r="T31" i="108"/>
  <c r="AC30" i="108"/>
  <c r="Y30" i="108"/>
  <c r="U30" i="108"/>
  <c r="S30" i="108"/>
  <c r="AE29" i="108"/>
  <c r="AA29" i="108"/>
  <c r="W29" i="108"/>
  <c r="AE28" i="108"/>
  <c r="AB28" i="108"/>
  <c r="X28" i="108"/>
  <c r="T28" i="108"/>
  <c r="S28" i="108"/>
  <c r="AF27" i="108"/>
  <c r="AD27" i="108"/>
  <c r="Z27" i="108"/>
  <c r="V27" i="108"/>
  <c r="AF26" i="108"/>
  <c r="AA26" i="108"/>
  <c r="W26" i="108"/>
  <c r="S26" i="108"/>
  <c r="AF25" i="108"/>
  <c r="AE25" i="108"/>
  <c r="AC25" i="108"/>
  <c r="Y25" i="108"/>
  <c r="U25" i="108"/>
  <c r="AD24" i="108"/>
  <c r="Z24" i="108"/>
  <c r="V24" i="108"/>
  <c r="S24" i="108"/>
  <c r="AB23" i="108"/>
  <c r="X23" i="108"/>
  <c r="T23" i="108"/>
  <c r="AE22" i="108"/>
  <c r="AC22" i="108"/>
  <c r="Y22" i="108"/>
  <c r="U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C36" i="108" s="1"/>
  <c r="AB20" i="108"/>
  <c r="AA20" i="108"/>
  <c r="Z20" i="108"/>
  <c r="Y20" i="108"/>
  <c r="Y36" i="108" s="1"/>
  <c r="X20" i="108"/>
  <c r="W20" i="108"/>
  <c r="V20" i="108"/>
  <c r="U20" i="108"/>
  <c r="U36" i="108" s="1"/>
  <c r="T20" i="108"/>
  <c r="S20" i="108"/>
  <c r="AF19" i="108"/>
  <c r="AF36" i="108" s="1"/>
  <c r="AE19" i="108"/>
  <c r="AE36" i="108" s="1"/>
  <c r="AD19" i="108"/>
  <c r="AD39" i="108" s="1"/>
  <c r="AC19" i="108"/>
  <c r="AC39" i="108" s="1"/>
  <c r="AB19" i="108"/>
  <c r="AB36" i="108" s="1"/>
  <c r="AA19" i="108"/>
  <c r="AA36" i="108" s="1"/>
  <c r="Z19" i="108"/>
  <c r="Z39" i="108" s="1"/>
  <c r="Y19" i="108"/>
  <c r="Y39" i="108" s="1"/>
  <c r="X19" i="108"/>
  <c r="X36" i="108" s="1"/>
  <c r="W19" i="108"/>
  <c r="W39" i="108" s="1"/>
  <c r="V19" i="108"/>
  <c r="V39" i="108" s="1"/>
  <c r="U19" i="108"/>
  <c r="U39" i="108" s="1"/>
  <c r="T19" i="108"/>
  <c r="T36" i="108" s="1"/>
  <c r="S19" i="108"/>
  <c r="S36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Z15" i="108"/>
  <c r="Y15" i="108"/>
  <c r="X15" i="108"/>
  <c r="W15" i="108"/>
  <c r="V15" i="108"/>
  <c r="U15" i="108"/>
  <c r="T15" i="108"/>
  <c r="S15" i="108"/>
  <c r="AF14" i="108"/>
  <c r="AE14" i="108"/>
  <c r="AD14" i="108"/>
  <c r="AC14" i="108"/>
  <c r="AC38" i="108" s="1"/>
  <c r="AB14" i="108"/>
  <c r="AA14" i="108"/>
  <c r="Z14" i="108"/>
  <c r="Y14" i="108"/>
  <c r="Y38" i="108" s="1"/>
  <c r="X14" i="108"/>
  <c r="W14" i="108"/>
  <c r="V14" i="108"/>
  <c r="U14" i="108"/>
  <c r="U38" i="108" s="1"/>
  <c r="T14" i="108"/>
  <c r="S14" i="108"/>
  <c r="AF13" i="108"/>
  <c r="AF38" i="108" s="1"/>
  <c r="AE13" i="108"/>
  <c r="AE35" i="108" s="1"/>
  <c r="AD13" i="108"/>
  <c r="AD35" i="108" s="1"/>
  <c r="AC13" i="108"/>
  <c r="AC35" i="108" s="1"/>
  <c r="AB13" i="108"/>
  <c r="AB38" i="108" s="1"/>
  <c r="AA13" i="108"/>
  <c r="AA38" i="108" s="1"/>
  <c r="Z13" i="108"/>
  <c r="Z35" i="108" s="1"/>
  <c r="Y13" i="108"/>
  <c r="Y35" i="108" s="1"/>
  <c r="X13" i="108"/>
  <c r="X38" i="108" s="1"/>
  <c r="W13" i="108"/>
  <c r="W38" i="108" s="1"/>
  <c r="V13" i="108"/>
  <c r="V35" i="108" s="1"/>
  <c r="U13" i="108"/>
  <c r="U35" i="108" s="1"/>
  <c r="T13" i="108"/>
  <c r="T38" i="108" s="1"/>
  <c r="S13" i="108"/>
  <c r="S38" i="108" s="1"/>
  <c r="AF12" i="108"/>
  <c r="AE12" i="108"/>
  <c r="AD12" i="108"/>
  <c r="AC12" i="108"/>
  <c r="AB12" i="108"/>
  <c r="AA12" i="108"/>
  <c r="Z12" i="108"/>
  <c r="Y12" i="108"/>
  <c r="X12" i="108"/>
  <c r="W12" i="108"/>
  <c r="V12" i="108"/>
  <c r="U12" i="108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40" i="108" s="1"/>
  <c r="AE10" i="108"/>
  <c r="AE40" i="108" s="1"/>
  <c r="AD10" i="108"/>
  <c r="AC10" i="108"/>
  <c r="AC34" i="108" s="1"/>
  <c r="AB10" i="108"/>
  <c r="AB40" i="108" s="1"/>
  <c r="AA10" i="108"/>
  <c r="AA40" i="108" s="1"/>
  <c r="Z10" i="108"/>
  <c r="Y10" i="108"/>
  <c r="Y34" i="108" s="1"/>
  <c r="X10" i="108"/>
  <c r="X40" i="108" s="1"/>
  <c r="W10" i="108"/>
  <c r="W40" i="108" s="1"/>
  <c r="V10" i="108"/>
  <c r="U10" i="108"/>
  <c r="U40" i="108" s="1"/>
  <c r="T10" i="108"/>
  <c r="T40" i="108" s="1"/>
  <c r="S10" i="108"/>
  <c r="S40" i="108" s="1"/>
  <c r="AC33" i="107"/>
  <c r="Y33" i="107"/>
  <c r="U33" i="107"/>
  <c r="AD32" i="107"/>
  <c r="Z32" i="107"/>
  <c r="V32" i="107"/>
  <c r="S32" i="107"/>
  <c r="AF31" i="107"/>
  <c r="AB31" i="107"/>
  <c r="X31" i="107"/>
  <c r="T31" i="107"/>
  <c r="AF30" i="107"/>
  <c r="AC30" i="107"/>
  <c r="Y30" i="107"/>
  <c r="U30" i="107"/>
  <c r="S30" i="107"/>
  <c r="AE29" i="107"/>
  <c r="AA29" i="107"/>
  <c r="W29" i="107"/>
  <c r="AE28" i="107"/>
  <c r="AB28" i="107"/>
  <c r="X28" i="107"/>
  <c r="T28" i="107"/>
  <c r="S28" i="107"/>
  <c r="AF27" i="107"/>
  <c r="AD27" i="107"/>
  <c r="Z27" i="107"/>
  <c r="V27" i="107"/>
  <c r="AF26" i="107"/>
  <c r="AA26" i="107"/>
  <c r="W26" i="107"/>
  <c r="S26" i="107"/>
  <c r="AF25" i="107"/>
  <c r="AE25" i="107"/>
  <c r="AC25" i="107"/>
  <c r="Y25" i="107"/>
  <c r="U25" i="107"/>
  <c r="AF24" i="107"/>
  <c r="AD24" i="107"/>
  <c r="Z24" i="107"/>
  <c r="V24" i="107"/>
  <c r="S24" i="107"/>
  <c r="AB23" i="107"/>
  <c r="X23" i="107"/>
  <c r="T23" i="107"/>
  <c r="AE22" i="107"/>
  <c r="AC22" i="107"/>
  <c r="Y22" i="107"/>
  <c r="U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C20" i="107"/>
  <c r="AC36" i="107" s="1"/>
  <c r="AB20" i="107"/>
  <c r="AA20" i="107"/>
  <c r="Z20" i="107"/>
  <c r="Y20" i="107"/>
  <c r="Y36" i="107" s="1"/>
  <c r="X20" i="107"/>
  <c r="W20" i="107"/>
  <c r="V20" i="107"/>
  <c r="U20" i="107"/>
  <c r="U36" i="107" s="1"/>
  <c r="T20" i="107"/>
  <c r="S20" i="107"/>
  <c r="AF19" i="107"/>
  <c r="AF36" i="107" s="1"/>
  <c r="AE19" i="107"/>
  <c r="AE39" i="107" s="1"/>
  <c r="AD19" i="107"/>
  <c r="AD39" i="107" s="1"/>
  <c r="AC19" i="107"/>
  <c r="AC39" i="107" s="1"/>
  <c r="AB19" i="107"/>
  <c r="AB36" i="107" s="1"/>
  <c r="AA19" i="107"/>
  <c r="AA36" i="107" s="1"/>
  <c r="Z19" i="107"/>
  <c r="Z39" i="107" s="1"/>
  <c r="Y19" i="107"/>
  <c r="Y39" i="107" s="1"/>
  <c r="X19" i="107"/>
  <c r="X36" i="107" s="1"/>
  <c r="W19" i="107"/>
  <c r="W36" i="107" s="1"/>
  <c r="V19" i="107"/>
  <c r="V39" i="107" s="1"/>
  <c r="U19" i="107"/>
  <c r="U39" i="107" s="1"/>
  <c r="T19" i="107"/>
  <c r="T36" i="107" s="1"/>
  <c r="S19" i="107"/>
  <c r="S39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Z15" i="107"/>
  <c r="Y15" i="107"/>
  <c r="X15" i="107"/>
  <c r="W15" i="107"/>
  <c r="V15" i="107"/>
  <c r="U15" i="107"/>
  <c r="T15" i="107"/>
  <c r="S15" i="107"/>
  <c r="AF14" i="107"/>
  <c r="AE14" i="107"/>
  <c r="AD14" i="107"/>
  <c r="AC14" i="107"/>
  <c r="AC38" i="107" s="1"/>
  <c r="AB14" i="107"/>
  <c r="AA14" i="107"/>
  <c r="Z14" i="107"/>
  <c r="Y14" i="107"/>
  <c r="Y38" i="107" s="1"/>
  <c r="X14" i="107"/>
  <c r="W14" i="107"/>
  <c r="V14" i="107"/>
  <c r="U14" i="107"/>
  <c r="U38" i="107" s="1"/>
  <c r="T14" i="107"/>
  <c r="S14" i="107"/>
  <c r="AF13" i="107"/>
  <c r="AF38" i="107" s="1"/>
  <c r="AE13" i="107"/>
  <c r="AE35" i="107" s="1"/>
  <c r="AD13" i="107"/>
  <c r="AD35" i="107" s="1"/>
  <c r="AC13" i="107"/>
  <c r="AC35" i="107" s="1"/>
  <c r="AB13" i="107"/>
  <c r="AB38" i="107" s="1"/>
  <c r="AA13" i="107"/>
  <c r="AA38" i="107" s="1"/>
  <c r="Z13" i="107"/>
  <c r="Z35" i="107" s="1"/>
  <c r="Y13" i="107"/>
  <c r="Y35" i="107" s="1"/>
  <c r="X13" i="107"/>
  <c r="X38" i="107" s="1"/>
  <c r="W13" i="107"/>
  <c r="W38" i="107" s="1"/>
  <c r="V13" i="107"/>
  <c r="V35" i="107" s="1"/>
  <c r="U13" i="107"/>
  <c r="U35" i="107" s="1"/>
  <c r="T13" i="107"/>
  <c r="T38" i="107" s="1"/>
  <c r="S13" i="107"/>
  <c r="S35" i="107" s="1"/>
  <c r="AF12" i="107"/>
  <c r="AE12" i="107"/>
  <c r="AD12" i="107"/>
  <c r="AC12" i="107"/>
  <c r="AB12" i="107"/>
  <c r="AA12" i="107"/>
  <c r="Z12" i="107"/>
  <c r="Y12" i="107"/>
  <c r="X12" i="107"/>
  <c r="W12" i="107"/>
  <c r="V12" i="107"/>
  <c r="U12" i="107"/>
  <c r="T12" i="107"/>
  <c r="S12" i="107"/>
  <c r="AF11" i="107"/>
  <c r="AE11" i="107"/>
  <c r="AD11" i="107"/>
  <c r="AC11" i="107"/>
  <c r="AB11" i="107"/>
  <c r="AA11" i="107"/>
  <c r="Z11" i="107"/>
  <c r="Y11" i="107"/>
  <c r="X11" i="107"/>
  <c r="W11" i="107"/>
  <c r="W37" i="107" s="1"/>
  <c r="V11" i="107"/>
  <c r="U11" i="107"/>
  <c r="T11" i="107"/>
  <c r="S11" i="107"/>
  <c r="AF10" i="107"/>
  <c r="AF40" i="107" s="1"/>
  <c r="AE10" i="107"/>
  <c r="AE40" i="107" s="1"/>
  <c r="AD10" i="107"/>
  <c r="AC10" i="107"/>
  <c r="AC40" i="107" s="1"/>
  <c r="AB10" i="107"/>
  <c r="AB40" i="107" s="1"/>
  <c r="AA10" i="107"/>
  <c r="AA40" i="107" s="1"/>
  <c r="Z10" i="107"/>
  <c r="Y10" i="107"/>
  <c r="X10" i="107"/>
  <c r="X40" i="107" s="1"/>
  <c r="W10" i="107"/>
  <c r="W40" i="107" s="1"/>
  <c r="V10" i="107"/>
  <c r="U10" i="107"/>
  <c r="U34" i="107" s="1"/>
  <c r="T10" i="107"/>
  <c r="T40" i="107" s="1"/>
  <c r="S10" i="107"/>
  <c r="S40" i="107" s="1"/>
  <c r="AA41" i="111" l="1"/>
  <c r="Z41" i="111"/>
  <c r="Y41" i="111"/>
  <c r="W41" i="111"/>
  <c r="W42" i="111" s="1"/>
  <c r="V41" i="111"/>
  <c r="AD41" i="111"/>
  <c r="AE41" i="108"/>
  <c r="AE42" i="108" s="1"/>
  <c r="W41" i="108"/>
  <c r="W42" i="108" s="1"/>
  <c r="V41" i="108"/>
  <c r="Z41" i="108"/>
  <c r="AD41" i="108"/>
  <c r="AA41" i="108"/>
  <c r="AA42" i="108" s="1"/>
  <c r="S41" i="108"/>
  <c r="S42" i="108" s="1"/>
  <c r="AE41" i="107"/>
  <c r="V41" i="107"/>
  <c r="Z41" i="107"/>
  <c r="AD41" i="107"/>
  <c r="AA41" i="107"/>
  <c r="Y41" i="107"/>
  <c r="S41" i="107"/>
  <c r="AA42" i="111"/>
  <c r="V42" i="111"/>
  <c r="Y34" i="111"/>
  <c r="W35" i="111"/>
  <c r="W37" i="111"/>
  <c r="W39" i="111"/>
  <c r="U40" i="111"/>
  <c r="S41" i="111"/>
  <c r="S42" i="111" s="1"/>
  <c r="AE41" i="111"/>
  <c r="AE42" i="111" s="1"/>
  <c r="V34" i="111"/>
  <c r="Z34" i="111"/>
  <c r="AD34" i="111"/>
  <c r="T35" i="111"/>
  <c r="X35" i="111"/>
  <c r="AB35" i="111"/>
  <c r="AF35" i="111"/>
  <c r="V36" i="111"/>
  <c r="Z36" i="111"/>
  <c r="AD36" i="111"/>
  <c r="T37" i="111"/>
  <c r="X37" i="111"/>
  <c r="AB37" i="111"/>
  <c r="AF37" i="111"/>
  <c r="V38" i="111"/>
  <c r="Z38" i="111"/>
  <c r="AD38" i="111"/>
  <c r="T39" i="111"/>
  <c r="X39" i="111"/>
  <c r="AB39" i="111"/>
  <c r="AF39" i="111"/>
  <c r="V40" i="111"/>
  <c r="Z40" i="111"/>
  <c r="AD40" i="111"/>
  <c r="AD42" i="111" s="1"/>
  <c r="T41" i="111"/>
  <c r="T42" i="111" s="1"/>
  <c r="X41" i="111"/>
  <c r="X42" i="111" s="1"/>
  <c r="AB41" i="111"/>
  <c r="AB42" i="111" s="1"/>
  <c r="AF41" i="111"/>
  <c r="AF42" i="111" s="1"/>
  <c r="S35" i="111"/>
  <c r="AA35" i="111"/>
  <c r="S39" i="111"/>
  <c r="AA39" i="111"/>
  <c r="Y40" i="111"/>
  <c r="Y42" i="111" s="1"/>
  <c r="S34" i="111"/>
  <c r="W34" i="111"/>
  <c r="AA34" i="111"/>
  <c r="AE34" i="111"/>
  <c r="AE36" i="111"/>
  <c r="U37" i="111"/>
  <c r="Y37" i="111"/>
  <c r="AC37" i="111"/>
  <c r="AE38" i="111"/>
  <c r="U41" i="111"/>
  <c r="U42" i="111" s="1"/>
  <c r="AC41" i="111"/>
  <c r="AC42" i="111" s="1"/>
  <c r="AC34" i="111"/>
  <c r="AA37" i="111"/>
  <c r="T34" i="111"/>
  <c r="X34" i="111"/>
  <c r="AB34" i="111"/>
  <c r="AF34" i="111"/>
  <c r="V37" i="111"/>
  <c r="Z37" i="111"/>
  <c r="AD37" i="111"/>
  <c r="S35" i="108"/>
  <c r="AA35" i="108"/>
  <c r="AA37" i="108"/>
  <c r="S39" i="108"/>
  <c r="AE39" i="108"/>
  <c r="AC40" i="108"/>
  <c r="V34" i="108"/>
  <c r="Z34" i="108"/>
  <c r="AD34" i="108"/>
  <c r="T35" i="108"/>
  <c r="X35" i="108"/>
  <c r="AB35" i="108"/>
  <c r="AF35" i="108"/>
  <c r="V36" i="108"/>
  <c r="Z36" i="108"/>
  <c r="AD36" i="108"/>
  <c r="T37" i="108"/>
  <c r="X37" i="108"/>
  <c r="AB37" i="108"/>
  <c r="AF37" i="108"/>
  <c r="V38" i="108"/>
  <c r="Z38" i="108"/>
  <c r="AD38" i="108"/>
  <c r="T39" i="108"/>
  <c r="X39" i="108"/>
  <c r="AB39" i="108"/>
  <c r="AF39" i="108"/>
  <c r="V40" i="108"/>
  <c r="V42" i="108" s="1"/>
  <c r="Z40" i="108"/>
  <c r="AD40" i="108"/>
  <c r="T41" i="108"/>
  <c r="T42" i="108" s="1"/>
  <c r="X41" i="108"/>
  <c r="X42" i="108" s="1"/>
  <c r="AB41" i="108"/>
  <c r="AB42" i="108" s="1"/>
  <c r="AF41" i="108"/>
  <c r="AF42" i="108" s="1"/>
  <c r="U34" i="108"/>
  <c r="W35" i="108"/>
  <c r="S37" i="108"/>
  <c r="AE37" i="108"/>
  <c r="AA39" i="108"/>
  <c r="Y40" i="108"/>
  <c r="S34" i="108"/>
  <c r="W34" i="108"/>
  <c r="AA34" i="108"/>
  <c r="AE34" i="108"/>
  <c r="W36" i="108"/>
  <c r="U37" i="108"/>
  <c r="Y37" i="108"/>
  <c r="AC37" i="108"/>
  <c r="AE38" i="108"/>
  <c r="U41" i="108"/>
  <c r="U42" i="108" s="1"/>
  <c r="Y41" i="108"/>
  <c r="Y42" i="108" s="1"/>
  <c r="AC41" i="108"/>
  <c r="AC42" i="108" s="1"/>
  <c r="W37" i="108"/>
  <c r="T34" i="108"/>
  <c r="X34" i="108"/>
  <c r="AB34" i="108"/>
  <c r="AF34" i="108"/>
  <c r="V37" i="108"/>
  <c r="Z37" i="108"/>
  <c r="AD37" i="108"/>
  <c r="S42" i="107"/>
  <c r="AE42" i="107"/>
  <c r="AA42" i="107"/>
  <c r="AC34" i="107"/>
  <c r="AA35" i="107"/>
  <c r="S37" i="107"/>
  <c r="AE37" i="107"/>
  <c r="AA39" i="107"/>
  <c r="Y40" i="107"/>
  <c r="Y42" i="107" s="1"/>
  <c r="W41" i="107"/>
  <c r="W42" i="107" s="1"/>
  <c r="V34" i="107"/>
  <c r="Z34" i="107"/>
  <c r="AD34" i="107"/>
  <c r="T35" i="107"/>
  <c r="X35" i="107"/>
  <c r="AB35" i="107"/>
  <c r="AF35" i="107"/>
  <c r="V36" i="107"/>
  <c r="Z36" i="107"/>
  <c r="AD36" i="107"/>
  <c r="T37" i="107"/>
  <c r="X37" i="107"/>
  <c r="AB37" i="107"/>
  <c r="AF37" i="107"/>
  <c r="V38" i="107"/>
  <c r="Z38" i="107"/>
  <c r="AD38" i="107"/>
  <c r="T39" i="107"/>
  <c r="X39" i="107"/>
  <c r="AB39" i="107"/>
  <c r="AF39" i="107"/>
  <c r="V40" i="107"/>
  <c r="V42" i="107" s="1"/>
  <c r="Z40" i="107"/>
  <c r="Z42" i="107" s="1"/>
  <c r="AD40" i="107"/>
  <c r="AD42" i="107" s="1"/>
  <c r="T41" i="107"/>
  <c r="T42" i="107" s="1"/>
  <c r="X41" i="107"/>
  <c r="X42" i="107" s="1"/>
  <c r="AB41" i="107"/>
  <c r="AB42" i="107" s="1"/>
  <c r="AF41" i="107"/>
  <c r="AF42" i="107" s="1"/>
  <c r="Y34" i="107"/>
  <c r="W35" i="107"/>
  <c r="W39" i="107"/>
  <c r="U40" i="107"/>
  <c r="S34" i="107"/>
  <c r="W34" i="107"/>
  <c r="AA34" i="107"/>
  <c r="AE34" i="107"/>
  <c r="S36" i="107"/>
  <c r="AE36" i="107"/>
  <c r="U37" i="107"/>
  <c r="Y37" i="107"/>
  <c r="AC37" i="107"/>
  <c r="S38" i="107"/>
  <c r="AE38" i="107"/>
  <c r="U41" i="107"/>
  <c r="U42" i="107" s="1"/>
  <c r="AC41" i="107"/>
  <c r="AC42" i="107" s="1"/>
  <c r="AA37" i="107"/>
  <c r="T34" i="107"/>
  <c r="X34" i="107"/>
  <c r="AB34" i="107"/>
  <c r="AF34" i="107"/>
  <c r="V37" i="107"/>
  <c r="Z37" i="107"/>
  <c r="AD37" i="107"/>
  <c r="Z42" i="111" l="1"/>
  <c r="AD42" i="108"/>
  <c r="Z42" i="108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C10" i="108" l="1"/>
  <c r="C10" i="111" s="1"/>
  <c r="K6" i="98" l="1"/>
  <c r="K6" i="99" s="1"/>
  <c r="K6" i="100" s="1"/>
  <c r="K5" i="98"/>
  <c r="K5" i="100" s="1"/>
  <c r="K5" i="109" s="1"/>
  <c r="K5" i="110" s="1"/>
  <c r="K5" i="103" s="1"/>
  <c r="G5" i="98"/>
  <c r="G5" i="99" s="1"/>
  <c r="G5" i="100" s="1"/>
  <c r="G5" i="101" s="1"/>
  <c r="K6" i="97"/>
  <c r="K5" i="97"/>
  <c r="G5" i="97"/>
  <c r="K6" i="96"/>
  <c r="G5" i="96"/>
  <c r="K6" i="95"/>
  <c r="K5" i="95"/>
  <c r="G5" i="95"/>
  <c r="K6" i="94"/>
  <c r="G5" i="94"/>
  <c r="G6" i="104"/>
  <c r="G6" i="108" s="1"/>
  <c r="G6" i="100"/>
  <c r="G6" i="96"/>
  <c r="G6" i="109" s="1"/>
  <c r="G6" i="103"/>
  <c r="G6" i="107" s="1"/>
  <c r="G6" i="105"/>
  <c r="G6" i="97"/>
  <c r="G6" i="95"/>
  <c r="D6" i="104"/>
  <c r="D6" i="108" s="1"/>
  <c r="D6" i="109"/>
  <c r="D6" i="100"/>
  <c r="D6" i="96"/>
  <c r="D6" i="107"/>
  <c r="D6" i="105"/>
  <c r="D6" i="97"/>
  <c r="D6" i="95"/>
  <c r="D5" i="104"/>
  <c r="D5" i="94"/>
  <c r="G5" i="109" l="1"/>
  <c r="G5" i="105" s="1"/>
  <c r="G5" i="110" s="1"/>
  <c r="G5" i="103" s="1"/>
  <c r="K6" i="101"/>
  <c r="K6" i="109" s="1"/>
  <c r="K6" i="105" s="1"/>
  <c r="K6" i="110" s="1"/>
  <c r="K6" i="103" s="1"/>
  <c r="K5" i="104"/>
  <c r="K5" i="108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4"/>
  <c r="C3" i="103"/>
  <c r="C3" i="105"/>
  <c r="C3" i="101"/>
  <c r="C3" i="100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Y19" i="105"/>
  <c r="X19" i="105"/>
  <c r="X39" i="105" s="1"/>
  <c r="W19" i="105"/>
  <c r="W39" i="105" s="1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K6" i="107" l="1"/>
  <c r="K6" i="104"/>
  <c r="K6" i="108" s="1"/>
  <c r="K6" i="111" s="1"/>
  <c r="G5" i="104"/>
  <c r="G5" i="108" s="1"/>
  <c r="G5" i="111" s="1"/>
  <c r="G5" i="107"/>
  <c r="AA39" i="101"/>
  <c r="AD38" i="101"/>
  <c r="U39" i="109"/>
  <c r="AC39" i="109"/>
  <c r="AA26" i="95"/>
  <c r="V39" i="105"/>
  <c r="Z39" i="105"/>
  <c r="AD39" i="105"/>
  <c r="X27" i="103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U38" i="110" s="1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F13" i="111" s="1"/>
  <c r="J13" i="108"/>
  <c r="J13" i="111" s="1"/>
  <c r="N13" i="108"/>
  <c r="N13" i="111" s="1"/>
  <c r="J14" i="108"/>
  <c r="J14" i="111" s="1"/>
  <c r="N14" i="108"/>
  <c r="N14" i="111" s="1"/>
  <c r="F15" i="108"/>
  <c r="F15" i="111" s="1"/>
  <c r="N15" i="108"/>
  <c r="N15" i="111" s="1"/>
  <c r="J16" i="108"/>
  <c r="J16" i="111" s="1"/>
  <c r="F17" i="108"/>
  <c r="F17" i="111" s="1"/>
  <c r="N17" i="108"/>
  <c r="N17" i="111" s="1"/>
  <c r="J18" i="108"/>
  <c r="J18" i="111" s="1"/>
  <c r="N18" i="108"/>
  <c r="N18" i="111" s="1"/>
  <c r="F19" i="108"/>
  <c r="F19" i="111" s="1"/>
  <c r="N19" i="108"/>
  <c r="N19" i="111" s="1"/>
  <c r="F20" i="108"/>
  <c r="F20" i="111" s="1"/>
  <c r="J20" i="108"/>
  <c r="J20" i="111" s="1"/>
  <c r="F21" i="108"/>
  <c r="F21" i="111" s="1"/>
  <c r="AB15" i="95"/>
  <c r="U17" i="97"/>
  <c r="U26" i="97" s="1"/>
  <c r="J21" i="108"/>
  <c r="J21" i="111" s="1"/>
  <c r="N21" i="108"/>
  <c r="N21" i="111" s="1"/>
  <c r="J22" i="108"/>
  <c r="J22" i="111" s="1"/>
  <c r="N22" i="108"/>
  <c r="N22" i="111" s="1"/>
  <c r="F23" i="108"/>
  <c r="F23" i="111" s="1"/>
  <c r="N23" i="108"/>
  <c r="N23" i="111" s="1"/>
  <c r="J24" i="108"/>
  <c r="J24" i="111" s="1"/>
  <c r="H46" i="108"/>
  <c r="H46" i="111" s="1"/>
  <c r="J46" i="108"/>
  <c r="J46" i="111" s="1"/>
  <c r="L46" i="108"/>
  <c r="L46" i="111" s="1"/>
  <c r="N46" i="108"/>
  <c r="N46" i="111" s="1"/>
  <c r="D47" i="108"/>
  <c r="D47" i="111" s="1"/>
  <c r="F47" i="108"/>
  <c r="F47" i="111" s="1"/>
  <c r="H47" i="108"/>
  <c r="H47" i="111" s="1"/>
  <c r="J47" i="108"/>
  <c r="J47" i="111" s="1"/>
  <c r="L47" i="108"/>
  <c r="L47" i="111" s="1"/>
  <c r="N47" i="108"/>
  <c r="N47" i="111" s="1"/>
  <c r="D48" i="108"/>
  <c r="D48" i="111" s="1"/>
  <c r="F48" i="108"/>
  <c r="F48" i="111" s="1"/>
  <c r="H48" i="108"/>
  <c r="H48" i="111" s="1"/>
  <c r="J48" i="108"/>
  <c r="J48" i="111" s="1"/>
  <c r="L48" i="108"/>
  <c r="L48" i="111" s="1"/>
  <c r="N48" i="108"/>
  <c r="N48" i="111" s="1"/>
  <c r="D49" i="108"/>
  <c r="D49" i="111" s="1"/>
  <c r="F49" i="108"/>
  <c r="F49" i="111" s="1"/>
  <c r="H49" i="108"/>
  <c r="H49" i="111" s="1"/>
  <c r="J49" i="108"/>
  <c r="J49" i="111" s="1"/>
  <c r="L49" i="108"/>
  <c r="L49" i="111" s="1"/>
  <c r="N49" i="108"/>
  <c r="N49" i="111" s="1"/>
  <c r="D50" i="108"/>
  <c r="D50" i="111" s="1"/>
  <c r="F50" i="108"/>
  <c r="F50" i="111" s="1"/>
  <c r="H50" i="108"/>
  <c r="H50" i="111" s="1"/>
  <c r="J50" i="108"/>
  <c r="J50" i="111" s="1"/>
  <c r="L50" i="108"/>
  <c r="L50" i="111" s="1"/>
  <c r="N50" i="108"/>
  <c r="N50" i="111" s="1"/>
  <c r="D51" i="108"/>
  <c r="D51" i="111" s="1"/>
  <c r="F51" i="108"/>
  <c r="F51" i="111" s="1"/>
  <c r="H51" i="108"/>
  <c r="H51" i="111" s="1"/>
  <c r="J51" i="108"/>
  <c r="J51" i="111" s="1"/>
  <c r="L51" i="108"/>
  <c r="L51" i="111" s="1"/>
  <c r="N51" i="108"/>
  <c r="N51" i="111" s="1"/>
  <c r="D52" i="108"/>
  <c r="D52" i="111" s="1"/>
  <c r="F52" i="108"/>
  <c r="F52" i="111" s="1"/>
  <c r="H52" i="108"/>
  <c r="H52" i="111" s="1"/>
  <c r="J52" i="108"/>
  <c r="J52" i="111" s="1"/>
  <c r="L52" i="108"/>
  <c r="L52" i="111" s="1"/>
  <c r="N52" i="108"/>
  <c r="N52" i="111" s="1"/>
  <c r="D53" i="108"/>
  <c r="D53" i="111" s="1"/>
  <c r="F53" i="108"/>
  <c r="F53" i="111" s="1"/>
  <c r="H53" i="108"/>
  <c r="H53" i="111" s="1"/>
  <c r="J53" i="108"/>
  <c r="J53" i="111" s="1"/>
  <c r="L53" i="108"/>
  <c r="L53" i="111" s="1"/>
  <c r="N53" i="108"/>
  <c r="N53" i="111" s="1"/>
  <c r="D54" i="108"/>
  <c r="D54" i="111" s="1"/>
  <c r="F54" i="108"/>
  <c r="F54" i="111" s="1"/>
  <c r="H54" i="108"/>
  <c r="H54" i="111" s="1"/>
  <c r="J54" i="108"/>
  <c r="J54" i="111" s="1"/>
  <c r="L54" i="108"/>
  <c r="L54" i="111" s="1"/>
  <c r="N54" i="108"/>
  <c r="N54" i="111" s="1"/>
  <c r="D55" i="108"/>
  <c r="D55" i="111" s="1"/>
  <c r="F55" i="108"/>
  <c r="F55" i="111" s="1"/>
  <c r="H55" i="108"/>
  <c r="H55" i="111" s="1"/>
  <c r="J55" i="108"/>
  <c r="J55" i="111" s="1"/>
  <c r="L55" i="108"/>
  <c r="L55" i="111" s="1"/>
  <c r="N55" i="108"/>
  <c r="N55" i="111" s="1"/>
  <c r="D56" i="108"/>
  <c r="D56" i="111" s="1"/>
  <c r="F56" i="108"/>
  <c r="F56" i="111" s="1"/>
  <c r="H56" i="108"/>
  <c r="H56" i="111" s="1"/>
  <c r="J56" i="108"/>
  <c r="J56" i="111" s="1"/>
  <c r="L56" i="108"/>
  <c r="L56" i="111" s="1"/>
  <c r="N56" i="108"/>
  <c r="N56" i="111" s="1"/>
  <c r="D57" i="108"/>
  <c r="D57" i="111" s="1"/>
  <c r="F57" i="108"/>
  <c r="F57" i="111" s="1"/>
  <c r="H57" i="108"/>
  <c r="H57" i="111" s="1"/>
  <c r="J57" i="108"/>
  <c r="J57" i="111" s="1"/>
  <c r="L57" i="108"/>
  <c r="L57" i="111" s="1"/>
  <c r="N57" i="108"/>
  <c r="N57" i="111" s="1"/>
  <c r="I47" i="108"/>
  <c r="I47" i="111" s="1"/>
  <c r="M48" i="108"/>
  <c r="M48" i="111" s="1"/>
  <c r="I51" i="108"/>
  <c r="I51" i="111" s="1"/>
  <c r="M52" i="108"/>
  <c r="M52" i="111" s="1"/>
  <c r="I55" i="108"/>
  <c r="I55" i="111" s="1"/>
  <c r="M56" i="108"/>
  <c r="M56" i="111" s="1"/>
  <c r="E10" i="108"/>
  <c r="E10" i="111" s="1"/>
  <c r="G10" i="108"/>
  <c r="G10" i="111" s="1"/>
  <c r="I10" i="108"/>
  <c r="I10" i="111" s="1"/>
  <c r="K10" i="108"/>
  <c r="K10" i="111" s="1"/>
  <c r="M10" i="108"/>
  <c r="M10" i="111" s="1"/>
  <c r="C11" i="108"/>
  <c r="C11" i="111" s="1"/>
  <c r="E11" i="108"/>
  <c r="E11" i="111" s="1"/>
  <c r="G11" i="108"/>
  <c r="G11" i="111" s="1"/>
  <c r="I11" i="108"/>
  <c r="I11" i="111" s="1"/>
  <c r="K11" i="108"/>
  <c r="K11" i="111" s="1"/>
  <c r="M11" i="108"/>
  <c r="M11" i="111" s="1"/>
  <c r="C13" i="108"/>
  <c r="C13" i="111" s="1"/>
  <c r="E13" i="108"/>
  <c r="E13" i="111" s="1"/>
  <c r="G13" i="108"/>
  <c r="G13" i="111" s="1"/>
  <c r="I13" i="108"/>
  <c r="I13" i="111" s="1"/>
  <c r="K13" i="108"/>
  <c r="K13" i="111" s="1"/>
  <c r="M13" i="108"/>
  <c r="M13" i="111" s="1"/>
  <c r="C14" i="108"/>
  <c r="C14" i="111" s="1"/>
  <c r="E14" i="108"/>
  <c r="E14" i="111" s="1"/>
  <c r="G14" i="108"/>
  <c r="G14" i="111" s="1"/>
  <c r="I14" i="108"/>
  <c r="I14" i="111" s="1"/>
  <c r="K14" i="108"/>
  <c r="K14" i="111" s="1"/>
  <c r="M14" i="108"/>
  <c r="M14" i="111" s="1"/>
  <c r="C15" i="108"/>
  <c r="C15" i="111" s="1"/>
  <c r="E15" i="108"/>
  <c r="E15" i="111" s="1"/>
  <c r="G15" i="108"/>
  <c r="G15" i="111" s="1"/>
  <c r="I15" i="108"/>
  <c r="I15" i="111" s="1"/>
  <c r="K15" i="108"/>
  <c r="K15" i="111" s="1"/>
  <c r="M15" i="108"/>
  <c r="M15" i="111" s="1"/>
  <c r="C16" i="108"/>
  <c r="C16" i="111" s="1"/>
  <c r="E16" i="108"/>
  <c r="E16" i="111" s="1"/>
  <c r="G16" i="108"/>
  <c r="G16" i="111" s="1"/>
  <c r="I16" i="108"/>
  <c r="I16" i="111" s="1"/>
  <c r="K16" i="108"/>
  <c r="K16" i="111" s="1"/>
  <c r="M16" i="108"/>
  <c r="M16" i="111" s="1"/>
  <c r="C17" i="108"/>
  <c r="C17" i="111" s="1"/>
  <c r="E17" i="108"/>
  <c r="E17" i="111" s="1"/>
  <c r="G17" i="108"/>
  <c r="G17" i="111" s="1"/>
  <c r="I17" i="108"/>
  <c r="I17" i="111" s="1"/>
  <c r="K17" i="108"/>
  <c r="K17" i="111" s="1"/>
  <c r="M17" i="108"/>
  <c r="M17" i="111" s="1"/>
  <c r="C18" i="108"/>
  <c r="C18" i="111" s="1"/>
  <c r="E18" i="108"/>
  <c r="E18" i="111" s="1"/>
  <c r="G18" i="108"/>
  <c r="G18" i="111" s="1"/>
  <c r="I18" i="108"/>
  <c r="I18" i="111" s="1"/>
  <c r="K18" i="108"/>
  <c r="K18" i="111" s="1"/>
  <c r="M18" i="108"/>
  <c r="M18" i="111" s="1"/>
  <c r="C24" i="108"/>
  <c r="C24" i="111" s="1"/>
  <c r="E24" i="108"/>
  <c r="E24" i="111" s="1"/>
  <c r="G24" i="108"/>
  <c r="G24" i="111" s="1"/>
  <c r="I24" i="108"/>
  <c r="I24" i="111" s="1"/>
  <c r="K24" i="108"/>
  <c r="K24" i="111" s="1"/>
  <c r="M24" i="108"/>
  <c r="M24" i="111" s="1"/>
  <c r="C25" i="108"/>
  <c r="C25" i="111" s="1"/>
  <c r="E25" i="108"/>
  <c r="E25" i="111" s="1"/>
  <c r="G25" i="108"/>
  <c r="G25" i="111" s="1"/>
  <c r="I25" i="108"/>
  <c r="I25" i="111" s="1"/>
  <c r="K25" i="108"/>
  <c r="K25" i="111" s="1"/>
  <c r="M25" i="108"/>
  <c r="M25" i="111" s="1"/>
  <c r="E26" i="108"/>
  <c r="E26" i="111" s="1"/>
  <c r="I26" i="108"/>
  <c r="I26" i="111" s="1"/>
  <c r="M26" i="108"/>
  <c r="M26" i="111" s="1"/>
  <c r="C27" i="108"/>
  <c r="C27" i="111" s="1"/>
  <c r="E27" i="108"/>
  <c r="E27" i="111" s="1"/>
  <c r="G27" i="108"/>
  <c r="G27" i="111" s="1"/>
  <c r="I27" i="108"/>
  <c r="I27" i="111" s="1"/>
  <c r="K27" i="108"/>
  <c r="K27" i="111" s="1"/>
  <c r="M27" i="108"/>
  <c r="M27" i="111" s="1"/>
  <c r="C28" i="108"/>
  <c r="C28" i="111" s="1"/>
  <c r="E28" i="108"/>
  <c r="E28" i="111" s="1"/>
  <c r="G28" i="108"/>
  <c r="G28" i="111" s="1"/>
  <c r="I28" i="108"/>
  <c r="I28" i="111" s="1"/>
  <c r="K28" i="108"/>
  <c r="K28" i="111" s="1"/>
  <c r="M28" i="108"/>
  <c r="M28" i="111" s="1"/>
  <c r="C29" i="108"/>
  <c r="C29" i="111" s="1"/>
  <c r="E29" i="108"/>
  <c r="E29" i="111" s="1"/>
  <c r="G29" i="108"/>
  <c r="G29" i="111" s="1"/>
  <c r="I29" i="108"/>
  <c r="I29" i="111" s="1"/>
  <c r="K29" i="108"/>
  <c r="K29" i="111" s="1"/>
  <c r="M29" i="108"/>
  <c r="M29" i="111" s="1"/>
  <c r="E30" i="108"/>
  <c r="E30" i="111" s="1"/>
  <c r="I30" i="108"/>
  <c r="I30" i="111" s="1"/>
  <c r="M30" i="108"/>
  <c r="M30" i="111" s="1"/>
  <c r="C31" i="108"/>
  <c r="C31" i="111" s="1"/>
  <c r="E31" i="108"/>
  <c r="E31" i="111" s="1"/>
  <c r="G31" i="108"/>
  <c r="G31" i="111" s="1"/>
  <c r="I31" i="108"/>
  <c r="I31" i="111" s="1"/>
  <c r="K31" i="108"/>
  <c r="K31" i="111" s="1"/>
  <c r="M31" i="108"/>
  <c r="M31" i="111" s="1"/>
  <c r="C32" i="108"/>
  <c r="C32" i="111" s="1"/>
  <c r="E32" i="108"/>
  <c r="E32" i="111" s="1"/>
  <c r="G32" i="108"/>
  <c r="G32" i="111" s="1"/>
  <c r="I32" i="108"/>
  <c r="I32" i="111" s="1"/>
  <c r="K32" i="108"/>
  <c r="K32" i="111" s="1"/>
  <c r="M32" i="108"/>
  <c r="M32" i="111" s="1"/>
  <c r="C33" i="108"/>
  <c r="C33" i="111" s="1"/>
  <c r="E33" i="108"/>
  <c r="E33" i="111" s="1"/>
  <c r="G33" i="108"/>
  <c r="G33" i="111" s="1"/>
  <c r="I33" i="108"/>
  <c r="I33" i="111" s="1"/>
  <c r="K33" i="108"/>
  <c r="K33" i="111" s="1"/>
  <c r="M33" i="108"/>
  <c r="M33" i="111" s="1"/>
  <c r="E34" i="108"/>
  <c r="E34" i="111" s="1"/>
  <c r="G34" i="108"/>
  <c r="G34" i="111" s="1"/>
  <c r="I34" i="108"/>
  <c r="I34" i="111" s="1"/>
  <c r="M34" i="108"/>
  <c r="M34" i="111" s="1"/>
  <c r="C35" i="108"/>
  <c r="C35" i="111" s="1"/>
  <c r="E35" i="108"/>
  <c r="E35" i="111" s="1"/>
  <c r="G35" i="108"/>
  <c r="G35" i="111" s="1"/>
  <c r="I35" i="108"/>
  <c r="I35" i="111" s="1"/>
  <c r="K35" i="108"/>
  <c r="K35" i="111" s="1"/>
  <c r="M35" i="108"/>
  <c r="M35" i="111" s="1"/>
  <c r="C36" i="108"/>
  <c r="C36" i="111" s="1"/>
  <c r="E36" i="108"/>
  <c r="E36" i="111" s="1"/>
  <c r="G36" i="108"/>
  <c r="G36" i="111" s="1"/>
  <c r="I36" i="108"/>
  <c r="I36" i="111" s="1"/>
  <c r="P23" i="110"/>
  <c r="S13" i="110"/>
  <c r="P31" i="110"/>
  <c r="S15" i="110"/>
  <c r="K36" i="108"/>
  <c r="K36" i="111" s="1"/>
  <c r="M36" i="108"/>
  <c r="M36" i="111" s="1"/>
  <c r="C37" i="108"/>
  <c r="C37" i="111" s="1"/>
  <c r="E37" i="108"/>
  <c r="E37" i="111" s="1"/>
  <c r="G37" i="108"/>
  <c r="G37" i="111" s="1"/>
  <c r="I37" i="108"/>
  <c r="I37" i="111" s="1"/>
  <c r="K37" i="108"/>
  <c r="K37" i="111" s="1"/>
  <c r="M37" i="108"/>
  <c r="M37" i="111" s="1"/>
  <c r="E38" i="108"/>
  <c r="E38" i="111" s="1"/>
  <c r="I38" i="108"/>
  <c r="I38" i="111" s="1"/>
  <c r="K38" i="108"/>
  <c r="K38" i="111" s="1"/>
  <c r="M38" i="108"/>
  <c r="M38" i="111" s="1"/>
  <c r="C39" i="108"/>
  <c r="C39" i="111" s="1"/>
  <c r="E39" i="108"/>
  <c r="E39" i="111" s="1"/>
  <c r="G39" i="108"/>
  <c r="G39" i="111" s="1"/>
  <c r="I39" i="108"/>
  <c r="I39" i="111" s="1"/>
  <c r="K39" i="108"/>
  <c r="K39" i="111" s="1"/>
  <c r="M39" i="108"/>
  <c r="M39" i="111" s="1"/>
  <c r="C40" i="108"/>
  <c r="C40" i="111" s="1"/>
  <c r="E40" i="108"/>
  <c r="E40" i="111" s="1"/>
  <c r="G40" i="108"/>
  <c r="G40" i="111" s="1"/>
  <c r="I40" i="108"/>
  <c r="I40" i="111" s="1"/>
  <c r="K40" i="108"/>
  <c r="K40" i="111" s="1"/>
  <c r="M40" i="108"/>
  <c r="M40" i="111" s="1"/>
  <c r="C41" i="108"/>
  <c r="C41" i="111" s="1"/>
  <c r="E41" i="108"/>
  <c r="E41" i="111" s="1"/>
  <c r="G41" i="108"/>
  <c r="G41" i="111" s="1"/>
  <c r="I41" i="108"/>
  <c r="I41" i="111" s="1"/>
  <c r="K41" i="108"/>
  <c r="K41" i="111" s="1"/>
  <c r="M41" i="108"/>
  <c r="M41" i="111" s="1"/>
  <c r="E42" i="108"/>
  <c r="E42" i="111" s="1"/>
  <c r="G42" i="108"/>
  <c r="G42" i="111" s="1"/>
  <c r="I42" i="108"/>
  <c r="I42" i="111" s="1"/>
  <c r="M42" i="108"/>
  <c r="M42" i="111" s="1"/>
  <c r="C43" i="108"/>
  <c r="C43" i="111" s="1"/>
  <c r="E43" i="108"/>
  <c r="E43" i="111" s="1"/>
  <c r="G43" i="108"/>
  <c r="G43" i="111" s="1"/>
  <c r="I43" i="108"/>
  <c r="I43" i="111" s="1"/>
  <c r="K43" i="108"/>
  <c r="K43" i="111" s="1"/>
  <c r="M43" i="108"/>
  <c r="M43" i="111" s="1"/>
  <c r="C44" i="108"/>
  <c r="C44" i="111" s="1"/>
  <c r="E44" i="108"/>
  <c r="E44" i="111" s="1"/>
  <c r="G44" i="108"/>
  <c r="G44" i="111" s="1"/>
  <c r="I44" i="108"/>
  <c r="I44" i="111" s="1"/>
  <c r="K44" i="108"/>
  <c r="K44" i="111" s="1"/>
  <c r="M44" i="108"/>
  <c r="M44" i="111" s="1"/>
  <c r="C45" i="108"/>
  <c r="C45" i="111" s="1"/>
  <c r="E45" i="108"/>
  <c r="E45" i="111" s="1"/>
  <c r="G45" i="108"/>
  <c r="G45" i="111" s="1"/>
  <c r="I45" i="108"/>
  <c r="I45" i="111" s="1"/>
  <c r="K45" i="108"/>
  <c r="K45" i="111" s="1"/>
  <c r="M45" i="108"/>
  <c r="M45" i="111" s="1"/>
  <c r="E46" i="108"/>
  <c r="E46" i="111" s="1"/>
  <c r="I46" i="108"/>
  <c r="I46" i="111" s="1"/>
  <c r="E47" i="108"/>
  <c r="E47" i="111" s="1"/>
  <c r="M47" i="108"/>
  <c r="M47" i="111" s="1"/>
  <c r="I48" i="108"/>
  <c r="I48" i="111" s="1"/>
  <c r="E49" i="108"/>
  <c r="E49" i="111" s="1"/>
  <c r="M49" i="108"/>
  <c r="M49" i="111" s="1"/>
  <c r="E51" i="108"/>
  <c r="E51" i="111" s="1"/>
  <c r="M51" i="108"/>
  <c r="M51" i="111" s="1"/>
  <c r="I52" i="108"/>
  <c r="I52" i="111" s="1"/>
  <c r="E53" i="108"/>
  <c r="E53" i="111" s="1"/>
  <c r="M53" i="108"/>
  <c r="M53" i="111" s="1"/>
  <c r="E55" i="108"/>
  <c r="E55" i="111" s="1"/>
  <c r="M55" i="108"/>
  <c r="M55" i="111" s="1"/>
  <c r="I56" i="108"/>
  <c r="I56" i="111" s="1"/>
  <c r="E57" i="108"/>
  <c r="E57" i="111" s="1"/>
  <c r="M57" i="108"/>
  <c r="M57" i="111" s="1"/>
  <c r="E48" i="108"/>
  <c r="E48" i="111" s="1"/>
  <c r="I49" i="108"/>
  <c r="I49" i="111" s="1"/>
  <c r="E52" i="108"/>
  <c r="E52" i="111" s="1"/>
  <c r="I53" i="108"/>
  <c r="I53" i="111" s="1"/>
  <c r="E56" i="108"/>
  <c r="E56" i="111" s="1"/>
  <c r="I57" i="108"/>
  <c r="I57" i="111" s="1"/>
  <c r="X10" i="110"/>
  <c r="P13" i="110"/>
  <c r="P15" i="110"/>
  <c r="W11" i="110"/>
  <c r="AA14" i="94"/>
  <c r="K26" i="108"/>
  <c r="K26" i="111" s="1"/>
  <c r="AA15" i="94"/>
  <c r="K30" i="108"/>
  <c r="K30" i="111" s="1"/>
  <c r="AA16" i="94"/>
  <c r="K34" i="108"/>
  <c r="K34" i="111" s="1"/>
  <c r="AA18" i="94"/>
  <c r="K42" i="108"/>
  <c r="K42" i="111" s="1"/>
  <c r="M54" i="108"/>
  <c r="M54" i="111" s="1"/>
  <c r="M50" i="108"/>
  <c r="M50" i="111" s="1"/>
  <c r="M46" i="108"/>
  <c r="M46" i="111" s="1"/>
  <c r="C42" i="108"/>
  <c r="C42" i="111" s="1"/>
  <c r="C34" i="108"/>
  <c r="C34" i="111" s="1"/>
  <c r="C26" i="108"/>
  <c r="C26" i="111" s="1"/>
  <c r="F10" i="108"/>
  <c r="F10" i="111" s="1"/>
  <c r="J10" i="108"/>
  <c r="J10" i="111" s="1"/>
  <c r="N10" i="108"/>
  <c r="N10" i="111" s="1"/>
  <c r="D11" i="108"/>
  <c r="D11" i="111" s="1"/>
  <c r="F11" i="108"/>
  <c r="F11" i="111" s="1"/>
  <c r="H11" i="108"/>
  <c r="H11" i="111" s="1"/>
  <c r="J11" i="108"/>
  <c r="J11" i="111" s="1"/>
  <c r="L11" i="108"/>
  <c r="L11" i="111" s="1"/>
  <c r="N11" i="108"/>
  <c r="N11" i="111" s="1"/>
  <c r="D12" i="108"/>
  <c r="D12" i="111" s="1"/>
  <c r="F12" i="108"/>
  <c r="F12" i="111" s="1"/>
  <c r="J12" i="108"/>
  <c r="J12" i="111" s="1"/>
  <c r="P19" i="110"/>
  <c r="S12" i="110"/>
  <c r="E54" i="108"/>
  <c r="E54" i="111" s="1"/>
  <c r="E50" i="108"/>
  <c r="E50" i="111" s="1"/>
  <c r="C46" i="108"/>
  <c r="C46" i="111" s="1"/>
  <c r="C38" i="108"/>
  <c r="C38" i="111" s="1"/>
  <c r="C30" i="108"/>
  <c r="C30" i="111" s="1"/>
  <c r="C47" i="108"/>
  <c r="C47" i="111" s="1"/>
  <c r="G47" i="108"/>
  <c r="G47" i="111" s="1"/>
  <c r="K47" i="108"/>
  <c r="K47" i="111" s="1"/>
  <c r="C48" i="108"/>
  <c r="C48" i="111" s="1"/>
  <c r="G48" i="108"/>
  <c r="G48" i="111" s="1"/>
  <c r="K48" i="108"/>
  <c r="K48" i="111" s="1"/>
  <c r="C49" i="108"/>
  <c r="C49" i="111" s="1"/>
  <c r="G49" i="108"/>
  <c r="G49" i="111" s="1"/>
  <c r="K49" i="108"/>
  <c r="K49" i="111" s="1"/>
  <c r="C51" i="108"/>
  <c r="C51" i="111" s="1"/>
  <c r="G51" i="108"/>
  <c r="G51" i="111" s="1"/>
  <c r="K51" i="108"/>
  <c r="K51" i="111" s="1"/>
  <c r="C52" i="108"/>
  <c r="C52" i="111" s="1"/>
  <c r="G52" i="108"/>
  <c r="G52" i="111" s="1"/>
  <c r="K52" i="108"/>
  <c r="K52" i="111" s="1"/>
  <c r="C53" i="108"/>
  <c r="C53" i="111" s="1"/>
  <c r="G53" i="108"/>
  <c r="G53" i="111" s="1"/>
  <c r="K53" i="108"/>
  <c r="K53" i="111" s="1"/>
  <c r="K54" i="108"/>
  <c r="K54" i="111" s="1"/>
  <c r="C55" i="108"/>
  <c r="C55" i="111" s="1"/>
  <c r="G55" i="108"/>
  <c r="G55" i="111" s="1"/>
  <c r="K55" i="108"/>
  <c r="K55" i="111" s="1"/>
  <c r="C56" i="108"/>
  <c r="C56" i="111" s="1"/>
  <c r="G56" i="108"/>
  <c r="G56" i="111" s="1"/>
  <c r="K56" i="108"/>
  <c r="K56" i="111" s="1"/>
  <c r="C57" i="108"/>
  <c r="C57" i="111" s="1"/>
  <c r="G57" i="108"/>
  <c r="G57" i="111" s="1"/>
  <c r="K57" i="108"/>
  <c r="K57" i="111" s="1"/>
  <c r="N12" i="108"/>
  <c r="N12" i="111" s="1"/>
  <c r="F14" i="108"/>
  <c r="F14" i="111" s="1"/>
  <c r="J15" i="108"/>
  <c r="J15" i="111" s="1"/>
  <c r="N16" i="108"/>
  <c r="N16" i="111" s="1"/>
  <c r="F18" i="108"/>
  <c r="F18" i="111" s="1"/>
  <c r="J19" i="108"/>
  <c r="J19" i="111" s="1"/>
  <c r="N20" i="108"/>
  <c r="N20" i="111" s="1"/>
  <c r="J23" i="108"/>
  <c r="J23" i="111" s="1"/>
  <c r="N24" i="108"/>
  <c r="N24" i="111" s="1"/>
  <c r="F24" i="108"/>
  <c r="F24" i="111" s="1"/>
  <c r="Z13" i="109"/>
  <c r="P12" i="110"/>
  <c r="F16" i="108"/>
  <c r="F16" i="111" s="1"/>
  <c r="J17" i="108"/>
  <c r="J17" i="111" s="1"/>
  <c r="I54" i="108"/>
  <c r="I54" i="111" s="1"/>
  <c r="I50" i="108"/>
  <c r="I50" i="111" s="1"/>
  <c r="C12" i="108"/>
  <c r="C12" i="111" s="1"/>
  <c r="E12" i="108"/>
  <c r="E12" i="111" s="1"/>
  <c r="G12" i="108"/>
  <c r="G12" i="111" s="1"/>
  <c r="I12" i="108"/>
  <c r="I12" i="111" s="1"/>
  <c r="K12" i="108"/>
  <c r="K12" i="111" s="1"/>
  <c r="M12" i="108"/>
  <c r="M12" i="111" s="1"/>
  <c r="C19" i="108"/>
  <c r="C19" i="111" s="1"/>
  <c r="E19" i="108"/>
  <c r="E19" i="111" s="1"/>
  <c r="G19" i="108"/>
  <c r="G19" i="111" s="1"/>
  <c r="I19" i="108"/>
  <c r="I19" i="111" s="1"/>
  <c r="K19" i="108"/>
  <c r="K19" i="111" s="1"/>
  <c r="M19" i="108"/>
  <c r="M19" i="111" s="1"/>
  <c r="C20" i="108"/>
  <c r="C20" i="111" s="1"/>
  <c r="E20" i="108"/>
  <c r="E20" i="111" s="1"/>
  <c r="G20" i="108"/>
  <c r="G20" i="111" s="1"/>
  <c r="I20" i="108"/>
  <c r="I20" i="111" s="1"/>
  <c r="K20" i="108"/>
  <c r="K20" i="111" s="1"/>
  <c r="M20" i="108"/>
  <c r="M20" i="111" s="1"/>
  <c r="C21" i="108"/>
  <c r="C21" i="111" s="1"/>
  <c r="E21" i="108"/>
  <c r="E21" i="111" s="1"/>
  <c r="G21" i="108"/>
  <c r="G21" i="111" s="1"/>
  <c r="I21" i="108"/>
  <c r="I21" i="111" s="1"/>
  <c r="K21" i="108"/>
  <c r="K21" i="111" s="1"/>
  <c r="M21" i="108"/>
  <c r="M21" i="111" s="1"/>
  <c r="C22" i="108"/>
  <c r="C22" i="111" s="1"/>
  <c r="E22" i="108"/>
  <c r="E22" i="111" s="1"/>
  <c r="G22" i="108"/>
  <c r="G22" i="111" s="1"/>
  <c r="I22" i="108"/>
  <c r="I22" i="111" s="1"/>
  <c r="K22" i="108"/>
  <c r="K22" i="111" s="1"/>
  <c r="M22" i="108"/>
  <c r="M22" i="111" s="1"/>
  <c r="C23" i="108"/>
  <c r="C23" i="111" s="1"/>
  <c r="E23" i="108"/>
  <c r="E23" i="111" s="1"/>
  <c r="G23" i="108"/>
  <c r="G23" i="111" s="1"/>
  <c r="I23" i="108"/>
  <c r="I23" i="111" s="1"/>
  <c r="K23" i="108"/>
  <c r="K23" i="111" s="1"/>
  <c r="M23" i="108"/>
  <c r="M23" i="111" s="1"/>
  <c r="D106" i="110"/>
  <c r="L106" i="110"/>
  <c r="P27" i="110"/>
  <c r="S14" i="110"/>
  <c r="S38" i="110" s="1"/>
  <c r="G54" i="108"/>
  <c r="G54" i="111" s="1"/>
  <c r="C54" i="108"/>
  <c r="C54" i="111" s="1"/>
  <c r="K50" i="108"/>
  <c r="K50" i="111" s="1"/>
  <c r="G50" i="108"/>
  <c r="G50" i="111" s="1"/>
  <c r="C50" i="108"/>
  <c r="C50" i="111" s="1"/>
  <c r="K46" i="108"/>
  <c r="K46" i="111" s="1"/>
  <c r="G46" i="108"/>
  <c r="G46" i="111" s="1"/>
  <c r="G38" i="108"/>
  <c r="G38" i="111" s="1"/>
  <c r="G30" i="108"/>
  <c r="G30" i="111" s="1"/>
  <c r="G26" i="108"/>
  <c r="G26" i="111" s="1"/>
  <c r="F22" i="108"/>
  <c r="F22" i="111" s="1"/>
  <c r="H12" i="108"/>
  <c r="H12" i="111" s="1"/>
  <c r="L12" i="108"/>
  <c r="L12" i="111" s="1"/>
  <c r="D13" i="108"/>
  <c r="D13" i="111" s="1"/>
  <c r="H13" i="108"/>
  <c r="H13" i="111" s="1"/>
  <c r="L13" i="108"/>
  <c r="L13" i="111" s="1"/>
  <c r="D14" i="108"/>
  <c r="D14" i="111" s="1"/>
  <c r="H14" i="108"/>
  <c r="H14" i="111" s="1"/>
  <c r="L14" i="108"/>
  <c r="L14" i="111" s="1"/>
  <c r="D15" i="108"/>
  <c r="D15" i="111" s="1"/>
  <c r="H15" i="108"/>
  <c r="H15" i="111" s="1"/>
  <c r="L15" i="108"/>
  <c r="L15" i="111" s="1"/>
  <c r="D16" i="108"/>
  <c r="D16" i="111" s="1"/>
  <c r="H16" i="108"/>
  <c r="H16" i="111" s="1"/>
  <c r="L16" i="108"/>
  <c r="L16" i="111" s="1"/>
  <c r="D17" i="108"/>
  <c r="D17" i="111" s="1"/>
  <c r="H17" i="108"/>
  <c r="H17" i="111" s="1"/>
  <c r="L17" i="108"/>
  <c r="L17" i="111" s="1"/>
  <c r="D18" i="108"/>
  <c r="D18" i="111" s="1"/>
  <c r="H18" i="108"/>
  <c r="H18" i="111" s="1"/>
  <c r="L18" i="108"/>
  <c r="L18" i="111" s="1"/>
  <c r="D19" i="108"/>
  <c r="D19" i="111" s="1"/>
  <c r="H19" i="108"/>
  <c r="H19" i="111" s="1"/>
  <c r="L19" i="108"/>
  <c r="L19" i="111" s="1"/>
  <c r="D20" i="108"/>
  <c r="D20" i="111" s="1"/>
  <c r="H20" i="108"/>
  <c r="H20" i="111" s="1"/>
  <c r="L20" i="108"/>
  <c r="L20" i="111" s="1"/>
  <c r="D21" i="108"/>
  <c r="D21" i="111" s="1"/>
  <c r="H21" i="108"/>
  <c r="H21" i="111" s="1"/>
  <c r="L21" i="108"/>
  <c r="L21" i="111" s="1"/>
  <c r="D22" i="108"/>
  <c r="D22" i="111" s="1"/>
  <c r="H22" i="108"/>
  <c r="H22" i="111" s="1"/>
  <c r="L22" i="108"/>
  <c r="L22" i="111" s="1"/>
  <c r="D23" i="108"/>
  <c r="D23" i="111" s="1"/>
  <c r="H23" i="108"/>
  <c r="H23" i="111" s="1"/>
  <c r="L23" i="108"/>
  <c r="L23" i="111" s="1"/>
  <c r="D24" i="108"/>
  <c r="D24" i="111" s="1"/>
  <c r="H24" i="108"/>
  <c r="H24" i="111" s="1"/>
  <c r="L24" i="108"/>
  <c r="L24" i="111" s="1"/>
  <c r="D25" i="108"/>
  <c r="D25" i="111" s="1"/>
  <c r="F25" i="108"/>
  <c r="F25" i="111" s="1"/>
  <c r="H25" i="108"/>
  <c r="H25" i="111" s="1"/>
  <c r="J25" i="108"/>
  <c r="J25" i="111" s="1"/>
  <c r="L25" i="108"/>
  <c r="L25" i="111" s="1"/>
  <c r="N25" i="108"/>
  <c r="N25" i="111" s="1"/>
  <c r="D26" i="108"/>
  <c r="D26" i="111" s="1"/>
  <c r="F26" i="108"/>
  <c r="F26" i="111" s="1"/>
  <c r="H26" i="108"/>
  <c r="H26" i="111" s="1"/>
  <c r="J26" i="108"/>
  <c r="J26" i="111" s="1"/>
  <c r="L26" i="108"/>
  <c r="L26" i="111" s="1"/>
  <c r="N26" i="108"/>
  <c r="N26" i="111" s="1"/>
  <c r="D27" i="108"/>
  <c r="D27" i="111" s="1"/>
  <c r="F27" i="108"/>
  <c r="F27" i="111" s="1"/>
  <c r="H27" i="108"/>
  <c r="H27" i="111" s="1"/>
  <c r="J27" i="108"/>
  <c r="J27" i="111" s="1"/>
  <c r="L27" i="108"/>
  <c r="L27" i="111" s="1"/>
  <c r="N27" i="108"/>
  <c r="N27" i="111" s="1"/>
  <c r="D28" i="108"/>
  <c r="D28" i="111" s="1"/>
  <c r="F28" i="108"/>
  <c r="F28" i="111" s="1"/>
  <c r="H28" i="108"/>
  <c r="H28" i="111" s="1"/>
  <c r="J28" i="108"/>
  <c r="J28" i="111" s="1"/>
  <c r="L28" i="108"/>
  <c r="L28" i="111" s="1"/>
  <c r="N28" i="108"/>
  <c r="N28" i="111" s="1"/>
  <c r="D29" i="108"/>
  <c r="D29" i="111" s="1"/>
  <c r="F29" i="108"/>
  <c r="F29" i="111" s="1"/>
  <c r="H29" i="108"/>
  <c r="H29" i="111" s="1"/>
  <c r="J29" i="108"/>
  <c r="J29" i="111" s="1"/>
  <c r="L29" i="108"/>
  <c r="L29" i="111" s="1"/>
  <c r="N29" i="108"/>
  <c r="N29" i="111" s="1"/>
  <c r="D30" i="108"/>
  <c r="D30" i="111" s="1"/>
  <c r="F30" i="108"/>
  <c r="F30" i="111" s="1"/>
  <c r="H30" i="108"/>
  <c r="H30" i="111" s="1"/>
  <c r="J30" i="108"/>
  <c r="J30" i="111" s="1"/>
  <c r="L30" i="108"/>
  <c r="L30" i="111" s="1"/>
  <c r="N30" i="108"/>
  <c r="N30" i="111" s="1"/>
  <c r="D31" i="108"/>
  <c r="D31" i="111" s="1"/>
  <c r="F31" i="108"/>
  <c r="F31" i="111" s="1"/>
  <c r="H31" i="108"/>
  <c r="H31" i="111" s="1"/>
  <c r="J31" i="108"/>
  <c r="J31" i="111" s="1"/>
  <c r="L31" i="108"/>
  <c r="L31" i="111" s="1"/>
  <c r="N31" i="108"/>
  <c r="N31" i="111" s="1"/>
  <c r="D32" i="108"/>
  <c r="D32" i="111" s="1"/>
  <c r="F32" i="108"/>
  <c r="F32" i="111" s="1"/>
  <c r="H32" i="108"/>
  <c r="H32" i="111" s="1"/>
  <c r="J32" i="108"/>
  <c r="J32" i="111" s="1"/>
  <c r="L32" i="108"/>
  <c r="L32" i="111" s="1"/>
  <c r="N32" i="108"/>
  <c r="N32" i="111" s="1"/>
  <c r="D33" i="108"/>
  <c r="D33" i="111" s="1"/>
  <c r="F33" i="108"/>
  <c r="F33" i="111" s="1"/>
  <c r="H33" i="108"/>
  <c r="H33" i="111" s="1"/>
  <c r="J33" i="108"/>
  <c r="J33" i="111" s="1"/>
  <c r="L33" i="108"/>
  <c r="L33" i="111" s="1"/>
  <c r="N33" i="108"/>
  <c r="N33" i="111" s="1"/>
  <c r="D34" i="108"/>
  <c r="D34" i="111" s="1"/>
  <c r="F34" i="108"/>
  <c r="F34" i="111" s="1"/>
  <c r="H34" i="108"/>
  <c r="H34" i="111" s="1"/>
  <c r="J34" i="108"/>
  <c r="J34" i="111" s="1"/>
  <c r="L34" i="108"/>
  <c r="L34" i="111" s="1"/>
  <c r="N34" i="108"/>
  <c r="N34" i="111" s="1"/>
  <c r="D35" i="108"/>
  <c r="D35" i="111" s="1"/>
  <c r="F35" i="108"/>
  <c r="F35" i="111" s="1"/>
  <c r="H35" i="108"/>
  <c r="H35" i="111" s="1"/>
  <c r="J35" i="108"/>
  <c r="J35" i="111" s="1"/>
  <c r="L35" i="108"/>
  <c r="L35" i="111" s="1"/>
  <c r="N35" i="108"/>
  <c r="N35" i="111" s="1"/>
  <c r="D36" i="108"/>
  <c r="D36" i="111" s="1"/>
  <c r="F36" i="108"/>
  <c r="F36" i="111" s="1"/>
  <c r="H36" i="108"/>
  <c r="H36" i="111" s="1"/>
  <c r="J36" i="108"/>
  <c r="J36" i="111" s="1"/>
  <c r="L36" i="108"/>
  <c r="L36" i="111" s="1"/>
  <c r="N36" i="108"/>
  <c r="N36" i="111" s="1"/>
  <c r="D37" i="108"/>
  <c r="D37" i="111" s="1"/>
  <c r="F37" i="108"/>
  <c r="F37" i="111" s="1"/>
  <c r="H37" i="108"/>
  <c r="H37" i="111" s="1"/>
  <c r="J37" i="108"/>
  <c r="J37" i="111" s="1"/>
  <c r="L37" i="108"/>
  <c r="L37" i="111" s="1"/>
  <c r="N37" i="108"/>
  <c r="N37" i="111" s="1"/>
  <c r="D38" i="108"/>
  <c r="D38" i="111" s="1"/>
  <c r="F38" i="108"/>
  <c r="F38" i="111" s="1"/>
  <c r="H38" i="108"/>
  <c r="H38" i="111" s="1"/>
  <c r="J38" i="108"/>
  <c r="J38" i="111" s="1"/>
  <c r="L38" i="108"/>
  <c r="L38" i="111" s="1"/>
  <c r="N38" i="108"/>
  <c r="N38" i="111" s="1"/>
  <c r="D39" i="108"/>
  <c r="D39" i="111" s="1"/>
  <c r="F39" i="108"/>
  <c r="F39" i="111" s="1"/>
  <c r="H39" i="108"/>
  <c r="H39" i="111" s="1"/>
  <c r="J39" i="108"/>
  <c r="J39" i="111" s="1"/>
  <c r="L39" i="108"/>
  <c r="L39" i="111" s="1"/>
  <c r="N39" i="108"/>
  <c r="N39" i="111" s="1"/>
  <c r="D40" i="108"/>
  <c r="D40" i="111" s="1"/>
  <c r="F40" i="108"/>
  <c r="F40" i="111" s="1"/>
  <c r="H40" i="108"/>
  <c r="H40" i="111" s="1"/>
  <c r="J40" i="108"/>
  <c r="J40" i="111" s="1"/>
  <c r="L40" i="108"/>
  <c r="L40" i="111" s="1"/>
  <c r="N40" i="108"/>
  <c r="N40" i="111" s="1"/>
  <c r="D41" i="108"/>
  <c r="D41" i="111" s="1"/>
  <c r="F41" i="108"/>
  <c r="F41" i="111" s="1"/>
  <c r="H41" i="108"/>
  <c r="H41" i="111" s="1"/>
  <c r="J41" i="108"/>
  <c r="J41" i="111" s="1"/>
  <c r="L41" i="108"/>
  <c r="L41" i="111" s="1"/>
  <c r="N41" i="108"/>
  <c r="N41" i="111" s="1"/>
  <c r="D42" i="108"/>
  <c r="D42" i="111" s="1"/>
  <c r="F42" i="108"/>
  <c r="F42" i="111" s="1"/>
  <c r="H42" i="108"/>
  <c r="H42" i="111" s="1"/>
  <c r="J42" i="108"/>
  <c r="J42" i="111" s="1"/>
  <c r="L42" i="108"/>
  <c r="L42" i="111" s="1"/>
  <c r="N42" i="108"/>
  <c r="N42" i="111" s="1"/>
  <c r="D43" i="108"/>
  <c r="D43" i="111" s="1"/>
  <c r="F43" i="108"/>
  <c r="F43" i="111" s="1"/>
  <c r="H43" i="108"/>
  <c r="H43" i="111" s="1"/>
  <c r="J43" i="108"/>
  <c r="J43" i="111" s="1"/>
  <c r="L43" i="108"/>
  <c r="L43" i="111" s="1"/>
  <c r="N43" i="108"/>
  <c r="N43" i="111" s="1"/>
  <c r="D44" i="108"/>
  <c r="D44" i="111" s="1"/>
  <c r="F44" i="108"/>
  <c r="F44" i="111" s="1"/>
  <c r="H44" i="108"/>
  <c r="H44" i="111" s="1"/>
  <c r="J44" i="108"/>
  <c r="J44" i="111" s="1"/>
  <c r="L44" i="108"/>
  <c r="L44" i="111" s="1"/>
  <c r="N44" i="108"/>
  <c r="N44" i="111" s="1"/>
  <c r="D45" i="108"/>
  <c r="D45" i="111" s="1"/>
  <c r="F45" i="108"/>
  <c r="F45" i="111" s="1"/>
  <c r="H45" i="108"/>
  <c r="H45" i="111" s="1"/>
  <c r="J45" i="108"/>
  <c r="J45" i="111" s="1"/>
  <c r="L45" i="108"/>
  <c r="L45" i="111" s="1"/>
  <c r="N45" i="108"/>
  <c r="N45" i="111" s="1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L10" i="111" s="1"/>
  <c r="H10" i="108"/>
  <c r="H10" i="111" s="1"/>
  <c r="D10" i="108"/>
  <c r="D10" i="111" s="1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U10" i="94"/>
  <c r="Y10" i="94"/>
  <c r="AC10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F46" i="111" l="1"/>
  <c r="D46" i="111"/>
  <c r="AD26" i="97"/>
  <c r="X26" i="96"/>
  <c r="AF32" i="101"/>
  <c r="AF33" i="101"/>
  <c r="Z26" i="95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S24" i="94"/>
  <c r="W27" i="95"/>
  <c r="W24" i="95"/>
  <c r="AB24" i="98"/>
  <c r="W26" i="96"/>
  <c r="AC26" i="97"/>
  <c r="AC23" i="97"/>
  <c r="AC24" i="94"/>
  <c r="Y24" i="94"/>
  <c r="S27" i="94"/>
  <c r="AA38" i="110"/>
  <c r="W24" i="94"/>
  <c r="W27" i="94"/>
  <c r="S26" i="94"/>
  <c r="U23" i="97"/>
  <c r="AA27" i="94"/>
  <c r="U27" i="95"/>
  <c r="U24" i="95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X42" i="109" l="1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K108" i="111" l="1"/>
  <c r="N107" i="111"/>
  <c r="K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E108" i="111" l="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<sst xmlns="http://schemas.openxmlformats.org/spreadsheetml/2006/main" count="2349" uniqueCount="185">
  <si>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</si>
  <si>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</si>
  <si>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</si>
  <si>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</si>
  <si>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</si>
  <si>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</si>
  <si>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</si>
  <si>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</si>
  <si>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</si>
  <si>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</si>
  <si>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</si>
  <si>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</si>
  <si>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</si>
  <si>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</si>
  <si>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</si>
  <si>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</si>
  <si>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</si>
  <si>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</si>
  <si>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</si>
  <si>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</si>
  <si>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</si>
  <si>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</si>
  <si>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</si>
  <si>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</si>
  <si>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</si>
  <si>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</si>
  <si>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</si>
  <si>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</si>
  <si>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</si>
  <si>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</si>
  <si>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</si>
  <si>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</si>
  <si>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</si>
  <si>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</si>
  <si>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</si>
  <si>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</si>
  <si>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</si>
  <si>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</si>
  <si>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</si>
  <si>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</si>
  <si>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</si>
  <si>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</si>
  <si>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</si>
  <si>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</si>
  <si>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</si>
  <si>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</si>
  <si>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</si>
  <si>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</si>
  <si>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</si>
  <si>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</si>
  <si>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</si>
  <si>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</si>
  <si>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</si>
  <si>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</si>
  <si>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</si>
  <si>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</si>
  <si>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</si>
  <si>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</si>
  <si>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</si>
  <si>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</si>
  <si>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</si>
  <si>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</si>
  <si>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</si>
  <si>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</si>
  <si>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</si>
  <si>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</si>
  <si>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</si>
  <si>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</si>
  <si>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</si>
  <si>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</si>
  <si>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</si>
  <si>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</si>
  <si>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</si>
  <si>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</si>
  <si>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</si>
  <si>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</si>
  <si>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</si>
  <si>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</si>
  <si>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</si>
  <si>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</si>
  <si>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</si>
  <si>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</si>
  <si>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</si>
  <si>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</si>
  <si>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</si>
  <si>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</si>
  <si>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</si>
  <si>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</si>
  <si>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</si>
  <si>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</si>
  <si>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</si>
  <si>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</si>
  <si>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</si>
  <si>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</si>
  <si>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</si>
  <si>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</si>
  <si>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</si>
  <si>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</si>
  <si>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</si>
  <si>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</si>
  <si>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</si>
  <si>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</si>
  <si>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</si>
  <si>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</si>
  <si>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</si>
  <si>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</si>
  <si>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</si>
  <si>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</si>
  <si>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</si>
  <si>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</si>
  <si>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</si>
  <si>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</si>
  <si>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</si>
  <si>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</si>
  <si>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</si>
  <si>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</si>
  <si>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</si>
  <si>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</si>
  <si>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</si>
  <si>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</si>
  <si>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</si>
  <si>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</si>
  <si>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</si>
  <si>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</si>
  <si>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</si>
  <si>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</si>
  <si>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</si>
  <si>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</si>
  <si>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</si>
  <si>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</si>
  <si>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</si>
  <si>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</si>
  <si>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</si>
  <si>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</si>
  <si>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</si>
  <si>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</si>
  <si>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</si>
  <si>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</si>
  <si>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</si>
  <si>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</si>
  <si>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</si>
  <si>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</si>
  <si>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</si>
  <si>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</si>
  <si>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</si>
  <si>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</si>
  <si>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</si>
  <si>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</si>
  <si>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</si>
  <si>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</si>
  <si>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</si>
  <si>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</si>
  <si>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</si>
  <si>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</si>
  <si>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</si>
  <si>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</si>
  <si>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</si>
  <si>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</si>
  <si>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</si>
  <si>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</si>
  <si>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</si>
  <si>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</si>
  <si>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23.07.19</t>
  </si>
  <si>
    <t>AVERAGE WEEK</t>
  </si>
  <si>
    <t>17.10.2019</t>
  </si>
  <si>
    <t>EXCEL&amp;LOOGE</t>
  </si>
  <si>
    <t>MITYANA</t>
  </si>
  <si>
    <t>JOSEPHINE</t>
  </si>
  <si>
    <t>Nusulah</t>
  </si>
  <si>
    <t>MITYANA-BUSUNJU</t>
  </si>
  <si>
    <t>BUSUNJU</t>
  </si>
  <si>
    <t>18.10.19</t>
  </si>
  <si>
    <t>BRENDAH</t>
  </si>
  <si>
    <t>19.10.19</t>
  </si>
  <si>
    <t>20.10.2019</t>
  </si>
  <si>
    <t>20.10.19</t>
  </si>
  <si>
    <t>NSULAH</t>
  </si>
  <si>
    <t>21.10.19</t>
  </si>
  <si>
    <t>21.10.2019</t>
  </si>
  <si>
    <t>22.10.19</t>
  </si>
  <si>
    <t>23.10.19</t>
  </si>
  <si>
    <t xml:space="preserve">   </t>
  </si>
  <si>
    <t>19.10.2019</t>
  </si>
  <si>
    <t>XXXX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</si>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</sst>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2" borderId="4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6" fillId="0" borderId="0" xfId="0" applyFont="1" applyFill="1"/>
    <xf numFmtId="0" fontId="0" fillId="0" borderId="4" xfId="0" applyFill="1" applyBorder="1"/>
    <xf numFmtId="0" fontId="0" fillId="0" borderId="0" xfId="0" applyFill="1"/>
    <xf numFmtId="1" fontId="0" fillId="0" borderId="4" xfId="0" applyNumberFormat="1" applyFill="1" applyBorder="1" applyAlignment="1">
      <alignment horizontal="center"/>
    </xf>
    <xf numFmtId="0" fontId="0" fillId="0" borderId="0" xfId="0" applyFill="1" applyBorder="1"/>
    <xf numFmtId="0" fontId="2" fillId="0" borderId="0" xfId="0" applyFont="1" applyFill="1" applyAlignment="1">
      <alignment horizont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2" borderId="1" xfId="2" applyFont="1" applyFill="1" applyBorder="1" applyAlignment="1">
      <alignment horizontal="center"/>
    </xf>
    <xf numFmtId="165" fontId="1" fillId="2" borderId="1" xfId="0" applyNumberFormat="1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MITYANA-BUSUNJU'!$AE$9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MITYANA-BUSUNJU'!$R$10:$R$21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MITYANA-BUSUNJU'!$AE$10:$AE$21</c:f>
              <c:numCache>
                <c:formatCode>0</c:formatCode>
                <c:ptCount val="12"/>
                <c:pt idx="0">
                  <c:v>22</c:v>
                </c:pt>
                <c:pt idx="1">
                  <c:v>7</c:v>
                </c:pt>
                <c:pt idx="2">
                  <c:v>11</c:v>
                </c:pt>
                <c:pt idx="3">
                  <c:v>11</c:v>
                </c:pt>
                <c:pt idx="4">
                  <c:v>13</c:v>
                </c:pt>
                <c:pt idx="5">
                  <c:v>10</c:v>
                </c:pt>
                <c:pt idx="6">
                  <c:v>8</c:v>
                </c:pt>
                <c:pt idx="7">
                  <c:v>11</c:v>
                </c:pt>
                <c:pt idx="8">
                  <c:v>7</c:v>
                </c:pt>
                <c:pt idx="9">
                  <c:v>9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'17.10 MITYANA-BUSUNJU'!$AF$9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MITYANA-BUSUNJU'!$R$10:$R$21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MITYANA-BUSUNJU'!$AF$10:$AF$21</c:f>
              <c:numCache>
                <c:formatCode>0</c:formatCode>
                <c:ptCount val="12"/>
                <c:pt idx="0">
                  <c:v>27</c:v>
                </c:pt>
                <c:pt idx="1">
                  <c:v>50</c:v>
                </c:pt>
                <c:pt idx="2">
                  <c:v>51</c:v>
                </c:pt>
                <c:pt idx="3">
                  <c:v>49</c:v>
                </c:pt>
                <c:pt idx="4">
                  <c:v>56</c:v>
                </c:pt>
                <c:pt idx="5">
                  <c:v>51</c:v>
                </c:pt>
                <c:pt idx="6">
                  <c:v>66</c:v>
                </c:pt>
                <c:pt idx="7">
                  <c:v>68</c:v>
                </c:pt>
                <c:pt idx="8">
                  <c:v>54</c:v>
                </c:pt>
                <c:pt idx="9">
                  <c:v>42</c:v>
                </c:pt>
                <c:pt idx="10">
                  <c:v>32</c:v>
                </c:pt>
                <c:pt idx="11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782016"/>
        <c:axId val="119808768"/>
      </c:lineChart>
      <c:catAx>
        <c:axId val="1197820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9808768"/>
        <c:crosses val="autoZero"/>
        <c:auto val="1"/>
        <c:lblAlgn val="ctr"/>
        <c:lblOffset val="100"/>
        <c:noMultiLvlLbl val="0"/>
      </c:catAx>
      <c:valAx>
        <c:axId val="1198087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978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MITYANA-BUSUNJU'!$C$9:$N$9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MITYANA-BUSUNJU'!$C$59:$N$59</c:f>
              <c:numCache>
                <c:formatCode>0.0%</c:formatCode>
                <c:ptCount val="12"/>
                <c:pt idx="0">
                  <c:v>5.8724832214765099E-2</c:v>
                </c:pt>
                <c:pt idx="1">
                  <c:v>3.1879194630872486E-2</c:v>
                </c:pt>
                <c:pt idx="2">
                  <c:v>2.0134228187919462E-2</c:v>
                </c:pt>
                <c:pt idx="3">
                  <c:v>1.8456375838926176E-2</c:v>
                </c:pt>
                <c:pt idx="4">
                  <c:v>1.6778523489932886E-3</c:v>
                </c:pt>
                <c:pt idx="5">
                  <c:v>0</c:v>
                </c:pt>
                <c:pt idx="6">
                  <c:v>2.1812080536912751E-2</c:v>
                </c:pt>
                <c:pt idx="7">
                  <c:v>1.5100671140939598E-2</c:v>
                </c:pt>
                <c:pt idx="8">
                  <c:v>5.0335570469798654E-3</c:v>
                </c:pt>
                <c:pt idx="9">
                  <c:v>3.3557046979865771E-3</c:v>
                </c:pt>
                <c:pt idx="10">
                  <c:v>0.8238255033557047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MITYANA-BUSUNJU'!$S$9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'17.10 MITYANA-BUSUNJU'!$R$10:$R$21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MITYANA-BUSUNJU'!$S$10:$S$21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'17.10 MITYANA-BUSUNJU'!$T$9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'17.10 MITYANA-BUSUNJU'!$R$10:$R$21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MITYANA-BUSUNJU'!$T$10:$T$21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'17.10 MITYANA-BUSUNJU'!$U$9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'17.10 MITYANA-BUSUNJU'!$U$10:$U$21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'17.10 MITYANA-BUSUNJU'!$V$9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'17.10 MITYANA-BUSUNJU'!$V$10:$V$21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4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'17.10 MITYANA-BUSUNJU'!$W$9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'17.10 MITYANA-BUSUNJU'!$W$10:$W$21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'17.10 MITYANA-BUSUNJU'!$X$9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'17.10 MITYANA-BUSUNJU'!$X$10:$X$21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'17.10 MITYANA-BUSUNJU'!$Y$9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MITYANA-BUSUNJU'!$Y$10:$Y$21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'17.10 MITYANA-BUSUNJU'!$Z$9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MITYANA-BUSUNJU'!$Z$10:$Z$21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'17.10 MITYANA-BUSUNJU'!$AA$9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MITYANA-BUSUNJU'!$AA$10:$AA$21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'17.10 MITYANA-BUSUNJU'!$AB$9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MITYANA-BUSUNJU'!$AB$10:$AB$21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'17.10 MITYANA-BUSUNJU'!$AC$9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MITYANA-BUSUNJU'!$AC$10:$AC$21</c:f>
              <c:numCache>
                <c:formatCode>0</c:formatCode>
                <c:ptCount val="12"/>
                <c:pt idx="0">
                  <c:v>22</c:v>
                </c:pt>
                <c:pt idx="1">
                  <c:v>44</c:v>
                </c:pt>
                <c:pt idx="2">
                  <c:v>40</c:v>
                </c:pt>
                <c:pt idx="3">
                  <c:v>38</c:v>
                </c:pt>
                <c:pt idx="4">
                  <c:v>43</c:v>
                </c:pt>
                <c:pt idx="5">
                  <c:v>41</c:v>
                </c:pt>
                <c:pt idx="6">
                  <c:v>58</c:v>
                </c:pt>
                <c:pt idx="7">
                  <c:v>57</c:v>
                </c:pt>
                <c:pt idx="8">
                  <c:v>47</c:v>
                </c:pt>
                <c:pt idx="9">
                  <c:v>33</c:v>
                </c:pt>
                <c:pt idx="10">
                  <c:v>25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'17.10 MITYANA-BUSUNJU'!$AD$9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MITYANA-BUSUNJU'!$AD$10:$AD$21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673216"/>
        <c:axId val="119674752"/>
      </c:lineChart>
      <c:catAx>
        <c:axId val="119673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9674752"/>
        <c:crosses val="autoZero"/>
        <c:auto val="1"/>
        <c:lblAlgn val="ctr"/>
        <c:lblOffset val="100"/>
        <c:noMultiLvlLbl val="0"/>
      </c:catAx>
      <c:valAx>
        <c:axId val="11967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967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MITYANA-BUSUNJU'!$C$9:$N$9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MITYANA-BUSUNJU'!$C$60:$N$60</c:f>
              <c:numCache>
                <c:formatCode>0.00%</c:formatCode>
                <c:ptCount val="12"/>
                <c:pt idx="0">
                  <c:v>0.28455284552845528</c:v>
                </c:pt>
                <c:pt idx="1">
                  <c:v>0.15447154471544716</c:v>
                </c:pt>
                <c:pt idx="2">
                  <c:v>9.7560975609756101E-2</c:v>
                </c:pt>
                <c:pt idx="3">
                  <c:v>8.943089430894309E-2</c:v>
                </c:pt>
                <c:pt idx="4">
                  <c:v>8.130081300813009E-3</c:v>
                </c:pt>
                <c:pt idx="5">
                  <c:v>0</c:v>
                </c:pt>
                <c:pt idx="6">
                  <c:v>0.10569105691056911</c:v>
                </c:pt>
                <c:pt idx="7">
                  <c:v>7.3170731707317069E-2</c:v>
                </c:pt>
                <c:pt idx="8">
                  <c:v>2.4390243902439025E-2</c:v>
                </c:pt>
                <c:pt idx="9">
                  <c:v>1.6260162601626018E-2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BUSUNGU-MITYANA'!$AE$9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BUSUNGU-MITYANA'!$R$10:$R$21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BUSUNGU-MITYANA'!$AE$10:$AE$21</c:f>
              <c:numCache>
                <c:formatCode>0</c:formatCode>
                <c:ptCount val="12"/>
                <c:pt idx="0">
                  <c:v>15</c:v>
                </c:pt>
                <c:pt idx="1">
                  <c:v>50</c:v>
                </c:pt>
                <c:pt idx="2">
                  <c:v>24</c:v>
                </c:pt>
                <c:pt idx="3">
                  <c:v>5</c:v>
                </c:pt>
                <c:pt idx="4">
                  <c:v>11</c:v>
                </c:pt>
                <c:pt idx="5">
                  <c:v>5</c:v>
                </c:pt>
                <c:pt idx="6">
                  <c:v>13</c:v>
                </c:pt>
                <c:pt idx="7">
                  <c:v>10</c:v>
                </c:pt>
                <c:pt idx="8">
                  <c:v>35</c:v>
                </c:pt>
                <c:pt idx="9">
                  <c:v>12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'17.10 BUSUNGU-MITYANA'!$AF$9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BUSUNGU-MITYANA'!$R$10:$R$21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BUSUNGU-MITYANA'!$AF$10:$AF$21</c:f>
              <c:numCache>
                <c:formatCode>0</c:formatCode>
                <c:ptCount val="12"/>
                <c:pt idx="0">
                  <c:v>25</c:v>
                </c:pt>
                <c:pt idx="1">
                  <c:v>43</c:v>
                </c:pt>
                <c:pt idx="2">
                  <c:v>55</c:v>
                </c:pt>
                <c:pt idx="3">
                  <c:v>39</c:v>
                </c:pt>
                <c:pt idx="4">
                  <c:v>39</c:v>
                </c:pt>
                <c:pt idx="5">
                  <c:v>55</c:v>
                </c:pt>
                <c:pt idx="6">
                  <c:v>47</c:v>
                </c:pt>
                <c:pt idx="7">
                  <c:v>75</c:v>
                </c:pt>
                <c:pt idx="8">
                  <c:v>92</c:v>
                </c:pt>
                <c:pt idx="9">
                  <c:v>66</c:v>
                </c:pt>
                <c:pt idx="10">
                  <c:v>30</c:v>
                </c:pt>
                <c:pt idx="11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899840"/>
        <c:axId val="96901760"/>
      </c:lineChart>
      <c:catAx>
        <c:axId val="968998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6901760"/>
        <c:crosses val="autoZero"/>
        <c:auto val="1"/>
        <c:lblAlgn val="ctr"/>
        <c:lblOffset val="100"/>
        <c:noMultiLvlLbl val="0"/>
      </c:catAx>
      <c:valAx>
        <c:axId val="96901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689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BUSUNGU-MITYANA'!$C$9:$N$9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BUSUNGU-MITYANA'!$C$59:$N$59</c:f>
              <c:numCache>
                <c:formatCode>0.0%</c:formatCode>
                <c:ptCount val="12"/>
                <c:pt idx="0">
                  <c:v>5.5829228243021348E-2</c:v>
                </c:pt>
                <c:pt idx="1">
                  <c:v>1.6420361247947456E-2</c:v>
                </c:pt>
                <c:pt idx="2">
                  <c:v>6.5681444991789817E-3</c:v>
                </c:pt>
                <c:pt idx="3">
                  <c:v>2.9556650246305417E-2</c:v>
                </c:pt>
                <c:pt idx="4">
                  <c:v>0</c:v>
                </c:pt>
                <c:pt idx="5">
                  <c:v>1.6420361247947454E-3</c:v>
                </c:pt>
                <c:pt idx="6">
                  <c:v>3.6124794745484398E-2</c:v>
                </c:pt>
                <c:pt idx="7">
                  <c:v>6.5681444991789817E-3</c:v>
                </c:pt>
                <c:pt idx="8">
                  <c:v>1.6420361247947454E-3</c:v>
                </c:pt>
                <c:pt idx="9">
                  <c:v>3.2840722495894909E-3</c:v>
                </c:pt>
                <c:pt idx="10">
                  <c:v>0.78981937602627261</c:v>
                </c:pt>
                <c:pt idx="11">
                  <c:v>5.2545155993431854E-2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BUSUNGU-MITYANA'!$C$9:$N$9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BUSUNGU-MITYANA'!$C$60:$N$60</c:f>
              <c:numCache>
                <c:formatCode>0.00%</c:formatCode>
                <c:ptCount val="12"/>
                <c:pt idx="0">
                  <c:v>0.17801047120418848</c:v>
                </c:pt>
                <c:pt idx="1">
                  <c:v>5.2356020942408377E-2</c:v>
                </c:pt>
                <c:pt idx="2">
                  <c:v>2.0942408376963352E-2</c:v>
                </c:pt>
                <c:pt idx="3">
                  <c:v>9.4240837696335081E-2</c:v>
                </c:pt>
                <c:pt idx="4">
                  <c:v>0</c:v>
                </c:pt>
                <c:pt idx="5">
                  <c:v>5.235602094240838E-3</c:v>
                </c:pt>
                <c:pt idx="6">
                  <c:v>0.11518324607329843</c:v>
                </c:pt>
                <c:pt idx="7">
                  <c:v>2.0942408376963352E-2</c:v>
                </c:pt>
                <c:pt idx="8">
                  <c:v>5.235602094240838E-3</c:v>
                </c:pt>
                <c:pt idx="9">
                  <c:v>1.0471204188481676E-2</c:v>
                </c:pt>
                <c:pt idx="11">
                  <c:v>0.16753926701570682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MITYANA-BUSUNJU 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MITYANA-BUSUNJU 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MITYANA-BUSUNJU 24hr'!$AE$10:$AE$33</c:f>
              <c:numCache>
                <c:formatCode>0</c:formatCode>
                <c:ptCount val="24"/>
                <c:pt idx="0">
                  <c:v>5</c:v>
                </c:pt>
                <c:pt idx="1">
                  <c:v>8</c:v>
                </c:pt>
                <c:pt idx="2">
                  <c:v>11</c:v>
                </c:pt>
                <c:pt idx="3">
                  <c:v>8</c:v>
                </c:pt>
                <c:pt idx="4">
                  <c:v>10</c:v>
                </c:pt>
                <c:pt idx="5">
                  <c:v>9</c:v>
                </c:pt>
                <c:pt idx="6">
                  <c:v>4</c:v>
                </c:pt>
                <c:pt idx="7">
                  <c:v>9</c:v>
                </c:pt>
                <c:pt idx="8">
                  <c:v>7</c:v>
                </c:pt>
                <c:pt idx="9">
                  <c:v>6</c:v>
                </c:pt>
                <c:pt idx="10">
                  <c:v>11</c:v>
                </c:pt>
                <c:pt idx="11">
                  <c:v>14</c:v>
                </c:pt>
                <c:pt idx="12">
                  <c:v>12</c:v>
                </c:pt>
                <c:pt idx="13">
                  <c:v>10</c:v>
                </c:pt>
                <c:pt idx="14">
                  <c:v>11</c:v>
                </c:pt>
                <c:pt idx="15">
                  <c:v>7</c:v>
                </c:pt>
                <c:pt idx="16">
                  <c:v>7</c:v>
                </c:pt>
                <c:pt idx="17">
                  <c:v>8</c:v>
                </c:pt>
                <c:pt idx="18">
                  <c:v>9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'18.10 MITYANA-BUSUNJU 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MITYANA-BUSUNJU 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MITYANA-BUSUNJU 24hr'!$AF$10:$AF$33</c:f>
              <c:numCache>
                <c:formatCode>0</c:formatCode>
                <c:ptCount val="24"/>
                <c:pt idx="0">
                  <c:v>41</c:v>
                </c:pt>
                <c:pt idx="1">
                  <c:v>37</c:v>
                </c:pt>
                <c:pt idx="2">
                  <c:v>55</c:v>
                </c:pt>
                <c:pt idx="3">
                  <c:v>51</c:v>
                </c:pt>
                <c:pt idx="4">
                  <c:v>39</c:v>
                </c:pt>
                <c:pt idx="5">
                  <c:v>42</c:v>
                </c:pt>
                <c:pt idx="6">
                  <c:v>33</c:v>
                </c:pt>
                <c:pt idx="7">
                  <c:v>48</c:v>
                </c:pt>
                <c:pt idx="8">
                  <c:v>40</c:v>
                </c:pt>
                <c:pt idx="9">
                  <c:v>57</c:v>
                </c:pt>
                <c:pt idx="10">
                  <c:v>59</c:v>
                </c:pt>
                <c:pt idx="11">
                  <c:v>51</c:v>
                </c:pt>
                <c:pt idx="12">
                  <c:v>53</c:v>
                </c:pt>
                <c:pt idx="13">
                  <c:v>45</c:v>
                </c:pt>
                <c:pt idx="14">
                  <c:v>38</c:v>
                </c:pt>
                <c:pt idx="15">
                  <c:v>27</c:v>
                </c:pt>
                <c:pt idx="16">
                  <c:v>17</c:v>
                </c:pt>
                <c:pt idx="17">
                  <c:v>9</c:v>
                </c:pt>
                <c:pt idx="18">
                  <c:v>9</c:v>
                </c:pt>
                <c:pt idx="19">
                  <c:v>10</c:v>
                </c:pt>
                <c:pt idx="20">
                  <c:v>10</c:v>
                </c:pt>
                <c:pt idx="21">
                  <c:v>13</c:v>
                </c:pt>
                <c:pt idx="22">
                  <c:v>22</c:v>
                </c:pt>
                <c:pt idx="23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636544"/>
        <c:axId val="122642816"/>
      </c:lineChart>
      <c:catAx>
        <c:axId val="122636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642816"/>
        <c:crosses val="autoZero"/>
        <c:auto val="1"/>
        <c:lblAlgn val="ctr"/>
        <c:lblOffset val="100"/>
        <c:noMultiLvlLbl val="0"/>
      </c:catAx>
      <c:valAx>
        <c:axId val="1226428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63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MITYANA-BUSUNJU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MITYANA-BUSUNJU 24hr'!$C$107:$N$107</c:f>
              <c:numCache>
                <c:formatCode>0.0%</c:formatCode>
                <c:ptCount val="12"/>
                <c:pt idx="0">
                  <c:v>6.8476977567886663E-2</c:v>
                </c:pt>
                <c:pt idx="1">
                  <c:v>3.1877213695395513E-2</c:v>
                </c:pt>
                <c:pt idx="2">
                  <c:v>2.5974025974025976E-2</c:v>
                </c:pt>
                <c:pt idx="3">
                  <c:v>1.0625737898465172E-2</c:v>
                </c:pt>
                <c:pt idx="4">
                  <c:v>0</c:v>
                </c:pt>
                <c:pt idx="5">
                  <c:v>0</c:v>
                </c:pt>
                <c:pt idx="6">
                  <c:v>6.7296340023612747E-2</c:v>
                </c:pt>
                <c:pt idx="7">
                  <c:v>3.3057851239669422E-2</c:v>
                </c:pt>
                <c:pt idx="8">
                  <c:v>2.5974025974025976E-2</c:v>
                </c:pt>
                <c:pt idx="9">
                  <c:v>2.3612750885478157E-3</c:v>
                </c:pt>
                <c:pt idx="10">
                  <c:v>0.73435655253837073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MITYANA-BUSUNJU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MITYANA-BUSUNJU 24hr'!$C$108:$N$108</c:f>
              <c:numCache>
                <c:formatCode>0.00%</c:formatCode>
                <c:ptCount val="12"/>
                <c:pt idx="0">
                  <c:v>0.25777777777777777</c:v>
                </c:pt>
                <c:pt idx="1">
                  <c:v>0.12</c:v>
                </c:pt>
                <c:pt idx="2">
                  <c:v>9.7777777777777783E-2</c:v>
                </c:pt>
                <c:pt idx="3">
                  <c:v>0.04</c:v>
                </c:pt>
                <c:pt idx="4">
                  <c:v>0</c:v>
                </c:pt>
                <c:pt idx="5">
                  <c:v>0</c:v>
                </c:pt>
                <c:pt idx="6">
                  <c:v>0.25333333333333335</c:v>
                </c:pt>
                <c:pt idx="7">
                  <c:v>0.12444444444444444</c:v>
                </c:pt>
                <c:pt idx="8">
                  <c:v>9.7777777777777783E-2</c:v>
                </c:pt>
                <c:pt idx="9">
                  <c:v>8.8888888888888889E-3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BUSUNJU-MITYANA 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BUSUNJU-MITYANA 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BUSUNJU-MITYANA 24hr'!$AE$10:$AE$33</c:f>
              <c:numCache>
                <c:formatCode>0</c:formatCode>
                <c:ptCount val="24"/>
                <c:pt idx="0">
                  <c:v>6</c:v>
                </c:pt>
                <c:pt idx="1">
                  <c:v>3</c:v>
                </c:pt>
                <c:pt idx="2">
                  <c:v>7</c:v>
                </c:pt>
                <c:pt idx="3">
                  <c:v>7</c:v>
                </c:pt>
                <c:pt idx="4">
                  <c:v>4</c:v>
                </c:pt>
                <c:pt idx="5">
                  <c:v>7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12</c:v>
                </c:pt>
                <c:pt idx="10">
                  <c:v>9</c:v>
                </c:pt>
                <c:pt idx="11">
                  <c:v>8</c:v>
                </c:pt>
                <c:pt idx="12">
                  <c:v>13</c:v>
                </c:pt>
                <c:pt idx="13">
                  <c:v>6</c:v>
                </c:pt>
                <c:pt idx="14">
                  <c:v>7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4</c:v>
                </c:pt>
                <c:pt idx="19">
                  <c:v>5</c:v>
                </c:pt>
                <c:pt idx="20">
                  <c:v>6</c:v>
                </c:pt>
                <c:pt idx="21">
                  <c:v>2</c:v>
                </c:pt>
                <c:pt idx="22">
                  <c:v>6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'18.10 BUSUNJU-MITYANA 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BUSUNJU-MITYANA 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'18.10 BUSUNJU-MITYANA 24hr'!$AF$10:$AF$33</c:f>
              <c:numCache>
                <c:formatCode>0</c:formatCode>
                <c:ptCount val="24"/>
                <c:pt idx="0">
                  <c:v>44</c:v>
                </c:pt>
                <c:pt idx="1">
                  <c:v>32</c:v>
                </c:pt>
                <c:pt idx="2">
                  <c:v>48</c:v>
                </c:pt>
                <c:pt idx="3">
                  <c:v>42</c:v>
                </c:pt>
                <c:pt idx="4">
                  <c:v>38</c:v>
                </c:pt>
                <c:pt idx="5">
                  <c:v>43</c:v>
                </c:pt>
                <c:pt idx="6">
                  <c:v>54</c:v>
                </c:pt>
                <c:pt idx="7">
                  <c:v>28</c:v>
                </c:pt>
                <c:pt idx="8">
                  <c:v>31</c:v>
                </c:pt>
                <c:pt idx="9">
                  <c:v>43</c:v>
                </c:pt>
                <c:pt idx="10">
                  <c:v>46</c:v>
                </c:pt>
                <c:pt idx="11">
                  <c:v>53</c:v>
                </c:pt>
                <c:pt idx="12">
                  <c:v>85</c:v>
                </c:pt>
                <c:pt idx="13">
                  <c:v>48</c:v>
                </c:pt>
                <c:pt idx="14">
                  <c:v>28</c:v>
                </c:pt>
                <c:pt idx="15">
                  <c:v>22</c:v>
                </c:pt>
                <c:pt idx="16">
                  <c:v>15</c:v>
                </c:pt>
                <c:pt idx="17">
                  <c:v>7</c:v>
                </c:pt>
                <c:pt idx="18">
                  <c:v>4</c:v>
                </c:pt>
                <c:pt idx="19">
                  <c:v>5</c:v>
                </c:pt>
                <c:pt idx="20">
                  <c:v>6</c:v>
                </c:pt>
                <c:pt idx="21">
                  <c:v>2</c:v>
                </c:pt>
                <c:pt idx="22">
                  <c:v>7</c:v>
                </c:pt>
                <c:pt idx="23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114240"/>
        <c:axId val="123116160"/>
      </c:lineChart>
      <c:catAx>
        <c:axId val="123114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3116160"/>
        <c:crosses val="autoZero"/>
        <c:auto val="1"/>
        <c:lblAlgn val="ctr"/>
        <c:lblOffset val="100"/>
        <c:noMultiLvlLbl val="0"/>
      </c:catAx>
      <c:valAx>
        <c:axId val="1231161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311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BUSUNJU-MITYANA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BUSUNJU-MITYANA 24hr'!$C$107:$N$107</c:f>
              <c:numCache>
                <c:formatCode>0.0%</c:formatCode>
                <c:ptCount val="12"/>
                <c:pt idx="0">
                  <c:v>7.2207084468664848E-2</c:v>
                </c:pt>
                <c:pt idx="1">
                  <c:v>2.0435967302452316E-2</c:v>
                </c:pt>
                <c:pt idx="2">
                  <c:v>2.4523160762942781E-2</c:v>
                </c:pt>
                <c:pt idx="3">
                  <c:v>6.8119891008174387E-3</c:v>
                </c:pt>
                <c:pt idx="4">
                  <c:v>4.0871934604904629E-3</c:v>
                </c:pt>
                <c:pt idx="5">
                  <c:v>0</c:v>
                </c:pt>
                <c:pt idx="6">
                  <c:v>3.9509536784741145E-2</c:v>
                </c:pt>
                <c:pt idx="7">
                  <c:v>1.6348773841961851E-2</c:v>
                </c:pt>
                <c:pt idx="8">
                  <c:v>9.5367847411444145E-3</c:v>
                </c:pt>
                <c:pt idx="9">
                  <c:v>5.4495912806539508E-3</c:v>
                </c:pt>
                <c:pt idx="10">
                  <c:v>0.80108991825613074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BUSUNJU-MITYANA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BUSUNJU-MITYANA 24hr'!$C$108:$N$108</c:f>
              <c:numCache>
                <c:formatCode>0.00%</c:formatCode>
                <c:ptCount val="12"/>
                <c:pt idx="0">
                  <c:v>0.36301369863013699</c:v>
                </c:pt>
                <c:pt idx="1">
                  <c:v>0.10273972602739725</c:v>
                </c:pt>
                <c:pt idx="2">
                  <c:v>0.12328767123287671</c:v>
                </c:pt>
                <c:pt idx="3">
                  <c:v>3.4246575342465752E-2</c:v>
                </c:pt>
                <c:pt idx="4">
                  <c:v>2.0547945205479451E-2</c:v>
                </c:pt>
                <c:pt idx="5">
                  <c:v>0</c:v>
                </c:pt>
                <c:pt idx="6">
                  <c:v>0.19863013698630136</c:v>
                </c:pt>
                <c:pt idx="7">
                  <c:v>8.2191780821917804E-2</c:v>
                </c:pt>
                <c:pt idx="8">
                  <c:v>4.7945205479452052E-2</c:v>
                </c:pt>
                <c:pt idx="9">
                  <c:v>2.7397260273972601E-2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MITYANA-BUSUNJU 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MITYANA-BUSUNJU 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MITYANA-BUSUNJU 24hr'!$AE$10:$AE$33</c:f>
              <c:numCache>
                <c:formatCode>0</c:formatCode>
                <c:ptCount val="24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5</c:v>
                </c:pt>
                <c:pt idx="4">
                  <c:v>9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11</c:v>
                </c:pt>
                <c:pt idx="15">
                  <c:v>11</c:v>
                </c:pt>
                <c:pt idx="16">
                  <c:v>10</c:v>
                </c:pt>
                <c:pt idx="17">
                  <c:v>13</c:v>
                </c:pt>
                <c:pt idx="18">
                  <c:v>11</c:v>
                </c:pt>
                <c:pt idx="19">
                  <c:v>11</c:v>
                </c:pt>
                <c:pt idx="20">
                  <c:v>9</c:v>
                </c:pt>
                <c:pt idx="21">
                  <c:v>21</c:v>
                </c:pt>
                <c:pt idx="22">
                  <c:v>20</c:v>
                </c:pt>
                <c:pt idx="23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'19.10 MITYANA-BUSUNJU 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MITYANA-BUSUNJU 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MITYANA-BUSUNJU 24hr'!$AF$10:$AF$33</c:f>
              <c:numCache>
                <c:formatCode>0</c:formatCode>
                <c:ptCount val="24"/>
                <c:pt idx="0">
                  <c:v>20</c:v>
                </c:pt>
                <c:pt idx="1">
                  <c:v>44</c:v>
                </c:pt>
                <c:pt idx="2">
                  <c:v>52</c:v>
                </c:pt>
                <c:pt idx="3">
                  <c:v>42</c:v>
                </c:pt>
                <c:pt idx="4">
                  <c:v>41</c:v>
                </c:pt>
                <c:pt idx="5">
                  <c:v>50</c:v>
                </c:pt>
                <c:pt idx="6">
                  <c:v>55</c:v>
                </c:pt>
                <c:pt idx="7">
                  <c:v>55</c:v>
                </c:pt>
                <c:pt idx="8">
                  <c:v>82</c:v>
                </c:pt>
                <c:pt idx="9">
                  <c:v>80</c:v>
                </c:pt>
                <c:pt idx="10">
                  <c:v>88</c:v>
                </c:pt>
                <c:pt idx="11">
                  <c:v>50</c:v>
                </c:pt>
                <c:pt idx="12">
                  <c:v>79</c:v>
                </c:pt>
                <c:pt idx="13">
                  <c:v>46</c:v>
                </c:pt>
                <c:pt idx="14">
                  <c:v>40</c:v>
                </c:pt>
                <c:pt idx="15">
                  <c:v>32</c:v>
                </c:pt>
                <c:pt idx="16">
                  <c:v>22</c:v>
                </c:pt>
                <c:pt idx="17">
                  <c:v>16</c:v>
                </c:pt>
                <c:pt idx="18">
                  <c:v>11</c:v>
                </c:pt>
                <c:pt idx="19">
                  <c:v>11</c:v>
                </c:pt>
                <c:pt idx="20">
                  <c:v>9</c:v>
                </c:pt>
                <c:pt idx="21">
                  <c:v>31</c:v>
                </c:pt>
                <c:pt idx="22">
                  <c:v>37</c:v>
                </c:pt>
                <c:pt idx="23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88544"/>
        <c:axId val="122611200"/>
      </c:lineChart>
      <c:catAx>
        <c:axId val="122588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611200"/>
        <c:crosses val="autoZero"/>
        <c:auto val="1"/>
        <c:lblAlgn val="ctr"/>
        <c:lblOffset val="100"/>
        <c:noMultiLvlLbl val="0"/>
      </c:catAx>
      <c:valAx>
        <c:axId val="12261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58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MITYANA-BUSUNJU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MITYANA-BUSUNJU 24hr'!$C$107:$N$107</c:f>
              <c:numCache>
                <c:formatCode>0.0%</c:formatCode>
                <c:ptCount val="12"/>
                <c:pt idx="0">
                  <c:v>6.4299424184261031E-2</c:v>
                </c:pt>
                <c:pt idx="1">
                  <c:v>3.0710172744721688E-2</c:v>
                </c:pt>
                <c:pt idx="2">
                  <c:v>2.6871401151631478E-2</c:v>
                </c:pt>
                <c:pt idx="3">
                  <c:v>1.2476007677543186E-2</c:v>
                </c:pt>
                <c:pt idx="4">
                  <c:v>0</c:v>
                </c:pt>
                <c:pt idx="5">
                  <c:v>3.838771593090211E-3</c:v>
                </c:pt>
                <c:pt idx="6">
                  <c:v>4.126679462571977E-2</c:v>
                </c:pt>
                <c:pt idx="7">
                  <c:v>1.8234165067178502E-2</c:v>
                </c:pt>
                <c:pt idx="8">
                  <c:v>2.1113243761996161E-2</c:v>
                </c:pt>
                <c:pt idx="9">
                  <c:v>3.838771593090211E-3</c:v>
                </c:pt>
                <c:pt idx="10">
                  <c:v>0.77735124760076779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MITYANA-BUSUNJU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MITYANA-BUSUNJU 24hr'!$C$108:$N$108</c:f>
              <c:numCache>
                <c:formatCode>0.00%</c:formatCode>
                <c:ptCount val="12"/>
                <c:pt idx="0">
                  <c:v>0.28879310344827586</c:v>
                </c:pt>
                <c:pt idx="1">
                  <c:v>0.13793103448275862</c:v>
                </c:pt>
                <c:pt idx="2">
                  <c:v>0.1206896551724138</c:v>
                </c:pt>
                <c:pt idx="3">
                  <c:v>5.6034482758620691E-2</c:v>
                </c:pt>
                <c:pt idx="4">
                  <c:v>0</c:v>
                </c:pt>
                <c:pt idx="5">
                  <c:v>1.7241379310344827E-2</c:v>
                </c:pt>
                <c:pt idx="6">
                  <c:v>0.18534482758620691</c:v>
                </c:pt>
                <c:pt idx="7">
                  <c:v>8.1896551724137928E-2</c:v>
                </c:pt>
                <c:pt idx="8">
                  <c:v>9.4827586206896547E-2</c:v>
                </c:pt>
                <c:pt idx="9">
                  <c:v>1.7241379310344827E-2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BUSUNJU-MITYANA 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BUSUNJU-MITYANA 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BUSUNJU-MITYANA 24hr'!$AE$10:$AE$33</c:f>
              <c:numCache>
                <c:formatCode>0</c:formatCode>
                <c:ptCount val="24"/>
                <c:pt idx="0">
                  <c:v>4</c:v>
                </c:pt>
                <c:pt idx="1">
                  <c:v>8</c:v>
                </c:pt>
                <c:pt idx="2">
                  <c:v>1</c:v>
                </c:pt>
                <c:pt idx="3">
                  <c:v>5</c:v>
                </c:pt>
                <c:pt idx="4">
                  <c:v>9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7</c:v>
                </c:pt>
                <c:pt idx="10">
                  <c:v>7</c:v>
                </c:pt>
                <c:pt idx="11">
                  <c:v>5</c:v>
                </c:pt>
                <c:pt idx="12">
                  <c:v>15</c:v>
                </c:pt>
                <c:pt idx="13">
                  <c:v>10</c:v>
                </c:pt>
                <c:pt idx="14">
                  <c:v>5</c:v>
                </c:pt>
                <c:pt idx="15">
                  <c:v>7</c:v>
                </c:pt>
                <c:pt idx="16">
                  <c:v>7</c:v>
                </c:pt>
                <c:pt idx="17">
                  <c:v>8</c:v>
                </c:pt>
                <c:pt idx="18">
                  <c:v>4</c:v>
                </c:pt>
                <c:pt idx="19">
                  <c:v>2</c:v>
                </c:pt>
                <c:pt idx="20">
                  <c:v>9</c:v>
                </c:pt>
                <c:pt idx="21">
                  <c:v>5</c:v>
                </c:pt>
                <c:pt idx="22">
                  <c:v>10</c:v>
                </c:pt>
                <c:pt idx="23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'19.10 BUSUNJU-MITYANA 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BUSUNJU-MITYANA 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BUSUNJU-MITYANA 24hr'!$AF$10:$AF$33</c:f>
              <c:numCache>
                <c:formatCode>0</c:formatCode>
                <c:ptCount val="24"/>
                <c:pt idx="0">
                  <c:v>23</c:v>
                </c:pt>
                <c:pt idx="1">
                  <c:v>62</c:v>
                </c:pt>
                <c:pt idx="2">
                  <c:v>51</c:v>
                </c:pt>
                <c:pt idx="3">
                  <c:v>25</c:v>
                </c:pt>
                <c:pt idx="4">
                  <c:v>38</c:v>
                </c:pt>
                <c:pt idx="5">
                  <c:v>35</c:v>
                </c:pt>
                <c:pt idx="6">
                  <c:v>57</c:v>
                </c:pt>
                <c:pt idx="7">
                  <c:v>47</c:v>
                </c:pt>
                <c:pt idx="8">
                  <c:v>72</c:v>
                </c:pt>
                <c:pt idx="9">
                  <c:v>61</c:v>
                </c:pt>
                <c:pt idx="10">
                  <c:v>83</c:v>
                </c:pt>
                <c:pt idx="11">
                  <c:v>61</c:v>
                </c:pt>
                <c:pt idx="12">
                  <c:v>93</c:v>
                </c:pt>
                <c:pt idx="13">
                  <c:v>49</c:v>
                </c:pt>
                <c:pt idx="14">
                  <c:v>20</c:v>
                </c:pt>
                <c:pt idx="15">
                  <c:v>22</c:v>
                </c:pt>
                <c:pt idx="16">
                  <c:v>9</c:v>
                </c:pt>
                <c:pt idx="17">
                  <c:v>11</c:v>
                </c:pt>
                <c:pt idx="18">
                  <c:v>4</c:v>
                </c:pt>
                <c:pt idx="19">
                  <c:v>2</c:v>
                </c:pt>
                <c:pt idx="20">
                  <c:v>9</c:v>
                </c:pt>
                <c:pt idx="21">
                  <c:v>8</c:v>
                </c:pt>
                <c:pt idx="22">
                  <c:v>12</c:v>
                </c:pt>
                <c:pt idx="23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614528"/>
        <c:axId val="124616704"/>
      </c:lineChart>
      <c:catAx>
        <c:axId val="1246145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616704"/>
        <c:crosses val="autoZero"/>
        <c:auto val="1"/>
        <c:lblAlgn val="ctr"/>
        <c:lblOffset val="100"/>
        <c:noMultiLvlLbl val="0"/>
      </c:catAx>
      <c:valAx>
        <c:axId val="1246167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61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BUSUNJU-MITYANA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BUSUNJU-MITYANA 24hr'!$C$107:$N$107</c:f>
              <c:numCache>
                <c:formatCode>0.0%</c:formatCode>
                <c:ptCount val="12"/>
                <c:pt idx="0">
                  <c:v>6.1926605504587159E-2</c:v>
                </c:pt>
                <c:pt idx="1">
                  <c:v>2.9816513761467892E-2</c:v>
                </c:pt>
                <c:pt idx="2">
                  <c:v>1.6055045871559634E-2</c:v>
                </c:pt>
                <c:pt idx="3">
                  <c:v>9.1743119266055051E-3</c:v>
                </c:pt>
                <c:pt idx="4">
                  <c:v>3.4403669724770644E-3</c:v>
                </c:pt>
                <c:pt idx="5">
                  <c:v>1.1467889908256881E-3</c:v>
                </c:pt>
                <c:pt idx="6">
                  <c:v>2.6376146788990827E-2</c:v>
                </c:pt>
                <c:pt idx="7">
                  <c:v>1.834862385321101E-2</c:v>
                </c:pt>
                <c:pt idx="8">
                  <c:v>5.7339449541284407E-3</c:v>
                </c:pt>
                <c:pt idx="9">
                  <c:v>1.4908256880733946E-2</c:v>
                </c:pt>
                <c:pt idx="10">
                  <c:v>0.81307339449541283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BUSUNJU-MITYANA 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BUSUNJU-MITYANA 24hr'!$C$108:$N$108</c:f>
              <c:numCache>
                <c:formatCode>0.00%</c:formatCode>
                <c:ptCount val="12"/>
                <c:pt idx="0">
                  <c:v>0.33128834355828218</c:v>
                </c:pt>
                <c:pt idx="1">
                  <c:v>0.15950920245398773</c:v>
                </c:pt>
                <c:pt idx="2">
                  <c:v>8.5889570552147243E-2</c:v>
                </c:pt>
                <c:pt idx="3">
                  <c:v>4.9079754601226995E-2</c:v>
                </c:pt>
                <c:pt idx="4">
                  <c:v>1.8404907975460124E-2</c:v>
                </c:pt>
                <c:pt idx="5">
                  <c:v>6.1349693251533744E-3</c:v>
                </c:pt>
                <c:pt idx="6">
                  <c:v>0.1411042944785276</c:v>
                </c:pt>
                <c:pt idx="7">
                  <c:v>9.815950920245399E-2</c:v>
                </c:pt>
                <c:pt idx="8">
                  <c:v>3.0674846625766871E-2</c:v>
                </c:pt>
                <c:pt idx="9">
                  <c:v>7.9754601226993863E-2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 MITYANA-BUSUNJU'!$AE$9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 MITYANA-BUSUNJU'!$R$10:$R$21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 MITYANA-BUSUNJU'!$AE$10:$AE$21</c:f>
              <c:numCache>
                <c:formatCode>0</c:formatCode>
                <c:ptCount val="12"/>
                <c:pt idx="0">
                  <c:v>1</c:v>
                </c:pt>
                <c:pt idx="1">
                  <c:v>8</c:v>
                </c:pt>
                <c:pt idx="2">
                  <c:v>6</c:v>
                </c:pt>
                <c:pt idx="3">
                  <c:v>11</c:v>
                </c:pt>
                <c:pt idx="4">
                  <c:v>14</c:v>
                </c:pt>
                <c:pt idx="5">
                  <c:v>9</c:v>
                </c:pt>
                <c:pt idx="6">
                  <c:v>13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6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'20.10  MITYANA-BUSUNJU'!$AF$9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 MITYANA-BUSUNJU'!$R$10:$R$21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 MITYANA-BUSUNJU'!$AF$10:$AF$21</c:f>
              <c:numCache>
                <c:formatCode>0</c:formatCode>
                <c:ptCount val="12"/>
                <c:pt idx="0">
                  <c:v>20</c:v>
                </c:pt>
                <c:pt idx="1">
                  <c:v>38</c:v>
                </c:pt>
                <c:pt idx="2">
                  <c:v>39</c:v>
                </c:pt>
                <c:pt idx="3">
                  <c:v>53</c:v>
                </c:pt>
                <c:pt idx="4">
                  <c:v>62</c:v>
                </c:pt>
                <c:pt idx="5">
                  <c:v>66</c:v>
                </c:pt>
                <c:pt idx="6">
                  <c:v>86</c:v>
                </c:pt>
                <c:pt idx="7">
                  <c:v>56</c:v>
                </c:pt>
                <c:pt idx="8">
                  <c:v>62</c:v>
                </c:pt>
                <c:pt idx="9">
                  <c:v>68</c:v>
                </c:pt>
                <c:pt idx="10">
                  <c:v>67</c:v>
                </c:pt>
                <c:pt idx="11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739520"/>
        <c:axId val="121749888"/>
      </c:lineChart>
      <c:catAx>
        <c:axId val="1217395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749888"/>
        <c:crosses val="autoZero"/>
        <c:auto val="1"/>
        <c:lblAlgn val="ctr"/>
        <c:lblOffset val="100"/>
        <c:noMultiLvlLbl val="0"/>
      </c:catAx>
      <c:valAx>
        <c:axId val="1217498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73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 MITYANA-BUSUNJU'!$C$9:$N$9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 MITYANA-BUSUNJU'!$C$59:$N$59</c:f>
              <c:numCache>
                <c:formatCode>0.0%</c:formatCode>
                <c:ptCount val="12"/>
                <c:pt idx="0">
                  <c:v>6.1674008810572688E-2</c:v>
                </c:pt>
                <c:pt idx="1">
                  <c:v>1.0279001468428781E-2</c:v>
                </c:pt>
                <c:pt idx="2">
                  <c:v>2.2026431718061675E-2</c:v>
                </c:pt>
                <c:pt idx="3">
                  <c:v>7.3421439060205578E-3</c:v>
                </c:pt>
                <c:pt idx="4">
                  <c:v>4.4052863436123352E-3</c:v>
                </c:pt>
                <c:pt idx="5">
                  <c:v>0</c:v>
                </c:pt>
                <c:pt idx="6">
                  <c:v>3.2305433186490456E-2</c:v>
                </c:pt>
                <c:pt idx="7">
                  <c:v>4.4052863436123352E-3</c:v>
                </c:pt>
                <c:pt idx="8">
                  <c:v>7.3421439060205578E-3</c:v>
                </c:pt>
                <c:pt idx="9">
                  <c:v>1.4684287812041115E-3</c:v>
                </c:pt>
                <c:pt idx="10">
                  <c:v>0.84875183553597655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 MITYANA-BUSUNJU'!$S$9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'20.10  MITYANA-BUSUNJU'!$R$10:$R$21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 MITYANA-BUSUNJU'!$S$10:$S$21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8</c:v>
                </c:pt>
                <c:pt idx="5">
                  <c:v>1</c:v>
                </c:pt>
                <c:pt idx="6">
                  <c:v>6</c:v>
                </c:pt>
                <c:pt idx="7">
                  <c:v>2</c:v>
                </c:pt>
                <c:pt idx="8">
                  <c:v>4</c:v>
                </c:pt>
                <c:pt idx="9">
                  <c:v>5</c:v>
                </c:pt>
                <c:pt idx="10">
                  <c:v>0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'20.10  MITYANA-BUSUNJU'!$T$9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'20.10  MITYANA-BUSUNJU'!$R$10:$R$21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 MITYANA-BUSUNJU'!$T$10:$T$21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'20.10  MITYANA-BUSUNJU'!$U$9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'20.10  MITYANA-BUSUNJU'!$U$10:$U$21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'20.10  MITYANA-BUSUNJU'!$V$9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'20.10  MITYANA-BUSUNJU'!$V$10:$V$21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'20.10  MITYANA-BUSUNJU'!$W$9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'20.10  MITYANA-BUSUNJU'!$W$10:$W$21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'20.10  MITYANA-BUSUNJU'!$X$9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'20.10  MITYANA-BUSUNJU'!$X$10:$X$21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'20.10  MITYANA-BUSUNJU'!$Y$9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 MITYANA-BUSUNJU'!$Y$10:$Y$21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'20.10  MITYANA-BUSUNJU'!$Z$9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 MITYANA-BUSUNJU'!$Z$10:$Z$21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'20.10  MITYANA-BUSUNJU'!$AA$9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 MITYANA-BUSUNJU'!$AA$10:$AA$21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'20.10  MITYANA-BUSUNJU'!$AB$9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 MITYANA-BUSUNJU'!$AB$10:$AB$21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'20.10  MITYANA-BUSUNJU'!$AC$9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 MITYANA-BUSUNJU'!$AC$10:$AC$21</c:f>
              <c:numCache>
                <c:formatCode>0</c:formatCode>
                <c:ptCount val="12"/>
                <c:pt idx="0">
                  <c:v>19</c:v>
                </c:pt>
                <c:pt idx="1">
                  <c:v>30</c:v>
                </c:pt>
                <c:pt idx="2">
                  <c:v>33</c:v>
                </c:pt>
                <c:pt idx="3">
                  <c:v>42</c:v>
                </c:pt>
                <c:pt idx="4">
                  <c:v>48</c:v>
                </c:pt>
                <c:pt idx="5">
                  <c:v>57</c:v>
                </c:pt>
                <c:pt idx="6">
                  <c:v>73</c:v>
                </c:pt>
                <c:pt idx="7">
                  <c:v>49</c:v>
                </c:pt>
                <c:pt idx="8">
                  <c:v>54</c:v>
                </c:pt>
                <c:pt idx="9">
                  <c:v>60</c:v>
                </c:pt>
                <c:pt idx="10">
                  <c:v>61</c:v>
                </c:pt>
                <c:pt idx="1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'20.10  MITYANA-BUSUNJU'!$AD$9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 MITYANA-BUSUNJU'!$AD$10:$AD$21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942016"/>
        <c:axId val="121943552"/>
      </c:lineChart>
      <c:catAx>
        <c:axId val="12194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943552"/>
        <c:crosses val="autoZero"/>
        <c:auto val="1"/>
        <c:lblAlgn val="ctr"/>
        <c:lblOffset val="100"/>
        <c:noMultiLvlLbl val="0"/>
      </c:catAx>
      <c:valAx>
        <c:axId val="12194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94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 MITYANA-BUSUNJU'!$C$9:$N$9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 MITYANA-BUSUNJU'!$C$60:$N$60</c:f>
              <c:numCache>
                <c:formatCode>0.00%</c:formatCode>
                <c:ptCount val="12"/>
                <c:pt idx="0">
                  <c:v>0.40776699029126212</c:v>
                </c:pt>
                <c:pt idx="1">
                  <c:v>6.7961165048543687E-2</c:v>
                </c:pt>
                <c:pt idx="2">
                  <c:v>0.14563106796116504</c:v>
                </c:pt>
                <c:pt idx="3">
                  <c:v>4.8543689320388349E-2</c:v>
                </c:pt>
                <c:pt idx="4">
                  <c:v>2.9126213592233011E-2</c:v>
                </c:pt>
                <c:pt idx="5">
                  <c:v>0</c:v>
                </c:pt>
                <c:pt idx="6">
                  <c:v>0.21359223300970873</c:v>
                </c:pt>
                <c:pt idx="7">
                  <c:v>2.9126213592233011E-2</c:v>
                </c:pt>
                <c:pt idx="8">
                  <c:v>4.8543689320388349E-2</c:v>
                </c:pt>
                <c:pt idx="9">
                  <c:v>9.7087378640776691E-3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 BUSUNJU-MITYANA'!$AE$9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 BUSUNJU-MITYANA'!$R$10:$R$21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 BUSUNJU-MITYANA'!$AE$10:$AE$21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8</c:v>
                </c:pt>
                <c:pt idx="4">
                  <c:v>8</c:v>
                </c:pt>
                <c:pt idx="5">
                  <c:v>12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8</c:v>
                </c:pt>
                <c:pt idx="10">
                  <c:v>6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'20.10  BUSUNJU-MITYANA'!$AF$9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 BUSUNJU-MITYANA'!$R$10:$R$21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 BUSUNJU-MITYANA'!$AF$10:$AF$21</c:f>
              <c:numCache>
                <c:formatCode>0</c:formatCode>
                <c:ptCount val="12"/>
                <c:pt idx="0">
                  <c:v>27</c:v>
                </c:pt>
                <c:pt idx="1">
                  <c:v>35</c:v>
                </c:pt>
                <c:pt idx="2">
                  <c:v>51</c:v>
                </c:pt>
                <c:pt idx="3">
                  <c:v>46</c:v>
                </c:pt>
                <c:pt idx="4">
                  <c:v>57</c:v>
                </c:pt>
                <c:pt idx="5">
                  <c:v>61</c:v>
                </c:pt>
                <c:pt idx="6">
                  <c:v>76</c:v>
                </c:pt>
                <c:pt idx="7">
                  <c:v>72</c:v>
                </c:pt>
                <c:pt idx="8">
                  <c:v>59</c:v>
                </c:pt>
                <c:pt idx="9">
                  <c:v>53</c:v>
                </c:pt>
                <c:pt idx="10">
                  <c:v>70</c:v>
                </c:pt>
                <c:pt idx="11">
                  <c:v>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422976"/>
        <c:axId val="121424896"/>
      </c:lineChart>
      <c:catAx>
        <c:axId val="121422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424896"/>
        <c:crosses val="autoZero"/>
        <c:auto val="1"/>
        <c:lblAlgn val="ctr"/>
        <c:lblOffset val="100"/>
        <c:noMultiLvlLbl val="0"/>
      </c:catAx>
      <c:valAx>
        <c:axId val="121424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42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 BUSUNJU-MITYANA'!$C$9:$N$9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 BUSUNJU-MITYANA'!$C$59:$N$59</c:f>
              <c:numCache>
                <c:formatCode>0.0%</c:formatCode>
                <c:ptCount val="12"/>
                <c:pt idx="0">
                  <c:v>7.9579579579579576E-2</c:v>
                </c:pt>
                <c:pt idx="1">
                  <c:v>1.0510510510510511E-2</c:v>
                </c:pt>
                <c:pt idx="2">
                  <c:v>2.1021021021021023E-2</c:v>
                </c:pt>
                <c:pt idx="3">
                  <c:v>1.0510510510510511E-2</c:v>
                </c:pt>
                <c:pt idx="4">
                  <c:v>3.003003003003003E-3</c:v>
                </c:pt>
                <c:pt idx="5">
                  <c:v>0</c:v>
                </c:pt>
                <c:pt idx="6">
                  <c:v>4.0540540540540543E-2</c:v>
                </c:pt>
                <c:pt idx="7">
                  <c:v>3.003003003003003E-3</c:v>
                </c:pt>
                <c:pt idx="8">
                  <c:v>0</c:v>
                </c:pt>
                <c:pt idx="9">
                  <c:v>0</c:v>
                </c:pt>
                <c:pt idx="10">
                  <c:v>0.83183183183183185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 BUSUNJU-MITYANA'!$C$9:$N$9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 BUSUNJU-MITYANA'!$C$60:$N$60</c:f>
              <c:numCache>
                <c:formatCode>0.00%</c:formatCode>
                <c:ptCount val="12"/>
                <c:pt idx="0">
                  <c:v>0.4732142857142857</c:v>
                </c:pt>
                <c:pt idx="1">
                  <c:v>6.25E-2</c:v>
                </c:pt>
                <c:pt idx="2">
                  <c:v>0.125</c:v>
                </c:pt>
                <c:pt idx="3">
                  <c:v>6.25E-2</c:v>
                </c:pt>
                <c:pt idx="4">
                  <c:v>1.7857142857142856E-2</c:v>
                </c:pt>
                <c:pt idx="5">
                  <c:v>0</c:v>
                </c:pt>
                <c:pt idx="6">
                  <c:v>0.24107142857142858</c:v>
                </c:pt>
                <c:pt idx="7">
                  <c:v>1.7857142857142856E-2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MITYANA-BUSUNJU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MITYANA-BUSUNJU '!$AE$10:$AE$21</c:f>
              <c:numCache>
                <c:formatCode>0</c:formatCode>
                <c:ptCount val="12"/>
                <c:pt idx="0">
                  <c:v>8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12</c:v>
                </c:pt>
                <c:pt idx="5">
                  <c:v>10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  <c:pt idx="9">
                  <c:v>7</c:v>
                </c:pt>
                <c:pt idx="10">
                  <c:v>6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'21.10 MITYANA-BUSUNJU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MITYANA-BUSUNJU '!$AF$10:$AF$21</c:f>
              <c:numCache>
                <c:formatCode>0</c:formatCode>
                <c:ptCount val="12"/>
                <c:pt idx="0">
                  <c:v>43</c:v>
                </c:pt>
                <c:pt idx="1">
                  <c:v>51</c:v>
                </c:pt>
                <c:pt idx="2">
                  <c:v>41</c:v>
                </c:pt>
                <c:pt idx="3">
                  <c:v>39</c:v>
                </c:pt>
                <c:pt idx="4">
                  <c:v>49</c:v>
                </c:pt>
                <c:pt idx="5">
                  <c:v>64</c:v>
                </c:pt>
                <c:pt idx="6">
                  <c:v>54</c:v>
                </c:pt>
                <c:pt idx="7">
                  <c:v>52</c:v>
                </c:pt>
                <c:pt idx="8">
                  <c:v>55</c:v>
                </c:pt>
                <c:pt idx="9">
                  <c:v>51</c:v>
                </c:pt>
                <c:pt idx="10">
                  <c:v>36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107776"/>
        <c:axId val="122130432"/>
      </c:lineChart>
      <c:catAx>
        <c:axId val="1221077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130432"/>
        <c:crosses val="autoZero"/>
        <c:auto val="1"/>
        <c:lblAlgn val="ctr"/>
        <c:lblOffset val="100"/>
        <c:noMultiLvlLbl val="0"/>
      </c:catAx>
      <c:valAx>
        <c:axId val="122130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107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MITYANA-BUSUNJU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MITYANA-BUSUNJU '!$C$59:$N$59</c:f>
              <c:numCache>
                <c:formatCode>0.0%</c:formatCode>
                <c:ptCount val="12"/>
                <c:pt idx="0">
                  <c:v>5.181347150259067E-2</c:v>
                </c:pt>
                <c:pt idx="1">
                  <c:v>1.8998272884283247E-2</c:v>
                </c:pt>
                <c:pt idx="2">
                  <c:v>3.7996545768566495E-2</c:v>
                </c:pt>
                <c:pt idx="3">
                  <c:v>1.3816925734024179E-2</c:v>
                </c:pt>
                <c:pt idx="4">
                  <c:v>1.7271157167530224E-3</c:v>
                </c:pt>
                <c:pt idx="5">
                  <c:v>1.7271157167530224E-3</c:v>
                </c:pt>
                <c:pt idx="6">
                  <c:v>1.8998272884283247E-2</c:v>
                </c:pt>
                <c:pt idx="7">
                  <c:v>1.8998272884283247E-2</c:v>
                </c:pt>
                <c:pt idx="8">
                  <c:v>3.4542314335060447E-3</c:v>
                </c:pt>
                <c:pt idx="9">
                  <c:v>0</c:v>
                </c:pt>
                <c:pt idx="10">
                  <c:v>0.83246977547495682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MITYANA-BUSUNJU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'21.10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MITYANA-BUSUNJU '!$S$10:$S$21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6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'21.10 MITYANA-BUSUNJU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'21.10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MITYANA-BUSUNJU 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'21.10 MITYANA-BUSUNJU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'21.10 MITYANA-BUSUNJU '!$U$10:$U$21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'21.10 MITYANA-BUSUNJU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'21.10 MITYANA-BUSUNJU 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'21.10 MITYANA-BUSUNJU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'21.10 MITYANA-BUSUNJU 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'21.10 MITYANA-BUSUNJU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'21.10 MITYANA-BUSUNJU 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'21.10 MITYANA-BUSUNJU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MITYANA-BUSUNJU '!$Y$10:$Y$21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'21.10 MITYANA-BUSUNJU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MITYANA-BUSUNJU 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'21.10 MITYANA-BUSUNJU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MITYANA-BUSUNJU 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'21.10 MITYANA-BUSUNJU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MITYANA-BUSUNJU 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'21.10 MITYANA-BUSUNJU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MITYANA-BUSUNJU '!$AC$10:$AC$21</c:f>
              <c:numCache>
                <c:formatCode>0</c:formatCode>
                <c:ptCount val="12"/>
                <c:pt idx="0">
                  <c:v>35</c:v>
                </c:pt>
                <c:pt idx="1">
                  <c:v>49</c:v>
                </c:pt>
                <c:pt idx="2">
                  <c:v>38</c:v>
                </c:pt>
                <c:pt idx="3">
                  <c:v>28</c:v>
                </c:pt>
                <c:pt idx="4">
                  <c:v>37</c:v>
                </c:pt>
                <c:pt idx="5">
                  <c:v>54</c:v>
                </c:pt>
                <c:pt idx="6">
                  <c:v>49</c:v>
                </c:pt>
                <c:pt idx="7">
                  <c:v>45</c:v>
                </c:pt>
                <c:pt idx="8">
                  <c:v>45</c:v>
                </c:pt>
                <c:pt idx="9">
                  <c:v>44</c:v>
                </c:pt>
                <c:pt idx="10">
                  <c:v>30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'21.10 MITYANA-BUSUNJU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MITYANA-BUSUNJU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248576"/>
        <c:axId val="122270848"/>
      </c:lineChart>
      <c:catAx>
        <c:axId val="12224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270848"/>
        <c:crosses val="autoZero"/>
        <c:auto val="1"/>
        <c:lblAlgn val="ctr"/>
        <c:lblOffset val="100"/>
        <c:noMultiLvlLbl val="0"/>
      </c:catAx>
      <c:valAx>
        <c:axId val="12227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224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MITYANA-BUSUNJU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MITYANA-BUSUNJU '!$C$60:$N$60</c:f>
              <c:numCache>
                <c:formatCode>0.00%</c:formatCode>
                <c:ptCount val="12"/>
                <c:pt idx="0">
                  <c:v>0.30927835051546393</c:v>
                </c:pt>
                <c:pt idx="1">
                  <c:v>0.1134020618556701</c:v>
                </c:pt>
                <c:pt idx="2">
                  <c:v>0.22680412371134021</c:v>
                </c:pt>
                <c:pt idx="3">
                  <c:v>8.247422680412371E-2</c:v>
                </c:pt>
                <c:pt idx="4">
                  <c:v>1.0309278350515464E-2</c:v>
                </c:pt>
                <c:pt idx="5">
                  <c:v>1.0309278350515464E-2</c:v>
                </c:pt>
                <c:pt idx="6">
                  <c:v>0.1134020618556701</c:v>
                </c:pt>
                <c:pt idx="7">
                  <c:v>0.1134020618556701</c:v>
                </c:pt>
                <c:pt idx="8">
                  <c:v>2.0618556701030927E-2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BUSUNJU-MITYANA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BUSUNJU-MITYANA '!$AE$10:$AE$21</c:f>
              <c:numCache>
                <c:formatCode>0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6</c:v>
                </c:pt>
                <c:pt idx="3">
                  <c:v>9</c:v>
                </c:pt>
                <c:pt idx="4">
                  <c:v>3</c:v>
                </c:pt>
                <c:pt idx="5">
                  <c:v>12</c:v>
                </c:pt>
                <c:pt idx="6">
                  <c:v>13</c:v>
                </c:pt>
                <c:pt idx="7">
                  <c:v>2</c:v>
                </c:pt>
                <c:pt idx="8">
                  <c:v>13</c:v>
                </c:pt>
                <c:pt idx="9">
                  <c:v>6</c:v>
                </c:pt>
                <c:pt idx="10">
                  <c:v>7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'21.10 BUSUNJU-MITYANA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BUSUNJU-MITYANA '!$AF$10:$AF$21</c:f>
              <c:numCache>
                <c:formatCode>0</c:formatCode>
                <c:ptCount val="12"/>
                <c:pt idx="0">
                  <c:v>41</c:v>
                </c:pt>
                <c:pt idx="1">
                  <c:v>52</c:v>
                </c:pt>
                <c:pt idx="2">
                  <c:v>41</c:v>
                </c:pt>
                <c:pt idx="3">
                  <c:v>41</c:v>
                </c:pt>
                <c:pt idx="4">
                  <c:v>40</c:v>
                </c:pt>
                <c:pt idx="5">
                  <c:v>49</c:v>
                </c:pt>
                <c:pt idx="6">
                  <c:v>59</c:v>
                </c:pt>
                <c:pt idx="7">
                  <c:v>44</c:v>
                </c:pt>
                <c:pt idx="8">
                  <c:v>62</c:v>
                </c:pt>
                <c:pt idx="9">
                  <c:v>45</c:v>
                </c:pt>
                <c:pt idx="10">
                  <c:v>36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054720"/>
        <c:axId val="121056640"/>
      </c:lineChart>
      <c:catAx>
        <c:axId val="121054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056640"/>
        <c:crosses val="autoZero"/>
        <c:auto val="1"/>
        <c:lblAlgn val="ctr"/>
        <c:lblOffset val="100"/>
        <c:noMultiLvlLbl val="0"/>
      </c:catAx>
      <c:valAx>
        <c:axId val="1210566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05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BUSUNJU-MITYANA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BUSUNJU-MITYANA '!$C$59:$N$59</c:f>
              <c:numCache>
                <c:formatCode>0.0%</c:formatCode>
                <c:ptCount val="12"/>
                <c:pt idx="0">
                  <c:v>6.1705989110707807E-2</c:v>
                </c:pt>
                <c:pt idx="1">
                  <c:v>1.9963702359346643E-2</c:v>
                </c:pt>
                <c:pt idx="2">
                  <c:v>2.3593466424682397E-2</c:v>
                </c:pt>
                <c:pt idx="3">
                  <c:v>2.5408348457350273E-2</c:v>
                </c:pt>
                <c:pt idx="4">
                  <c:v>1.8148820326678765E-3</c:v>
                </c:pt>
                <c:pt idx="5">
                  <c:v>0</c:v>
                </c:pt>
                <c:pt idx="6">
                  <c:v>4.1742286751361164E-2</c:v>
                </c:pt>
                <c:pt idx="7">
                  <c:v>7.2595281306715061E-3</c:v>
                </c:pt>
                <c:pt idx="8">
                  <c:v>0</c:v>
                </c:pt>
                <c:pt idx="9">
                  <c:v>0</c:v>
                </c:pt>
                <c:pt idx="10">
                  <c:v>0.81851179673321239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BUSUNJU-MITYANA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'21.10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BUSUNJU-MITYANA '!$S$10:$S$21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'21.10 BUSUNJU-MITYANA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'21.10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'21.10 BUSUNJU-MITYANA '!$T$10:$T$21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'21.10 BUSUNJU-MITYANA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'21.10 BUSUNJU-MITYANA 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'21.10 BUSUNJU-MITYANA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'21.10 BUSUNJU-MITYANA '!$V$10:$V$21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'21.10 BUSUNJU-MITYANA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'21.10 BUSUNJU-MITYANA 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'21.10 BUSUNJU-MITYANA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'21.10 BUSUNJU-MITYANA 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'21.10 BUSUNJU-MITYANA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BUSUNJU-MITYANA '!$Y$10:$Y$21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4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'21.10 BUSUNJU-MITYANA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BUSUNJU-MITYANA 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'21.10 BUSUNJU-MITYANA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BUSUNJU-MITYANA 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'21.10 BUSUNJU-MITYANA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BUSUNJU-MITYANA 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'21.10 BUSUNJU-MITYANA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BUSUNJU-MITYANA '!$AC$10:$AC$21</c:f>
              <c:numCache>
                <c:formatCode>0</c:formatCode>
                <c:ptCount val="12"/>
                <c:pt idx="0">
                  <c:v>32</c:v>
                </c:pt>
                <c:pt idx="1">
                  <c:v>44</c:v>
                </c:pt>
                <c:pt idx="2">
                  <c:v>35</c:v>
                </c:pt>
                <c:pt idx="3">
                  <c:v>32</c:v>
                </c:pt>
                <c:pt idx="4">
                  <c:v>37</c:v>
                </c:pt>
                <c:pt idx="5">
                  <c:v>37</c:v>
                </c:pt>
                <c:pt idx="6">
                  <c:v>46</c:v>
                </c:pt>
                <c:pt idx="7">
                  <c:v>42</c:v>
                </c:pt>
                <c:pt idx="8">
                  <c:v>49</c:v>
                </c:pt>
                <c:pt idx="9">
                  <c:v>39</c:v>
                </c:pt>
                <c:pt idx="10">
                  <c:v>29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'21.10 BUSUNJU-MITYANA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'21.10 BUSUNJU-MITYANA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236480"/>
        <c:axId val="120853248"/>
      </c:lineChart>
      <c:catAx>
        <c:axId val="121236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853248"/>
        <c:crosses val="autoZero"/>
        <c:auto val="1"/>
        <c:lblAlgn val="ctr"/>
        <c:lblOffset val="100"/>
        <c:noMultiLvlLbl val="0"/>
      </c:catAx>
      <c:valAx>
        <c:axId val="12085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23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BUSUNJU-MITYANA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BUSUNJU-MITYANA '!$C$60:$N$60</c:f>
              <c:numCache>
                <c:formatCode>0.00%</c:formatCode>
                <c:ptCount val="12"/>
                <c:pt idx="0">
                  <c:v>0.34</c:v>
                </c:pt>
                <c:pt idx="1">
                  <c:v>0.11</c:v>
                </c:pt>
                <c:pt idx="2">
                  <c:v>0.13</c:v>
                </c:pt>
                <c:pt idx="3">
                  <c:v>0.14000000000000001</c:v>
                </c:pt>
                <c:pt idx="4">
                  <c:v>0.01</c:v>
                </c:pt>
                <c:pt idx="5">
                  <c:v>0</c:v>
                </c:pt>
                <c:pt idx="6">
                  <c:v>0.23</c:v>
                </c:pt>
                <c:pt idx="7">
                  <c:v>0.04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MITYANA-BUSUNJU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MITYANA-BUSUNJU '!$AE$10:$AE$21</c:f>
              <c:numCache>
                <c:formatCode>0</c:formatCode>
                <c:ptCount val="12"/>
                <c:pt idx="0">
                  <c:v>8</c:v>
                </c:pt>
                <c:pt idx="1">
                  <c:v>8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9</c:v>
                </c:pt>
                <c:pt idx="6">
                  <c:v>11</c:v>
                </c:pt>
                <c:pt idx="7">
                  <c:v>6</c:v>
                </c:pt>
                <c:pt idx="8">
                  <c:v>12</c:v>
                </c:pt>
                <c:pt idx="9">
                  <c:v>7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'22.10 MITYANA-BUSUNJU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MITYANA-BUSUNJU '!$AF$10:$AF$21</c:f>
              <c:numCache>
                <c:formatCode>0</c:formatCode>
                <c:ptCount val="12"/>
                <c:pt idx="0">
                  <c:v>56</c:v>
                </c:pt>
                <c:pt idx="1">
                  <c:v>46</c:v>
                </c:pt>
                <c:pt idx="2">
                  <c:v>55</c:v>
                </c:pt>
                <c:pt idx="3">
                  <c:v>52</c:v>
                </c:pt>
                <c:pt idx="4">
                  <c:v>51</c:v>
                </c:pt>
                <c:pt idx="5">
                  <c:v>46</c:v>
                </c:pt>
                <c:pt idx="6">
                  <c:v>74</c:v>
                </c:pt>
                <c:pt idx="7">
                  <c:v>62</c:v>
                </c:pt>
                <c:pt idx="8">
                  <c:v>60</c:v>
                </c:pt>
                <c:pt idx="9">
                  <c:v>58</c:v>
                </c:pt>
                <c:pt idx="10">
                  <c:v>47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343616"/>
        <c:axId val="125378560"/>
      </c:lineChart>
      <c:catAx>
        <c:axId val="1253436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378560"/>
        <c:crosses val="autoZero"/>
        <c:auto val="1"/>
        <c:lblAlgn val="ctr"/>
        <c:lblOffset val="100"/>
        <c:noMultiLvlLbl val="0"/>
      </c:catAx>
      <c:valAx>
        <c:axId val="1253785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34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MITYANA-BUSUNJU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MITYANA-BUSUNJU '!$C$59:$N$59</c:f>
              <c:numCache>
                <c:formatCode>0.0%</c:formatCode>
                <c:ptCount val="12"/>
                <c:pt idx="0">
                  <c:v>6.9767441860465115E-2</c:v>
                </c:pt>
                <c:pt idx="1">
                  <c:v>9.3023255813953487E-3</c:v>
                </c:pt>
                <c:pt idx="2">
                  <c:v>1.2403100775193798E-2</c:v>
                </c:pt>
                <c:pt idx="3">
                  <c:v>7.7519379844961239E-3</c:v>
                </c:pt>
                <c:pt idx="4">
                  <c:v>1.5503875968992248E-3</c:v>
                </c:pt>
                <c:pt idx="5">
                  <c:v>3.1007751937984496E-3</c:v>
                </c:pt>
                <c:pt idx="6">
                  <c:v>4.1860465116279069E-2</c:v>
                </c:pt>
                <c:pt idx="7">
                  <c:v>1.0852713178294573E-2</c:v>
                </c:pt>
                <c:pt idx="8">
                  <c:v>0</c:v>
                </c:pt>
                <c:pt idx="9">
                  <c:v>0</c:v>
                </c:pt>
                <c:pt idx="10">
                  <c:v>0.84341085271317828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MITYANA-BUSUNJU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MITYANA-BUSUNJU '!$S$10:$S$21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9</c:v>
                </c:pt>
                <c:pt idx="9">
                  <c:v>0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'22.10 MITYANA-BUSUNJU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MITYANA-BUSUNJU 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'22.10 MITYANA-BUSUNJU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MITYANA-BUSUNJU '!$U$10:$U$21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'22.10 MITYANA-BUSUNJU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MITYANA-BUSUNJU 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'22.10 MITYANA-BUSUNJU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MITYANA-BUSUNJU 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'22.10 MITYANA-BUSUNJU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MITYANA-BUSUNJU 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'22.10 MITYANA-BUSUNJU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MITYANA-BUSUNJU '!$Y$10:$Y$21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'22.10 MITYANA-BUSUNJU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MITYANA-BUSUNJU 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'22.10 MITYANA-BUSUNJU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MITYANA-BUSUNJU 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'22.10 MITYANA-BUSUNJU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MITYANA-BUSUNJU 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'22.10 MITYANA-BUSUNJU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MITYANA-BUSUNJU '!$AC$10:$AC$21</c:f>
              <c:numCache>
                <c:formatCode>0</c:formatCode>
                <c:ptCount val="12"/>
                <c:pt idx="0">
                  <c:v>48</c:v>
                </c:pt>
                <c:pt idx="1">
                  <c:v>38</c:v>
                </c:pt>
                <c:pt idx="2">
                  <c:v>44</c:v>
                </c:pt>
                <c:pt idx="3">
                  <c:v>46</c:v>
                </c:pt>
                <c:pt idx="4">
                  <c:v>45</c:v>
                </c:pt>
                <c:pt idx="5">
                  <c:v>37</c:v>
                </c:pt>
                <c:pt idx="6">
                  <c:v>63</c:v>
                </c:pt>
                <c:pt idx="7">
                  <c:v>56</c:v>
                </c:pt>
                <c:pt idx="8">
                  <c:v>48</c:v>
                </c:pt>
                <c:pt idx="9">
                  <c:v>51</c:v>
                </c:pt>
                <c:pt idx="10">
                  <c:v>37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'22.10 MITYANA-BUSUNJU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MITYANA-BUSUNJU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545856"/>
        <c:axId val="125559936"/>
      </c:lineChart>
      <c:catAx>
        <c:axId val="12554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559936"/>
        <c:crosses val="autoZero"/>
        <c:auto val="1"/>
        <c:lblAlgn val="ctr"/>
        <c:lblOffset val="100"/>
        <c:noMultiLvlLbl val="0"/>
      </c:catAx>
      <c:valAx>
        <c:axId val="12555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54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MITYANA-BUSUNJU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MITYANA-BUSUNJU '!$C$60:$N$60</c:f>
              <c:numCache>
                <c:formatCode>0.00%</c:formatCode>
                <c:ptCount val="12"/>
                <c:pt idx="0">
                  <c:v>0.44554455445544555</c:v>
                </c:pt>
                <c:pt idx="1">
                  <c:v>5.9405940594059403E-2</c:v>
                </c:pt>
                <c:pt idx="2">
                  <c:v>7.9207920792079209E-2</c:v>
                </c:pt>
                <c:pt idx="3">
                  <c:v>4.9504950495049507E-2</c:v>
                </c:pt>
                <c:pt idx="4">
                  <c:v>9.9009900990099011E-3</c:v>
                </c:pt>
                <c:pt idx="5">
                  <c:v>1.9801980198019802E-2</c:v>
                </c:pt>
                <c:pt idx="6">
                  <c:v>0.26732673267326734</c:v>
                </c:pt>
                <c:pt idx="7">
                  <c:v>6.9306930693069313E-2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BUSUNJU-MITYANA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BUSUNJU-MITYANA '!$AE$10:$AE$21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5</c:v>
                </c:pt>
                <c:pt idx="3">
                  <c:v>6</c:v>
                </c:pt>
                <c:pt idx="4">
                  <c:v>12</c:v>
                </c:pt>
                <c:pt idx="5">
                  <c:v>6</c:v>
                </c:pt>
                <c:pt idx="6">
                  <c:v>1</c:v>
                </c:pt>
                <c:pt idx="7">
                  <c:v>3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'22.10 BUSUNJU-MITYANA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BUSUNJU-MITYANA '!$AF$10:$AF$21</c:f>
              <c:numCache>
                <c:formatCode>0</c:formatCode>
                <c:ptCount val="12"/>
                <c:pt idx="0">
                  <c:v>40</c:v>
                </c:pt>
                <c:pt idx="1">
                  <c:v>70</c:v>
                </c:pt>
                <c:pt idx="2">
                  <c:v>54</c:v>
                </c:pt>
                <c:pt idx="3">
                  <c:v>55</c:v>
                </c:pt>
                <c:pt idx="4">
                  <c:v>55</c:v>
                </c:pt>
                <c:pt idx="5">
                  <c:v>52</c:v>
                </c:pt>
                <c:pt idx="6">
                  <c:v>51</c:v>
                </c:pt>
                <c:pt idx="7">
                  <c:v>64</c:v>
                </c:pt>
                <c:pt idx="8">
                  <c:v>59</c:v>
                </c:pt>
                <c:pt idx="9">
                  <c:v>62</c:v>
                </c:pt>
                <c:pt idx="10">
                  <c:v>72</c:v>
                </c:pt>
                <c:pt idx="11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832000"/>
        <c:axId val="124842368"/>
      </c:lineChart>
      <c:catAx>
        <c:axId val="124832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842368"/>
        <c:crosses val="autoZero"/>
        <c:auto val="1"/>
        <c:lblAlgn val="ctr"/>
        <c:lblOffset val="100"/>
        <c:noMultiLvlLbl val="0"/>
      </c:catAx>
      <c:valAx>
        <c:axId val="124842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483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BUSUNJU-MITYANA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BUSUNJU-MITYANA '!$C$59:$N$59</c:f>
              <c:numCache>
                <c:formatCode>0.0%</c:formatCode>
                <c:ptCount val="12"/>
                <c:pt idx="0">
                  <c:v>4.5845272206303724E-2</c:v>
                </c:pt>
                <c:pt idx="1">
                  <c:v>7.1633237822349575E-3</c:v>
                </c:pt>
                <c:pt idx="2">
                  <c:v>1.1461318051575931E-2</c:v>
                </c:pt>
                <c:pt idx="3">
                  <c:v>4.2979942693409743E-3</c:v>
                </c:pt>
                <c:pt idx="4">
                  <c:v>1.4326647564469914E-3</c:v>
                </c:pt>
                <c:pt idx="5">
                  <c:v>2.8653295128939827E-3</c:v>
                </c:pt>
                <c:pt idx="6">
                  <c:v>4.0114613180515762E-2</c:v>
                </c:pt>
                <c:pt idx="7">
                  <c:v>8.5959885386819486E-3</c:v>
                </c:pt>
                <c:pt idx="8">
                  <c:v>0</c:v>
                </c:pt>
                <c:pt idx="9">
                  <c:v>0</c:v>
                </c:pt>
                <c:pt idx="10">
                  <c:v>0.87822349570200575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BUSUNJU-MITYANA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BUSUNJU-MITYANA '!$S$10:$S$21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0</c:v>
                </c:pt>
                <c:pt idx="3">
                  <c:v>3</c:v>
                </c:pt>
                <c:pt idx="4">
                  <c:v>7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'22.10 BUSUNJU-MITYANA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BUSUNJU-MITYANA 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'22.10 BUSUNJU-MITYANA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BUSUNJU-MITYANA '!$U$10:$U$21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'22.10 BUSUNJU-MITYANA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BUSUNJU-MITYANA 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'22.10 BUSUNJU-MITYANA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BUSUNJU-MITYANA 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'22.10 BUSUNJU-MITYANA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BUSUNJU-MITYANA 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'22.10 BUSUNJU-MITYANA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BUSUNJU-MITYANA '!$Y$10:$Y$21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4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'22.10 BUSUNJU-MITYANA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BUSUNJU-MITYANA 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'22.10 BUSUNJU-MITYANA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BUSUNJU-MITYANA 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'22.10 BUSUNJU-MITYANA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BUSUNJU-MITYANA 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'22.10 BUSUNJU-MITYANA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BUSUNJU-MITYANA '!$AC$10:$AC$21</c:f>
              <c:numCache>
                <c:formatCode>0</c:formatCode>
                <c:ptCount val="12"/>
                <c:pt idx="0">
                  <c:v>30</c:v>
                </c:pt>
                <c:pt idx="1">
                  <c:v>60</c:v>
                </c:pt>
                <c:pt idx="2">
                  <c:v>49</c:v>
                </c:pt>
                <c:pt idx="3">
                  <c:v>49</c:v>
                </c:pt>
                <c:pt idx="4">
                  <c:v>43</c:v>
                </c:pt>
                <c:pt idx="5">
                  <c:v>46</c:v>
                </c:pt>
                <c:pt idx="6">
                  <c:v>50</c:v>
                </c:pt>
                <c:pt idx="7">
                  <c:v>61</c:v>
                </c:pt>
                <c:pt idx="8">
                  <c:v>51</c:v>
                </c:pt>
                <c:pt idx="9">
                  <c:v>54</c:v>
                </c:pt>
                <c:pt idx="10">
                  <c:v>64</c:v>
                </c:pt>
                <c:pt idx="11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'22.10 BUSUNJU-MITYANA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BUSUNJU-MITYANA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00032"/>
        <c:axId val="125101568"/>
      </c:lineChart>
      <c:catAx>
        <c:axId val="12510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101568"/>
        <c:crosses val="autoZero"/>
        <c:auto val="1"/>
        <c:lblAlgn val="ctr"/>
        <c:lblOffset val="100"/>
        <c:noMultiLvlLbl val="0"/>
      </c:catAx>
      <c:valAx>
        <c:axId val="12510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10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BUSUNJU-MITYANA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BUSUNJU-MITYANA '!$C$60:$N$60</c:f>
              <c:numCache>
                <c:formatCode>0.00%</c:formatCode>
                <c:ptCount val="12"/>
                <c:pt idx="0">
                  <c:v>0.37647058823529411</c:v>
                </c:pt>
                <c:pt idx="1">
                  <c:v>5.8823529411764705E-2</c:v>
                </c:pt>
                <c:pt idx="2">
                  <c:v>9.4117647058823528E-2</c:v>
                </c:pt>
                <c:pt idx="3">
                  <c:v>3.5294117647058823E-2</c:v>
                </c:pt>
                <c:pt idx="4">
                  <c:v>1.1764705882352941E-2</c:v>
                </c:pt>
                <c:pt idx="5">
                  <c:v>2.3529411764705882E-2</c:v>
                </c:pt>
                <c:pt idx="6">
                  <c:v>0.32941176470588235</c:v>
                </c:pt>
                <c:pt idx="7">
                  <c:v>7.0588235294117646E-2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MITYANA-BUSUNJU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MITYANA-BUSUNJU '!$AE$10:$AE$21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11</c:v>
                </c:pt>
                <c:pt idx="3">
                  <c:v>3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7</c:v>
                </c:pt>
                <c:pt idx="10">
                  <c:v>7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'23.10 MITYANA-BUSUNJU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MITYANA-BUSUNJU '!$AF$10:$AF$21</c:f>
              <c:numCache>
                <c:formatCode>0</c:formatCode>
                <c:ptCount val="12"/>
                <c:pt idx="0">
                  <c:v>55</c:v>
                </c:pt>
                <c:pt idx="1">
                  <c:v>52</c:v>
                </c:pt>
                <c:pt idx="2">
                  <c:v>60</c:v>
                </c:pt>
                <c:pt idx="3">
                  <c:v>50</c:v>
                </c:pt>
                <c:pt idx="4">
                  <c:v>57</c:v>
                </c:pt>
                <c:pt idx="5">
                  <c:v>70</c:v>
                </c:pt>
                <c:pt idx="6">
                  <c:v>60</c:v>
                </c:pt>
                <c:pt idx="7">
                  <c:v>44</c:v>
                </c:pt>
                <c:pt idx="8">
                  <c:v>65</c:v>
                </c:pt>
                <c:pt idx="9">
                  <c:v>59</c:v>
                </c:pt>
                <c:pt idx="10">
                  <c:v>47</c:v>
                </c:pt>
                <c:pt idx="1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530816"/>
        <c:axId val="120573952"/>
      </c:lineChart>
      <c:catAx>
        <c:axId val="1205308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573952"/>
        <c:crosses val="autoZero"/>
        <c:auto val="1"/>
        <c:lblAlgn val="ctr"/>
        <c:lblOffset val="100"/>
        <c:noMultiLvlLbl val="0"/>
      </c:catAx>
      <c:valAx>
        <c:axId val="120573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53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MITYANA-BUSUNJU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MITYANA-BUSUNJU '!$C$59:$N$59</c:f>
              <c:numCache>
                <c:formatCode>0.0%</c:formatCode>
                <c:ptCount val="12"/>
                <c:pt idx="0">
                  <c:v>3.6284470246734396E-2</c:v>
                </c:pt>
                <c:pt idx="1">
                  <c:v>1.4513788098693759E-2</c:v>
                </c:pt>
                <c:pt idx="2">
                  <c:v>1.1611030478955007E-2</c:v>
                </c:pt>
                <c:pt idx="3">
                  <c:v>1.1611030478955007E-2</c:v>
                </c:pt>
                <c:pt idx="4">
                  <c:v>1.4513788098693759E-3</c:v>
                </c:pt>
                <c:pt idx="5">
                  <c:v>0</c:v>
                </c:pt>
                <c:pt idx="6">
                  <c:v>3.1930333817126268E-2</c:v>
                </c:pt>
                <c:pt idx="7">
                  <c:v>1.1611030478955007E-2</c:v>
                </c:pt>
                <c:pt idx="8">
                  <c:v>2.9027576197387518E-3</c:v>
                </c:pt>
                <c:pt idx="9">
                  <c:v>0</c:v>
                </c:pt>
                <c:pt idx="10">
                  <c:v>0.87808417997097243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MITYANA-BUSUNJU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MITYANA-BUSUNJU '!$S$10:$S$21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'23.10 MITYANA-BUSUNJU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MITYANA-BUSUNJU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MITYANA-BUSUNJU 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'23.10 MITYANA-BUSUNJU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MITYANA-BUSUNJU 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'23.10 MITYANA-BUSUNJU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MITYANA-BUSUNJU 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'23.10 MITYANA-BUSUNJU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MITYANA-BUSUNJU 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'23.10 MITYANA-BUSUNJU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MITYANA-BUSUNJU 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'23.10 MITYANA-BUSUNJU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MITYANA-BUSUNJU 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'23.10 MITYANA-BUSUNJU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MITYANA-BUSUNJU 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'23.10 MITYANA-BUSUNJU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MITYANA-BUSUNJU 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'23.10 MITYANA-BUSUNJU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MITYANA-BUSUNJU 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'23.10 MITYANA-BUSUNJU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MITYANA-BUSUNJU '!$AC$10:$AC$21</c:f>
              <c:numCache>
                <c:formatCode>0</c:formatCode>
                <c:ptCount val="12"/>
                <c:pt idx="0">
                  <c:v>50</c:v>
                </c:pt>
                <c:pt idx="1">
                  <c:v>49</c:v>
                </c:pt>
                <c:pt idx="2">
                  <c:v>49</c:v>
                </c:pt>
                <c:pt idx="3">
                  <c:v>47</c:v>
                </c:pt>
                <c:pt idx="4">
                  <c:v>52</c:v>
                </c:pt>
                <c:pt idx="5">
                  <c:v>60</c:v>
                </c:pt>
                <c:pt idx="6">
                  <c:v>54</c:v>
                </c:pt>
                <c:pt idx="7">
                  <c:v>40</c:v>
                </c:pt>
                <c:pt idx="8">
                  <c:v>59</c:v>
                </c:pt>
                <c:pt idx="9">
                  <c:v>52</c:v>
                </c:pt>
                <c:pt idx="10">
                  <c:v>40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'23.10 MITYANA-BUSUNJU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MITYANA-BUSUNJU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10880"/>
        <c:axId val="120829056"/>
      </c:lineChart>
      <c:catAx>
        <c:axId val="120810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829056"/>
        <c:crosses val="autoZero"/>
        <c:auto val="1"/>
        <c:lblAlgn val="ctr"/>
        <c:lblOffset val="100"/>
        <c:noMultiLvlLbl val="0"/>
      </c:catAx>
      <c:valAx>
        <c:axId val="1208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81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MITYANA-BUSUNJU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MITYANA-BUSUNJU '!$C$60:$N$60</c:f>
              <c:numCache>
                <c:formatCode>0.00%</c:formatCode>
                <c:ptCount val="12"/>
                <c:pt idx="0">
                  <c:v>0.29761904761904762</c:v>
                </c:pt>
                <c:pt idx="1">
                  <c:v>0.11904761904761904</c:v>
                </c:pt>
                <c:pt idx="2">
                  <c:v>9.5238095238095233E-2</c:v>
                </c:pt>
                <c:pt idx="3">
                  <c:v>9.5238095238095233E-2</c:v>
                </c:pt>
                <c:pt idx="4">
                  <c:v>1.1904761904761904E-2</c:v>
                </c:pt>
                <c:pt idx="5">
                  <c:v>0</c:v>
                </c:pt>
                <c:pt idx="6">
                  <c:v>0.26190476190476192</c:v>
                </c:pt>
                <c:pt idx="7">
                  <c:v>9.5238095238095233E-2</c:v>
                </c:pt>
                <c:pt idx="8">
                  <c:v>2.3809523809523808E-2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BUSUNJU-MITYANA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BUSUNJU-MITYANA '!$AE$10:$AE$21</c:f>
              <c:numCache>
                <c:formatCode>0</c:formatCode>
                <c:ptCount val="12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11</c:v>
                </c:pt>
                <c:pt idx="6">
                  <c:v>7</c:v>
                </c:pt>
                <c:pt idx="7">
                  <c:v>8</c:v>
                </c:pt>
                <c:pt idx="8">
                  <c:v>6</c:v>
                </c:pt>
                <c:pt idx="9">
                  <c:v>9</c:v>
                </c:pt>
                <c:pt idx="10">
                  <c:v>14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'23.10 BUSUNJU-MITYANA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BUSUNJU-MITYANA '!$AF$10:$AF$21</c:f>
              <c:numCache>
                <c:formatCode>0</c:formatCode>
                <c:ptCount val="12"/>
                <c:pt idx="0">
                  <c:v>54</c:v>
                </c:pt>
                <c:pt idx="1">
                  <c:v>50</c:v>
                </c:pt>
                <c:pt idx="2">
                  <c:v>40</c:v>
                </c:pt>
                <c:pt idx="3">
                  <c:v>54</c:v>
                </c:pt>
                <c:pt idx="4">
                  <c:v>59</c:v>
                </c:pt>
                <c:pt idx="5">
                  <c:v>76</c:v>
                </c:pt>
                <c:pt idx="6">
                  <c:v>63</c:v>
                </c:pt>
                <c:pt idx="7">
                  <c:v>48</c:v>
                </c:pt>
                <c:pt idx="8">
                  <c:v>58</c:v>
                </c:pt>
                <c:pt idx="9">
                  <c:v>58</c:v>
                </c:pt>
                <c:pt idx="10">
                  <c:v>57</c:v>
                </c:pt>
                <c:pt idx="11">
                  <c:v>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088832"/>
        <c:axId val="120111488"/>
      </c:lineChart>
      <c:catAx>
        <c:axId val="1200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111488"/>
        <c:crosses val="autoZero"/>
        <c:auto val="1"/>
        <c:lblAlgn val="ctr"/>
        <c:lblOffset val="100"/>
        <c:noMultiLvlLbl val="0"/>
      </c:catAx>
      <c:valAx>
        <c:axId val="120111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0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BUSUNJU-MITYANA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BUSUNJU-MITYANA '!$C$59:$N$59</c:f>
              <c:numCache>
                <c:formatCode>0.0%</c:formatCode>
                <c:ptCount val="12"/>
                <c:pt idx="0">
                  <c:v>4.4733044733044736E-2</c:v>
                </c:pt>
                <c:pt idx="1">
                  <c:v>1.2987012987012988E-2</c:v>
                </c:pt>
                <c:pt idx="2">
                  <c:v>1.7316017316017316E-2</c:v>
                </c:pt>
                <c:pt idx="3">
                  <c:v>8.658008658008658E-3</c:v>
                </c:pt>
                <c:pt idx="4">
                  <c:v>1.443001443001443E-3</c:v>
                </c:pt>
                <c:pt idx="5">
                  <c:v>4.329004329004329E-3</c:v>
                </c:pt>
                <c:pt idx="6">
                  <c:v>5.1948051948051951E-2</c:v>
                </c:pt>
                <c:pt idx="7">
                  <c:v>7.215007215007215E-3</c:v>
                </c:pt>
                <c:pt idx="8">
                  <c:v>0</c:v>
                </c:pt>
                <c:pt idx="9">
                  <c:v>0</c:v>
                </c:pt>
                <c:pt idx="10">
                  <c:v>0.85137085137085133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76"/>
          <c:y val="2.296022663732373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BUSUNJU-MITYANA 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BUSUNJU-MITYANA '!$S$10:$S$21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5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'23.10 BUSUNJU-MITYANA 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BUSUNJU-MITYANA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BUSUNJU-MITYANA '!$T$10:$T$21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'23.10 BUSUNJU-MITYANA 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BUSUNJU-MITYANA '!$U$10:$U$21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'23.10 BUSUNJU-MITYANA 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BUSUNJU-MITYANA 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'23.10 BUSUNJU-MITYANA 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BUSUNJU-MITYANA 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'23.10 BUSUNJU-MITYANA 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BUSUNJU-MITYANA 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'23.10 BUSUNJU-MITYANA 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BUSUNJU-MITYANA '!$Y$10:$Y$21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9">
                  <c:v>1</c:v>
                </c:pt>
                <c:pt idx="10">
                  <c:v>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'23.10 BUSUNJU-MITYANA 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BUSUNJU-MITYANA 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'23.10 BUSUNJU-MITYANA 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BUSUNJU-MITYANA 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'23.10 BUSUNJU-MITYANA 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BUSUNJU-MITYANA 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'23.10 BUSUNJU-MITYANA 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BUSUNJU-MITYANA '!$AC$10:$AC$21</c:f>
              <c:numCache>
                <c:formatCode>0</c:formatCode>
                <c:ptCount val="12"/>
                <c:pt idx="0">
                  <c:v>44</c:v>
                </c:pt>
                <c:pt idx="1">
                  <c:v>46</c:v>
                </c:pt>
                <c:pt idx="2">
                  <c:v>36</c:v>
                </c:pt>
                <c:pt idx="3">
                  <c:v>49</c:v>
                </c:pt>
                <c:pt idx="4">
                  <c:v>55</c:v>
                </c:pt>
                <c:pt idx="5">
                  <c:v>65</c:v>
                </c:pt>
                <c:pt idx="6">
                  <c:v>56</c:v>
                </c:pt>
                <c:pt idx="7">
                  <c:v>40</c:v>
                </c:pt>
                <c:pt idx="8">
                  <c:v>52</c:v>
                </c:pt>
                <c:pt idx="9">
                  <c:v>49</c:v>
                </c:pt>
                <c:pt idx="10">
                  <c:v>43</c:v>
                </c:pt>
                <c:pt idx="1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'23.10 BUSUNJU-MITYANA 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BUSUNJU-MITYANA 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369152"/>
        <c:axId val="120370688"/>
      </c:lineChart>
      <c:catAx>
        <c:axId val="12036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370688"/>
        <c:crosses val="autoZero"/>
        <c:auto val="1"/>
        <c:lblAlgn val="ctr"/>
        <c:lblOffset val="100"/>
        <c:noMultiLvlLbl val="0"/>
      </c:catAx>
      <c:valAx>
        <c:axId val="12037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36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BUSUNJU-MITYANA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BUSUNJU-MITYANA '!$C$60:$N$60</c:f>
              <c:numCache>
                <c:formatCode>0.00%</c:formatCode>
                <c:ptCount val="12"/>
                <c:pt idx="0">
                  <c:v>0.30097087378640774</c:v>
                </c:pt>
                <c:pt idx="1">
                  <c:v>8.7378640776699032E-2</c:v>
                </c:pt>
                <c:pt idx="2">
                  <c:v>0.11650485436893204</c:v>
                </c:pt>
                <c:pt idx="3">
                  <c:v>5.8252427184466021E-2</c:v>
                </c:pt>
                <c:pt idx="4">
                  <c:v>9.7087378640776691E-3</c:v>
                </c:pt>
                <c:pt idx="5">
                  <c:v>0</c:v>
                </c:pt>
                <c:pt idx="6">
                  <c:v>0.34951456310679613</c:v>
                </c:pt>
                <c:pt idx="7">
                  <c:v>4.8543689320388349E-2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MITYANA-BUSUNJU'!$AE$9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MITYANA-BUSUNJU'!$R$10:$R$33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MITYANA-BUSUNJU'!$AE$10:$AE$33</c:f>
              <c:numCache>
                <c:formatCode>0</c:formatCode>
                <c:ptCount val="24"/>
                <c:pt idx="0">
                  <c:v>5.1428571428571423</c:v>
                </c:pt>
                <c:pt idx="1">
                  <c:v>5.8571428571428568</c:v>
                </c:pt>
                <c:pt idx="2">
                  <c:v>8.5714285714285712</c:v>
                </c:pt>
                <c:pt idx="3">
                  <c:v>7.8571428571428568</c:v>
                </c:pt>
                <c:pt idx="4">
                  <c:v>9.8571428571428559</c:v>
                </c:pt>
                <c:pt idx="5">
                  <c:v>9.1428571428571423</c:v>
                </c:pt>
                <c:pt idx="6">
                  <c:v>7.7142857142857135</c:v>
                </c:pt>
                <c:pt idx="7">
                  <c:v>6.8571428571428568</c:v>
                </c:pt>
                <c:pt idx="8">
                  <c:v>7.9999999999999982</c:v>
                </c:pt>
                <c:pt idx="9">
                  <c:v>7.2857142857142847</c:v>
                </c:pt>
                <c:pt idx="10">
                  <c:v>7.8571428571428559</c:v>
                </c:pt>
                <c:pt idx="11">
                  <c:v>11.428571428571427</c:v>
                </c:pt>
                <c:pt idx="12">
                  <c:v>9.5</c:v>
                </c:pt>
                <c:pt idx="13">
                  <c:v>9</c:v>
                </c:pt>
                <c:pt idx="14">
                  <c:v>11</c:v>
                </c:pt>
                <c:pt idx="15">
                  <c:v>9</c:v>
                </c:pt>
                <c:pt idx="16">
                  <c:v>8.5</c:v>
                </c:pt>
                <c:pt idx="17">
                  <c:v>10.5</c:v>
                </c:pt>
                <c:pt idx="18">
                  <c:v>10</c:v>
                </c:pt>
                <c:pt idx="19">
                  <c:v>10.5</c:v>
                </c:pt>
                <c:pt idx="20">
                  <c:v>9.5</c:v>
                </c:pt>
                <c:pt idx="21">
                  <c:v>15.5</c:v>
                </c:pt>
                <c:pt idx="22">
                  <c:v>15</c:v>
                </c:pt>
                <c:pt idx="23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MITYANA-BUSUNJU'!$AF$9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MITYANA-BUSUNJU'!$R$10:$R$33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MITYANA-BUSUNJU'!$AF$10:$AF$33</c:f>
              <c:numCache>
                <c:formatCode>0</c:formatCode>
                <c:ptCount val="24"/>
                <c:pt idx="0">
                  <c:v>37.428571428571423</c:v>
                </c:pt>
                <c:pt idx="1">
                  <c:v>45.428571428571431</c:v>
                </c:pt>
                <c:pt idx="2">
                  <c:v>50.428571428571423</c:v>
                </c:pt>
                <c:pt idx="3">
                  <c:v>48</c:v>
                </c:pt>
                <c:pt idx="4">
                  <c:v>50.714285714285715</c:v>
                </c:pt>
                <c:pt idx="5">
                  <c:v>55.571428571428569</c:v>
                </c:pt>
                <c:pt idx="6">
                  <c:v>61.142857142857139</c:v>
                </c:pt>
                <c:pt idx="7">
                  <c:v>55</c:v>
                </c:pt>
                <c:pt idx="8">
                  <c:v>59.714285714285708</c:v>
                </c:pt>
                <c:pt idx="9">
                  <c:v>59.285714285714278</c:v>
                </c:pt>
                <c:pt idx="10">
                  <c:v>53.714285714285708</c:v>
                </c:pt>
                <c:pt idx="11">
                  <c:v>52.428571428571431</c:v>
                </c:pt>
                <c:pt idx="12">
                  <c:v>66</c:v>
                </c:pt>
                <c:pt idx="13">
                  <c:v>45.5</c:v>
                </c:pt>
                <c:pt idx="14">
                  <c:v>39</c:v>
                </c:pt>
                <c:pt idx="15">
                  <c:v>29.5</c:v>
                </c:pt>
                <c:pt idx="16">
                  <c:v>19.5</c:v>
                </c:pt>
                <c:pt idx="17">
                  <c:v>12.5</c:v>
                </c:pt>
                <c:pt idx="18">
                  <c:v>10</c:v>
                </c:pt>
                <c:pt idx="19">
                  <c:v>10.5</c:v>
                </c:pt>
                <c:pt idx="20">
                  <c:v>9.5</c:v>
                </c:pt>
                <c:pt idx="21">
                  <c:v>22</c:v>
                </c:pt>
                <c:pt idx="22">
                  <c:v>29.5</c:v>
                </c:pt>
                <c:pt idx="23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769216"/>
        <c:axId val="125771136"/>
      </c:lineChart>
      <c:catAx>
        <c:axId val="125769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771136"/>
        <c:crosses val="autoZero"/>
        <c:auto val="1"/>
        <c:lblAlgn val="ctr"/>
        <c:lblOffset val="100"/>
        <c:noMultiLvlLbl val="0"/>
      </c:catAx>
      <c:valAx>
        <c:axId val="125771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76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MITYANA-BUSUNJU'!$C$9:$N$9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MITYANA-BUSUNJU'!$C$107:$N$107</c:f>
              <c:numCache>
                <c:formatCode>0.0%</c:formatCode>
                <c:ptCount val="12"/>
                <c:pt idx="0">
                  <c:v>6.6381156316916504E-2</c:v>
                </c:pt>
                <c:pt idx="1">
                  <c:v>3.020010337443698E-2</c:v>
                </c:pt>
                <c:pt idx="2">
                  <c:v>2.6951192497969439E-2</c:v>
                </c:pt>
                <c:pt idx="3">
                  <c:v>1.2774126855201953E-2</c:v>
                </c:pt>
                <c:pt idx="4">
                  <c:v>1.0337443697851288E-3</c:v>
                </c:pt>
                <c:pt idx="5">
                  <c:v>2.1413276231263384E-3</c:v>
                </c:pt>
                <c:pt idx="6">
                  <c:v>5.1687218489256441E-2</c:v>
                </c:pt>
                <c:pt idx="7">
                  <c:v>2.5474414826847824E-2</c:v>
                </c:pt>
                <c:pt idx="8">
                  <c:v>2.229934283393635E-2</c:v>
                </c:pt>
                <c:pt idx="9">
                  <c:v>3.544266410691871E-3</c:v>
                </c:pt>
                <c:pt idx="10">
                  <c:v>0.75751310640183123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MITYANA-BUSUNJU'!$C$9:$N$9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MITYANA-BUSUNJU'!$C$108:$N$108</c:f>
              <c:numCache>
                <c:formatCode>0.00%</c:formatCode>
                <c:ptCount val="12"/>
                <c:pt idx="0">
                  <c:v>0.27375152253349577</c:v>
                </c:pt>
                <c:pt idx="1">
                  <c:v>0.12454323995127894</c:v>
                </c:pt>
                <c:pt idx="2">
                  <c:v>0.11114494518879418</c:v>
                </c:pt>
                <c:pt idx="3">
                  <c:v>5.2679658952496967E-2</c:v>
                </c:pt>
                <c:pt idx="4">
                  <c:v>4.2630937880633367E-3</c:v>
                </c:pt>
                <c:pt idx="5">
                  <c:v>8.8306942752740553E-3</c:v>
                </c:pt>
                <c:pt idx="6">
                  <c:v>0.21315468940316684</c:v>
                </c:pt>
                <c:pt idx="7">
                  <c:v>0.10505481120584655</c:v>
                </c:pt>
                <c:pt idx="8">
                  <c:v>9.1961023142509132E-2</c:v>
                </c:pt>
                <c:pt idx="9">
                  <c:v>1.4616321559074302E-2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BUSUNJU-MITYANA'!$AE$9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BUSUNJU-MITYANA'!$R$10:$R$33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BUSUNJU-MITYANA'!$AE$10:$AE$33</c:f>
              <c:numCache>
                <c:formatCode>0</c:formatCode>
                <c:ptCount val="24"/>
                <c:pt idx="0">
                  <c:v>5.2857142857142856</c:v>
                </c:pt>
                <c:pt idx="1">
                  <c:v>5.4285714285714288</c:v>
                </c:pt>
                <c:pt idx="2">
                  <c:v>6.9999999999999982</c:v>
                </c:pt>
                <c:pt idx="3">
                  <c:v>7</c:v>
                </c:pt>
                <c:pt idx="4">
                  <c:v>8.8571428571428577</c:v>
                </c:pt>
                <c:pt idx="5">
                  <c:v>9.1428571428571423</c:v>
                </c:pt>
                <c:pt idx="6">
                  <c:v>7.7142857142857135</c:v>
                </c:pt>
                <c:pt idx="7">
                  <c:v>7.1428571428571423</c:v>
                </c:pt>
                <c:pt idx="8">
                  <c:v>8.5714285714285694</c:v>
                </c:pt>
                <c:pt idx="9">
                  <c:v>7.428571428571427</c:v>
                </c:pt>
                <c:pt idx="10">
                  <c:v>7.2857142857142838</c:v>
                </c:pt>
                <c:pt idx="11">
                  <c:v>11.428571428571429</c:v>
                </c:pt>
                <c:pt idx="12">
                  <c:v>14</c:v>
                </c:pt>
                <c:pt idx="13">
                  <c:v>8</c:v>
                </c:pt>
                <c:pt idx="14">
                  <c:v>6</c:v>
                </c:pt>
                <c:pt idx="15">
                  <c:v>5.5</c:v>
                </c:pt>
                <c:pt idx="16">
                  <c:v>6</c:v>
                </c:pt>
                <c:pt idx="17">
                  <c:v>6.5</c:v>
                </c:pt>
                <c:pt idx="18">
                  <c:v>4</c:v>
                </c:pt>
                <c:pt idx="19">
                  <c:v>3.5</c:v>
                </c:pt>
                <c:pt idx="20">
                  <c:v>7.5</c:v>
                </c:pt>
                <c:pt idx="21">
                  <c:v>3.5</c:v>
                </c:pt>
                <c:pt idx="22">
                  <c:v>8</c:v>
                </c:pt>
                <c:pt idx="23">
                  <c:v>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BUSUNJU-MITYANA'!$AF$9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BUSUNJU-MITYANA'!$R$10:$R$33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BUSUNJU-MITYANA'!$AF$10:$AF$33</c:f>
              <c:numCache>
                <c:formatCode>0</c:formatCode>
                <c:ptCount val="24"/>
                <c:pt idx="0">
                  <c:v>35.857142857142854</c:v>
                </c:pt>
                <c:pt idx="1">
                  <c:v>48.571428571428569</c:v>
                </c:pt>
                <c:pt idx="2">
                  <c:v>51.571428571428569</c:v>
                </c:pt>
                <c:pt idx="3">
                  <c:v>43.285714285714285</c:v>
                </c:pt>
                <c:pt idx="4">
                  <c:v>49.857142857142854</c:v>
                </c:pt>
                <c:pt idx="5">
                  <c:v>53.857142857142861</c:v>
                </c:pt>
                <c:pt idx="6">
                  <c:v>63.142857142857139</c:v>
                </c:pt>
                <c:pt idx="7">
                  <c:v>57.142857142857139</c:v>
                </c:pt>
                <c:pt idx="8">
                  <c:v>63.857142857142854</c:v>
                </c:pt>
                <c:pt idx="9">
                  <c:v>57.714285714285722</c:v>
                </c:pt>
                <c:pt idx="10">
                  <c:v>57.571428571428569</c:v>
                </c:pt>
                <c:pt idx="11">
                  <c:v>53.142857142857146</c:v>
                </c:pt>
                <c:pt idx="12">
                  <c:v>89</c:v>
                </c:pt>
                <c:pt idx="13">
                  <c:v>48.5</c:v>
                </c:pt>
                <c:pt idx="14">
                  <c:v>24</c:v>
                </c:pt>
                <c:pt idx="15">
                  <c:v>22</c:v>
                </c:pt>
                <c:pt idx="16">
                  <c:v>12</c:v>
                </c:pt>
                <c:pt idx="17">
                  <c:v>9</c:v>
                </c:pt>
                <c:pt idx="18">
                  <c:v>4</c:v>
                </c:pt>
                <c:pt idx="19">
                  <c:v>3.5</c:v>
                </c:pt>
                <c:pt idx="20">
                  <c:v>7.5</c:v>
                </c:pt>
                <c:pt idx="21">
                  <c:v>5</c:v>
                </c:pt>
                <c:pt idx="22">
                  <c:v>9.5</c:v>
                </c:pt>
                <c:pt idx="23">
                  <c:v>10.5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62048"/>
        <c:axId val="126163968"/>
      </c:lineChart>
      <c:catAx>
        <c:axId val="1261620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163968"/>
        <c:crosses val="autoZero"/>
        <c:auto val="1"/>
        <c:lblAlgn val="ctr"/>
        <c:lblOffset val="100"/>
        <c:noMultiLvlLbl val="0"/>
      </c:catAx>
      <c:valAx>
        <c:axId val="1261639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616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BUSUNJU-MITYANA'!$C$9:$N$9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BUSUNJU-MITYANA'!$C$107:$N$107</c:f>
              <c:numCache>
                <c:formatCode>0.0%</c:formatCode>
                <c:ptCount val="12"/>
                <c:pt idx="0">
                  <c:v>6.533560587614641E-2</c:v>
                </c:pt>
                <c:pt idx="1">
                  <c:v>2.3618212807401995E-2</c:v>
                </c:pt>
                <c:pt idx="2">
                  <c:v>2.2238454670887104E-2</c:v>
                </c:pt>
                <c:pt idx="3">
                  <c:v>1.1443876308741174E-2</c:v>
                </c:pt>
                <c:pt idx="4">
                  <c:v>2.8406785163541917E-3</c:v>
                </c:pt>
                <c:pt idx="5">
                  <c:v>8.1162243324405469E-4</c:v>
                </c:pt>
                <c:pt idx="6">
                  <c:v>3.1977923869815759E-2</c:v>
                </c:pt>
                <c:pt idx="7">
                  <c:v>1.9073127181235286E-2</c:v>
                </c:pt>
                <c:pt idx="8">
                  <c:v>7.3046018991964933E-3</c:v>
                </c:pt>
                <c:pt idx="9">
                  <c:v>9.982955928901872E-3</c:v>
                </c:pt>
                <c:pt idx="10">
                  <c:v>0.80537294050807551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BUSUNJU-MITYANA'!$C$9:$N$9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BUSUNJU-MITYANA'!$C$108:$N$108</c:f>
              <c:numCache>
                <c:formatCode>0.00%</c:formatCode>
                <c:ptCount val="12"/>
                <c:pt idx="0">
                  <c:v>0.33569641367806508</c:v>
                </c:pt>
                <c:pt idx="1">
                  <c:v>0.12135112593828193</c:v>
                </c:pt>
                <c:pt idx="2">
                  <c:v>0.11426188490408676</c:v>
                </c:pt>
                <c:pt idx="3">
                  <c:v>5.8798999165971658E-2</c:v>
                </c:pt>
                <c:pt idx="4">
                  <c:v>1.4595496246872394E-2</c:v>
                </c:pt>
                <c:pt idx="5">
                  <c:v>4.1701417848206837E-3</c:v>
                </c:pt>
                <c:pt idx="6">
                  <c:v>0.16430358632193498</c:v>
                </c:pt>
                <c:pt idx="7">
                  <c:v>9.7998331943286068E-2</c:v>
                </c:pt>
                <c:pt idx="8">
                  <c:v>3.753127606338616E-2</c:v>
                </c:pt>
                <c:pt idx="9">
                  <c:v>5.129274395329441E-2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MITYANA-BUSUNJU-2Dirc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MITYANA-BUSUNJU-2Dirc '!$C$107:$N$107</c:f>
              <c:numCache>
                <c:formatCode>0.0%</c:formatCode>
                <c:ptCount val="12"/>
                <c:pt idx="0">
                  <c:v>6.5883080729972177E-2</c:v>
                </c:pt>
                <c:pt idx="1">
                  <c:v>2.7064645839777302E-2</c:v>
                </c:pt>
                <c:pt idx="2">
                  <c:v>2.4706155273739563E-2</c:v>
                </c:pt>
                <c:pt idx="3">
                  <c:v>1.2140426848128679E-2</c:v>
                </c:pt>
                <c:pt idx="4">
                  <c:v>1.8945252087844112E-3</c:v>
                </c:pt>
                <c:pt idx="5">
                  <c:v>1.5078874110733068E-3</c:v>
                </c:pt>
                <c:pt idx="6">
                  <c:v>4.2298175069594809E-2</c:v>
                </c:pt>
                <c:pt idx="7">
                  <c:v>2.2424992267244051E-2</c:v>
                </c:pt>
                <c:pt idx="8">
                  <c:v>1.5156201670275289E-2</c:v>
                </c:pt>
                <c:pt idx="9">
                  <c:v>6.6115063408598842E-3</c:v>
                </c:pt>
                <c:pt idx="10">
                  <c:v>0.78031240334055063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MITYANA-BUSUNJU-2Dirc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MITYANA-BUSUNJU-2Dirc '!$C$108:$N$108</c:f>
              <c:numCache>
                <c:formatCode>0.00%</c:formatCode>
                <c:ptCount val="12"/>
                <c:pt idx="0">
                  <c:v>0.2998944033790919</c:v>
                </c:pt>
                <c:pt idx="1">
                  <c:v>0.12319605772615279</c:v>
                </c:pt>
                <c:pt idx="2">
                  <c:v>0.11246040126715946</c:v>
                </c:pt>
                <c:pt idx="3">
                  <c:v>5.5262231608588556E-2</c:v>
                </c:pt>
                <c:pt idx="4">
                  <c:v>8.6237240408306957E-3</c:v>
                </c:pt>
                <c:pt idx="5">
                  <c:v>6.8637803590285125E-3</c:v>
                </c:pt>
                <c:pt idx="6">
                  <c:v>0.19253783878915878</c:v>
                </c:pt>
                <c:pt idx="7">
                  <c:v>0.10207673354452661</c:v>
                </c:pt>
                <c:pt idx="8">
                  <c:v>6.8989792326645566E-2</c:v>
                </c:pt>
                <c:pt idx="9">
                  <c:v>3.0095036958817326E-2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MITYANA-BUSUNJU-2Dirc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MITYANA-BUSUNJU-2Dirc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MITYANA-BUSUNJU-2Dirc '!$AE$10:$AE$33</c:f>
              <c:numCache>
                <c:formatCode>0</c:formatCode>
                <c:ptCount val="24"/>
                <c:pt idx="0">
                  <c:v>10.428571428571429</c:v>
                </c:pt>
                <c:pt idx="1">
                  <c:v>11.285714285714283</c:v>
                </c:pt>
                <c:pt idx="2">
                  <c:v>15.571428571428569</c:v>
                </c:pt>
                <c:pt idx="3">
                  <c:v>14.857142857142858</c:v>
                </c:pt>
                <c:pt idx="4">
                  <c:v>18.714285714285715</c:v>
                </c:pt>
                <c:pt idx="5">
                  <c:v>18.285714285714285</c:v>
                </c:pt>
                <c:pt idx="6">
                  <c:v>15.428571428571427</c:v>
                </c:pt>
                <c:pt idx="7">
                  <c:v>14</c:v>
                </c:pt>
                <c:pt idx="8">
                  <c:v>16.571428571428569</c:v>
                </c:pt>
                <c:pt idx="9">
                  <c:v>14.714285714285712</c:v>
                </c:pt>
                <c:pt idx="10">
                  <c:v>15.142857142857141</c:v>
                </c:pt>
                <c:pt idx="11">
                  <c:v>22.857142857142854</c:v>
                </c:pt>
                <c:pt idx="12">
                  <c:v>23.5</c:v>
                </c:pt>
                <c:pt idx="13">
                  <c:v>17</c:v>
                </c:pt>
                <c:pt idx="14">
                  <c:v>17</c:v>
                </c:pt>
                <c:pt idx="15">
                  <c:v>14.5</c:v>
                </c:pt>
                <c:pt idx="16">
                  <c:v>14.5</c:v>
                </c:pt>
                <c:pt idx="17">
                  <c:v>17</c:v>
                </c:pt>
                <c:pt idx="18">
                  <c:v>14</c:v>
                </c:pt>
                <c:pt idx="19">
                  <c:v>14</c:v>
                </c:pt>
                <c:pt idx="20">
                  <c:v>17</c:v>
                </c:pt>
                <c:pt idx="21">
                  <c:v>19</c:v>
                </c:pt>
                <c:pt idx="22">
                  <c:v>23</c:v>
                </c:pt>
                <c:pt idx="23">
                  <c:v>27.5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5DE-45A7-A439-DBDA0A32E91C}"/>
            </c:ext>
          </c:extLst>
        </c:ser>
        <c:ser>
          <c:idx val="1"/>
          <c:order val="1"/>
          <c:tx>
            <c:strRef>
              <c:f>'Avg Week MITYANA-BUSUNJU-2Dirc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MITYANA-BUSUNJU-2Dirc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MITYANA-BUSUNJU-2Dirc '!$AF$10:$AF$33</c:f>
              <c:numCache>
                <c:formatCode>0</c:formatCode>
                <c:ptCount val="24"/>
                <c:pt idx="0">
                  <c:v>73.285714285714278</c:v>
                </c:pt>
                <c:pt idx="1">
                  <c:v>93.999999999999986</c:v>
                </c:pt>
                <c:pt idx="2">
                  <c:v>102</c:v>
                </c:pt>
                <c:pt idx="3">
                  <c:v>91.285714285714292</c:v>
                </c:pt>
                <c:pt idx="4">
                  <c:v>100.57142857142857</c:v>
                </c:pt>
                <c:pt idx="5">
                  <c:v>109.42857142857143</c:v>
                </c:pt>
                <c:pt idx="6">
                  <c:v>124.28571428571429</c:v>
                </c:pt>
                <c:pt idx="7">
                  <c:v>112.14285714285714</c:v>
                </c:pt>
                <c:pt idx="8">
                  <c:v>123.57142857142857</c:v>
                </c:pt>
                <c:pt idx="9">
                  <c:v>117</c:v>
                </c:pt>
                <c:pt idx="10">
                  <c:v>111.28571428571428</c:v>
                </c:pt>
                <c:pt idx="11">
                  <c:v>105.57142857142856</c:v>
                </c:pt>
                <c:pt idx="12">
                  <c:v>155</c:v>
                </c:pt>
                <c:pt idx="13">
                  <c:v>94</c:v>
                </c:pt>
                <c:pt idx="14">
                  <c:v>63</c:v>
                </c:pt>
                <c:pt idx="15">
                  <c:v>51.5</c:v>
                </c:pt>
                <c:pt idx="16">
                  <c:v>31.5</c:v>
                </c:pt>
                <c:pt idx="17">
                  <c:v>21.5</c:v>
                </c:pt>
                <c:pt idx="18">
                  <c:v>14</c:v>
                </c:pt>
                <c:pt idx="19">
                  <c:v>14</c:v>
                </c:pt>
                <c:pt idx="20">
                  <c:v>17</c:v>
                </c:pt>
                <c:pt idx="21">
                  <c:v>27</c:v>
                </c:pt>
                <c:pt idx="22">
                  <c:v>39</c:v>
                </c:pt>
                <c:pt idx="23">
                  <c:v>55.5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5DE-45A7-A439-DBDA0A32E91C}"/>
            </c:ext>
          </c:extLst>
        </c:ser>
        <c:ser>
          <c:idx val="5"/>
          <c:order val="2"/>
          <c:tx>
            <c:strRef>
              <c:f>'Avg Week MITYANA-BUSUNJU-2Dirc 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MITYANA-BUSUNJU-2Dirc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MITYANA-BUSUNJU-2Dirc '!$AC$10:$AC$33</c:f>
              <c:numCache>
                <c:formatCode>0</c:formatCode>
                <c:ptCount val="24"/>
                <c:pt idx="0">
                  <c:v>62.857142857142854</c:v>
                </c:pt>
                <c:pt idx="1">
                  <c:v>82.714285714285708</c:v>
                </c:pt>
                <c:pt idx="2">
                  <c:v>86.428571428571416</c:v>
                </c:pt>
                <c:pt idx="3">
                  <c:v>76.428571428571431</c:v>
                </c:pt>
                <c:pt idx="4">
                  <c:v>81.857142857142861</c:v>
                </c:pt>
                <c:pt idx="5">
                  <c:v>91.142857142857139</c:v>
                </c:pt>
                <c:pt idx="6">
                  <c:v>108.85714285714286</c:v>
                </c:pt>
                <c:pt idx="7">
                  <c:v>98.142857142857139</c:v>
                </c:pt>
                <c:pt idx="8">
                  <c:v>107</c:v>
                </c:pt>
                <c:pt idx="9">
                  <c:v>102.28571428571428</c:v>
                </c:pt>
                <c:pt idx="10">
                  <c:v>96.142857142857139</c:v>
                </c:pt>
                <c:pt idx="11">
                  <c:v>82.714285714285722</c:v>
                </c:pt>
                <c:pt idx="12">
                  <c:v>131.5</c:v>
                </c:pt>
                <c:pt idx="13">
                  <c:v>77</c:v>
                </c:pt>
                <c:pt idx="14">
                  <c:v>46</c:v>
                </c:pt>
                <c:pt idx="15">
                  <c:v>37</c:v>
                </c:pt>
                <c:pt idx="16">
                  <c:v>17</c:v>
                </c:pt>
                <c:pt idx="17">
                  <c:v>4.5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8</c:v>
                </c:pt>
                <c:pt idx="22">
                  <c:v>16</c:v>
                </c:pt>
                <c:pt idx="23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DE-45A7-A439-DBDA0A32E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MITYANA-BUSUNJU-2Dirc 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MITYANA-BUSUNJU-2Dirc '!$S$41:$AF$41</c:f>
              <c:numCache>
                <c:formatCode>_(* #,##0_);_(* \(#,##0\);_(* "-"_);_(@_)</c:formatCode>
                <c:ptCount val="14"/>
                <c:pt idx="0">
                  <c:v>121.71428571428572</c:v>
                </c:pt>
                <c:pt idx="1">
                  <c:v>50</c:v>
                </c:pt>
                <c:pt idx="2">
                  <c:v>45.642857142857139</c:v>
                </c:pt>
                <c:pt idx="3">
                  <c:v>22.428571428571427</c:v>
                </c:pt>
                <c:pt idx="4">
                  <c:v>3.5</c:v>
                </c:pt>
                <c:pt idx="5">
                  <c:v>2.7857142857142856</c:v>
                </c:pt>
                <c:pt idx="6">
                  <c:v>78.142857142857139</c:v>
                </c:pt>
                <c:pt idx="7">
                  <c:v>41.428571428571431</c:v>
                </c:pt>
                <c:pt idx="8">
                  <c:v>28</c:v>
                </c:pt>
                <c:pt idx="9">
                  <c:v>12.214285714285715</c:v>
                </c:pt>
                <c:pt idx="10">
                  <c:v>1441.5714285714284</c:v>
                </c:pt>
                <c:pt idx="11">
                  <c:v>0</c:v>
                </c:pt>
                <c:pt idx="12">
                  <c:v>405.85714285714289</c:v>
                </c:pt>
                <c:pt idx="13">
                  <c:v>1847.4285714285711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3A-4D25-B7C8-1414D3A0146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MITYANA-BUSUNJU-2Dirc 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MITYANA-BUSUNJU-2Dirc '!$S$42:$AF$42</c:f>
              <c:numCache>
                <c:formatCode>0.000</c:formatCode>
                <c:ptCount val="14"/>
                <c:pt idx="0">
                  <c:v>1.7459016393442621</c:v>
                </c:pt>
                <c:pt idx="1">
                  <c:v>2.2727272727272729</c:v>
                </c:pt>
                <c:pt idx="2">
                  <c:v>1.8905325443786984</c:v>
                </c:pt>
                <c:pt idx="3">
                  <c:v>1.6702127659574468</c:v>
                </c:pt>
                <c:pt idx="4">
                  <c:v>1.7500000000000002</c:v>
                </c:pt>
                <c:pt idx="5">
                  <c:v>2.166666666666667</c:v>
                </c:pt>
                <c:pt idx="6">
                  <c:v>2.1038461538461535</c:v>
                </c:pt>
                <c:pt idx="7">
                  <c:v>3.0851063829787235</c:v>
                </c:pt>
                <c:pt idx="8">
                  <c:v>7.0000000000000018</c:v>
                </c:pt>
                <c:pt idx="9">
                  <c:v>17.100000000000005</c:v>
                </c:pt>
                <c:pt idx="10">
                  <c:v>1.3390392781316349</c:v>
                </c:pt>
                <c:pt idx="11">
                  <c:v>0</c:v>
                </c:pt>
                <c:pt idx="12">
                  <c:v>2.1604562737642587</c:v>
                </c:pt>
                <c:pt idx="13">
                  <c:v>1.4610778443113774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8-4EA7-B6F7-BBEBC82F404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.xml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7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3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7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9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3.xml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4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5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4.xml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7.jpeg"/><Relationship Id="rId4" Type="http://schemas.openxmlformats.org/officeDocument/2006/relationships/image" Target="../media/image4.emf"/><Relationship Id="rId9" Type="http://schemas.openxmlformats.org/officeDocument/2006/relationships/image" Target="../media/image13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153913</xdr:colOff>
      <xdr:row>7</xdr:row>
      <xdr:rowOff>221910</xdr:rowOff>
    </xdr:from>
    <xdr:to>
      <xdr:col>7</xdr:col>
      <xdr:colOff>861100</xdr:colOff>
      <xdr:row>7</xdr:row>
      <xdr:rowOff>603336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37163" y="209516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22224</xdr:rowOff>
    </xdr:from>
    <xdr:to>
      <xdr:col>27</xdr:col>
      <xdr:colOff>698500</xdr:colOff>
      <xdr:row>59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279400</xdr:rowOff>
    </xdr:from>
    <xdr:to>
      <xdr:col>23</xdr:col>
      <xdr:colOff>0</xdr:colOff>
      <xdr:row>74</xdr:row>
      <xdr:rowOff>79375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60</xdr:row>
      <xdr:rowOff>15875</xdr:rowOff>
    </xdr:from>
    <xdr:to>
      <xdr:col>31</xdr:col>
      <xdr:colOff>15875</xdr:colOff>
      <xdr:row>74</xdr:row>
      <xdr:rowOff>101600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38099</xdr:rowOff>
    </xdr:from>
    <xdr:to>
      <xdr:col>28</xdr:col>
      <xdr:colOff>0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15876</xdr:colOff>
      <xdr:row>60</xdr:row>
      <xdr:rowOff>9525</xdr:rowOff>
    </xdr:from>
    <xdr:to>
      <xdr:col>22</xdr:col>
      <xdr:colOff>698501</xdr:colOff>
      <xdr:row>74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31750</xdr:colOff>
      <xdr:row>60</xdr:row>
      <xdr:rowOff>15875</xdr:rowOff>
    </xdr:from>
    <xdr:to>
      <xdr:col>31</xdr:col>
      <xdr:colOff>31751</xdr:colOff>
      <xdr:row>74</xdr:row>
      <xdr:rowOff>101600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75</xdr:row>
      <xdr:rowOff>41275</xdr:rowOff>
    </xdr:from>
    <xdr:to>
      <xdr:col>23</xdr:col>
      <xdr:colOff>650874</xdr:colOff>
      <xdr:row>91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59</xdr:row>
      <xdr:rowOff>1</xdr:rowOff>
    </xdr:from>
    <xdr:to>
      <xdr:col>23</xdr:col>
      <xdr:colOff>650875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186414</xdr:colOff>
      <xdr:row>58</xdr:row>
      <xdr:rowOff>215903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1105F67-D762-48EA-B615-5271F97FA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0</xdr:colOff>
      <xdr:row>59</xdr:row>
      <xdr:rowOff>0</xdr:rowOff>
    </xdr:from>
    <xdr:to>
      <xdr:col>30</xdr:col>
      <xdr:colOff>698500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FB8205D-3EA0-40D0-80B1-52704927F3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0</xdr:colOff>
      <xdr:row>75</xdr:row>
      <xdr:rowOff>63500</xdr:rowOff>
    </xdr:from>
    <xdr:to>
      <xdr:col>30</xdr:col>
      <xdr:colOff>698500</xdr:colOff>
      <xdr:row>91</xdr:row>
      <xdr:rowOff>77788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B23544-D168-4019-8F4E-ACADF94202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">
        <v>169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tr">
        <f>'17.10 BUSUNGU-MITYANA'!D5</f>
        <v>17.10.2019</v>
      </c>
      <c r="E5" s="3"/>
      <c r="F5" s="41" t="s">
        <v>1</v>
      </c>
      <c r="G5" s="64" t="str">
        <f>'17.10 BUSUNGU-MITYANA'!G5:H5</f>
        <v>EXCEL&amp;LOOGE</v>
      </c>
      <c r="H5" s="65"/>
      <c r="I5" s="51"/>
      <c r="J5" s="2" t="s">
        <v>5</v>
      </c>
      <c r="K5" s="64" t="s">
        <v>168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">
        <v>166</v>
      </c>
      <c r="E6" s="65"/>
      <c r="F6" s="2" t="s">
        <v>2</v>
      </c>
      <c r="G6" s="64" t="s">
        <v>170</v>
      </c>
      <c r="H6" s="65"/>
      <c r="J6" s="2" t="s">
        <v>21</v>
      </c>
      <c r="K6" s="64" t="str">
        <f>'17.10 BUSUNGU-MITYANA'!K6:L6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</v>
      </c>
      <c r="N10" s="50">
        <v>0</v>
      </c>
      <c r="O10" s="15">
        <v>3</v>
      </c>
      <c r="P10" s="15">
        <f t="shared" ref="P10:P57" si="0">SUM(C10:N10)</f>
        <v>5</v>
      </c>
      <c r="R10" s="1" t="s">
        <v>6</v>
      </c>
      <c r="S10" s="17">
        <f t="shared" ref="S10:AF10" si="1">SUM(C10:C13)</f>
        <v>1</v>
      </c>
      <c r="T10" s="17">
        <f t="shared" si="1"/>
        <v>0</v>
      </c>
      <c r="U10" s="17">
        <f t="shared" si="1"/>
        <v>1</v>
      </c>
      <c r="V10" s="17">
        <f t="shared" si="1"/>
        <v>1</v>
      </c>
      <c r="W10" s="17">
        <f t="shared" si="1"/>
        <v>0</v>
      </c>
      <c r="X10" s="17">
        <f t="shared" si="1"/>
        <v>0</v>
      </c>
      <c r="Y10" s="17">
        <f t="shared" si="1"/>
        <v>0</v>
      </c>
      <c r="Z10" s="17">
        <f t="shared" si="1"/>
        <v>0</v>
      </c>
      <c r="AA10" s="17">
        <f t="shared" si="1"/>
        <v>0</v>
      </c>
      <c r="AB10" s="17">
        <f t="shared" si="1"/>
        <v>2</v>
      </c>
      <c r="AC10" s="17">
        <f t="shared" si="1"/>
        <v>22</v>
      </c>
      <c r="AD10" s="17">
        <f t="shared" si="1"/>
        <v>0</v>
      </c>
      <c r="AE10" s="31">
        <f t="shared" si="1"/>
        <v>22</v>
      </c>
      <c r="AF10" s="31">
        <f t="shared" si="1"/>
        <v>27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1</v>
      </c>
      <c r="M11" s="50">
        <v>5</v>
      </c>
      <c r="N11" s="50">
        <v>0</v>
      </c>
      <c r="O11" s="15">
        <v>5</v>
      </c>
      <c r="P11" s="15">
        <f t="shared" si="0"/>
        <v>6</v>
      </c>
      <c r="R11" s="1" t="s">
        <v>7</v>
      </c>
      <c r="S11" s="17">
        <f t="shared" ref="S11:AF11" si="2">SUM(C14:C17)</f>
        <v>0</v>
      </c>
      <c r="T11" s="17">
        <f t="shared" si="2"/>
        <v>1</v>
      </c>
      <c r="U11" s="17">
        <f t="shared" si="2"/>
        <v>1</v>
      </c>
      <c r="V11" s="17">
        <f t="shared" si="2"/>
        <v>0</v>
      </c>
      <c r="W11" s="17">
        <f t="shared" si="2"/>
        <v>0</v>
      </c>
      <c r="X11" s="17">
        <f t="shared" si="2"/>
        <v>0</v>
      </c>
      <c r="Y11" s="17">
        <f t="shared" si="2"/>
        <v>4</v>
      </c>
      <c r="Z11" s="17">
        <f t="shared" si="2"/>
        <v>0</v>
      </c>
      <c r="AA11" s="17">
        <f t="shared" si="2"/>
        <v>0</v>
      </c>
      <c r="AB11" s="17">
        <f t="shared" si="2"/>
        <v>0</v>
      </c>
      <c r="AC11" s="17">
        <f t="shared" si="2"/>
        <v>44</v>
      </c>
      <c r="AD11" s="17">
        <f t="shared" si="2"/>
        <v>0</v>
      </c>
      <c r="AE11" s="31">
        <f t="shared" si="2"/>
        <v>7</v>
      </c>
      <c r="AF11" s="31">
        <f t="shared" si="2"/>
        <v>50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1</v>
      </c>
      <c r="M12" s="50">
        <v>8</v>
      </c>
      <c r="N12" s="50">
        <v>0</v>
      </c>
      <c r="O12" s="15">
        <v>8</v>
      </c>
      <c r="P12" s="15">
        <f t="shared" si="0"/>
        <v>9</v>
      </c>
      <c r="R12" s="1" t="s">
        <v>8</v>
      </c>
      <c r="S12" s="17">
        <f t="shared" ref="S12:AF12" si="3">SUM(C18:C21)</f>
        <v>2</v>
      </c>
      <c r="T12" s="17">
        <f t="shared" si="3"/>
        <v>1</v>
      </c>
      <c r="U12" s="17">
        <f t="shared" si="3"/>
        <v>3</v>
      </c>
      <c r="V12" s="17">
        <f t="shared" si="3"/>
        <v>2</v>
      </c>
      <c r="W12" s="17">
        <f t="shared" si="3"/>
        <v>0</v>
      </c>
      <c r="X12" s="17">
        <f t="shared" si="3"/>
        <v>0</v>
      </c>
      <c r="Y12" s="17">
        <f t="shared" si="3"/>
        <v>2</v>
      </c>
      <c r="Z12" s="17">
        <f t="shared" si="3"/>
        <v>0</v>
      </c>
      <c r="AA12" s="17">
        <f t="shared" si="3"/>
        <v>1</v>
      </c>
      <c r="AB12" s="17">
        <f t="shared" si="3"/>
        <v>0</v>
      </c>
      <c r="AC12" s="17">
        <f t="shared" si="3"/>
        <v>40</v>
      </c>
      <c r="AD12" s="17">
        <f t="shared" si="3"/>
        <v>0</v>
      </c>
      <c r="AE12" s="31">
        <f t="shared" si="3"/>
        <v>11</v>
      </c>
      <c r="AF12" s="31">
        <f t="shared" si="3"/>
        <v>51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v>6</v>
      </c>
      <c r="P13" s="15">
        <f t="shared" si="0"/>
        <v>7</v>
      </c>
      <c r="R13" s="1" t="s">
        <v>9</v>
      </c>
      <c r="S13" s="17">
        <f t="shared" ref="S13:AF13" si="4">SUM(C22:C25)</f>
        <v>4</v>
      </c>
      <c r="T13" s="17">
        <f t="shared" si="4"/>
        <v>2</v>
      </c>
      <c r="U13" s="17">
        <f t="shared" si="4"/>
        <v>1</v>
      </c>
      <c r="V13" s="17">
        <f t="shared" si="4"/>
        <v>1</v>
      </c>
      <c r="W13" s="17">
        <f t="shared" si="4"/>
        <v>0</v>
      </c>
      <c r="X13" s="17">
        <f t="shared" si="4"/>
        <v>0</v>
      </c>
      <c r="Y13" s="17">
        <f t="shared" si="4"/>
        <v>2</v>
      </c>
      <c r="Z13" s="17">
        <f t="shared" si="4"/>
        <v>1</v>
      </c>
      <c r="AA13" s="17">
        <f t="shared" si="4"/>
        <v>0</v>
      </c>
      <c r="AB13" s="17">
        <f t="shared" si="4"/>
        <v>0</v>
      </c>
      <c r="AC13" s="17">
        <f t="shared" si="4"/>
        <v>38</v>
      </c>
      <c r="AD13" s="17">
        <f t="shared" si="4"/>
        <v>0</v>
      </c>
      <c r="AE13" s="31">
        <f t="shared" si="4"/>
        <v>11</v>
      </c>
      <c r="AF13" s="31">
        <f t="shared" si="4"/>
        <v>49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v>1</v>
      </c>
      <c r="P14" s="15">
        <f t="shared" si="0"/>
        <v>10</v>
      </c>
      <c r="R14" s="1" t="s">
        <v>10</v>
      </c>
      <c r="S14" s="17">
        <f t="shared" ref="S14:AF14" si="5">SUM(C26:C29)</f>
        <v>4</v>
      </c>
      <c r="T14" s="17">
        <f t="shared" si="5"/>
        <v>5</v>
      </c>
      <c r="U14" s="17">
        <f t="shared" si="5"/>
        <v>1</v>
      </c>
      <c r="V14" s="17">
        <f t="shared" si="5"/>
        <v>0</v>
      </c>
      <c r="W14" s="17">
        <f t="shared" si="5"/>
        <v>0</v>
      </c>
      <c r="X14" s="17">
        <f t="shared" si="5"/>
        <v>0</v>
      </c>
      <c r="Y14" s="17">
        <f t="shared" si="5"/>
        <v>1</v>
      </c>
      <c r="Z14" s="17">
        <f t="shared" si="5"/>
        <v>1</v>
      </c>
      <c r="AA14" s="17">
        <f t="shared" si="5"/>
        <v>1</v>
      </c>
      <c r="AB14" s="17">
        <f t="shared" si="5"/>
        <v>0</v>
      </c>
      <c r="AC14" s="17">
        <f t="shared" si="5"/>
        <v>43</v>
      </c>
      <c r="AD14" s="17">
        <f t="shared" si="5"/>
        <v>0</v>
      </c>
      <c r="AE14" s="31">
        <f t="shared" si="5"/>
        <v>13</v>
      </c>
      <c r="AF14" s="31">
        <f t="shared" si="5"/>
        <v>56</v>
      </c>
    </row>
    <row r="15" spans="2:32" ht="23.1" customHeight="1" x14ac:dyDescent="0.25">
      <c r="B15" s="23" t="s">
        <v>42</v>
      </c>
      <c r="C15" s="50">
        <v>0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ref="O15:O57" si="6">SUM(C15:L15,N15)</f>
        <v>3</v>
      </c>
      <c r="P15" s="15">
        <f t="shared" si="0"/>
        <v>12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1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41</v>
      </c>
      <c r="AD15" s="17">
        <f t="shared" si="7"/>
        <v>0</v>
      </c>
      <c r="AE15" s="31">
        <f t="shared" si="7"/>
        <v>10</v>
      </c>
      <c r="AF15" s="31">
        <f t="shared" si="7"/>
        <v>51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12</v>
      </c>
      <c r="N16" s="50">
        <v>0</v>
      </c>
      <c r="O16" s="15">
        <f t="shared" si="6"/>
        <v>2</v>
      </c>
      <c r="P16" s="15">
        <f t="shared" si="0"/>
        <v>14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1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58</v>
      </c>
      <c r="AD16" s="17">
        <f t="shared" si="8"/>
        <v>0</v>
      </c>
      <c r="AE16" s="31">
        <f t="shared" si="8"/>
        <v>8</v>
      </c>
      <c r="AF16" s="31">
        <f t="shared" si="8"/>
        <v>66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6"/>
        <v>1</v>
      </c>
      <c r="P17" s="15">
        <f t="shared" si="0"/>
        <v>14</v>
      </c>
      <c r="R17" s="1" t="s">
        <v>13</v>
      </c>
      <c r="S17" s="17">
        <f t="shared" ref="S17:AF17" si="9">SUM(C38:C41)</f>
        <v>4</v>
      </c>
      <c r="T17" s="17">
        <f t="shared" si="9"/>
        <v>1</v>
      </c>
      <c r="U17" s="17">
        <f t="shared" si="9"/>
        <v>2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57</v>
      </c>
      <c r="AD17" s="17">
        <f t="shared" si="9"/>
        <v>0</v>
      </c>
      <c r="AE17" s="31">
        <f t="shared" si="9"/>
        <v>11</v>
      </c>
      <c r="AF17" s="31">
        <f t="shared" si="9"/>
        <v>68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10</v>
      </c>
      <c r="N18" s="50">
        <v>0</v>
      </c>
      <c r="O18" s="15">
        <f t="shared" si="6"/>
        <v>2</v>
      </c>
      <c r="P18" s="15">
        <f t="shared" si="0"/>
        <v>12</v>
      </c>
      <c r="R18" s="1" t="s">
        <v>14</v>
      </c>
      <c r="S18" s="17">
        <f t="shared" ref="S18:AF18" si="10">SUM(C42:C45)</f>
        <v>3</v>
      </c>
      <c r="T18" s="17">
        <f t="shared" si="10"/>
        <v>1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1</v>
      </c>
      <c r="AB18" s="17">
        <f t="shared" si="10"/>
        <v>0</v>
      </c>
      <c r="AC18" s="17">
        <f t="shared" si="10"/>
        <v>47</v>
      </c>
      <c r="AD18" s="17">
        <f t="shared" si="10"/>
        <v>0</v>
      </c>
      <c r="AE18" s="31">
        <f t="shared" si="10"/>
        <v>7</v>
      </c>
      <c r="AF18" s="31">
        <f t="shared" si="10"/>
        <v>54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6"/>
        <v>1</v>
      </c>
      <c r="P19" s="15">
        <f t="shared" si="0"/>
        <v>11</v>
      </c>
      <c r="R19" s="1" t="s">
        <v>15</v>
      </c>
      <c r="S19" s="17">
        <f t="shared" ref="S19:AF19" si="11">SUM(C46:C49)</f>
        <v>3</v>
      </c>
      <c r="T19" s="17">
        <f t="shared" si="11"/>
        <v>4</v>
      </c>
      <c r="U19" s="17">
        <f t="shared" si="11"/>
        <v>0</v>
      </c>
      <c r="V19" s="17">
        <f t="shared" si="11"/>
        <v>1</v>
      </c>
      <c r="W19" s="17">
        <f t="shared" si="11"/>
        <v>1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33</v>
      </c>
      <c r="AD19" s="17">
        <f t="shared" si="11"/>
        <v>0</v>
      </c>
      <c r="AE19" s="31">
        <f t="shared" si="11"/>
        <v>9</v>
      </c>
      <c r="AF19" s="31">
        <f t="shared" si="11"/>
        <v>42</v>
      </c>
    </row>
    <row r="20" spans="2:32" ht="23.1" customHeight="1" x14ac:dyDescent="0.25">
      <c r="B20" s="23" t="s">
        <v>47</v>
      </c>
      <c r="C20" s="50">
        <v>1</v>
      </c>
      <c r="D20" s="50">
        <v>1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11</v>
      </c>
      <c r="N20" s="50">
        <v>0</v>
      </c>
      <c r="O20" s="15">
        <f t="shared" si="6"/>
        <v>4</v>
      </c>
      <c r="P20" s="15">
        <f t="shared" si="0"/>
        <v>15</v>
      </c>
      <c r="R20" s="1" t="s">
        <v>16</v>
      </c>
      <c r="S20" s="17">
        <f t="shared" ref="S20:AF20" si="12">SUM(C50:C53)</f>
        <v>4</v>
      </c>
      <c r="T20" s="17">
        <f t="shared" si="12"/>
        <v>1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25</v>
      </c>
      <c r="AD20" s="17">
        <f t="shared" si="12"/>
        <v>0</v>
      </c>
      <c r="AE20" s="31">
        <f t="shared" si="12"/>
        <v>7</v>
      </c>
      <c r="AF20" s="31">
        <f t="shared" si="12"/>
        <v>32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1</v>
      </c>
      <c r="L21" s="50">
        <v>0</v>
      </c>
      <c r="M21" s="50">
        <v>9</v>
      </c>
      <c r="N21" s="50">
        <v>0</v>
      </c>
      <c r="O21" s="15">
        <f t="shared" si="6"/>
        <v>4</v>
      </c>
      <c r="P21" s="15">
        <f t="shared" si="0"/>
        <v>13</v>
      </c>
      <c r="R21" s="36" t="s">
        <v>20</v>
      </c>
      <c r="S21" s="34">
        <f t="shared" ref="S21:AF21" si="13">SUM(C54:C57)</f>
        <v>2</v>
      </c>
      <c r="T21" s="17">
        <f t="shared" si="13"/>
        <v>3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43</v>
      </c>
      <c r="AD21" s="17">
        <f t="shared" si="13"/>
        <v>0</v>
      </c>
      <c r="AE21" s="31">
        <f t="shared" si="13"/>
        <v>7</v>
      </c>
      <c r="AF21" s="31">
        <f t="shared" si="13"/>
        <v>50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8</v>
      </c>
      <c r="N22" s="50">
        <v>0</v>
      </c>
      <c r="O22" s="15">
        <f t="shared" si="6"/>
        <v>1</v>
      </c>
      <c r="P22" s="15">
        <f t="shared" si="0"/>
        <v>9</v>
      </c>
      <c r="R22" s="38" t="s">
        <v>90</v>
      </c>
      <c r="S22" s="39">
        <f>MAX(S10:S12)</f>
        <v>2</v>
      </c>
      <c r="T22" s="39">
        <f t="shared" ref="T22:AF22" si="14">MAX(T10:T12)</f>
        <v>1</v>
      </c>
      <c r="U22" s="39">
        <f t="shared" si="14"/>
        <v>3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0</v>
      </c>
      <c r="AA22" s="39">
        <f t="shared" si="14"/>
        <v>1</v>
      </c>
      <c r="AB22" s="39">
        <f t="shared" si="14"/>
        <v>2</v>
      </c>
      <c r="AC22" s="39">
        <f t="shared" si="14"/>
        <v>44</v>
      </c>
      <c r="AD22" s="39">
        <f t="shared" si="14"/>
        <v>0</v>
      </c>
      <c r="AE22" s="40">
        <f t="shared" si="14"/>
        <v>22</v>
      </c>
      <c r="AF22" s="40">
        <f t="shared" si="14"/>
        <v>51</v>
      </c>
    </row>
    <row r="23" spans="2:32" ht="23.1" customHeight="1" x14ac:dyDescent="0.25">
      <c r="B23" s="23" t="s">
        <v>50</v>
      </c>
      <c r="C23" s="50">
        <v>3</v>
      </c>
      <c r="D23" s="50">
        <v>2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11</v>
      </c>
      <c r="N23" s="50">
        <v>0</v>
      </c>
      <c r="O23" s="15">
        <f t="shared" si="6"/>
        <v>7</v>
      </c>
      <c r="P23" s="15">
        <f t="shared" si="0"/>
        <v>18</v>
      </c>
      <c r="R23" s="38" t="s">
        <v>91</v>
      </c>
      <c r="S23" s="39">
        <f>MAX(S13:S18)</f>
        <v>5</v>
      </c>
      <c r="T23" s="39">
        <f t="shared" ref="T23:AF23" si="15">MAX(T13:T18)</f>
        <v>5</v>
      </c>
      <c r="U23" s="39">
        <f t="shared" si="15"/>
        <v>2</v>
      </c>
      <c r="V23" s="39">
        <f t="shared" si="15"/>
        <v>4</v>
      </c>
      <c r="W23" s="39">
        <f t="shared" si="15"/>
        <v>0</v>
      </c>
      <c r="X23" s="39">
        <f t="shared" si="15"/>
        <v>0</v>
      </c>
      <c r="Y23" s="39">
        <f t="shared" si="15"/>
        <v>2</v>
      </c>
      <c r="Z23" s="39">
        <f t="shared" si="15"/>
        <v>3</v>
      </c>
      <c r="AA23" s="39">
        <f t="shared" si="15"/>
        <v>1</v>
      </c>
      <c r="AB23" s="39">
        <f t="shared" si="15"/>
        <v>0</v>
      </c>
      <c r="AC23" s="39">
        <f t="shared" si="15"/>
        <v>58</v>
      </c>
      <c r="AD23" s="39">
        <f t="shared" si="15"/>
        <v>0</v>
      </c>
      <c r="AE23" s="40">
        <f t="shared" si="15"/>
        <v>13</v>
      </c>
      <c r="AF23" s="40">
        <f t="shared" si="15"/>
        <v>68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6"/>
        <v>1</v>
      </c>
      <c r="P24" s="15">
        <f t="shared" si="0"/>
        <v>12</v>
      </c>
      <c r="R24" s="38" t="s">
        <v>92</v>
      </c>
      <c r="S24" s="39">
        <f>MAX(S19:S21)</f>
        <v>4</v>
      </c>
      <c r="T24" s="39">
        <f t="shared" ref="T24:AF24" si="16">MAX(T19:T21)</f>
        <v>4</v>
      </c>
      <c r="U24" s="39">
        <f t="shared" si="16"/>
        <v>1</v>
      </c>
      <c r="V24" s="39">
        <f t="shared" si="16"/>
        <v>1</v>
      </c>
      <c r="W24" s="39">
        <f t="shared" si="16"/>
        <v>1</v>
      </c>
      <c r="X24" s="39">
        <f t="shared" si="16"/>
        <v>0</v>
      </c>
      <c r="Y24" s="39">
        <f t="shared" si="16"/>
        <v>0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43</v>
      </c>
      <c r="AD24" s="39">
        <f t="shared" si="16"/>
        <v>0</v>
      </c>
      <c r="AE24" s="40">
        <f t="shared" si="16"/>
        <v>9</v>
      </c>
      <c r="AF24" s="40">
        <f t="shared" si="16"/>
        <v>50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8</v>
      </c>
      <c r="N25" s="50">
        <v>0</v>
      </c>
      <c r="O25" s="15">
        <f t="shared" si="6"/>
        <v>2</v>
      </c>
      <c r="P25" s="15">
        <f t="shared" si="0"/>
        <v>10</v>
      </c>
      <c r="R25" s="37" t="s">
        <v>85</v>
      </c>
      <c r="S25" s="35">
        <f t="shared" ref="S25:AF25" si="17">SUM(S10:S12)</f>
        <v>3</v>
      </c>
      <c r="T25" s="16">
        <f t="shared" si="17"/>
        <v>2</v>
      </c>
      <c r="U25" s="16">
        <f t="shared" si="17"/>
        <v>5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0</v>
      </c>
      <c r="AA25" s="16">
        <f t="shared" si="17"/>
        <v>1</v>
      </c>
      <c r="AB25" s="16">
        <f t="shared" si="17"/>
        <v>2</v>
      </c>
      <c r="AC25" s="16">
        <f t="shared" si="17"/>
        <v>106</v>
      </c>
      <c r="AD25" s="16">
        <f t="shared" si="17"/>
        <v>0</v>
      </c>
      <c r="AE25" s="32">
        <f t="shared" si="17"/>
        <v>40</v>
      </c>
      <c r="AF25" s="32">
        <f t="shared" si="17"/>
        <v>128</v>
      </c>
    </row>
    <row r="26" spans="2:32" ht="23.1" customHeight="1" x14ac:dyDescent="0.25">
      <c r="B26" s="23" t="s">
        <v>53</v>
      </c>
      <c r="C26" s="50">
        <v>0</v>
      </c>
      <c r="D26" s="50">
        <v>2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13</v>
      </c>
      <c r="N26" s="50">
        <v>0</v>
      </c>
      <c r="O26" s="15">
        <f t="shared" si="6"/>
        <v>5</v>
      </c>
      <c r="P26" s="15">
        <f t="shared" si="0"/>
        <v>18</v>
      </c>
      <c r="R26" s="28" t="s">
        <v>86</v>
      </c>
      <c r="S26" s="16">
        <f t="shared" ref="S26:AF26" si="18">SUM(S13:S18)</f>
        <v>23</v>
      </c>
      <c r="T26" s="16">
        <f t="shared" si="18"/>
        <v>9</v>
      </c>
      <c r="U26" s="16">
        <f t="shared" si="18"/>
        <v>6</v>
      </c>
      <c r="V26" s="16">
        <f t="shared" si="18"/>
        <v>7</v>
      </c>
      <c r="W26" s="16">
        <f t="shared" si="18"/>
        <v>0</v>
      </c>
      <c r="X26" s="16">
        <f t="shared" si="18"/>
        <v>0</v>
      </c>
      <c r="Y26" s="16">
        <f t="shared" si="18"/>
        <v>7</v>
      </c>
      <c r="Z26" s="16">
        <f t="shared" si="18"/>
        <v>6</v>
      </c>
      <c r="AA26" s="16">
        <f t="shared" si="18"/>
        <v>2</v>
      </c>
      <c r="AB26" s="16">
        <f t="shared" si="18"/>
        <v>0</v>
      </c>
      <c r="AC26" s="16">
        <f t="shared" si="18"/>
        <v>284</v>
      </c>
      <c r="AD26" s="16">
        <f t="shared" si="18"/>
        <v>0</v>
      </c>
      <c r="AE26" s="32">
        <f t="shared" si="18"/>
        <v>60</v>
      </c>
      <c r="AF26" s="32">
        <f t="shared" si="18"/>
        <v>344</v>
      </c>
    </row>
    <row r="27" spans="2:32" ht="23.1" customHeight="1" x14ac:dyDescent="0.25">
      <c r="B27" s="23" t="s">
        <v>54</v>
      </c>
      <c r="C27" s="50">
        <v>1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12</v>
      </c>
      <c r="N27" s="50">
        <v>0</v>
      </c>
      <c r="O27" s="15">
        <f t="shared" si="6"/>
        <v>2</v>
      </c>
      <c r="P27" s="15">
        <f t="shared" si="0"/>
        <v>14</v>
      </c>
      <c r="R27" s="29" t="s">
        <v>87</v>
      </c>
      <c r="S27" s="16">
        <f t="shared" ref="S27:AF27" si="19">SUM(S19:S21)</f>
        <v>9</v>
      </c>
      <c r="T27" s="16">
        <f t="shared" si="19"/>
        <v>8</v>
      </c>
      <c r="U27" s="16">
        <f t="shared" si="19"/>
        <v>1</v>
      </c>
      <c r="V27" s="16">
        <f t="shared" si="19"/>
        <v>1</v>
      </c>
      <c r="W27" s="16">
        <f t="shared" si="19"/>
        <v>1</v>
      </c>
      <c r="X27" s="16">
        <f t="shared" si="19"/>
        <v>0</v>
      </c>
      <c r="Y27" s="16">
        <f t="shared" si="19"/>
        <v>0</v>
      </c>
      <c r="Z27" s="16">
        <f t="shared" si="19"/>
        <v>3</v>
      </c>
      <c r="AA27" s="16">
        <f t="shared" si="19"/>
        <v>0</v>
      </c>
      <c r="AB27" s="16">
        <f t="shared" si="19"/>
        <v>0</v>
      </c>
      <c r="AC27" s="16">
        <f t="shared" si="19"/>
        <v>101</v>
      </c>
      <c r="AD27" s="16">
        <f t="shared" si="19"/>
        <v>0</v>
      </c>
      <c r="AE27" s="32">
        <f t="shared" si="19"/>
        <v>23</v>
      </c>
      <c r="AF27" s="32">
        <f t="shared" si="19"/>
        <v>124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11</v>
      </c>
      <c r="N28" s="50">
        <v>0</v>
      </c>
      <c r="O28" s="15">
        <f t="shared" si="6"/>
        <v>2</v>
      </c>
      <c r="P28" s="15">
        <f t="shared" si="0"/>
        <v>13</v>
      </c>
      <c r="R28" s="5" t="s">
        <v>17</v>
      </c>
      <c r="S28" s="16">
        <f t="shared" ref="S28:AF28" si="20">SUM(S10:S21)</f>
        <v>35</v>
      </c>
      <c r="T28" s="16">
        <f t="shared" si="20"/>
        <v>19</v>
      </c>
      <c r="U28" s="16">
        <f t="shared" si="20"/>
        <v>12</v>
      </c>
      <c r="V28" s="16">
        <f t="shared" si="20"/>
        <v>11</v>
      </c>
      <c r="W28" s="16">
        <f t="shared" si="20"/>
        <v>1</v>
      </c>
      <c r="X28" s="16">
        <f t="shared" si="20"/>
        <v>0</v>
      </c>
      <c r="Y28" s="16">
        <f t="shared" si="20"/>
        <v>13</v>
      </c>
      <c r="Z28" s="16">
        <f t="shared" si="20"/>
        <v>9</v>
      </c>
      <c r="AA28" s="16">
        <f t="shared" si="20"/>
        <v>3</v>
      </c>
      <c r="AB28" s="16">
        <f t="shared" si="20"/>
        <v>2</v>
      </c>
      <c r="AC28" s="16">
        <f t="shared" si="20"/>
        <v>491</v>
      </c>
      <c r="AD28" s="16">
        <f t="shared" si="20"/>
        <v>0</v>
      </c>
      <c r="AE28" s="32">
        <f t="shared" si="20"/>
        <v>123</v>
      </c>
      <c r="AF28" s="32">
        <f t="shared" si="20"/>
        <v>596</v>
      </c>
    </row>
    <row r="29" spans="2:32" ht="23.1" customHeight="1" x14ac:dyDescent="0.25">
      <c r="B29" s="23" t="s">
        <v>56</v>
      </c>
      <c r="C29" s="50">
        <v>1</v>
      </c>
      <c r="D29" s="50">
        <v>2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7</v>
      </c>
      <c r="N29" s="50">
        <v>0</v>
      </c>
      <c r="O29" s="15">
        <f t="shared" si="6"/>
        <v>4</v>
      </c>
      <c r="P29" s="15">
        <f t="shared" si="0"/>
        <v>11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6"/>
        <v>2</v>
      </c>
      <c r="P30" s="15">
        <f t="shared" si="0"/>
        <v>12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6"/>
        <v>0</v>
      </c>
      <c r="P31" s="15">
        <f t="shared" si="0"/>
        <v>6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6"/>
        <v>4</v>
      </c>
      <c r="P32" s="15">
        <f t="shared" si="0"/>
        <v>15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3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6"/>
        <v>4</v>
      </c>
      <c r="P33" s="15">
        <f t="shared" si="0"/>
        <v>18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6"/>
        <v>3</v>
      </c>
      <c r="P34" s="15">
        <f t="shared" si="0"/>
        <v>18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12</v>
      </c>
      <c r="N35" s="50">
        <v>0</v>
      </c>
      <c r="O35" s="15">
        <f t="shared" si="6"/>
        <v>0</v>
      </c>
      <c r="P35" s="15">
        <f t="shared" si="0"/>
        <v>12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6"/>
        <v>4</v>
      </c>
      <c r="P36" s="15">
        <f t="shared" si="0"/>
        <v>18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17</v>
      </c>
      <c r="N37" s="50">
        <v>0</v>
      </c>
      <c r="O37" s="15">
        <f t="shared" si="6"/>
        <v>1</v>
      </c>
      <c r="P37" s="15">
        <f t="shared" si="0"/>
        <v>18</v>
      </c>
    </row>
    <row r="38" spans="2:20" ht="23.1" customHeight="1" x14ac:dyDescent="0.25">
      <c r="B38" s="24" t="s">
        <v>65</v>
      </c>
      <c r="C38" s="50">
        <v>2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20</v>
      </c>
      <c r="N38" s="50">
        <v>0</v>
      </c>
      <c r="O38" s="15">
        <f t="shared" si="6"/>
        <v>3</v>
      </c>
      <c r="P38" s="15">
        <f t="shared" si="0"/>
        <v>23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3</v>
      </c>
      <c r="K39" s="50">
        <v>0</v>
      </c>
      <c r="L39" s="50">
        <v>0</v>
      </c>
      <c r="M39" s="50">
        <v>19</v>
      </c>
      <c r="N39" s="50">
        <v>0</v>
      </c>
      <c r="O39" s="15">
        <f t="shared" si="6"/>
        <v>7</v>
      </c>
      <c r="P39" s="15">
        <f t="shared" si="0"/>
        <v>26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11</v>
      </c>
      <c r="N40" s="50">
        <v>0</v>
      </c>
      <c r="O40" s="15">
        <f t="shared" si="6"/>
        <v>0</v>
      </c>
      <c r="P40" s="15">
        <f t="shared" si="0"/>
        <v>11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7</v>
      </c>
      <c r="N41" s="50">
        <v>0</v>
      </c>
      <c r="O41" s="15">
        <f t="shared" si="6"/>
        <v>1</v>
      </c>
      <c r="P41" s="15">
        <f t="shared" si="0"/>
        <v>8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6"/>
        <v>2</v>
      </c>
      <c r="P42" s="15">
        <f t="shared" si="0"/>
        <v>15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1</v>
      </c>
      <c r="L43" s="50">
        <v>0</v>
      </c>
      <c r="M43" s="50">
        <v>10</v>
      </c>
      <c r="N43" s="50">
        <v>0</v>
      </c>
      <c r="O43" s="15">
        <f t="shared" si="6"/>
        <v>4</v>
      </c>
      <c r="P43" s="15">
        <f t="shared" si="0"/>
        <v>14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12</v>
      </c>
      <c r="N44" s="50">
        <v>0</v>
      </c>
      <c r="O44" s="15">
        <f t="shared" si="6"/>
        <v>0</v>
      </c>
      <c r="P44" s="15">
        <f t="shared" si="0"/>
        <v>12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12</v>
      </c>
      <c r="N45" s="50">
        <v>0</v>
      </c>
      <c r="O45" s="15">
        <f t="shared" si="6"/>
        <v>1</v>
      </c>
      <c r="P45" s="15">
        <f t="shared" si="0"/>
        <v>13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10</v>
      </c>
      <c r="N46" s="50">
        <v>0</v>
      </c>
      <c r="O46" s="15">
        <f t="shared" si="6"/>
        <v>1</v>
      </c>
      <c r="P46" s="15">
        <f t="shared" si="0"/>
        <v>11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0</v>
      </c>
      <c r="F47" s="50">
        <v>1</v>
      </c>
      <c r="G47" s="50">
        <v>1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8</v>
      </c>
      <c r="N47" s="50">
        <v>0</v>
      </c>
      <c r="O47" s="15">
        <f t="shared" si="6"/>
        <v>3</v>
      </c>
      <c r="P47" s="15">
        <f t="shared" si="0"/>
        <v>11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2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10</v>
      </c>
      <c r="N48" s="50">
        <v>0</v>
      </c>
      <c r="O48" s="15">
        <f t="shared" si="6"/>
        <v>3</v>
      </c>
      <c r="P48" s="15">
        <f t="shared" si="0"/>
        <v>13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5</v>
      </c>
      <c r="N49" s="50">
        <v>0</v>
      </c>
      <c r="O49" s="15">
        <f t="shared" si="6"/>
        <v>2</v>
      </c>
      <c r="P49" s="15">
        <f t="shared" si="0"/>
        <v>7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5</v>
      </c>
      <c r="N50" s="50">
        <v>0</v>
      </c>
      <c r="O50" s="15">
        <f t="shared" si="6"/>
        <v>2</v>
      </c>
      <c r="P50" s="15">
        <f t="shared" si="0"/>
        <v>7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6</v>
      </c>
      <c r="N51" s="50">
        <v>0</v>
      </c>
      <c r="O51" s="15">
        <f t="shared" si="6"/>
        <v>2</v>
      </c>
      <c r="P51" s="15">
        <f t="shared" si="0"/>
        <v>8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14</v>
      </c>
      <c r="N52" s="50">
        <v>0</v>
      </c>
      <c r="O52" s="15">
        <f t="shared" si="6"/>
        <v>3</v>
      </c>
      <c r="P52" s="15">
        <f t="shared" si="0"/>
        <v>17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0</v>
      </c>
      <c r="N53" s="50">
        <v>0</v>
      </c>
      <c r="O53" s="15">
        <f t="shared" si="6"/>
        <v>0</v>
      </c>
      <c r="P53" s="15">
        <f t="shared" si="0"/>
        <v>0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1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18</v>
      </c>
      <c r="N54" s="50">
        <v>0</v>
      </c>
      <c r="O54" s="15">
        <f t="shared" si="6"/>
        <v>2</v>
      </c>
      <c r="P54" s="15">
        <f t="shared" si="0"/>
        <v>20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8</v>
      </c>
      <c r="N55" s="50">
        <v>0</v>
      </c>
      <c r="O55" s="15">
        <f t="shared" si="6"/>
        <v>1</v>
      </c>
      <c r="P55" s="15">
        <f t="shared" si="0"/>
        <v>9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8</v>
      </c>
      <c r="N56" s="50">
        <v>0</v>
      </c>
      <c r="O56" s="15">
        <f t="shared" si="6"/>
        <v>1</v>
      </c>
      <c r="P56" s="15">
        <f t="shared" si="0"/>
        <v>9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9</v>
      </c>
      <c r="N57" s="50">
        <v>0</v>
      </c>
      <c r="O57" s="15">
        <f t="shared" si="6"/>
        <v>3</v>
      </c>
      <c r="P57" s="15">
        <f t="shared" si="0"/>
        <v>12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</v>
      </c>
      <c r="D58" s="16">
        <f t="shared" si="21"/>
        <v>19</v>
      </c>
      <c r="E58" s="16">
        <f t="shared" si="21"/>
        <v>12</v>
      </c>
      <c r="F58" s="16">
        <f t="shared" si="21"/>
        <v>11</v>
      </c>
      <c r="G58" s="16">
        <f t="shared" si="21"/>
        <v>1</v>
      </c>
      <c r="H58" s="16">
        <f t="shared" si="21"/>
        <v>0</v>
      </c>
      <c r="I58" s="16">
        <f t="shared" si="21"/>
        <v>13</v>
      </c>
      <c r="J58" s="16">
        <f t="shared" si="21"/>
        <v>9</v>
      </c>
      <c r="K58" s="16">
        <f t="shared" si="21"/>
        <v>3</v>
      </c>
      <c r="L58" s="16">
        <f t="shared" si="21"/>
        <v>2</v>
      </c>
      <c r="M58" s="16">
        <f t="shared" si="21"/>
        <v>491</v>
      </c>
      <c r="N58" s="16">
        <f t="shared" si="21"/>
        <v>0</v>
      </c>
      <c r="O58" s="16">
        <f t="shared" si="21"/>
        <v>123</v>
      </c>
      <c r="P58" s="16">
        <f t="shared" si="21"/>
        <v>596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5.8724832214765099E-2</v>
      </c>
      <c r="D59" s="43">
        <f t="shared" si="22"/>
        <v>3.1879194630872486E-2</v>
      </c>
      <c r="E59" s="43">
        <f t="shared" si="22"/>
        <v>2.0134228187919462E-2</v>
      </c>
      <c r="F59" s="43">
        <f t="shared" si="22"/>
        <v>1.8456375838926176E-2</v>
      </c>
      <c r="G59" s="43">
        <f t="shared" si="22"/>
        <v>1.6778523489932886E-3</v>
      </c>
      <c r="H59" s="43">
        <f t="shared" si="22"/>
        <v>0</v>
      </c>
      <c r="I59" s="43">
        <f t="shared" si="22"/>
        <v>2.1812080536912751E-2</v>
      </c>
      <c r="J59" s="43">
        <f t="shared" si="22"/>
        <v>1.5100671140939598E-2</v>
      </c>
      <c r="K59" s="43">
        <f t="shared" si="22"/>
        <v>5.0335570469798654E-3</v>
      </c>
      <c r="L59" s="43">
        <f t="shared" si="22"/>
        <v>3.3557046979865771E-3</v>
      </c>
      <c r="M59" s="43">
        <f t="shared" si="22"/>
        <v>0.8238255033557047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0.28455284552845528</v>
      </c>
      <c r="D60" s="44">
        <f t="shared" ref="D60:N60" si="23">D58/$O$58</f>
        <v>0.15447154471544716</v>
      </c>
      <c r="E60" s="44">
        <f t="shared" si="23"/>
        <v>9.7560975609756101E-2</v>
      </c>
      <c r="F60" s="44">
        <f t="shared" si="23"/>
        <v>8.943089430894309E-2</v>
      </c>
      <c r="G60" s="44">
        <f t="shared" si="23"/>
        <v>8.130081300813009E-3</v>
      </c>
      <c r="H60" s="44">
        <f t="shared" si="23"/>
        <v>0</v>
      </c>
      <c r="I60" s="44">
        <f t="shared" si="23"/>
        <v>0.10569105691056911</v>
      </c>
      <c r="J60" s="44">
        <f t="shared" si="23"/>
        <v>7.3170731707317069E-2</v>
      </c>
      <c r="K60" s="44">
        <f t="shared" si="23"/>
        <v>2.4390243902439025E-2</v>
      </c>
      <c r="L60" s="44">
        <f t="shared" si="23"/>
        <v>1.6260162601626018E-2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1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1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1:32" ht="20.100000000000001" customHeight="1" x14ac:dyDescent="0.25">
      <c r="B3" s="21" t="s">
        <v>96</v>
      </c>
      <c r="C3" s="68" t="s">
        <v>169</v>
      </c>
      <c r="D3" s="68"/>
      <c r="E3" s="68"/>
      <c r="F3" s="68"/>
      <c r="G3" s="68"/>
      <c r="H3" s="21"/>
      <c r="I3" s="21"/>
      <c r="J3" s="21"/>
      <c r="K3" s="21"/>
      <c r="L3" s="21"/>
      <c r="M3" s="21"/>
      <c r="N3" s="21"/>
      <c r="O3" s="21"/>
      <c r="P3" s="21"/>
    </row>
    <row r="4" spans="1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1:32" ht="20.100000000000001" customHeight="1" x14ac:dyDescent="0.25">
      <c r="C5" s="4" t="s">
        <v>3</v>
      </c>
      <c r="D5" s="52" t="s">
        <v>164</v>
      </c>
      <c r="E5" s="3"/>
      <c r="F5" s="41" t="s">
        <v>1</v>
      </c>
      <c r="G5" s="64" t="s">
        <v>165</v>
      </c>
      <c r="H5" s="65"/>
      <c r="I5" s="14"/>
      <c r="J5" s="2" t="s">
        <v>5</v>
      </c>
      <c r="K5" s="64" t="s">
        <v>167</v>
      </c>
      <c r="L5" s="65"/>
      <c r="M5" s="10"/>
      <c r="N5" s="10"/>
      <c r="O5" s="3"/>
      <c r="P5" s="3"/>
    </row>
    <row r="6" spans="1:32" ht="23.25" customHeight="1" x14ac:dyDescent="0.25">
      <c r="C6" s="2" t="s">
        <v>4</v>
      </c>
      <c r="D6" s="64" t="s">
        <v>170</v>
      </c>
      <c r="E6" s="65"/>
      <c r="F6" s="2" t="s">
        <v>2</v>
      </c>
      <c r="G6" s="64" t="s">
        <v>166</v>
      </c>
      <c r="H6" s="65"/>
      <c r="J6" s="2" t="s">
        <v>21</v>
      </c>
      <c r="K6" s="64" t="s">
        <v>168</v>
      </c>
      <c r="L6" s="65"/>
      <c r="M6" s="10"/>
      <c r="N6" s="10"/>
      <c r="O6" s="3"/>
      <c r="P6" s="3"/>
    </row>
    <row r="7" spans="1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1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1:32" ht="51.75" customHeight="1" x14ac:dyDescent="0.25">
      <c r="A9" s="53"/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1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4</v>
      </c>
      <c r="O10" s="15">
        <f t="shared" ref="O10:O57" si="0">SUM(C10:L10,N10)</f>
        <v>4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16</v>
      </c>
      <c r="AD10" s="17">
        <f t="shared" si="2"/>
        <v>4</v>
      </c>
      <c r="AE10" s="31">
        <f t="shared" si="2"/>
        <v>15</v>
      </c>
      <c r="AF10" s="31">
        <f t="shared" si="2"/>
        <v>25</v>
      </c>
    </row>
    <row r="11" spans="1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0</v>
      </c>
      <c r="P11" s="15">
        <f t="shared" si="1"/>
        <v>2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41</v>
      </c>
      <c r="AD11" s="17">
        <f t="shared" si="3"/>
        <v>0</v>
      </c>
      <c r="AE11" s="31">
        <f t="shared" si="3"/>
        <v>50</v>
      </c>
      <c r="AF11" s="31">
        <f t="shared" si="3"/>
        <v>43</v>
      </c>
    </row>
    <row r="12" spans="1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3</v>
      </c>
      <c r="P12" s="15">
        <f t="shared" si="1"/>
        <v>5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40</v>
      </c>
      <c r="AD12" s="17">
        <f t="shared" si="4"/>
        <v>13</v>
      </c>
      <c r="AE12" s="31">
        <f t="shared" si="4"/>
        <v>24</v>
      </c>
      <c r="AF12" s="31">
        <f t="shared" si="4"/>
        <v>55</v>
      </c>
    </row>
    <row r="13" spans="1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v>8</v>
      </c>
      <c r="P13" s="15">
        <f t="shared" si="1"/>
        <v>10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34</v>
      </c>
      <c r="AD13" s="17">
        <f t="shared" si="5"/>
        <v>0</v>
      </c>
      <c r="AE13" s="31">
        <f t="shared" si="5"/>
        <v>5</v>
      </c>
      <c r="AF13" s="31">
        <f t="shared" si="5"/>
        <v>39</v>
      </c>
    </row>
    <row r="14" spans="1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v>11</v>
      </c>
      <c r="P14" s="15">
        <f t="shared" si="1"/>
        <v>2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28</v>
      </c>
      <c r="AD14" s="17">
        <f t="shared" si="6"/>
        <v>0</v>
      </c>
      <c r="AE14" s="31">
        <f t="shared" si="6"/>
        <v>11</v>
      </c>
      <c r="AF14" s="31">
        <f t="shared" si="6"/>
        <v>39</v>
      </c>
    </row>
    <row r="15" spans="1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13</v>
      </c>
      <c r="N15" s="50">
        <v>0</v>
      </c>
      <c r="O15" s="15">
        <v>13</v>
      </c>
      <c r="P15" s="15">
        <f t="shared" si="1"/>
        <v>13</v>
      </c>
      <c r="R15" s="1" t="s">
        <v>11</v>
      </c>
      <c r="S15" s="17">
        <f t="shared" ref="S15:AF15" si="7">SUM(C30:C33)</f>
        <v>2</v>
      </c>
      <c r="T15" s="17">
        <f t="shared" si="7"/>
        <v>1</v>
      </c>
      <c r="U15" s="17">
        <f t="shared" si="7"/>
        <v>0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50</v>
      </c>
      <c r="AD15" s="17">
        <f t="shared" si="7"/>
        <v>0</v>
      </c>
      <c r="AE15" s="31">
        <f t="shared" si="7"/>
        <v>5</v>
      </c>
      <c r="AF15" s="31">
        <f t="shared" si="7"/>
        <v>55</v>
      </c>
    </row>
    <row r="16" spans="1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15</v>
      </c>
      <c r="N16" s="50">
        <v>0</v>
      </c>
      <c r="O16" s="15">
        <v>15</v>
      </c>
      <c r="P16" s="15">
        <f t="shared" si="1"/>
        <v>16</v>
      </c>
      <c r="R16" s="1" t="s">
        <v>12</v>
      </c>
      <c r="S16" s="17">
        <f t="shared" ref="S16:AF16" si="8">SUM(C34:C37)</f>
        <v>2</v>
      </c>
      <c r="T16" s="17">
        <f t="shared" si="8"/>
        <v>2</v>
      </c>
      <c r="U16" s="17">
        <f t="shared" si="8"/>
        <v>1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34</v>
      </c>
      <c r="AD16" s="17">
        <f t="shared" si="8"/>
        <v>0</v>
      </c>
      <c r="AE16" s="31">
        <f t="shared" si="8"/>
        <v>13</v>
      </c>
      <c r="AF16" s="31">
        <f t="shared" si="8"/>
        <v>47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11</v>
      </c>
      <c r="N17" s="50">
        <v>0</v>
      </c>
      <c r="O17" s="15">
        <v>11</v>
      </c>
      <c r="P17" s="15">
        <f t="shared" si="1"/>
        <v>12</v>
      </c>
      <c r="R17" s="1" t="s">
        <v>13</v>
      </c>
      <c r="S17" s="17">
        <f t="shared" ref="S17:AF17" si="9">SUM(C38:C41)</f>
        <v>3</v>
      </c>
      <c r="T17" s="17">
        <f t="shared" si="9"/>
        <v>1</v>
      </c>
      <c r="U17" s="17">
        <f t="shared" si="9"/>
        <v>0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65</v>
      </c>
      <c r="AD17" s="17">
        <f t="shared" si="9"/>
        <v>0</v>
      </c>
      <c r="AE17" s="31">
        <f t="shared" si="9"/>
        <v>10</v>
      </c>
      <c r="AF17" s="31">
        <f t="shared" si="9"/>
        <v>75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9</v>
      </c>
      <c r="N18" s="50">
        <v>0</v>
      </c>
      <c r="O18" s="15">
        <v>9</v>
      </c>
      <c r="P18" s="15">
        <f t="shared" si="1"/>
        <v>9</v>
      </c>
      <c r="R18" s="1" t="s">
        <v>14</v>
      </c>
      <c r="S18" s="17">
        <f t="shared" ref="S18:AF18" si="10">SUM(C42:C45)</f>
        <v>7</v>
      </c>
      <c r="T18" s="17">
        <f t="shared" si="10"/>
        <v>3</v>
      </c>
      <c r="U18" s="17">
        <f t="shared" si="10"/>
        <v>1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57</v>
      </c>
      <c r="AD18" s="17">
        <f t="shared" si="10"/>
        <v>15</v>
      </c>
      <c r="AE18" s="31">
        <f t="shared" si="10"/>
        <v>35</v>
      </c>
      <c r="AF18" s="31">
        <f t="shared" si="10"/>
        <v>92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13</v>
      </c>
      <c r="N19" s="50">
        <v>13</v>
      </c>
      <c r="O19" s="15">
        <f t="shared" si="0"/>
        <v>15</v>
      </c>
      <c r="P19" s="15">
        <f t="shared" si="1"/>
        <v>28</v>
      </c>
      <c r="R19" s="1" t="s">
        <v>15</v>
      </c>
      <c r="S19" s="17">
        <f t="shared" ref="S19:AF19" si="11">SUM(C46:C49)</f>
        <v>6</v>
      </c>
      <c r="T19" s="17">
        <f t="shared" si="11"/>
        <v>2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2</v>
      </c>
      <c r="AC19" s="17">
        <f t="shared" si="11"/>
        <v>54</v>
      </c>
      <c r="AD19" s="17">
        <f t="shared" si="11"/>
        <v>0</v>
      </c>
      <c r="AE19" s="31">
        <f t="shared" si="11"/>
        <v>12</v>
      </c>
      <c r="AF19" s="31">
        <f t="shared" si="11"/>
        <v>66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0</v>
      </c>
      <c r="P20" s="15">
        <f t="shared" si="1"/>
        <v>8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1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24</v>
      </c>
      <c r="AD20" s="17">
        <f t="shared" si="12"/>
        <v>0</v>
      </c>
      <c r="AE20" s="31">
        <f t="shared" si="12"/>
        <v>6</v>
      </c>
      <c r="AF20" s="31">
        <f t="shared" si="12"/>
        <v>30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0</v>
      </c>
      <c r="P21" s="15">
        <f t="shared" si="1"/>
        <v>10</v>
      </c>
      <c r="R21" s="36" t="s">
        <v>20</v>
      </c>
      <c r="S21" s="34">
        <f t="shared" ref="S21:AF21" si="13">SUM(C54:C57)</f>
        <v>1</v>
      </c>
      <c r="T21" s="17">
        <f t="shared" si="13"/>
        <v>1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1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38</v>
      </c>
      <c r="AD21" s="17">
        <f t="shared" si="13"/>
        <v>0</v>
      </c>
      <c r="AE21" s="31">
        <f t="shared" si="13"/>
        <v>5</v>
      </c>
      <c r="AF21" s="31">
        <f t="shared" si="13"/>
        <v>43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1</v>
      </c>
      <c r="P22" s="15">
        <f t="shared" si="1"/>
        <v>8</v>
      </c>
      <c r="R22" s="38" t="s">
        <v>90</v>
      </c>
      <c r="S22" s="39">
        <f>MAX(S10:S12)</f>
        <v>1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41</v>
      </c>
      <c r="AD22" s="39">
        <f t="shared" si="14"/>
        <v>13</v>
      </c>
      <c r="AE22" s="40">
        <f t="shared" si="14"/>
        <v>50</v>
      </c>
      <c r="AF22" s="40">
        <f t="shared" si="14"/>
        <v>55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0</v>
      </c>
      <c r="P23" s="15">
        <f t="shared" si="1"/>
        <v>9</v>
      </c>
      <c r="R23" s="38" t="s">
        <v>91</v>
      </c>
      <c r="S23" s="39">
        <f>MAX(S13:S18)</f>
        <v>7</v>
      </c>
      <c r="T23" s="39">
        <f t="shared" ref="T23:AF23" si="15">MAX(T13:T18)</f>
        <v>3</v>
      </c>
      <c r="U23" s="39">
        <f t="shared" si="15"/>
        <v>1</v>
      </c>
      <c r="V23" s="39">
        <f t="shared" si="15"/>
        <v>6</v>
      </c>
      <c r="W23" s="39">
        <f t="shared" si="15"/>
        <v>0</v>
      </c>
      <c r="X23" s="39">
        <f t="shared" si="15"/>
        <v>0</v>
      </c>
      <c r="Y23" s="39">
        <f t="shared" si="15"/>
        <v>6</v>
      </c>
      <c r="Z23" s="39">
        <f t="shared" si="15"/>
        <v>1</v>
      </c>
      <c r="AA23" s="39">
        <f t="shared" si="15"/>
        <v>1</v>
      </c>
      <c r="AB23" s="39">
        <f t="shared" si="15"/>
        <v>0</v>
      </c>
      <c r="AC23" s="39">
        <f t="shared" si="15"/>
        <v>65</v>
      </c>
      <c r="AD23" s="39">
        <f t="shared" si="15"/>
        <v>15</v>
      </c>
      <c r="AE23" s="40">
        <f t="shared" si="15"/>
        <v>35</v>
      </c>
      <c r="AF23" s="40">
        <f t="shared" si="15"/>
        <v>92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2</v>
      </c>
      <c r="P24" s="15">
        <f t="shared" si="1"/>
        <v>11</v>
      </c>
      <c r="R24" s="38" t="s">
        <v>92</v>
      </c>
      <c r="S24" s="39">
        <f>MAX(S19:S21)</f>
        <v>6</v>
      </c>
      <c r="T24" s="39">
        <f t="shared" ref="T24:AF24" si="16">MAX(T19:T21)</f>
        <v>2</v>
      </c>
      <c r="U24" s="39">
        <f t="shared" si="16"/>
        <v>1</v>
      </c>
      <c r="V24" s="39">
        <f t="shared" si="16"/>
        <v>1</v>
      </c>
      <c r="W24" s="39">
        <f t="shared" si="16"/>
        <v>0</v>
      </c>
      <c r="X24" s="39">
        <f t="shared" si="16"/>
        <v>1</v>
      </c>
      <c r="Y24" s="39">
        <f t="shared" si="16"/>
        <v>2</v>
      </c>
      <c r="Z24" s="39">
        <f t="shared" si="16"/>
        <v>1</v>
      </c>
      <c r="AA24" s="39">
        <f t="shared" si="16"/>
        <v>0</v>
      </c>
      <c r="AB24" s="39">
        <f t="shared" si="16"/>
        <v>2</v>
      </c>
      <c r="AC24" s="39">
        <f t="shared" si="16"/>
        <v>54</v>
      </c>
      <c r="AD24" s="39">
        <f t="shared" si="16"/>
        <v>0</v>
      </c>
      <c r="AE24" s="40">
        <f t="shared" si="16"/>
        <v>12</v>
      </c>
      <c r="AF24" s="40">
        <f t="shared" si="16"/>
        <v>66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9</v>
      </c>
      <c r="N25" s="50">
        <v>0</v>
      </c>
      <c r="O25" s="15">
        <f t="shared" si="0"/>
        <v>2</v>
      </c>
      <c r="P25" s="15">
        <f t="shared" si="1"/>
        <v>11</v>
      </c>
      <c r="R25" s="37" t="s">
        <v>85</v>
      </c>
      <c r="S25" s="35">
        <f t="shared" ref="S25:AF25" si="17">SUM(S10:S12)</f>
        <v>2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5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97</v>
      </c>
      <c r="AD25" s="16">
        <f t="shared" si="17"/>
        <v>17</v>
      </c>
      <c r="AE25" s="32">
        <f t="shared" si="17"/>
        <v>89</v>
      </c>
      <c r="AF25" s="32">
        <f t="shared" si="17"/>
        <v>123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5</v>
      </c>
      <c r="N26" s="50">
        <v>0</v>
      </c>
      <c r="O26" s="15">
        <f t="shared" si="0"/>
        <v>2</v>
      </c>
      <c r="P26" s="15">
        <f t="shared" si="1"/>
        <v>7</v>
      </c>
      <c r="R26" s="28" t="s">
        <v>86</v>
      </c>
      <c r="S26" s="16">
        <f t="shared" ref="S26:AF26" si="18">SUM(S13:S18)</f>
        <v>21</v>
      </c>
      <c r="T26" s="16">
        <f t="shared" si="18"/>
        <v>7</v>
      </c>
      <c r="U26" s="16">
        <f t="shared" si="18"/>
        <v>3</v>
      </c>
      <c r="V26" s="16">
        <f t="shared" si="18"/>
        <v>17</v>
      </c>
      <c r="W26" s="16">
        <f t="shared" si="18"/>
        <v>0</v>
      </c>
      <c r="X26" s="16">
        <f t="shared" si="18"/>
        <v>0</v>
      </c>
      <c r="Y26" s="16">
        <f t="shared" si="18"/>
        <v>14</v>
      </c>
      <c r="Z26" s="16">
        <f t="shared" si="18"/>
        <v>1</v>
      </c>
      <c r="AA26" s="16">
        <f t="shared" si="18"/>
        <v>1</v>
      </c>
      <c r="AB26" s="16">
        <f t="shared" si="18"/>
        <v>0</v>
      </c>
      <c r="AC26" s="16">
        <f t="shared" si="18"/>
        <v>268</v>
      </c>
      <c r="AD26" s="16">
        <f t="shared" si="18"/>
        <v>15</v>
      </c>
      <c r="AE26" s="32">
        <f t="shared" si="18"/>
        <v>79</v>
      </c>
      <c r="AF26" s="32">
        <f t="shared" si="18"/>
        <v>347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2</v>
      </c>
      <c r="P27" s="15">
        <f t="shared" si="1"/>
        <v>6</v>
      </c>
      <c r="R27" s="29" t="s">
        <v>87</v>
      </c>
      <c r="S27" s="16">
        <f t="shared" ref="S27:AF27" si="19">SUM(S19:S21)</f>
        <v>11</v>
      </c>
      <c r="T27" s="16">
        <f t="shared" si="19"/>
        <v>3</v>
      </c>
      <c r="U27" s="16">
        <f t="shared" si="19"/>
        <v>1</v>
      </c>
      <c r="V27" s="16">
        <f t="shared" si="19"/>
        <v>1</v>
      </c>
      <c r="W27" s="16">
        <f t="shared" si="19"/>
        <v>0</v>
      </c>
      <c r="X27" s="16">
        <f t="shared" si="19"/>
        <v>1</v>
      </c>
      <c r="Y27" s="16">
        <f t="shared" si="19"/>
        <v>3</v>
      </c>
      <c r="Z27" s="16">
        <f t="shared" si="19"/>
        <v>1</v>
      </c>
      <c r="AA27" s="16">
        <f t="shared" si="19"/>
        <v>0</v>
      </c>
      <c r="AB27" s="16">
        <f t="shared" si="19"/>
        <v>2</v>
      </c>
      <c r="AC27" s="16">
        <f t="shared" si="19"/>
        <v>116</v>
      </c>
      <c r="AD27" s="16">
        <f t="shared" si="19"/>
        <v>0</v>
      </c>
      <c r="AE27" s="32">
        <f t="shared" si="19"/>
        <v>23</v>
      </c>
      <c r="AF27" s="32">
        <f t="shared" si="19"/>
        <v>139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5</v>
      </c>
      <c r="N28" s="50">
        <v>0</v>
      </c>
      <c r="O28" s="15">
        <f t="shared" si="0"/>
        <v>2</v>
      </c>
      <c r="P28" s="15">
        <f t="shared" si="1"/>
        <v>7</v>
      </c>
      <c r="R28" s="5" t="s">
        <v>17</v>
      </c>
      <c r="S28" s="16">
        <f t="shared" ref="S28:AF28" si="20">SUM(S10:S21)</f>
        <v>34</v>
      </c>
      <c r="T28" s="16">
        <f t="shared" si="20"/>
        <v>10</v>
      </c>
      <c r="U28" s="16">
        <f t="shared" si="20"/>
        <v>4</v>
      </c>
      <c r="V28" s="16">
        <f t="shared" si="20"/>
        <v>18</v>
      </c>
      <c r="W28" s="16">
        <f t="shared" si="20"/>
        <v>0</v>
      </c>
      <c r="X28" s="16">
        <f t="shared" si="20"/>
        <v>1</v>
      </c>
      <c r="Y28" s="16">
        <f t="shared" si="20"/>
        <v>22</v>
      </c>
      <c r="Z28" s="16">
        <f t="shared" si="20"/>
        <v>4</v>
      </c>
      <c r="AA28" s="16">
        <f t="shared" si="20"/>
        <v>1</v>
      </c>
      <c r="AB28" s="16">
        <f t="shared" si="20"/>
        <v>2</v>
      </c>
      <c r="AC28" s="16">
        <f t="shared" si="20"/>
        <v>481</v>
      </c>
      <c r="AD28" s="16">
        <f t="shared" si="20"/>
        <v>32</v>
      </c>
      <c r="AE28" s="32">
        <f t="shared" si="20"/>
        <v>191</v>
      </c>
      <c r="AF28" s="32">
        <f t="shared" si="20"/>
        <v>609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14</v>
      </c>
      <c r="N29" s="50">
        <v>0</v>
      </c>
      <c r="O29" s="15">
        <f t="shared" si="0"/>
        <v>5</v>
      </c>
      <c r="P29" s="15">
        <f t="shared" si="1"/>
        <v>19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7</v>
      </c>
      <c r="N30" s="50">
        <v>0</v>
      </c>
      <c r="O30" s="15">
        <f t="shared" si="0"/>
        <v>2</v>
      </c>
      <c r="P30" s="15">
        <f t="shared" si="1"/>
        <v>9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14</v>
      </c>
      <c r="N31" s="50">
        <v>0</v>
      </c>
      <c r="O31" s="15">
        <f t="shared" si="0"/>
        <v>1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17</v>
      </c>
      <c r="N32" s="50">
        <v>0</v>
      </c>
      <c r="O32" s="15">
        <f t="shared" si="0"/>
        <v>1</v>
      </c>
      <c r="P32" s="15">
        <f t="shared" si="1"/>
        <v>18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12</v>
      </c>
      <c r="N33" s="50">
        <v>0</v>
      </c>
      <c r="O33" s="15">
        <f t="shared" si="0"/>
        <v>1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6</v>
      </c>
      <c r="N34" s="50">
        <v>0</v>
      </c>
      <c r="O34" s="15">
        <f t="shared" si="0"/>
        <v>2</v>
      </c>
      <c r="P34" s="15">
        <f t="shared" si="1"/>
        <v>8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1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13</v>
      </c>
      <c r="N36" s="50">
        <v>0</v>
      </c>
      <c r="O36" s="15">
        <f t="shared" si="0"/>
        <v>3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1</v>
      </c>
      <c r="F37" s="50">
        <v>4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7</v>
      </c>
      <c r="P37" s="15">
        <f t="shared" si="1"/>
        <v>15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0</v>
      </c>
      <c r="F38" s="50">
        <v>3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19</v>
      </c>
      <c r="N38" s="50">
        <v>0</v>
      </c>
      <c r="O38" s="15">
        <f t="shared" si="0"/>
        <v>5</v>
      </c>
      <c r="P38" s="15">
        <f t="shared" si="1"/>
        <v>24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17</v>
      </c>
      <c r="N39" s="50">
        <v>0</v>
      </c>
      <c r="O39" s="15">
        <f t="shared" si="0"/>
        <v>1</v>
      </c>
      <c r="P39" s="15">
        <f t="shared" si="1"/>
        <v>18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2</v>
      </c>
      <c r="P40" s="15">
        <f t="shared" si="1"/>
        <v>15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2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2</v>
      </c>
      <c r="P41" s="15">
        <f t="shared" si="1"/>
        <v>18</v>
      </c>
    </row>
    <row r="42" spans="2:20" ht="23.1" customHeight="1" x14ac:dyDescent="0.25">
      <c r="B42" s="24" t="s">
        <v>69</v>
      </c>
      <c r="C42" s="50">
        <v>2</v>
      </c>
      <c r="D42" s="50">
        <v>2</v>
      </c>
      <c r="E42" s="50">
        <v>0</v>
      </c>
      <c r="F42" s="50">
        <v>2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8</v>
      </c>
      <c r="P42" s="15">
        <f t="shared" si="1"/>
        <v>20</v>
      </c>
    </row>
    <row r="43" spans="2:20" ht="23.1" customHeight="1" x14ac:dyDescent="0.25">
      <c r="B43" s="23" t="s">
        <v>70</v>
      </c>
      <c r="C43" s="50">
        <v>3</v>
      </c>
      <c r="D43" s="50">
        <v>1</v>
      </c>
      <c r="E43" s="50">
        <v>1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17</v>
      </c>
      <c r="N43" s="50">
        <v>0</v>
      </c>
      <c r="O43" s="15">
        <f t="shared" si="0"/>
        <v>7</v>
      </c>
      <c r="P43" s="15">
        <f t="shared" si="1"/>
        <v>24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15</v>
      </c>
      <c r="N44" s="50">
        <v>15</v>
      </c>
      <c r="O44" s="15">
        <f t="shared" si="0"/>
        <v>20</v>
      </c>
      <c r="P44" s="15">
        <f t="shared" si="1"/>
        <v>35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13</v>
      </c>
      <c r="N45" s="50">
        <v>0</v>
      </c>
      <c r="O45" s="15">
        <f t="shared" si="0"/>
        <v>0</v>
      </c>
      <c r="P45" s="15">
        <f t="shared" si="1"/>
        <v>13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12</v>
      </c>
      <c r="N46" s="50">
        <v>0</v>
      </c>
      <c r="O46" s="15">
        <f t="shared" si="0"/>
        <v>0</v>
      </c>
      <c r="P46" s="15">
        <f t="shared" si="1"/>
        <v>12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1</v>
      </c>
      <c r="M47" s="50">
        <v>11</v>
      </c>
      <c r="N47" s="50">
        <v>0</v>
      </c>
      <c r="O47" s="15">
        <f t="shared" si="0"/>
        <v>5</v>
      </c>
      <c r="P47" s="15">
        <f t="shared" si="1"/>
        <v>16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15</v>
      </c>
      <c r="N48" s="50">
        <v>0</v>
      </c>
      <c r="O48" s="15">
        <f t="shared" si="0"/>
        <v>2</v>
      </c>
      <c r="P48" s="15">
        <f t="shared" si="1"/>
        <v>17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2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16</v>
      </c>
      <c r="N49" s="50">
        <v>0</v>
      </c>
      <c r="O49" s="15">
        <f t="shared" si="0"/>
        <v>5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5</v>
      </c>
      <c r="N50" s="50">
        <v>0</v>
      </c>
      <c r="O50" s="15">
        <f t="shared" si="0"/>
        <v>1</v>
      </c>
      <c r="P50" s="15">
        <f t="shared" si="1"/>
        <v>6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4</v>
      </c>
      <c r="N51" s="50">
        <v>0</v>
      </c>
      <c r="O51" s="15">
        <f t="shared" si="0"/>
        <v>1</v>
      </c>
      <c r="P51" s="15">
        <f t="shared" si="1"/>
        <v>5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7</v>
      </c>
      <c r="N52" s="50">
        <v>0</v>
      </c>
      <c r="O52" s="15">
        <f t="shared" si="0"/>
        <v>3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8</v>
      </c>
      <c r="N53" s="50">
        <v>0</v>
      </c>
      <c r="O53" s="15">
        <f t="shared" si="0"/>
        <v>1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12</v>
      </c>
      <c r="N54" s="50">
        <v>0</v>
      </c>
      <c r="O54" s="15">
        <f t="shared" si="0"/>
        <v>1</v>
      </c>
      <c r="P54" s="15">
        <f t="shared" si="1"/>
        <v>13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1</v>
      </c>
      <c r="P55" s="15">
        <f t="shared" si="1"/>
        <v>10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10</v>
      </c>
      <c r="N56" s="50">
        <v>0</v>
      </c>
      <c r="O56" s="15">
        <f t="shared" si="0"/>
        <v>1</v>
      </c>
      <c r="P56" s="15">
        <f t="shared" si="1"/>
        <v>11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1</v>
      </c>
      <c r="I57" s="50">
        <v>0</v>
      </c>
      <c r="J57" s="50">
        <v>0</v>
      </c>
      <c r="K57" s="50">
        <v>0</v>
      </c>
      <c r="L57" s="50">
        <v>0</v>
      </c>
      <c r="M57" s="50">
        <v>7</v>
      </c>
      <c r="N57" s="50">
        <v>0</v>
      </c>
      <c r="O57" s="15">
        <f t="shared" si="0"/>
        <v>2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</v>
      </c>
      <c r="D58" s="16">
        <f t="shared" si="21"/>
        <v>10</v>
      </c>
      <c r="E58" s="16">
        <f t="shared" si="21"/>
        <v>4</v>
      </c>
      <c r="F58" s="16">
        <f t="shared" si="21"/>
        <v>18</v>
      </c>
      <c r="G58" s="16">
        <f t="shared" si="21"/>
        <v>0</v>
      </c>
      <c r="H58" s="16">
        <f t="shared" si="21"/>
        <v>1</v>
      </c>
      <c r="I58" s="16">
        <f t="shared" si="21"/>
        <v>22</v>
      </c>
      <c r="J58" s="16">
        <f t="shared" si="21"/>
        <v>4</v>
      </c>
      <c r="K58" s="16">
        <f t="shared" si="21"/>
        <v>1</v>
      </c>
      <c r="L58" s="16">
        <f t="shared" si="21"/>
        <v>2</v>
      </c>
      <c r="M58" s="16">
        <f t="shared" si="21"/>
        <v>481</v>
      </c>
      <c r="N58" s="16">
        <f t="shared" si="21"/>
        <v>32</v>
      </c>
      <c r="O58" s="16">
        <f t="shared" si="21"/>
        <v>191</v>
      </c>
      <c r="P58" s="16">
        <f t="shared" si="21"/>
        <v>609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5.5829228243021348E-2</v>
      </c>
      <c r="D59" s="43">
        <f t="shared" si="22"/>
        <v>1.6420361247947456E-2</v>
      </c>
      <c r="E59" s="43">
        <f t="shared" si="22"/>
        <v>6.5681444991789817E-3</v>
      </c>
      <c r="F59" s="43">
        <f t="shared" si="22"/>
        <v>2.9556650246305417E-2</v>
      </c>
      <c r="G59" s="43">
        <f t="shared" si="22"/>
        <v>0</v>
      </c>
      <c r="H59" s="43">
        <f t="shared" si="22"/>
        <v>1.6420361247947454E-3</v>
      </c>
      <c r="I59" s="43">
        <f t="shared" si="22"/>
        <v>3.6124794745484398E-2</v>
      </c>
      <c r="J59" s="43">
        <f t="shared" si="22"/>
        <v>6.5681444991789817E-3</v>
      </c>
      <c r="K59" s="43">
        <f t="shared" si="22"/>
        <v>1.6420361247947454E-3</v>
      </c>
      <c r="L59" s="43">
        <f t="shared" si="22"/>
        <v>3.2840722495894909E-3</v>
      </c>
      <c r="M59" s="43">
        <f t="shared" si="22"/>
        <v>0.78981937602627261</v>
      </c>
      <c r="N59" s="43">
        <f t="shared" si="22"/>
        <v>5.2545155993431854E-2</v>
      </c>
      <c r="R59" s="8"/>
      <c r="T59"/>
    </row>
    <row r="60" spans="2:20" ht="23.1" customHeight="1" x14ac:dyDescent="0.25">
      <c r="B60" s="42" t="s">
        <v>94</v>
      </c>
      <c r="C60" s="44">
        <f>C58/$O$58</f>
        <v>0.17801047120418848</v>
      </c>
      <c r="D60" s="44">
        <f t="shared" ref="D60:N60" si="23">D58/$O$58</f>
        <v>5.2356020942408377E-2</v>
      </c>
      <c r="E60" s="44">
        <f t="shared" si="23"/>
        <v>2.0942408376963352E-2</v>
      </c>
      <c r="F60" s="44">
        <f t="shared" si="23"/>
        <v>9.4240837696335081E-2</v>
      </c>
      <c r="G60" s="44">
        <f t="shared" si="23"/>
        <v>0</v>
      </c>
      <c r="H60" s="44">
        <f t="shared" si="23"/>
        <v>5.235602094240838E-3</v>
      </c>
      <c r="I60" s="44">
        <f t="shared" si="23"/>
        <v>0.11518324607329843</v>
      </c>
      <c r="J60" s="44">
        <f t="shared" si="23"/>
        <v>2.0942408376963352E-2</v>
      </c>
      <c r="K60" s="44">
        <f t="shared" si="23"/>
        <v>5.235602094240838E-3</v>
      </c>
      <c r="L60" s="44">
        <f t="shared" si="23"/>
        <v>1.0471204188481676E-2</v>
      </c>
      <c r="M60" s="44"/>
      <c r="N60" s="44">
        <f t="shared" si="23"/>
        <v>0.16753926701570682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7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'17.10 BUSUNGU-MITYANA'!C3:G3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171</v>
      </c>
      <c r="E5" s="3"/>
      <c r="F5" s="41" t="s">
        <v>1</v>
      </c>
      <c r="G5" s="64" t="str">
        <f>'21.10 MITYANA-BUSUNJU '!G5:H5</f>
        <v>EXCEL&amp;LOOGE</v>
      </c>
      <c r="H5" s="65"/>
      <c r="I5" s="14"/>
      <c r="J5" s="2" t="s">
        <v>5</v>
      </c>
      <c r="K5" s="64" t="s">
        <v>172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">
        <v>166</v>
      </c>
      <c r="E6" s="65"/>
      <c r="F6" s="2" t="s">
        <v>2</v>
      </c>
      <c r="G6" s="64" t="s">
        <v>170</v>
      </c>
      <c r="H6" s="65"/>
      <c r="J6" s="2" t="s">
        <v>21</v>
      </c>
      <c r="K6" s="64" t="str">
        <f>'21.10 MITYANA-BUSUNJU 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36</v>
      </c>
      <c r="AD10" s="17">
        <f t="shared" si="2"/>
        <v>0</v>
      </c>
      <c r="AE10" s="31">
        <f t="shared" si="2"/>
        <v>5</v>
      </c>
      <c r="AF10" s="31">
        <f t="shared" si="2"/>
        <v>41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1</v>
      </c>
      <c r="P11" s="15">
        <f t="shared" si="1"/>
        <v>11</v>
      </c>
      <c r="R11" s="1" t="s">
        <v>7</v>
      </c>
      <c r="S11" s="17">
        <f t="shared" ref="S11:AF11" si="3">SUM(C14:C17)</f>
        <v>1</v>
      </c>
      <c r="T11" s="17">
        <f t="shared" si="3"/>
        <v>1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2</v>
      </c>
      <c r="AB11" s="17">
        <f t="shared" si="3"/>
        <v>0</v>
      </c>
      <c r="AC11" s="17">
        <f t="shared" si="3"/>
        <v>29</v>
      </c>
      <c r="AD11" s="17">
        <f t="shared" si="3"/>
        <v>0</v>
      </c>
      <c r="AE11" s="31">
        <f t="shared" si="3"/>
        <v>8</v>
      </c>
      <c r="AF11" s="31">
        <f t="shared" si="3"/>
        <v>37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11</v>
      </c>
      <c r="N12" s="50">
        <v>0</v>
      </c>
      <c r="O12" s="15">
        <f t="shared" si="0"/>
        <v>1</v>
      </c>
      <c r="P12" s="15">
        <f t="shared" si="1"/>
        <v>12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44</v>
      </c>
      <c r="AD12" s="17">
        <f t="shared" si="4"/>
        <v>0</v>
      </c>
      <c r="AE12" s="31">
        <f t="shared" si="4"/>
        <v>11</v>
      </c>
      <c r="AF12" s="31">
        <f t="shared" si="4"/>
        <v>55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10</v>
      </c>
      <c r="N13" s="50">
        <v>0</v>
      </c>
      <c r="O13" s="15">
        <f t="shared" si="0"/>
        <v>0</v>
      </c>
      <c r="P13" s="15">
        <f t="shared" si="1"/>
        <v>10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43</v>
      </c>
      <c r="AD13" s="17">
        <f t="shared" si="5"/>
        <v>0</v>
      </c>
      <c r="AE13" s="31">
        <f t="shared" si="5"/>
        <v>8</v>
      </c>
      <c r="AF13" s="31">
        <f t="shared" si="5"/>
        <v>51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11</v>
      </c>
      <c r="N14" s="50">
        <v>0</v>
      </c>
      <c r="O14" s="15">
        <f t="shared" si="0"/>
        <v>2</v>
      </c>
      <c r="P14" s="15">
        <f t="shared" si="1"/>
        <v>13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29</v>
      </c>
      <c r="AD14" s="17">
        <f t="shared" si="6"/>
        <v>0</v>
      </c>
      <c r="AE14" s="31">
        <f t="shared" si="6"/>
        <v>10</v>
      </c>
      <c r="AF14" s="31">
        <f t="shared" si="6"/>
        <v>39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1</v>
      </c>
      <c r="L15" s="50">
        <v>0</v>
      </c>
      <c r="M15" s="50">
        <v>2</v>
      </c>
      <c r="N15" s="50">
        <v>0</v>
      </c>
      <c r="O15" s="15">
        <f t="shared" si="0"/>
        <v>3</v>
      </c>
      <c r="P15" s="15">
        <f t="shared" si="1"/>
        <v>5</v>
      </c>
      <c r="R15" s="1" t="s">
        <v>11</v>
      </c>
      <c r="S15" s="17">
        <f t="shared" ref="S15:AF15" si="7">SUM(C30:C33)</f>
        <v>3</v>
      </c>
      <c r="T15" s="17">
        <f t="shared" si="7"/>
        <v>3</v>
      </c>
      <c r="U15" s="17">
        <f t="shared" si="7"/>
        <v>2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33</v>
      </c>
      <c r="AD15" s="17">
        <f t="shared" si="7"/>
        <v>0</v>
      </c>
      <c r="AE15" s="31">
        <f t="shared" si="7"/>
        <v>9</v>
      </c>
      <c r="AF15" s="31">
        <f t="shared" si="7"/>
        <v>42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11</v>
      </c>
      <c r="N16" s="50">
        <v>0</v>
      </c>
      <c r="O16" s="15">
        <f t="shared" si="0"/>
        <v>1</v>
      </c>
      <c r="P16" s="15">
        <f t="shared" si="1"/>
        <v>12</v>
      </c>
      <c r="R16" s="1" t="s">
        <v>12</v>
      </c>
      <c r="S16" s="17">
        <f t="shared" ref="S16:AF16" si="8">SUM(C34:C37)</f>
        <v>3</v>
      </c>
      <c r="T16" s="17">
        <f t="shared" si="8"/>
        <v>0</v>
      </c>
      <c r="U16" s="17">
        <f t="shared" si="8"/>
        <v>0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29</v>
      </c>
      <c r="AD16" s="17">
        <f t="shared" si="8"/>
        <v>0</v>
      </c>
      <c r="AE16" s="31">
        <f t="shared" si="8"/>
        <v>4</v>
      </c>
      <c r="AF16" s="31">
        <f t="shared" si="8"/>
        <v>33</v>
      </c>
    </row>
    <row r="17" spans="2:32" ht="23.1" customHeight="1" x14ac:dyDescent="0.25">
      <c r="B17" s="45" t="s">
        <v>44</v>
      </c>
      <c r="C17" s="50">
        <v>0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5</v>
      </c>
      <c r="N17" s="50">
        <v>0</v>
      </c>
      <c r="O17" s="15">
        <f t="shared" si="0"/>
        <v>2</v>
      </c>
      <c r="P17" s="15">
        <f t="shared" si="1"/>
        <v>7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39</v>
      </c>
      <c r="AD17" s="17">
        <f t="shared" si="9"/>
        <v>0</v>
      </c>
      <c r="AE17" s="31">
        <f t="shared" si="9"/>
        <v>9</v>
      </c>
      <c r="AF17" s="31">
        <f t="shared" si="9"/>
        <v>48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2</v>
      </c>
      <c r="P18" s="15">
        <f t="shared" si="1"/>
        <v>10</v>
      </c>
      <c r="R18" s="1" t="s">
        <v>14</v>
      </c>
      <c r="S18" s="17">
        <f t="shared" ref="S18:AF18" si="10">SUM(C42:C45)</f>
        <v>3</v>
      </c>
      <c r="T18" s="17">
        <f t="shared" si="10"/>
        <v>1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33</v>
      </c>
      <c r="AD18" s="17">
        <f t="shared" si="10"/>
        <v>0</v>
      </c>
      <c r="AE18" s="31">
        <f t="shared" si="10"/>
        <v>7</v>
      </c>
      <c r="AF18" s="31">
        <f t="shared" si="10"/>
        <v>40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9</v>
      </c>
      <c r="N19" s="50">
        <v>0</v>
      </c>
      <c r="O19" s="15">
        <f t="shared" si="0"/>
        <v>1</v>
      </c>
      <c r="P19" s="15">
        <f t="shared" si="1"/>
        <v>10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51</v>
      </c>
      <c r="AD19" s="17">
        <f t="shared" si="11"/>
        <v>0</v>
      </c>
      <c r="AE19" s="31">
        <f t="shared" si="11"/>
        <v>6</v>
      </c>
      <c r="AF19" s="31">
        <f t="shared" si="11"/>
        <v>57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12</v>
      </c>
      <c r="N20" s="50">
        <v>0</v>
      </c>
      <c r="O20" s="15">
        <f t="shared" si="0"/>
        <v>6</v>
      </c>
      <c r="P20" s="15">
        <f t="shared" si="1"/>
        <v>18</v>
      </c>
      <c r="R20" s="1" t="s">
        <v>16</v>
      </c>
      <c r="S20" s="17">
        <f t="shared" ref="S20:AF20" si="12">SUM(C50:C53)</f>
        <v>5</v>
      </c>
      <c r="T20" s="17">
        <f t="shared" si="12"/>
        <v>2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48</v>
      </c>
      <c r="AD20" s="17">
        <f t="shared" si="12"/>
        <v>0</v>
      </c>
      <c r="AE20" s="31">
        <f t="shared" si="12"/>
        <v>11</v>
      </c>
      <c r="AF20" s="31">
        <f t="shared" si="12"/>
        <v>59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2</v>
      </c>
      <c r="P21" s="15">
        <f t="shared" si="1"/>
        <v>17</v>
      </c>
      <c r="R21" s="36" t="s">
        <v>20</v>
      </c>
      <c r="S21" s="34">
        <f t="shared" ref="S21:AF21" si="13">SUM(C54:C57)</f>
        <v>4</v>
      </c>
      <c r="T21" s="17">
        <f t="shared" si="13"/>
        <v>2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37</v>
      </c>
      <c r="AD21" s="17">
        <f t="shared" si="13"/>
        <v>0</v>
      </c>
      <c r="AE21" s="31">
        <f t="shared" si="13"/>
        <v>14</v>
      </c>
      <c r="AF21" s="31">
        <f t="shared" si="13"/>
        <v>51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0</v>
      </c>
      <c r="M22" s="50">
        <v>10</v>
      </c>
      <c r="N22" s="50">
        <v>0</v>
      </c>
      <c r="O22" s="15">
        <f t="shared" si="0"/>
        <v>1</v>
      </c>
      <c r="P22" s="15">
        <f t="shared" si="1"/>
        <v>11</v>
      </c>
      <c r="R22" s="36" t="s">
        <v>146</v>
      </c>
      <c r="S22" s="34">
        <f>SUM(C58:C61)</f>
        <v>6</v>
      </c>
      <c r="T22" s="34">
        <f t="shared" ref="T22:AF22" si="14">SUM(D58:D61)</f>
        <v>2</v>
      </c>
      <c r="U22" s="34">
        <f t="shared" si="14"/>
        <v>1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1</v>
      </c>
      <c r="AB22" s="34">
        <f t="shared" si="14"/>
        <v>0</v>
      </c>
      <c r="AC22" s="34">
        <f t="shared" si="14"/>
        <v>41</v>
      </c>
      <c r="AD22" s="34">
        <f t="shared" si="14"/>
        <v>0</v>
      </c>
      <c r="AE22" s="31">
        <f t="shared" si="14"/>
        <v>12</v>
      </c>
      <c r="AF22" s="31">
        <f t="shared" si="14"/>
        <v>53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3</v>
      </c>
      <c r="P23" s="15">
        <f t="shared" si="1"/>
        <v>10</v>
      </c>
      <c r="R23" s="36" t="s">
        <v>147</v>
      </c>
      <c r="S23" s="34">
        <f>SUM(C62:C65)</f>
        <v>1</v>
      </c>
      <c r="T23" s="34">
        <f t="shared" ref="T23:AF23" si="15">SUM(D62:D65)</f>
        <v>4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1</v>
      </c>
      <c r="AA23" s="34">
        <f t="shared" si="15"/>
        <v>1</v>
      </c>
      <c r="AB23" s="34">
        <f t="shared" si="15"/>
        <v>0</v>
      </c>
      <c r="AC23" s="34">
        <f t="shared" si="15"/>
        <v>35</v>
      </c>
      <c r="AD23" s="34">
        <f t="shared" si="15"/>
        <v>0</v>
      </c>
      <c r="AE23" s="31">
        <f t="shared" si="15"/>
        <v>10</v>
      </c>
      <c r="AF23" s="31">
        <f t="shared" si="15"/>
        <v>45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0</v>
      </c>
      <c r="P24" s="15">
        <f t="shared" si="1"/>
        <v>11</v>
      </c>
      <c r="R24" s="36" t="s">
        <v>148</v>
      </c>
      <c r="S24" s="34">
        <f>SUM(C66:C69)</f>
        <v>1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6</v>
      </c>
      <c r="Z24" s="34">
        <f t="shared" si="16"/>
        <v>1</v>
      </c>
      <c r="AA24" s="34">
        <f t="shared" si="16"/>
        <v>2</v>
      </c>
      <c r="AB24" s="34">
        <f t="shared" si="16"/>
        <v>0</v>
      </c>
      <c r="AC24" s="34">
        <f t="shared" si="16"/>
        <v>27</v>
      </c>
      <c r="AD24" s="34">
        <f t="shared" si="16"/>
        <v>0</v>
      </c>
      <c r="AE24" s="31">
        <f t="shared" si="16"/>
        <v>11</v>
      </c>
      <c r="AF24" s="31">
        <f t="shared" si="16"/>
        <v>38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15</v>
      </c>
      <c r="N25" s="50">
        <v>0</v>
      </c>
      <c r="O25" s="15">
        <f t="shared" si="0"/>
        <v>4</v>
      </c>
      <c r="P25" s="15">
        <f t="shared" si="1"/>
        <v>19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1</v>
      </c>
      <c r="AA25" s="34">
        <f t="shared" si="17"/>
        <v>1</v>
      </c>
      <c r="AB25" s="34">
        <f t="shared" si="17"/>
        <v>0</v>
      </c>
      <c r="AC25" s="34">
        <f t="shared" si="17"/>
        <v>20</v>
      </c>
      <c r="AD25" s="34">
        <f t="shared" si="17"/>
        <v>0</v>
      </c>
      <c r="AE25" s="31">
        <f t="shared" si="17"/>
        <v>7</v>
      </c>
      <c r="AF25" s="31">
        <f t="shared" si="17"/>
        <v>27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2</v>
      </c>
      <c r="P26" s="15">
        <f t="shared" si="1"/>
        <v>9</v>
      </c>
      <c r="R26" s="36" t="s">
        <v>150</v>
      </c>
      <c r="S26" s="34">
        <f>SUM(C74:C77)</f>
        <v>2</v>
      </c>
      <c r="T26" s="34">
        <f t="shared" ref="T26:AF26" si="18">SUM(D74:D77)</f>
        <v>1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10</v>
      </c>
      <c r="AD26" s="34">
        <f t="shared" si="18"/>
        <v>0</v>
      </c>
      <c r="AE26" s="31">
        <f t="shared" si="18"/>
        <v>7</v>
      </c>
      <c r="AF26" s="31">
        <f t="shared" si="18"/>
        <v>17</v>
      </c>
    </row>
    <row r="27" spans="2:32" ht="23.1" customHeight="1" x14ac:dyDescent="0.25">
      <c r="B27" s="45" t="s">
        <v>54</v>
      </c>
      <c r="C27" s="50">
        <v>2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2</v>
      </c>
      <c r="P27" s="15">
        <f t="shared" si="1"/>
        <v>8</v>
      </c>
      <c r="R27" s="36" t="s">
        <v>151</v>
      </c>
      <c r="S27" s="34">
        <f>SUM(C78:C81)</f>
        <v>0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3</v>
      </c>
      <c r="AA27" s="34">
        <f t="shared" si="19"/>
        <v>1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8</v>
      </c>
      <c r="AF27" s="31">
        <f t="shared" si="19"/>
        <v>9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2</v>
      </c>
      <c r="P28" s="15">
        <f t="shared" si="1"/>
        <v>11</v>
      </c>
      <c r="R28" s="36" t="s">
        <v>152</v>
      </c>
      <c r="S28" s="34">
        <f>SUM(C82:C85)</f>
        <v>0</v>
      </c>
      <c r="T28" s="34">
        <f t="shared" ref="T28:AF28" si="20">SUM(D82:D85)</f>
        <v>2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1</v>
      </c>
      <c r="AB28" s="34">
        <f t="shared" si="20"/>
        <v>1</v>
      </c>
      <c r="AC28" s="34">
        <f t="shared" si="20"/>
        <v>0</v>
      </c>
      <c r="AD28" s="34">
        <f t="shared" si="20"/>
        <v>0</v>
      </c>
      <c r="AE28" s="31">
        <f t="shared" si="20"/>
        <v>9</v>
      </c>
      <c r="AF28" s="31">
        <f t="shared" si="20"/>
        <v>9</v>
      </c>
    </row>
    <row r="29" spans="2:32" ht="23.1" customHeight="1" x14ac:dyDescent="0.25">
      <c r="B29" s="45" t="s">
        <v>56</v>
      </c>
      <c r="C29" s="50">
        <v>2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4</v>
      </c>
      <c r="P29" s="15">
        <f t="shared" si="1"/>
        <v>11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2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2</v>
      </c>
      <c r="AA29" s="34">
        <f t="shared" si="21"/>
        <v>2</v>
      </c>
      <c r="AB29" s="34">
        <f t="shared" si="21"/>
        <v>1</v>
      </c>
      <c r="AC29" s="34">
        <f t="shared" si="21"/>
        <v>0</v>
      </c>
      <c r="AD29" s="34">
        <f t="shared" si="21"/>
        <v>0</v>
      </c>
      <c r="AE29" s="31">
        <f t="shared" si="21"/>
        <v>10</v>
      </c>
      <c r="AF29" s="31">
        <f t="shared" si="21"/>
        <v>10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0"/>
        <v>2</v>
      </c>
      <c r="P30" s="15">
        <f t="shared" si="1"/>
        <v>12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2</v>
      </c>
      <c r="AA30" s="34">
        <f t="shared" si="22"/>
        <v>3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10</v>
      </c>
      <c r="AF30" s="31">
        <f t="shared" si="22"/>
        <v>10</v>
      </c>
    </row>
    <row r="31" spans="2:32" ht="23.1" customHeight="1" x14ac:dyDescent="0.25">
      <c r="B31" s="46" t="s">
        <v>58</v>
      </c>
      <c r="C31" s="50">
        <v>1</v>
      </c>
      <c r="D31" s="50">
        <v>1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3</v>
      </c>
      <c r="P31" s="15">
        <f t="shared" si="1"/>
        <v>7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3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0</v>
      </c>
      <c r="AA31" s="34">
        <f t="shared" si="23"/>
        <v>2</v>
      </c>
      <c r="AB31" s="34">
        <f t="shared" si="23"/>
        <v>0</v>
      </c>
      <c r="AC31" s="34">
        <f t="shared" si="23"/>
        <v>3</v>
      </c>
      <c r="AD31" s="34">
        <f t="shared" si="23"/>
        <v>0</v>
      </c>
      <c r="AE31" s="31">
        <f t="shared" si="23"/>
        <v>10</v>
      </c>
      <c r="AF31" s="31">
        <f t="shared" si="23"/>
        <v>13</v>
      </c>
    </row>
    <row r="32" spans="2:32" ht="23.1" customHeight="1" x14ac:dyDescent="0.25">
      <c r="B32" s="46" t="s">
        <v>59</v>
      </c>
      <c r="C32" s="50">
        <v>0</v>
      </c>
      <c r="D32" s="50">
        <v>2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15</v>
      </c>
      <c r="N32" s="50">
        <v>0</v>
      </c>
      <c r="O32" s="15">
        <f t="shared" si="0"/>
        <v>2</v>
      </c>
      <c r="P32" s="15">
        <f t="shared" si="1"/>
        <v>17</v>
      </c>
      <c r="R32" s="33" t="s">
        <v>156</v>
      </c>
      <c r="S32" s="34">
        <f>SUM(C98:C101)</f>
        <v>2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3</v>
      </c>
      <c r="AA32" s="34">
        <f t="shared" si="24"/>
        <v>1</v>
      </c>
      <c r="AB32" s="34">
        <f t="shared" si="24"/>
        <v>0</v>
      </c>
      <c r="AC32" s="34">
        <f t="shared" si="24"/>
        <v>12</v>
      </c>
      <c r="AD32" s="34">
        <f t="shared" si="24"/>
        <v>0</v>
      </c>
      <c r="AE32" s="31">
        <f t="shared" si="24"/>
        <v>10</v>
      </c>
      <c r="AF32" s="31">
        <f t="shared" si="24"/>
        <v>22</v>
      </c>
    </row>
    <row r="33" spans="2:32" ht="23.1" customHeight="1" x14ac:dyDescent="0.25">
      <c r="B33" s="45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2</v>
      </c>
      <c r="P33" s="15">
        <f t="shared" si="1"/>
        <v>6</v>
      </c>
      <c r="R33" s="33" t="s">
        <v>157</v>
      </c>
      <c r="S33" s="34">
        <f>SUM(C102:C105)</f>
        <v>3</v>
      </c>
      <c r="T33" s="34">
        <f t="shared" ref="T33:AF33" si="25">SUM(D102:D105)</f>
        <v>5</v>
      </c>
      <c r="U33" s="34">
        <f t="shared" si="25"/>
        <v>2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2</v>
      </c>
      <c r="AA33" s="34">
        <f t="shared" si="25"/>
        <v>3</v>
      </c>
      <c r="AB33" s="34">
        <f t="shared" si="25"/>
        <v>0</v>
      </c>
      <c r="AC33" s="34">
        <f t="shared" si="25"/>
        <v>22</v>
      </c>
      <c r="AD33" s="34">
        <f t="shared" si="25"/>
        <v>0</v>
      </c>
      <c r="AE33" s="31">
        <f t="shared" si="25"/>
        <v>19</v>
      </c>
      <c r="AF33" s="31">
        <f t="shared" si="25"/>
        <v>41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1</v>
      </c>
      <c r="P34" s="15">
        <f t="shared" si="1"/>
        <v>10</v>
      </c>
      <c r="R34" s="38" t="s">
        <v>90</v>
      </c>
      <c r="S34" s="39">
        <f t="shared" ref="S34:AF34" si="26">MAX(S10:S12)</f>
        <v>3</v>
      </c>
      <c r="T34" s="39">
        <f t="shared" si="26"/>
        <v>1</v>
      </c>
      <c r="U34" s="39">
        <f t="shared" si="26"/>
        <v>2</v>
      </c>
      <c r="V34" s="39">
        <f t="shared" si="26"/>
        <v>2</v>
      </c>
      <c r="W34" s="39">
        <f t="shared" si="26"/>
        <v>0</v>
      </c>
      <c r="X34" s="39">
        <f t="shared" si="26"/>
        <v>0</v>
      </c>
      <c r="Y34" s="39">
        <f t="shared" si="26"/>
        <v>2</v>
      </c>
      <c r="Z34" s="39">
        <f t="shared" si="26"/>
        <v>3</v>
      </c>
      <c r="AA34" s="39">
        <f t="shared" si="26"/>
        <v>2</v>
      </c>
      <c r="AB34" s="39">
        <f t="shared" si="26"/>
        <v>0</v>
      </c>
      <c r="AC34" s="39">
        <f t="shared" si="26"/>
        <v>44</v>
      </c>
      <c r="AD34" s="39">
        <f t="shared" si="26"/>
        <v>0</v>
      </c>
      <c r="AE34" s="40">
        <f t="shared" si="26"/>
        <v>11</v>
      </c>
      <c r="AF34" s="40">
        <f t="shared" si="26"/>
        <v>55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5">
        <f t="shared" si="0"/>
        <v>2</v>
      </c>
      <c r="P35" s="15">
        <f t="shared" si="1"/>
        <v>8</v>
      </c>
      <c r="R35" s="38" t="s">
        <v>91</v>
      </c>
      <c r="S35" s="39">
        <f t="shared" ref="S35:AF35" si="27">MAX(S13:S18)</f>
        <v>7</v>
      </c>
      <c r="T35" s="39">
        <f t="shared" si="27"/>
        <v>3</v>
      </c>
      <c r="U35" s="39">
        <f t="shared" si="27"/>
        <v>2</v>
      </c>
      <c r="V35" s="39">
        <f t="shared" si="27"/>
        <v>1</v>
      </c>
      <c r="W35" s="39">
        <f t="shared" si="27"/>
        <v>0</v>
      </c>
      <c r="X35" s="39">
        <f t="shared" si="27"/>
        <v>0</v>
      </c>
      <c r="Y35" s="39">
        <f t="shared" si="27"/>
        <v>6</v>
      </c>
      <c r="Z35" s="39">
        <f t="shared" si="27"/>
        <v>2</v>
      </c>
      <c r="AA35" s="39">
        <f t="shared" si="27"/>
        <v>1</v>
      </c>
      <c r="AB35" s="39">
        <f t="shared" si="27"/>
        <v>0</v>
      </c>
      <c r="AC35" s="39">
        <f t="shared" si="27"/>
        <v>43</v>
      </c>
      <c r="AD35" s="39">
        <f t="shared" si="27"/>
        <v>0</v>
      </c>
      <c r="AE35" s="40">
        <f t="shared" si="27"/>
        <v>10</v>
      </c>
      <c r="AF35" s="40">
        <f t="shared" si="27"/>
        <v>51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4</v>
      </c>
      <c r="N36" s="50">
        <v>0</v>
      </c>
      <c r="O36" s="15">
        <f t="shared" si="0"/>
        <v>0</v>
      </c>
      <c r="P36" s="15">
        <f t="shared" si="1"/>
        <v>4</v>
      </c>
      <c r="R36" s="38" t="s">
        <v>92</v>
      </c>
      <c r="S36" s="39">
        <f t="shared" ref="S36:AF36" si="28">MAX(S19:S21)</f>
        <v>5</v>
      </c>
      <c r="T36" s="39">
        <f t="shared" si="28"/>
        <v>2</v>
      </c>
      <c r="U36" s="39">
        <f t="shared" si="28"/>
        <v>3</v>
      </c>
      <c r="V36" s="39">
        <f t="shared" si="28"/>
        <v>1</v>
      </c>
      <c r="W36" s="39">
        <f t="shared" si="28"/>
        <v>0</v>
      </c>
      <c r="X36" s="39">
        <f t="shared" si="28"/>
        <v>0</v>
      </c>
      <c r="Y36" s="39">
        <f t="shared" si="28"/>
        <v>7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51</v>
      </c>
      <c r="AD36" s="39">
        <f t="shared" si="28"/>
        <v>0</v>
      </c>
      <c r="AE36" s="40">
        <f t="shared" si="28"/>
        <v>14</v>
      </c>
      <c r="AF36" s="40">
        <f t="shared" si="28"/>
        <v>59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1</v>
      </c>
      <c r="P37" s="15">
        <f t="shared" si="1"/>
        <v>11</v>
      </c>
      <c r="R37" s="37" t="s">
        <v>85</v>
      </c>
      <c r="S37" s="35">
        <f t="shared" ref="S37:AF37" si="29">SUM(S10:S12)</f>
        <v>7</v>
      </c>
      <c r="T37" s="16">
        <f t="shared" si="29"/>
        <v>1</v>
      </c>
      <c r="U37" s="16">
        <f t="shared" si="29"/>
        <v>4</v>
      </c>
      <c r="V37" s="16">
        <f t="shared" si="29"/>
        <v>3</v>
      </c>
      <c r="W37" s="16">
        <f t="shared" si="29"/>
        <v>0</v>
      </c>
      <c r="X37" s="16">
        <f t="shared" si="29"/>
        <v>0</v>
      </c>
      <c r="Y37" s="16">
        <f t="shared" si="29"/>
        <v>3</v>
      </c>
      <c r="Z37" s="16">
        <f t="shared" si="29"/>
        <v>4</v>
      </c>
      <c r="AA37" s="16">
        <f t="shared" si="29"/>
        <v>2</v>
      </c>
      <c r="AB37" s="16">
        <f t="shared" si="29"/>
        <v>0</v>
      </c>
      <c r="AC37" s="16">
        <f t="shared" si="29"/>
        <v>109</v>
      </c>
      <c r="AD37" s="16">
        <f t="shared" si="29"/>
        <v>0</v>
      </c>
      <c r="AE37" s="32">
        <f t="shared" si="29"/>
        <v>24</v>
      </c>
      <c r="AF37" s="32">
        <f t="shared" si="29"/>
        <v>133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10</v>
      </c>
      <c r="N38" s="50">
        <v>0</v>
      </c>
      <c r="O38" s="15">
        <f t="shared" si="0"/>
        <v>0</v>
      </c>
      <c r="P38" s="15">
        <f t="shared" si="1"/>
        <v>10</v>
      </c>
      <c r="R38" s="28" t="s">
        <v>86</v>
      </c>
      <c r="S38" s="16">
        <f t="shared" ref="S38:AF38" si="30">SUM(S13:S18)</f>
        <v>19</v>
      </c>
      <c r="T38" s="16">
        <f t="shared" si="30"/>
        <v>4</v>
      </c>
      <c r="U38" s="16">
        <f t="shared" si="30"/>
        <v>5</v>
      </c>
      <c r="V38" s="16">
        <f t="shared" si="30"/>
        <v>1</v>
      </c>
      <c r="W38" s="16">
        <f t="shared" si="30"/>
        <v>0</v>
      </c>
      <c r="X38" s="16">
        <f t="shared" si="30"/>
        <v>0</v>
      </c>
      <c r="Y38" s="16">
        <f t="shared" si="30"/>
        <v>11</v>
      </c>
      <c r="Z38" s="16">
        <f t="shared" si="30"/>
        <v>5</v>
      </c>
      <c r="AA38" s="16">
        <f t="shared" si="30"/>
        <v>2</v>
      </c>
      <c r="AB38" s="16">
        <f t="shared" si="30"/>
        <v>0</v>
      </c>
      <c r="AC38" s="16">
        <f t="shared" si="30"/>
        <v>206</v>
      </c>
      <c r="AD38" s="16">
        <f t="shared" si="30"/>
        <v>0</v>
      </c>
      <c r="AE38" s="32">
        <f t="shared" si="30"/>
        <v>47</v>
      </c>
      <c r="AF38" s="32">
        <f t="shared" si="30"/>
        <v>253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8</v>
      </c>
      <c r="N39" s="50">
        <v>0</v>
      </c>
      <c r="O39" s="15">
        <f t="shared" si="0"/>
        <v>1</v>
      </c>
      <c r="P39" s="15">
        <f t="shared" si="1"/>
        <v>9</v>
      </c>
      <c r="R39" s="29" t="s">
        <v>87</v>
      </c>
      <c r="S39" s="16">
        <f t="shared" ref="S39:AF39" si="31">SUM(S19:S21)</f>
        <v>10</v>
      </c>
      <c r="T39" s="16">
        <f t="shared" si="31"/>
        <v>4</v>
      </c>
      <c r="U39" s="16">
        <f t="shared" si="31"/>
        <v>3</v>
      </c>
      <c r="V39" s="16">
        <f t="shared" si="31"/>
        <v>2</v>
      </c>
      <c r="W39" s="16">
        <f t="shared" si="31"/>
        <v>0</v>
      </c>
      <c r="X39" s="16">
        <f t="shared" si="31"/>
        <v>0</v>
      </c>
      <c r="Y39" s="16">
        <f t="shared" si="31"/>
        <v>12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136</v>
      </c>
      <c r="AD39" s="16">
        <f t="shared" si="31"/>
        <v>0</v>
      </c>
      <c r="AE39" s="32">
        <f t="shared" si="31"/>
        <v>31</v>
      </c>
      <c r="AF39" s="32">
        <f t="shared" si="31"/>
        <v>167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2</v>
      </c>
      <c r="P40" s="15">
        <f t="shared" si="1"/>
        <v>10</v>
      </c>
      <c r="R40" s="5" t="s">
        <v>17</v>
      </c>
      <c r="S40" s="16">
        <f t="shared" ref="S40:AF40" si="32">SUM(S10:S21)</f>
        <v>36</v>
      </c>
      <c r="T40" s="16">
        <f t="shared" si="32"/>
        <v>9</v>
      </c>
      <c r="U40" s="16">
        <f t="shared" si="32"/>
        <v>12</v>
      </c>
      <c r="V40" s="16">
        <f t="shared" si="32"/>
        <v>6</v>
      </c>
      <c r="W40" s="16">
        <f t="shared" si="32"/>
        <v>0</v>
      </c>
      <c r="X40" s="16">
        <f t="shared" si="32"/>
        <v>0</v>
      </c>
      <c r="Y40" s="16">
        <f t="shared" si="32"/>
        <v>26</v>
      </c>
      <c r="Z40" s="16">
        <f t="shared" si="32"/>
        <v>9</v>
      </c>
      <c r="AA40" s="16">
        <f t="shared" si="32"/>
        <v>4</v>
      </c>
      <c r="AB40" s="16">
        <f t="shared" si="32"/>
        <v>0</v>
      </c>
      <c r="AC40" s="16">
        <f t="shared" si="32"/>
        <v>451</v>
      </c>
      <c r="AD40" s="16">
        <f t="shared" si="32"/>
        <v>0</v>
      </c>
      <c r="AE40" s="32">
        <f t="shared" si="32"/>
        <v>102</v>
      </c>
      <c r="AF40" s="32">
        <f t="shared" si="32"/>
        <v>553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5</v>
      </c>
      <c r="J41" s="50">
        <v>0</v>
      </c>
      <c r="K41" s="50">
        <v>1</v>
      </c>
      <c r="L41" s="50">
        <v>0</v>
      </c>
      <c r="M41" s="50">
        <v>13</v>
      </c>
      <c r="N41" s="50">
        <v>0</v>
      </c>
      <c r="O41" s="15">
        <f t="shared" si="0"/>
        <v>6</v>
      </c>
      <c r="P41" s="15">
        <f t="shared" si="1"/>
        <v>19</v>
      </c>
      <c r="R41" s="5" t="s">
        <v>159</v>
      </c>
      <c r="S41" s="16">
        <f>SUM(S10:S33)</f>
        <v>58</v>
      </c>
      <c r="T41" s="16">
        <f t="shared" ref="T41:AF41" si="33">SUM(T10:T33)</f>
        <v>27</v>
      </c>
      <c r="U41" s="16">
        <f t="shared" si="33"/>
        <v>22</v>
      </c>
      <c r="V41" s="16">
        <f t="shared" si="33"/>
        <v>9</v>
      </c>
      <c r="W41" s="16">
        <f t="shared" si="33"/>
        <v>0</v>
      </c>
      <c r="X41" s="16">
        <f t="shared" si="33"/>
        <v>0</v>
      </c>
      <c r="Y41" s="16">
        <f t="shared" si="33"/>
        <v>57</v>
      </c>
      <c r="Z41" s="16">
        <f t="shared" si="33"/>
        <v>28</v>
      </c>
      <c r="AA41" s="16">
        <f t="shared" si="33"/>
        <v>22</v>
      </c>
      <c r="AB41" s="16">
        <f t="shared" si="33"/>
        <v>2</v>
      </c>
      <c r="AC41" s="16">
        <f t="shared" si="33"/>
        <v>622</v>
      </c>
      <c r="AD41" s="16">
        <f t="shared" si="33"/>
        <v>0</v>
      </c>
      <c r="AE41" s="32">
        <f t="shared" si="33"/>
        <v>225</v>
      </c>
      <c r="AF41" s="32">
        <f t="shared" si="33"/>
        <v>847</v>
      </c>
    </row>
    <row r="42" spans="2:32" ht="23.1" customHeight="1" x14ac:dyDescent="0.25">
      <c r="B42" s="46" t="s">
        <v>69</v>
      </c>
      <c r="C42" s="50">
        <v>1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8</v>
      </c>
      <c r="N42" s="50">
        <v>0</v>
      </c>
      <c r="O42" s="15">
        <f t="shared" si="0"/>
        <v>2</v>
      </c>
      <c r="P42" s="15">
        <f t="shared" si="1"/>
        <v>10</v>
      </c>
      <c r="R42" s="5" t="s">
        <v>160</v>
      </c>
      <c r="S42" s="48">
        <f>S41/S40</f>
        <v>1.6111111111111112</v>
      </c>
      <c r="T42" s="48">
        <f t="shared" ref="T42:AF42" si="34">T41/T40</f>
        <v>3</v>
      </c>
      <c r="U42" s="48">
        <f t="shared" si="34"/>
        <v>1.8333333333333333</v>
      </c>
      <c r="V42" s="48">
        <f t="shared" si="34"/>
        <v>1.5</v>
      </c>
      <c r="W42" s="48" t="e">
        <f t="shared" si="34"/>
        <v>#DIV/0!</v>
      </c>
      <c r="X42" s="48" t="e">
        <f t="shared" si="34"/>
        <v>#DIV/0!</v>
      </c>
      <c r="Y42" s="48">
        <f t="shared" si="34"/>
        <v>2.1923076923076925</v>
      </c>
      <c r="Z42" s="48">
        <f t="shared" si="34"/>
        <v>3.1111111111111112</v>
      </c>
      <c r="AA42" s="48">
        <f t="shared" si="34"/>
        <v>5.5</v>
      </c>
      <c r="AB42" s="48" t="e">
        <f t="shared" si="34"/>
        <v>#DIV/0!</v>
      </c>
      <c r="AC42" s="48">
        <f t="shared" si="34"/>
        <v>1.3791574279379157</v>
      </c>
      <c r="AD42" s="48" t="e">
        <f t="shared" si="34"/>
        <v>#DIV/0!</v>
      </c>
      <c r="AE42" s="48">
        <f t="shared" si="34"/>
        <v>2.2058823529411766</v>
      </c>
      <c r="AF42" s="48">
        <f t="shared" si="34"/>
        <v>1.5316455696202531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1</v>
      </c>
      <c r="P43" s="15">
        <f t="shared" si="1"/>
        <v>9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9</v>
      </c>
      <c r="N44" s="50">
        <v>0</v>
      </c>
      <c r="O44" s="15">
        <f t="shared" si="0"/>
        <v>1</v>
      </c>
      <c r="P44" s="15">
        <f t="shared" si="1"/>
        <v>10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8</v>
      </c>
      <c r="N45" s="50">
        <v>0</v>
      </c>
      <c r="O45" s="15">
        <f t="shared" si="0"/>
        <v>3</v>
      </c>
      <c r="P45" s="15">
        <f t="shared" si="1"/>
        <v>11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12</v>
      </c>
      <c r="N46" s="50">
        <v>0</v>
      </c>
      <c r="O46" s="15">
        <f t="shared" si="0"/>
        <v>1</v>
      </c>
      <c r="P46" s="15">
        <f t="shared" si="1"/>
        <v>13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3</v>
      </c>
      <c r="P47" s="15">
        <f t="shared" si="1"/>
        <v>10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16</v>
      </c>
      <c r="N48" s="50">
        <v>0</v>
      </c>
      <c r="O48" s="15">
        <f t="shared" si="0"/>
        <v>0</v>
      </c>
      <c r="P48" s="15">
        <f t="shared" si="1"/>
        <v>16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16</v>
      </c>
      <c r="N49" s="50">
        <v>0</v>
      </c>
      <c r="O49" s="15">
        <f t="shared" si="0"/>
        <v>2</v>
      </c>
      <c r="P49" s="15">
        <f t="shared" si="1"/>
        <v>18</v>
      </c>
      <c r="R49" s="8"/>
      <c r="T49"/>
    </row>
    <row r="50" spans="2:20" ht="23.1" customHeight="1" x14ac:dyDescent="0.25">
      <c r="B50" s="46" t="s">
        <v>77</v>
      </c>
      <c r="C50" s="50">
        <v>3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4</v>
      </c>
      <c r="P50" s="15">
        <f t="shared" si="1"/>
        <v>14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10</v>
      </c>
      <c r="N51" s="50">
        <v>0</v>
      </c>
      <c r="O51" s="15">
        <f t="shared" si="0"/>
        <v>1</v>
      </c>
      <c r="P51" s="15">
        <f t="shared" si="1"/>
        <v>11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5">
        <f t="shared" si="0"/>
        <v>1</v>
      </c>
      <c r="P52" s="15">
        <f t="shared" si="1"/>
        <v>19</v>
      </c>
      <c r="R52" s="8"/>
      <c r="T52"/>
    </row>
    <row r="53" spans="2:20" ht="23.1" customHeight="1" x14ac:dyDescent="0.25">
      <c r="B53" s="45" t="s">
        <v>80</v>
      </c>
      <c r="C53" s="50">
        <v>2</v>
      </c>
      <c r="D53" s="50">
        <v>1</v>
      </c>
      <c r="E53" s="50">
        <v>0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5</v>
      </c>
      <c r="P53" s="15">
        <f t="shared" si="1"/>
        <v>15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1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2</v>
      </c>
      <c r="P54" s="15">
        <f t="shared" si="1"/>
        <v>10</v>
      </c>
      <c r="R54" s="8"/>
      <c r="T54"/>
    </row>
    <row r="55" spans="2:20" ht="23.1" customHeight="1" x14ac:dyDescent="0.25">
      <c r="B55" s="45" t="s">
        <v>82</v>
      </c>
      <c r="C55" s="50">
        <v>2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5</v>
      </c>
      <c r="J55" s="50">
        <v>0</v>
      </c>
      <c r="K55" s="50">
        <v>0</v>
      </c>
      <c r="L55" s="50">
        <v>0</v>
      </c>
      <c r="M55" s="50">
        <v>10</v>
      </c>
      <c r="N55" s="50">
        <v>0</v>
      </c>
      <c r="O55" s="15">
        <f t="shared" si="0"/>
        <v>7</v>
      </c>
      <c r="P55" s="15">
        <f t="shared" si="1"/>
        <v>17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10</v>
      </c>
      <c r="N56" s="50">
        <v>0</v>
      </c>
      <c r="O56" s="15">
        <f t="shared" si="0"/>
        <v>1</v>
      </c>
      <c r="P56" s="15">
        <f t="shared" si="1"/>
        <v>11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9</v>
      </c>
      <c r="N57" s="50">
        <v>0</v>
      </c>
      <c r="O57" s="15">
        <f t="shared" si="0"/>
        <v>4</v>
      </c>
      <c r="P57" s="15">
        <f t="shared" si="1"/>
        <v>13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2</v>
      </c>
      <c r="E58" s="50">
        <v>0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8</v>
      </c>
      <c r="N58" s="50">
        <v>0</v>
      </c>
      <c r="O58" s="15">
        <f t="shared" ref="O58:O105" si="35">SUM(C58:L58,N58)</f>
        <v>4</v>
      </c>
      <c r="P58" s="15">
        <f t="shared" ref="P58:P105" si="36">SUM(C58:N58)</f>
        <v>12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1</v>
      </c>
      <c r="L59" s="50">
        <v>0</v>
      </c>
      <c r="M59" s="50">
        <v>9</v>
      </c>
      <c r="N59" s="50">
        <v>0</v>
      </c>
      <c r="O59" s="15">
        <f t="shared" si="35"/>
        <v>2</v>
      </c>
      <c r="P59" s="15">
        <f t="shared" si="36"/>
        <v>11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1</v>
      </c>
      <c r="F60" s="50">
        <v>1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8</v>
      </c>
      <c r="N60" s="50">
        <v>0</v>
      </c>
      <c r="O60" s="15">
        <f t="shared" si="35"/>
        <v>4</v>
      </c>
      <c r="P60" s="15">
        <f t="shared" si="36"/>
        <v>12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16</v>
      </c>
      <c r="N61" s="50">
        <v>0</v>
      </c>
      <c r="O61" s="15">
        <f t="shared" si="35"/>
        <v>2</v>
      </c>
      <c r="P61" s="15">
        <f t="shared" si="36"/>
        <v>18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2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10</v>
      </c>
      <c r="N62" s="50">
        <v>0</v>
      </c>
      <c r="O62" s="15">
        <f t="shared" si="35"/>
        <v>3</v>
      </c>
      <c r="P62" s="15">
        <f t="shared" si="36"/>
        <v>13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1</v>
      </c>
      <c r="E63" s="50">
        <v>0</v>
      </c>
      <c r="F63" s="50">
        <v>0</v>
      </c>
      <c r="G63" s="50">
        <v>0</v>
      </c>
      <c r="H63" s="50">
        <v>0</v>
      </c>
      <c r="I63" s="50">
        <v>1</v>
      </c>
      <c r="J63" s="50">
        <v>1</v>
      </c>
      <c r="K63" s="50">
        <v>0</v>
      </c>
      <c r="L63" s="50">
        <v>0</v>
      </c>
      <c r="M63" s="50">
        <v>8</v>
      </c>
      <c r="N63" s="50">
        <v>0</v>
      </c>
      <c r="O63" s="15">
        <f t="shared" si="35"/>
        <v>3</v>
      </c>
      <c r="P63" s="15">
        <f t="shared" si="36"/>
        <v>11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5</v>
      </c>
      <c r="N64" s="50">
        <v>0</v>
      </c>
      <c r="O64" s="15">
        <f t="shared" si="35"/>
        <v>1</v>
      </c>
      <c r="P64" s="15">
        <f t="shared" si="36"/>
        <v>6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1</v>
      </c>
      <c r="L65" s="50">
        <v>0</v>
      </c>
      <c r="M65" s="50">
        <v>12</v>
      </c>
      <c r="N65" s="50">
        <v>0</v>
      </c>
      <c r="O65" s="15">
        <f t="shared" si="35"/>
        <v>3</v>
      </c>
      <c r="P65" s="15">
        <f t="shared" si="36"/>
        <v>15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49">
        <v>1</v>
      </c>
      <c r="J66" s="50">
        <v>0</v>
      </c>
      <c r="K66" s="50">
        <v>0</v>
      </c>
      <c r="L66" s="50">
        <v>0</v>
      </c>
      <c r="M66" s="50">
        <v>5</v>
      </c>
      <c r="N66" s="50">
        <v>0</v>
      </c>
      <c r="O66" s="15">
        <f t="shared" si="35"/>
        <v>2</v>
      </c>
      <c r="P66" s="15">
        <f t="shared" si="36"/>
        <v>7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1</v>
      </c>
      <c r="E67" s="50">
        <v>0</v>
      </c>
      <c r="F67" s="50">
        <v>0</v>
      </c>
      <c r="G67" s="50">
        <v>0</v>
      </c>
      <c r="H67" s="50">
        <v>0</v>
      </c>
      <c r="I67" s="50">
        <v>2</v>
      </c>
      <c r="J67" s="50">
        <v>1</v>
      </c>
      <c r="K67" s="50">
        <v>0</v>
      </c>
      <c r="L67" s="50">
        <v>0</v>
      </c>
      <c r="M67" s="50">
        <v>7</v>
      </c>
      <c r="N67" s="50">
        <v>0</v>
      </c>
      <c r="O67" s="15">
        <f t="shared" si="35"/>
        <v>4</v>
      </c>
      <c r="P67" s="15">
        <f t="shared" si="36"/>
        <v>11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2</v>
      </c>
      <c r="J68" s="50">
        <v>0</v>
      </c>
      <c r="K68" s="50">
        <v>1</v>
      </c>
      <c r="L68" s="50">
        <v>0</v>
      </c>
      <c r="M68" s="50">
        <v>8</v>
      </c>
      <c r="N68" s="50">
        <v>0</v>
      </c>
      <c r="O68" s="15">
        <f t="shared" si="35"/>
        <v>3</v>
      </c>
      <c r="P68" s="15">
        <f t="shared" si="36"/>
        <v>11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1</v>
      </c>
      <c r="J69" s="50">
        <v>0</v>
      </c>
      <c r="K69" s="50">
        <v>1</v>
      </c>
      <c r="L69" s="50">
        <v>0</v>
      </c>
      <c r="M69" s="50">
        <v>7</v>
      </c>
      <c r="N69" s="50">
        <v>0</v>
      </c>
      <c r="O69" s="15">
        <f t="shared" si="35"/>
        <v>2</v>
      </c>
      <c r="P69" s="15">
        <f t="shared" si="36"/>
        <v>9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1</v>
      </c>
      <c r="J70" s="50">
        <v>1</v>
      </c>
      <c r="K70" s="50">
        <v>0</v>
      </c>
      <c r="L70" s="50">
        <v>0</v>
      </c>
      <c r="M70" s="50">
        <v>4</v>
      </c>
      <c r="N70" s="50">
        <v>0</v>
      </c>
      <c r="O70" s="15">
        <f t="shared" si="35"/>
        <v>2</v>
      </c>
      <c r="P70" s="15">
        <f t="shared" si="36"/>
        <v>6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5</v>
      </c>
      <c r="N71" s="50">
        <v>0</v>
      </c>
      <c r="O71" s="15">
        <f t="shared" si="35"/>
        <v>1</v>
      </c>
      <c r="P71" s="15">
        <f t="shared" si="36"/>
        <v>6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7</v>
      </c>
      <c r="N72" s="50">
        <v>0</v>
      </c>
      <c r="O72" s="15">
        <f t="shared" si="35"/>
        <v>0</v>
      </c>
      <c r="P72" s="15">
        <f t="shared" si="36"/>
        <v>7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1</v>
      </c>
      <c r="L73" s="50">
        <v>0</v>
      </c>
      <c r="M73" s="50">
        <v>4</v>
      </c>
      <c r="N73" s="50">
        <v>0</v>
      </c>
      <c r="O73" s="15">
        <f t="shared" si="35"/>
        <v>4</v>
      </c>
      <c r="P73" s="15">
        <f t="shared" si="36"/>
        <v>8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1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</v>
      </c>
      <c r="N74" s="50">
        <v>0</v>
      </c>
      <c r="O74" s="15">
        <f t="shared" si="35"/>
        <v>2</v>
      </c>
      <c r="P74" s="15">
        <f t="shared" si="36"/>
        <v>5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3</v>
      </c>
      <c r="N75" s="50">
        <v>0</v>
      </c>
      <c r="O75" s="15">
        <f t="shared" si="35"/>
        <v>1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3</v>
      </c>
      <c r="N76" s="50">
        <v>0</v>
      </c>
      <c r="O76" s="15">
        <f t="shared" si="35"/>
        <v>2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1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2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1</v>
      </c>
      <c r="K78" s="50">
        <v>1</v>
      </c>
      <c r="L78" s="50">
        <v>0</v>
      </c>
      <c r="M78" s="50">
        <v>1</v>
      </c>
      <c r="N78" s="50">
        <v>0</v>
      </c>
      <c r="O78" s="15">
        <f t="shared" si="35"/>
        <v>2</v>
      </c>
      <c r="P78" s="15">
        <f t="shared" si="36"/>
        <v>3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1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2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1</v>
      </c>
      <c r="E81" s="50">
        <v>0</v>
      </c>
      <c r="F81" s="50">
        <v>0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1</v>
      </c>
      <c r="M82" s="50">
        <v>0</v>
      </c>
      <c r="N82" s="50">
        <v>0</v>
      </c>
      <c r="O82" s="15">
        <f t="shared" si="35"/>
        <v>2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1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2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2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5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1</v>
      </c>
      <c r="L86" s="50">
        <v>0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2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4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0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2</v>
      </c>
      <c r="L90" s="50">
        <v>0</v>
      </c>
      <c r="M90" s="50">
        <v>0</v>
      </c>
      <c r="N90" s="50"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2</v>
      </c>
      <c r="J92" s="50">
        <v>0</v>
      </c>
      <c r="K92" s="50">
        <v>1</v>
      </c>
      <c r="L92" s="50">
        <v>0</v>
      </c>
      <c r="M92" s="50">
        <v>0</v>
      </c>
      <c r="N92" s="50">
        <v>0</v>
      </c>
      <c r="O92" s="15">
        <f t="shared" si="35"/>
        <v>3</v>
      </c>
      <c r="P92" s="15">
        <f t="shared" si="36"/>
        <v>3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1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3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1</v>
      </c>
      <c r="L94" s="50">
        <v>0</v>
      </c>
      <c r="M94" s="50">
        <v>0</v>
      </c>
      <c r="N94" s="50">
        <v>0</v>
      </c>
      <c r="O94" s="15">
        <f t="shared" si="35"/>
        <v>4</v>
      </c>
      <c r="P94" s="15">
        <f t="shared" si="36"/>
        <v>4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0</v>
      </c>
      <c r="M95" s="50">
        <v>1</v>
      </c>
      <c r="N95" s="50">
        <v>0</v>
      </c>
      <c r="O95" s="15">
        <f t="shared" si="35"/>
        <v>2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1</v>
      </c>
      <c r="F97" s="50">
        <v>0</v>
      </c>
      <c r="G97" s="50">
        <v>0</v>
      </c>
      <c r="H97" s="50">
        <v>0</v>
      </c>
      <c r="I97" s="50">
        <v>2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3</v>
      </c>
      <c r="P97" s="15">
        <f t="shared" si="36"/>
        <v>5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2</v>
      </c>
      <c r="J98" s="50">
        <v>0</v>
      </c>
      <c r="K98" s="50">
        <v>1</v>
      </c>
      <c r="L98" s="50">
        <v>0</v>
      </c>
      <c r="M98" s="50">
        <v>2</v>
      </c>
      <c r="N98" s="50">
        <v>0</v>
      </c>
      <c r="O98" s="15">
        <f t="shared" si="35"/>
        <v>4</v>
      </c>
      <c r="P98" s="15">
        <f t="shared" si="36"/>
        <v>6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1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2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3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4</v>
      </c>
      <c r="N100" s="50">
        <v>0</v>
      </c>
      <c r="O100" s="15">
        <f t="shared" si="35"/>
        <v>1</v>
      </c>
      <c r="P100" s="15">
        <f t="shared" si="36"/>
        <v>5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1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4</v>
      </c>
      <c r="N101" s="50">
        <v>0</v>
      </c>
      <c r="O101" s="15">
        <f t="shared" si="35"/>
        <v>2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1</v>
      </c>
      <c r="E102" s="50">
        <v>1</v>
      </c>
      <c r="F102" s="50">
        <v>1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5</v>
      </c>
      <c r="N102" s="50">
        <v>0</v>
      </c>
      <c r="O102" s="15">
        <f t="shared" si="35"/>
        <v>6</v>
      </c>
      <c r="P102" s="15">
        <f t="shared" si="36"/>
        <v>11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2</v>
      </c>
      <c r="E103" s="50">
        <v>0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2</v>
      </c>
      <c r="L103" s="50">
        <v>0</v>
      </c>
      <c r="M103" s="50">
        <v>5</v>
      </c>
      <c r="N103" s="50">
        <v>0</v>
      </c>
      <c r="O103" s="15">
        <f t="shared" si="35"/>
        <v>5</v>
      </c>
      <c r="P103" s="15">
        <f t="shared" si="36"/>
        <v>10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1</v>
      </c>
      <c r="G104" s="50">
        <v>0</v>
      </c>
      <c r="H104" s="50">
        <v>0</v>
      </c>
      <c r="I104" s="50">
        <v>0</v>
      </c>
      <c r="J104" s="50">
        <v>2</v>
      </c>
      <c r="K104" s="50">
        <v>0</v>
      </c>
      <c r="L104" s="50">
        <v>0</v>
      </c>
      <c r="M104" s="50">
        <v>7</v>
      </c>
      <c r="N104" s="50">
        <v>0</v>
      </c>
      <c r="O104" s="15">
        <f t="shared" si="35"/>
        <v>4</v>
      </c>
      <c r="P104" s="15">
        <f t="shared" si="36"/>
        <v>11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2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1</v>
      </c>
      <c r="L105" s="50">
        <v>0</v>
      </c>
      <c r="M105" s="50">
        <v>5</v>
      </c>
      <c r="N105" s="50">
        <v>0</v>
      </c>
      <c r="O105" s="15">
        <f t="shared" si="35"/>
        <v>4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58</v>
      </c>
      <c r="D106" s="16">
        <f t="shared" ref="D106:P106" si="37">SUM(D10:D105)</f>
        <v>27</v>
      </c>
      <c r="E106" s="16">
        <f t="shared" si="37"/>
        <v>22</v>
      </c>
      <c r="F106" s="16">
        <f t="shared" si="37"/>
        <v>9</v>
      </c>
      <c r="G106" s="16">
        <f t="shared" si="37"/>
        <v>0</v>
      </c>
      <c r="H106" s="16">
        <f t="shared" si="37"/>
        <v>0</v>
      </c>
      <c r="I106" s="16">
        <f t="shared" si="37"/>
        <v>57</v>
      </c>
      <c r="J106" s="16">
        <f t="shared" si="37"/>
        <v>28</v>
      </c>
      <c r="K106" s="16">
        <f t="shared" si="37"/>
        <v>22</v>
      </c>
      <c r="L106" s="16">
        <f t="shared" si="37"/>
        <v>2</v>
      </c>
      <c r="M106" s="16">
        <f t="shared" si="37"/>
        <v>622</v>
      </c>
      <c r="N106" s="16">
        <f t="shared" si="37"/>
        <v>0</v>
      </c>
      <c r="O106" s="16">
        <f t="shared" si="37"/>
        <v>225</v>
      </c>
      <c r="P106" s="16">
        <f t="shared" si="37"/>
        <v>847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6.8476977567886663E-2</v>
      </c>
      <c r="D107" s="43">
        <f t="shared" si="38"/>
        <v>3.1877213695395513E-2</v>
      </c>
      <c r="E107" s="43">
        <f t="shared" si="38"/>
        <v>2.5974025974025976E-2</v>
      </c>
      <c r="F107" s="43">
        <f t="shared" si="38"/>
        <v>1.0625737898465172E-2</v>
      </c>
      <c r="G107" s="43">
        <f t="shared" si="38"/>
        <v>0</v>
      </c>
      <c r="H107" s="43">
        <f t="shared" si="38"/>
        <v>0</v>
      </c>
      <c r="I107" s="43">
        <f t="shared" si="38"/>
        <v>6.7296340023612747E-2</v>
      </c>
      <c r="J107" s="43">
        <f t="shared" si="38"/>
        <v>3.3057851239669422E-2</v>
      </c>
      <c r="K107" s="43">
        <f t="shared" si="38"/>
        <v>2.5974025974025976E-2</v>
      </c>
      <c r="L107" s="43">
        <f t="shared" si="38"/>
        <v>2.3612750885478157E-3</v>
      </c>
      <c r="M107" s="43">
        <f t="shared" si="38"/>
        <v>0.73435655253837073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0.25777777777777777</v>
      </c>
      <c r="D108" s="44">
        <f t="shared" ref="D108:N108" si="39">D106/$O$106</f>
        <v>0.12</v>
      </c>
      <c r="E108" s="44">
        <f t="shared" si="39"/>
        <v>9.7777777777777783E-2</v>
      </c>
      <c r="F108" s="44">
        <f t="shared" si="39"/>
        <v>0.04</v>
      </c>
      <c r="G108" s="44">
        <f t="shared" si="39"/>
        <v>0</v>
      </c>
      <c r="H108" s="44">
        <f t="shared" si="39"/>
        <v>0</v>
      </c>
      <c r="I108" s="44">
        <f t="shared" si="39"/>
        <v>0.25333333333333335</v>
      </c>
      <c r="J108" s="44">
        <f t="shared" si="39"/>
        <v>0.12444444444444444</v>
      </c>
      <c r="K108" s="44">
        <f t="shared" si="39"/>
        <v>9.7777777777777783E-2</v>
      </c>
      <c r="L108" s="44">
        <f t="shared" si="39"/>
        <v>8.8888888888888889E-3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B43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'17.10 BUSUNGU-MITYANA'!C3:G3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171</v>
      </c>
      <c r="E5" s="3"/>
      <c r="F5" s="41" t="s">
        <v>1</v>
      </c>
      <c r="G5" s="64" t="str">
        <f>'19.10 MITYANA-BUSUNJU 24hr'!G5:H5</f>
        <v>EXCEL&amp;LOOGE</v>
      </c>
      <c r="H5" s="65"/>
      <c r="I5" s="14"/>
      <c r="J5" s="2" t="s">
        <v>5</v>
      </c>
      <c r="K5" s="64" t="s">
        <v>167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'17.10 BUSUNGU-MITYANA'!D6:E6</f>
        <v>BUSUNJU</v>
      </c>
      <c r="E6" s="65"/>
      <c r="F6" s="2" t="s">
        <v>2</v>
      </c>
      <c r="G6" s="64" t="str">
        <f>'17.10 BUSUNGU-MITYANA'!G6:H6</f>
        <v>MITYANA</v>
      </c>
      <c r="H6" s="65"/>
      <c r="J6" s="2" t="s">
        <v>21</v>
      </c>
      <c r="K6" s="64" t="str">
        <f>'19.10 MITYANA-BUSUNJU 24hr'!K6:L6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8</v>
      </c>
      <c r="R10" s="1" t="s">
        <v>6</v>
      </c>
      <c r="S10" s="17">
        <f t="shared" ref="S10:AF10" si="2">SUM(C10:C13)</f>
        <v>2</v>
      </c>
      <c r="T10" s="17">
        <f t="shared" si="2"/>
        <v>1</v>
      </c>
      <c r="U10" s="17">
        <f t="shared" si="2"/>
        <v>0</v>
      </c>
      <c r="V10" s="17">
        <f t="shared" si="2"/>
        <v>0</v>
      </c>
      <c r="W10" s="17">
        <f t="shared" si="2"/>
        <v>1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38</v>
      </c>
      <c r="AD10" s="17">
        <f t="shared" si="2"/>
        <v>0</v>
      </c>
      <c r="AE10" s="31">
        <f t="shared" si="2"/>
        <v>6</v>
      </c>
      <c r="AF10" s="31">
        <f t="shared" si="2"/>
        <v>44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2</v>
      </c>
      <c r="P11" s="15">
        <f t="shared" si="1"/>
        <v>12</v>
      </c>
      <c r="R11" s="1" t="s">
        <v>7</v>
      </c>
      <c r="S11" s="17">
        <f t="shared" ref="S11:AF11" si="3">SUM(C14:C17)</f>
        <v>1</v>
      </c>
      <c r="T11" s="17">
        <f t="shared" si="3"/>
        <v>2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29</v>
      </c>
      <c r="AD11" s="17">
        <f t="shared" si="3"/>
        <v>0</v>
      </c>
      <c r="AE11" s="31">
        <f t="shared" si="3"/>
        <v>3</v>
      </c>
      <c r="AF11" s="31">
        <f t="shared" si="3"/>
        <v>32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13</v>
      </c>
      <c r="N12" s="50">
        <v>0</v>
      </c>
      <c r="O12" s="15">
        <f t="shared" si="0"/>
        <v>2</v>
      </c>
      <c r="P12" s="15">
        <f t="shared" si="1"/>
        <v>15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41</v>
      </c>
      <c r="AD12" s="17">
        <f t="shared" si="4"/>
        <v>0</v>
      </c>
      <c r="AE12" s="31">
        <f t="shared" si="4"/>
        <v>7</v>
      </c>
      <c r="AF12" s="31">
        <f t="shared" si="4"/>
        <v>48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9</v>
      </c>
      <c r="N13" s="50">
        <v>0</v>
      </c>
      <c r="O13" s="15">
        <f t="shared" si="0"/>
        <v>0</v>
      </c>
      <c r="P13" s="15">
        <f t="shared" si="1"/>
        <v>9</v>
      </c>
      <c r="R13" s="1" t="s">
        <v>9</v>
      </c>
      <c r="S13" s="17">
        <f t="shared" ref="S13:AF13" si="5">SUM(C22:C25)</f>
        <v>3</v>
      </c>
      <c r="T13" s="17">
        <f t="shared" si="5"/>
        <v>1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35</v>
      </c>
      <c r="AD13" s="17">
        <f t="shared" si="5"/>
        <v>0</v>
      </c>
      <c r="AE13" s="31">
        <f t="shared" si="5"/>
        <v>7</v>
      </c>
      <c r="AF13" s="31">
        <f t="shared" si="5"/>
        <v>42</v>
      </c>
    </row>
    <row r="14" spans="2:32" ht="23.1" customHeight="1" x14ac:dyDescent="0.25">
      <c r="B14" s="45" t="s">
        <v>41</v>
      </c>
      <c r="C14" s="50">
        <v>0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1</v>
      </c>
      <c r="P14" s="15">
        <f t="shared" si="1"/>
        <v>7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34</v>
      </c>
      <c r="AD14" s="17">
        <f t="shared" si="6"/>
        <v>0</v>
      </c>
      <c r="AE14" s="31">
        <f t="shared" si="6"/>
        <v>4</v>
      </c>
      <c r="AF14" s="31">
        <f t="shared" si="6"/>
        <v>38</v>
      </c>
    </row>
    <row r="15" spans="2:32" ht="23.1" customHeight="1" x14ac:dyDescent="0.25">
      <c r="B15" s="45" t="s">
        <v>42</v>
      </c>
      <c r="C15" s="50">
        <v>1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2</v>
      </c>
      <c r="P15" s="15">
        <f t="shared" si="1"/>
        <v>10</v>
      </c>
      <c r="R15" s="1" t="s">
        <v>11</v>
      </c>
      <c r="S15" s="17">
        <f t="shared" ref="S15:AF15" si="7">SUM(C30:C33)</f>
        <v>4</v>
      </c>
      <c r="T15" s="17">
        <f t="shared" si="7"/>
        <v>1</v>
      </c>
      <c r="U15" s="17">
        <f t="shared" si="7"/>
        <v>0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36</v>
      </c>
      <c r="AD15" s="17">
        <f t="shared" si="7"/>
        <v>0</v>
      </c>
      <c r="AE15" s="31">
        <f t="shared" si="7"/>
        <v>7</v>
      </c>
      <c r="AF15" s="31">
        <f t="shared" si="7"/>
        <v>43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7</v>
      </c>
      <c r="N16" s="50">
        <v>0</v>
      </c>
      <c r="O16" s="15">
        <f t="shared" si="0"/>
        <v>0</v>
      </c>
      <c r="P16" s="15">
        <f t="shared" si="1"/>
        <v>7</v>
      </c>
      <c r="R16" s="1" t="s">
        <v>12</v>
      </c>
      <c r="S16" s="17">
        <f t="shared" ref="S16:AF16" si="8">SUM(C34:C37)</f>
        <v>8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43</v>
      </c>
      <c r="AD16" s="17">
        <f t="shared" si="8"/>
        <v>0</v>
      </c>
      <c r="AE16" s="31">
        <f t="shared" si="8"/>
        <v>11</v>
      </c>
      <c r="AF16" s="31">
        <f t="shared" si="8"/>
        <v>54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0</v>
      </c>
      <c r="P17" s="15">
        <f t="shared" si="1"/>
        <v>8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27</v>
      </c>
      <c r="AD17" s="17">
        <f t="shared" si="9"/>
        <v>0</v>
      </c>
      <c r="AE17" s="31">
        <f t="shared" si="9"/>
        <v>1</v>
      </c>
      <c r="AF17" s="31">
        <f t="shared" si="9"/>
        <v>28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1</v>
      </c>
      <c r="P18" s="15">
        <f t="shared" si="1"/>
        <v>15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25</v>
      </c>
      <c r="AD18" s="17">
        <f t="shared" si="10"/>
        <v>0</v>
      </c>
      <c r="AE18" s="31">
        <f t="shared" si="10"/>
        <v>6</v>
      </c>
      <c r="AF18" s="31">
        <f t="shared" si="10"/>
        <v>31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0"/>
        <v>1</v>
      </c>
      <c r="P19" s="15">
        <f t="shared" si="1"/>
        <v>11</v>
      </c>
      <c r="R19" s="1" t="s">
        <v>15</v>
      </c>
      <c r="S19" s="17">
        <f t="shared" ref="S19:AF19" si="11">SUM(C46:C49)</f>
        <v>3</v>
      </c>
      <c r="T19" s="17">
        <f t="shared" si="11"/>
        <v>3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31</v>
      </c>
      <c r="AD19" s="17">
        <f t="shared" si="11"/>
        <v>0</v>
      </c>
      <c r="AE19" s="31">
        <f t="shared" si="11"/>
        <v>12</v>
      </c>
      <c r="AF19" s="31">
        <f t="shared" si="11"/>
        <v>43</v>
      </c>
    </row>
    <row r="20" spans="2:32" ht="23.1" customHeight="1" x14ac:dyDescent="0.25">
      <c r="B20" s="45" t="s">
        <v>47</v>
      </c>
      <c r="C20" s="50">
        <v>0</v>
      </c>
      <c r="D20" s="50">
        <v>1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11</v>
      </c>
      <c r="N20" s="50">
        <v>0</v>
      </c>
      <c r="O20" s="15">
        <f t="shared" si="0"/>
        <v>2</v>
      </c>
      <c r="P20" s="15">
        <f t="shared" si="1"/>
        <v>13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1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37</v>
      </c>
      <c r="AD20" s="17">
        <f t="shared" si="12"/>
        <v>0</v>
      </c>
      <c r="AE20" s="31">
        <f t="shared" si="12"/>
        <v>9</v>
      </c>
      <c r="AF20" s="31">
        <f t="shared" si="12"/>
        <v>46</v>
      </c>
    </row>
    <row r="21" spans="2:32" ht="23.1" customHeight="1" x14ac:dyDescent="0.25">
      <c r="B21" s="45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6</v>
      </c>
      <c r="N21" s="50">
        <v>0</v>
      </c>
      <c r="O21" s="15">
        <f t="shared" si="0"/>
        <v>3</v>
      </c>
      <c r="P21" s="15">
        <f t="shared" si="1"/>
        <v>9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2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45</v>
      </c>
      <c r="AD21" s="17">
        <f t="shared" si="13"/>
        <v>0</v>
      </c>
      <c r="AE21" s="31">
        <f t="shared" si="13"/>
        <v>8</v>
      </c>
      <c r="AF21" s="31">
        <f t="shared" si="13"/>
        <v>53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5</v>
      </c>
      <c r="N22" s="50">
        <v>0</v>
      </c>
      <c r="O22" s="15">
        <f t="shared" si="0"/>
        <v>1</v>
      </c>
      <c r="P22" s="15">
        <f t="shared" si="1"/>
        <v>6</v>
      </c>
      <c r="R22" s="36" t="s">
        <v>146</v>
      </c>
      <c r="S22" s="34">
        <f>SUM(C58:C61)</f>
        <v>3</v>
      </c>
      <c r="T22" s="34">
        <f t="shared" ref="T22:AF22" si="14">SUM(D58:D61)</f>
        <v>2</v>
      </c>
      <c r="U22" s="34">
        <f t="shared" si="14"/>
        <v>1</v>
      </c>
      <c r="V22" s="34">
        <f t="shared" si="14"/>
        <v>0</v>
      </c>
      <c r="W22" s="34">
        <f t="shared" si="14"/>
        <v>1</v>
      </c>
      <c r="X22" s="34">
        <f t="shared" si="14"/>
        <v>0</v>
      </c>
      <c r="Y22" s="34">
        <f t="shared" si="14"/>
        <v>5</v>
      </c>
      <c r="Z22" s="34">
        <f t="shared" si="14"/>
        <v>0</v>
      </c>
      <c r="AA22" s="34">
        <f t="shared" si="14"/>
        <v>1</v>
      </c>
      <c r="AB22" s="34">
        <f t="shared" si="14"/>
        <v>0</v>
      </c>
      <c r="AC22" s="34">
        <f t="shared" si="14"/>
        <v>72</v>
      </c>
      <c r="AD22" s="34">
        <f t="shared" si="14"/>
        <v>0</v>
      </c>
      <c r="AE22" s="31">
        <f t="shared" si="14"/>
        <v>13</v>
      </c>
      <c r="AF22" s="31">
        <f t="shared" si="14"/>
        <v>85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12</v>
      </c>
      <c r="N23" s="50">
        <v>0</v>
      </c>
      <c r="O23" s="15">
        <f t="shared" si="0"/>
        <v>0</v>
      </c>
      <c r="P23" s="15">
        <f t="shared" si="1"/>
        <v>12</v>
      </c>
      <c r="R23" s="36" t="s">
        <v>147</v>
      </c>
      <c r="S23" s="34">
        <f>SUM(C62:C65)</f>
        <v>4</v>
      </c>
      <c r="T23" s="34">
        <f t="shared" ref="T23:AF23" si="15">SUM(D62:D65)</f>
        <v>2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42</v>
      </c>
      <c r="AD23" s="34">
        <f t="shared" si="15"/>
        <v>0</v>
      </c>
      <c r="AE23" s="31">
        <f t="shared" si="15"/>
        <v>6</v>
      </c>
      <c r="AF23" s="31">
        <f t="shared" si="15"/>
        <v>48</v>
      </c>
    </row>
    <row r="24" spans="2:32" ht="23.1" customHeight="1" x14ac:dyDescent="0.25">
      <c r="B24" s="45" t="s">
        <v>51</v>
      </c>
      <c r="C24" s="50">
        <v>2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5</v>
      </c>
      <c r="P24" s="15">
        <f t="shared" si="1"/>
        <v>13</v>
      </c>
      <c r="R24" s="36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3</v>
      </c>
      <c r="V24" s="5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21</v>
      </c>
      <c r="AD24" s="34">
        <f t="shared" si="16"/>
        <v>0</v>
      </c>
      <c r="AE24" s="31">
        <f t="shared" si="16"/>
        <v>7</v>
      </c>
      <c r="AF24" s="31">
        <f t="shared" si="16"/>
        <v>28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10</v>
      </c>
      <c r="N25" s="50">
        <v>0</v>
      </c>
      <c r="O25" s="15">
        <f t="shared" si="0"/>
        <v>1</v>
      </c>
      <c r="P25" s="15">
        <f t="shared" si="1"/>
        <v>11</v>
      </c>
      <c r="R25" s="36" t="s">
        <v>149</v>
      </c>
      <c r="S25" s="34">
        <f>SUM(C70:C73)</f>
        <v>0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0</v>
      </c>
      <c r="AB25" s="34">
        <f t="shared" si="17"/>
        <v>1</v>
      </c>
      <c r="AC25" s="34">
        <f t="shared" si="17"/>
        <v>18</v>
      </c>
      <c r="AD25" s="34">
        <f t="shared" si="17"/>
        <v>0</v>
      </c>
      <c r="AE25" s="31">
        <f t="shared" si="17"/>
        <v>4</v>
      </c>
      <c r="AF25" s="31">
        <f t="shared" si="17"/>
        <v>22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2</v>
      </c>
      <c r="P26" s="15">
        <f t="shared" si="1"/>
        <v>9</v>
      </c>
      <c r="R26" s="36" t="s">
        <v>150</v>
      </c>
      <c r="S26" s="34">
        <f>SUM(C74:C77)</f>
        <v>4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10</v>
      </c>
      <c r="AD26" s="34">
        <f t="shared" si="18"/>
        <v>0</v>
      </c>
      <c r="AE26" s="31">
        <f t="shared" si="18"/>
        <v>5</v>
      </c>
      <c r="AF26" s="31">
        <f t="shared" si="18"/>
        <v>15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0</v>
      </c>
      <c r="P27" s="15">
        <f t="shared" si="1"/>
        <v>4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5</v>
      </c>
      <c r="AF27" s="31">
        <f t="shared" si="19"/>
        <v>7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0</v>
      </c>
      <c r="P28" s="15">
        <f t="shared" si="1"/>
        <v>14</v>
      </c>
      <c r="R28" s="36" t="s">
        <v>152</v>
      </c>
      <c r="S28" s="34">
        <f>SUM(C82:C85)</f>
        <v>1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4</v>
      </c>
      <c r="AF28" s="31">
        <f t="shared" si="20"/>
        <v>4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9</v>
      </c>
      <c r="N29" s="50">
        <v>0</v>
      </c>
      <c r="O29" s="15">
        <f t="shared" si="0"/>
        <v>2</v>
      </c>
      <c r="P29" s="15">
        <f t="shared" si="1"/>
        <v>11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3</v>
      </c>
      <c r="AA29" s="34">
        <f t="shared" si="21"/>
        <v>1</v>
      </c>
      <c r="AB29" s="34">
        <f t="shared" si="21"/>
        <v>1</v>
      </c>
      <c r="AC29" s="34">
        <f t="shared" si="21"/>
        <v>0</v>
      </c>
      <c r="AD29" s="34">
        <f t="shared" si="21"/>
        <v>0</v>
      </c>
      <c r="AE29" s="31">
        <f t="shared" si="21"/>
        <v>5</v>
      </c>
      <c r="AF29" s="31">
        <f t="shared" si="21"/>
        <v>5</v>
      </c>
    </row>
    <row r="30" spans="2:32" ht="23.1" customHeight="1" x14ac:dyDescent="0.25">
      <c r="B30" s="45" t="s">
        <v>57</v>
      </c>
      <c r="C30" s="50">
        <v>1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8</v>
      </c>
      <c r="N30" s="50">
        <v>0</v>
      </c>
      <c r="O30" s="15">
        <f t="shared" si="0"/>
        <v>3</v>
      </c>
      <c r="P30" s="15">
        <f t="shared" si="1"/>
        <v>11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2</v>
      </c>
      <c r="AA30" s="34">
        <f t="shared" si="22"/>
        <v>0</v>
      </c>
      <c r="AB30" s="34">
        <f t="shared" si="22"/>
        <v>1</v>
      </c>
      <c r="AC30" s="34">
        <f t="shared" si="22"/>
        <v>0</v>
      </c>
      <c r="AD30" s="34">
        <f t="shared" si="22"/>
        <v>0</v>
      </c>
      <c r="AE30" s="31">
        <f t="shared" si="22"/>
        <v>6</v>
      </c>
      <c r="AF30" s="31">
        <f t="shared" si="22"/>
        <v>6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0</v>
      </c>
      <c r="P31" s="15">
        <f t="shared" si="1"/>
        <v>11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0</v>
      </c>
      <c r="AB31" s="34">
        <f t="shared" si="23"/>
        <v>1</v>
      </c>
      <c r="AC31" s="34">
        <f t="shared" si="23"/>
        <v>0</v>
      </c>
      <c r="AD31" s="34">
        <f t="shared" si="23"/>
        <v>0</v>
      </c>
      <c r="AE31" s="31">
        <f t="shared" si="23"/>
        <v>2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8</v>
      </c>
      <c r="N32" s="50">
        <v>0</v>
      </c>
      <c r="O32" s="15">
        <f t="shared" si="0"/>
        <v>1</v>
      </c>
      <c r="P32" s="15">
        <f t="shared" si="1"/>
        <v>9</v>
      </c>
      <c r="R32" s="33" t="s">
        <v>156</v>
      </c>
      <c r="S32" s="34">
        <f>SUM(C98:C101)</f>
        <v>1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4</v>
      </c>
      <c r="AB32" s="34">
        <f t="shared" si="24"/>
        <v>0</v>
      </c>
      <c r="AC32" s="34">
        <f t="shared" si="24"/>
        <v>1</v>
      </c>
      <c r="AD32" s="34">
        <f t="shared" si="24"/>
        <v>0</v>
      </c>
      <c r="AE32" s="31">
        <f t="shared" si="24"/>
        <v>6</v>
      </c>
      <c r="AF32" s="31">
        <f t="shared" si="24"/>
        <v>7</v>
      </c>
    </row>
    <row r="33" spans="2:32" ht="23.1" customHeight="1" x14ac:dyDescent="0.25">
      <c r="B33" s="45" t="s">
        <v>60</v>
      </c>
      <c r="C33" s="50">
        <v>2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9</v>
      </c>
      <c r="N33" s="50">
        <v>0</v>
      </c>
      <c r="O33" s="15">
        <f t="shared" si="0"/>
        <v>3</v>
      </c>
      <c r="P33" s="15">
        <f t="shared" si="1"/>
        <v>12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2</v>
      </c>
      <c r="AA33" s="34">
        <f t="shared" si="25"/>
        <v>0</v>
      </c>
      <c r="AB33" s="34">
        <f t="shared" si="25"/>
        <v>0</v>
      </c>
      <c r="AC33" s="34">
        <f t="shared" si="25"/>
        <v>1</v>
      </c>
      <c r="AD33" s="34">
        <f t="shared" si="25"/>
        <v>0</v>
      </c>
      <c r="AE33" s="31">
        <f t="shared" si="25"/>
        <v>2</v>
      </c>
      <c r="AF33" s="31">
        <f t="shared" si="25"/>
        <v>3</v>
      </c>
    </row>
    <row r="34" spans="2:32" ht="23.1" customHeight="1" x14ac:dyDescent="0.25">
      <c r="B34" s="46" t="s">
        <v>61</v>
      </c>
      <c r="C34" s="50">
        <v>3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16</v>
      </c>
      <c r="N34" s="50">
        <v>0</v>
      </c>
      <c r="O34" s="15">
        <f t="shared" si="0"/>
        <v>3</v>
      </c>
      <c r="P34" s="15">
        <f t="shared" si="1"/>
        <v>19</v>
      </c>
      <c r="R34" s="38" t="s">
        <v>90</v>
      </c>
      <c r="S34" s="39">
        <f t="shared" ref="S34:AF34" si="26">MAX(S10:S12)</f>
        <v>2</v>
      </c>
      <c r="T34" s="39">
        <f t="shared" si="26"/>
        <v>2</v>
      </c>
      <c r="U34" s="39">
        <f t="shared" si="26"/>
        <v>2</v>
      </c>
      <c r="V34" s="39">
        <f t="shared" si="26"/>
        <v>0</v>
      </c>
      <c r="W34" s="39">
        <f t="shared" si="26"/>
        <v>1</v>
      </c>
      <c r="X34" s="39">
        <f t="shared" si="26"/>
        <v>0</v>
      </c>
      <c r="Y34" s="39">
        <f t="shared" si="26"/>
        <v>2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41</v>
      </c>
      <c r="AD34" s="39">
        <f t="shared" si="26"/>
        <v>0</v>
      </c>
      <c r="AE34" s="40">
        <f t="shared" si="26"/>
        <v>7</v>
      </c>
      <c r="AF34" s="40">
        <f t="shared" si="26"/>
        <v>48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10</v>
      </c>
      <c r="N35" s="50">
        <v>0</v>
      </c>
      <c r="O35" s="15">
        <f t="shared" si="0"/>
        <v>1</v>
      </c>
      <c r="P35" s="15">
        <f t="shared" si="1"/>
        <v>11</v>
      </c>
      <c r="R35" s="38" t="s">
        <v>91</v>
      </c>
      <c r="S35" s="39">
        <f t="shared" ref="S35:AF35" si="27">MAX(S13:S18)</f>
        <v>8</v>
      </c>
      <c r="T35" s="39">
        <f t="shared" si="27"/>
        <v>1</v>
      </c>
      <c r="U35" s="39">
        <f t="shared" si="27"/>
        <v>1</v>
      </c>
      <c r="V35" s="39">
        <f t="shared" si="27"/>
        <v>1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2</v>
      </c>
      <c r="AA35" s="39">
        <f t="shared" si="27"/>
        <v>1</v>
      </c>
      <c r="AB35" s="39">
        <f t="shared" si="27"/>
        <v>0</v>
      </c>
      <c r="AC35" s="39">
        <f t="shared" si="27"/>
        <v>43</v>
      </c>
      <c r="AD35" s="39">
        <f t="shared" si="27"/>
        <v>0</v>
      </c>
      <c r="AE35" s="40">
        <f t="shared" si="27"/>
        <v>11</v>
      </c>
      <c r="AF35" s="40">
        <f t="shared" si="27"/>
        <v>54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3</v>
      </c>
      <c r="P36" s="15">
        <f t="shared" si="1"/>
        <v>14</v>
      </c>
      <c r="R36" s="38" t="s">
        <v>92</v>
      </c>
      <c r="S36" s="39">
        <f t="shared" ref="S36:AF36" si="28">MAX(S19:S21)</f>
        <v>4</v>
      </c>
      <c r="T36" s="39">
        <f t="shared" si="28"/>
        <v>3</v>
      </c>
      <c r="U36" s="39">
        <f t="shared" si="28"/>
        <v>2</v>
      </c>
      <c r="V36" s="39">
        <f t="shared" si="28"/>
        <v>2</v>
      </c>
      <c r="W36" s="39">
        <f t="shared" si="28"/>
        <v>1</v>
      </c>
      <c r="X36" s="39">
        <f t="shared" si="28"/>
        <v>0</v>
      </c>
      <c r="Y36" s="39">
        <f t="shared" si="28"/>
        <v>4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45</v>
      </c>
      <c r="AD36" s="39">
        <f t="shared" si="28"/>
        <v>0</v>
      </c>
      <c r="AE36" s="40">
        <f t="shared" si="28"/>
        <v>12</v>
      </c>
      <c r="AF36" s="40">
        <f t="shared" si="28"/>
        <v>53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4</v>
      </c>
      <c r="P37" s="15">
        <f t="shared" si="1"/>
        <v>10</v>
      </c>
      <c r="R37" s="37" t="s">
        <v>85</v>
      </c>
      <c r="S37" s="35">
        <f t="shared" ref="S37:AF37" si="29">SUM(S10:S12)</f>
        <v>5</v>
      </c>
      <c r="T37" s="16">
        <f t="shared" si="29"/>
        <v>4</v>
      </c>
      <c r="U37" s="16">
        <f t="shared" si="29"/>
        <v>2</v>
      </c>
      <c r="V37" s="16">
        <f t="shared" si="29"/>
        <v>0</v>
      </c>
      <c r="W37" s="16">
        <f t="shared" si="29"/>
        <v>1</v>
      </c>
      <c r="X37" s="16">
        <f t="shared" si="29"/>
        <v>0</v>
      </c>
      <c r="Y37" s="16">
        <f t="shared" si="29"/>
        <v>4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108</v>
      </c>
      <c r="AD37" s="16">
        <f t="shared" si="29"/>
        <v>0</v>
      </c>
      <c r="AE37" s="32">
        <f t="shared" si="29"/>
        <v>16</v>
      </c>
      <c r="AF37" s="32">
        <f t="shared" si="29"/>
        <v>124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1</v>
      </c>
      <c r="P38" s="15">
        <f t="shared" si="1"/>
        <v>7</v>
      </c>
      <c r="R38" s="28" t="s">
        <v>86</v>
      </c>
      <c r="S38" s="16">
        <f t="shared" ref="S38:AF38" si="30">SUM(S13:S18)</f>
        <v>20</v>
      </c>
      <c r="T38" s="16">
        <f t="shared" si="30"/>
        <v>2</v>
      </c>
      <c r="U38" s="16">
        <f t="shared" si="30"/>
        <v>3</v>
      </c>
      <c r="V38" s="16">
        <f t="shared" si="30"/>
        <v>2</v>
      </c>
      <c r="W38" s="16">
        <f t="shared" si="30"/>
        <v>0</v>
      </c>
      <c r="X38" s="16">
        <f t="shared" si="30"/>
        <v>0</v>
      </c>
      <c r="Y38" s="16">
        <f t="shared" si="30"/>
        <v>5</v>
      </c>
      <c r="Z38" s="16">
        <f t="shared" si="30"/>
        <v>3</v>
      </c>
      <c r="AA38" s="16">
        <f t="shared" si="30"/>
        <v>1</v>
      </c>
      <c r="AB38" s="16">
        <f t="shared" si="30"/>
        <v>0</v>
      </c>
      <c r="AC38" s="16">
        <f t="shared" si="30"/>
        <v>200</v>
      </c>
      <c r="AD38" s="16">
        <f t="shared" si="30"/>
        <v>0</v>
      </c>
      <c r="AE38" s="32">
        <f t="shared" si="30"/>
        <v>36</v>
      </c>
      <c r="AF38" s="32">
        <f t="shared" si="30"/>
        <v>236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0</v>
      </c>
      <c r="P39" s="15">
        <f t="shared" si="1"/>
        <v>7</v>
      </c>
      <c r="R39" s="29" t="s">
        <v>87</v>
      </c>
      <c r="S39" s="16">
        <f t="shared" ref="S39:AF39" si="31">SUM(S19:S21)</f>
        <v>10</v>
      </c>
      <c r="T39" s="16">
        <f t="shared" si="31"/>
        <v>3</v>
      </c>
      <c r="U39" s="16">
        <f t="shared" si="31"/>
        <v>5</v>
      </c>
      <c r="V39" s="16">
        <f t="shared" si="31"/>
        <v>2</v>
      </c>
      <c r="W39" s="16">
        <f t="shared" si="31"/>
        <v>1</v>
      </c>
      <c r="X39" s="16">
        <f t="shared" si="31"/>
        <v>0</v>
      </c>
      <c r="Y39" s="16">
        <f t="shared" si="31"/>
        <v>8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113</v>
      </c>
      <c r="AD39" s="16">
        <f t="shared" si="31"/>
        <v>0</v>
      </c>
      <c r="AE39" s="32">
        <f t="shared" si="31"/>
        <v>29</v>
      </c>
      <c r="AF39" s="32">
        <f t="shared" si="31"/>
        <v>142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0</v>
      </c>
      <c r="P40" s="15">
        <f t="shared" si="1"/>
        <v>8</v>
      </c>
      <c r="R40" s="5" t="s">
        <v>17</v>
      </c>
      <c r="S40" s="16">
        <f t="shared" ref="S40:AF40" si="32">SUM(S10:S21)</f>
        <v>35</v>
      </c>
      <c r="T40" s="16">
        <f t="shared" si="32"/>
        <v>9</v>
      </c>
      <c r="U40" s="16">
        <f t="shared" si="32"/>
        <v>10</v>
      </c>
      <c r="V40" s="16">
        <f t="shared" si="32"/>
        <v>4</v>
      </c>
      <c r="W40" s="16">
        <f t="shared" si="32"/>
        <v>2</v>
      </c>
      <c r="X40" s="16">
        <f t="shared" si="32"/>
        <v>0</v>
      </c>
      <c r="Y40" s="16">
        <f t="shared" si="32"/>
        <v>17</v>
      </c>
      <c r="Z40" s="16">
        <f t="shared" si="32"/>
        <v>3</v>
      </c>
      <c r="AA40" s="16">
        <f t="shared" si="32"/>
        <v>1</v>
      </c>
      <c r="AB40" s="16">
        <f t="shared" si="32"/>
        <v>0</v>
      </c>
      <c r="AC40" s="16">
        <f t="shared" si="32"/>
        <v>421</v>
      </c>
      <c r="AD40" s="16">
        <f t="shared" si="32"/>
        <v>0</v>
      </c>
      <c r="AE40" s="32">
        <f t="shared" si="32"/>
        <v>81</v>
      </c>
      <c r="AF40" s="32">
        <f t="shared" si="32"/>
        <v>502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0</v>
      </c>
      <c r="P41" s="15">
        <f t="shared" si="1"/>
        <v>6</v>
      </c>
      <c r="R41" s="5" t="s">
        <v>159</v>
      </c>
      <c r="S41" s="16">
        <f>SUM(S10:S33)</f>
        <v>53</v>
      </c>
      <c r="T41" s="16">
        <f t="shared" ref="T41:AF41" si="33">SUM(T10:T33)</f>
        <v>15</v>
      </c>
      <c r="U41" s="16">
        <f t="shared" si="33"/>
        <v>18</v>
      </c>
      <c r="V41" s="16">
        <f t="shared" si="33"/>
        <v>5</v>
      </c>
      <c r="W41" s="16">
        <f t="shared" si="33"/>
        <v>3</v>
      </c>
      <c r="X41" s="16">
        <f t="shared" si="33"/>
        <v>0</v>
      </c>
      <c r="Y41" s="16">
        <f t="shared" si="33"/>
        <v>29</v>
      </c>
      <c r="Z41" s="16">
        <f t="shared" si="33"/>
        <v>12</v>
      </c>
      <c r="AA41" s="16">
        <f t="shared" si="33"/>
        <v>7</v>
      </c>
      <c r="AB41" s="16">
        <f t="shared" si="33"/>
        <v>4</v>
      </c>
      <c r="AC41" s="16">
        <f t="shared" si="33"/>
        <v>588</v>
      </c>
      <c r="AD41" s="16">
        <f t="shared" si="33"/>
        <v>0</v>
      </c>
      <c r="AE41" s="32">
        <f t="shared" si="33"/>
        <v>146</v>
      </c>
      <c r="AF41" s="32">
        <f t="shared" si="33"/>
        <v>734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3</v>
      </c>
      <c r="P42" s="15">
        <f t="shared" si="1"/>
        <v>8</v>
      </c>
      <c r="R42" s="5" t="s">
        <v>160</v>
      </c>
      <c r="S42" s="48">
        <f>S41/S40</f>
        <v>1.5142857142857142</v>
      </c>
      <c r="T42" s="48">
        <f t="shared" ref="T42:AF42" si="34">T41/T40</f>
        <v>1.6666666666666667</v>
      </c>
      <c r="U42" s="48">
        <f t="shared" si="34"/>
        <v>1.8</v>
      </c>
      <c r="V42" s="48">
        <f t="shared" si="34"/>
        <v>1.25</v>
      </c>
      <c r="W42" s="48">
        <f t="shared" si="34"/>
        <v>1.5</v>
      </c>
      <c r="X42" s="48" t="e">
        <f t="shared" si="34"/>
        <v>#DIV/0!</v>
      </c>
      <c r="Y42" s="48">
        <f t="shared" si="34"/>
        <v>1.7058823529411764</v>
      </c>
      <c r="Z42" s="48">
        <f t="shared" si="34"/>
        <v>4</v>
      </c>
      <c r="AA42" s="48">
        <f t="shared" si="34"/>
        <v>7</v>
      </c>
      <c r="AB42" s="48" t="e">
        <f t="shared" si="34"/>
        <v>#DIV/0!</v>
      </c>
      <c r="AC42" s="48">
        <f t="shared" si="34"/>
        <v>1.3966745843230404</v>
      </c>
      <c r="AD42" s="48" t="e">
        <f t="shared" si="34"/>
        <v>#DIV/0!</v>
      </c>
      <c r="AE42" s="48">
        <f t="shared" si="34"/>
        <v>1.8024691358024691</v>
      </c>
      <c r="AF42" s="48">
        <f t="shared" si="34"/>
        <v>1.4621513944223108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2</v>
      </c>
      <c r="P43" s="15">
        <f t="shared" si="1"/>
        <v>9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1</v>
      </c>
      <c r="P44" s="15">
        <f t="shared" si="1"/>
        <v>8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6</v>
      </c>
      <c r="N45" s="50">
        <v>0</v>
      </c>
      <c r="O45" s="15">
        <f t="shared" si="0"/>
        <v>0</v>
      </c>
      <c r="P45" s="15">
        <f t="shared" si="1"/>
        <v>6</v>
      </c>
    </row>
    <row r="46" spans="2:32" ht="23.1" customHeight="1" x14ac:dyDescent="0.25">
      <c r="B46" s="46" t="s">
        <v>73</v>
      </c>
      <c r="C46" s="50">
        <v>2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8</v>
      </c>
      <c r="N46" s="50">
        <v>0</v>
      </c>
      <c r="O46" s="15">
        <f t="shared" si="0"/>
        <v>3</v>
      </c>
      <c r="P46" s="15">
        <f t="shared" si="1"/>
        <v>11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5</v>
      </c>
      <c r="N47" s="50">
        <v>0</v>
      </c>
      <c r="O47" s="15">
        <f t="shared" si="0"/>
        <v>3</v>
      </c>
      <c r="P47" s="15">
        <f t="shared" si="1"/>
        <v>8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2</v>
      </c>
      <c r="E48" s="50">
        <v>1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9</v>
      </c>
      <c r="N48" s="50">
        <v>0</v>
      </c>
      <c r="O48" s="15">
        <f t="shared" si="0"/>
        <v>4</v>
      </c>
      <c r="P48" s="15">
        <f t="shared" si="1"/>
        <v>13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9</v>
      </c>
      <c r="N49" s="50">
        <v>0</v>
      </c>
      <c r="O49" s="15">
        <f t="shared" si="0"/>
        <v>2</v>
      </c>
      <c r="P49" s="15">
        <f t="shared" si="1"/>
        <v>11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11</v>
      </c>
      <c r="N50" s="50">
        <v>0</v>
      </c>
      <c r="O50" s="15">
        <f t="shared" si="0"/>
        <v>3</v>
      </c>
      <c r="P50" s="15">
        <f t="shared" si="1"/>
        <v>14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11</v>
      </c>
      <c r="N51" s="50">
        <v>0</v>
      </c>
      <c r="O51" s="15">
        <f t="shared" si="0"/>
        <v>4</v>
      </c>
      <c r="P51" s="15">
        <f t="shared" si="1"/>
        <v>15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8</v>
      </c>
      <c r="N52" s="50">
        <v>0</v>
      </c>
      <c r="O52" s="15">
        <f t="shared" si="0"/>
        <v>2</v>
      </c>
      <c r="P52" s="15">
        <f t="shared" si="1"/>
        <v>10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7</v>
      </c>
      <c r="N53" s="50">
        <v>0</v>
      </c>
      <c r="O53" s="15">
        <f t="shared" si="0"/>
        <v>0</v>
      </c>
      <c r="P53" s="15">
        <f t="shared" si="1"/>
        <v>7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5</v>
      </c>
      <c r="N54" s="50">
        <v>0</v>
      </c>
      <c r="O54" s="15">
        <f t="shared" si="0"/>
        <v>2</v>
      </c>
      <c r="P54" s="15">
        <f t="shared" si="1"/>
        <v>7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8</v>
      </c>
      <c r="N55" s="50">
        <v>0</v>
      </c>
      <c r="O55" s="15">
        <f t="shared" si="0"/>
        <v>2</v>
      </c>
      <c r="P55" s="15">
        <f t="shared" si="1"/>
        <v>10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18</v>
      </c>
      <c r="N56" s="50">
        <v>0</v>
      </c>
      <c r="O56" s="15">
        <f t="shared" si="0"/>
        <v>1</v>
      </c>
      <c r="P56" s="15">
        <f t="shared" si="1"/>
        <v>19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1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14</v>
      </c>
      <c r="N57" s="50">
        <v>0</v>
      </c>
      <c r="O57" s="15">
        <f t="shared" si="0"/>
        <v>3</v>
      </c>
      <c r="P57" s="15">
        <f t="shared" si="1"/>
        <v>17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3</v>
      </c>
      <c r="J58" s="50">
        <v>0</v>
      </c>
      <c r="K58" s="50">
        <v>1</v>
      </c>
      <c r="L58" s="50">
        <v>0</v>
      </c>
      <c r="M58" s="50">
        <v>17</v>
      </c>
      <c r="N58" s="50">
        <v>0</v>
      </c>
      <c r="O58" s="15">
        <f t="shared" si="0"/>
        <v>6</v>
      </c>
      <c r="P58" s="15">
        <f t="shared" si="1"/>
        <v>23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19</v>
      </c>
      <c r="N59" s="50">
        <v>0</v>
      </c>
      <c r="O59" s="15">
        <f t="shared" si="0"/>
        <v>1</v>
      </c>
      <c r="P59" s="15">
        <f t="shared" si="1"/>
        <v>20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2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17</v>
      </c>
      <c r="N60" s="50">
        <v>0</v>
      </c>
      <c r="O60" s="15">
        <f t="shared" si="0"/>
        <v>3</v>
      </c>
      <c r="P60" s="15">
        <f t="shared" si="1"/>
        <v>20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0</v>
      </c>
      <c r="F61" s="50">
        <v>0</v>
      </c>
      <c r="G61" s="50">
        <v>1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19</v>
      </c>
      <c r="N61" s="50">
        <v>0</v>
      </c>
      <c r="O61" s="15">
        <f t="shared" si="0"/>
        <v>3</v>
      </c>
      <c r="P61" s="15">
        <f t="shared" si="1"/>
        <v>22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12</v>
      </c>
      <c r="N62" s="50">
        <v>0</v>
      </c>
      <c r="O62" s="15">
        <f t="shared" si="0"/>
        <v>1</v>
      </c>
      <c r="P62" s="15">
        <f t="shared" si="1"/>
        <v>13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1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13</v>
      </c>
      <c r="N63" s="50">
        <v>0</v>
      </c>
      <c r="O63" s="15">
        <f t="shared" si="0"/>
        <v>1</v>
      </c>
      <c r="P63" s="15">
        <f t="shared" si="1"/>
        <v>14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7</v>
      </c>
      <c r="N64" s="50">
        <v>0</v>
      </c>
      <c r="O64" s="15">
        <f t="shared" si="0"/>
        <v>1</v>
      </c>
      <c r="P64" s="15">
        <f t="shared" si="1"/>
        <v>8</v>
      </c>
      <c r="R64" s="8"/>
      <c r="T64"/>
    </row>
    <row r="65" spans="2:20" ht="23.1" customHeight="1" x14ac:dyDescent="0.25">
      <c r="B65" s="45" t="s">
        <v>158</v>
      </c>
      <c r="C65" s="50">
        <v>2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10</v>
      </c>
      <c r="N65" s="50">
        <v>0</v>
      </c>
      <c r="O65" s="15">
        <f t="shared" si="0"/>
        <v>3</v>
      </c>
      <c r="P65" s="15">
        <f t="shared" si="1"/>
        <v>13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1</v>
      </c>
      <c r="F66" s="50">
        <v>0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8</v>
      </c>
      <c r="N66" s="50">
        <v>0</v>
      </c>
      <c r="O66" s="15">
        <f t="shared" si="0"/>
        <v>3</v>
      </c>
      <c r="P66" s="15">
        <f t="shared" si="1"/>
        <v>11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1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7</v>
      </c>
      <c r="N67" s="50">
        <v>0</v>
      </c>
      <c r="O67" s="15">
        <f t="shared" si="0"/>
        <v>1</v>
      </c>
      <c r="P67" s="15">
        <f t="shared" si="1"/>
        <v>8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6</v>
      </c>
      <c r="N68" s="50">
        <v>0</v>
      </c>
      <c r="O68" s="15">
        <f t="shared" si="0"/>
        <v>2</v>
      </c>
      <c r="P68" s="15">
        <f t="shared" si="1"/>
        <v>8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1</v>
      </c>
      <c r="P69" s="15">
        <f t="shared" si="1"/>
        <v>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5</v>
      </c>
      <c r="N70" s="50">
        <v>0</v>
      </c>
      <c r="O70" s="15">
        <f t="shared" si="0"/>
        <v>1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4</v>
      </c>
      <c r="N71" s="50">
        <v>0</v>
      </c>
      <c r="O71" s="15">
        <f t="shared" si="0"/>
        <v>0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1</v>
      </c>
      <c r="M72" s="50">
        <v>5</v>
      </c>
      <c r="N72" s="50">
        <v>0</v>
      </c>
      <c r="O72" s="15">
        <f t="shared" si="0"/>
        <v>2</v>
      </c>
      <c r="P72" s="15">
        <f t="shared" si="1"/>
        <v>7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4</v>
      </c>
      <c r="N73" s="50">
        <v>0</v>
      </c>
      <c r="O73" s="15">
        <f t="shared" si="0"/>
        <v>1</v>
      </c>
      <c r="P73" s="15">
        <f t="shared" si="1"/>
        <v>5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4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1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2</v>
      </c>
      <c r="N76" s="50">
        <v>0</v>
      </c>
      <c r="O76" s="15">
        <f t="shared" si="35"/>
        <v>1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1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</v>
      </c>
      <c r="N78" s="50">
        <v>0</v>
      </c>
      <c r="O78" s="15">
        <f t="shared" si="35"/>
        <v>0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2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1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1</v>
      </c>
      <c r="L86" s="50">
        <v>1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2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1</v>
      </c>
      <c r="M90" s="50">
        <v>0</v>
      </c>
      <c r="N90" s="50">
        <v>0</v>
      </c>
      <c r="O90" s="15">
        <f t="shared" si="35"/>
        <v>2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2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2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1</v>
      </c>
      <c r="M96" s="50">
        <v>0</v>
      </c>
      <c r="N96" s="50"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2</v>
      </c>
      <c r="L98" s="50">
        <v>0</v>
      </c>
      <c r="M98" s="50">
        <v>1</v>
      </c>
      <c r="N98" s="50">
        <v>0</v>
      </c>
      <c r="O98" s="15">
        <f t="shared" si="35"/>
        <v>2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1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2</v>
      </c>
      <c r="L101" s="50">
        <v>0</v>
      </c>
      <c r="M101" s="50">
        <v>0</v>
      </c>
      <c r="N101" s="50">
        <v>0</v>
      </c>
      <c r="O101" s="15">
        <f t="shared" si="35"/>
        <v>4</v>
      </c>
      <c r="P101" s="15">
        <f t="shared" si="36"/>
        <v>4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1</v>
      </c>
      <c r="P102" s="15">
        <f t="shared" si="36"/>
        <v>2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0</v>
      </c>
      <c r="N103" s="50">
        <v>0</v>
      </c>
      <c r="O103" s="15">
        <f t="shared" si="35"/>
        <v>1</v>
      </c>
      <c r="P103" s="15">
        <f t="shared" si="36"/>
        <v>1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0</v>
      </c>
      <c r="P104" s="15">
        <f t="shared" si="36"/>
        <v>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0</v>
      </c>
      <c r="N105" s="50">
        <v>0</v>
      </c>
      <c r="O105" s="15">
        <f t="shared" si="35"/>
        <v>0</v>
      </c>
      <c r="P105" s="15">
        <f t="shared" si="36"/>
        <v>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53</v>
      </c>
      <c r="D106" s="16">
        <f t="shared" ref="D106:P106" si="37">SUM(D10:D105)</f>
        <v>15</v>
      </c>
      <c r="E106" s="16">
        <f t="shared" si="37"/>
        <v>18</v>
      </c>
      <c r="F106" s="16">
        <f t="shared" si="37"/>
        <v>5</v>
      </c>
      <c r="G106" s="16">
        <f t="shared" si="37"/>
        <v>3</v>
      </c>
      <c r="H106" s="16">
        <f t="shared" si="37"/>
        <v>0</v>
      </c>
      <c r="I106" s="16">
        <f t="shared" si="37"/>
        <v>29</v>
      </c>
      <c r="J106" s="16">
        <f t="shared" si="37"/>
        <v>12</v>
      </c>
      <c r="K106" s="16">
        <f t="shared" si="37"/>
        <v>7</v>
      </c>
      <c r="L106" s="16">
        <f t="shared" si="37"/>
        <v>4</v>
      </c>
      <c r="M106" s="16">
        <f t="shared" si="37"/>
        <v>588</v>
      </c>
      <c r="N106" s="16">
        <f t="shared" si="37"/>
        <v>0</v>
      </c>
      <c r="O106" s="16">
        <f t="shared" si="37"/>
        <v>146</v>
      </c>
      <c r="P106" s="16">
        <f t="shared" si="37"/>
        <v>734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7.2207084468664848E-2</v>
      </c>
      <c r="D107" s="43">
        <f t="shared" si="38"/>
        <v>2.0435967302452316E-2</v>
      </c>
      <c r="E107" s="43">
        <f t="shared" si="38"/>
        <v>2.4523160762942781E-2</v>
      </c>
      <c r="F107" s="43">
        <f t="shared" si="38"/>
        <v>6.8119891008174387E-3</v>
      </c>
      <c r="G107" s="43">
        <f t="shared" si="38"/>
        <v>4.0871934604904629E-3</v>
      </c>
      <c r="H107" s="43">
        <f t="shared" si="38"/>
        <v>0</v>
      </c>
      <c r="I107" s="43">
        <f t="shared" si="38"/>
        <v>3.9509536784741145E-2</v>
      </c>
      <c r="J107" s="43">
        <f t="shared" si="38"/>
        <v>1.6348773841961851E-2</v>
      </c>
      <c r="K107" s="43">
        <f t="shared" si="38"/>
        <v>9.5367847411444145E-3</v>
      </c>
      <c r="L107" s="43">
        <f t="shared" si="38"/>
        <v>5.4495912806539508E-3</v>
      </c>
      <c r="M107" s="43">
        <f t="shared" si="38"/>
        <v>0.80108991825613074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0.36301369863013699</v>
      </c>
      <c r="D108" s="44">
        <f t="shared" ref="D108:N108" si="39">D106/$O$106</f>
        <v>0.10273972602739725</v>
      </c>
      <c r="E108" s="44">
        <f t="shared" si="39"/>
        <v>0.12328767123287671</v>
      </c>
      <c r="F108" s="44">
        <f t="shared" si="39"/>
        <v>3.4246575342465752E-2</v>
      </c>
      <c r="G108" s="44">
        <f t="shared" si="39"/>
        <v>2.0547945205479451E-2</v>
      </c>
      <c r="H108" s="44">
        <f t="shared" si="39"/>
        <v>0</v>
      </c>
      <c r="I108" s="44">
        <f t="shared" si="39"/>
        <v>0.19863013698630136</v>
      </c>
      <c r="J108" s="44">
        <f t="shared" si="39"/>
        <v>8.2191780821917804E-2</v>
      </c>
      <c r="K108" s="44">
        <f t="shared" si="39"/>
        <v>4.7945205479452052E-2</v>
      </c>
      <c r="L108" s="44">
        <f t="shared" si="39"/>
        <v>2.7397260273972601E-2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7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">
        <v>169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173</v>
      </c>
      <c r="E5" s="3"/>
      <c r="F5" s="41" t="s">
        <v>1</v>
      </c>
      <c r="G5" s="64" t="str">
        <f>'18.10 MITYANA-BUSUNJU 24hr'!G5:H5</f>
        <v>EXCEL&amp;LOOGE</v>
      </c>
      <c r="H5" s="65"/>
      <c r="I5" s="14"/>
      <c r="J5" s="2" t="s">
        <v>5</v>
      </c>
      <c r="K5" s="64" t="str">
        <f>'18.10 MITYANA-BUSUNJU 24hr'!K5:L5</f>
        <v>BRENDAH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'17.10 MITYANA-BUSUNJU'!D6:E6</f>
        <v>MITYANA</v>
      </c>
      <c r="E6" s="65"/>
      <c r="F6" s="2" t="s">
        <v>2</v>
      </c>
      <c r="G6" s="64" t="str">
        <f>'23.10 MITYANA-BUSUNJU '!G6:H6</f>
        <v>BUSUNJU</v>
      </c>
      <c r="H6" s="65"/>
      <c r="J6" s="2" t="s">
        <v>21</v>
      </c>
      <c r="K6" s="64" t="str">
        <f>'18.10 MITYANA-BUSUNJU 24hr'!K6:L6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73" si="0">SUM(C10:L10,N10)</f>
        <v>1</v>
      </c>
      <c r="P10" s="15">
        <f t="shared" ref="P10:P73" si="1">SUM(C10:N10)</f>
        <v>5</v>
      </c>
      <c r="R10" s="1" t="s">
        <v>6</v>
      </c>
      <c r="S10" s="17">
        <f t="shared" ref="S10:AF10" si="2">SUM(C10:C13)</f>
        <v>1</v>
      </c>
      <c r="T10" s="17">
        <f t="shared" si="2"/>
        <v>1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16</v>
      </c>
      <c r="AD10" s="17">
        <f t="shared" si="2"/>
        <v>0</v>
      </c>
      <c r="AE10" s="31">
        <f t="shared" si="2"/>
        <v>4</v>
      </c>
      <c r="AF10" s="31">
        <f t="shared" si="2"/>
        <v>20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0</v>
      </c>
      <c r="P11" s="15">
        <f t="shared" si="1"/>
        <v>2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38</v>
      </c>
      <c r="AD11" s="17">
        <f t="shared" si="3"/>
        <v>0</v>
      </c>
      <c r="AE11" s="31">
        <f t="shared" si="3"/>
        <v>6</v>
      </c>
      <c r="AF11" s="31">
        <f t="shared" si="3"/>
        <v>44</v>
      </c>
    </row>
    <row r="12" spans="2:32" ht="23.1" customHeight="1" x14ac:dyDescent="0.25">
      <c r="B12" s="45" t="s">
        <v>39</v>
      </c>
      <c r="C12" s="50">
        <v>0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2</v>
      </c>
      <c r="P12" s="15">
        <f t="shared" si="1"/>
        <v>6</v>
      </c>
      <c r="R12" s="1" t="s">
        <v>8</v>
      </c>
      <c r="S12" s="17">
        <f t="shared" ref="S12:AF12" si="4">SUM(C18:C21)</f>
        <v>0</v>
      </c>
      <c r="T12" s="17">
        <f t="shared" si="4"/>
        <v>3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45</v>
      </c>
      <c r="AD12" s="17">
        <f t="shared" si="4"/>
        <v>0</v>
      </c>
      <c r="AE12" s="31">
        <f t="shared" si="4"/>
        <v>7</v>
      </c>
      <c r="AF12" s="31">
        <f t="shared" si="4"/>
        <v>52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1</v>
      </c>
      <c r="P13" s="15">
        <f t="shared" si="1"/>
        <v>7</v>
      </c>
      <c r="R13" s="1" t="s">
        <v>9</v>
      </c>
      <c r="S13" s="17">
        <f t="shared" ref="S13:AF13" si="5">SUM(C22:C25)</f>
        <v>1</v>
      </c>
      <c r="T13" s="17">
        <f t="shared" si="5"/>
        <v>1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37</v>
      </c>
      <c r="AD13" s="17">
        <f t="shared" si="5"/>
        <v>0</v>
      </c>
      <c r="AE13" s="31">
        <f t="shared" si="5"/>
        <v>5</v>
      </c>
      <c r="AF13" s="31">
        <f t="shared" si="5"/>
        <v>42</v>
      </c>
    </row>
    <row r="14" spans="2:32" ht="23.1" customHeight="1" x14ac:dyDescent="0.25">
      <c r="B14" s="45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3</v>
      </c>
      <c r="P14" s="15">
        <f t="shared" si="1"/>
        <v>7</v>
      </c>
      <c r="R14" s="1" t="s">
        <v>10</v>
      </c>
      <c r="S14" s="17">
        <f t="shared" ref="S14:AF14" si="6">SUM(C26:C29)</f>
        <v>4</v>
      </c>
      <c r="T14" s="17">
        <f t="shared" si="6"/>
        <v>2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32</v>
      </c>
      <c r="AD14" s="17">
        <f t="shared" si="6"/>
        <v>0</v>
      </c>
      <c r="AE14" s="31">
        <f t="shared" si="6"/>
        <v>9</v>
      </c>
      <c r="AF14" s="31">
        <f t="shared" si="6"/>
        <v>41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2</v>
      </c>
      <c r="P15" s="15">
        <f t="shared" si="1"/>
        <v>11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2</v>
      </c>
      <c r="AB15" s="17">
        <f t="shared" si="7"/>
        <v>0</v>
      </c>
      <c r="AC15" s="17">
        <f t="shared" si="7"/>
        <v>43</v>
      </c>
      <c r="AD15" s="17">
        <f t="shared" si="7"/>
        <v>0</v>
      </c>
      <c r="AE15" s="31">
        <f t="shared" si="7"/>
        <v>7</v>
      </c>
      <c r="AF15" s="31">
        <f t="shared" si="7"/>
        <v>50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8</v>
      </c>
      <c r="N16" s="50">
        <v>0</v>
      </c>
      <c r="O16" s="15">
        <f t="shared" si="0"/>
        <v>0</v>
      </c>
      <c r="P16" s="15">
        <f t="shared" si="1"/>
        <v>8</v>
      </c>
      <c r="R16" s="1" t="s">
        <v>12</v>
      </c>
      <c r="S16" s="17">
        <f t="shared" ref="S16:AF16" si="8">SUM(C34:C37)</f>
        <v>2</v>
      </c>
      <c r="T16" s="17">
        <f t="shared" si="8"/>
        <v>3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48</v>
      </c>
      <c r="AD16" s="17">
        <f t="shared" si="8"/>
        <v>0</v>
      </c>
      <c r="AE16" s="31">
        <f t="shared" si="8"/>
        <v>7</v>
      </c>
      <c r="AF16" s="31">
        <f t="shared" si="8"/>
        <v>55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17</v>
      </c>
      <c r="N17" s="50">
        <v>0</v>
      </c>
      <c r="O17" s="15">
        <f t="shared" si="0"/>
        <v>1</v>
      </c>
      <c r="P17" s="15">
        <f t="shared" si="1"/>
        <v>18</v>
      </c>
      <c r="R17" s="1" t="s">
        <v>13</v>
      </c>
      <c r="S17" s="17">
        <f t="shared" ref="S17:AF17" si="9">SUM(C38:C41)</f>
        <v>2</v>
      </c>
      <c r="T17" s="17">
        <f t="shared" si="9"/>
        <v>1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51</v>
      </c>
      <c r="AD17" s="17">
        <f t="shared" si="9"/>
        <v>0</v>
      </c>
      <c r="AE17" s="31">
        <f t="shared" si="9"/>
        <v>4</v>
      </c>
      <c r="AF17" s="31">
        <f t="shared" si="9"/>
        <v>55</v>
      </c>
    </row>
    <row r="18" spans="2:32" ht="23.1" customHeight="1" x14ac:dyDescent="0.25">
      <c r="B18" s="45" t="s">
        <v>45</v>
      </c>
      <c r="C18" s="50">
        <v>0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11</v>
      </c>
      <c r="N18" s="50">
        <v>0</v>
      </c>
      <c r="O18" s="15">
        <f t="shared" si="0"/>
        <v>1</v>
      </c>
      <c r="P18" s="15">
        <f t="shared" si="1"/>
        <v>12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76</v>
      </c>
      <c r="AD18" s="17">
        <f t="shared" si="10"/>
        <v>0</v>
      </c>
      <c r="AE18" s="31">
        <f t="shared" si="10"/>
        <v>6</v>
      </c>
      <c r="AF18" s="31">
        <f t="shared" si="10"/>
        <v>82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14</v>
      </c>
      <c r="N19" s="50">
        <v>0</v>
      </c>
      <c r="O19" s="15">
        <f t="shared" si="0"/>
        <v>1</v>
      </c>
      <c r="P19" s="15">
        <f t="shared" si="1"/>
        <v>15</v>
      </c>
      <c r="R19" s="1" t="s">
        <v>15</v>
      </c>
      <c r="S19" s="17">
        <f t="shared" ref="S19:AF19" si="11">SUM(C46:C49)</f>
        <v>5</v>
      </c>
      <c r="T19" s="17">
        <f t="shared" si="11"/>
        <v>1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73</v>
      </c>
      <c r="AD19" s="17">
        <f t="shared" si="11"/>
        <v>0</v>
      </c>
      <c r="AE19" s="31">
        <f t="shared" si="11"/>
        <v>7</v>
      </c>
      <c r="AF19" s="31">
        <f t="shared" si="11"/>
        <v>80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15</v>
      </c>
      <c r="N20" s="50">
        <v>0</v>
      </c>
      <c r="O20" s="15">
        <f t="shared" si="0"/>
        <v>1</v>
      </c>
      <c r="P20" s="15">
        <f t="shared" si="1"/>
        <v>16</v>
      </c>
      <c r="R20" s="1" t="s">
        <v>16</v>
      </c>
      <c r="S20" s="17">
        <f t="shared" ref="S20:AF20" si="12">SUM(C50:C53)</f>
        <v>5</v>
      </c>
      <c r="T20" s="17">
        <f t="shared" si="12"/>
        <v>1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80</v>
      </c>
      <c r="AD20" s="17">
        <f t="shared" si="12"/>
        <v>0</v>
      </c>
      <c r="AE20" s="31">
        <f t="shared" si="12"/>
        <v>8</v>
      </c>
      <c r="AF20" s="31">
        <f t="shared" si="12"/>
        <v>88</v>
      </c>
    </row>
    <row r="21" spans="2:32" ht="23.1" customHeight="1" x14ac:dyDescent="0.25">
      <c r="B21" s="45" t="s">
        <v>48</v>
      </c>
      <c r="C21" s="50">
        <v>0</v>
      </c>
      <c r="D21" s="50">
        <v>2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4</v>
      </c>
      <c r="P21" s="15">
        <f t="shared" si="1"/>
        <v>9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1</v>
      </c>
      <c r="V21" s="17">
        <f t="shared" si="13"/>
        <v>2</v>
      </c>
      <c r="W21" s="17">
        <f t="shared" si="13"/>
        <v>0</v>
      </c>
      <c r="X21" s="17">
        <f t="shared" si="13"/>
        <v>1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43</v>
      </c>
      <c r="AD21" s="17">
        <f t="shared" si="13"/>
        <v>0</v>
      </c>
      <c r="AE21" s="31">
        <f t="shared" si="13"/>
        <v>7</v>
      </c>
      <c r="AF21" s="31">
        <f t="shared" si="13"/>
        <v>50</v>
      </c>
    </row>
    <row r="22" spans="2:32" ht="23.1" customHeight="1" x14ac:dyDescent="0.25">
      <c r="B22" s="45" t="s">
        <v>49</v>
      </c>
      <c r="C22" s="50">
        <v>0</v>
      </c>
      <c r="D22" s="50">
        <v>1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5">
        <f t="shared" si="0"/>
        <v>3</v>
      </c>
      <c r="P22" s="15">
        <f t="shared" si="1"/>
        <v>13</v>
      </c>
      <c r="R22" s="36" t="s">
        <v>146</v>
      </c>
      <c r="S22" s="34">
        <f>SUM(C58:C61)</f>
        <v>6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72</v>
      </c>
      <c r="AD22" s="34">
        <f t="shared" si="14"/>
        <v>0</v>
      </c>
      <c r="AE22" s="31">
        <f t="shared" si="14"/>
        <v>7</v>
      </c>
      <c r="AF22" s="31">
        <f t="shared" si="14"/>
        <v>79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5">
        <f t="shared" si="0"/>
        <v>1</v>
      </c>
      <c r="P23" s="15">
        <f t="shared" si="1"/>
        <v>10</v>
      </c>
      <c r="R23" s="36" t="s">
        <v>147</v>
      </c>
      <c r="S23" s="34">
        <f>SUM(C62:C65)</f>
        <v>1</v>
      </c>
      <c r="T23" s="34">
        <f t="shared" ref="T23:AF23" si="15">SUM(D62:D65)</f>
        <v>4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1</v>
      </c>
      <c r="AA23" s="34">
        <f t="shared" si="15"/>
        <v>1</v>
      </c>
      <c r="AB23" s="34">
        <f t="shared" si="15"/>
        <v>0</v>
      </c>
      <c r="AC23" s="34">
        <f t="shared" si="15"/>
        <v>38</v>
      </c>
      <c r="AD23" s="34">
        <f t="shared" si="15"/>
        <v>0</v>
      </c>
      <c r="AE23" s="31">
        <f t="shared" si="15"/>
        <v>8</v>
      </c>
      <c r="AF23" s="31">
        <f t="shared" si="15"/>
        <v>46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0</v>
      </c>
      <c r="P24" s="15">
        <f t="shared" si="1"/>
        <v>8</v>
      </c>
      <c r="R24" s="36" t="s">
        <v>148</v>
      </c>
      <c r="S24" s="34">
        <f>SUM(C66:C69)</f>
        <v>2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3</v>
      </c>
      <c r="AA24" s="34">
        <f t="shared" si="16"/>
        <v>2</v>
      </c>
      <c r="AB24" s="34">
        <f t="shared" si="16"/>
        <v>0</v>
      </c>
      <c r="AC24" s="34">
        <f t="shared" si="16"/>
        <v>29</v>
      </c>
      <c r="AD24" s="34">
        <f t="shared" si="16"/>
        <v>0</v>
      </c>
      <c r="AE24" s="31">
        <f t="shared" si="16"/>
        <v>11</v>
      </c>
      <c r="AF24" s="31">
        <f t="shared" si="16"/>
        <v>40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10</v>
      </c>
      <c r="N25" s="50">
        <v>0</v>
      </c>
      <c r="O25" s="15">
        <f t="shared" si="0"/>
        <v>1</v>
      </c>
      <c r="P25" s="15">
        <f t="shared" si="1"/>
        <v>11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0</v>
      </c>
      <c r="W25" s="34">
        <f t="shared" si="17"/>
        <v>0</v>
      </c>
      <c r="X25" s="34">
        <f t="shared" si="17"/>
        <v>2</v>
      </c>
      <c r="Y25" s="34">
        <f t="shared" si="17"/>
        <v>2</v>
      </c>
      <c r="Z25" s="34">
        <f t="shared" si="17"/>
        <v>0</v>
      </c>
      <c r="AA25" s="34">
        <f t="shared" si="17"/>
        <v>2</v>
      </c>
      <c r="AB25" s="34">
        <f t="shared" si="17"/>
        <v>0</v>
      </c>
      <c r="AC25" s="34">
        <f t="shared" si="17"/>
        <v>21</v>
      </c>
      <c r="AD25" s="34">
        <f t="shared" si="17"/>
        <v>0</v>
      </c>
      <c r="AE25" s="31">
        <f t="shared" si="17"/>
        <v>11</v>
      </c>
      <c r="AF25" s="31">
        <f t="shared" si="17"/>
        <v>32</v>
      </c>
    </row>
    <row r="26" spans="2:32" ht="23.1" customHeight="1" x14ac:dyDescent="0.25">
      <c r="B26" s="45" t="s">
        <v>53</v>
      </c>
      <c r="C26" s="50">
        <v>1</v>
      </c>
      <c r="D26" s="50">
        <v>1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2</v>
      </c>
      <c r="P26" s="15">
        <f t="shared" si="1"/>
        <v>14</v>
      </c>
      <c r="R26" s="36" t="s">
        <v>150</v>
      </c>
      <c r="S26" s="34">
        <f>SUM(C74:C77)</f>
        <v>3</v>
      </c>
      <c r="T26" s="34">
        <f t="shared" ref="T26:AF26" si="18">SUM(D74:D77)</f>
        <v>1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2</v>
      </c>
      <c r="AA26" s="34">
        <f t="shared" si="18"/>
        <v>1</v>
      </c>
      <c r="AB26" s="34">
        <f t="shared" si="18"/>
        <v>0</v>
      </c>
      <c r="AC26" s="34">
        <f t="shared" si="18"/>
        <v>12</v>
      </c>
      <c r="AD26" s="34">
        <f t="shared" si="18"/>
        <v>0</v>
      </c>
      <c r="AE26" s="31">
        <f t="shared" si="18"/>
        <v>10</v>
      </c>
      <c r="AF26" s="31">
        <f t="shared" si="18"/>
        <v>22</v>
      </c>
    </row>
    <row r="27" spans="2:32" ht="23.1" customHeight="1" x14ac:dyDescent="0.25">
      <c r="B27" s="45" t="s">
        <v>54</v>
      </c>
      <c r="C27" s="50">
        <v>1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3</v>
      </c>
      <c r="P27" s="15">
        <f t="shared" si="1"/>
        <v>10</v>
      </c>
      <c r="R27" s="36" t="s">
        <v>151</v>
      </c>
      <c r="S27" s="34">
        <f>SUM(C78:C81)</f>
        <v>3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2</v>
      </c>
      <c r="AA27" s="34">
        <f t="shared" si="19"/>
        <v>2</v>
      </c>
      <c r="AB27" s="34">
        <f t="shared" si="19"/>
        <v>0</v>
      </c>
      <c r="AC27" s="34">
        <f t="shared" si="19"/>
        <v>3</v>
      </c>
      <c r="AD27" s="34">
        <f t="shared" si="19"/>
        <v>0</v>
      </c>
      <c r="AE27" s="31">
        <f t="shared" si="19"/>
        <v>13</v>
      </c>
      <c r="AF27" s="31">
        <f t="shared" si="19"/>
        <v>16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1</v>
      </c>
      <c r="P28" s="15">
        <f t="shared" si="1"/>
        <v>7</v>
      </c>
      <c r="R28" s="36" t="s">
        <v>152</v>
      </c>
      <c r="S28" s="34">
        <f>SUM(C82:C85)</f>
        <v>3</v>
      </c>
      <c r="T28" s="34">
        <f t="shared" ref="T28:AF28" si="20">SUM(D82:D85)</f>
        <v>2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11</v>
      </c>
      <c r="AF28" s="31">
        <f t="shared" si="20"/>
        <v>11</v>
      </c>
    </row>
    <row r="29" spans="2:32" ht="23.1" customHeight="1" x14ac:dyDescent="0.25">
      <c r="B29" s="45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3</v>
      </c>
      <c r="P29" s="15">
        <f t="shared" si="1"/>
        <v>10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1</v>
      </c>
      <c r="AA29" s="34">
        <f t="shared" si="21"/>
        <v>3</v>
      </c>
      <c r="AB29" s="34">
        <f t="shared" si="21"/>
        <v>2</v>
      </c>
      <c r="AC29" s="34">
        <f t="shared" si="21"/>
        <v>0</v>
      </c>
      <c r="AD29" s="34">
        <f t="shared" si="21"/>
        <v>0</v>
      </c>
      <c r="AE29" s="31">
        <f t="shared" si="21"/>
        <v>11</v>
      </c>
      <c r="AF29" s="31">
        <f t="shared" si="21"/>
        <v>11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3</v>
      </c>
      <c r="P30" s="15">
        <f t="shared" si="1"/>
        <v>12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1</v>
      </c>
      <c r="AA30" s="34">
        <f t="shared" si="22"/>
        <v>3</v>
      </c>
      <c r="AB30" s="34">
        <f t="shared" si="22"/>
        <v>1</v>
      </c>
      <c r="AC30" s="34">
        <f t="shared" si="22"/>
        <v>0</v>
      </c>
      <c r="AD30" s="34">
        <f t="shared" si="22"/>
        <v>0</v>
      </c>
      <c r="AE30" s="31">
        <f t="shared" si="22"/>
        <v>9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2</v>
      </c>
      <c r="L31" s="50">
        <v>0</v>
      </c>
      <c r="M31" s="50">
        <v>9</v>
      </c>
      <c r="N31" s="50">
        <v>0</v>
      </c>
      <c r="O31" s="15">
        <f t="shared" si="0"/>
        <v>3</v>
      </c>
      <c r="P31" s="15">
        <f t="shared" si="1"/>
        <v>12</v>
      </c>
      <c r="R31" s="36" t="s">
        <v>155</v>
      </c>
      <c r="S31" s="34">
        <f>SUM(C94:C97)</f>
        <v>5</v>
      </c>
      <c r="T31" s="34">
        <f t="shared" ref="T31:AF31" si="23">SUM(D94:D97)</f>
        <v>0</v>
      </c>
      <c r="U31" s="34">
        <f t="shared" si="23"/>
        <v>6</v>
      </c>
      <c r="V31" s="34">
        <f t="shared" si="23"/>
        <v>2</v>
      </c>
      <c r="W31" s="34">
        <f t="shared" si="23"/>
        <v>0</v>
      </c>
      <c r="X31" s="34">
        <f t="shared" si="23"/>
        <v>1</v>
      </c>
      <c r="Y31" s="34">
        <f t="shared" si="23"/>
        <v>4</v>
      </c>
      <c r="Z31" s="34">
        <f t="shared" si="23"/>
        <v>0</v>
      </c>
      <c r="AA31" s="34">
        <f t="shared" si="23"/>
        <v>3</v>
      </c>
      <c r="AB31" s="34">
        <f t="shared" si="23"/>
        <v>0</v>
      </c>
      <c r="AC31" s="34">
        <f t="shared" si="23"/>
        <v>10</v>
      </c>
      <c r="AD31" s="34">
        <f t="shared" si="23"/>
        <v>0</v>
      </c>
      <c r="AE31" s="31">
        <f t="shared" si="23"/>
        <v>21</v>
      </c>
      <c r="AF31" s="31">
        <f t="shared" si="23"/>
        <v>31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1</v>
      </c>
      <c r="P32" s="15">
        <f t="shared" si="1"/>
        <v>11</v>
      </c>
      <c r="R32" s="33" t="s">
        <v>156</v>
      </c>
      <c r="S32" s="34">
        <f>SUM(C98:C101)</f>
        <v>3</v>
      </c>
      <c r="T32" s="34">
        <f t="shared" ref="T32:AF32" si="24">SUM(D98:D101)</f>
        <v>5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6</v>
      </c>
      <c r="Z32" s="34">
        <f t="shared" si="24"/>
        <v>3</v>
      </c>
      <c r="AA32" s="34">
        <f t="shared" si="24"/>
        <v>1</v>
      </c>
      <c r="AB32" s="34">
        <f t="shared" si="24"/>
        <v>0</v>
      </c>
      <c r="AC32" s="34">
        <f t="shared" si="24"/>
        <v>17</v>
      </c>
      <c r="AD32" s="34">
        <f t="shared" si="24"/>
        <v>0</v>
      </c>
      <c r="AE32" s="31">
        <f t="shared" si="24"/>
        <v>20</v>
      </c>
      <c r="AF32" s="31">
        <f t="shared" si="24"/>
        <v>37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15</v>
      </c>
      <c r="N33" s="50">
        <v>0</v>
      </c>
      <c r="O33" s="15">
        <f t="shared" si="0"/>
        <v>0</v>
      </c>
      <c r="P33" s="15">
        <f t="shared" si="1"/>
        <v>15</v>
      </c>
      <c r="R33" s="33" t="s">
        <v>157</v>
      </c>
      <c r="S33" s="34">
        <f>SUM(C102:C105)</f>
        <v>6</v>
      </c>
      <c r="T33" s="34">
        <f t="shared" ref="T33:AF33" si="25">SUM(D102:D105)</f>
        <v>5</v>
      </c>
      <c r="U33" s="34">
        <f t="shared" si="25"/>
        <v>3</v>
      </c>
      <c r="V33" s="34">
        <f t="shared" si="25"/>
        <v>4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2</v>
      </c>
      <c r="AB33" s="34">
        <f t="shared" si="25"/>
        <v>1</v>
      </c>
      <c r="AC33" s="34">
        <f t="shared" si="25"/>
        <v>26</v>
      </c>
      <c r="AD33" s="34">
        <f t="shared" si="25"/>
        <v>0</v>
      </c>
      <c r="AE33" s="31">
        <f t="shared" si="25"/>
        <v>23</v>
      </c>
      <c r="AF33" s="31">
        <f t="shared" si="25"/>
        <v>49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0</v>
      </c>
      <c r="P34" s="15">
        <f t="shared" si="1"/>
        <v>9</v>
      </c>
      <c r="R34" s="38" t="s">
        <v>90</v>
      </c>
      <c r="S34" s="39">
        <f t="shared" ref="S34:AF34" si="26">MAX(S10:S12)</f>
        <v>2</v>
      </c>
      <c r="T34" s="39">
        <f t="shared" si="26"/>
        <v>3</v>
      </c>
      <c r="U34" s="39">
        <f t="shared" si="26"/>
        <v>2</v>
      </c>
      <c r="V34" s="39">
        <f t="shared" si="26"/>
        <v>0</v>
      </c>
      <c r="W34" s="39">
        <f t="shared" si="26"/>
        <v>0</v>
      </c>
      <c r="X34" s="39">
        <f t="shared" si="26"/>
        <v>0</v>
      </c>
      <c r="Y34" s="39">
        <f t="shared" si="26"/>
        <v>2</v>
      </c>
      <c r="Z34" s="39">
        <f t="shared" si="26"/>
        <v>2</v>
      </c>
      <c r="AA34" s="39">
        <f t="shared" si="26"/>
        <v>0</v>
      </c>
      <c r="AB34" s="39">
        <f t="shared" si="26"/>
        <v>0</v>
      </c>
      <c r="AC34" s="39">
        <f t="shared" si="26"/>
        <v>45</v>
      </c>
      <c r="AD34" s="39">
        <f t="shared" si="26"/>
        <v>0</v>
      </c>
      <c r="AE34" s="40">
        <f t="shared" si="26"/>
        <v>7</v>
      </c>
      <c r="AF34" s="40">
        <f t="shared" si="26"/>
        <v>52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1</v>
      </c>
      <c r="P35" s="15">
        <f t="shared" si="1"/>
        <v>16</v>
      </c>
      <c r="R35" s="38" t="s">
        <v>91</v>
      </c>
      <c r="S35" s="39">
        <f t="shared" ref="S35:AF35" si="27">MAX(S13:S18)</f>
        <v>4</v>
      </c>
      <c r="T35" s="39">
        <f t="shared" si="27"/>
        <v>3</v>
      </c>
      <c r="U35" s="39">
        <f t="shared" si="27"/>
        <v>3</v>
      </c>
      <c r="V35" s="39">
        <f t="shared" si="27"/>
        <v>1</v>
      </c>
      <c r="W35" s="39">
        <f t="shared" si="27"/>
        <v>0</v>
      </c>
      <c r="X35" s="39">
        <f t="shared" si="27"/>
        <v>0</v>
      </c>
      <c r="Y35" s="39">
        <f t="shared" si="27"/>
        <v>2</v>
      </c>
      <c r="Z35" s="39">
        <f t="shared" si="27"/>
        <v>0</v>
      </c>
      <c r="AA35" s="39">
        <f t="shared" si="27"/>
        <v>2</v>
      </c>
      <c r="AB35" s="39">
        <f t="shared" si="27"/>
        <v>0</v>
      </c>
      <c r="AC35" s="39">
        <f t="shared" si="27"/>
        <v>76</v>
      </c>
      <c r="AD35" s="39">
        <f t="shared" si="27"/>
        <v>0</v>
      </c>
      <c r="AE35" s="40">
        <f t="shared" si="27"/>
        <v>9</v>
      </c>
      <c r="AF35" s="40">
        <f t="shared" si="27"/>
        <v>82</v>
      </c>
    </row>
    <row r="36" spans="2:32" ht="23.1" customHeight="1" x14ac:dyDescent="0.25">
      <c r="B36" s="46" t="s">
        <v>63</v>
      </c>
      <c r="C36" s="50">
        <v>0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3</v>
      </c>
      <c r="P36" s="15">
        <f t="shared" si="1"/>
        <v>14</v>
      </c>
      <c r="R36" s="38" t="s">
        <v>92</v>
      </c>
      <c r="S36" s="39">
        <f t="shared" ref="S36:AF36" si="28">MAX(S19:S21)</f>
        <v>5</v>
      </c>
      <c r="T36" s="39">
        <f t="shared" si="28"/>
        <v>1</v>
      </c>
      <c r="U36" s="39">
        <f t="shared" si="28"/>
        <v>1</v>
      </c>
      <c r="V36" s="39">
        <f t="shared" si="28"/>
        <v>2</v>
      </c>
      <c r="W36" s="39">
        <f t="shared" si="28"/>
        <v>0</v>
      </c>
      <c r="X36" s="39">
        <f t="shared" si="28"/>
        <v>1</v>
      </c>
      <c r="Y36" s="39">
        <f t="shared" si="28"/>
        <v>1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80</v>
      </c>
      <c r="AD36" s="39">
        <f t="shared" si="28"/>
        <v>0</v>
      </c>
      <c r="AE36" s="40">
        <f t="shared" si="28"/>
        <v>8</v>
      </c>
      <c r="AF36" s="40">
        <f t="shared" si="28"/>
        <v>88</v>
      </c>
    </row>
    <row r="37" spans="2:32" ht="23.1" customHeight="1" x14ac:dyDescent="0.25">
      <c r="B37" s="45" t="s">
        <v>64</v>
      </c>
      <c r="C37" s="50">
        <v>1</v>
      </c>
      <c r="D37" s="50">
        <v>2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13</v>
      </c>
      <c r="N37" s="50">
        <v>0</v>
      </c>
      <c r="O37" s="15">
        <f t="shared" si="0"/>
        <v>3</v>
      </c>
      <c r="P37" s="15">
        <f t="shared" si="1"/>
        <v>16</v>
      </c>
      <c r="R37" s="37" t="s">
        <v>85</v>
      </c>
      <c r="S37" s="35">
        <f t="shared" ref="S37:AF37" si="29">SUM(S10:S12)</f>
        <v>3</v>
      </c>
      <c r="T37" s="16">
        <f t="shared" si="29"/>
        <v>4</v>
      </c>
      <c r="U37" s="16">
        <f t="shared" si="29"/>
        <v>4</v>
      </c>
      <c r="V37" s="16">
        <f t="shared" si="29"/>
        <v>0</v>
      </c>
      <c r="W37" s="16">
        <f t="shared" si="29"/>
        <v>0</v>
      </c>
      <c r="X37" s="16">
        <f t="shared" si="29"/>
        <v>0</v>
      </c>
      <c r="Y37" s="16">
        <f t="shared" si="29"/>
        <v>3</v>
      </c>
      <c r="Z37" s="16">
        <f t="shared" si="29"/>
        <v>3</v>
      </c>
      <c r="AA37" s="16">
        <f t="shared" si="29"/>
        <v>0</v>
      </c>
      <c r="AB37" s="16">
        <f t="shared" si="29"/>
        <v>0</v>
      </c>
      <c r="AC37" s="16">
        <f t="shared" si="29"/>
        <v>99</v>
      </c>
      <c r="AD37" s="16">
        <f t="shared" si="29"/>
        <v>0</v>
      </c>
      <c r="AE37" s="32">
        <f t="shared" si="29"/>
        <v>17</v>
      </c>
      <c r="AF37" s="32">
        <f t="shared" si="29"/>
        <v>116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9</v>
      </c>
      <c r="N38" s="50">
        <v>0</v>
      </c>
      <c r="O38" s="15">
        <f t="shared" si="0"/>
        <v>0</v>
      </c>
      <c r="P38" s="15">
        <f t="shared" si="1"/>
        <v>9</v>
      </c>
      <c r="R38" s="28" t="s">
        <v>86</v>
      </c>
      <c r="S38" s="16">
        <f t="shared" ref="S38:AF38" si="30">SUM(S13:S18)</f>
        <v>14</v>
      </c>
      <c r="T38" s="16">
        <f t="shared" si="30"/>
        <v>7</v>
      </c>
      <c r="U38" s="16">
        <f t="shared" si="30"/>
        <v>6</v>
      </c>
      <c r="V38" s="16">
        <f t="shared" si="30"/>
        <v>1</v>
      </c>
      <c r="W38" s="16">
        <f t="shared" si="30"/>
        <v>0</v>
      </c>
      <c r="X38" s="16">
        <f t="shared" si="30"/>
        <v>0</v>
      </c>
      <c r="Y38" s="16">
        <f t="shared" si="30"/>
        <v>8</v>
      </c>
      <c r="Z38" s="16">
        <f t="shared" si="30"/>
        <v>0</v>
      </c>
      <c r="AA38" s="16">
        <f t="shared" si="30"/>
        <v>2</v>
      </c>
      <c r="AB38" s="16">
        <f t="shared" si="30"/>
        <v>0</v>
      </c>
      <c r="AC38" s="16">
        <f t="shared" si="30"/>
        <v>287</v>
      </c>
      <c r="AD38" s="16">
        <f t="shared" si="30"/>
        <v>0</v>
      </c>
      <c r="AE38" s="32">
        <f t="shared" si="30"/>
        <v>38</v>
      </c>
      <c r="AF38" s="32">
        <f t="shared" si="30"/>
        <v>325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0</v>
      </c>
      <c r="P39" s="15">
        <f t="shared" si="1"/>
        <v>14</v>
      </c>
      <c r="R39" s="29" t="s">
        <v>87</v>
      </c>
      <c r="S39" s="16">
        <f t="shared" ref="S39:AF39" si="31">SUM(S19:S21)</f>
        <v>13</v>
      </c>
      <c r="T39" s="16">
        <f t="shared" si="31"/>
        <v>2</v>
      </c>
      <c r="U39" s="16">
        <f t="shared" si="31"/>
        <v>1</v>
      </c>
      <c r="V39" s="16">
        <f t="shared" si="31"/>
        <v>4</v>
      </c>
      <c r="W39" s="16">
        <f t="shared" si="31"/>
        <v>0</v>
      </c>
      <c r="X39" s="16">
        <f t="shared" si="31"/>
        <v>1</v>
      </c>
      <c r="Y39" s="16">
        <f t="shared" si="31"/>
        <v>1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196</v>
      </c>
      <c r="AD39" s="16">
        <f t="shared" si="31"/>
        <v>0</v>
      </c>
      <c r="AE39" s="32">
        <f t="shared" si="31"/>
        <v>22</v>
      </c>
      <c r="AF39" s="32">
        <f t="shared" si="31"/>
        <v>218</v>
      </c>
    </row>
    <row r="40" spans="2:32" ht="23.1" customHeight="1" x14ac:dyDescent="0.25">
      <c r="B40" s="46" t="s">
        <v>67</v>
      </c>
      <c r="C40" s="50">
        <v>0</v>
      </c>
      <c r="D40" s="50">
        <v>1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2</v>
      </c>
      <c r="P40" s="15">
        <f t="shared" si="1"/>
        <v>15</v>
      </c>
      <c r="R40" s="5" t="s">
        <v>17</v>
      </c>
      <c r="S40" s="16">
        <f t="shared" ref="S40:AF40" si="32">SUM(S10:S21)</f>
        <v>30</v>
      </c>
      <c r="T40" s="16">
        <f t="shared" si="32"/>
        <v>13</v>
      </c>
      <c r="U40" s="16">
        <f t="shared" si="32"/>
        <v>11</v>
      </c>
      <c r="V40" s="16">
        <f t="shared" si="32"/>
        <v>5</v>
      </c>
      <c r="W40" s="16">
        <f t="shared" si="32"/>
        <v>0</v>
      </c>
      <c r="X40" s="16">
        <f t="shared" si="32"/>
        <v>1</v>
      </c>
      <c r="Y40" s="16">
        <f t="shared" si="32"/>
        <v>12</v>
      </c>
      <c r="Z40" s="16">
        <f t="shared" si="32"/>
        <v>3</v>
      </c>
      <c r="AA40" s="16">
        <f t="shared" si="32"/>
        <v>2</v>
      </c>
      <c r="AB40" s="16">
        <f t="shared" si="32"/>
        <v>0</v>
      </c>
      <c r="AC40" s="16">
        <f t="shared" si="32"/>
        <v>582</v>
      </c>
      <c r="AD40" s="16">
        <f t="shared" si="32"/>
        <v>0</v>
      </c>
      <c r="AE40" s="32">
        <f t="shared" si="32"/>
        <v>77</v>
      </c>
      <c r="AF40" s="32">
        <f t="shared" si="32"/>
        <v>659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15</v>
      </c>
      <c r="N41" s="50">
        <v>0</v>
      </c>
      <c r="O41" s="15">
        <f t="shared" si="0"/>
        <v>2</v>
      </c>
      <c r="P41" s="15">
        <f t="shared" si="1"/>
        <v>17</v>
      </c>
      <c r="R41" s="5" t="s">
        <v>159</v>
      </c>
      <c r="S41" s="16">
        <f>SUM(S10:S33)</f>
        <v>67</v>
      </c>
      <c r="T41" s="16">
        <f t="shared" ref="T41:AF41" si="33">SUM(T10:T33)</f>
        <v>32</v>
      </c>
      <c r="U41" s="16">
        <f t="shared" si="33"/>
        <v>28</v>
      </c>
      <c r="V41" s="16">
        <f t="shared" si="33"/>
        <v>13</v>
      </c>
      <c r="W41" s="16">
        <f t="shared" si="33"/>
        <v>0</v>
      </c>
      <c r="X41" s="16">
        <f t="shared" si="33"/>
        <v>4</v>
      </c>
      <c r="Y41" s="16">
        <f t="shared" si="33"/>
        <v>43</v>
      </c>
      <c r="Z41" s="16">
        <f t="shared" si="33"/>
        <v>19</v>
      </c>
      <c r="AA41" s="16">
        <f t="shared" si="33"/>
        <v>22</v>
      </c>
      <c r="AB41" s="16">
        <f t="shared" si="33"/>
        <v>4</v>
      </c>
      <c r="AC41" s="16">
        <f t="shared" si="33"/>
        <v>810</v>
      </c>
      <c r="AD41" s="16">
        <f t="shared" si="33"/>
        <v>0</v>
      </c>
      <c r="AE41" s="32">
        <f t="shared" si="33"/>
        <v>232</v>
      </c>
      <c r="AF41" s="32">
        <f t="shared" si="33"/>
        <v>1042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18</v>
      </c>
      <c r="N42" s="50">
        <v>0</v>
      </c>
      <c r="O42" s="15">
        <f t="shared" si="0"/>
        <v>0</v>
      </c>
      <c r="P42" s="15">
        <f t="shared" si="1"/>
        <v>18</v>
      </c>
      <c r="R42" s="5" t="s">
        <v>160</v>
      </c>
      <c r="S42" s="48">
        <f>S41/S40</f>
        <v>2.2333333333333334</v>
      </c>
      <c r="T42" s="48">
        <f t="shared" ref="T42:AF42" si="34">T41/T40</f>
        <v>2.4615384615384617</v>
      </c>
      <c r="U42" s="48">
        <f t="shared" si="34"/>
        <v>2.5454545454545454</v>
      </c>
      <c r="V42" s="48">
        <f t="shared" si="34"/>
        <v>2.6</v>
      </c>
      <c r="W42" s="48" t="e">
        <f t="shared" si="34"/>
        <v>#DIV/0!</v>
      </c>
      <c r="X42" s="48">
        <f t="shared" si="34"/>
        <v>4</v>
      </c>
      <c r="Y42" s="48">
        <f t="shared" si="34"/>
        <v>3.5833333333333335</v>
      </c>
      <c r="Z42" s="48">
        <f t="shared" si="34"/>
        <v>6.333333333333333</v>
      </c>
      <c r="AA42" s="48">
        <f t="shared" si="34"/>
        <v>11</v>
      </c>
      <c r="AB42" s="48" t="e">
        <f t="shared" si="34"/>
        <v>#DIV/0!</v>
      </c>
      <c r="AC42" s="48">
        <f t="shared" si="34"/>
        <v>1.3917525773195876</v>
      </c>
      <c r="AD42" s="48" t="e">
        <f t="shared" si="34"/>
        <v>#DIV/0!</v>
      </c>
      <c r="AE42" s="48">
        <f t="shared" si="34"/>
        <v>3.0129870129870131</v>
      </c>
      <c r="AF42" s="48">
        <f t="shared" si="34"/>
        <v>1.5811836115326252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20</v>
      </c>
      <c r="N43" s="50">
        <v>0</v>
      </c>
      <c r="O43" s="15">
        <f t="shared" si="0"/>
        <v>1</v>
      </c>
      <c r="P43" s="15">
        <f t="shared" si="1"/>
        <v>21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16</v>
      </c>
      <c r="N44" s="50">
        <v>0</v>
      </c>
      <c r="O44" s="15">
        <f t="shared" si="0"/>
        <v>2</v>
      </c>
      <c r="P44" s="15">
        <f t="shared" si="1"/>
        <v>18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22</v>
      </c>
      <c r="N45" s="50">
        <v>0</v>
      </c>
      <c r="O45" s="15">
        <f t="shared" si="0"/>
        <v>3</v>
      </c>
      <c r="P45" s="15">
        <f t="shared" si="1"/>
        <v>25</v>
      </c>
    </row>
    <row r="46" spans="2:32" ht="23.1" customHeight="1" x14ac:dyDescent="0.25">
      <c r="B46" s="46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14</v>
      </c>
      <c r="N46" s="50">
        <v>0</v>
      </c>
      <c r="O46" s="15">
        <f t="shared" si="0"/>
        <v>1</v>
      </c>
      <c r="P46" s="15">
        <f t="shared" si="1"/>
        <v>15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20</v>
      </c>
      <c r="N47" s="50">
        <v>0</v>
      </c>
      <c r="O47" s="15">
        <f t="shared" si="0"/>
        <v>4</v>
      </c>
      <c r="P47" s="15">
        <f t="shared" si="1"/>
        <v>24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14</v>
      </c>
      <c r="N48" s="50">
        <v>0</v>
      </c>
      <c r="O48" s="15">
        <f t="shared" si="0"/>
        <v>0</v>
      </c>
      <c r="P48" s="15">
        <f t="shared" si="1"/>
        <v>14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25</v>
      </c>
      <c r="N49" s="50">
        <v>0</v>
      </c>
      <c r="O49" s="15">
        <f t="shared" si="0"/>
        <v>2</v>
      </c>
      <c r="P49" s="15">
        <f t="shared" si="1"/>
        <v>27</v>
      </c>
      <c r="R49" s="8"/>
      <c r="T49"/>
    </row>
    <row r="50" spans="2:20" ht="23.1" customHeight="1" x14ac:dyDescent="0.25">
      <c r="B50" s="46" t="s">
        <v>77</v>
      </c>
      <c r="C50" s="50">
        <v>4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28</v>
      </c>
      <c r="N50" s="50">
        <v>0</v>
      </c>
      <c r="O50" s="15">
        <f t="shared" si="0"/>
        <v>4</v>
      </c>
      <c r="P50" s="15">
        <f t="shared" si="1"/>
        <v>32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1</v>
      </c>
      <c r="P51" s="15">
        <f t="shared" si="1"/>
        <v>20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11</v>
      </c>
      <c r="N52" s="50">
        <v>0</v>
      </c>
      <c r="O52" s="15">
        <f t="shared" si="0"/>
        <v>2</v>
      </c>
      <c r="P52" s="15">
        <f t="shared" si="1"/>
        <v>13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22</v>
      </c>
      <c r="N53" s="50">
        <v>0</v>
      </c>
      <c r="O53" s="15">
        <f t="shared" si="0"/>
        <v>1</v>
      </c>
      <c r="P53" s="15">
        <f t="shared" si="1"/>
        <v>23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2</v>
      </c>
      <c r="P54" s="15">
        <f t="shared" si="1"/>
        <v>10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10</v>
      </c>
      <c r="N55" s="50">
        <v>0</v>
      </c>
      <c r="O55" s="15">
        <f t="shared" si="0"/>
        <v>2</v>
      </c>
      <c r="P55" s="15">
        <f t="shared" si="1"/>
        <v>12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0</v>
      </c>
      <c r="M56" s="50">
        <v>14</v>
      </c>
      <c r="N56" s="50">
        <v>0</v>
      </c>
      <c r="O56" s="15">
        <f t="shared" si="0"/>
        <v>2</v>
      </c>
      <c r="P56" s="15">
        <f t="shared" si="1"/>
        <v>16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11</v>
      </c>
      <c r="N57" s="50">
        <v>0</v>
      </c>
      <c r="O57" s="15">
        <f t="shared" si="0"/>
        <v>1</v>
      </c>
      <c r="P57" s="15">
        <f t="shared" si="1"/>
        <v>12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0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14</v>
      </c>
      <c r="N58" s="50">
        <v>0</v>
      </c>
      <c r="O58" s="15">
        <f t="shared" si="0"/>
        <v>2</v>
      </c>
      <c r="P58" s="15">
        <f t="shared" si="1"/>
        <v>16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21</v>
      </c>
      <c r="N59" s="50">
        <v>0</v>
      </c>
      <c r="O59" s="15">
        <f t="shared" si="0"/>
        <v>1</v>
      </c>
      <c r="P59" s="15">
        <f t="shared" si="1"/>
        <v>22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22</v>
      </c>
      <c r="N60" s="50">
        <v>0</v>
      </c>
      <c r="O60" s="15">
        <f t="shared" si="0"/>
        <v>1</v>
      </c>
      <c r="P60" s="15">
        <f t="shared" si="1"/>
        <v>23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15</v>
      </c>
      <c r="N61" s="50">
        <v>0</v>
      </c>
      <c r="O61" s="15">
        <f t="shared" si="0"/>
        <v>3</v>
      </c>
      <c r="P61" s="15">
        <f t="shared" si="1"/>
        <v>18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11</v>
      </c>
      <c r="N62" s="50">
        <v>0</v>
      </c>
      <c r="O62" s="15">
        <f t="shared" si="0"/>
        <v>2</v>
      </c>
      <c r="P62" s="15">
        <f t="shared" si="1"/>
        <v>13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1</v>
      </c>
      <c r="K63" s="50">
        <v>0</v>
      </c>
      <c r="L63" s="50">
        <v>0</v>
      </c>
      <c r="M63" s="50">
        <v>11</v>
      </c>
      <c r="N63" s="50">
        <v>0</v>
      </c>
      <c r="O63" s="15">
        <f t="shared" si="0"/>
        <v>1</v>
      </c>
      <c r="P63" s="15">
        <f t="shared" si="1"/>
        <v>12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1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13</v>
      </c>
      <c r="N64" s="50">
        <v>0</v>
      </c>
      <c r="O64" s="15">
        <f t="shared" si="0"/>
        <v>1</v>
      </c>
      <c r="P64" s="15">
        <f t="shared" si="1"/>
        <v>14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3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1</v>
      </c>
      <c r="L65" s="50">
        <v>0</v>
      </c>
      <c r="M65" s="50">
        <v>3</v>
      </c>
      <c r="N65" s="50">
        <v>0</v>
      </c>
      <c r="O65" s="15">
        <f t="shared" si="0"/>
        <v>4</v>
      </c>
      <c r="P65" s="15">
        <f t="shared" si="1"/>
        <v>7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1</v>
      </c>
      <c r="G66" s="50">
        <v>0</v>
      </c>
      <c r="H66" s="50">
        <v>0</v>
      </c>
      <c r="I66" s="50">
        <v>1</v>
      </c>
      <c r="J66" s="50">
        <v>1</v>
      </c>
      <c r="K66" s="50">
        <v>0</v>
      </c>
      <c r="L66" s="50">
        <v>0</v>
      </c>
      <c r="M66" s="50">
        <v>6</v>
      </c>
      <c r="N66" s="50">
        <v>0</v>
      </c>
      <c r="O66" s="15">
        <f t="shared" si="0"/>
        <v>3</v>
      </c>
      <c r="P66" s="15">
        <f t="shared" si="1"/>
        <v>9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1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1</v>
      </c>
      <c r="L67" s="50">
        <v>0</v>
      </c>
      <c r="M67" s="50">
        <v>11</v>
      </c>
      <c r="N67" s="50">
        <v>0</v>
      </c>
      <c r="O67" s="15">
        <f t="shared" si="0"/>
        <v>3</v>
      </c>
      <c r="P67" s="15">
        <f t="shared" si="1"/>
        <v>14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1</v>
      </c>
      <c r="L68" s="50">
        <v>0</v>
      </c>
      <c r="M68" s="50">
        <v>8</v>
      </c>
      <c r="N68" s="50">
        <v>0</v>
      </c>
      <c r="O68" s="15">
        <f t="shared" si="0"/>
        <v>2</v>
      </c>
      <c r="P68" s="15">
        <f t="shared" si="1"/>
        <v>10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1</v>
      </c>
      <c r="J69" s="50">
        <v>2</v>
      </c>
      <c r="K69" s="50">
        <v>0</v>
      </c>
      <c r="L69" s="50">
        <v>0</v>
      </c>
      <c r="M69" s="50">
        <v>4</v>
      </c>
      <c r="N69" s="50">
        <v>0</v>
      </c>
      <c r="O69" s="15">
        <f t="shared" si="0"/>
        <v>3</v>
      </c>
      <c r="P69" s="15">
        <f t="shared" si="1"/>
        <v>7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2</v>
      </c>
      <c r="I70" s="50">
        <v>1</v>
      </c>
      <c r="J70" s="50">
        <v>0</v>
      </c>
      <c r="K70" s="50">
        <v>0</v>
      </c>
      <c r="L70" s="50">
        <v>0</v>
      </c>
      <c r="M70" s="50">
        <v>5</v>
      </c>
      <c r="N70" s="50">
        <v>0</v>
      </c>
      <c r="O70" s="15">
        <f t="shared" si="0"/>
        <v>3</v>
      </c>
      <c r="P70" s="15">
        <f t="shared" si="1"/>
        <v>8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5</v>
      </c>
      <c r="N71" s="50">
        <v>0</v>
      </c>
      <c r="O71" s="15">
        <f t="shared" si="0"/>
        <v>1</v>
      </c>
      <c r="P71" s="15">
        <f t="shared" si="1"/>
        <v>6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2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7</v>
      </c>
      <c r="N72" s="50">
        <v>0</v>
      </c>
      <c r="O72" s="15">
        <f t="shared" si="0"/>
        <v>2</v>
      </c>
      <c r="P72" s="15">
        <f t="shared" si="1"/>
        <v>9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2</v>
      </c>
      <c r="L73" s="50">
        <v>0</v>
      </c>
      <c r="M73" s="50">
        <v>4</v>
      </c>
      <c r="N73" s="50">
        <v>0</v>
      </c>
      <c r="O73" s="15">
        <f t="shared" si="0"/>
        <v>5</v>
      </c>
      <c r="P73" s="15">
        <f t="shared" si="1"/>
        <v>9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1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</v>
      </c>
      <c r="N74" s="50">
        <v>0</v>
      </c>
      <c r="O74" s="15">
        <f t="shared" ref="O74:O105" si="35">SUM(C74:L74,N74)</f>
        <v>3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1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1</v>
      </c>
      <c r="L75" s="50">
        <v>0</v>
      </c>
      <c r="M75" s="50">
        <v>4</v>
      </c>
      <c r="N75" s="50">
        <v>0</v>
      </c>
      <c r="O75" s="15">
        <f t="shared" si="35"/>
        <v>3</v>
      </c>
      <c r="P75" s="15">
        <f t="shared" si="36"/>
        <v>7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3</v>
      </c>
      <c r="N76" s="50">
        <v>0</v>
      </c>
      <c r="O76" s="15">
        <f t="shared" si="35"/>
        <v>2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2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2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1</v>
      </c>
      <c r="K78" s="50">
        <v>2</v>
      </c>
      <c r="L78" s="50">
        <v>0</v>
      </c>
      <c r="M78" s="50">
        <v>1</v>
      </c>
      <c r="N78" s="50">
        <v>0</v>
      </c>
      <c r="O78" s="15">
        <f t="shared" si="35"/>
        <v>5</v>
      </c>
      <c r="P78" s="15">
        <f t="shared" si="36"/>
        <v>6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2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3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1</v>
      </c>
      <c r="E81" s="50">
        <v>0</v>
      </c>
      <c r="F81" s="50">
        <v>0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1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3</v>
      </c>
      <c r="P82" s="15">
        <f t="shared" si="36"/>
        <v>3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2</v>
      </c>
      <c r="E84" s="50">
        <v>0</v>
      </c>
      <c r="F84" s="50">
        <v>0</v>
      </c>
      <c r="G84" s="50">
        <v>0</v>
      </c>
      <c r="H84" s="50">
        <v>0</v>
      </c>
      <c r="I84" s="50">
        <v>2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4</v>
      </c>
      <c r="P84" s="15">
        <f t="shared" si="36"/>
        <v>4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1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1</v>
      </c>
      <c r="L86" s="50">
        <v>0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1</v>
      </c>
      <c r="L87" s="50">
        <v>0</v>
      </c>
      <c r="M87" s="50">
        <v>0</v>
      </c>
      <c r="N87" s="50">
        <v>0</v>
      </c>
      <c r="O87" s="15">
        <f t="shared" si="35"/>
        <v>3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1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1</v>
      </c>
      <c r="M89" s="50">
        <v>0</v>
      </c>
      <c r="N89" s="50">
        <v>0</v>
      </c>
      <c r="O89" s="15">
        <f t="shared" si="35"/>
        <v>3</v>
      </c>
      <c r="P89" s="15">
        <f t="shared" si="36"/>
        <v>3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1</v>
      </c>
      <c r="L90" s="50">
        <v>0</v>
      </c>
      <c r="M90" s="50">
        <v>0</v>
      </c>
      <c r="N90" s="50">
        <v>0</v>
      </c>
      <c r="O90" s="15">
        <f t="shared" si="35"/>
        <v>2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2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1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1</v>
      </c>
      <c r="L93" s="50">
        <v>1</v>
      </c>
      <c r="M93" s="50">
        <v>0</v>
      </c>
      <c r="N93" s="50">
        <v>0</v>
      </c>
      <c r="O93" s="15">
        <f t="shared" si="35"/>
        <v>3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2</v>
      </c>
      <c r="L94" s="50">
        <v>0</v>
      </c>
      <c r="M94" s="50">
        <v>2</v>
      </c>
      <c r="N94" s="50">
        <v>0</v>
      </c>
      <c r="O94" s="15">
        <f t="shared" si="35"/>
        <v>5</v>
      </c>
      <c r="P94" s="15">
        <f t="shared" si="36"/>
        <v>7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2</v>
      </c>
      <c r="F95" s="50">
        <v>0</v>
      </c>
      <c r="G95" s="50">
        <v>0</v>
      </c>
      <c r="H95" s="50">
        <v>0</v>
      </c>
      <c r="I95" s="50">
        <v>2</v>
      </c>
      <c r="J95" s="50">
        <v>0</v>
      </c>
      <c r="K95" s="50">
        <v>0</v>
      </c>
      <c r="L95" s="50">
        <v>0</v>
      </c>
      <c r="M95" s="50">
        <v>2</v>
      </c>
      <c r="N95" s="50">
        <v>0</v>
      </c>
      <c r="O95" s="15">
        <f t="shared" si="35"/>
        <v>5</v>
      </c>
      <c r="P95" s="15">
        <f t="shared" si="36"/>
        <v>7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1</v>
      </c>
      <c r="F96" s="50">
        <v>2</v>
      </c>
      <c r="G96" s="50">
        <v>0</v>
      </c>
      <c r="H96" s="50">
        <v>1</v>
      </c>
      <c r="I96" s="50">
        <v>1</v>
      </c>
      <c r="J96" s="50">
        <v>0</v>
      </c>
      <c r="K96" s="50">
        <v>0</v>
      </c>
      <c r="L96" s="50">
        <v>0</v>
      </c>
      <c r="M96" s="50">
        <v>2</v>
      </c>
      <c r="N96" s="50">
        <v>0</v>
      </c>
      <c r="O96" s="15">
        <f t="shared" si="35"/>
        <v>7</v>
      </c>
      <c r="P96" s="15">
        <f t="shared" si="36"/>
        <v>9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2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1</v>
      </c>
      <c r="L97" s="50">
        <v>0</v>
      </c>
      <c r="M97" s="50">
        <v>4</v>
      </c>
      <c r="N97" s="50">
        <v>0</v>
      </c>
      <c r="O97" s="15">
        <f t="shared" si="35"/>
        <v>4</v>
      </c>
      <c r="P97" s="15">
        <f t="shared" si="36"/>
        <v>8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1</v>
      </c>
      <c r="E98" s="50">
        <v>2</v>
      </c>
      <c r="F98" s="50">
        <v>0</v>
      </c>
      <c r="G98" s="50">
        <v>0</v>
      </c>
      <c r="H98" s="50">
        <v>0</v>
      </c>
      <c r="I98" s="50">
        <v>3</v>
      </c>
      <c r="J98" s="50">
        <v>0</v>
      </c>
      <c r="K98" s="50">
        <v>1</v>
      </c>
      <c r="L98" s="50">
        <v>0</v>
      </c>
      <c r="M98" s="50">
        <v>3</v>
      </c>
      <c r="N98" s="50">
        <v>0</v>
      </c>
      <c r="O98" s="15">
        <f t="shared" si="35"/>
        <v>9</v>
      </c>
      <c r="P98" s="15">
        <f t="shared" si="36"/>
        <v>12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2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4</v>
      </c>
      <c r="N99" s="50">
        <v>0</v>
      </c>
      <c r="O99" s="15">
        <f t="shared" si="35"/>
        <v>3</v>
      </c>
      <c r="P99" s="15">
        <f t="shared" si="36"/>
        <v>7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2</v>
      </c>
      <c r="K100" s="50">
        <v>0</v>
      </c>
      <c r="L100" s="50">
        <v>0</v>
      </c>
      <c r="M100" s="50">
        <v>4</v>
      </c>
      <c r="N100" s="50">
        <v>0</v>
      </c>
      <c r="O100" s="15">
        <f t="shared" si="35"/>
        <v>2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2</v>
      </c>
      <c r="E101" s="50">
        <v>0</v>
      </c>
      <c r="F101" s="50">
        <v>0</v>
      </c>
      <c r="G101" s="50">
        <v>0</v>
      </c>
      <c r="H101" s="50">
        <v>0</v>
      </c>
      <c r="I101" s="50">
        <v>2</v>
      </c>
      <c r="J101" s="50">
        <v>1</v>
      </c>
      <c r="K101" s="50">
        <v>0</v>
      </c>
      <c r="L101" s="50">
        <v>0</v>
      </c>
      <c r="M101" s="50">
        <v>6</v>
      </c>
      <c r="N101" s="50">
        <v>0</v>
      </c>
      <c r="O101" s="15">
        <f t="shared" si="35"/>
        <v>6</v>
      </c>
      <c r="P101" s="15">
        <f t="shared" si="36"/>
        <v>12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2</v>
      </c>
      <c r="E102" s="50">
        <v>1</v>
      </c>
      <c r="F102" s="50">
        <v>1</v>
      </c>
      <c r="G102" s="50">
        <v>0</v>
      </c>
      <c r="H102" s="50">
        <v>0</v>
      </c>
      <c r="I102" s="50">
        <v>2</v>
      </c>
      <c r="J102" s="50">
        <v>0</v>
      </c>
      <c r="K102" s="50">
        <v>0</v>
      </c>
      <c r="L102" s="50">
        <v>0</v>
      </c>
      <c r="M102" s="50">
        <v>5</v>
      </c>
      <c r="N102" s="50">
        <v>0</v>
      </c>
      <c r="O102" s="15">
        <f t="shared" si="35"/>
        <v>9</v>
      </c>
      <c r="P102" s="15">
        <f t="shared" si="36"/>
        <v>14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2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1</v>
      </c>
      <c r="M103" s="50">
        <v>6</v>
      </c>
      <c r="N103" s="50">
        <v>0</v>
      </c>
      <c r="O103" s="15">
        <f t="shared" si="35"/>
        <v>3</v>
      </c>
      <c r="P103" s="15">
        <f t="shared" si="36"/>
        <v>9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2</v>
      </c>
      <c r="F104" s="50">
        <v>1</v>
      </c>
      <c r="G104" s="50">
        <v>0</v>
      </c>
      <c r="H104" s="50">
        <v>0</v>
      </c>
      <c r="I104" s="50">
        <v>0</v>
      </c>
      <c r="J104" s="50">
        <v>0</v>
      </c>
      <c r="K104" s="50">
        <v>2</v>
      </c>
      <c r="L104" s="50">
        <v>0</v>
      </c>
      <c r="M104" s="50">
        <v>8</v>
      </c>
      <c r="N104" s="50">
        <v>0</v>
      </c>
      <c r="O104" s="15">
        <f t="shared" si="35"/>
        <v>6</v>
      </c>
      <c r="P104" s="15">
        <f t="shared" si="36"/>
        <v>14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1</v>
      </c>
      <c r="E105" s="50">
        <v>0</v>
      </c>
      <c r="F105" s="50">
        <v>2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7</v>
      </c>
      <c r="N105" s="50">
        <v>0</v>
      </c>
      <c r="O105" s="15">
        <f t="shared" si="35"/>
        <v>5</v>
      </c>
      <c r="P105" s="15">
        <f t="shared" si="36"/>
        <v>12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67</v>
      </c>
      <c r="D106" s="16">
        <f t="shared" ref="D106:P106" si="37">SUM(D10:D105)</f>
        <v>32</v>
      </c>
      <c r="E106" s="16">
        <f t="shared" si="37"/>
        <v>28</v>
      </c>
      <c r="F106" s="16">
        <f t="shared" si="37"/>
        <v>13</v>
      </c>
      <c r="G106" s="16">
        <f t="shared" si="37"/>
        <v>0</v>
      </c>
      <c r="H106" s="16">
        <f t="shared" si="37"/>
        <v>4</v>
      </c>
      <c r="I106" s="16">
        <f t="shared" si="37"/>
        <v>43</v>
      </c>
      <c r="J106" s="16">
        <f t="shared" si="37"/>
        <v>19</v>
      </c>
      <c r="K106" s="16">
        <f t="shared" si="37"/>
        <v>22</v>
      </c>
      <c r="L106" s="16">
        <f t="shared" si="37"/>
        <v>4</v>
      </c>
      <c r="M106" s="16">
        <f t="shared" si="37"/>
        <v>810</v>
      </c>
      <c r="N106" s="16">
        <f t="shared" si="37"/>
        <v>0</v>
      </c>
      <c r="O106" s="16">
        <f t="shared" si="37"/>
        <v>232</v>
      </c>
      <c r="P106" s="16">
        <f t="shared" si="37"/>
        <v>1042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6.4299424184261031E-2</v>
      </c>
      <c r="D107" s="43">
        <f t="shared" si="38"/>
        <v>3.0710172744721688E-2</v>
      </c>
      <c r="E107" s="43">
        <f t="shared" si="38"/>
        <v>2.6871401151631478E-2</v>
      </c>
      <c r="F107" s="43">
        <f t="shared" si="38"/>
        <v>1.2476007677543186E-2</v>
      </c>
      <c r="G107" s="43">
        <f t="shared" si="38"/>
        <v>0</v>
      </c>
      <c r="H107" s="43">
        <f t="shared" si="38"/>
        <v>3.838771593090211E-3</v>
      </c>
      <c r="I107" s="43">
        <f t="shared" si="38"/>
        <v>4.126679462571977E-2</v>
      </c>
      <c r="J107" s="43">
        <f t="shared" si="38"/>
        <v>1.8234165067178502E-2</v>
      </c>
      <c r="K107" s="43">
        <f t="shared" si="38"/>
        <v>2.1113243761996161E-2</v>
      </c>
      <c r="L107" s="43">
        <f t="shared" si="38"/>
        <v>3.838771593090211E-3</v>
      </c>
      <c r="M107" s="43">
        <f t="shared" si="38"/>
        <v>0.77735124760076779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0.28879310344827586</v>
      </c>
      <c r="D108" s="44">
        <f t="shared" ref="D108:N108" si="39">D106/$O$106</f>
        <v>0.13793103448275862</v>
      </c>
      <c r="E108" s="44">
        <f t="shared" si="39"/>
        <v>0.1206896551724138</v>
      </c>
      <c r="F108" s="44">
        <f t="shared" si="39"/>
        <v>5.6034482758620691E-2</v>
      </c>
      <c r="G108" s="44">
        <f t="shared" si="39"/>
        <v>0</v>
      </c>
      <c r="H108" s="44">
        <f t="shared" si="39"/>
        <v>1.7241379310344827E-2</v>
      </c>
      <c r="I108" s="44">
        <f t="shared" si="39"/>
        <v>0.18534482758620691</v>
      </c>
      <c r="J108" s="44">
        <f t="shared" si="39"/>
        <v>8.1896551724137928E-2</v>
      </c>
      <c r="K108" s="44">
        <f t="shared" si="39"/>
        <v>9.4827586206896547E-2</v>
      </c>
      <c r="L108" s="44">
        <f t="shared" si="39"/>
        <v>1.7241379310344827E-2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B56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'17.10 BUSUNGU-MITYANA'!C3:G3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182</v>
      </c>
      <c r="E5" s="3"/>
      <c r="F5" s="41" t="s">
        <v>1</v>
      </c>
      <c r="G5" s="64" t="str">
        <f>'18.10 BUSUNJU-MITYANA 24hr'!G5:H5</f>
        <v>EXCEL&amp;LOOGE</v>
      </c>
      <c r="H5" s="65"/>
      <c r="I5" s="14"/>
      <c r="J5" s="2" t="s">
        <v>5</v>
      </c>
      <c r="K5" s="64" t="str">
        <f>'18.10 BUSUNJU-MITYANA 24hr'!K5:L5</f>
        <v>JOSEPHINE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">
        <v>170</v>
      </c>
      <c r="E6" s="65"/>
      <c r="F6" s="2" t="s">
        <v>2</v>
      </c>
      <c r="G6" s="64" t="s">
        <v>166</v>
      </c>
      <c r="H6" s="65"/>
      <c r="J6" s="2" t="s">
        <v>21</v>
      </c>
      <c r="K6" s="64" t="str">
        <f>'18.10 BUSUNJU-MITYANA 24hr'!K6:L6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9</v>
      </c>
      <c r="R10" s="1" t="s">
        <v>6</v>
      </c>
      <c r="S10" s="17">
        <f t="shared" ref="S10:AF10" si="2">SUM(C10:C13)</f>
        <v>2</v>
      </c>
      <c r="T10" s="17">
        <f t="shared" si="2"/>
        <v>1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19</v>
      </c>
      <c r="AD10" s="17">
        <f t="shared" si="2"/>
        <v>0</v>
      </c>
      <c r="AE10" s="31">
        <f t="shared" si="2"/>
        <v>4</v>
      </c>
      <c r="AF10" s="31">
        <f t="shared" si="2"/>
        <v>23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1</v>
      </c>
      <c r="P11" s="15">
        <f t="shared" si="1"/>
        <v>7</v>
      </c>
      <c r="R11" s="1" t="s">
        <v>7</v>
      </c>
      <c r="S11" s="17">
        <f t="shared" ref="S11:AF11" si="3">SUM(C14:C17)</f>
        <v>3</v>
      </c>
      <c r="T11" s="17">
        <f t="shared" si="3"/>
        <v>1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54</v>
      </c>
      <c r="AD11" s="17">
        <f t="shared" si="3"/>
        <v>0</v>
      </c>
      <c r="AE11" s="31">
        <f t="shared" si="3"/>
        <v>8</v>
      </c>
      <c r="AF11" s="31">
        <f t="shared" si="3"/>
        <v>62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1</v>
      </c>
      <c r="P12" s="15">
        <f t="shared" si="1"/>
        <v>3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50</v>
      </c>
      <c r="AD12" s="17">
        <f t="shared" si="4"/>
        <v>0</v>
      </c>
      <c r="AE12" s="31">
        <f t="shared" si="4"/>
        <v>1</v>
      </c>
      <c r="AF12" s="31">
        <f t="shared" si="4"/>
        <v>51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0</v>
      </c>
      <c r="P13" s="15">
        <f t="shared" si="1"/>
        <v>4</v>
      </c>
      <c r="R13" s="1" t="s">
        <v>9</v>
      </c>
      <c r="S13" s="17">
        <f t="shared" ref="S13:AF13" si="5">SUM(C22:C25)</f>
        <v>0</v>
      </c>
      <c r="T13" s="17">
        <f t="shared" si="5"/>
        <v>3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20</v>
      </c>
      <c r="AD13" s="17">
        <f t="shared" si="5"/>
        <v>0</v>
      </c>
      <c r="AE13" s="31">
        <f t="shared" si="5"/>
        <v>5</v>
      </c>
      <c r="AF13" s="31">
        <f t="shared" si="5"/>
        <v>25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14</v>
      </c>
      <c r="N14" s="50">
        <v>0</v>
      </c>
      <c r="O14" s="15">
        <f t="shared" si="0"/>
        <v>0</v>
      </c>
      <c r="P14" s="15">
        <f t="shared" si="1"/>
        <v>14</v>
      </c>
      <c r="R14" s="1" t="s">
        <v>10</v>
      </c>
      <c r="S14" s="17">
        <f t="shared" ref="S14:AF14" si="6">SUM(C26:C29)</f>
        <v>4</v>
      </c>
      <c r="T14" s="17">
        <f t="shared" si="6"/>
        <v>2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29</v>
      </c>
      <c r="AD14" s="17">
        <f t="shared" si="6"/>
        <v>0</v>
      </c>
      <c r="AE14" s="31">
        <f t="shared" si="6"/>
        <v>9</v>
      </c>
      <c r="AF14" s="31">
        <f t="shared" si="6"/>
        <v>38</v>
      </c>
    </row>
    <row r="15" spans="2:32" ht="23.1" customHeight="1" x14ac:dyDescent="0.25">
      <c r="B15" s="45" t="s">
        <v>42</v>
      </c>
      <c r="C15" s="50">
        <v>3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3</v>
      </c>
      <c r="P15" s="15">
        <f t="shared" si="1"/>
        <v>15</v>
      </c>
      <c r="R15" s="1" t="s">
        <v>11</v>
      </c>
      <c r="S15" s="17">
        <f t="shared" ref="S15:AF15" si="7">SUM(C30:C33)</f>
        <v>3</v>
      </c>
      <c r="T15" s="17">
        <f t="shared" si="7"/>
        <v>1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29</v>
      </c>
      <c r="AD15" s="17">
        <f t="shared" si="7"/>
        <v>0</v>
      </c>
      <c r="AE15" s="31">
        <f t="shared" si="7"/>
        <v>6</v>
      </c>
      <c r="AF15" s="31">
        <f t="shared" si="7"/>
        <v>35</v>
      </c>
    </row>
    <row r="16" spans="2:32" ht="23.1" customHeight="1" x14ac:dyDescent="0.25">
      <c r="B16" s="45" t="s">
        <v>43</v>
      </c>
      <c r="C16" s="50">
        <v>0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2</v>
      </c>
      <c r="P16" s="15">
        <f t="shared" si="1"/>
        <v>16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51</v>
      </c>
      <c r="AD16" s="17">
        <f t="shared" si="8"/>
        <v>0</v>
      </c>
      <c r="AE16" s="31">
        <f t="shared" si="8"/>
        <v>6</v>
      </c>
      <c r="AF16" s="31">
        <f t="shared" si="8"/>
        <v>57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14</v>
      </c>
      <c r="N17" s="50">
        <v>0</v>
      </c>
      <c r="O17" s="15">
        <f t="shared" si="0"/>
        <v>3</v>
      </c>
      <c r="P17" s="15">
        <f t="shared" si="1"/>
        <v>17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41</v>
      </c>
      <c r="AD17" s="17">
        <f t="shared" si="9"/>
        <v>0</v>
      </c>
      <c r="AE17" s="31">
        <f t="shared" si="9"/>
        <v>6</v>
      </c>
      <c r="AF17" s="31">
        <f t="shared" si="9"/>
        <v>47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13</v>
      </c>
      <c r="N18" s="50">
        <v>0</v>
      </c>
      <c r="O18" s="15">
        <f t="shared" si="0"/>
        <v>0</v>
      </c>
      <c r="P18" s="15">
        <f t="shared" si="1"/>
        <v>13</v>
      </c>
      <c r="R18" s="1" t="s">
        <v>14</v>
      </c>
      <c r="S18" s="17">
        <f t="shared" ref="S18:AF18" si="10">SUM(C42:C45)</f>
        <v>3</v>
      </c>
      <c r="T18" s="17">
        <f t="shared" si="10"/>
        <v>1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1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66</v>
      </c>
      <c r="AD18" s="17">
        <f t="shared" si="10"/>
        <v>0</v>
      </c>
      <c r="AE18" s="31">
        <f t="shared" si="10"/>
        <v>6</v>
      </c>
      <c r="AF18" s="31">
        <f t="shared" si="10"/>
        <v>72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14</v>
      </c>
      <c r="N19" s="50">
        <v>0</v>
      </c>
      <c r="O19" s="15">
        <f t="shared" si="0"/>
        <v>0</v>
      </c>
      <c r="P19" s="15">
        <f t="shared" si="1"/>
        <v>14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1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54</v>
      </c>
      <c r="AD19" s="17">
        <f t="shared" si="11"/>
        <v>0</v>
      </c>
      <c r="AE19" s="31">
        <f t="shared" si="11"/>
        <v>7</v>
      </c>
      <c r="AF19" s="31">
        <f t="shared" si="11"/>
        <v>61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1</v>
      </c>
      <c r="P20" s="15">
        <f t="shared" si="1"/>
        <v>14</v>
      </c>
      <c r="R20" s="1" t="s">
        <v>16</v>
      </c>
      <c r="S20" s="17">
        <f t="shared" ref="S20:AF20" si="12">SUM(C50:C53)</f>
        <v>3</v>
      </c>
      <c r="T20" s="17">
        <f t="shared" si="12"/>
        <v>4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76</v>
      </c>
      <c r="AD20" s="17">
        <f t="shared" si="12"/>
        <v>0</v>
      </c>
      <c r="AE20" s="31">
        <f t="shared" si="12"/>
        <v>7</v>
      </c>
      <c r="AF20" s="31">
        <f t="shared" si="12"/>
        <v>83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0</v>
      </c>
      <c r="P21" s="15">
        <f t="shared" si="1"/>
        <v>10</v>
      </c>
      <c r="R21" s="36" t="s">
        <v>20</v>
      </c>
      <c r="S21" s="34">
        <f t="shared" ref="S21:AF21" si="13">SUM(C54:C57)</f>
        <v>1</v>
      </c>
      <c r="T21" s="17">
        <f t="shared" si="13"/>
        <v>0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56</v>
      </c>
      <c r="AD21" s="17">
        <f t="shared" si="13"/>
        <v>0</v>
      </c>
      <c r="AE21" s="31">
        <f t="shared" si="13"/>
        <v>5</v>
      </c>
      <c r="AF21" s="31">
        <f t="shared" si="13"/>
        <v>61</v>
      </c>
    </row>
    <row r="22" spans="2:32" ht="23.1" customHeight="1" x14ac:dyDescent="0.25">
      <c r="B22" s="45" t="s">
        <v>49</v>
      </c>
      <c r="C22" s="50">
        <v>0</v>
      </c>
      <c r="D22" s="50">
        <v>1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2</v>
      </c>
      <c r="P22" s="15">
        <f t="shared" si="1"/>
        <v>9</v>
      </c>
      <c r="R22" s="36" t="s">
        <v>146</v>
      </c>
      <c r="S22" s="34">
        <f>SUM(C58:C61)</f>
        <v>8</v>
      </c>
      <c r="T22" s="34">
        <f t="shared" ref="T22:AF22" si="14">SUM(D58:D61)</f>
        <v>0</v>
      </c>
      <c r="U22" s="34">
        <f t="shared" si="14"/>
        <v>3</v>
      </c>
      <c r="V22" s="34">
        <f t="shared" si="14"/>
        <v>3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78</v>
      </c>
      <c r="AD22" s="34">
        <f t="shared" si="14"/>
        <v>0</v>
      </c>
      <c r="AE22" s="31">
        <f t="shared" si="14"/>
        <v>15</v>
      </c>
      <c r="AF22" s="31">
        <f t="shared" si="14"/>
        <v>93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1</v>
      </c>
      <c r="P23" s="15">
        <f t="shared" si="1"/>
        <v>4</v>
      </c>
      <c r="R23" s="36" t="s">
        <v>147</v>
      </c>
      <c r="S23" s="34">
        <f>SUM(C62:C65)</f>
        <v>4</v>
      </c>
      <c r="T23" s="34">
        <f t="shared" ref="T23:AF23" si="15">SUM(D62:D65)</f>
        <v>1</v>
      </c>
      <c r="U23" s="34">
        <f t="shared" si="15"/>
        <v>0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39</v>
      </c>
      <c r="AD23" s="34">
        <f t="shared" si="15"/>
        <v>0</v>
      </c>
      <c r="AE23" s="31">
        <f t="shared" si="15"/>
        <v>10</v>
      </c>
      <c r="AF23" s="31">
        <f t="shared" si="15"/>
        <v>49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6</v>
      </c>
      <c r="N24" s="50">
        <v>0</v>
      </c>
      <c r="O24" s="15">
        <f t="shared" si="0"/>
        <v>0</v>
      </c>
      <c r="P24" s="15">
        <f t="shared" si="1"/>
        <v>6</v>
      </c>
      <c r="R24" s="36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1</v>
      </c>
      <c r="AB24" s="34">
        <f t="shared" si="16"/>
        <v>0</v>
      </c>
      <c r="AC24" s="34">
        <f t="shared" si="16"/>
        <v>15</v>
      </c>
      <c r="AD24" s="34">
        <f t="shared" si="16"/>
        <v>0</v>
      </c>
      <c r="AE24" s="31">
        <f t="shared" si="16"/>
        <v>5</v>
      </c>
      <c r="AF24" s="31">
        <f t="shared" si="16"/>
        <v>20</v>
      </c>
    </row>
    <row r="25" spans="2:32" ht="23.1" customHeight="1" x14ac:dyDescent="0.25">
      <c r="B25" s="45" t="s">
        <v>52</v>
      </c>
      <c r="C25" s="50">
        <v>0</v>
      </c>
      <c r="D25" s="50">
        <v>2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5">
        <f t="shared" si="0"/>
        <v>2</v>
      </c>
      <c r="P25" s="15">
        <f t="shared" si="1"/>
        <v>6</v>
      </c>
      <c r="R25" s="36" t="s">
        <v>149</v>
      </c>
      <c r="S25" s="34">
        <f>SUM(C70:C73)</f>
        <v>1</v>
      </c>
      <c r="T25" s="34">
        <f t="shared" ref="T25:AF25" si="17">SUM(D70:D73)</f>
        <v>3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1</v>
      </c>
      <c r="AC25" s="34">
        <f t="shared" si="17"/>
        <v>15</v>
      </c>
      <c r="AD25" s="34">
        <f t="shared" si="17"/>
        <v>0</v>
      </c>
      <c r="AE25" s="31">
        <f t="shared" si="17"/>
        <v>7</v>
      </c>
      <c r="AF25" s="31">
        <f t="shared" si="17"/>
        <v>22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1</v>
      </c>
      <c r="P26" s="15">
        <f t="shared" si="1"/>
        <v>8</v>
      </c>
      <c r="R26" s="36" t="s">
        <v>150</v>
      </c>
      <c r="S26" s="34">
        <f>SUM(C74:C77)</f>
        <v>1</v>
      </c>
      <c r="T26" s="34">
        <f t="shared" ref="T26:AF26" si="18">SUM(D74:D77)</f>
        <v>3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3</v>
      </c>
      <c r="AA26" s="34">
        <f t="shared" si="18"/>
        <v>0</v>
      </c>
      <c r="AB26" s="34">
        <f t="shared" si="18"/>
        <v>0</v>
      </c>
      <c r="AC26" s="34">
        <f t="shared" si="18"/>
        <v>2</v>
      </c>
      <c r="AD26" s="34">
        <f t="shared" si="18"/>
        <v>0</v>
      </c>
      <c r="AE26" s="31">
        <f t="shared" si="18"/>
        <v>7</v>
      </c>
      <c r="AF26" s="31">
        <f t="shared" si="18"/>
        <v>9</v>
      </c>
    </row>
    <row r="27" spans="2:32" ht="23.1" customHeight="1" x14ac:dyDescent="0.25">
      <c r="B27" s="45" t="s">
        <v>54</v>
      </c>
      <c r="C27" s="50">
        <v>2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1</v>
      </c>
      <c r="L27" s="50">
        <v>0</v>
      </c>
      <c r="M27" s="50">
        <v>7</v>
      </c>
      <c r="N27" s="50">
        <v>0</v>
      </c>
      <c r="O27" s="15">
        <f t="shared" si="0"/>
        <v>3</v>
      </c>
      <c r="P27" s="15">
        <f t="shared" si="1"/>
        <v>10</v>
      </c>
      <c r="R27" s="36" t="s">
        <v>151</v>
      </c>
      <c r="S27" s="34">
        <f>SUM(C78:C81)</f>
        <v>4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3</v>
      </c>
      <c r="AC27" s="34">
        <f t="shared" si="19"/>
        <v>3</v>
      </c>
      <c r="AD27" s="34">
        <f t="shared" si="19"/>
        <v>0</v>
      </c>
      <c r="AE27" s="31">
        <f t="shared" si="19"/>
        <v>8</v>
      </c>
      <c r="AF27" s="31">
        <f t="shared" si="19"/>
        <v>11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0</v>
      </c>
      <c r="P28" s="15">
        <f t="shared" si="1"/>
        <v>7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3</v>
      </c>
      <c r="AC28" s="34">
        <f t="shared" si="20"/>
        <v>0</v>
      </c>
      <c r="AD28" s="34">
        <f t="shared" si="20"/>
        <v>0</v>
      </c>
      <c r="AE28" s="31">
        <f t="shared" si="20"/>
        <v>4</v>
      </c>
      <c r="AF28" s="31">
        <f t="shared" si="20"/>
        <v>4</v>
      </c>
    </row>
    <row r="29" spans="2:32" ht="23.1" customHeight="1" x14ac:dyDescent="0.25">
      <c r="B29" s="45" t="s">
        <v>56</v>
      </c>
      <c r="C29" s="50">
        <v>1</v>
      </c>
      <c r="D29" s="50">
        <v>2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5</v>
      </c>
      <c r="P29" s="15">
        <f t="shared" si="1"/>
        <v>13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2</v>
      </c>
      <c r="AC29" s="34">
        <f t="shared" si="21"/>
        <v>0</v>
      </c>
      <c r="AD29" s="34">
        <f t="shared" si="21"/>
        <v>0</v>
      </c>
      <c r="AE29" s="31">
        <f t="shared" si="21"/>
        <v>2</v>
      </c>
      <c r="AF29" s="31">
        <f t="shared" si="21"/>
        <v>2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1</v>
      </c>
      <c r="P30" s="15">
        <f t="shared" si="1"/>
        <v>6</v>
      </c>
      <c r="R30" s="36" t="s">
        <v>154</v>
      </c>
      <c r="S30" s="34">
        <f>SUM(C90:C93)</f>
        <v>2</v>
      </c>
      <c r="T30" s="34">
        <f t="shared" ref="T30:AF30" si="22">SUM(D90:D93)</f>
        <v>3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1</v>
      </c>
      <c r="AB30" s="34">
        <f t="shared" si="22"/>
        <v>3</v>
      </c>
      <c r="AC30" s="34">
        <f t="shared" si="22"/>
        <v>0</v>
      </c>
      <c r="AD30" s="34">
        <f t="shared" si="22"/>
        <v>0</v>
      </c>
      <c r="AE30" s="31">
        <f t="shared" si="22"/>
        <v>9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1</v>
      </c>
      <c r="P31" s="15">
        <f t="shared" si="1"/>
        <v>12</v>
      </c>
      <c r="R31" s="36" t="s">
        <v>155</v>
      </c>
      <c r="S31" s="34">
        <f>SUM(C94:C97)</f>
        <v>1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2</v>
      </c>
      <c r="AA31" s="34">
        <f t="shared" si="23"/>
        <v>0</v>
      </c>
      <c r="AB31" s="34">
        <f t="shared" si="23"/>
        <v>1</v>
      </c>
      <c r="AC31" s="34">
        <f t="shared" si="23"/>
        <v>3</v>
      </c>
      <c r="AD31" s="34">
        <f t="shared" si="23"/>
        <v>0</v>
      </c>
      <c r="AE31" s="31">
        <f t="shared" si="23"/>
        <v>5</v>
      </c>
      <c r="AF31" s="31">
        <f t="shared" si="23"/>
        <v>8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2</v>
      </c>
      <c r="P32" s="15">
        <f t="shared" si="1"/>
        <v>6</v>
      </c>
      <c r="R32" s="33" t="s">
        <v>156</v>
      </c>
      <c r="S32" s="34">
        <f>SUM(C98:C101)</f>
        <v>2</v>
      </c>
      <c r="T32" s="34">
        <f t="shared" ref="T32:AF32" si="24">SUM(D98:D101)</f>
        <v>1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3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10</v>
      </c>
      <c r="AF32" s="31">
        <f t="shared" si="24"/>
        <v>12</v>
      </c>
    </row>
    <row r="33" spans="2:32" ht="23.1" customHeight="1" x14ac:dyDescent="0.25">
      <c r="B33" s="45" t="s">
        <v>60</v>
      </c>
      <c r="C33" s="50">
        <v>1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9</v>
      </c>
      <c r="N33" s="50">
        <v>0</v>
      </c>
      <c r="O33" s="15">
        <f t="shared" si="0"/>
        <v>2</v>
      </c>
      <c r="P33" s="15">
        <f t="shared" si="1"/>
        <v>11</v>
      </c>
      <c r="R33" s="33" t="s">
        <v>157</v>
      </c>
      <c r="S33" s="34">
        <f>SUM(C102:C105)</f>
        <v>0</v>
      </c>
      <c r="T33" s="34">
        <f t="shared" ref="T33:AF33" si="25">SUM(D102:D105)</f>
        <v>1</v>
      </c>
      <c r="U33" s="34">
        <f t="shared" si="25"/>
        <v>2</v>
      </c>
      <c r="V33" s="34">
        <f t="shared" si="25"/>
        <v>2</v>
      </c>
      <c r="W33" s="34">
        <f t="shared" si="25"/>
        <v>2</v>
      </c>
      <c r="X33" s="34">
        <f t="shared" si="25"/>
        <v>0</v>
      </c>
      <c r="Y33" s="34">
        <f t="shared" si="25"/>
        <v>0</v>
      </c>
      <c r="Z33" s="34">
        <f t="shared" si="25"/>
        <v>2</v>
      </c>
      <c r="AA33" s="34">
        <f t="shared" si="25"/>
        <v>2</v>
      </c>
      <c r="AB33" s="34">
        <f t="shared" si="25"/>
        <v>0</v>
      </c>
      <c r="AC33" s="34">
        <f t="shared" si="25"/>
        <v>7</v>
      </c>
      <c r="AD33" s="34">
        <f t="shared" si="25"/>
        <v>0</v>
      </c>
      <c r="AE33" s="31">
        <f t="shared" si="25"/>
        <v>11</v>
      </c>
      <c r="AF33" s="31">
        <f t="shared" si="25"/>
        <v>18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12</v>
      </c>
      <c r="N34" s="50">
        <v>0</v>
      </c>
      <c r="O34" s="15">
        <f t="shared" si="0"/>
        <v>0</v>
      </c>
      <c r="P34" s="15">
        <f t="shared" si="1"/>
        <v>12</v>
      </c>
      <c r="R34" s="38" t="s">
        <v>90</v>
      </c>
      <c r="S34" s="39">
        <f t="shared" ref="S34:AF34" si="26">MAX(S10:S12)</f>
        <v>3</v>
      </c>
      <c r="T34" s="39">
        <f t="shared" si="26"/>
        <v>1</v>
      </c>
      <c r="U34" s="39">
        <f t="shared" si="26"/>
        <v>1</v>
      </c>
      <c r="V34" s="39">
        <f t="shared" si="26"/>
        <v>0</v>
      </c>
      <c r="W34" s="39">
        <f t="shared" si="26"/>
        <v>0</v>
      </c>
      <c r="X34" s="39">
        <f t="shared" si="26"/>
        <v>0</v>
      </c>
      <c r="Y34" s="39">
        <f t="shared" si="26"/>
        <v>4</v>
      </c>
      <c r="Z34" s="39">
        <f t="shared" si="26"/>
        <v>0</v>
      </c>
      <c r="AA34" s="39">
        <f t="shared" si="26"/>
        <v>0</v>
      </c>
      <c r="AB34" s="39">
        <f t="shared" si="26"/>
        <v>0</v>
      </c>
      <c r="AC34" s="39">
        <f t="shared" si="26"/>
        <v>54</v>
      </c>
      <c r="AD34" s="39">
        <f t="shared" si="26"/>
        <v>0</v>
      </c>
      <c r="AE34" s="40">
        <f t="shared" si="26"/>
        <v>8</v>
      </c>
      <c r="AF34" s="40">
        <f t="shared" si="26"/>
        <v>62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13</v>
      </c>
      <c r="N35" s="50">
        <v>0</v>
      </c>
      <c r="O35" s="15">
        <f t="shared" si="0"/>
        <v>0</v>
      </c>
      <c r="P35" s="15">
        <f t="shared" si="1"/>
        <v>13</v>
      </c>
      <c r="R35" s="38" t="s">
        <v>91</v>
      </c>
      <c r="S35" s="39">
        <f t="shared" ref="S35:AF35" si="27">MAX(S13:S18)</f>
        <v>4</v>
      </c>
      <c r="T35" s="39">
        <f t="shared" si="27"/>
        <v>3</v>
      </c>
      <c r="U35" s="39">
        <f t="shared" si="27"/>
        <v>2</v>
      </c>
      <c r="V35" s="39">
        <f t="shared" si="27"/>
        <v>1</v>
      </c>
      <c r="W35" s="39">
        <f t="shared" si="27"/>
        <v>0</v>
      </c>
      <c r="X35" s="39">
        <f t="shared" si="27"/>
        <v>1</v>
      </c>
      <c r="Y35" s="39">
        <f t="shared" si="27"/>
        <v>1</v>
      </c>
      <c r="Z35" s="39">
        <f t="shared" si="27"/>
        <v>3</v>
      </c>
      <c r="AA35" s="39">
        <f t="shared" si="27"/>
        <v>1</v>
      </c>
      <c r="AB35" s="39">
        <f t="shared" si="27"/>
        <v>0</v>
      </c>
      <c r="AC35" s="39">
        <f t="shared" si="27"/>
        <v>66</v>
      </c>
      <c r="AD35" s="39">
        <f t="shared" si="27"/>
        <v>0</v>
      </c>
      <c r="AE35" s="40">
        <f t="shared" si="27"/>
        <v>9</v>
      </c>
      <c r="AF35" s="40">
        <f t="shared" si="27"/>
        <v>72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13</v>
      </c>
      <c r="N36" s="50">
        <v>0</v>
      </c>
      <c r="O36" s="15">
        <f t="shared" si="0"/>
        <v>3</v>
      </c>
      <c r="P36" s="15">
        <f t="shared" si="1"/>
        <v>16</v>
      </c>
      <c r="R36" s="38" t="s">
        <v>92</v>
      </c>
      <c r="S36" s="39">
        <f t="shared" ref="S36:AF36" si="28">MAX(S19:S21)</f>
        <v>3</v>
      </c>
      <c r="T36" s="39">
        <f t="shared" si="28"/>
        <v>4</v>
      </c>
      <c r="U36" s="39">
        <f t="shared" si="28"/>
        <v>0</v>
      </c>
      <c r="V36" s="39">
        <f t="shared" si="28"/>
        <v>1</v>
      </c>
      <c r="W36" s="39">
        <f t="shared" si="28"/>
        <v>1</v>
      </c>
      <c r="X36" s="39">
        <f t="shared" si="28"/>
        <v>0</v>
      </c>
      <c r="Y36" s="39">
        <f t="shared" si="28"/>
        <v>4</v>
      </c>
      <c r="Z36" s="39">
        <f t="shared" si="28"/>
        <v>1</v>
      </c>
      <c r="AA36" s="39">
        <f t="shared" si="28"/>
        <v>0</v>
      </c>
      <c r="AB36" s="39">
        <f t="shared" si="28"/>
        <v>0</v>
      </c>
      <c r="AC36" s="39">
        <f t="shared" si="28"/>
        <v>76</v>
      </c>
      <c r="AD36" s="39">
        <f t="shared" si="28"/>
        <v>0</v>
      </c>
      <c r="AE36" s="40">
        <f t="shared" si="28"/>
        <v>7</v>
      </c>
      <c r="AF36" s="40">
        <f t="shared" si="28"/>
        <v>83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2</v>
      </c>
      <c r="K37" s="50">
        <v>0</v>
      </c>
      <c r="L37" s="50">
        <v>0</v>
      </c>
      <c r="M37" s="50">
        <v>13</v>
      </c>
      <c r="N37" s="50">
        <v>0</v>
      </c>
      <c r="O37" s="15">
        <f t="shared" si="0"/>
        <v>3</v>
      </c>
      <c r="P37" s="15">
        <f t="shared" si="1"/>
        <v>16</v>
      </c>
      <c r="R37" s="37" t="s">
        <v>85</v>
      </c>
      <c r="S37" s="35">
        <f t="shared" ref="S37:AF37" si="29">SUM(S10:S12)</f>
        <v>6</v>
      </c>
      <c r="T37" s="16">
        <f t="shared" si="29"/>
        <v>2</v>
      </c>
      <c r="U37" s="16">
        <f t="shared" si="29"/>
        <v>1</v>
      </c>
      <c r="V37" s="16">
        <f t="shared" si="29"/>
        <v>0</v>
      </c>
      <c r="W37" s="16">
        <f t="shared" si="29"/>
        <v>0</v>
      </c>
      <c r="X37" s="16">
        <f t="shared" si="29"/>
        <v>0</v>
      </c>
      <c r="Y37" s="16">
        <f t="shared" si="29"/>
        <v>4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123</v>
      </c>
      <c r="AD37" s="16">
        <f t="shared" si="29"/>
        <v>0</v>
      </c>
      <c r="AE37" s="32">
        <f t="shared" si="29"/>
        <v>13</v>
      </c>
      <c r="AF37" s="32">
        <f t="shared" si="29"/>
        <v>136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8</v>
      </c>
      <c r="N38" s="50">
        <v>0</v>
      </c>
      <c r="O38" s="15">
        <f t="shared" si="0"/>
        <v>3</v>
      </c>
      <c r="P38" s="15">
        <f t="shared" si="1"/>
        <v>11</v>
      </c>
      <c r="R38" s="28" t="s">
        <v>86</v>
      </c>
      <c r="S38" s="16">
        <f t="shared" ref="S38:AF38" si="30">SUM(S13:S18)</f>
        <v>15</v>
      </c>
      <c r="T38" s="16">
        <f t="shared" si="30"/>
        <v>7</v>
      </c>
      <c r="U38" s="16">
        <f t="shared" si="30"/>
        <v>5</v>
      </c>
      <c r="V38" s="16">
        <f t="shared" si="30"/>
        <v>1</v>
      </c>
      <c r="W38" s="16">
        <f t="shared" si="30"/>
        <v>0</v>
      </c>
      <c r="X38" s="16">
        <f t="shared" si="30"/>
        <v>1</v>
      </c>
      <c r="Y38" s="16">
        <f t="shared" si="30"/>
        <v>5</v>
      </c>
      <c r="Z38" s="16">
        <f t="shared" si="30"/>
        <v>3</v>
      </c>
      <c r="AA38" s="16">
        <f t="shared" si="30"/>
        <v>1</v>
      </c>
      <c r="AB38" s="16">
        <f t="shared" si="30"/>
        <v>0</v>
      </c>
      <c r="AC38" s="16">
        <f t="shared" si="30"/>
        <v>236</v>
      </c>
      <c r="AD38" s="16">
        <f t="shared" si="30"/>
        <v>0</v>
      </c>
      <c r="AE38" s="32">
        <f t="shared" si="30"/>
        <v>38</v>
      </c>
      <c r="AF38" s="32">
        <f t="shared" si="30"/>
        <v>274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12</v>
      </c>
      <c r="N39" s="50">
        <v>0</v>
      </c>
      <c r="O39" s="15">
        <f t="shared" si="0"/>
        <v>3</v>
      </c>
      <c r="P39" s="15">
        <f t="shared" si="1"/>
        <v>15</v>
      </c>
      <c r="R39" s="29" t="s">
        <v>87</v>
      </c>
      <c r="S39" s="16">
        <f t="shared" ref="S39:AF39" si="31">SUM(S19:S21)</f>
        <v>6</v>
      </c>
      <c r="T39" s="16">
        <f t="shared" si="31"/>
        <v>4</v>
      </c>
      <c r="U39" s="16">
        <f t="shared" si="31"/>
        <v>0</v>
      </c>
      <c r="V39" s="16">
        <f t="shared" si="31"/>
        <v>1</v>
      </c>
      <c r="W39" s="16">
        <f t="shared" si="31"/>
        <v>1</v>
      </c>
      <c r="X39" s="16">
        <f t="shared" si="31"/>
        <v>0</v>
      </c>
      <c r="Y39" s="16">
        <f t="shared" si="31"/>
        <v>6</v>
      </c>
      <c r="Z39" s="16">
        <f t="shared" si="31"/>
        <v>1</v>
      </c>
      <c r="AA39" s="16">
        <f t="shared" si="31"/>
        <v>0</v>
      </c>
      <c r="AB39" s="16">
        <f t="shared" si="31"/>
        <v>0</v>
      </c>
      <c r="AC39" s="16">
        <f t="shared" si="31"/>
        <v>186</v>
      </c>
      <c r="AD39" s="16">
        <f t="shared" si="31"/>
        <v>0</v>
      </c>
      <c r="AE39" s="32">
        <f t="shared" si="31"/>
        <v>19</v>
      </c>
      <c r="AF39" s="32">
        <f t="shared" si="31"/>
        <v>205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0</v>
      </c>
      <c r="P40" s="15">
        <f t="shared" si="1"/>
        <v>13</v>
      </c>
      <c r="R40" s="5" t="s">
        <v>17</v>
      </c>
      <c r="S40" s="16">
        <f t="shared" ref="S40:AF40" si="32">SUM(S10:S21)</f>
        <v>27</v>
      </c>
      <c r="T40" s="16">
        <f t="shared" si="32"/>
        <v>13</v>
      </c>
      <c r="U40" s="16">
        <f t="shared" si="32"/>
        <v>6</v>
      </c>
      <c r="V40" s="16">
        <f t="shared" si="32"/>
        <v>2</v>
      </c>
      <c r="W40" s="16">
        <f t="shared" si="32"/>
        <v>1</v>
      </c>
      <c r="X40" s="16">
        <f t="shared" si="32"/>
        <v>1</v>
      </c>
      <c r="Y40" s="16">
        <f t="shared" si="32"/>
        <v>15</v>
      </c>
      <c r="Z40" s="16">
        <f t="shared" si="32"/>
        <v>4</v>
      </c>
      <c r="AA40" s="16">
        <f t="shared" si="32"/>
        <v>1</v>
      </c>
      <c r="AB40" s="16">
        <f t="shared" si="32"/>
        <v>0</v>
      </c>
      <c r="AC40" s="16">
        <f t="shared" si="32"/>
        <v>545</v>
      </c>
      <c r="AD40" s="16">
        <f t="shared" si="32"/>
        <v>0</v>
      </c>
      <c r="AE40" s="32">
        <f t="shared" si="32"/>
        <v>70</v>
      </c>
      <c r="AF40" s="32">
        <f t="shared" si="32"/>
        <v>615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8</v>
      </c>
      <c r="N41" s="50">
        <v>0</v>
      </c>
      <c r="O41" s="15">
        <f t="shared" si="0"/>
        <v>0</v>
      </c>
      <c r="P41" s="15">
        <f t="shared" si="1"/>
        <v>8</v>
      </c>
      <c r="R41" s="5" t="s">
        <v>159</v>
      </c>
      <c r="S41" s="16">
        <f>SUM(S10:S33)</f>
        <v>54</v>
      </c>
      <c r="T41" s="16">
        <f t="shared" ref="T41:AF41" si="33">SUM(T10:T33)</f>
        <v>26</v>
      </c>
      <c r="U41" s="16">
        <f t="shared" si="33"/>
        <v>14</v>
      </c>
      <c r="V41" s="16">
        <f t="shared" si="33"/>
        <v>8</v>
      </c>
      <c r="W41" s="16">
        <f t="shared" si="33"/>
        <v>3</v>
      </c>
      <c r="X41" s="16">
        <f t="shared" si="33"/>
        <v>1</v>
      </c>
      <c r="Y41" s="16">
        <f t="shared" si="33"/>
        <v>23</v>
      </c>
      <c r="Z41" s="16">
        <f t="shared" si="33"/>
        <v>16</v>
      </c>
      <c r="AA41" s="16">
        <f t="shared" si="33"/>
        <v>5</v>
      </c>
      <c r="AB41" s="16">
        <f t="shared" si="33"/>
        <v>13</v>
      </c>
      <c r="AC41" s="16">
        <f t="shared" si="33"/>
        <v>709</v>
      </c>
      <c r="AD41" s="16">
        <f t="shared" si="33"/>
        <v>0</v>
      </c>
      <c r="AE41" s="32">
        <f t="shared" si="33"/>
        <v>163</v>
      </c>
      <c r="AF41" s="32">
        <f t="shared" si="33"/>
        <v>872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1</v>
      </c>
      <c r="I42" s="50">
        <v>0</v>
      </c>
      <c r="J42" s="50">
        <v>0</v>
      </c>
      <c r="K42" s="50">
        <v>0</v>
      </c>
      <c r="L42" s="50">
        <v>0</v>
      </c>
      <c r="M42" s="50">
        <v>15</v>
      </c>
      <c r="N42" s="50">
        <v>0</v>
      </c>
      <c r="O42" s="15">
        <f t="shared" si="0"/>
        <v>1</v>
      </c>
      <c r="P42" s="15">
        <f t="shared" si="1"/>
        <v>16</v>
      </c>
      <c r="R42" s="5" t="s">
        <v>160</v>
      </c>
      <c r="S42" s="48">
        <f>S41/S40</f>
        <v>2</v>
      </c>
      <c r="T42" s="48">
        <f t="shared" ref="T42:AF42" si="34">T41/T40</f>
        <v>2</v>
      </c>
      <c r="U42" s="48">
        <f t="shared" si="34"/>
        <v>2.3333333333333335</v>
      </c>
      <c r="V42" s="48">
        <f t="shared" si="34"/>
        <v>4</v>
      </c>
      <c r="W42" s="48">
        <f t="shared" si="34"/>
        <v>3</v>
      </c>
      <c r="X42" s="48">
        <f t="shared" si="34"/>
        <v>1</v>
      </c>
      <c r="Y42" s="48">
        <f t="shared" si="34"/>
        <v>1.5333333333333334</v>
      </c>
      <c r="Z42" s="48">
        <f t="shared" si="34"/>
        <v>4</v>
      </c>
      <c r="AA42" s="48">
        <f t="shared" si="34"/>
        <v>5</v>
      </c>
      <c r="AB42" s="48" t="e">
        <f t="shared" si="34"/>
        <v>#DIV/0!</v>
      </c>
      <c r="AC42" s="48">
        <f t="shared" si="34"/>
        <v>1.3009174311926606</v>
      </c>
      <c r="AD42" s="48" t="e">
        <f t="shared" si="34"/>
        <v>#DIV/0!</v>
      </c>
      <c r="AE42" s="48">
        <f t="shared" si="34"/>
        <v>2.3285714285714287</v>
      </c>
      <c r="AF42" s="48">
        <f t="shared" si="34"/>
        <v>1.4178861788617887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20</v>
      </c>
      <c r="N43" s="50">
        <v>0</v>
      </c>
      <c r="O43" s="15">
        <f t="shared" si="0"/>
        <v>0</v>
      </c>
      <c r="P43" s="15">
        <f t="shared" si="1"/>
        <v>20</v>
      </c>
    </row>
    <row r="44" spans="2:32" ht="23.1" customHeight="1" x14ac:dyDescent="0.25">
      <c r="B44" s="47" t="s">
        <v>71</v>
      </c>
      <c r="C44" s="50">
        <v>3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4</v>
      </c>
      <c r="P44" s="15">
        <f t="shared" si="1"/>
        <v>19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1</v>
      </c>
      <c r="P45" s="15">
        <f t="shared" si="1"/>
        <v>17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7</v>
      </c>
      <c r="N46" s="50">
        <v>0</v>
      </c>
      <c r="O46" s="15">
        <f t="shared" si="0"/>
        <v>0</v>
      </c>
      <c r="P46" s="15">
        <f t="shared" si="1"/>
        <v>7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1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20</v>
      </c>
      <c r="N47" s="50">
        <v>0</v>
      </c>
      <c r="O47" s="15">
        <f t="shared" si="0"/>
        <v>2</v>
      </c>
      <c r="P47" s="15">
        <f t="shared" si="1"/>
        <v>22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4</v>
      </c>
      <c r="P48" s="15">
        <f t="shared" si="1"/>
        <v>17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14</v>
      </c>
      <c r="N49" s="50">
        <v>0</v>
      </c>
      <c r="O49" s="15">
        <f t="shared" si="0"/>
        <v>1</v>
      </c>
      <c r="P49" s="15">
        <f t="shared" si="1"/>
        <v>15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1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18</v>
      </c>
      <c r="N50" s="50">
        <v>0</v>
      </c>
      <c r="O50" s="15">
        <f t="shared" si="0"/>
        <v>1</v>
      </c>
      <c r="P50" s="15">
        <f t="shared" si="1"/>
        <v>19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24</v>
      </c>
      <c r="N51" s="50">
        <v>0</v>
      </c>
      <c r="O51" s="15">
        <f t="shared" si="0"/>
        <v>2</v>
      </c>
      <c r="P51" s="15">
        <f t="shared" si="1"/>
        <v>26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20</v>
      </c>
      <c r="N52" s="50">
        <v>0</v>
      </c>
      <c r="O52" s="15">
        <f t="shared" si="0"/>
        <v>2</v>
      </c>
      <c r="P52" s="15">
        <f t="shared" si="1"/>
        <v>22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14</v>
      </c>
      <c r="N53" s="50">
        <v>0</v>
      </c>
      <c r="O53" s="15">
        <f t="shared" si="0"/>
        <v>2</v>
      </c>
      <c r="P53" s="15">
        <f t="shared" si="1"/>
        <v>16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9</v>
      </c>
      <c r="N54" s="50">
        <v>0</v>
      </c>
      <c r="O54" s="15">
        <f t="shared" si="0"/>
        <v>3</v>
      </c>
      <c r="P54" s="15">
        <f t="shared" si="1"/>
        <v>12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16</v>
      </c>
      <c r="N55" s="50">
        <v>0</v>
      </c>
      <c r="O55" s="15">
        <f t="shared" si="0"/>
        <v>2</v>
      </c>
      <c r="P55" s="15">
        <f t="shared" si="1"/>
        <v>18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0</v>
      </c>
      <c r="P56" s="15">
        <f t="shared" si="1"/>
        <v>17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14</v>
      </c>
      <c r="N57" s="50">
        <v>0</v>
      </c>
      <c r="O57" s="15">
        <f t="shared" si="0"/>
        <v>0</v>
      </c>
      <c r="P57" s="15">
        <f t="shared" si="1"/>
        <v>14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0</v>
      </c>
      <c r="E58" s="50">
        <v>0</v>
      </c>
      <c r="F58" s="50">
        <v>1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19</v>
      </c>
      <c r="N58" s="50">
        <v>0</v>
      </c>
      <c r="O58" s="15">
        <f t="shared" si="0"/>
        <v>5</v>
      </c>
      <c r="P58" s="15">
        <f t="shared" si="1"/>
        <v>24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20</v>
      </c>
      <c r="N59" s="50">
        <v>0</v>
      </c>
      <c r="O59" s="15">
        <f t="shared" si="0"/>
        <v>2</v>
      </c>
      <c r="P59" s="15">
        <f t="shared" si="1"/>
        <v>22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1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26</v>
      </c>
      <c r="N60" s="50">
        <v>0</v>
      </c>
      <c r="O60" s="15">
        <f t="shared" si="0"/>
        <v>2</v>
      </c>
      <c r="P60" s="15">
        <f t="shared" si="1"/>
        <v>28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2</v>
      </c>
      <c r="F61" s="50">
        <v>1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13</v>
      </c>
      <c r="N61" s="50">
        <v>0</v>
      </c>
      <c r="O61" s="15">
        <f t="shared" si="0"/>
        <v>6</v>
      </c>
      <c r="P61" s="15">
        <f t="shared" si="1"/>
        <v>19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0</v>
      </c>
      <c r="F62" s="50">
        <v>1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13</v>
      </c>
      <c r="N62" s="50">
        <v>0</v>
      </c>
      <c r="O62" s="15">
        <f t="shared" si="0"/>
        <v>3</v>
      </c>
      <c r="P62" s="15">
        <f t="shared" si="1"/>
        <v>16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10</v>
      </c>
      <c r="N63" s="50">
        <v>0</v>
      </c>
      <c r="O63" s="15">
        <f t="shared" si="0"/>
        <v>2</v>
      </c>
      <c r="P63" s="15">
        <f t="shared" si="1"/>
        <v>12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1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2</v>
      </c>
      <c r="K64" s="50">
        <v>0</v>
      </c>
      <c r="L64" s="50">
        <v>0</v>
      </c>
      <c r="M64" s="50">
        <v>13</v>
      </c>
      <c r="N64" s="50">
        <v>0</v>
      </c>
      <c r="O64" s="15">
        <f t="shared" si="0"/>
        <v>3</v>
      </c>
      <c r="P64" s="15">
        <f t="shared" si="1"/>
        <v>16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2</v>
      </c>
      <c r="J65" s="50">
        <v>0</v>
      </c>
      <c r="K65" s="50">
        <v>0</v>
      </c>
      <c r="L65" s="50">
        <v>0</v>
      </c>
      <c r="M65" s="50">
        <v>3</v>
      </c>
      <c r="N65" s="50">
        <v>0</v>
      </c>
      <c r="O65" s="15">
        <f t="shared" si="0"/>
        <v>2</v>
      </c>
      <c r="P65" s="15">
        <f t="shared" si="1"/>
        <v>5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5</v>
      </c>
      <c r="N66" s="50">
        <v>0</v>
      </c>
      <c r="O66" s="15">
        <f t="shared" si="0"/>
        <v>1</v>
      </c>
      <c r="P66" s="15">
        <f t="shared" si="1"/>
        <v>6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3</v>
      </c>
      <c r="N67" s="50">
        <v>0</v>
      </c>
      <c r="O67" s="15">
        <f t="shared" si="0"/>
        <v>0</v>
      </c>
      <c r="P67" s="15">
        <f t="shared" si="1"/>
        <v>3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1</v>
      </c>
      <c r="L68" s="50">
        <v>0</v>
      </c>
      <c r="M68" s="50">
        <v>2</v>
      </c>
      <c r="N68" s="50">
        <v>0</v>
      </c>
      <c r="O68" s="15">
        <f t="shared" si="0"/>
        <v>2</v>
      </c>
      <c r="P68" s="15">
        <f t="shared" si="1"/>
        <v>4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5</v>
      </c>
      <c r="N69" s="50">
        <v>0</v>
      </c>
      <c r="O69" s="15">
        <f t="shared" si="0"/>
        <v>2</v>
      </c>
      <c r="P69" s="15">
        <f t="shared" si="1"/>
        <v>7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2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3</v>
      </c>
      <c r="N70" s="50">
        <v>0</v>
      </c>
      <c r="O70" s="15">
        <f t="shared" si="0"/>
        <v>2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1</v>
      </c>
      <c r="M71" s="50">
        <v>4</v>
      </c>
      <c r="N71" s="50">
        <v>0</v>
      </c>
      <c r="O71" s="15">
        <f t="shared" si="0"/>
        <v>2</v>
      </c>
      <c r="P71" s="15">
        <f t="shared" si="1"/>
        <v>6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1</v>
      </c>
      <c r="E72" s="50">
        <v>1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6</v>
      </c>
      <c r="N72" s="50">
        <v>0</v>
      </c>
      <c r="O72" s="15">
        <f t="shared" si="0"/>
        <v>3</v>
      </c>
      <c r="P72" s="15">
        <f t="shared" si="1"/>
        <v>9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0</v>
      </c>
      <c r="P73" s="15">
        <f t="shared" si="1"/>
        <v>2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2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1</v>
      </c>
      <c r="K74" s="50">
        <v>0</v>
      </c>
      <c r="L74" s="50">
        <v>0</v>
      </c>
      <c r="M74" s="50">
        <v>1</v>
      </c>
      <c r="N74" s="50">
        <v>0</v>
      </c>
      <c r="O74" s="15">
        <f t="shared" ref="O74:O105" si="35">SUM(C74:L74,N74)</f>
        <v>4</v>
      </c>
      <c r="P74" s="15">
        <f t="shared" ref="P74:P105" si="36">SUM(C74:N74)</f>
        <v>5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1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2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1</v>
      </c>
      <c r="P76" s="15">
        <f t="shared" si="36"/>
        <v>1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0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1</v>
      </c>
      <c r="M78" s="50">
        <v>2</v>
      </c>
      <c r="N78" s="50">
        <v>0</v>
      </c>
      <c r="O78" s="15">
        <f t="shared" si="35"/>
        <v>3</v>
      </c>
      <c r="P78" s="15">
        <f t="shared" si="36"/>
        <v>5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2</v>
      </c>
      <c r="M81" s="50">
        <v>0</v>
      </c>
      <c r="N81" s="50">
        <v>0</v>
      </c>
      <c r="O81" s="15">
        <f t="shared" si="35"/>
        <v>4</v>
      </c>
      <c r="P81" s="15">
        <f t="shared" si="36"/>
        <v>4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2</v>
      </c>
      <c r="M83" s="50">
        <v>0</v>
      </c>
      <c r="N83" s="50"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1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1</v>
      </c>
      <c r="M87" s="50">
        <v>0</v>
      </c>
      <c r="N87" s="50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1</v>
      </c>
      <c r="M90" s="50">
        <v>0</v>
      </c>
      <c r="N90" s="50">
        <v>0</v>
      </c>
      <c r="O90" s="15">
        <f t="shared" si="35"/>
        <v>4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2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2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1</v>
      </c>
      <c r="L93" s="50">
        <v>0</v>
      </c>
      <c r="M93" s="50">
        <v>0</v>
      </c>
      <c r="N93" s="50">
        <v>0</v>
      </c>
      <c r="O93" s="15">
        <f t="shared" si="35"/>
        <v>3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2</v>
      </c>
      <c r="K96" s="50">
        <v>0</v>
      </c>
      <c r="L96" s="50">
        <v>1</v>
      </c>
      <c r="M96" s="50">
        <v>0</v>
      </c>
      <c r="N96" s="50"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1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3</v>
      </c>
      <c r="N97" s="50">
        <v>0</v>
      </c>
      <c r="O97" s="15">
        <f t="shared" si="35"/>
        <v>2</v>
      </c>
      <c r="P97" s="15">
        <f t="shared" si="36"/>
        <v>5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2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2</v>
      </c>
      <c r="P100" s="15">
        <f t="shared" si="36"/>
        <v>2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1</v>
      </c>
      <c r="F101" s="50">
        <v>0</v>
      </c>
      <c r="G101" s="50">
        <v>0</v>
      </c>
      <c r="H101" s="50">
        <v>0</v>
      </c>
      <c r="I101" s="50">
        <v>1</v>
      </c>
      <c r="J101" s="50">
        <v>2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5</v>
      </c>
      <c r="P101" s="15">
        <f t="shared" si="36"/>
        <v>7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1</v>
      </c>
      <c r="E102" s="50">
        <v>1</v>
      </c>
      <c r="F102" s="50">
        <v>0</v>
      </c>
      <c r="G102" s="50">
        <v>0</v>
      </c>
      <c r="H102" s="50">
        <v>0</v>
      </c>
      <c r="I102" s="50">
        <v>0</v>
      </c>
      <c r="J102" s="50">
        <v>1</v>
      </c>
      <c r="K102" s="50">
        <v>1</v>
      </c>
      <c r="L102" s="50">
        <v>0</v>
      </c>
      <c r="M102" s="50">
        <v>4</v>
      </c>
      <c r="N102" s="50">
        <v>0</v>
      </c>
      <c r="O102" s="15">
        <f t="shared" si="35"/>
        <v>4</v>
      </c>
      <c r="P102" s="15">
        <f t="shared" si="36"/>
        <v>8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</v>
      </c>
      <c r="N103" s="50">
        <v>0</v>
      </c>
      <c r="O103" s="15">
        <f t="shared" si="35"/>
        <v>0</v>
      </c>
      <c r="P103" s="15">
        <f t="shared" si="36"/>
        <v>1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2</v>
      </c>
      <c r="G104" s="50">
        <v>2</v>
      </c>
      <c r="H104" s="50">
        <v>0</v>
      </c>
      <c r="I104" s="50">
        <v>0</v>
      </c>
      <c r="J104" s="50">
        <v>0</v>
      </c>
      <c r="K104" s="50">
        <v>1</v>
      </c>
      <c r="L104" s="50">
        <v>0</v>
      </c>
      <c r="M104" s="50">
        <v>0</v>
      </c>
      <c r="N104" s="50">
        <v>0</v>
      </c>
      <c r="O104" s="15">
        <f t="shared" si="35"/>
        <v>6</v>
      </c>
      <c r="P104" s="15">
        <f t="shared" si="36"/>
        <v>6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1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1</v>
      </c>
      <c r="P105" s="15">
        <f t="shared" si="36"/>
        <v>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54</v>
      </c>
      <c r="D106" s="16">
        <f t="shared" ref="D106:P106" si="37">SUM(D10:D105)</f>
        <v>26</v>
      </c>
      <c r="E106" s="16">
        <f t="shared" si="37"/>
        <v>14</v>
      </c>
      <c r="F106" s="16">
        <f t="shared" si="37"/>
        <v>8</v>
      </c>
      <c r="G106" s="16">
        <f t="shared" si="37"/>
        <v>3</v>
      </c>
      <c r="H106" s="16">
        <f t="shared" si="37"/>
        <v>1</v>
      </c>
      <c r="I106" s="16">
        <f t="shared" si="37"/>
        <v>23</v>
      </c>
      <c r="J106" s="16">
        <f t="shared" si="37"/>
        <v>16</v>
      </c>
      <c r="K106" s="16">
        <f t="shared" si="37"/>
        <v>5</v>
      </c>
      <c r="L106" s="16">
        <f t="shared" si="37"/>
        <v>13</v>
      </c>
      <c r="M106" s="16">
        <f t="shared" si="37"/>
        <v>709</v>
      </c>
      <c r="N106" s="16">
        <f t="shared" si="37"/>
        <v>0</v>
      </c>
      <c r="O106" s="16">
        <f t="shared" si="37"/>
        <v>163</v>
      </c>
      <c r="P106" s="16">
        <f t="shared" si="37"/>
        <v>872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6.1926605504587159E-2</v>
      </c>
      <c r="D107" s="43">
        <f t="shared" si="38"/>
        <v>2.9816513761467892E-2</v>
      </c>
      <c r="E107" s="43">
        <f t="shared" si="38"/>
        <v>1.6055045871559634E-2</v>
      </c>
      <c r="F107" s="43">
        <f t="shared" si="38"/>
        <v>9.1743119266055051E-3</v>
      </c>
      <c r="G107" s="43">
        <f t="shared" si="38"/>
        <v>3.4403669724770644E-3</v>
      </c>
      <c r="H107" s="43">
        <f t="shared" si="38"/>
        <v>1.1467889908256881E-3</v>
      </c>
      <c r="I107" s="43">
        <f t="shared" si="38"/>
        <v>2.6376146788990827E-2</v>
      </c>
      <c r="J107" s="43">
        <f t="shared" si="38"/>
        <v>1.834862385321101E-2</v>
      </c>
      <c r="K107" s="43">
        <f t="shared" si="38"/>
        <v>5.7339449541284407E-3</v>
      </c>
      <c r="L107" s="43">
        <f t="shared" si="38"/>
        <v>1.4908256880733946E-2</v>
      </c>
      <c r="M107" s="43">
        <f t="shared" si="38"/>
        <v>0.81307339449541283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0.33128834355828218</v>
      </c>
      <c r="D108" s="44">
        <f t="shared" ref="D108:N108" si="39">D106/$O$106</f>
        <v>0.15950920245398773</v>
      </c>
      <c r="E108" s="44">
        <f t="shared" si="39"/>
        <v>8.5889570552147243E-2</v>
      </c>
      <c r="F108" s="44">
        <f t="shared" si="39"/>
        <v>4.9079754601226995E-2</v>
      </c>
      <c r="G108" s="44">
        <f t="shared" si="39"/>
        <v>1.8404907975460124E-2</v>
      </c>
      <c r="H108" s="44">
        <f t="shared" si="39"/>
        <v>6.1349693251533744E-3</v>
      </c>
      <c r="I108" s="44">
        <f t="shared" si="39"/>
        <v>0.1411042944785276</v>
      </c>
      <c r="J108" s="44">
        <f t="shared" si="39"/>
        <v>9.815950920245399E-2</v>
      </c>
      <c r="K108" s="44">
        <f t="shared" si="39"/>
        <v>3.0674846625766871E-2</v>
      </c>
      <c r="L108" s="44">
        <f t="shared" si="39"/>
        <v>7.9754601226993863E-2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">
        <v>169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175</v>
      </c>
      <c r="E5" s="3"/>
      <c r="F5" s="41" t="s">
        <v>1</v>
      </c>
      <c r="G5" s="64" t="str">
        <f>'20.10  BUSUNJU-MITYANA'!G5:H5</f>
        <v>EXCEL&amp;LOOGE</v>
      </c>
      <c r="H5" s="65"/>
      <c r="I5" s="51"/>
      <c r="J5" s="2" t="s">
        <v>5</v>
      </c>
      <c r="K5" s="64" t="s">
        <v>176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">
        <v>166</v>
      </c>
      <c r="E6" s="65"/>
      <c r="F6" s="2" t="s">
        <v>2</v>
      </c>
      <c r="G6" s="64" t="s">
        <v>170</v>
      </c>
      <c r="H6" s="65"/>
      <c r="J6" s="2" t="s">
        <v>21</v>
      </c>
      <c r="K6" s="64" t="str">
        <f>'20.10  BUSUNJU-MITYANA'!K6:L6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4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19</v>
      </c>
      <c r="AD10" s="17">
        <f t="shared" si="2"/>
        <v>0</v>
      </c>
      <c r="AE10" s="31">
        <f t="shared" si="2"/>
        <v>1</v>
      </c>
      <c r="AF10" s="31">
        <f t="shared" si="2"/>
        <v>20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</v>
      </c>
      <c r="N11" s="50">
        <v>0</v>
      </c>
      <c r="O11" s="15">
        <f t="shared" si="0"/>
        <v>0</v>
      </c>
      <c r="P11" s="15">
        <f t="shared" si="1"/>
        <v>1</v>
      </c>
      <c r="R11" s="1" t="s">
        <v>7</v>
      </c>
      <c r="S11" s="17">
        <f t="shared" ref="S11:AF11" si="3">SUM(C14:C17)</f>
        <v>1</v>
      </c>
      <c r="T11" s="17">
        <f t="shared" si="3"/>
        <v>2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30</v>
      </c>
      <c r="AD11" s="17">
        <f t="shared" si="3"/>
        <v>0</v>
      </c>
      <c r="AE11" s="31">
        <f t="shared" si="3"/>
        <v>8</v>
      </c>
      <c r="AF11" s="31">
        <f t="shared" si="3"/>
        <v>38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6</v>
      </c>
      <c r="N12" s="50">
        <v>0</v>
      </c>
      <c r="O12" s="15">
        <f t="shared" si="0"/>
        <v>0</v>
      </c>
      <c r="P12" s="15">
        <f t="shared" si="1"/>
        <v>6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33</v>
      </c>
      <c r="AD12" s="17">
        <f t="shared" si="4"/>
        <v>0</v>
      </c>
      <c r="AE12" s="31">
        <f t="shared" si="4"/>
        <v>6</v>
      </c>
      <c r="AF12" s="31">
        <f t="shared" si="4"/>
        <v>39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1</v>
      </c>
      <c r="P13" s="15">
        <f t="shared" si="1"/>
        <v>9</v>
      </c>
      <c r="R13" s="1" t="s">
        <v>9</v>
      </c>
      <c r="S13" s="17">
        <f t="shared" ref="S13:AF13" si="5">SUM(C22:C25)</f>
        <v>5</v>
      </c>
      <c r="T13" s="17">
        <f t="shared" si="5"/>
        <v>1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42</v>
      </c>
      <c r="AD13" s="17">
        <f t="shared" si="5"/>
        <v>0</v>
      </c>
      <c r="AE13" s="31">
        <f t="shared" si="5"/>
        <v>11</v>
      </c>
      <c r="AF13" s="31">
        <f t="shared" si="5"/>
        <v>53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2</v>
      </c>
      <c r="P14" s="15">
        <f t="shared" si="1"/>
        <v>6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1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48</v>
      </c>
      <c r="AD14" s="17">
        <f t="shared" si="6"/>
        <v>0</v>
      </c>
      <c r="AE14" s="31">
        <f t="shared" si="6"/>
        <v>14</v>
      </c>
      <c r="AF14" s="31">
        <f t="shared" si="6"/>
        <v>62</v>
      </c>
    </row>
    <row r="15" spans="2:32" ht="23.1" customHeight="1" x14ac:dyDescent="0.25">
      <c r="B15" s="23" t="s">
        <v>42</v>
      </c>
      <c r="C15" s="50">
        <v>0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14</v>
      </c>
      <c r="N15" s="50">
        <v>0</v>
      </c>
      <c r="O15" s="15">
        <f t="shared" si="0"/>
        <v>1</v>
      </c>
      <c r="P15" s="15">
        <f t="shared" si="1"/>
        <v>15</v>
      </c>
      <c r="R15" s="1" t="s">
        <v>11</v>
      </c>
      <c r="S15" s="17">
        <f t="shared" ref="S15:AF15" si="7">SUM(C30:C33)</f>
        <v>1</v>
      </c>
      <c r="T15" s="17">
        <f t="shared" si="7"/>
        <v>3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57</v>
      </c>
      <c r="AD15" s="17">
        <f t="shared" si="7"/>
        <v>0</v>
      </c>
      <c r="AE15" s="31">
        <f t="shared" si="7"/>
        <v>9</v>
      </c>
      <c r="AF15" s="31">
        <f t="shared" si="7"/>
        <v>66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7</v>
      </c>
      <c r="N16" s="50">
        <v>0</v>
      </c>
      <c r="O16" s="15">
        <f t="shared" si="0"/>
        <v>1</v>
      </c>
      <c r="P16" s="15">
        <f t="shared" si="1"/>
        <v>8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1</v>
      </c>
      <c r="X16" s="17">
        <f t="shared" si="8"/>
        <v>0</v>
      </c>
      <c r="Y16" s="17">
        <f t="shared" si="8"/>
        <v>4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73</v>
      </c>
      <c r="AD16" s="17">
        <f t="shared" si="8"/>
        <v>0</v>
      </c>
      <c r="AE16" s="31">
        <f t="shared" si="8"/>
        <v>13</v>
      </c>
      <c r="AF16" s="31">
        <f t="shared" si="8"/>
        <v>86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3</v>
      </c>
      <c r="J17" s="50">
        <v>0</v>
      </c>
      <c r="K17" s="50">
        <v>1</v>
      </c>
      <c r="L17" s="50">
        <v>0</v>
      </c>
      <c r="M17" s="50">
        <v>5</v>
      </c>
      <c r="N17" s="50">
        <v>0</v>
      </c>
      <c r="O17" s="15">
        <f t="shared" si="0"/>
        <v>4</v>
      </c>
      <c r="P17" s="15">
        <f t="shared" si="1"/>
        <v>9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49</v>
      </c>
      <c r="AD17" s="17">
        <f t="shared" si="9"/>
        <v>0</v>
      </c>
      <c r="AE17" s="31">
        <f t="shared" si="9"/>
        <v>7</v>
      </c>
      <c r="AF17" s="31">
        <f t="shared" si="9"/>
        <v>56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5</v>
      </c>
      <c r="N18" s="50">
        <v>0</v>
      </c>
      <c r="O18" s="15">
        <f t="shared" si="0"/>
        <v>2</v>
      </c>
      <c r="P18" s="15">
        <f t="shared" si="1"/>
        <v>7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3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54</v>
      </c>
      <c r="AD18" s="17">
        <f t="shared" si="10"/>
        <v>0</v>
      </c>
      <c r="AE18" s="31">
        <f t="shared" si="10"/>
        <v>8</v>
      </c>
      <c r="AF18" s="31">
        <f t="shared" si="10"/>
        <v>62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1</v>
      </c>
      <c r="P19" s="15">
        <f t="shared" si="1"/>
        <v>8</v>
      </c>
      <c r="R19" s="1" t="s">
        <v>15</v>
      </c>
      <c r="S19" s="17">
        <f t="shared" ref="S19:AF19" si="11">SUM(C46:C49)</f>
        <v>5</v>
      </c>
      <c r="T19" s="17">
        <f t="shared" si="11"/>
        <v>1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60</v>
      </c>
      <c r="AD19" s="17">
        <f t="shared" si="11"/>
        <v>0</v>
      </c>
      <c r="AE19" s="31">
        <f t="shared" si="11"/>
        <v>8</v>
      </c>
      <c r="AF19" s="31">
        <f t="shared" si="11"/>
        <v>68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1</v>
      </c>
      <c r="P20" s="15">
        <f t="shared" si="1"/>
        <v>6</v>
      </c>
      <c r="R20" s="1" t="s">
        <v>16</v>
      </c>
      <c r="S20" s="17">
        <f t="shared" ref="S20:AF20" si="12">SUM(C50:C53)</f>
        <v>0</v>
      </c>
      <c r="T20" s="17">
        <f t="shared" si="12"/>
        <v>0</v>
      </c>
      <c r="U20" s="17">
        <f t="shared" si="12"/>
        <v>1</v>
      </c>
      <c r="V20" s="17">
        <f t="shared" si="12"/>
        <v>1</v>
      </c>
      <c r="W20" s="17">
        <f t="shared" si="12"/>
        <v>1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1</v>
      </c>
      <c r="AB20" s="17">
        <f t="shared" si="12"/>
        <v>1</v>
      </c>
      <c r="AC20" s="17">
        <f t="shared" si="12"/>
        <v>61</v>
      </c>
      <c r="AD20" s="17">
        <f t="shared" si="12"/>
        <v>0</v>
      </c>
      <c r="AE20" s="31">
        <f t="shared" si="12"/>
        <v>6</v>
      </c>
      <c r="AF20" s="31">
        <f t="shared" si="12"/>
        <v>67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16</v>
      </c>
      <c r="N21" s="50">
        <v>0</v>
      </c>
      <c r="O21" s="15">
        <f t="shared" si="0"/>
        <v>2</v>
      </c>
      <c r="P21" s="15">
        <f t="shared" si="1"/>
        <v>18</v>
      </c>
      <c r="R21" s="36" t="s">
        <v>20</v>
      </c>
      <c r="S21" s="34">
        <f t="shared" ref="S21:AF21" si="13">SUM(C54:C57)</f>
        <v>6</v>
      </c>
      <c r="T21" s="17">
        <f t="shared" si="13"/>
        <v>0</v>
      </c>
      <c r="U21" s="17">
        <f t="shared" si="13"/>
        <v>3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52</v>
      </c>
      <c r="AD21" s="17">
        <f t="shared" si="13"/>
        <v>0</v>
      </c>
      <c r="AE21" s="31">
        <f t="shared" si="13"/>
        <v>12</v>
      </c>
      <c r="AF21" s="31">
        <f t="shared" si="13"/>
        <v>64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11</v>
      </c>
      <c r="N22" s="50">
        <v>0</v>
      </c>
      <c r="O22" s="15">
        <f t="shared" si="0"/>
        <v>5</v>
      </c>
      <c r="P22" s="15">
        <f t="shared" si="1"/>
        <v>16</v>
      </c>
      <c r="R22" s="38" t="s">
        <v>90</v>
      </c>
      <c r="S22" s="39">
        <f>MAX(S10:S12)</f>
        <v>3</v>
      </c>
      <c r="T22" s="39">
        <f t="shared" ref="T22:AF22" si="14">MAX(T10:T12)</f>
        <v>2</v>
      </c>
      <c r="U22" s="39">
        <f t="shared" si="14"/>
        <v>1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33</v>
      </c>
      <c r="AD22" s="39">
        <f t="shared" si="14"/>
        <v>0</v>
      </c>
      <c r="AE22" s="40">
        <f t="shared" si="14"/>
        <v>8</v>
      </c>
      <c r="AF22" s="40">
        <f t="shared" si="14"/>
        <v>39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1</v>
      </c>
      <c r="L23" s="50">
        <v>0</v>
      </c>
      <c r="M23" s="50">
        <v>13</v>
      </c>
      <c r="N23" s="50">
        <v>0</v>
      </c>
      <c r="O23" s="15">
        <f t="shared" si="0"/>
        <v>2</v>
      </c>
      <c r="P23" s="15">
        <f t="shared" si="1"/>
        <v>15</v>
      </c>
      <c r="R23" s="38" t="s">
        <v>91</v>
      </c>
      <c r="S23" s="39">
        <f>MAX(S13:S18)</f>
        <v>8</v>
      </c>
      <c r="T23" s="39">
        <f t="shared" ref="T23:AF23" si="15">MAX(T13:T18)</f>
        <v>3</v>
      </c>
      <c r="U23" s="39">
        <f t="shared" si="15"/>
        <v>3</v>
      </c>
      <c r="V23" s="39">
        <f t="shared" si="15"/>
        <v>1</v>
      </c>
      <c r="W23" s="39">
        <f t="shared" si="15"/>
        <v>1</v>
      </c>
      <c r="X23" s="39">
        <f t="shared" si="15"/>
        <v>0</v>
      </c>
      <c r="Y23" s="39">
        <f t="shared" si="15"/>
        <v>4</v>
      </c>
      <c r="Z23" s="39">
        <f t="shared" si="15"/>
        <v>1</v>
      </c>
      <c r="AA23" s="39">
        <f t="shared" si="15"/>
        <v>1</v>
      </c>
      <c r="AB23" s="39">
        <f t="shared" si="15"/>
        <v>0</v>
      </c>
      <c r="AC23" s="39">
        <f t="shared" si="15"/>
        <v>73</v>
      </c>
      <c r="AD23" s="39">
        <f t="shared" si="15"/>
        <v>0</v>
      </c>
      <c r="AE23" s="40">
        <f t="shared" si="15"/>
        <v>14</v>
      </c>
      <c r="AF23" s="40">
        <f t="shared" si="15"/>
        <v>86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12</v>
      </c>
      <c r="N24" s="50">
        <v>0</v>
      </c>
      <c r="O24" s="15">
        <f t="shared" si="0"/>
        <v>2</v>
      </c>
      <c r="P24" s="15">
        <f t="shared" si="1"/>
        <v>14</v>
      </c>
      <c r="R24" s="38" t="s">
        <v>92</v>
      </c>
      <c r="S24" s="39">
        <f>MAX(S19:S21)</f>
        <v>6</v>
      </c>
      <c r="T24" s="39">
        <f t="shared" ref="T24:AF24" si="16">MAX(T19:T21)</f>
        <v>1</v>
      </c>
      <c r="U24" s="39">
        <f t="shared" si="16"/>
        <v>3</v>
      </c>
      <c r="V24" s="39">
        <f t="shared" si="16"/>
        <v>1</v>
      </c>
      <c r="W24" s="39">
        <f t="shared" si="16"/>
        <v>1</v>
      </c>
      <c r="X24" s="39">
        <f t="shared" si="16"/>
        <v>0</v>
      </c>
      <c r="Y24" s="39">
        <f t="shared" si="16"/>
        <v>1</v>
      </c>
      <c r="Z24" s="39">
        <f t="shared" si="16"/>
        <v>1</v>
      </c>
      <c r="AA24" s="39">
        <f t="shared" si="16"/>
        <v>1</v>
      </c>
      <c r="AB24" s="39">
        <f t="shared" si="16"/>
        <v>1</v>
      </c>
      <c r="AC24" s="39">
        <f t="shared" si="16"/>
        <v>61</v>
      </c>
      <c r="AD24" s="39">
        <f t="shared" si="16"/>
        <v>0</v>
      </c>
      <c r="AE24" s="40">
        <f t="shared" si="16"/>
        <v>12</v>
      </c>
      <c r="AF24" s="40">
        <f t="shared" si="16"/>
        <v>68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6</v>
      </c>
      <c r="N25" s="50">
        <v>0</v>
      </c>
      <c r="O25" s="15">
        <f t="shared" si="0"/>
        <v>2</v>
      </c>
      <c r="P25" s="15">
        <f t="shared" si="1"/>
        <v>8</v>
      </c>
      <c r="R25" s="37" t="s">
        <v>85</v>
      </c>
      <c r="S25" s="35">
        <f t="shared" ref="S25:AF25" si="17">SUM(S10:S12)</f>
        <v>5</v>
      </c>
      <c r="T25" s="16">
        <f t="shared" si="17"/>
        <v>2</v>
      </c>
      <c r="U25" s="16">
        <f t="shared" si="17"/>
        <v>1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0</v>
      </c>
      <c r="AA25" s="16">
        <f t="shared" si="17"/>
        <v>1</v>
      </c>
      <c r="AB25" s="16">
        <f t="shared" si="17"/>
        <v>0</v>
      </c>
      <c r="AC25" s="16">
        <f t="shared" si="17"/>
        <v>82</v>
      </c>
      <c r="AD25" s="16">
        <f t="shared" si="17"/>
        <v>0</v>
      </c>
      <c r="AE25" s="32">
        <f t="shared" si="17"/>
        <v>15</v>
      </c>
      <c r="AF25" s="32">
        <f t="shared" si="17"/>
        <v>97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1</v>
      </c>
      <c r="L26" s="50">
        <v>0</v>
      </c>
      <c r="M26" s="50">
        <v>7</v>
      </c>
      <c r="N26" s="50">
        <v>0</v>
      </c>
      <c r="O26" s="15">
        <f t="shared" si="0"/>
        <v>6</v>
      </c>
      <c r="P26" s="15">
        <f t="shared" si="1"/>
        <v>13</v>
      </c>
      <c r="R26" s="28" t="s">
        <v>86</v>
      </c>
      <c r="S26" s="16">
        <f t="shared" ref="S26:AF26" si="18">SUM(S13:S18)</f>
        <v>26</v>
      </c>
      <c r="T26" s="16">
        <f t="shared" si="18"/>
        <v>4</v>
      </c>
      <c r="U26" s="16">
        <f t="shared" si="18"/>
        <v>10</v>
      </c>
      <c r="V26" s="16">
        <f t="shared" si="18"/>
        <v>3</v>
      </c>
      <c r="W26" s="16">
        <f t="shared" si="18"/>
        <v>2</v>
      </c>
      <c r="X26" s="16">
        <f t="shared" si="18"/>
        <v>0</v>
      </c>
      <c r="Y26" s="16">
        <f t="shared" si="18"/>
        <v>13</v>
      </c>
      <c r="Z26" s="16">
        <f t="shared" si="18"/>
        <v>2</v>
      </c>
      <c r="AA26" s="16">
        <f t="shared" si="18"/>
        <v>2</v>
      </c>
      <c r="AB26" s="16">
        <f t="shared" si="18"/>
        <v>0</v>
      </c>
      <c r="AC26" s="16">
        <f t="shared" si="18"/>
        <v>323</v>
      </c>
      <c r="AD26" s="16">
        <f t="shared" si="18"/>
        <v>0</v>
      </c>
      <c r="AE26" s="32">
        <f t="shared" si="18"/>
        <v>62</v>
      </c>
      <c r="AF26" s="32">
        <f t="shared" si="18"/>
        <v>385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2</v>
      </c>
      <c r="P27" s="15">
        <f t="shared" si="1"/>
        <v>12</v>
      </c>
      <c r="R27" s="29" t="s">
        <v>87</v>
      </c>
      <c r="S27" s="16">
        <f t="shared" ref="S27:AF27" si="19">SUM(S19:S21)</f>
        <v>11</v>
      </c>
      <c r="T27" s="16">
        <f t="shared" si="19"/>
        <v>1</v>
      </c>
      <c r="U27" s="16">
        <f t="shared" si="19"/>
        <v>4</v>
      </c>
      <c r="V27" s="16">
        <f t="shared" si="19"/>
        <v>2</v>
      </c>
      <c r="W27" s="16">
        <f t="shared" si="19"/>
        <v>1</v>
      </c>
      <c r="X27" s="16">
        <f t="shared" si="19"/>
        <v>0</v>
      </c>
      <c r="Y27" s="16">
        <f t="shared" si="19"/>
        <v>3</v>
      </c>
      <c r="Z27" s="16">
        <f t="shared" si="19"/>
        <v>1</v>
      </c>
      <c r="AA27" s="16">
        <f t="shared" si="19"/>
        <v>2</v>
      </c>
      <c r="AB27" s="16">
        <f t="shared" si="19"/>
        <v>1</v>
      </c>
      <c r="AC27" s="16">
        <f t="shared" si="19"/>
        <v>173</v>
      </c>
      <c r="AD27" s="16">
        <f t="shared" si="19"/>
        <v>0</v>
      </c>
      <c r="AE27" s="32">
        <f t="shared" si="19"/>
        <v>26</v>
      </c>
      <c r="AF27" s="32">
        <f t="shared" si="19"/>
        <v>199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1</v>
      </c>
      <c r="F28" s="50">
        <v>0</v>
      </c>
      <c r="G28" s="50">
        <v>1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17</v>
      </c>
      <c r="N28" s="50">
        <v>0</v>
      </c>
      <c r="O28" s="15">
        <f t="shared" si="0"/>
        <v>2</v>
      </c>
      <c r="P28" s="15">
        <f t="shared" si="1"/>
        <v>19</v>
      </c>
      <c r="R28" s="5" t="s">
        <v>17</v>
      </c>
      <c r="S28" s="16">
        <f t="shared" ref="S28:AF28" si="20">SUM(S10:S21)</f>
        <v>42</v>
      </c>
      <c r="T28" s="16">
        <f t="shared" si="20"/>
        <v>7</v>
      </c>
      <c r="U28" s="16">
        <f t="shared" si="20"/>
        <v>15</v>
      </c>
      <c r="V28" s="16">
        <f t="shared" si="20"/>
        <v>5</v>
      </c>
      <c r="W28" s="16">
        <f t="shared" si="20"/>
        <v>3</v>
      </c>
      <c r="X28" s="16">
        <f t="shared" si="20"/>
        <v>0</v>
      </c>
      <c r="Y28" s="16">
        <f t="shared" si="20"/>
        <v>22</v>
      </c>
      <c r="Z28" s="16">
        <f t="shared" si="20"/>
        <v>3</v>
      </c>
      <c r="AA28" s="16">
        <f t="shared" si="20"/>
        <v>5</v>
      </c>
      <c r="AB28" s="16">
        <f t="shared" si="20"/>
        <v>1</v>
      </c>
      <c r="AC28" s="16">
        <f t="shared" si="20"/>
        <v>578</v>
      </c>
      <c r="AD28" s="16">
        <f t="shared" si="20"/>
        <v>0</v>
      </c>
      <c r="AE28" s="32">
        <f t="shared" si="20"/>
        <v>103</v>
      </c>
      <c r="AF28" s="32">
        <f t="shared" si="20"/>
        <v>681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14</v>
      </c>
      <c r="N29" s="50">
        <v>0</v>
      </c>
      <c r="O29" s="15">
        <f t="shared" si="0"/>
        <v>4</v>
      </c>
      <c r="P29" s="15">
        <f t="shared" si="1"/>
        <v>18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1</v>
      </c>
      <c r="P30" s="15">
        <f t="shared" si="1"/>
        <v>15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15</v>
      </c>
      <c r="N31" s="50">
        <v>0</v>
      </c>
      <c r="O31" s="15">
        <f t="shared" si="0"/>
        <v>0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3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14</v>
      </c>
      <c r="N32" s="50">
        <v>0</v>
      </c>
      <c r="O32" s="15">
        <f t="shared" si="0"/>
        <v>4</v>
      </c>
      <c r="P32" s="15">
        <f t="shared" si="1"/>
        <v>18</v>
      </c>
    </row>
    <row r="33" spans="2:20" ht="23.1" customHeight="1" x14ac:dyDescent="0.25">
      <c r="B33" s="23" t="s">
        <v>60</v>
      </c>
      <c r="C33" s="50">
        <v>1</v>
      </c>
      <c r="D33" s="50">
        <v>2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14</v>
      </c>
      <c r="N33" s="50">
        <v>0</v>
      </c>
      <c r="O33" s="15">
        <f t="shared" si="0"/>
        <v>4</v>
      </c>
      <c r="P33" s="15">
        <f t="shared" si="1"/>
        <v>18</v>
      </c>
    </row>
    <row r="34" spans="2:20" ht="23.1" customHeight="1" x14ac:dyDescent="0.25">
      <c r="B34" s="24" t="s">
        <v>61</v>
      </c>
      <c r="C34" s="50">
        <v>5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0</v>
      </c>
      <c r="M34" s="50">
        <v>13</v>
      </c>
      <c r="N34" s="50">
        <v>0</v>
      </c>
      <c r="O34" s="15">
        <f t="shared" si="0"/>
        <v>9</v>
      </c>
      <c r="P34" s="15">
        <f t="shared" si="1"/>
        <v>22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25</v>
      </c>
      <c r="N35" s="50">
        <v>0</v>
      </c>
      <c r="O35" s="15">
        <f t="shared" si="0"/>
        <v>1</v>
      </c>
      <c r="P35" s="15">
        <f t="shared" si="1"/>
        <v>26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15</v>
      </c>
      <c r="N36" s="50">
        <v>0</v>
      </c>
      <c r="O36" s="15">
        <f t="shared" si="0"/>
        <v>1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1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20</v>
      </c>
      <c r="N37" s="50">
        <v>0</v>
      </c>
      <c r="O37" s="15">
        <f t="shared" si="0"/>
        <v>2</v>
      </c>
      <c r="P37" s="15">
        <f t="shared" si="1"/>
        <v>22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18</v>
      </c>
      <c r="N38" s="50">
        <v>0</v>
      </c>
      <c r="O38" s="15">
        <f t="shared" si="0"/>
        <v>3</v>
      </c>
      <c r="P38" s="15">
        <f t="shared" si="1"/>
        <v>21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11</v>
      </c>
      <c r="N39" s="50">
        <v>0</v>
      </c>
      <c r="O39" s="15">
        <f t="shared" si="0"/>
        <v>2</v>
      </c>
      <c r="P39" s="15">
        <f t="shared" si="1"/>
        <v>13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11</v>
      </c>
      <c r="N40" s="50">
        <v>0</v>
      </c>
      <c r="O40" s="15">
        <f t="shared" si="0"/>
        <v>2</v>
      </c>
      <c r="P40" s="15">
        <f t="shared" si="1"/>
        <v>13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9</v>
      </c>
      <c r="N41" s="50">
        <v>0</v>
      </c>
      <c r="O41" s="15">
        <f t="shared" si="0"/>
        <v>0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2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14</v>
      </c>
      <c r="N42" s="50">
        <v>0</v>
      </c>
      <c r="O42" s="15">
        <f t="shared" si="0"/>
        <v>4</v>
      </c>
      <c r="P42" s="15">
        <f t="shared" si="1"/>
        <v>18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18</v>
      </c>
      <c r="N43" s="50">
        <v>0</v>
      </c>
      <c r="O43" s="15">
        <f t="shared" si="0"/>
        <v>1</v>
      </c>
      <c r="P43" s="15">
        <f t="shared" si="1"/>
        <v>19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12</v>
      </c>
      <c r="N44" s="50">
        <v>0</v>
      </c>
      <c r="O44" s="15">
        <f t="shared" si="0"/>
        <v>1</v>
      </c>
      <c r="P44" s="15">
        <f t="shared" si="1"/>
        <v>13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2</v>
      </c>
      <c r="P45" s="15">
        <f t="shared" si="1"/>
        <v>12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15</v>
      </c>
      <c r="N46" s="50">
        <v>0</v>
      </c>
      <c r="O46" s="15">
        <f t="shared" si="0"/>
        <v>4</v>
      </c>
      <c r="P46" s="15">
        <f t="shared" si="1"/>
        <v>19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14</v>
      </c>
      <c r="N47" s="50">
        <v>0</v>
      </c>
      <c r="O47" s="15">
        <f t="shared" si="0"/>
        <v>0</v>
      </c>
      <c r="P47" s="15">
        <f t="shared" si="1"/>
        <v>14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3</v>
      </c>
      <c r="P48" s="15">
        <f t="shared" si="1"/>
        <v>15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19</v>
      </c>
      <c r="N49" s="50">
        <v>0</v>
      </c>
      <c r="O49" s="15">
        <f t="shared" si="0"/>
        <v>1</v>
      </c>
      <c r="P49" s="15">
        <f t="shared" si="1"/>
        <v>20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22</v>
      </c>
      <c r="N50" s="50">
        <v>0</v>
      </c>
      <c r="O50" s="15">
        <f t="shared" si="0"/>
        <v>1</v>
      </c>
      <c r="P50" s="15">
        <f t="shared" si="1"/>
        <v>23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14</v>
      </c>
      <c r="N51" s="50">
        <v>0</v>
      </c>
      <c r="O51" s="15">
        <f t="shared" si="0"/>
        <v>0</v>
      </c>
      <c r="P51" s="15">
        <f t="shared" si="1"/>
        <v>14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11</v>
      </c>
      <c r="N52" s="50">
        <v>0</v>
      </c>
      <c r="O52" s="15">
        <f t="shared" si="0"/>
        <v>0</v>
      </c>
      <c r="P52" s="15">
        <f t="shared" si="1"/>
        <v>11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1</v>
      </c>
      <c r="G53" s="50">
        <v>1</v>
      </c>
      <c r="H53" s="50">
        <v>0</v>
      </c>
      <c r="I53" s="50">
        <v>1</v>
      </c>
      <c r="J53" s="50">
        <v>0</v>
      </c>
      <c r="K53" s="50">
        <v>1</v>
      </c>
      <c r="L53" s="50">
        <v>1</v>
      </c>
      <c r="M53" s="50">
        <v>14</v>
      </c>
      <c r="N53" s="50">
        <v>0</v>
      </c>
      <c r="O53" s="15">
        <f t="shared" si="0"/>
        <v>5</v>
      </c>
      <c r="P53" s="15">
        <f t="shared" si="1"/>
        <v>19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13</v>
      </c>
      <c r="N54" s="50">
        <v>0</v>
      </c>
      <c r="O54" s="15">
        <f t="shared" si="0"/>
        <v>4</v>
      </c>
      <c r="P54" s="15">
        <f t="shared" si="1"/>
        <v>17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1</v>
      </c>
      <c r="J55" s="50">
        <v>0</v>
      </c>
      <c r="K55" s="50">
        <v>1</v>
      </c>
      <c r="L55" s="50">
        <v>0</v>
      </c>
      <c r="M55" s="50">
        <v>13</v>
      </c>
      <c r="N55" s="50">
        <v>0</v>
      </c>
      <c r="O55" s="15">
        <f t="shared" si="0"/>
        <v>4</v>
      </c>
      <c r="P55" s="15">
        <f t="shared" si="1"/>
        <v>17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13</v>
      </c>
      <c r="N56" s="50">
        <v>0</v>
      </c>
      <c r="O56" s="15">
        <f t="shared" si="0"/>
        <v>1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13</v>
      </c>
      <c r="N57" s="50">
        <v>0</v>
      </c>
      <c r="O57" s="15">
        <f t="shared" si="0"/>
        <v>3</v>
      </c>
      <c r="P57" s="15">
        <f t="shared" si="1"/>
        <v>16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42</v>
      </c>
      <c r="D58" s="16">
        <f t="shared" si="21"/>
        <v>7</v>
      </c>
      <c r="E58" s="16">
        <f t="shared" si="21"/>
        <v>15</v>
      </c>
      <c r="F58" s="16">
        <f t="shared" si="21"/>
        <v>5</v>
      </c>
      <c r="G58" s="16">
        <f t="shared" si="21"/>
        <v>3</v>
      </c>
      <c r="H58" s="16">
        <f t="shared" si="21"/>
        <v>0</v>
      </c>
      <c r="I58" s="16">
        <f t="shared" si="21"/>
        <v>22</v>
      </c>
      <c r="J58" s="16">
        <f t="shared" si="21"/>
        <v>3</v>
      </c>
      <c r="K58" s="16">
        <f t="shared" si="21"/>
        <v>5</v>
      </c>
      <c r="L58" s="16">
        <f t="shared" si="21"/>
        <v>1</v>
      </c>
      <c r="M58" s="16">
        <f t="shared" si="21"/>
        <v>578</v>
      </c>
      <c r="N58" s="16">
        <f t="shared" si="21"/>
        <v>0</v>
      </c>
      <c r="O58" s="16">
        <f t="shared" si="21"/>
        <v>103</v>
      </c>
      <c r="P58" s="16">
        <f t="shared" si="21"/>
        <v>681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6.1674008810572688E-2</v>
      </c>
      <c r="D59" s="43">
        <f t="shared" si="22"/>
        <v>1.0279001468428781E-2</v>
      </c>
      <c r="E59" s="43">
        <f t="shared" si="22"/>
        <v>2.2026431718061675E-2</v>
      </c>
      <c r="F59" s="43">
        <f t="shared" si="22"/>
        <v>7.3421439060205578E-3</v>
      </c>
      <c r="G59" s="43">
        <f t="shared" si="22"/>
        <v>4.4052863436123352E-3</v>
      </c>
      <c r="H59" s="43">
        <f t="shared" si="22"/>
        <v>0</v>
      </c>
      <c r="I59" s="43">
        <f t="shared" si="22"/>
        <v>3.2305433186490456E-2</v>
      </c>
      <c r="J59" s="43">
        <f t="shared" si="22"/>
        <v>4.4052863436123352E-3</v>
      </c>
      <c r="K59" s="43">
        <f t="shared" si="22"/>
        <v>7.3421439060205578E-3</v>
      </c>
      <c r="L59" s="43">
        <f t="shared" si="22"/>
        <v>1.4684287812041115E-3</v>
      </c>
      <c r="M59" s="43">
        <f t="shared" si="22"/>
        <v>0.84875183553597655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0.40776699029126212</v>
      </c>
      <c r="D60" s="44">
        <f t="shared" ref="D60:N60" si="23">D58/$O$58</f>
        <v>6.7961165048543687E-2</v>
      </c>
      <c r="E60" s="44">
        <f t="shared" si="23"/>
        <v>0.14563106796116504</v>
      </c>
      <c r="F60" s="44">
        <f t="shared" si="23"/>
        <v>4.8543689320388349E-2</v>
      </c>
      <c r="G60" s="44">
        <f t="shared" si="23"/>
        <v>2.9126213592233011E-2</v>
      </c>
      <c r="H60" s="44">
        <f t="shared" si="23"/>
        <v>0</v>
      </c>
      <c r="I60" s="44">
        <f t="shared" si="23"/>
        <v>0.21359223300970873</v>
      </c>
      <c r="J60" s="44">
        <f t="shared" si="23"/>
        <v>2.9126213592233011E-2</v>
      </c>
      <c r="K60" s="44">
        <f t="shared" si="23"/>
        <v>4.8543689320388349E-2</v>
      </c>
      <c r="L60" s="44">
        <f t="shared" si="23"/>
        <v>9.7087378640776691E-3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B1" zoomScale="70" zoomScaleSheetLayoutView="7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'17.10 MITYANA-BUSUNJU'!C3:G3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174</v>
      </c>
      <c r="E5" s="3"/>
      <c r="F5" s="41" t="s">
        <v>1</v>
      </c>
      <c r="G5" s="64" t="str">
        <f>'17.10 BUSUNGU-MITYANA'!G5:H5</f>
        <v>EXCEL&amp;LOOGE</v>
      </c>
      <c r="H5" s="65"/>
      <c r="I5" s="14"/>
      <c r="J5" s="2" t="s">
        <v>5</v>
      </c>
      <c r="K5" s="64" t="str">
        <f>'17.10 BUSUNGU-MITYANA'!K5:L5</f>
        <v>JOSEPHINE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">
        <v>170</v>
      </c>
      <c r="E6" s="65"/>
      <c r="F6" s="2" t="s">
        <v>2</v>
      </c>
      <c r="G6" s="64" t="s">
        <v>166</v>
      </c>
      <c r="H6" s="65"/>
      <c r="J6" s="2" t="s">
        <v>21</v>
      </c>
      <c r="K6" s="64" t="str">
        <f>'17.10 BUSUNGU-MITYANA'!K6:L6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24</v>
      </c>
      <c r="AD10" s="17">
        <f t="shared" si="2"/>
        <v>0</v>
      </c>
      <c r="AE10" s="31">
        <f t="shared" si="2"/>
        <v>3</v>
      </c>
      <c r="AF10" s="31">
        <f t="shared" si="2"/>
        <v>27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0</v>
      </c>
      <c r="P11" s="15">
        <f t="shared" si="1"/>
        <v>6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30</v>
      </c>
      <c r="AD11" s="17">
        <f t="shared" si="3"/>
        <v>0</v>
      </c>
      <c r="AE11" s="31">
        <f t="shared" si="3"/>
        <v>5</v>
      </c>
      <c r="AF11" s="31">
        <f t="shared" si="3"/>
        <v>35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2</v>
      </c>
      <c r="P12" s="15">
        <f t="shared" si="1"/>
        <v>7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46</v>
      </c>
      <c r="AD12" s="17">
        <f t="shared" si="4"/>
        <v>0</v>
      </c>
      <c r="AE12" s="31">
        <f t="shared" si="4"/>
        <v>5</v>
      </c>
      <c r="AF12" s="31">
        <f t="shared" si="4"/>
        <v>51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1</v>
      </c>
      <c r="P13" s="15">
        <f t="shared" si="1"/>
        <v>8</v>
      </c>
      <c r="R13" s="1" t="s">
        <v>9</v>
      </c>
      <c r="S13" s="17">
        <f t="shared" ref="S13:AF13" si="5">SUM(C22:C25)</f>
        <v>3</v>
      </c>
      <c r="T13" s="17">
        <f t="shared" si="5"/>
        <v>1</v>
      </c>
      <c r="U13" s="17">
        <f t="shared" si="5"/>
        <v>0</v>
      </c>
      <c r="V13" s="17">
        <f t="shared" si="5"/>
        <v>1</v>
      </c>
      <c r="W13" s="17">
        <f t="shared" si="5"/>
        <v>1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38</v>
      </c>
      <c r="AD13" s="17">
        <f t="shared" si="5"/>
        <v>0</v>
      </c>
      <c r="AE13" s="31">
        <f t="shared" si="5"/>
        <v>8</v>
      </c>
      <c r="AF13" s="31">
        <f t="shared" si="5"/>
        <v>46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2</v>
      </c>
      <c r="P14" s="15">
        <f t="shared" si="1"/>
        <v>7</v>
      </c>
      <c r="R14" s="1" t="s">
        <v>10</v>
      </c>
      <c r="S14" s="17">
        <f t="shared" ref="S14:AF14" si="6">SUM(C26:C29)</f>
        <v>2</v>
      </c>
      <c r="T14" s="17">
        <f t="shared" si="6"/>
        <v>1</v>
      </c>
      <c r="U14" s="17">
        <f t="shared" si="6"/>
        <v>1</v>
      </c>
      <c r="V14" s="17">
        <f t="shared" si="6"/>
        <v>0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49</v>
      </c>
      <c r="AD14" s="17">
        <f t="shared" si="6"/>
        <v>0</v>
      </c>
      <c r="AE14" s="31">
        <f t="shared" si="6"/>
        <v>8</v>
      </c>
      <c r="AF14" s="31">
        <f t="shared" si="6"/>
        <v>57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6</v>
      </c>
      <c r="N15" s="50">
        <v>0</v>
      </c>
      <c r="O15" s="15">
        <f t="shared" si="0"/>
        <v>1</v>
      </c>
      <c r="P15" s="15">
        <f t="shared" si="1"/>
        <v>7</v>
      </c>
      <c r="R15" s="1" t="s">
        <v>11</v>
      </c>
      <c r="S15" s="17">
        <f t="shared" ref="S15:AF15" si="7">SUM(C30:C33)</f>
        <v>10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49</v>
      </c>
      <c r="AD15" s="17">
        <f t="shared" si="7"/>
        <v>0</v>
      </c>
      <c r="AE15" s="31">
        <f t="shared" si="7"/>
        <v>12</v>
      </c>
      <c r="AF15" s="31">
        <f t="shared" si="7"/>
        <v>61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8</v>
      </c>
      <c r="N16" s="50">
        <v>0</v>
      </c>
      <c r="O16" s="15">
        <f t="shared" si="0"/>
        <v>2</v>
      </c>
      <c r="P16" s="15">
        <f t="shared" si="1"/>
        <v>10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65</v>
      </c>
      <c r="AD16" s="17">
        <f t="shared" si="8"/>
        <v>0</v>
      </c>
      <c r="AE16" s="31">
        <f t="shared" si="8"/>
        <v>11</v>
      </c>
      <c r="AF16" s="31">
        <f t="shared" si="8"/>
        <v>76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0</v>
      </c>
      <c r="P17" s="15">
        <f t="shared" si="1"/>
        <v>11</v>
      </c>
      <c r="R17" s="1" t="s">
        <v>13</v>
      </c>
      <c r="S17" s="17">
        <f t="shared" ref="S17:AF17" si="9">SUM(C38:C41)</f>
        <v>6</v>
      </c>
      <c r="T17" s="17">
        <f t="shared" si="9"/>
        <v>1</v>
      </c>
      <c r="U17" s="17">
        <f t="shared" si="9"/>
        <v>3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60</v>
      </c>
      <c r="AD17" s="17">
        <f t="shared" si="9"/>
        <v>0</v>
      </c>
      <c r="AE17" s="31">
        <f t="shared" si="9"/>
        <v>12</v>
      </c>
      <c r="AF17" s="31">
        <f t="shared" si="9"/>
        <v>72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1</v>
      </c>
      <c r="P18" s="15">
        <f t="shared" si="1"/>
        <v>10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46</v>
      </c>
      <c r="AD18" s="17">
        <f t="shared" si="10"/>
        <v>0</v>
      </c>
      <c r="AE18" s="31">
        <f t="shared" si="10"/>
        <v>13</v>
      </c>
      <c r="AF18" s="31">
        <f t="shared" si="10"/>
        <v>59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8</v>
      </c>
      <c r="N19" s="50">
        <v>0</v>
      </c>
      <c r="O19" s="15">
        <f t="shared" si="0"/>
        <v>0</v>
      </c>
      <c r="P19" s="15">
        <f t="shared" si="1"/>
        <v>8</v>
      </c>
      <c r="R19" s="1" t="s">
        <v>15</v>
      </c>
      <c r="S19" s="17">
        <f t="shared" ref="S19:AF19" si="11">SUM(C46:C49)</f>
        <v>5</v>
      </c>
      <c r="T19" s="17">
        <f t="shared" si="11"/>
        <v>1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45</v>
      </c>
      <c r="AD19" s="17">
        <f t="shared" si="11"/>
        <v>0</v>
      </c>
      <c r="AE19" s="31">
        <f t="shared" si="11"/>
        <v>8</v>
      </c>
      <c r="AF19" s="31">
        <f t="shared" si="11"/>
        <v>53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1</v>
      </c>
      <c r="P20" s="15">
        <f t="shared" si="1"/>
        <v>15</v>
      </c>
      <c r="R20" s="1" t="s">
        <v>16</v>
      </c>
      <c r="S20" s="17">
        <f t="shared" ref="S20:AF20" si="12">SUM(C50:C53)</f>
        <v>3</v>
      </c>
      <c r="T20" s="17">
        <f t="shared" si="12"/>
        <v>1</v>
      </c>
      <c r="U20" s="17">
        <f t="shared" si="12"/>
        <v>0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64</v>
      </c>
      <c r="AD20" s="17">
        <f t="shared" si="12"/>
        <v>0</v>
      </c>
      <c r="AE20" s="31">
        <f t="shared" si="12"/>
        <v>6</v>
      </c>
      <c r="AF20" s="31">
        <f t="shared" si="12"/>
        <v>70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3</v>
      </c>
      <c r="P21" s="15">
        <f t="shared" si="1"/>
        <v>18</v>
      </c>
      <c r="R21" s="36" t="s">
        <v>20</v>
      </c>
      <c r="S21" s="34">
        <f t="shared" ref="S21:AF21" si="13">SUM(C54:C57)</f>
        <v>8</v>
      </c>
      <c r="T21" s="17">
        <f t="shared" si="13"/>
        <v>2</v>
      </c>
      <c r="U21" s="17">
        <f t="shared" si="13"/>
        <v>2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38</v>
      </c>
      <c r="AD21" s="17">
        <f t="shared" si="13"/>
        <v>0</v>
      </c>
      <c r="AE21" s="31">
        <f t="shared" si="13"/>
        <v>21</v>
      </c>
      <c r="AF21" s="31">
        <f t="shared" si="13"/>
        <v>59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11</v>
      </c>
      <c r="N22" s="50">
        <v>0</v>
      </c>
      <c r="O22" s="15">
        <f t="shared" si="0"/>
        <v>2</v>
      </c>
      <c r="P22" s="15">
        <f t="shared" si="1"/>
        <v>13</v>
      </c>
      <c r="R22" s="38" t="s">
        <v>90</v>
      </c>
      <c r="S22" s="39">
        <f>MAX(S10:S12)</f>
        <v>3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46</v>
      </c>
      <c r="AD22" s="39">
        <f t="shared" si="14"/>
        <v>0</v>
      </c>
      <c r="AE22" s="40">
        <f t="shared" si="14"/>
        <v>5</v>
      </c>
      <c r="AF22" s="40">
        <f t="shared" si="14"/>
        <v>51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3</v>
      </c>
      <c r="P23" s="15">
        <f t="shared" si="1"/>
        <v>10</v>
      </c>
      <c r="R23" s="38" t="s">
        <v>91</v>
      </c>
      <c r="S23" s="39">
        <f>MAX(S13:S18)</f>
        <v>10</v>
      </c>
      <c r="T23" s="39">
        <f t="shared" ref="T23:AF23" si="15">MAX(T13:T18)</f>
        <v>1</v>
      </c>
      <c r="U23" s="39">
        <f t="shared" si="15"/>
        <v>3</v>
      </c>
      <c r="V23" s="39">
        <f t="shared" si="15"/>
        <v>1</v>
      </c>
      <c r="W23" s="39">
        <f t="shared" si="15"/>
        <v>1</v>
      </c>
      <c r="X23" s="39">
        <f t="shared" si="15"/>
        <v>0</v>
      </c>
      <c r="Y23" s="39">
        <f t="shared" si="15"/>
        <v>5</v>
      </c>
      <c r="Z23" s="39">
        <f t="shared" si="15"/>
        <v>0</v>
      </c>
      <c r="AA23" s="39">
        <f t="shared" si="15"/>
        <v>0</v>
      </c>
      <c r="AB23" s="39">
        <f t="shared" si="15"/>
        <v>0</v>
      </c>
      <c r="AC23" s="39">
        <f t="shared" si="15"/>
        <v>65</v>
      </c>
      <c r="AD23" s="39">
        <f t="shared" si="15"/>
        <v>0</v>
      </c>
      <c r="AE23" s="40">
        <f t="shared" si="15"/>
        <v>13</v>
      </c>
      <c r="AF23" s="40">
        <f t="shared" si="15"/>
        <v>76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13</v>
      </c>
      <c r="N24" s="50">
        <v>0</v>
      </c>
      <c r="O24" s="15">
        <f t="shared" si="0"/>
        <v>1</v>
      </c>
      <c r="P24" s="15">
        <f t="shared" si="1"/>
        <v>14</v>
      </c>
      <c r="R24" s="38" t="s">
        <v>92</v>
      </c>
      <c r="S24" s="39">
        <f>MAX(S19:S21)</f>
        <v>8</v>
      </c>
      <c r="T24" s="39">
        <f t="shared" ref="T24:AF24" si="16">MAX(T19:T21)</f>
        <v>2</v>
      </c>
      <c r="U24" s="39">
        <f t="shared" si="16"/>
        <v>2</v>
      </c>
      <c r="V24" s="39">
        <f t="shared" si="16"/>
        <v>4</v>
      </c>
      <c r="W24" s="39">
        <f t="shared" si="16"/>
        <v>0</v>
      </c>
      <c r="X24" s="39">
        <f t="shared" si="16"/>
        <v>0</v>
      </c>
      <c r="Y24" s="39">
        <f t="shared" si="16"/>
        <v>5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64</v>
      </c>
      <c r="AD24" s="39">
        <f t="shared" si="16"/>
        <v>0</v>
      </c>
      <c r="AE24" s="40">
        <f t="shared" si="16"/>
        <v>21</v>
      </c>
      <c r="AF24" s="40">
        <f t="shared" si="16"/>
        <v>70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0</v>
      </c>
      <c r="F25" s="50">
        <v>0</v>
      </c>
      <c r="G25" s="50">
        <v>1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7</v>
      </c>
      <c r="N25" s="50">
        <v>0</v>
      </c>
      <c r="O25" s="15">
        <f t="shared" si="0"/>
        <v>2</v>
      </c>
      <c r="P25" s="15">
        <f t="shared" si="1"/>
        <v>9</v>
      </c>
      <c r="R25" s="37" t="s">
        <v>85</v>
      </c>
      <c r="S25" s="35">
        <f t="shared" ref="S25:AF25" si="17">SUM(S10:S12)</f>
        <v>4</v>
      </c>
      <c r="T25" s="16">
        <f t="shared" si="17"/>
        <v>0</v>
      </c>
      <c r="U25" s="16">
        <f t="shared" si="17"/>
        <v>1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100</v>
      </c>
      <c r="AD25" s="16">
        <f t="shared" si="17"/>
        <v>0</v>
      </c>
      <c r="AE25" s="32">
        <f t="shared" si="17"/>
        <v>13</v>
      </c>
      <c r="AF25" s="32">
        <f t="shared" si="17"/>
        <v>113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1</v>
      </c>
      <c r="P26" s="15">
        <f t="shared" si="1"/>
        <v>13</v>
      </c>
      <c r="R26" s="28" t="s">
        <v>86</v>
      </c>
      <c r="S26" s="16">
        <f t="shared" ref="S26:AF26" si="18">SUM(S13:S18)</f>
        <v>33</v>
      </c>
      <c r="T26" s="16">
        <f t="shared" si="18"/>
        <v>3</v>
      </c>
      <c r="U26" s="16">
        <f t="shared" si="18"/>
        <v>9</v>
      </c>
      <c r="V26" s="16">
        <f t="shared" si="18"/>
        <v>2</v>
      </c>
      <c r="W26" s="16">
        <f t="shared" si="18"/>
        <v>2</v>
      </c>
      <c r="X26" s="16">
        <f t="shared" si="18"/>
        <v>0</v>
      </c>
      <c r="Y26" s="16">
        <f t="shared" si="18"/>
        <v>15</v>
      </c>
      <c r="Z26" s="16">
        <f t="shared" si="18"/>
        <v>0</v>
      </c>
      <c r="AA26" s="16">
        <f t="shared" si="18"/>
        <v>0</v>
      </c>
      <c r="AB26" s="16">
        <f t="shared" si="18"/>
        <v>0</v>
      </c>
      <c r="AC26" s="16">
        <f t="shared" si="18"/>
        <v>307</v>
      </c>
      <c r="AD26" s="16">
        <f t="shared" si="18"/>
        <v>0</v>
      </c>
      <c r="AE26" s="32">
        <f t="shared" si="18"/>
        <v>64</v>
      </c>
      <c r="AF26" s="32">
        <f t="shared" si="18"/>
        <v>371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3</v>
      </c>
      <c r="P27" s="15">
        <f t="shared" si="1"/>
        <v>13</v>
      </c>
      <c r="R27" s="29" t="s">
        <v>87</v>
      </c>
      <c r="S27" s="16">
        <f t="shared" ref="S27:AF27" si="19">SUM(S19:S21)</f>
        <v>16</v>
      </c>
      <c r="T27" s="16">
        <f t="shared" si="19"/>
        <v>4</v>
      </c>
      <c r="U27" s="16">
        <f t="shared" si="19"/>
        <v>4</v>
      </c>
      <c r="V27" s="16">
        <f t="shared" si="19"/>
        <v>4</v>
      </c>
      <c r="W27" s="16">
        <f t="shared" si="19"/>
        <v>0</v>
      </c>
      <c r="X27" s="16">
        <f t="shared" si="19"/>
        <v>0</v>
      </c>
      <c r="Y27" s="16">
        <f t="shared" si="19"/>
        <v>6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147</v>
      </c>
      <c r="AD27" s="16">
        <f t="shared" si="19"/>
        <v>0</v>
      </c>
      <c r="AE27" s="32">
        <f t="shared" si="19"/>
        <v>35</v>
      </c>
      <c r="AF27" s="32">
        <f t="shared" si="19"/>
        <v>182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1</v>
      </c>
      <c r="P28" s="15">
        <f t="shared" si="1"/>
        <v>15</v>
      </c>
      <c r="R28" s="5" t="s">
        <v>17</v>
      </c>
      <c r="S28" s="16">
        <f t="shared" ref="S28:AF28" si="20">SUM(S10:S21)</f>
        <v>53</v>
      </c>
      <c r="T28" s="16">
        <f t="shared" si="20"/>
        <v>7</v>
      </c>
      <c r="U28" s="16">
        <f t="shared" si="20"/>
        <v>14</v>
      </c>
      <c r="V28" s="16">
        <f t="shared" si="20"/>
        <v>7</v>
      </c>
      <c r="W28" s="16">
        <f t="shared" si="20"/>
        <v>2</v>
      </c>
      <c r="X28" s="16">
        <f t="shared" si="20"/>
        <v>0</v>
      </c>
      <c r="Y28" s="16">
        <f t="shared" si="20"/>
        <v>27</v>
      </c>
      <c r="Z28" s="16">
        <f t="shared" si="20"/>
        <v>2</v>
      </c>
      <c r="AA28" s="16">
        <f t="shared" si="20"/>
        <v>0</v>
      </c>
      <c r="AB28" s="16">
        <f t="shared" si="20"/>
        <v>0</v>
      </c>
      <c r="AC28" s="16">
        <f t="shared" si="20"/>
        <v>554</v>
      </c>
      <c r="AD28" s="16">
        <f t="shared" si="20"/>
        <v>0</v>
      </c>
      <c r="AE28" s="32">
        <f t="shared" si="20"/>
        <v>112</v>
      </c>
      <c r="AF28" s="32">
        <f t="shared" si="20"/>
        <v>666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1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13</v>
      </c>
      <c r="N29" s="50">
        <v>0</v>
      </c>
      <c r="O29" s="15">
        <f t="shared" si="0"/>
        <v>3</v>
      </c>
      <c r="P29" s="15">
        <f t="shared" si="1"/>
        <v>16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8</v>
      </c>
      <c r="N30" s="50">
        <v>0</v>
      </c>
      <c r="O30" s="15">
        <f t="shared" si="0"/>
        <v>2</v>
      </c>
      <c r="P30" s="15">
        <f t="shared" si="1"/>
        <v>10</v>
      </c>
    </row>
    <row r="31" spans="2:32" ht="23.1" customHeight="1" x14ac:dyDescent="0.25">
      <c r="B31" s="24" t="s">
        <v>58</v>
      </c>
      <c r="C31" s="50">
        <v>4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16</v>
      </c>
      <c r="N31" s="50">
        <v>0</v>
      </c>
      <c r="O31" s="15">
        <f t="shared" si="0"/>
        <v>4</v>
      </c>
      <c r="P31" s="15">
        <f t="shared" si="1"/>
        <v>20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2</v>
      </c>
      <c r="P32" s="15">
        <f t="shared" si="1"/>
        <v>12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15</v>
      </c>
      <c r="N33" s="50">
        <v>0</v>
      </c>
      <c r="O33" s="15">
        <f t="shared" si="0"/>
        <v>4</v>
      </c>
      <c r="P33" s="15">
        <f t="shared" si="1"/>
        <v>19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13</v>
      </c>
      <c r="N34" s="50">
        <v>0</v>
      </c>
      <c r="O34" s="15">
        <f t="shared" si="0"/>
        <v>2</v>
      </c>
      <c r="P34" s="15">
        <f t="shared" si="1"/>
        <v>15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20</v>
      </c>
      <c r="N35" s="50">
        <v>0</v>
      </c>
      <c r="O35" s="15">
        <f t="shared" si="0"/>
        <v>2</v>
      </c>
      <c r="P35" s="15">
        <f t="shared" si="1"/>
        <v>22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2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4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18</v>
      </c>
      <c r="N37" s="50">
        <v>0</v>
      </c>
      <c r="O37" s="15">
        <f t="shared" si="0"/>
        <v>5</v>
      </c>
      <c r="P37" s="15">
        <f t="shared" si="1"/>
        <v>23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15</v>
      </c>
      <c r="N38" s="50">
        <v>0</v>
      </c>
      <c r="O38" s="15">
        <f t="shared" si="0"/>
        <v>2</v>
      </c>
      <c r="P38" s="15">
        <f t="shared" si="1"/>
        <v>17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15</v>
      </c>
      <c r="N39" s="50">
        <v>0</v>
      </c>
      <c r="O39" s="15">
        <f t="shared" si="0"/>
        <v>2</v>
      </c>
      <c r="P39" s="15">
        <f t="shared" si="1"/>
        <v>17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3</v>
      </c>
      <c r="P40" s="15">
        <f t="shared" si="1"/>
        <v>18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15</v>
      </c>
      <c r="N41" s="50">
        <v>0</v>
      </c>
      <c r="O41" s="15">
        <f t="shared" si="0"/>
        <v>5</v>
      </c>
      <c r="P41" s="15">
        <f t="shared" si="1"/>
        <v>20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11</v>
      </c>
      <c r="N42" s="50">
        <v>0</v>
      </c>
      <c r="O42" s="15">
        <f t="shared" si="0"/>
        <v>2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16</v>
      </c>
      <c r="N43" s="50">
        <v>0</v>
      </c>
      <c r="O43" s="15">
        <f t="shared" si="0"/>
        <v>3</v>
      </c>
      <c r="P43" s="15">
        <f t="shared" si="1"/>
        <v>19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3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1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11</v>
      </c>
      <c r="N45" s="50">
        <v>0</v>
      </c>
      <c r="O45" s="15">
        <f t="shared" si="0"/>
        <v>5</v>
      </c>
      <c r="P45" s="15">
        <f t="shared" si="1"/>
        <v>16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12</v>
      </c>
      <c r="N46" s="50">
        <v>0</v>
      </c>
      <c r="O46" s="15">
        <f t="shared" si="0"/>
        <v>1</v>
      </c>
      <c r="P46" s="15">
        <f t="shared" si="1"/>
        <v>13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4</v>
      </c>
      <c r="P47" s="15">
        <f t="shared" si="1"/>
        <v>17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0</v>
      </c>
      <c r="P48" s="15">
        <f t="shared" si="1"/>
        <v>12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3</v>
      </c>
      <c r="P49" s="15">
        <f t="shared" si="1"/>
        <v>11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5">
        <f t="shared" si="0"/>
        <v>1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15</v>
      </c>
      <c r="N51" s="50">
        <v>0</v>
      </c>
      <c r="O51" s="15">
        <f t="shared" si="0"/>
        <v>1</v>
      </c>
      <c r="P51" s="15">
        <f t="shared" si="1"/>
        <v>16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16</v>
      </c>
      <c r="N52" s="50">
        <v>0</v>
      </c>
      <c r="O52" s="15">
        <f t="shared" si="0"/>
        <v>3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20</v>
      </c>
      <c r="N53" s="50">
        <v>0</v>
      </c>
      <c r="O53" s="15">
        <f t="shared" si="0"/>
        <v>1</v>
      </c>
      <c r="P53" s="15">
        <f t="shared" si="1"/>
        <v>21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4</v>
      </c>
      <c r="P54" s="15">
        <f t="shared" si="1"/>
        <v>11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0</v>
      </c>
      <c r="F55" s="50">
        <v>2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8</v>
      </c>
      <c r="P55" s="15">
        <f t="shared" si="1"/>
        <v>17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1</v>
      </c>
      <c r="E56" s="50">
        <v>0</v>
      </c>
      <c r="F56" s="50">
        <v>2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6</v>
      </c>
      <c r="N56" s="50">
        <v>0</v>
      </c>
      <c r="O56" s="15">
        <f t="shared" si="0"/>
        <v>8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16</v>
      </c>
      <c r="N57" s="50">
        <v>0</v>
      </c>
      <c r="O57" s="15">
        <f t="shared" si="0"/>
        <v>1</v>
      </c>
      <c r="P57" s="15">
        <f t="shared" si="1"/>
        <v>17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53</v>
      </c>
      <c r="D58" s="16">
        <f t="shared" si="21"/>
        <v>7</v>
      </c>
      <c r="E58" s="16">
        <f t="shared" si="21"/>
        <v>14</v>
      </c>
      <c r="F58" s="16">
        <f t="shared" si="21"/>
        <v>7</v>
      </c>
      <c r="G58" s="16">
        <f t="shared" si="21"/>
        <v>2</v>
      </c>
      <c r="H58" s="16">
        <f t="shared" si="21"/>
        <v>0</v>
      </c>
      <c r="I58" s="16">
        <f t="shared" si="21"/>
        <v>27</v>
      </c>
      <c r="J58" s="16">
        <f t="shared" si="21"/>
        <v>2</v>
      </c>
      <c r="K58" s="16">
        <f t="shared" si="21"/>
        <v>0</v>
      </c>
      <c r="L58" s="16">
        <f t="shared" si="21"/>
        <v>0</v>
      </c>
      <c r="M58" s="16">
        <f t="shared" si="21"/>
        <v>554</v>
      </c>
      <c r="N58" s="16">
        <f t="shared" si="21"/>
        <v>0</v>
      </c>
      <c r="O58" s="16">
        <f t="shared" si="21"/>
        <v>112</v>
      </c>
      <c r="P58" s="16">
        <f t="shared" si="21"/>
        <v>666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7.9579579579579576E-2</v>
      </c>
      <c r="D59" s="43">
        <f t="shared" si="22"/>
        <v>1.0510510510510511E-2</v>
      </c>
      <c r="E59" s="43">
        <f t="shared" si="22"/>
        <v>2.1021021021021023E-2</v>
      </c>
      <c r="F59" s="43">
        <f t="shared" si="22"/>
        <v>1.0510510510510511E-2</v>
      </c>
      <c r="G59" s="43">
        <f t="shared" si="22"/>
        <v>3.003003003003003E-3</v>
      </c>
      <c r="H59" s="43">
        <f t="shared" si="22"/>
        <v>0</v>
      </c>
      <c r="I59" s="43">
        <f t="shared" si="22"/>
        <v>4.0540540540540543E-2</v>
      </c>
      <c r="J59" s="43">
        <f t="shared" si="22"/>
        <v>3.003003003003003E-3</v>
      </c>
      <c r="K59" s="43">
        <f t="shared" si="22"/>
        <v>0</v>
      </c>
      <c r="L59" s="43">
        <f t="shared" si="22"/>
        <v>0</v>
      </c>
      <c r="M59" s="43">
        <f t="shared" si="22"/>
        <v>0.83183183183183185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0.4732142857142857</v>
      </c>
      <c r="D60" s="44">
        <f t="shared" ref="D60:N60" si="23">D58/$O$58</f>
        <v>6.25E-2</v>
      </c>
      <c r="E60" s="44">
        <f t="shared" si="23"/>
        <v>0.125</v>
      </c>
      <c r="F60" s="44">
        <f t="shared" si="23"/>
        <v>6.25E-2</v>
      </c>
      <c r="G60" s="44">
        <f t="shared" si="23"/>
        <v>1.7857142857142856E-2</v>
      </c>
      <c r="H60" s="44">
        <f t="shared" si="23"/>
        <v>0</v>
      </c>
      <c r="I60" s="44">
        <f t="shared" si="23"/>
        <v>0.24107142857142858</v>
      </c>
      <c r="J60" s="44">
        <f t="shared" si="23"/>
        <v>1.7857142857142856E-2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'17.10 MITYANA-BUSUNJU'!C3:G3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177</v>
      </c>
      <c r="E5" s="3"/>
      <c r="F5" s="41" t="s">
        <v>1</v>
      </c>
      <c r="G5" s="64" t="str">
        <f>'20.10  MITYANA-BUSUNJU'!G5:H5</f>
        <v>EXCEL&amp;LOOGE</v>
      </c>
      <c r="H5" s="65"/>
      <c r="I5" s="14"/>
      <c r="J5" s="2" t="s">
        <v>5</v>
      </c>
      <c r="K5" s="64" t="str">
        <f>'20.10  MITYANA-BUSUNJU'!K5:L5</f>
        <v>NSULAH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'17.10 MITYANA-BUSUNJU'!D6:E6</f>
        <v>MITYANA</v>
      </c>
      <c r="E6" s="65"/>
      <c r="F6" s="2" t="s">
        <v>2</v>
      </c>
      <c r="G6" s="64" t="str">
        <f>'17.10 MITYANA-BUSUNJU'!G6:H6</f>
        <v>BUSUNJU</v>
      </c>
      <c r="H6" s="65"/>
      <c r="J6" s="2" t="s">
        <v>21</v>
      </c>
      <c r="K6" s="64" t="str">
        <f>'20.10  MITYANA-BUSUNJU'!K6:L6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2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11</v>
      </c>
      <c r="R10" s="1" t="s">
        <v>6</v>
      </c>
      <c r="S10" s="17">
        <f t="shared" ref="S10:AF10" si="2">SUM(C10:C13)</f>
        <v>2</v>
      </c>
      <c r="T10" s="17">
        <f t="shared" si="2"/>
        <v>1</v>
      </c>
      <c r="U10" s="17">
        <f t="shared" si="2"/>
        <v>2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35</v>
      </c>
      <c r="AD10" s="17">
        <f t="shared" si="2"/>
        <v>0</v>
      </c>
      <c r="AE10" s="31">
        <f t="shared" si="2"/>
        <v>8</v>
      </c>
      <c r="AF10" s="31">
        <f t="shared" si="2"/>
        <v>43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12</v>
      </c>
      <c r="N11" s="50">
        <v>0</v>
      </c>
      <c r="O11" s="15">
        <f t="shared" si="0"/>
        <v>3</v>
      </c>
      <c r="P11" s="15">
        <f t="shared" si="1"/>
        <v>15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49</v>
      </c>
      <c r="AD11" s="17">
        <f t="shared" si="3"/>
        <v>0</v>
      </c>
      <c r="AE11" s="31">
        <f t="shared" si="3"/>
        <v>2</v>
      </c>
      <c r="AF11" s="31">
        <f t="shared" si="3"/>
        <v>51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1</v>
      </c>
      <c r="P12" s="15">
        <f t="shared" si="1"/>
        <v>6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0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38</v>
      </c>
      <c r="AD12" s="17">
        <f t="shared" si="4"/>
        <v>0</v>
      </c>
      <c r="AE12" s="31">
        <f t="shared" si="4"/>
        <v>3</v>
      </c>
      <c r="AF12" s="31">
        <f t="shared" si="4"/>
        <v>41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0</v>
      </c>
      <c r="P13" s="15">
        <f t="shared" si="1"/>
        <v>11</v>
      </c>
      <c r="R13" s="1" t="s">
        <v>9</v>
      </c>
      <c r="S13" s="17">
        <f t="shared" ref="S13:AF13" si="5">SUM(C22:C25)</f>
        <v>2</v>
      </c>
      <c r="T13" s="17">
        <f t="shared" si="5"/>
        <v>2</v>
      </c>
      <c r="U13" s="17">
        <f t="shared" si="5"/>
        <v>1</v>
      </c>
      <c r="V13" s="17">
        <f t="shared" si="5"/>
        <v>1</v>
      </c>
      <c r="W13" s="17">
        <f t="shared" si="5"/>
        <v>0</v>
      </c>
      <c r="X13" s="17">
        <f t="shared" si="5"/>
        <v>1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28</v>
      </c>
      <c r="AD13" s="17">
        <f t="shared" si="5"/>
        <v>0</v>
      </c>
      <c r="AE13" s="31">
        <f t="shared" si="5"/>
        <v>11</v>
      </c>
      <c r="AF13" s="31">
        <f t="shared" si="5"/>
        <v>39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9</v>
      </c>
      <c r="N14" s="50">
        <v>0</v>
      </c>
      <c r="O14" s="15">
        <f t="shared" si="0"/>
        <v>1</v>
      </c>
      <c r="P14" s="15">
        <f t="shared" si="1"/>
        <v>10</v>
      </c>
      <c r="R14" s="1" t="s">
        <v>10</v>
      </c>
      <c r="S14" s="17">
        <f t="shared" ref="S14:AF14" si="6">SUM(C26:C29)</f>
        <v>6</v>
      </c>
      <c r="T14" s="17">
        <f t="shared" si="6"/>
        <v>2</v>
      </c>
      <c r="U14" s="17">
        <f t="shared" si="6"/>
        <v>3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37</v>
      </c>
      <c r="AD14" s="17">
        <f t="shared" si="6"/>
        <v>0</v>
      </c>
      <c r="AE14" s="31">
        <f t="shared" si="6"/>
        <v>12</v>
      </c>
      <c r="AF14" s="31">
        <f t="shared" si="6"/>
        <v>49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0</v>
      </c>
      <c r="P15" s="15">
        <f t="shared" si="1"/>
        <v>12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3</v>
      </c>
      <c r="V15" s="17">
        <f t="shared" si="7"/>
        <v>0</v>
      </c>
      <c r="W15" s="17">
        <f t="shared" si="7"/>
        <v>1</v>
      </c>
      <c r="X15" s="17">
        <f t="shared" si="7"/>
        <v>0</v>
      </c>
      <c r="Y15" s="17">
        <f t="shared" si="7"/>
        <v>1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54</v>
      </c>
      <c r="AD15" s="17">
        <f t="shared" si="7"/>
        <v>0</v>
      </c>
      <c r="AE15" s="31">
        <f t="shared" si="7"/>
        <v>10</v>
      </c>
      <c r="AF15" s="31">
        <f t="shared" si="7"/>
        <v>64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19</v>
      </c>
      <c r="N16" s="50">
        <v>0</v>
      </c>
      <c r="O16" s="15">
        <f t="shared" si="0"/>
        <v>0</v>
      </c>
      <c r="P16" s="15">
        <f t="shared" si="1"/>
        <v>19</v>
      </c>
      <c r="R16" s="1" t="s">
        <v>12</v>
      </c>
      <c r="S16" s="17">
        <f t="shared" ref="S16:AF16" si="8">SUM(C34:C37)</f>
        <v>3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49</v>
      </c>
      <c r="AD16" s="17">
        <f t="shared" si="8"/>
        <v>0</v>
      </c>
      <c r="AE16" s="31">
        <f t="shared" si="8"/>
        <v>5</v>
      </c>
      <c r="AF16" s="31">
        <f t="shared" si="8"/>
        <v>54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9</v>
      </c>
      <c r="N17" s="50">
        <v>0</v>
      </c>
      <c r="O17" s="15">
        <f t="shared" si="0"/>
        <v>1</v>
      </c>
      <c r="P17" s="15">
        <f t="shared" si="1"/>
        <v>10</v>
      </c>
      <c r="R17" s="1" t="s">
        <v>13</v>
      </c>
      <c r="S17" s="17">
        <f t="shared" ref="S17:AF17" si="9">SUM(C38:C41)</f>
        <v>3</v>
      </c>
      <c r="T17" s="17">
        <f t="shared" si="9"/>
        <v>1</v>
      </c>
      <c r="U17" s="17">
        <f t="shared" si="9"/>
        <v>1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45</v>
      </c>
      <c r="AD17" s="17">
        <f t="shared" si="9"/>
        <v>0</v>
      </c>
      <c r="AE17" s="31">
        <f t="shared" si="9"/>
        <v>7</v>
      </c>
      <c r="AF17" s="31">
        <f t="shared" si="9"/>
        <v>52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1</v>
      </c>
      <c r="P18" s="15">
        <f t="shared" si="1"/>
        <v>10</v>
      </c>
      <c r="R18" s="1" t="s">
        <v>14</v>
      </c>
      <c r="S18" s="17">
        <f t="shared" ref="S18:AF18" si="10">SUM(C42:C45)</f>
        <v>3</v>
      </c>
      <c r="T18" s="17">
        <f t="shared" si="10"/>
        <v>2</v>
      </c>
      <c r="U18" s="17">
        <f t="shared" si="10"/>
        <v>1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45</v>
      </c>
      <c r="AD18" s="17">
        <f t="shared" si="10"/>
        <v>0</v>
      </c>
      <c r="AE18" s="31">
        <f t="shared" si="10"/>
        <v>10</v>
      </c>
      <c r="AF18" s="31">
        <f t="shared" si="10"/>
        <v>55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0</v>
      </c>
      <c r="P19" s="15">
        <f t="shared" si="1"/>
        <v>11</v>
      </c>
      <c r="R19" s="1" t="s">
        <v>15</v>
      </c>
      <c r="S19" s="17">
        <f t="shared" ref="S19:AF19" si="11">SUM(C46:C49)</f>
        <v>1</v>
      </c>
      <c r="T19" s="17">
        <f t="shared" si="11"/>
        <v>1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44</v>
      </c>
      <c r="AD19" s="17">
        <f t="shared" si="11"/>
        <v>0</v>
      </c>
      <c r="AE19" s="31">
        <f t="shared" si="11"/>
        <v>7</v>
      </c>
      <c r="AF19" s="31">
        <f t="shared" si="11"/>
        <v>51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0</v>
      </c>
      <c r="P20" s="15">
        <f t="shared" si="1"/>
        <v>8</v>
      </c>
      <c r="R20" s="1" t="s">
        <v>16</v>
      </c>
      <c r="S20" s="17">
        <f t="shared" ref="S20:AF20" si="12">SUM(C50:C53)</f>
        <v>2</v>
      </c>
      <c r="T20" s="17">
        <f t="shared" si="12"/>
        <v>1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30</v>
      </c>
      <c r="AD20" s="17">
        <f t="shared" si="12"/>
        <v>0</v>
      </c>
      <c r="AE20" s="31">
        <f t="shared" si="12"/>
        <v>6</v>
      </c>
      <c r="AF20" s="31">
        <f t="shared" si="12"/>
        <v>36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2</v>
      </c>
      <c r="P21" s="15">
        <f t="shared" si="1"/>
        <v>12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7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28</v>
      </c>
      <c r="AD21" s="17">
        <f t="shared" si="13"/>
        <v>0</v>
      </c>
      <c r="AE21" s="31">
        <f t="shared" si="13"/>
        <v>16</v>
      </c>
      <c r="AF21" s="31">
        <f t="shared" si="13"/>
        <v>44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1</v>
      </c>
      <c r="I22" s="50">
        <v>0</v>
      </c>
      <c r="J22" s="50">
        <v>0</v>
      </c>
      <c r="K22" s="50">
        <v>0</v>
      </c>
      <c r="L22" s="50">
        <v>0</v>
      </c>
      <c r="M22" s="50">
        <v>7</v>
      </c>
      <c r="N22" s="50">
        <v>0</v>
      </c>
      <c r="O22" s="15">
        <f t="shared" si="0"/>
        <v>3</v>
      </c>
      <c r="P22" s="15">
        <f t="shared" si="1"/>
        <v>10</v>
      </c>
      <c r="R22" s="38" t="s">
        <v>90</v>
      </c>
      <c r="S22" s="39">
        <f>MAX(S10:S12)</f>
        <v>2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1</v>
      </c>
      <c r="AA22" s="39">
        <f t="shared" si="14"/>
        <v>1</v>
      </c>
      <c r="AB22" s="39">
        <f t="shared" si="14"/>
        <v>0</v>
      </c>
      <c r="AC22" s="39">
        <f t="shared" si="14"/>
        <v>49</v>
      </c>
      <c r="AD22" s="39">
        <f t="shared" si="14"/>
        <v>0</v>
      </c>
      <c r="AE22" s="40">
        <f t="shared" si="14"/>
        <v>8</v>
      </c>
      <c r="AF22" s="40">
        <f t="shared" si="14"/>
        <v>51</v>
      </c>
    </row>
    <row r="23" spans="2:32" ht="23.1" customHeight="1" x14ac:dyDescent="0.25">
      <c r="B23" s="23" t="s">
        <v>50</v>
      </c>
      <c r="C23" s="50">
        <v>1</v>
      </c>
      <c r="D23" s="50">
        <v>1</v>
      </c>
      <c r="E23" s="50">
        <v>0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4</v>
      </c>
      <c r="P23" s="15">
        <f t="shared" si="1"/>
        <v>11</v>
      </c>
      <c r="R23" s="38" t="s">
        <v>91</v>
      </c>
      <c r="S23" s="39">
        <f>MAX(S13:S18)</f>
        <v>6</v>
      </c>
      <c r="T23" s="39">
        <f t="shared" ref="T23:AF23" si="15">MAX(T13:T18)</f>
        <v>2</v>
      </c>
      <c r="U23" s="39">
        <f t="shared" si="15"/>
        <v>3</v>
      </c>
      <c r="V23" s="39">
        <f t="shared" si="15"/>
        <v>2</v>
      </c>
      <c r="W23" s="39">
        <f t="shared" si="15"/>
        <v>1</v>
      </c>
      <c r="X23" s="39">
        <f t="shared" si="15"/>
        <v>1</v>
      </c>
      <c r="Y23" s="39">
        <f t="shared" si="15"/>
        <v>4</v>
      </c>
      <c r="Z23" s="39">
        <f t="shared" si="15"/>
        <v>2</v>
      </c>
      <c r="AA23" s="39">
        <f t="shared" si="15"/>
        <v>1</v>
      </c>
      <c r="AB23" s="39">
        <f t="shared" si="15"/>
        <v>0</v>
      </c>
      <c r="AC23" s="39">
        <f t="shared" si="15"/>
        <v>54</v>
      </c>
      <c r="AD23" s="39">
        <f t="shared" si="15"/>
        <v>0</v>
      </c>
      <c r="AE23" s="40">
        <f t="shared" si="15"/>
        <v>12</v>
      </c>
      <c r="AF23" s="40">
        <f t="shared" si="15"/>
        <v>64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2</v>
      </c>
      <c r="P24" s="15">
        <f t="shared" si="1"/>
        <v>11</v>
      </c>
      <c r="R24" s="38" t="s">
        <v>92</v>
      </c>
      <c r="S24" s="39">
        <f>MAX(S19:S21)</f>
        <v>3</v>
      </c>
      <c r="T24" s="39">
        <f t="shared" ref="T24:AF24" si="16">MAX(T19:T21)</f>
        <v>1</v>
      </c>
      <c r="U24" s="39">
        <f t="shared" si="16"/>
        <v>7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1</v>
      </c>
      <c r="Z24" s="39">
        <f t="shared" si="16"/>
        <v>4</v>
      </c>
      <c r="AA24" s="39">
        <f t="shared" si="16"/>
        <v>0</v>
      </c>
      <c r="AB24" s="39">
        <f t="shared" si="16"/>
        <v>0</v>
      </c>
      <c r="AC24" s="39">
        <f t="shared" si="16"/>
        <v>44</v>
      </c>
      <c r="AD24" s="39">
        <f t="shared" si="16"/>
        <v>0</v>
      </c>
      <c r="AE24" s="40">
        <f t="shared" si="16"/>
        <v>16</v>
      </c>
      <c r="AF24" s="40">
        <f t="shared" si="16"/>
        <v>51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5</v>
      </c>
      <c r="N25" s="50">
        <v>0</v>
      </c>
      <c r="O25" s="15">
        <f t="shared" si="0"/>
        <v>2</v>
      </c>
      <c r="P25" s="15">
        <f t="shared" si="1"/>
        <v>7</v>
      </c>
      <c r="R25" s="37" t="s">
        <v>85</v>
      </c>
      <c r="S25" s="35">
        <f t="shared" ref="S25:AF25" si="17">SUM(S10:S12)</f>
        <v>4</v>
      </c>
      <c r="T25" s="16">
        <f t="shared" si="17"/>
        <v>1</v>
      </c>
      <c r="U25" s="16">
        <f t="shared" si="17"/>
        <v>2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1</v>
      </c>
      <c r="Z25" s="16">
        <f t="shared" si="17"/>
        <v>1</v>
      </c>
      <c r="AA25" s="16">
        <f t="shared" si="17"/>
        <v>1</v>
      </c>
      <c r="AB25" s="16">
        <f t="shared" si="17"/>
        <v>0</v>
      </c>
      <c r="AC25" s="16">
        <f t="shared" si="17"/>
        <v>122</v>
      </c>
      <c r="AD25" s="16">
        <f t="shared" si="17"/>
        <v>0</v>
      </c>
      <c r="AE25" s="32">
        <f t="shared" si="17"/>
        <v>13</v>
      </c>
      <c r="AF25" s="32">
        <f t="shared" si="17"/>
        <v>135</v>
      </c>
    </row>
    <row r="26" spans="2:32" ht="23.1" customHeight="1" x14ac:dyDescent="0.25">
      <c r="B26" s="23" t="s">
        <v>53</v>
      </c>
      <c r="C26" s="50">
        <v>1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3</v>
      </c>
      <c r="P26" s="15">
        <f t="shared" si="1"/>
        <v>15</v>
      </c>
      <c r="R26" s="28" t="s">
        <v>86</v>
      </c>
      <c r="S26" s="16">
        <f t="shared" ref="S26:AF26" si="18">SUM(S13:S18)</f>
        <v>20</v>
      </c>
      <c r="T26" s="16">
        <f t="shared" si="18"/>
        <v>7</v>
      </c>
      <c r="U26" s="16">
        <f t="shared" si="18"/>
        <v>9</v>
      </c>
      <c r="V26" s="16">
        <f t="shared" si="18"/>
        <v>4</v>
      </c>
      <c r="W26" s="16">
        <f t="shared" si="18"/>
        <v>1</v>
      </c>
      <c r="X26" s="16">
        <f t="shared" si="18"/>
        <v>1</v>
      </c>
      <c r="Y26" s="16">
        <f t="shared" si="18"/>
        <v>8</v>
      </c>
      <c r="Z26" s="16">
        <f t="shared" si="18"/>
        <v>4</v>
      </c>
      <c r="AA26" s="16">
        <f t="shared" si="18"/>
        <v>1</v>
      </c>
      <c r="AB26" s="16">
        <f t="shared" si="18"/>
        <v>0</v>
      </c>
      <c r="AC26" s="16">
        <f t="shared" si="18"/>
        <v>258</v>
      </c>
      <c r="AD26" s="16">
        <f t="shared" si="18"/>
        <v>0</v>
      </c>
      <c r="AE26" s="32">
        <f t="shared" si="18"/>
        <v>55</v>
      </c>
      <c r="AF26" s="32">
        <f t="shared" si="18"/>
        <v>313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5">
        <f t="shared" si="0"/>
        <v>6</v>
      </c>
      <c r="P27" s="15">
        <f t="shared" si="1"/>
        <v>13</v>
      </c>
      <c r="R27" s="29" t="s">
        <v>87</v>
      </c>
      <c r="S27" s="16">
        <f t="shared" ref="S27:AF27" si="19">SUM(S19:S21)</f>
        <v>6</v>
      </c>
      <c r="T27" s="16">
        <f t="shared" si="19"/>
        <v>3</v>
      </c>
      <c r="U27" s="16">
        <f t="shared" si="19"/>
        <v>11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2</v>
      </c>
      <c r="Z27" s="16">
        <f t="shared" si="19"/>
        <v>6</v>
      </c>
      <c r="AA27" s="16">
        <f t="shared" si="19"/>
        <v>0</v>
      </c>
      <c r="AB27" s="16">
        <f t="shared" si="19"/>
        <v>0</v>
      </c>
      <c r="AC27" s="16">
        <f t="shared" si="19"/>
        <v>102</v>
      </c>
      <c r="AD27" s="16">
        <f t="shared" si="19"/>
        <v>0</v>
      </c>
      <c r="AE27" s="32">
        <f t="shared" si="19"/>
        <v>29</v>
      </c>
      <c r="AF27" s="32">
        <f t="shared" si="19"/>
        <v>131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3</v>
      </c>
      <c r="P28" s="15">
        <f t="shared" si="1"/>
        <v>9</v>
      </c>
      <c r="R28" s="5" t="s">
        <v>17</v>
      </c>
      <c r="S28" s="16">
        <f t="shared" ref="S28:AF28" si="20">SUM(S10:S21)</f>
        <v>30</v>
      </c>
      <c r="T28" s="16">
        <f t="shared" si="20"/>
        <v>11</v>
      </c>
      <c r="U28" s="16">
        <f t="shared" si="20"/>
        <v>22</v>
      </c>
      <c r="V28" s="16">
        <f t="shared" si="20"/>
        <v>8</v>
      </c>
      <c r="W28" s="16">
        <f t="shared" si="20"/>
        <v>1</v>
      </c>
      <c r="X28" s="16">
        <f t="shared" si="20"/>
        <v>1</v>
      </c>
      <c r="Y28" s="16">
        <f t="shared" si="20"/>
        <v>11</v>
      </c>
      <c r="Z28" s="16">
        <f t="shared" si="20"/>
        <v>11</v>
      </c>
      <c r="AA28" s="16">
        <f t="shared" si="20"/>
        <v>2</v>
      </c>
      <c r="AB28" s="16">
        <f t="shared" si="20"/>
        <v>0</v>
      </c>
      <c r="AC28" s="16">
        <f t="shared" si="20"/>
        <v>482</v>
      </c>
      <c r="AD28" s="16">
        <f t="shared" si="20"/>
        <v>0</v>
      </c>
      <c r="AE28" s="32">
        <f t="shared" si="20"/>
        <v>97</v>
      </c>
      <c r="AF28" s="32">
        <f t="shared" si="20"/>
        <v>579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12</v>
      </c>
      <c r="N29" s="50">
        <v>0</v>
      </c>
      <c r="O29" s="15">
        <f t="shared" si="0"/>
        <v>0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13</v>
      </c>
      <c r="N30" s="50">
        <v>0</v>
      </c>
      <c r="O30" s="15">
        <f t="shared" si="0"/>
        <v>3</v>
      </c>
      <c r="P30" s="15">
        <f t="shared" si="1"/>
        <v>16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15</v>
      </c>
      <c r="N31" s="50">
        <v>0</v>
      </c>
      <c r="O31" s="15">
        <f t="shared" si="0"/>
        <v>1</v>
      </c>
      <c r="P31" s="15">
        <f t="shared" si="1"/>
        <v>16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15</v>
      </c>
      <c r="N32" s="50">
        <v>0</v>
      </c>
      <c r="O32" s="15">
        <f t="shared" si="0"/>
        <v>4</v>
      </c>
      <c r="P32" s="15">
        <f t="shared" si="1"/>
        <v>19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1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11</v>
      </c>
      <c r="N33" s="50">
        <v>0</v>
      </c>
      <c r="O33" s="15">
        <f t="shared" si="0"/>
        <v>2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1</v>
      </c>
      <c r="P34" s="15">
        <f t="shared" si="1"/>
        <v>11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20</v>
      </c>
      <c r="N35" s="50">
        <v>0</v>
      </c>
      <c r="O35" s="15">
        <f t="shared" si="0"/>
        <v>2</v>
      </c>
      <c r="P35" s="15">
        <f t="shared" si="1"/>
        <v>22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0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2</v>
      </c>
      <c r="P37" s="15">
        <f t="shared" si="1"/>
        <v>12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2</v>
      </c>
      <c r="P38" s="15">
        <f t="shared" si="1"/>
        <v>14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1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10</v>
      </c>
      <c r="N40" s="50">
        <v>0</v>
      </c>
      <c r="O40" s="15">
        <f t="shared" si="0"/>
        <v>2</v>
      </c>
      <c r="P40" s="15">
        <f t="shared" si="1"/>
        <v>12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9</v>
      </c>
      <c r="N41" s="50">
        <v>0</v>
      </c>
      <c r="O41" s="15">
        <f t="shared" si="0"/>
        <v>2</v>
      </c>
      <c r="P41" s="15">
        <f t="shared" si="1"/>
        <v>11</v>
      </c>
    </row>
    <row r="42" spans="2:20" ht="23.1" customHeight="1" x14ac:dyDescent="0.25">
      <c r="B42" s="24" t="s">
        <v>69</v>
      </c>
      <c r="C42" s="50">
        <v>2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1</v>
      </c>
      <c r="L42" s="50">
        <v>0</v>
      </c>
      <c r="M42" s="50">
        <v>11</v>
      </c>
      <c r="N42" s="50">
        <v>0</v>
      </c>
      <c r="O42" s="15">
        <f t="shared" si="0"/>
        <v>4</v>
      </c>
      <c r="P42" s="15">
        <f t="shared" si="1"/>
        <v>15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12</v>
      </c>
      <c r="N43" s="50">
        <v>0</v>
      </c>
      <c r="O43" s="15">
        <f t="shared" si="0"/>
        <v>1</v>
      </c>
      <c r="P43" s="15">
        <f t="shared" si="1"/>
        <v>13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3</v>
      </c>
      <c r="P44" s="15">
        <f t="shared" si="1"/>
        <v>13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12</v>
      </c>
      <c r="N45" s="50">
        <v>0</v>
      </c>
      <c r="O45" s="15">
        <f t="shared" si="0"/>
        <v>2</v>
      </c>
      <c r="P45" s="15">
        <f t="shared" si="1"/>
        <v>14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7</v>
      </c>
      <c r="N46" s="50">
        <v>0</v>
      </c>
      <c r="O46" s="15">
        <f t="shared" si="0"/>
        <v>2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18</v>
      </c>
      <c r="N47" s="50">
        <v>0</v>
      </c>
      <c r="O47" s="15">
        <f t="shared" si="0"/>
        <v>0</v>
      </c>
      <c r="P47" s="15">
        <f t="shared" si="1"/>
        <v>18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9</v>
      </c>
      <c r="N48" s="50">
        <v>0</v>
      </c>
      <c r="O48" s="15">
        <f t="shared" si="0"/>
        <v>1</v>
      </c>
      <c r="P48" s="15">
        <f t="shared" si="1"/>
        <v>10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1</v>
      </c>
      <c r="F49" s="50">
        <v>0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10</v>
      </c>
      <c r="N49" s="50">
        <v>0</v>
      </c>
      <c r="O49" s="15">
        <f t="shared" si="0"/>
        <v>4</v>
      </c>
      <c r="P49" s="15">
        <f t="shared" si="1"/>
        <v>14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1</v>
      </c>
      <c r="P50" s="15">
        <f t="shared" si="1"/>
        <v>11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7</v>
      </c>
      <c r="N51" s="50">
        <v>0</v>
      </c>
      <c r="O51" s="15">
        <f t="shared" si="0"/>
        <v>1</v>
      </c>
      <c r="P51" s="15">
        <f t="shared" si="1"/>
        <v>8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7</v>
      </c>
      <c r="N52" s="50">
        <v>0</v>
      </c>
      <c r="O52" s="15">
        <f t="shared" si="0"/>
        <v>2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2</v>
      </c>
      <c r="P53" s="15">
        <f t="shared" si="1"/>
        <v>8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10</v>
      </c>
      <c r="N54" s="50">
        <v>0</v>
      </c>
      <c r="O54" s="15">
        <f t="shared" si="0"/>
        <v>2</v>
      </c>
      <c r="P54" s="15">
        <f t="shared" si="1"/>
        <v>12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2</v>
      </c>
      <c r="F55" s="50">
        <v>1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7</v>
      </c>
      <c r="N55" s="50">
        <v>0</v>
      </c>
      <c r="O55" s="15">
        <f t="shared" si="0"/>
        <v>4</v>
      </c>
      <c r="P55" s="15">
        <f t="shared" si="1"/>
        <v>11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3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6</v>
      </c>
      <c r="N56" s="50">
        <v>0</v>
      </c>
      <c r="O56" s="15">
        <f t="shared" si="0"/>
        <v>4</v>
      </c>
      <c r="P56" s="15">
        <f t="shared" si="1"/>
        <v>10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2</v>
      </c>
      <c r="K57" s="50">
        <v>0</v>
      </c>
      <c r="L57" s="50">
        <v>0</v>
      </c>
      <c r="M57" s="50">
        <v>5</v>
      </c>
      <c r="N57" s="50">
        <v>0</v>
      </c>
      <c r="O57" s="15">
        <f t="shared" si="0"/>
        <v>6</v>
      </c>
      <c r="P57" s="15">
        <f t="shared" si="1"/>
        <v>11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30</v>
      </c>
      <c r="D58" s="16">
        <f t="shared" si="21"/>
        <v>11</v>
      </c>
      <c r="E58" s="16">
        <f t="shared" si="21"/>
        <v>22</v>
      </c>
      <c r="F58" s="16">
        <f t="shared" si="21"/>
        <v>8</v>
      </c>
      <c r="G58" s="16">
        <f t="shared" si="21"/>
        <v>1</v>
      </c>
      <c r="H58" s="16">
        <f t="shared" si="21"/>
        <v>1</v>
      </c>
      <c r="I58" s="16">
        <f t="shared" si="21"/>
        <v>11</v>
      </c>
      <c r="J58" s="16">
        <f t="shared" si="21"/>
        <v>11</v>
      </c>
      <c r="K58" s="16">
        <f t="shared" si="21"/>
        <v>2</v>
      </c>
      <c r="L58" s="16">
        <f t="shared" si="21"/>
        <v>0</v>
      </c>
      <c r="M58" s="16">
        <f t="shared" si="21"/>
        <v>482</v>
      </c>
      <c r="N58" s="16">
        <f t="shared" si="21"/>
        <v>0</v>
      </c>
      <c r="O58" s="16">
        <f t="shared" si="21"/>
        <v>97</v>
      </c>
      <c r="P58" s="16">
        <f t="shared" si="21"/>
        <v>579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5.181347150259067E-2</v>
      </c>
      <c r="D59" s="43">
        <f t="shared" si="22"/>
        <v>1.8998272884283247E-2</v>
      </c>
      <c r="E59" s="43">
        <f t="shared" si="22"/>
        <v>3.7996545768566495E-2</v>
      </c>
      <c r="F59" s="43">
        <f t="shared" si="22"/>
        <v>1.3816925734024179E-2</v>
      </c>
      <c r="G59" s="43">
        <f t="shared" si="22"/>
        <v>1.7271157167530224E-3</v>
      </c>
      <c r="H59" s="43">
        <f t="shared" si="22"/>
        <v>1.7271157167530224E-3</v>
      </c>
      <c r="I59" s="43">
        <f t="shared" si="22"/>
        <v>1.8998272884283247E-2</v>
      </c>
      <c r="J59" s="43">
        <f t="shared" si="22"/>
        <v>1.8998272884283247E-2</v>
      </c>
      <c r="K59" s="43">
        <f t="shared" si="22"/>
        <v>3.4542314335060447E-3</v>
      </c>
      <c r="L59" s="43">
        <f t="shared" si="22"/>
        <v>0</v>
      </c>
      <c r="M59" s="43">
        <f t="shared" si="22"/>
        <v>0.83246977547495682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0.30927835051546393</v>
      </c>
      <c r="D60" s="44">
        <f t="shared" ref="D60:N60" si="23">D58/$O$58</f>
        <v>0.1134020618556701</v>
      </c>
      <c r="E60" s="44">
        <f t="shared" si="23"/>
        <v>0.22680412371134021</v>
      </c>
      <c r="F60" s="44">
        <f t="shared" si="23"/>
        <v>8.247422680412371E-2</v>
      </c>
      <c r="G60" s="44">
        <f t="shared" si="23"/>
        <v>1.0309278350515464E-2</v>
      </c>
      <c r="H60" s="44">
        <f t="shared" si="23"/>
        <v>1.0309278350515464E-2</v>
      </c>
      <c r="I60" s="44">
        <f t="shared" si="23"/>
        <v>0.1134020618556701</v>
      </c>
      <c r="J60" s="44">
        <f t="shared" si="23"/>
        <v>0.1134020618556701</v>
      </c>
      <c r="K60" s="44">
        <f t="shared" si="23"/>
        <v>2.0618556701030927E-2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'17.10 BUSUNGU-MITYANA'!C3:G3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178</v>
      </c>
      <c r="E5" s="3"/>
      <c r="F5" s="41" t="s">
        <v>1</v>
      </c>
      <c r="G5" s="64" t="str">
        <f>'17.10 BUSUNGU-MITYANA'!G5:H5</f>
        <v>EXCEL&amp;LOOGE</v>
      </c>
      <c r="H5" s="65"/>
      <c r="I5" s="14"/>
      <c r="J5" s="2" t="s">
        <v>5</v>
      </c>
      <c r="K5" s="64" t="str">
        <f>'17.10 BUSUNGU-MITYANA'!K5:L5</f>
        <v>JOSEPHINE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'17.10 BUSUNGU-MITYANA'!D6:E6</f>
        <v>BUSUNJU</v>
      </c>
      <c r="E6" s="65"/>
      <c r="F6" s="2" t="s">
        <v>2</v>
      </c>
      <c r="G6" s="64" t="str">
        <f>'17.10 BUSUNGU-MITYANA'!G6:H6</f>
        <v>MITYANA</v>
      </c>
      <c r="H6" s="65"/>
      <c r="J6" s="2" t="s">
        <v>21</v>
      </c>
      <c r="K6" s="64" t="str">
        <f>'17.10 BUSUNGU-MITYANA'!K6:L6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9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2</v>
      </c>
      <c r="T10" s="17">
        <f t="shared" si="2"/>
        <v>3</v>
      </c>
      <c r="U10" s="17">
        <f t="shared" si="2"/>
        <v>0</v>
      </c>
      <c r="V10" s="17">
        <f t="shared" si="2"/>
        <v>1</v>
      </c>
      <c r="W10" s="17">
        <f t="shared" si="2"/>
        <v>1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32</v>
      </c>
      <c r="AD10" s="17">
        <f t="shared" si="2"/>
        <v>0</v>
      </c>
      <c r="AE10" s="31">
        <f t="shared" si="2"/>
        <v>9</v>
      </c>
      <c r="AF10" s="31">
        <f t="shared" si="2"/>
        <v>41</v>
      </c>
    </row>
    <row r="11" spans="2:32" s="6" customFormat="1" ht="23.1" customHeight="1" x14ac:dyDescent="0.25">
      <c r="B11" s="23" t="s">
        <v>38</v>
      </c>
      <c r="C11" s="50">
        <v>0</v>
      </c>
      <c r="D11" s="50">
        <v>2</v>
      </c>
      <c r="E11" s="50">
        <v>0</v>
      </c>
      <c r="F11" s="50">
        <v>1</v>
      </c>
      <c r="G11" s="50">
        <v>1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5</v>
      </c>
      <c r="P11" s="15">
        <f t="shared" si="1"/>
        <v>12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1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44</v>
      </c>
      <c r="AD11" s="17">
        <f t="shared" si="3"/>
        <v>0</v>
      </c>
      <c r="AE11" s="31">
        <f t="shared" si="3"/>
        <v>8</v>
      </c>
      <c r="AF11" s="31">
        <f t="shared" si="3"/>
        <v>52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0</v>
      </c>
      <c r="P12" s="15">
        <f t="shared" si="1"/>
        <v>8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35</v>
      </c>
      <c r="AD12" s="17">
        <f t="shared" si="4"/>
        <v>0</v>
      </c>
      <c r="AE12" s="31">
        <f t="shared" si="4"/>
        <v>6</v>
      </c>
      <c r="AF12" s="31">
        <f t="shared" si="4"/>
        <v>41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0</v>
      </c>
      <c r="P13" s="15">
        <f t="shared" si="1"/>
        <v>8</v>
      </c>
      <c r="R13" s="1" t="s">
        <v>9</v>
      </c>
      <c r="S13" s="17">
        <f t="shared" ref="S13:AF13" si="5">SUM(C22:C25)</f>
        <v>1</v>
      </c>
      <c r="T13" s="17">
        <f t="shared" si="5"/>
        <v>3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32</v>
      </c>
      <c r="AD13" s="17">
        <f t="shared" si="5"/>
        <v>0</v>
      </c>
      <c r="AE13" s="31">
        <f t="shared" si="5"/>
        <v>9</v>
      </c>
      <c r="AF13" s="31">
        <f t="shared" si="5"/>
        <v>41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12</v>
      </c>
      <c r="N14" s="50">
        <v>0</v>
      </c>
      <c r="O14" s="15">
        <f t="shared" si="0"/>
        <v>0</v>
      </c>
      <c r="P14" s="15">
        <f t="shared" si="1"/>
        <v>12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37</v>
      </c>
      <c r="AD14" s="17">
        <f t="shared" si="6"/>
        <v>0</v>
      </c>
      <c r="AE14" s="31">
        <f t="shared" si="6"/>
        <v>3</v>
      </c>
      <c r="AF14" s="31">
        <f t="shared" si="6"/>
        <v>40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1</v>
      </c>
      <c r="P15" s="15">
        <f t="shared" si="1"/>
        <v>10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37</v>
      </c>
      <c r="AD15" s="17">
        <f t="shared" si="7"/>
        <v>0</v>
      </c>
      <c r="AE15" s="31">
        <f t="shared" si="7"/>
        <v>12</v>
      </c>
      <c r="AF15" s="31">
        <f t="shared" si="7"/>
        <v>49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3</v>
      </c>
      <c r="P16" s="15">
        <f t="shared" si="1"/>
        <v>13</v>
      </c>
      <c r="R16" s="1" t="s">
        <v>12</v>
      </c>
      <c r="S16" s="17">
        <f t="shared" ref="S16:AF16" si="8">SUM(C34:C37)</f>
        <v>5</v>
      </c>
      <c r="T16" s="17">
        <f t="shared" si="8"/>
        <v>1</v>
      </c>
      <c r="U16" s="17">
        <f t="shared" si="8"/>
        <v>1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46</v>
      </c>
      <c r="AD16" s="17">
        <f t="shared" si="8"/>
        <v>0</v>
      </c>
      <c r="AE16" s="31">
        <f t="shared" si="8"/>
        <v>13</v>
      </c>
      <c r="AF16" s="31">
        <f t="shared" si="8"/>
        <v>59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4</v>
      </c>
      <c r="P17" s="15">
        <f t="shared" si="1"/>
        <v>17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42</v>
      </c>
      <c r="AD17" s="17">
        <f t="shared" si="9"/>
        <v>0</v>
      </c>
      <c r="AE17" s="31">
        <f t="shared" si="9"/>
        <v>2</v>
      </c>
      <c r="AF17" s="31">
        <f t="shared" si="9"/>
        <v>44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0</v>
      </c>
      <c r="P18" s="15">
        <f t="shared" si="1"/>
        <v>9</v>
      </c>
      <c r="R18" s="1" t="s">
        <v>14</v>
      </c>
      <c r="S18" s="17">
        <f t="shared" ref="S18:AF18" si="10">SUM(C42:C45)</f>
        <v>5</v>
      </c>
      <c r="T18" s="17">
        <f t="shared" si="10"/>
        <v>1</v>
      </c>
      <c r="U18" s="17">
        <f t="shared" si="10"/>
        <v>2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49</v>
      </c>
      <c r="AD18" s="17">
        <f t="shared" si="10"/>
        <v>0</v>
      </c>
      <c r="AE18" s="31">
        <f t="shared" si="10"/>
        <v>13</v>
      </c>
      <c r="AF18" s="31">
        <f t="shared" si="10"/>
        <v>62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7</v>
      </c>
      <c r="N19" s="50">
        <v>0</v>
      </c>
      <c r="O19" s="15">
        <f t="shared" si="0"/>
        <v>1</v>
      </c>
      <c r="P19" s="15">
        <f t="shared" si="1"/>
        <v>8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39</v>
      </c>
      <c r="AD19" s="17">
        <f t="shared" si="11"/>
        <v>0</v>
      </c>
      <c r="AE19" s="31">
        <f t="shared" si="11"/>
        <v>6</v>
      </c>
      <c r="AF19" s="31">
        <f t="shared" si="11"/>
        <v>45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11</v>
      </c>
      <c r="N20" s="50">
        <v>0</v>
      </c>
      <c r="O20" s="15">
        <f t="shared" si="0"/>
        <v>1</v>
      </c>
      <c r="P20" s="15">
        <f t="shared" si="1"/>
        <v>12</v>
      </c>
      <c r="R20" s="1" t="s">
        <v>16</v>
      </c>
      <c r="S20" s="17">
        <f t="shared" ref="S20:AF20" si="12">SUM(C50:C53)</f>
        <v>2</v>
      </c>
      <c r="T20" s="17">
        <f t="shared" si="12"/>
        <v>2</v>
      </c>
      <c r="U20" s="17">
        <f t="shared" si="12"/>
        <v>2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29</v>
      </c>
      <c r="AD20" s="17">
        <f t="shared" si="12"/>
        <v>0</v>
      </c>
      <c r="AE20" s="31">
        <f t="shared" si="12"/>
        <v>7</v>
      </c>
      <c r="AF20" s="31">
        <f t="shared" si="12"/>
        <v>36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8</v>
      </c>
      <c r="N21" s="50">
        <v>0</v>
      </c>
      <c r="O21" s="15">
        <f t="shared" si="0"/>
        <v>4</v>
      </c>
      <c r="P21" s="15">
        <f t="shared" si="1"/>
        <v>12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2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29</v>
      </c>
      <c r="AD21" s="17">
        <f t="shared" si="13"/>
        <v>0</v>
      </c>
      <c r="AE21" s="31">
        <f t="shared" si="13"/>
        <v>12</v>
      </c>
      <c r="AF21" s="31">
        <f t="shared" si="13"/>
        <v>41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3</v>
      </c>
      <c r="P22" s="15">
        <f t="shared" si="1"/>
        <v>6</v>
      </c>
      <c r="R22" s="38" t="s">
        <v>90</v>
      </c>
      <c r="S22" s="39">
        <f>MAX(S10:S12)</f>
        <v>3</v>
      </c>
      <c r="T22" s="39">
        <f t="shared" ref="T22:AF22" si="14">MAX(T10:T12)</f>
        <v>3</v>
      </c>
      <c r="U22" s="39">
        <f t="shared" si="14"/>
        <v>1</v>
      </c>
      <c r="V22" s="39">
        <f t="shared" si="14"/>
        <v>3</v>
      </c>
      <c r="W22" s="39">
        <f t="shared" si="14"/>
        <v>1</v>
      </c>
      <c r="X22" s="39">
        <f t="shared" si="14"/>
        <v>0</v>
      </c>
      <c r="Y22" s="39">
        <f t="shared" si="14"/>
        <v>3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44</v>
      </c>
      <c r="AD22" s="39">
        <f t="shared" si="14"/>
        <v>0</v>
      </c>
      <c r="AE22" s="40">
        <f t="shared" si="14"/>
        <v>9</v>
      </c>
      <c r="AF22" s="40">
        <f t="shared" si="14"/>
        <v>52</v>
      </c>
    </row>
    <row r="23" spans="2:32" ht="23.1" customHeight="1" x14ac:dyDescent="0.25">
      <c r="B23" s="23" t="s">
        <v>50</v>
      </c>
      <c r="C23" s="50">
        <v>1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2</v>
      </c>
      <c r="P23" s="15">
        <f t="shared" si="1"/>
        <v>5</v>
      </c>
      <c r="R23" s="38" t="s">
        <v>91</v>
      </c>
      <c r="S23" s="39">
        <f>MAX(S13:S18)</f>
        <v>5</v>
      </c>
      <c r="T23" s="39">
        <f t="shared" ref="T23:AF23" si="15">MAX(T13:T18)</f>
        <v>3</v>
      </c>
      <c r="U23" s="39">
        <f t="shared" si="15"/>
        <v>2</v>
      </c>
      <c r="V23" s="39">
        <f t="shared" si="15"/>
        <v>3</v>
      </c>
      <c r="W23" s="39">
        <f t="shared" si="15"/>
        <v>0</v>
      </c>
      <c r="X23" s="39">
        <f t="shared" si="15"/>
        <v>0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49</v>
      </c>
      <c r="AD23" s="39">
        <f t="shared" si="15"/>
        <v>0</v>
      </c>
      <c r="AE23" s="40">
        <f t="shared" si="15"/>
        <v>13</v>
      </c>
      <c r="AF23" s="40">
        <f t="shared" si="15"/>
        <v>62</v>
      </c>
    </row>
    <row r="24" spans="2:32" ht="23.1" customHeight="1" x14ac:dyDescent="0.25">
      <c r="B24" s="23" t="s">
        <v>51</v>
      </c>
      <c r="C24" s="50">
        <v>0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15</v>
      </c>
      <c r="N24" s="50">
        <v>0</v>
      </c>
      <c r="O24" s="15">
        <f t="shared" si="0"/>
        <v>1</v>
      </c>
      <c r="P24" s="15">
        <f t="shared" si="1"/>
        <v>16</v>
      </c>
      <c r="R24" s="38" t="s">
        <v>92</v>
      </c>
      <c r="S24" s="39">
        <f>MAX(S19:S21)</f>
        <v>4</v>
      </c>
      <c r="T24" s="39">
        <f t="shared" ref="T24:AF24" si="16">MAX(T19:T21)</f>
        <v>2</v>
      </c>
      <c r="U24" s="39">
        <f t="shared" si="16"/>
        <v>2</v>
      </c>
      <c r="V24" s="39">
        <f t="shared" si="16"/>
        <v>3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39</v>
      </c>
      <c r="AD24" s="39">
        <f t="shared" si="16"/>
        <v>0</v>
      </c>
      <c r="AE24" s="40">
        <f t="shared" si="16"/>
        <v>12</v>
      </c>
      <c r="AF24" s="40">
        <f t="shared" si="16"/>
        <v>45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1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3</v>
      </c>
      <c r="P25" s="15">
        <f t="shared" si="1"/>
        <v>14</v>
      </c>
      <c r="R25" s="37" t="s">
        <v>85</v>
      </c>
      <c r="S25" s="35">
        <f t="shared" ref="S25:AF25" si="17">SUM(S10:S12)</f>
        <v>6</v>
      </c>
      <c r="T25" s="16">
        <f t="shared" si="17"/>
        <v>3</v>
      </c>
      <c r="U25" s="16">
        <f t="shared" si="17"/>
        <v>2</v>
      </c>
      <c r="V25" s="16">
        <f t="shared" si="17"/>
        <v>4</v>
      </c>
      <c r="W25" s="16">
        <f t="shared" si="17"/>
        <v>1</v>
      </c>
      <c r="X25" s="16">
        <f t="shared" si="17"/>
        <v>0</v>
      </c>
      <c r="Y25" s="16">
        <f t="shared" si="17"/>
        <v>7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111</v>
      </c>
      <c r="AD25" s="16">
        <f t="shared" si="17"/>
        <v>0</v>
      </c>
      <c r="AE25" s="32">
        <f t="shared" si="17"/>
        <v>23</v>
      </c>
      <c r="AF25" s="32">
        <f t="shared" si="17"/>
        <v>134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13</v>
      </c>
      <c r="N26" s="50">
        <v>0</v>
      </c>
      <c r="O26" s="15">
        <f t="shared" si="0"/>
        <v>0</v>
      </c>
      <c r="P26" s="15">
        <f t="shared" si="1"/>
        <v>13</v>
      </c>
      <c r="R26" s="28" t="s">
        <v>86</v>
      </c>
      <c r="S26" s="16">
        <f t="shared" ref="S26:AF26" si="18">SUM(S13:S18)</f>
        <v>19</v>
      </c>
      <c r="T26" s="16">
        <f t="shared" si="18"/>
        <v>5</v>
      </c>
      <c r="U26" s="16">
        <f t="shared" si="18"/>
        <v>6</v>
      </c>
      <c r="V26" s="16">
        <f t="shared" si="18"/>
        <v>7</v>
      </c>
      <c r="W26" s="16">
        <f t="shared" si="18"/>
        <v>0</v>
      </c>
      <c r="X26" s="16">
        <f t="shared" si="18"/>
        <v>0</v>
      </c>
      <c r="Y26" s="16">
        <f t="shared" si="18"/>
        <v>12</v>
      </c>
      <c r="Z26" s="16">
        <f t="shared" si="18"/>
        <v>3</v>
      </c>
      <c r="AA26" s="16">
        <f t="shared" si="18"/>
        <v>0</v>
      </c>
      <c r="AB26" s="16">
        <f t="shared" si="18"/>
        <v>0</v>
      </c>
      <c r="AC26" s="16">
        <f t="shared" si="18"/>
        <v>243</v>
      </c>
      <c r="AD26" s="16">
        <f t="shared" si="18"/>
        <v>0</v>
      </c>
      <c r="AE26" s="32">
        <f t="shared" si="18"/>
        <v>52</v>
      </c>
      <c r="AF26" s="32">
        <f t="shared" si="18"/>
        <v>295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5">
        <f t="shared" si="0"/>
        <v>3</v>
      </c>
      <c r="P27" s="15">
        <f t="shared" si="1"/>
        <v>9</v>
      </c>
      <c r="R27" s="29" t="s">
        <v>87</v>
      </c>
      <c r="S27" s="16">
        <f t="shared" ref="S27:AF27" si="19">SUM(S19:S21)</f>
        <v>9</v>
      </c>
      <c r="T27" s="16">
        <f t="shared" si="19"/>
        <v>3</v>
      </c>
      <c r="U27" s="16">
        <f t="shared" si="19"/>
        <v>5</v>
      </c>
      <c r="V27" s="16">
        <f t="shared" si="19"/>
        <v>3</v>
      </c>
      <c r="W27" s="16">
        <f t="shared" si="19"/>
        <v>0</v>
      </c>
      <c r="X27" s="16">
        <f t="shared" si="19"/>
        <v>0</v>
      </c>
      <c r="Y27" s="16">
        <f t="shared" si="19"/>
        <v>4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97</v>
      </c>
      <c r="AD27" s="16">
        <f t="shared" si="19"/>
        <v>0</v>
      </c>
      <c r="AE27" s="32">
        <f t="shared" si="19"/>
        <v>25</v>
      </c>
      <c r="AF27" s="32">
        <f t="shared" si="19"/>
        <v>122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10</v>
      </c>
      <c r="N28" s="50">
        <v>0</v>
      </c>
      <c r="O28" s="15">
        <f t="shared" si="0"/>
        <v>0</v>
      </c>
      <c r="P28" s="15">
        <f t="shared" si="1"/>
        <v>10</v>
      </c>
      <c r="R28" s="5" t="s">
        <v>17</v>
      </c>
      <c r="S28" s="16">
        <f t="shared" ref="S28:AF28" si="20">SUM(S10:S21)</f>
        <v>34</v>
      </c>
      <c r="T28" s="16">
        <f t="shared" si="20"/>
        <v>11</v>
      </c>
      <c r="U28" s="16">
        <f t="shared" si="20"/>
        <v>13</v>
      </c>
      <c r="V28" s="16">
        <f t="shared" si="20"/>
        <v>14</v>
      </c>
      <c r="W28" s="16">
        <f t="shared" si="20"/>
        <v>1</v>
      </c>
      <c r="X28" s="16">
        <f t="shared" si="20"/>
        <v>0</v>
      </c>
      <c r="Y28" s="16">
        <f t="shared" si="20"/>
        <v>23</v>
      </c>
      <c r="Z28" s="16">
        <f t="shared" si="20"/>
        <v>4</v>
      </c>
      <c r="AA28" s="16">
        <f t="shared" si="20"/>
        <v>0</v>
      </c>
      <c r="AB28" s="16">
        <f t="shared" si="20"/>
        <v>0</v>
      </c>
      <c r="AC28" s="16">
        <f t="shared" si="20"/>
        <v>451</v>
      </c>
      <c r="AD28" s="16">
        <f t="shared" si="20"/>
        <v>0</v>
      </c>
      <c r="AE28" s="32">
        <f t="shared" si="20"/>
        <v>100</v>
      </c>
      <c r="AF28" s="32">
        <f t="shared" si="20"/>
        <v>551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0</v>
      </c>
      <c r="P29" s="15">
        <f t="shared" si="1"/>
        <v>8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4</v>
      </c>
      <c r="P30" s="15">
        <f t="shared" si="1"/>
        <v>13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10</v>
      </c>
      <c r="N31" s="50">
        <v>0</v>
      </c>
      <c r="O31" s="15">
        <f t="shared" si="0"/>
        <v>5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0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3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18</v>
      </c>
      <c r="N34" s="50">
        <v>0</v>
      </c>
      <c r="O34" s="15">
        <f t="shared" si="0"/>
        <v>3</v>
      </c>
      <c r="P34" s="15">
        <f t="shared" si="1"/>
        <v>21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2</v>
      </c>
      <c r="P35" s="15">
        <f t="shared" si="1"/>
        <v>17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4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4</v>
      </c>
      <c r="P37" s="15">
        <f t="shared" si="1"/>
        <v>12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18</v>
      </c>
      <c r="N38" s="50">
        <v>0</v>
      </c>
      <c r="O38" s="15">
        <f t="shared" si="0"/>
        <v>0</v>
      </c>
      <c r="P38" s="15">
        <f t="shared" si="1"/>
        <v>18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2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10</v>
      </c>
      <c r="N40" s="50">
        <v>0</v>
      </c>
      <c r="O40" s="15">
        <f t="shared" si="0"/>
        <v>0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10</v>
      </c>
      <c r="N41" s="50">
        <v>0</v>
      </c>
      <c r="O41" s="15">
        <f t="shared" si="0"/>
        <v>0</v>
      </c>
      <c r="P41" s="15">
        <f t="shared" si="1"/>
        <v>10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9</v>
      </c>
      <c r="N42" s="50">
        <v>0</v>
      </c>
      <c r="O42" s="15">
        <f t="shared" si="0"/>
        <v>3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16</v>
      </c>
      <c r="N43" s="50">
        <v>0</v>
      </c>
      <c r="O43" s="15">
        <f t="shared" si="0"/>
        <v>1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1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19</v>
      </c>
      <c r="N44" s="50">
        <v>0</v>
      </c>
      <c r="O44" s="15">
        <f t="shared" si="0"/>
        <v>5</v>
      </c>
      <c r="P44" s="15">
        <f t="shared" si="1"/>
        <v>24</v>
      </c>
    </row>
    <row r="45" spans="2:20" ht="23.1" customHeight="1" x14ac:dyDescent="0.25">
      <c r="B45" s="23" t="s">
        <v>72</v>
      </c>
      <c r="C45" s="50">
        <v>1</v>
      </c>
      <c r="D45" s="50">
        <v>1</v>
      </c>
      <c r="E45" s="50">
        <v>1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4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12</v>
      </c>
      <c r="N46" s="50">
        <v>0</v>
      </c>
      <c r="O46" s="15">
        <f t="shared" si="0"/>
        <v>1</v>
      </c>
      <c r="P46" s="15">
        <f t="shared" si="1"/>
        <v>13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10</v>
      </c>
      <c r="N47" s="50">
        <v>0</v>
      </c>
      <c r="O47" s="15">
        <f t="shared" si="0"/>
        <v>0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8</v>
      </c>
      <c r="N48" s="50">
        <v>0</v>
      </c>
      <c r="O48" s="15">
        <f t="shared" si="0"/>
        <v>0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9</v>
      </c>
      <c r="N49" s="50">
        <v>0</v>
      </c>
      <c r="O49" s="15">
        <f t="shared" si="0"/>
        <v>5</v>
      </c>
      <c r="P49" s="15">
        <f t="shared" si="1"/>
        <v>14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1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9</v>
      </c>
      <c r="N50" s="50">
        <v>0</v>
      </c>
      <c r="O50" s="15">
        <f t="shared" si="0"/>
        <v>4</v>
      </c>
      <c r="P50" s="15">
        <f t="shared" si="1"/>
        <v>13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8</v>
      </c>
      <c r="N51" s="50">
        <v>0</v>
      </c>
      <c r="O51" s="15">
        <f t="shared" si="0"/>
        <v>0</v>
      </c>
      <c r="P51" s="15">
        <f t="shared" si="1"/>
        <v>8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0</v>
      </c>
      <c r="P52" s="15">
        <f t="shared" si="1"/>
        <v>5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7</v>
      </c>
      <c r="N53" s="50">
        <v>0</v>
      </c>
      <c r="O53" s="15">
        <f t="shared" si="0"/>
        <v>3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12</v>
      </c>
      <c r="N54" s="50">
        <v>0</v>
      </c>
      <c r="O54" s="15">
        <f t="shared" si="0"/>
        <v>5</v>
      </c>
      <c r="P54" s="15">
        <f t="shared" si="1"/>
        <v>17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7</v>
      </c>
      <c r="N55" s="50">
        <v>0</v>
      </c>
      <c r="O55" s="15">
        <f t="shared" si="0"/>
        <v>1</v>
      </c>
      <c r="P55" s="15">
        <f t="shared" si="1"/>
        <v>8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3</v>
      </c>
      <c r="P56" s="15">
        <f t="shared" si="1"/>
        <v>8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5</v>
      </c>
      <c r="N57" s="50">
        <v>0</v>
      </c>
      <c r="O57" s="15">
        <f t="shared" si="0"/>
        <v>3</v>
      </c>
      <c r="P57" s="15">
        <f t="shared" si="1"/>
        <v>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</v>
      </c>
      <c r="D58" s="16">
        <f t="shared" si="21"/>
        <v>11</v>
      </c>
      <c r="E58" s="16">
        <f t="shared" si="21"/>
        <v>13</v>
      </c>
      <c r="F58" s="16">
        <f t="shared" si="21"/>
        <v>14</v>
      </c>
      <c r="G58" s="16">
        <f t="shared" si="21"/>
        <v>1</v>
      </c>
      <c r="H58" s="16">
        <f t="shared" si="21"/>
        <v>0</v>
      </c>
      <c r="I58" s="16">
        <f t="shared" si="21"/>
        <v>23</v>
      </c>
      <c r="J58" s="16">
        <f t="shared" si="21"/>
        <v>4</v>
      </c>
      <c r="K58" s="16">
        <f t="shared" si="21"/>
        <v>0</v>
      </c>
      <c r="L58" s="16">
        <f t="shared" si="21"/>
        <v>0</v>
      </c>
      <c r="M58" s="16">
        <f t="shared" si="21"/>
        <v>451</v>
      </c>
      <c r="N58" s="16">
        <f t="shared" si="21"/>
        <v>0</v>
      </c>
      <c r="O58" s="16">
        <f t="shared" si="21"/>
        <v>100</v>
      </c>
      <c r="P58" s="16">
        <f t="shared" si="21"/>
        <v>551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6.1705989110707807E-2</v>
      </c>
      <c r="D59" s="43">
        <f t="shared" si="22"/>
        <v>1.9963702359346643E-2</v>
      </c>
      <c r="E59" s="43">
        <f t="shared" si="22"/>
        <v>2.3593466424682397E-2</v>
      </c>
      <c r="F59" s="43">
        <f t="shared" si="22"/>
        <v>2.5408348457350273E-2</v>
      </c>
      <c r="G59" s="43">
        <f t="shared" si="22"/>
        <v>1.8148820326678765E-3</v>
      </c>
      <c r="H59" s="43">
        <f t="shared" si="22"/>
        <v>0</v>
      </c>
      <c r="I59" s="43">
        <f t="shared" si="22"/>
        <v>4.1742286751361164E-2</v>
      </c>
      <c r="J59" s="43">
        <f t="shared" si="22"/>
        <v>7.2595281306715061E-3</v>
      </c>
      <c r="K59" s="43">
        <f t="shared" si="22"/>
        <v>0</v>
      </c>
      <c r="L59" s="43">
        <f t="shared" si="22"/>
        <v>0</v>
      </c>
      <c r="M59" s="43">
        <f t="shared" si="22"/>
        <v>0.81851179673321239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0.34</v>
      </c>
      <c r="D60" s="44">
        <f t="shared" ref="D60:N60" si="23">D58/$O$58</f>
        <v>0.11</v>
      </c>
      <c r="E60" s="44">
        <f t="shared" si="23"/>
        <v>0.13</v>
      </c>
      <c r="F60" s="44">
        <f t="shared" si="23"/>
        <v>0.14000000000000001</v>
      </c>
      <c r="G60" s="44">
        <f t="shared" si="23"/>
        <v>0.01</v>
      </c>
      <c r="H60" s="44">
        <f t="shared" si="23"/>
        <v>0</v>
      </c>
      <c r="I60" s="44">
        <f t="shared" si="23"/>
        <v>0.23</v>
      </c>
      <c r="J60" s="44">
        <f t="shared" si="23"/>
        <v>0.04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3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'17.10 MITYANA-BUSUNJU'!C3:G3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tr">
        <f>'22.10 BUSUNJU-MITYANA '!D5</f>
        <v>22.10.19</v>
      </c>
      <c r="E5" s="3"/>
      <c r="F5" s="41" t="s">
        <v>1</v>
      </c>
      <c r="G5" s="64" t="str">
        <f>'22.10 BUSUNJU-MITYANA '!G5:H5</f>
        <v>EXCEL&amp;LOOGE</v>
      </c>
      <c r="H5" s="65"/>
      <c r="I5" s="14"/>
      <c r="J5" s="2" t="s">
        <v>5</v>
      </c>
      <c r="K5" s="64" t="str">
        <f>'22.10 BUSUNJU-MITYANA '!K5:L5</f>
        <v>JOSEPHINE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'17.10 MITYANA-BUSUNJU'!D6:E6</f>
        <v>MITYANA</v>
      </c>
      <c r="E6" s="65"/>
      <c r="F6" s="2" t="s">
        <v>2</v>
      </c>
      <c r="G6" s="64" t="str">
        <f>'17.10 MITYANA-BUSUNJU'!G6:H6</f>
        <v>BUSUNJU</v>
      </c>
      <c r="H6" s="65"/>
      <c r="J6" s="2" t="s">
        <v>21</v>
      </c>
      <c r="K6" s="64" t="str">
        <f>'22.10 BUSUNJU-MITYANA 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4</v>
      </c>
      <c r="T10" s="17">
        <f t="shared" si="2"/>
        <v>1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48</v>
      </c>
      <c r="AD10" s="17">
        <f t="shared" si="2"/>
        <v>0</v>
      </c>
      <c r="AE10" s="31">
        <f t="shared" si="2"/>
        <v>8</v>
      </c>
      <c r="AF10" s="31">
        <f t="shared" si="2"/>
        <v>56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3</v>
      </c>
      <c r="P11" s="15">
        <f t="shared" si="1"/>
        <v>10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38</v>
      </c>
      <c r="AD11" s="17">
        <f t="shared" si="3"/>
        <v>0</v>
      </c>
      <c r="AE11" s="31">
        <f t="shared" si="3"/>
        <v>8</v>
      </c>
      <c r="AF11" s="31">
        <f t="shared" si="3"/>
        <v>46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25</v>
      </c>
      <c r="N12" s="50">
        <v>0</v>
      </c>
      <c r="O12" s="15">
        <f t="shared" si="0"/>
        <v>0</v>
      </c>
      <c r="P12" s="15">
        <f t="shared" si="1"/>
        <v>25</v>
      </c>
      <c r="R12" s="1" t="s">
        <v>8</v>
      </c>
      <c r="S12" s="17">
        <f t="shared" ref="S12:AF12" si="4">SUM(C18:C21)</f>
        <v>1</v>
      </c>
      <c r="T12" s="17">
        <f t="shared" si="4"/>
        <v>2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2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44</v>
      </c>
      <c r="AD12" s="17">
        <f t="shared" si="4"/>
        <v>0</v>
      </c>
      <c r="AE12" s="31">
        <f t="shared" si="4"/>
        <v>11</v>
      </c>
      <c r="AF12" s="31">
        <f t="shared" si="4"/>
        <v>55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10</v>
      </c>
      <c r="N13" s="50">
        <v>0</v>
      </c>
      <c r="O13" s="15">
        <f t="shared" si="0"/>
        <v>1</v>
      </c>
      <c r="P13" s="15">
        <f t="shared" si="1"/>
        <v>11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46</v>
      </c>
      <c r="AD13" s="17">
        <f t="shared" si="5"/>
        <v>0</v>
      </c>
      <c r="AE13" s="31">
        <f t="shared" si="5"/>
        <v>6</v>
      </c>
      <c r="AF13" s="31">
        <f t="shared" si="5"/>
        <v>52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2</v>
      </c>
      <c r="P14" s="15">
        <f t="shared" si="1"/>
        <v>11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1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45</v>
      </c>
      <c r="AD14" s="17">
        <f t="shared" si="6"/>
        <v>0</v>
      </c>
      <c r="AE14" s="31">
        <f t="shared" si="6"/>
        <v>6</v>
      </c>
      <c r="AF14" s="31">
        <f t="shared" si="6"/>
        <v>51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2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4</v>
      </c>
      <c r="P15" s="15">
        <f t="shared" si="1"/>
        <v>14</v>
      </c>
      <c r="R15" s="1" t="s">
        <v>11</v>
      </c>
      <c r="S15" s="17">
        <f t="shared" ref="S15:AF15" si="7">SUM(C30:C33)</f>
        <v>6</v>
      </c>
      <c r="T15" s="17">
        <f t="shared" si="7"/>
        <v>1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37</v>
      </c>
      <c r="AD15" s="17">
        <f t="shared" si="7"/>
        <v>0</v>
      </c>
      <c r="AE15" s="31">
        <f t="shared" si="7"/>
        <v>9</v>
      </c>
      <c r="AF15" s="31">
        <f t="shared" si="7"/>
        <v>46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1</v>
      </c>
      <c r="P16" s="15">
        <f t="shared" si="1"/>
        <v>15</v>
      </c>
      <c r="R16" s="1" t="s">
        <v>12</v>
      </c>
      <c r="S16" s="17">
        <f t="shared" ref="S16:AF16" si="8">SUM(C34:C37)</f>
        <v>5</v>
      </c>
      <c r="T16" s="17">
        <f t="shared" si="8"/>
        <v>1</v>
      </c>
      <c r="U16" s="17">
        <f t="shared" si="8"/>
        <v>0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63</v>
      </c>
      <c r="AD16" s="17">
        <f t="shared" si="8"/>
        <v>0</v>
      </c>
      <c r="AE16" s="31">
        <f t="shared" si="8"/>
        <v>11</v>
      </c>
      <c r="AF16" s="31">
        <f t="shared" si="8"/>
        <v>74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1</v>
      </c>
      <c r="P17" s="15">
        <f t="shared" si="1"/>
        <v>6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56</v>
      </c>
      <c r="AD17" s="17">
        <f t="shared" si="9"/>
        <v>0</v>
      </c>
      <c r="AE17" s="31">
        <f t="shared" si="9"/>
        <v>6</v>
      </c>
      <c r="AF17" s="31">
        <f t="shared" si="9"/>
        <v>62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11</v>
      </c>
      <c r="N18" s="50">
        <v>0</v>
      </c>
      <c r="O18" s="15">
        <f t="shared" si="0"/>
        <v>3</v>
      </c>
      <c r="P18" s="15">
        <f t="shared" si="1"/>
        <v>14</v>
      </c>
      <c r="R18" s="1" t="s">
        <v>14</v>
      </c>
      <c r="S18" s="17">
        <f t="shared" ref="S18:AF18" si="10">SUM(C42:C45)</f>
        <v>9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48</v>
      </c>
      <c r="AD18" s="17">
        <f t="shared" si="10"/>
        <v>0</v>
      </c>
      <c r="AE18" s="31">
        <f t="shared" si="10"/>
        <v>12</v>
      </c>
      <c r="AF18" s="31">
        <f t="shared" si="10"/>
        <v>60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0</v>
      </c>
      <c r="P19" s="15">
        <f t="shared" si="1"/>
        <v>5</v>
      </c>
      <c r="R19" s="1" t="s">
        <v>15</v>
      </c>
      <c r="S19" s="17">
        <f t="shared" ref="S19:AF19" si="11">SUM(C46:C49)</f>
        <v>0</v>
      </c>
      <c r="T19" s="17">
        <f t="shared" si="11"/>
        <v>1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51</v>
      </c>
      <c r="AD19" s="17">
        <f t="shared" si="11"/>
        <v>0</v>
      </c>
      <c r="AE19" s="31">
        <f t="shared" si="11"/>
        <v>7</v>
      </c>
      <c r="AF19" s="31">
        <f t="shared" si="11"/>
        <v>58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1</v>
      </c>
      <c r="F20" s="50">
        <v>0</v>
      </c>
      <c r="G20" s="50">
        <v>0</v>
      </c>
      <c r="H20" s="50">
        <v>2</v>
      </c>
      <c r="I20" s="50">
        <v>0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4</v>
      </c>
      <c r="P20" s="15">
        <f t="shared" si="1"/>
        <v>17</v>
      </c>
      <c r="R20" s="1" t="s">
        <v>16</v>
      </c>
      <c r="S20" s="17">
        <f t="shared" ref="S20:AF20" si="12">SUM(C50:C53)</f>
        <v>7</v>
      </c>
      <c r="T20" s="17">
        <f t="shared" si="12"/>
        <v>0</v>
      </c>
      <c r="U20" s="17">
        <f t="shared" si="12"/>
        <v>1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37</v>
      </c>
      <c r="AD20" s="17">
        <f t="shared" si="12"/>
        <v>0</v>
      </c>
      <c r="AE20" s="31">
        <f t="shared" si="12"/>
        <v>10</v>
      </c>
      <c r="AF20" s="31">
        <f t="shared" si="12"/>
        <v>47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4</v>
      </c>
      <c r="P21" s="15">
        <f t="shared" si="1"/>
        <v>19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31</v>
      </c>
      <c r="AD21" s="17">
        <f t="shared" si="13"/>
        <v>0</v>
      </c>
      <c r="AE21" s="31">
        <f t="shared" si="13"/>
        <v>7</v>
      </c>
      <c r="AF21" s="31">
        <f t="shared" si="13"/>
        <v>38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9</v>
      </c>
      <c r="N22" s="50">
        <v>0</v>
      </c>
      <c r="O22" s="15">
        <f t="shared" si="0"/>
        <v>2</v>
      </c>
      <c r="P22" s="15">
        <f t="shared" si="1"/>
        <v>11</v>
      </c>
      <c r="R22" s="38" t="s">
        <v>90</v>
      </c>
      <c r="S22" s="39">
        <f>MAX(S10:S12)</f>
        <v>4</v>
      </c>
      <c r="T22" s="39">
        <f t="shared" ref="T22:AF22" si="14">MAX(T10:T12)</f>
        <v>2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2</v>
      </c>
      <c r="Y22" s="39">
        <f t="shared" si="14"/>
        <v>5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48</v>
      </c>
      <c r="AD22" s="39">
        <f t="shared" si="14"/>
        <v>0</v>
      </c>
      <c r="AE22" s="40">
        <f t="shared" si="14"/>
        <v>11</v>
      </c>
      <c r="AF22" s="40">
        <f t="shared" si="14"/>
        <v>56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10</v>
      </c>
      <c r="N23" s="50">
        <v>0</v>
      </c>
      <c r="O23" s="15">
        <f t="shared" si="0"/>
        <v>1</v>
      </c>
      <c r="P23" s="15">
        <f t="shared" si="1"/>
        <v>11</v>
      </c>
      <c r="R23" s="38" t="s">
        <v>91</v>
      </c>
      <c r="S23" s="39">
        <f>MAX(S13:S18)</f>
        <v>9</v>
      </c>
      <c r="T23" s="39">
        <f t="shared" ref="T23:AF23" si="15">MAX(T13:T18)</f>
        <v>1</v>
      </c>
      <c r="U23" s="39">
        <f t="shared" si="15"/>
        <v>1</v>
      </c>
      <c r="V23" s="39">
        <f t="shared" si="15"/>
        <v>1</v>
      </c>
      <c r="W23" s="39">
        <f t="shared" si="15"/>
        <v>1</v>
      </c>
      <c r="X23" s="39">
        <f t="shared" si="15"/>
        <v>0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63</v>
      </c>
      <c r="AD23" s="39">
        <f t="shared" si="15"/>
        <v>0</v>
      </c>
      <c r="AE23" s="40">
        <f t="shared" si="15"/>
        <v>12</v>
      </c>
      <c r="AF23" s="40">
        <f t="shared" si="15"/>
        <v>74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12</v>
      </c>
      <c r="N24" s="50">
        <v>0</v>
      </c>
      <c r="O24" s="15">
        <f t="shared" si="0"/>
        <v>2</v>
      </c>
      <c r="P24" s="15">
        <f t="shared" si="1"/>
        <v>14</v>
      </c>
      <c r="R24" s="38" t="s">
        <v>92</v>
      </c>
      <c r="S24" s="39">
        <f>MAX(S19:S21)</f>
        <v>7</v>
      </c>
      <c r="T24" s="39">
        <f t="shared" ref="T24:AF24" si="16">MAX(T19:T21)</f>
        <v>1</v>
      </c>
      <c r="U24" s="39">
        <f t="shared" si="16"/>
        <v>1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51</v>
      </c>
      <c r="AD24" s="39">
        <f t="shared" si="16"/>
        <v>0</v>
      </c>
      <c r="AE24" s="40">
        <f t="shared" si="16"/>
        <v>10</v>
      </c>
      <c r="AF24" s="40">
        <f t="shared" si="16"/>
        <v>58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15</v>
      </c>
      <c r="N25" s="50">
        <v>0</v>
      </c>
      <c r="O25" s="15">
        <f t="shared" si="0"/>
        <v>1</v>
      </c>
      <c r="P25" s="15">
        <f t="shared" si="1"/>
        <v>16</v>
      </c>
      <c r="R25" s="37" t="s">
        <v>85</v>
      </c>
      <c r="S25" s="35">
        <f t="shared" ref="S25:AF25" si="17">SUM(S10:S12)</f>
        <v>6</v>
      </c>
      <c r="T25" s="16">
        <f t="shared" si="17"/>
        <v>3</v>
      </c>
      <c r="U25" s="16">
        <f t="shared" si="17"/>
        <v>4</v>
      </c>
      <c r="V25" s="16">
        <f t="shared" si="17"/>
        <v>2</v>
      </c>
      <c r="W25" s="16">
        <f t="shared" si="17"/>
        <v>0</v>
      </c>
      <c r="X25" s="16">
        <f t="shared" si="17"/>
        <v>2</v>
      </c>
      <c r="Y25" s="16">
        <f t="shared" si="17"/>
        <v>9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130</v>
      </c>
      <c r="AD25" s="16">
        <f t="shared" si="17"/>
        <v>0</v>
      </c>
      <c r="AE25" s="32">
        <f t="shared" si="17"/>
        <v>27</v>
      </c>
      <c r="AF25" s="32">
        <f t="shared" si="17"/>
        <v>157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10</v>
      </c>
      <c r="N26" s="50">
        <v>0</v>
      </c>
      <c r="O26" s="15">
        <f t="shared" si="0"/>
        <v>0</v>
      </c>
      <c r="P26" s="15">
        <f t="shared" si="1"/>
        <v>10</v>
      </c>
      <c r="R26" s="28" t="s">
        <v>86</v>
      </c>
      <c r="S26" s="16">
        <f t="shared" ref="S26:AF26" si="18">SUM(S13:S18)</f>
        <v>29</v>
      </c>
      <c r="T26" s="16">
        <f t="shared" si="18"/>
        <v>2</v>
      </c>
      <c r="U26" s="16">
        <f t="shared" si="18"/>
        <v>2</v>
      </c>
      <c r="V26" s="16">
        <f t="shared" si="18"/>
        <v>1</v>
      </c>
      <c r="W26" s="16">
        <f t="shared" si="18"/>
        <v>1</v>
      </c>
      <c r="X26" s="16">
        <f t="shared" si="18"/>
        <v>0</v>
      </c>
      <c r="Y26" s="16">
        <f t="shared" si="18"/>
        <v>12</v>
      </c>
      <c r="Z26" s="16">
        <f t="shared" si="18"/>
        <v>3</v>
      </c>
      <c r="AA26" s="16">
        <f t="shared" si="18"/>
        <v>0</v>
      </c>
      <c r="AB26" s="16">
        <f t="shared" si="18"/>
        <v>0</v>
      </c>
      <c r="AC26" s="16">
        <f t="shared" si="18"/>
        <v>295</v>
      </c>
      <c r="AD26" s="16">
        <f t="shared" si="18"/>
        <v>0</v>
      </c>
      <c r="AE26" s="32">
        <f t="shared" si="18"/>
        <v>50</v>
      </c>
      <c r="AF26" s="32">
        <f t="shared" si="18"/>
        <v>345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1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12</v>
      </c>
      <c r="N27" s="50">
        <v>0</v>
      </c>
      <c r="O27" s="15">
        <f t="shared" si="0"/>
        <v>2</v>
      </c>
      <c r="P27" s="15">
        <f t="shared" si="1"/>
        <v>14</v>
      </c>
      <c r="R27" s="29" t="s">
        <v>87</v>
      </c>
      <c r="S27" s="16">
        <f t="shared" ref="S27:AF27" si="19">SUM(S19:S21)</f>
        <v>10</v>
      </c>
      <c r="T27" s="16">
        <f t="shared" si="19"/>
        <v>1</v>
      </c>
      <c r="U27" s="16">
        <f t="shared" si="19"/>
        <v>2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6</v>
      </c>
      <c r="Z27" s="16">
        <f t="shared" si="19"/>
        <v>3</v>
      </c>
      <c r="AA27" s="16">
        <f t="shared" si="19"/>
        <v>0</v>
      </c>
      <c r="AB27" s="16">
        <f t="shared" si="19"/>
        <v>0</v>
      </c>
      <c r="AC27" s="16">
        <f t="shared" si="19"/>
        <v>119</v>
      </c>
      <c r="AD27" s="16">
        <f t="shared" si="19"/>
        <v>0</v>
      </c>
      <c r="AE27" s="32">
        <f t="shared" si="19"/>
        <v>24</v>
      </c>
      <c r="AF27" s="32">
        <f t="shared" si="19"/>
        <v>143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10</v>
      </c>
      <c r="N28" s="50">
        <v>0</v>
      </c>
      <c r="O28" s="15">
        <f t="shared" si="0"/>
        <v>3</v>
      </c>
      <c r="P28" s="15">
        <f t="shared" si="1"/>
        <v>13</v>
      </c>
      <c r="R28" s="5" t="s">
        <v>17</v>
      </c>
      <c r="S28" s="16">
        <f t="shared" ref="S28:AF28" si="20">SUM(S10:S21)</f>
        <v>45</v>
      </c>
      <c r="T28" s="16">
        <f t="shared" si="20"/>
        <v>6</v>
      </c>
      <c r="U28" s="16">
        <f t="shared" si="20"/>
        <v>8</v>
      </c>
      <c r="V28" s="16">
        <f t="shared" si="20"/>
        <v>5</v>
      </c>
      <c r="W28" s="16">
        <f t="shared" si="20"/>
        <v>1</v>
      </c>
      <c r="X28" s="16">
        <f t="shared" si="20"/>
        <v>2</v>
      </c>
      <c r="Y28" s="16">
        <f t="shared" si="20"/>
        <v>27</v>
      </c>
      <c r="Z28" s="16">
        <f t="shared" si="20"/>
        <v>7</v>
      </c>
      <c r="AA28" s="16">
        <f t="shared" si="20"/>
        <v>0</v>
      </c>
      <c r="AB28" s="16">
        <f t="shared" si="20"/>
        <v>0</v>
      </c>
      <c r="AC28" s="16">
        <f t="shared" si="20"/>
        <v>544</v>
      </c>
      <c r="AD28" s="16">
        <f t="shared" si="20"/>
        <v>0</v>
      </c>
      <c r="AE28" s="32">
        <f t="shared" si="20"/>
        <v>101</v>
      </c>
      <c r="AF28" s="32">
        <f t="shared" si="20"/>
        <v>645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13</v>
      </c>
      <c r="N29" s="50">
        <v>0</v>
      </c>
      <c r="O29" s="15">
        <f t="shared" si="0"/>
        <v>1</v>
      </c>
      <c r="P29" s="15">
        <f t="shared" si="1"/>
        <v>14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1</v>
      </c>
      <c r="P30" s="15">
        <f t="shared" si="1"/>
        <v>10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13</v>
      </c>
      <c r="N31" s="50">
        <v>0</v>
      </c>
      <c r="O31" s="15">
        <f t="shared" si="0"/>
        <v>2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10</v>
      </c>
      <c r="N32" s="50">
        <v>0</v>
      </c>
      <c r="O32" s="15">
        <f t="shared" si="0"/>
        <v>5</v>
      </c>
      <c r="P32" s="15">
        <f t="shared" si="1"/>
        <v>15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5">
        <f t="shared" si="0"/>
        <v>1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23</v>
      </c>
      <c r="N34" s="50">
        <v>0</v>
      </c>
      <c r="O34" s="15">
        <f t="shared" si="0"/>
        <v>5</v>
      </c>
      <c r="P34" s="15">
        <f t="shared" si="1"/>
        <v>28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13</v>
      </c>
      <c r="N35" s="50">
        <v>0</v>
      </c>
      <c r="O35" s="15">
        <f t="shared" si="0"/>
        <v>3</v>
      </c>
      <c r="P35" s="15">
        <f t="shared" si="1"/>
        <v>16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1</v>
      </c>
      <c r="P36" s="15">
        <f t="shared" si="1"/>
        <v>15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13</v>
      </c>
      <c r="N37" s="50">
        <v>0</v>
      </c>
      <c r="O37" s="15">
        <f t="shared" si="0"/>
        <v>2</v>
      </c>
      <c r="P37" s="15">
        <f t="shared" si="1"/>
        <v>15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2</v>
      </c>
      <c r="P38" s="15">
        <f t="shared" si="1"/>
        <v>15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10</v>
      </c>
      <c r="N39" s="50">
        <v>0</v>
      </c>
      <c r="O39" s="15">
        <f t="shared" si="0"/>
        <v>1</v>
      </c>
      <c r="P39" s="15">
        <f t="shared" si="1"/>
        <v>11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17</v>
      </c>
      <c r="N40" s="50">
        <v>0</v>
      </c>
      <c r="O40" s="15">
        <f t="shared" si="0"/>
        <v>2</v>
      </c>
      <c r="P40" s="15">
        <f t="shared" si="1"/>
        <v>19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1</v>
      </c>
      <c r="P41" s="15">
        <f t="shared" si="1"/>
        <v>17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3</v>
      </c>
      <c r="P42" s="15">
        <f t="shared" si="1"/>
        <v>16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10</v>
      </c>
      <c r="N43" s="50">
        <v>0</v>
      </c>
      <c r="O43" s="15">
        <f t="shared" si="0"/>
        <v>4</v>
      </c>
      <c r="P43" s="15">
        <f t="shared" si="1"/>
        <v>14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2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17</v>
      </c>
      <c r="N45" s="50">
        <v>0</v>
      </c>
      <c r="O45" s="15">
        <f t="shared" si="0"/>
        <v>3</v>
      </c>
      <c r="P45" s="15">
        <f t="shared" si="1"/>
        <v>20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15</v>
      </c>
      <c r="N46" s="50">
        <v>0</v>
      </c>
      <c r="O46" s="15">
        <f t="shared" si="0"/>
        <v>2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11</v>
      </c>
      <c r="N47" s="50">
        <v>0</v>
      </c>
      <c r="O47" s="15">
        <f t="shared" si="0"/>
        <v>1</v>
      </c>
      <c r="P47" s="15">
        <f t="shared" si="1"/>
        <v>12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18</v>
      </c>
      <c r="N48" s="50">
        <v>0</v>
      </c>
      <c r="O48" s="15">
        <f t="shared" si="0"/>
        <v>3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1</v>
      </c>
      <c r="P49" s="15">
        <f t="shared" si="1"/>
        <v>8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3</v>
      </c>
      <c r="P50" s="15">
        <f t="shared" si="1"/>
        <v>15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10</v>
      </c>
      <c r="N51" s="50">
        <v>0</v>
      </c>
      <c r="O51" s="15">
        <f t="shared" si="0"/>
        <v>4</v>
      </c>
      <c r="P51" s="15">
        <f t="shared" si="1"/>
        <v>14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10</v>
      </c>
      <c r="N52" s="50">
        <v>0</v>
      </c>
      <c r="O52" s="15">
        <f t="shared" si="0"/>
        <v>2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1</v>
      </c>
      <c r="P53" s="15">
        <f t="shared" si="1"/>
        <v>6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3</v>
      </c>
      <c r="P54" s="15">
        <f t="shared" si="1"/>
        <v>11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6</v>
      </c>
      <c r="N55" s="50">
        <v>0</v>
      </c>
      <c r="O55" s="15">
        <f t="shared" si="0"/>
        <v>1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8</v>
      </c>
      <c r="N56" s="50">
        <v>0</v>
      </c>
      <c r="O56" s="15">
        <f t="shared" si="0"/>
        <v>0</v>
      </c>
      <c r="P56" s="15">
        <f t="shared" si="1"/>
        <v>8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9</v>
      </c>
      <c r="N57" s="50">
        <v>0</v>
      </c>
      <c r="O57" s="15">
        <f t="shared" si="0"/>
        <v>3</v>
      </c>
      <c r="P57" s="15">
        <f t="shared" si="1"/>
        <v>12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</v>
      </c>
      <c r="D58" s="16">
        <f t="shared" si="21"/>
        <v>6</v>
      </c>
      <c r="E58" s="16">
        <f t="shared" si="21"/>
        <v>8</v>
      </c>
      <c r="F58" s="16">
        <f t="shared" si="21"/>
        <v>5</v>
      </c>
      <c r="G58" s="16">
        <f t="shared" si="21"/>
        <v>1</v>
      </c>
      <c r="H58" s="16">
        <f t="shared" si="21"/>
        <v>2</v>
      </c>
      <c r="I58" s="16">
        <f t="shared" si="21"/>
        <v>27</v>
      </c>
      <c r="J58" s="16">
        <f t="shared" si="21"/>
        <v>7</v>
      </c>
      <c r="K58" s="16">
        <f t="shared" si="21"/>
        <v>0</v>
      </c>
      <c r="L58" s="16">
        <f t="shared" si="21"/>
        <v>0</v>
      </c>
      <c r="M58" s="16">
        <f t="shared" si="21"/>
        <v>544</v>
      </c>
      <c r="N58" s="16">
        <f t="shared" si="21"/>
        <v>0</v>
      </c>
      <c r="O58" s="16">
        <f t="shared" si="21"/>
        <v>101</v>
      </c>
      <c r="P58" s="16">
        <f t="shared" si="21"/>
        <v>645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6.9767441860465115E-2</v>
      </c>
      <c r="D59" s="43">
        <f t="shared" si="22"/>
        <v>9.3023255813953487E-3</v>
      </c>
      <c r="E59" s="43">
        <f t="shared" si="22"/>
        <v>1.2403100775193798E-2</v>
      </c>
      <c r="F59" s="43">
        <f t="shared" si="22"/>
        <v>7.7519379844961239E-3</v>
      </c>
      <c r="G59" s="43">
        <f t="shared" si="22"/>
        <v>1.5503875968992248E-3</v>
      </c>
      <c r="H59" s="43">
        <f t="shared" si="22"/>
        <v>3.1007751937984496E-3</v>
      </c>
      <c r="I59" s="43">
        <f t="shared" si="22"/>
        <v>4.1860465116279069E-2</v>
      </c>
      <c r="J59" s="43">
        <f t="shared" si="22"/>
        <v>1.0852713178294573E-2</v>
      </c>
      <c r="K59" s="43">
        <f t="shared" si="22"/>
        <v>0</v>
      </c>
      <c r="L59" s="43">
        <f t="shared" si="22"/>
        <v>0</v>
      </c>
      <c r="M59" s="43">
        <f t="shared" si="22"/>
        <v>0.84341085271317828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0.44554455445544555</v>
      </c>
      <c r="D60" s="44">
        <f t="shared" ref="D60:N60" si="23">D58/$O$58</f>
        <v>5.9405940594059403E-2</v>
      </c>
      <c r="E60" s="44">
        <f t="shared" si="23"/>
        <v>7.9207920792079209E-2</v>
      </c>
      <c r="F60" s="44">
        <f t="shared" si="23"/>
        <v>4.9504950495049507E-2</v>
      </c>
      <c r="G60" s="44">
        <f t="shared" si="23"/>
        <v>9.9009900990099011E-3</v>
      </c>
      <c r="H60" s="44">
        <f t="shared" si="23"/>
        <v>1.9801980198019802E-2</v>
      </c>
      <c r="I60" s="44">
        <f t="shared" si="23"/>
        <v>0.26732673267326734</v>
      </c>
      <c r="J60" s="44">
        <f t="shared" si="23"/>
        <v>6.9306930693069313E-2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4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'17.10 BUSUNGU-MITYANA'!C3:G3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179</v>
      </c>
      <c r="E5" s="3"/>
      <c r="F5" s="41" t="s">
        <v>1</v>
      </c>
      <c r="G5" s="64" t="str">
        <f>'19.10 BUSUNJU-MITYANA 24hr'!G5:H5</f>
        <v>EXCEL&amp;LOOGE</v>
      </c>
      <c r="H5" s="65"/>
      <c r="I5" s="14"/>
      <c r="J5" s="2" t="s">
        <v>5</v>
      </c>
      <c r="K5" s="64" t="str">
        <f>'19.10 BUSUNJU-MITYANA 24hr'!K5:L5</f>
        <v>JOSEPHINE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">
        <v>170</v>
      </c>
      <c r="E6" s="65"/>
      <c r="F6" s="2" t="s">
        <v>2</v>
      </c>
      <c r="G6" s="64" t="str">
        <f>'17.10 BUSUNGU-MITYANA'!G6:H6</f>
        <v>MITYANA</v>
      </c>
      <c r="H6" s="65"/>
      <c r="J6" s="2" t="s">
        <v>21</v>
      </c>
      <c r="K6" s="64" t="str">
        <f>'19.10 BUSUNJU-MITYANA 24hr'!K6:L6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0</v>
      </c>
      <c r="G10" s="50">
        <v>0</v>
      </c>
      <c r="H10" s="50">
        <v>1</v>
      </c>
      <c r="I10" s="50">
        <v>1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1</v>
      </c>
      <c r="Y10" s="17">
        <f t="shared" si="2"/>
        <v>4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30</v>
      </c>
      <c r="AD10" s="17">
        <f t="shared" si="2"/>
        <v>0</v>
      </c>
      <c r="AE10" s="31">
        <f t="shared" si="2"/>
        <v>10</v>
      </c>
      <c r="AF10" s="31">
        <f t="shared" si="2"/>
        <v>40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1</v>
      </c>
      <c r="P11" s="15">
        <f t="shared" si="1"/>
        <v>8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60</v>
      </c>
      <c r="AD11" s="17">
        <f t="shared" si="3"/>
        <v>0</v>
      </c>
      <c r="AE11" s="31">
        <f t="shared" si="3"/>
        <v>10</v>
      </c>
      <c r="AF11" s="31">
        <f t="shared" si="3"/>
        <v>70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1</v>
      </c>
      <c r="P12" s="15">
        <f t="shared" si="1"/>
        <v>8</v>
      </c>
      <c r="R12" s="1" t="s">
        <v>8</v>
      </c>
      <c r="S12" s="17">
        <f t="shared" ref="S12:AF12" si="4">SUM(C18:C21)</f>
        <v>0</v>
      </c>
      <c r="T12" s="17">
        <f t="shared" si="4"/>
        <v>1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49</v>
      </c>
      <c r="AD12" s="17">
        <f t="shared" si="4"/>
        <v>0</v>
      </c>
      <c r="AE12" s="31">
        <f t="shared" si="4"/>
        <v>5</v>
      </c>
      <c r="AF12" s="31">
        <f t="shared" si="4"/>
        <v>54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4</v>
      </c>
      <c r="P13" s="15">
        <f t="shared" si="1"/>
        <v>15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49</v>
      </c>
      <c r="AD13" s="17">
        <f t="shared" si="5"/>
        <v>0</v>
      </c>
      <c r="AE13" s="31">
        <f t="shared" si="5"/>
        <v>6</v>
      </c>
      <c r="AF13" s="31">
        <f t="shared" si="5"/>
        <v>55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16</v>
      </c>
      <c r="N14" s="50">
        <v>0</v>
      </c>
      <c r="O14" s="15">
        <f t="shared" si="0"/>
        <v>4</v>
      </c>
      <c r="P14" s="15">
        <f t="shared" si="1"/>
        <v>20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0</v>
      </c>
      <c r="V14" s="17">
        <f t="shared" si="6"/>
        <v>1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43</v>
      </c>
      <c r="AD14" s="17">
        <f t="shared" si="6"/>
        <v>0</v>
      </c>
      <c r="AE14" s="31">
        <f t="shared" si="6"/>
        <v>12</v>
      </c>
      <c r="AF14" s="31">
        <f t="shared" si="6"/>
        <v>55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17</v>
      </c>
      <c r="N15" s="50">
        <v>0</v>
      </c>
      <c r="O15" s="15">
        <f t="shared" si="0"/>
        <v>2</v>
      </c>
      <c r="P15" s="15">
        <f t="shared" si="1"/>
        <v>19</v>
      </c>
      <c r="R15" s="1" t="s">
        <v>11</v>
      </c>
      <c r="S15" s="17">
        <f t="shared" ref="S15:AF15" si="7">SUM(C30:C33)</f>
        <v>1</v>
      </c>
      <c r="T15" s="17">
        <f t="shared" si="7"/>
        <v>1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46</v>
      </c>
      <c r="AD15" s="17">
        <f t="shared" si="7"/>
        <v>0</v>
      </c>
      <c r="AE15" s="31">
        <f t="shared" si="7"/>
        <v>6</v>
      </c>
      <c r="AF15" s="31">
        <f t="shared" si="7"/>
        <v>52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1</v>
      </c>
      <c r="I16" s="50">
        <v>0</v>
      </c>
      <c r="J16" s="50">
        <v>0</v>
      </c>
      <c r="K16" s="50">
        <v>0</v>
      </c>
      <c r="L16" s="50">
        <v>0</v>
      </c>
      <c r="M16" s="50">
        <v>17</v>
      </c>
      <c r="N16" s="50">
        <v>0</v>
      </c>
      <c r="O16" s="15">
        <f t="shared" si="0"/>
        <v>2</v>
      </c>
      <c r="P16" s="15">
        <f t="shared" si="1"/>
        <v>19</v>
      </c>
      <c r="R16" s="1" t="s">
        <v>12</v>
      </c>
      <c r="S16" s="17">
        <f t="shared" ref="S16:AF16" si="8">SUM(C34:C37)</f>
        <v>0</v>
      </c>
      <c r="T16" s="17">
        <f t="shared" si="8"/>
        <v>0</v>
      </c>
      <c r="U16" s="17">
        <f t="shared" si="8"/>
        <v>0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50</v>
      </c>
      <c r="AD16" s="17">
        <f t="shared" si="8"/>
        <v>0</v>
      </c>
      <c r="AE16" s="31">
        <f t="shared" si="8"/>
        <v>1</v>
      </c>
      <c r="AF16" s="31">
        <f t="shared" si="8"/>
        <v>51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2</v>
      </c>
      <c r="P17" s="15">
        <f t="shared" si="1"/>
        <v>12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61</v>
      </c>
      <c r="AD17" s="17">
        <f t="shared" si="9"/>
        <v>0</v>
      </c>
      <c r="AE17" s="31">
        <f t="shared" si="9"/>
        <v>3</v>
      </c>
      <c r="AF17" s="31">
        <f t="shared" si="9"/>
        <v>64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10</v>
      </c>
      <c r="N18" s="50">
        <v>0</v>
      </c>
      <c r="O18" s="15">
        <f t="shared" si="0"/>
        <v>0</v>
      </c>
      <c r="P18" s="15">
        <f t="shared" si="1"/>
        <v>10</v>
      </c>
      <c r="R18" s="1" t="s">
        <v>14</v>
      </c>
      <c r="S18" s="17">
        <f t="shared" ref="S18:AF18" si="10">SUM(C42:C45)</f>
        <v>2</v>
      </c>
      <c r="T18" s="17">
        <f t="shared" si="10"/>
        <v>1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51</v>
      </c>
      <c r="AD18" s="17">
        <f t="shared" si="10"/>
        <v>0</v>
      </c>
      <c r="AE18" s="31">
        <f t="shared" si="10"/>
        <v>8</v>
      </c>
      <c r="AF18" s="31">
        <f t="shared" si="10"/>
        <v>59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3</v>
      </c>
      <c r="P19" s="15">
        <f t="shared" si="1"/>
        <v>18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54</v>
      </c>
      <c r="AD19" s="17">
        <f t="shared" si="11"/>
        <v>0</v>
      </c>
      <c r="AE19" s="31">
        <f t="shared" si="11"/>
        <v>8</v>
      </c>
      <c r="AF19" s="31">
        <f t="shared" si="11"/>
        <v>62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15</v>
      </c>
      <c r="N20" s="50">
        <v>0</v>
      </c>
      <c r="O20" s="15">
        <f t="shared" si="0"/>
        <v>1</v>
      </c>
      <c r="P20" s="15">
        <f t="shared" si="1"/>
        <v>16</v>
      </c>
      <c r="R20" s="1" t="s">
        <v>16</v>
      </c>
      <c r="S20" s="17">
        <f t="shared" ref="S20:AF20" si="12">SUM(C50:C53)</f>
        <v>1</v>
      </c>
      <c r="T20" s="17">
        <f t="shared" si="12"/>
        <v>1</v>
      </c>
      <c r="U20" s="17">
        <f t="shared" si="12"/>
        <v>2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64</v>
      </c>
      <c r="AD20" s="17">
        <f t="shared" si="12"/>
        <v>0</v>
      </c>
      <c r="AE20" s="31">
        <f t="shared" si="12"/>
        <v>8</v>
      </c>
      <c r="AF20" s="31">
        <f t="shared" si="12"/>
        <v>72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1</v>
      </c>
      <c r="P21" s="15">
        <f t="shared" si="1"/>
        <v>10</v>
      </c>
      <c r="R21" s="36" t="s">
        <v>20</v>
      </c>
      <c r="S21" s="34">
        <f t="shared" ref="S21:AF21" si="13">SUM(C54:C57)</f>
        <v>2</v>
      </c>
      <c r="T21" s="17">
        <f t="shared" si="13"/>
        <v>1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56</v>
      </c>
      <c r="AD21" s="17">
        <f t="shared" si="13"/>
        <v>0</v>
      </c>
      <c r="AE21" s="31">
        <f t="shared" si="13"/>
        <v>8</v>
      </c>
      <c r="AF21" s="31">
        <f t="shared" si="13"/>
        <v>64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14</v>
      </c>
      <c r="N22" s="50">
        <v>0</v>
      </c>
      <c r="O22" s="15">
        <f t="shared" si="0"/>
        <v>2</v>
      </c>
      <c r="P22" s="15">
        <f t="shared" si="1"/>
        <v>16</v>
      </c>
      <c r="R22" s="38" t="s">
        <v>90</v>
      </c>
      <c r="S22" s="39">
        <f>MAX(S10:S12)</f>
        <v>5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0</v>
      </c>
      <c r="W22" s="39">
        <f t="shared" si="14"/>
        <v>0</v>
      </c>
      <c r="X22" s="39">
        <f t="shared" si="14"/>
        <v>1</v>
      </c>
      <c r="Y22" s="39">
        <f t="shared" si="14"/>
        <v>4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60</v>
      </c>
      <c r="AD22" s="39">
        <f t="shared" si="14"/>
        <v>0</v>
      </c>
      <c r="AE22" s="40">
        <f t="shared" si="14"/>
        <v>10</v>
      </c>
      <c r="AF22" s="40">
        <f t="shared" si="14"/>
        <v>70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12</v>
      </c>
      <c r="N23" s="50">
        <v>0</v>
      </c>
      <c r="O23" s="15">
        <f t="shared" si="0"/>
        <v>1</v>
      </c>
      <c r="P23" s="15">
        <f t="shared" si="1"/>
        <v>13</v>
      </c>
      <c r="R23" s="38" t="s">
        <v>91</v>
      </c>
      <c r="S23" s="39">
        <f>MAX(S13:S18)</f>
        <v>7</v>
      </c>
      <c r="T23" s="39">
        <f t="shared" ref="T23:AF23" si="15">MAX(T13:T18)</f>
        <v>1</v>
      </c>
      <c r="U23" s="39">
        <f t="shared" si="15"/>
        <v>1</v>
      </c>
      <c r="V23" s="39">
        <f t="shared" si="15"/>
        <v>1</v>
      </c>
      <c r="W23" s="39">
        <f t="shared" si="15"/>
        <v>1</v>
      </c>
      <c r="X23" s="39">
        <f t="shared" si="15"/>
        <v>0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61</v>
      </c>
      <c r="AD23" s="39">
        <f t="shared" si="15"/>
        <v>0</v>
      </c>
      <c r="AE23" s="40">
        <f t="shared" si="15"/>
        <v>12</v>
      </c>
      <c r="AF23" s="40">
        <f t="shared" si="15"/>
        <v>64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2</v>
      </c>
      <c r="P24" s="15">
        <f t="shared" si="1"/>
        <v>13</v>
      </c>
      <c r="R24" s="38" t="s">
        <v>92</v>
      </c>
      <c r="S24" s="39">
        <f>MAX(S19:S21)</f>
        <v>5</v>
      </c>
      <c r="T24" s="39">
        <f t="shared" ref="T24:AF24" si="16">MAX(T19:T21)</f>
        <v>1</v>
      </c>
      <c r="U24" s="39">
        <f t="shared" si="16"/>
        <v>2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64</v>
      </c>
      <c r="AD24" s="39">
        <f t="shared" si="16"/>
        <v>0</v>
      </c>
      <c r="AE24" s="40">
        <f t="shared" si="16"/>
        <v>8</v>
      </c>
      <c r="AF24" s="40">
        <f t="shared" si="16"/>
        <v>72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12</v>
      </c>
      <c r="N25" s="50">
        <v>0</v>
      </c>
      <c r="O25" s="15">
        <f t="shared" si="0"/>
        <v>1</v>
      </c>
      <c r="P25" s="15">
        <f t="shared" si="1"/>
        <v>13</v>
      </c>
      <c r="R25" s="37" t="s">
        <v>85</v>
      </c>
      <c r="S25" s="35">
        <f t="shared" ref="S25:AF25" si="17">SUM(S10:S12)</f>
        <v>8</v>
      </c>
      <c r="T25" s="16">
        <f t="shared" si="17"/>
        <v>1</v>
      </c>
      <c r="U25" s="16">
        <f t="shared" si="17"/>
        <v>3</v>
      </c>
      <c r="V25" s="16">
        <f t="shared" si="17"/>
        <v>0</v>
      </c>
      <c r="W25" s="16">
        <f t="shared" si="17"/>
        <v>0</v>
      </c>
      <c r="X25" s="16">
        <f t="shared" si="17"/>
        <v>2</v>
      </c>
      <c r="Y25" s="16">
        <f t="shared" si="17"/>
        <v>9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139</v>
      </c>
      <c r="AD25" s="16">
        <f t="shared" si="17"/>
        <v>0</v>
      </c>
      <c r="AE25" s="32">
        <f t="shared" si="17"/>
        <v>25</v>
      </c>
      <c r="AF25" s="32">
        <f t="shared" si="17"/>
        <v>164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1</v>
      </c>
      <c r="P26" s="15">
        <f t="shared" si="1"/>
        <v>12</v>
      </c>
      <c r="R26" s="28" t="s">
        <v>86</v>
      </c>
      <c r="S26" s="16">
        <f t="shared" ref="S26:AF26" si="18">SUM(S13:S18)</f>
        <v>16</v>
      </c>
      <c r="T26" s="16">
        <f t="shared" si="18"/>
        <v>2</v>
      </c>
      <c r="U26" s="16">
        <f t="shared" si="18"/>
        <v>1</v>
      </c>
      <c r="V26" s="16">
        <f t="shared" si="18"/>
        <v>2</v>
      </c>
      <c r="W26" s="16">
        <f t="shared" si="18"/>
        <v>1</v>
      </c>
      <c r="X26" s="16">
        <f t="shared" si="18"/>
        <v>0</v>
      </c>
      <c r="Y26" s="16">
        <f t="shared" si="18"/>
        <v>12</v>
      </c>
      <c r="Z26" s="16">
        <f t="shared" si="18"/>
        <v>2</v>
      </c>
      <c r="AA26" s="16">
        <f t="shared" si="18"/>
        <v>0</v>
      </c>
      <c r="AB26" s="16">
        <f t="shared" si="18"/>
        <v>0</v>
      </c>
      <c r="AC26" s="16">
        <f t="shared" si="18"/>
        <v>300</v>
      </c>
      <c r="AD26" s="16">
        <f t="shared" si="18"/>
        <v>0</v>
      </c>
      <c r="AE26" s="32">
        <f t="shared" si="18"/>
        <v>36</v>
      </c>
      <c r="AF26" s="32">
        <f t="shared" si="18"/>
        <v>336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11</v>
      </c>
      <c r="N27" s="50">
        <v>0</v>
      </c>
      <c r="O27" s="15">
        <f t="shared" si="0"/>
        <v>3</v>
      </c>
      <c r="P27" s="15">
        <f t="shared" si="1"/>
        <v>14</v>
      </c>
      <c r="R27" s="29" t="s">
        <v>87</v>
      </c>
      <c r="S27" s="16">
        <f t="shared" ref="S27:AF27" si="19">SUM(S19:S21)</f>
        <v>8</v>
      </c>
      <c r="T27" s="16">
        <f t="shared" si="19"/>
        <v>2</v>
      </c>
      <c r="U27" s="16">
        <f t="shared" si="19"/>
        <v>4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7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174</v>
      </c>
      <c r="AD27" s="16">
        <f t="shared" si="19"/>
        <v>0</v>
      </c>
      <c r="AE27" s="32">
        <f t="shared" si="19"/>
        <v>24</v>
      </c>
      <c r="AF27" s="32">
        <f t="shared" si="19"/>
        <v>198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1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12</v>
      </c>
      <c r="N28" s="50">
        <v>0</v>
      </c>
      <c r="O28" s="15">
        <f t="shared" si="0"/>
        <v>3</v>
      </c>
      <c r="P28" s="15">
        <f t="shared" si="1"/>
        <v>15</v>
      </c>
      <c r="R28" s="5" t="s">
        <v>17</v>
      </c>
      <c r="S28" s="16">
        <f t="shared" ref="S28:AF28" si="20">SUM(S10:S21)</f>
        <v>32</v>
      </c>
      <c r="T28" s="16">
        <f t="shared" si="20"/>
        <v>5</v>
      </c>
      <c r="U28" s="16">
        <f t="shared" si="20"/>
        <v>8</v>
      </c>
      <c r="V28" s="16">
        <f t="shared" si="20"/>
        <v>3</v>
      </c>
      <c r="W28" s="16">
        <f t="shared" si="20"/>
        <v>1</v>
      </c>
      <c r="X28" s="16">
        <f t="shared" si="20"/>
        <v>2</v>
      </c>
      <c r="Y28" s="16">
        <f t="shared" si="20"/>
        <v>28</v>
      </c>
      <c r="Z28" s="16">
        <f t="shared" si="20"/>
        <v>6</v>
      </c>
      <c r="AA28" s="16">
        <f t="shared" si="20"/>
        <v>0</v>
      </c>
      <c r="AB28" s="16">
        <f t="shared" si="20"/>
        <v>0</v>
      </c>
      <c r="AC28" s="16">
        <f t="shared" si="20"/>
        <v>613</v>
      </c>
      <c r="AD28" s="16">
        <f t="shared" si="20"/>
        <v>0</v>
      </c>
      <c r="AE28" s="32">
        <f t="shared" si="20"/>
        <v>85</v>
      </c>
      <c r="AF28" s="32">
        <f t="shared" si="20"/>
        <v>698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9</v>
      </c>
      <c r="N29" s="50">
        <v>0</v>
      </c>
      <c r="O29" s="15">
        <f t="shared" si="0"/>
        <v>5</v>
      </c>
      <c r="P29" s="15">
        <f t="shared" si="1"/>
        <v>14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7</v>
      </c>
      <c r="N30" s="50">
        <v>0</v>
      </c>
      <c r="O30" s="15">
        <f t="shared" si="0"/>
        <v>2</v>
      </c>
      <c r="P30" s="15">
        <f t="shared" si="1"/>
        <v>9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14</v>
      </c>
      <c r="N31" s="50">
        <v>0</v>
      </c>
      <c r="O31" s="15">
        <f t="shared" si="0"/>
        <v>0</v>
      </c>
      <c r="P31" s="15">
        <f t="shared" si="1"/>
        <v>14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17</v>
      </c>
      <c r="N32" s="50">
        <v>0</v>
      </c>
      <c r="O32" s="15">
        <f t="shared" si="0"/>
        <v>1</v>
      </c>
      <c r="P32" s="15">
        <f t="shared" si="1"/>
        <v>18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8</v>
      </c>
      <c r="N33" s="50">
        <v>0</v>
      </c>
      <c r="O33" s="15">
        <f t="shared" si="0"/>
        <v>3</v>
      </c>
      <c r="P33" s="15">
        <f t="shared" si="1"/>
        <v>11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12</v>
      </c>
      <c r="N34" s="50">
        <v>0</v>
      </c>
      <c r="O34" s="15">
        <f t="shared" si="0"/>
        <v>0</v>
      </c>
      <c r="P34" s="15">
        <f t="shared" si="1"/>
        <v>12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1</v>
      </c>
      <c r="P35" s="15">
        <f t="shared" si="1"/>
        <v>16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0</v>
      </c>
      <c r="P36" s="15">
        <f t="shared" si="1"/>
        <v>14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0</v>
      </c>
      <c r="P37" s="15">
        <f t="shared" si="1"/>
        <v>9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1</v>
      </c>
      <c r="P38" s="15">
        <f t="shared" si="1"/>
        <v>14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14</v>
      </c>
      <c r="N39" s="50">
        <v>0</v>
      </c>
      <c r="O39" s="15">
        <f t="shared" si="0"/>
        <v>0</v>
      </c>
      <c r="P39" s="15">
        <f t="shared" si="1"/>
        <v>14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16</v>
      </c>
      <c r="N40" s="50">
        <v>0</v>
      </c>
      <c r="O40" s="15">
        <f t="shared" si="0"/>
        <v>1</v>
      </c>
      <c r="P40" s="15">
        <f t="shared" si="1"/>
        <v>17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18</v>
      </c>
      <c r="N41" s="50">
        <v>0</v>
      </c>
      <c r="O41" s="15">
        <f t="shared" si="0"/>
        <v>1</v>
      </c>
      <c r="P41" s="15">
        <f t="shared" si="1"/>
        <v>19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10</v>
      </c>
      <c r="N42" s="50">
        <v>0</v>
      </c>
      <c r="O42" s="15">
        <f t="shared" si="0"/>
        <v>3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2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13</v>
      </c>
      <c r="N44" s="50">
        <v>0</v>
      </c>
      <c r="O44" s="15">
        <f t="shared" si="0"/>
        <v>2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20</v>
      </c>
      <c r="N45" s="50">
        <v>0</v>
      </c>
      <c r="O45" s="15">
        <f t="shared" si="0"/>
        <v>1</v>
      </c>
      <c r="P45" s="15">
        <f t="shared" si="1"/>
        <v>21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14</v>
      </c>
      <c r="N46" s="50">
        <v>0</v>
      </c>
      <c r="O46" s="15">
        <f t="shared" si="0"/>
        <v>2</v>
      </c>
      <c r="P46" s="15">
        <f t="shared" si="1"/>
        <v>16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10</v>
      </c>
      <c r="N47" s="50">
        <v>0</v>
      </c>
      <c r="O47" s="15">
        <f t="shared" si="0"/>
        <v>0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20</v>
      </c>
      <c r="N48" s="50">
        <v>0</v>
      </c>
      <c r="O48" s="15">
        <f t="shared" si="0"/>
        <v>1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5">
        <f t="shared" si="0"/>
        <v>5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16</v>
      </c>
      <c r="N50" s="50">
        <v>0</v>
      </c>
      <c r="O50" s="15">
        <f t="shared" si="0"/>
        <v>2</v>
      </c>
      <c r="P50" s="15">
        <f t="shared" si="1"/>
        <v>18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1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13</v>
      </c>
      <c r="N51" s="50">
        <v>0</v>
      </c>
      <c r="O51" s="15">
        <f t="shared" si="0"/>
        <v>3</v>
      </c>
      <c r="P51" s="15">
        <f t="shared" si="1"/>
        <v>16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20</v>
      </c>
      <c r="N52" s="50">
        <v>0</v>
      </c>
      <c r="O52" s="15">
        <f t="shared" si="0"/>
        <v>2</v>
      </c>
      <c r="P52" s="15">
        <f t="shared" si="1"/>
        <v>22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15</v>
      </c>
      <c r="N53" s="50">
        <v>0</v>
      </c>
      <c r="O53" s="15">
        <f t="shared" si="0"/>
        <v>1</v>
      </c>
      <c r="P53" s="15">
        <f t="shared" si="1"/>
        <v>16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18</v>
      </c>
      <c r="N54" s="50">
        <v>0</v>
      </c>
      <c r="O54" s="15">
        <f t="shared" si="0"/>
        <v>3</v>
      </c>
      <c r="P54" s="15">
        <f t="shared" si="1"/>
        <v>21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13</v>
      </c>
      <c r="N55" s="50">
        <v>0</v>
      </c>
      <c r="O55" s="15">
        <f t="shared" si="0"/>
        <v>2</v>
      </c>
      <c r="P55" s="15">
        <f t="shared" si="1"/>
        <v>15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11</v>
      </c>
      <c r="N56" s="50">
        <v>0</v>
      </c>
      <c r="O56" s="15">
        <f t="shared" si="0"/>
        <v>0</v>
      </c>
      <c r="P56" s="15">
        <f t="shared" si="1"/>
        <v>11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14</v>
      </c>
      <c r="N57" s="50">
        <v>0</v>
      </c>
      <c r="O57" s="15">
        <f t="shared" si="0"/>
        <v>3</v>
      </c>
      <c r="P57" s="15">
        <f t="shared" si="1"/>
        <v>17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</v>
      </c>
      <c r="D58" s="16">
        <f t="shared" si="21"/>
        <v>5</v>
      </c>
      <c r="E58" s="16">
        <f t="shared" si="21"/>
        <v>8</v>
      </c>
      <c r="F58" s="16">
        <f t="shared" si="21"/>
        <v>3</v>
      </c>
      <c r="G58" s="16">
        <f t="shared" si="21"/>
        <v>1</v>
      </c>
      <c r="H58" s="16">
        <f t="shared" si="21"/>
        <v>2</v>
      </c>
      <c r="I58" s="16">
        <f t="shared" si="21"/>
        <v>28</v>
      </c>
      <c r="J58" s="16">
        <f t="shared" si="21"/>
        <v>6</v>
      </c>
      <c r="K58" s="16">
        <f t="shared" si="21"/>
        <v>0</v>
      </c>
      <c r="L58" s="16">
        <f t="shared" si="21"/>
        <v>0</v>
      </c>
      <c r="M58" s="16">
        <f t="shared" si="21"/>
        <v>613</v>
      </c>
      <c r="N58" s="16">
        <f t="shared" si="21"/>
        <v>0</v>
      </c>
      <c r="O58" s="16">
        <f t="shared" si="21"/>
        <v>85</v>
      </c>
      <c r="P58" s="16">
        <f t="shared" si="21"/>
        <v>698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4.5845272206303724E-2</v>
      </c>
      <c r="D59" s="43">
        <f t="shared" si="22"/>
        <v>7.1633237822349575E-3</v>
      </c>
      <c r="E59" s="43">
        <f t="shared" si="22"/>
        <v>1.1461318051575931E-2</v>
      </c>
      <c r="F59" s="43">
        <f t="shared" si="22"/>
        <v>4.2979942693409743E-3</v>
      </c>
      <c r="G59" s="43">
        <f t="shared" si="22"/>
        <v>1.4326647564469914E-3</v>
      </c>
      <c r="H59" s="43">
        <f t="shared" si="22"/>
        <v>2.8653295128939827E-3</v>
      </c>
      <c r="I59" s="43">
        <f t="shared" si="22"/>
        <v>4.0114613180515762E-2</v>
      </c>
      <c r="J59" s="43">
        <f t="shared" si="22"/>
        <v>8.5959885386819486E-3</v>
      </c>
      <c r="K59" s="43">
        <f t="shared" si="22"/>
        <v>0</v>
      </c>
      <c r="L59" s="43">
        <f t="shared" si="22"/>
        <v>0</v>
      </c>
      <c r="M59" s="43">
        <f t="shared" si="22"/>
        <v>0.87822349570200575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0.37647058823529411</v>
      </c>
      <c r="D60" s="44">
        <f t="shared" ref="D60:N60" si="23">D58/$O$58</f>
        <v>5.8823529411764705E-2</v>
      </c>
      <c r="E60" s="44">
        <f t="shared" si="23"/>
        <v>9.4117647058823528E-2</v>
      </c>
      <c r="F60" s="44">
        <f t="shared" si="23"/>
        <v>3.5294117647058823E-2</v>
      </c>
      <c r="G60" s="44">
        <f t="shared" si="23"/>
        <v>1.1764705882352941E-2</v>
      </c>
      <c r="H60" s="44">
        <f t="shared" si="23"/>
        <v>2.3529411764705882E-2</v>
      </c>
      <c r="I60" s="44">
        <f t="shared" si="23"/>
        <v>0.32941176470588235</v>
      </c>
      <c r="J60" s="44">
        <f t="shared" si="23"/>
        <v>7.0588235294117646E-2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'17.10 MITYANA-BUSUNJU'!C3:G3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56"/>
      <c r="H4" s="56"/>
      <c r="I4" s="22"/>
      <c r="J4" s="56"/>
      <c r="K4" s="56"/>
      <c r="L4" s="56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180</v>
      </c>
      <c r="E5" s="55"/>
      <c r="F5" s="41" t="s">
        <v>1</v>
      </c>
      <c r="G5" s="64" t="str">
        <f>'17.10 BUSUNGU-MITYANA'!G5:H5</f>
        <v>EXCEL&amp;LOOGE</v>
      </c>
      <c r="H5" s="65"/>
      <c r="I5" s="14"/>
      <c r="J5" s="2" t="s">
        <v>5</v>
      </c>
      <c r="K5" s="64" t="s">
        <v>168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'17.10 MITYANA-BUSUNJU'!D6:E6</f>
        <v>MITYANA</v>
      </c>
      <c r="E6" s="65"/>
      <c r="F6" s="2" t="s">
        <v>2</v>
      </c>
      <c r="G6" s="64" t="str">
        <f>'17.10 MITYANA-BUSUNJU'!G6:H6</f>
        <v>BUSUNJU</v>
      </c>
      <c r="H6" s="65"/>
      <c r="J6" s="2" t="s">
        <v>21</v>
      </c>
      <c r="K6" s="64" t="str">
        <f>'17.10 BUSUNGU-MITYANA'!K6:L6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50</v>
      </c>
      <c r="AD10" s="17">
        <f t="shared" si="2"/>
        <v>0</v>
      </c>
      <c r="AE10" s="31">
        <f t="shared" si="2"/>
        <v>5</v>
      </c>
      <c r="AF10" s="31">
        <f t="shared" si="2"/>
        <v>55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0</v>
      </c>
      <c r="P11" s="15">
        <f t="shared" si="1"/>
        <v>11</v>
      </c>
      <c r="R11" s="1" t="s">
        <v>7</v>
      </c>
      <c r="S11" s="17">
        <f t="shared" ref="S11:AF11" si="3">SUM(C14:C17)</f>
        <v>0</v>
      </c>
      <c r="T11" s="17">
        <f t="shared" si="3"/>
        <v>1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49</v>
      </c>
      <c r="AD11" s="17">
        <f t="shared" si="3"/>
        <v>0</v>
      </c>
      <c r="AE11" s="31">
        <f t="shared" si="3"/>
        <v>3</v>
      </c>
      <c r="AF11" s="31">
        <f t="shared" si="3"/>
        <v>52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14</v>
      </c>
      <c r="N12" s="50">
        <v>0</v>
      </c>
      <c r="O12" s="15">
        <f t="shared" si="0"/>
        <v>1</v>
      </c>
      <c r="P12" s="15">
        <f t="shared" si="1"/>
        <v>15</v>
      </c>
      <c r="R12" s="1" t="s">
        <v>8</v>
      </c>
      <c r="S12" s="17">
        <f t="shared" ref="S12:AF12" si="4">SUM(C18:C21)</f>
        <v>3</v>
      </c>
      <c r="T12" s="17">
        <f t="shared" si="4"/>
        <v>3</v>
      </c>
      <c r="U12" s="17">
        <f t="shared" si="4"/>
        <v>0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49</v>
      </c>
      <c r="AD12" s="17">
        <f t="shared" si="4"/>
        <v>0</v>
      </c>
      <c r="AE12" s="31">
        <f t="shared" si="4"/>
        <v>11</v>
      </c>
      <c r="AF12" s="31">
        <f t="shared" si="4"/>
        <v>60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20</v>
      </c>
      <c r="N13" s="50">
        <v>0</v>
      </c>
      <c r="O13" s="15">
        <f t="shared" si="0"/>
        <v>1</v>
      </c>
      <c r="P13" s="15">
        <f t="shared" si="1"/>
        <v>21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47</v>
      </c>
      <c r="AD13" s="17">
        <f t="shared" si="5"/>
        <v>0</v>
      </c>
      <c r="AE13" s="31">
        <f t="shared" si="5"/>
        <v>3</v>
      </c>
      <c r="AF13" s="31">
        <f t="shared" si="5"/>
        <v>50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10</v>
      </c>
      <c r="N14" s="50">
        <v>0</v>
      </c>
      <c r="O14" s="15">
        <f t="shared" si="0"/>
        <v>1</v>
      </c>
      <c r="P14" s="15">
        <f t="shared" si="1"/>
        <v>11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52</v>
      </c>
      <c r="AD14" s="17">
        <f t="shared" si="6"/>
        <v>0</v>
      </c>
      <c r="AE14" s="31">
        <f t="shared" si="6"/>
        <v>5</v>
      </c>
      <c r="AF14" s="31">
        <f t="shared" si="6"/>
        <v>57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15</v>
      </c>
      <c r="N15" s="50">
        <v>0</v>
      </c>
      <c r="O15" s="15">
        <f t="shared" si="0"/>
        <v>1</v>
      </c>
      <c r="P15" s="15">
        <f t="shared" si="1"/>
        <v>16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3</v>
      </c>
      <c r="V15" s="17">
        <f t="shared" si="7"/>
        <v>1</v>
      </c>
      <c r="W15" s="17">
        <f t="shared" si="7"/>
        <v>1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60</v>
      </c>
      <c r="AD15" s="17">
        <f t="shared" si="7"/>
        <v>0</v>
      </c>
      <c r="AE15" s="31">
        <f t="shared" si="7"/>
        <v>10</v>
      </c>
      <c r="AF15" s="31">
        <f t="shared" si="7"/>
        <v>70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13</v>
      </c>
      <c r="N16" s="50">
        <v>0</v>
      </c>
      <c r="O16" s="15">
        <f t="shared" si="0"/>
        <v>0</v>
      </c>
      <c r="P16" s="15">
        <f t="shared" si="1"/>
        <v>13</v>
      </c>
      <c r="R16" s="1" t="s">
        <v>12</v>
      </c>
      <c r="S16" s="17">
        <f t="shared" ref="S16:AF16" si="8">SUM(C34:C37)</f>
        <v>3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54</v>
      </c>
      <c r="AD16" s="17">
        <f t="shared" si="8"/>
        <v>0</v>
      </c>
      <c r="AE16" s="31">
        <f t="shared" si="8"/>
        <v>6</v>
      </c>
      <c r="AF16" s="31">
        <f t="shared" si="8"/>
        <v>60</v>
      </c>
    </row>
    <row r="17" spans="2:32" ht="23.1" customHeight="1" x14ac:dyDescent="0.25">
      <c r="B17" s="23" t="s">
        <v>44</v>
      </c>
      <c r="C17" s="50">
        <v>0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1</v>
      </c>
      <c r="P17" s="15">
        <f t="shared" si="1"/>
        <v>12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40</v>
      </c>
      <c r="AD17" s="17">
        <f t="shared" si="9"/>
        <v>0</v>
      </c>
      <c r="AE17" s="31">
        <f t="shared" si="9"/>
        <v>4</v>
      </c>
      <c r="AF17" s="31">
        <f t="shared" si="9"/>
        <v>44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12</v>
      </c>
      <c r="N18" s="50">
        <v>0</v>
      </c>
      <c r="O18" s="15">
        <f t="shared" si="0"/>
        <v>3</v>
      </c>
      <c r="P18" s="15">
        <f t="shared" si="1"/>
        <v>15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0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59</v>
      </c>
      <c r="AD18" s="17">
        <f t="shared" si="10"/>
        <v>0</v>
      </c>
      <c r="AE18" s="31">
        <f t="shared" si="10"/>
        <v>6</v>
      </c>
      <c r="AF18" s="31">
        <f t="shared" si="10"/>
        <v>65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6</v>
      </c>
      <c r="N19" s="50">
        <v>0</v>
      </c>
      <c r="O19" s="15">
        <f t="shared" si="0"/>
        <v>1</v>
      </c>
      <c r="P19" s="15">
        <f t="shared" si="1"/>
        <v>7</v>
      </c>
      <c r="R19" s="1" t="s">
        <v>15</v>
      </c>
      <c r="S19" s="17">
        <f t="shared" ref="S19:AF19" si="11">SUM(C46:C49)</f>
        <v>1</v>
      </c>
      <c r="T19" s="17">
        <f t="shared" si="11"/>
        <v>2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1</v>
      </c>
      <c r="AB19" s="17">
        <f t="shared" si="11"/>
        <v>0</v>
      </c>
      <c r="AC19" s="17">
        <f t="shared" si="11"/>
        <v>52</v>
      </c>
      <c r="AD19" s="17">
        <f t="shared" si="11"/>
        <v>0</v>
      </c>
      <c r="AE19" s="31">
        <f t="shared" si="11"/>
        <v>7</v>
      </c>
      <c r="AF19" s="31">
        <f t="shared" si="11"/>
        <v>59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0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16</v>
      </c>
      <c r="N20" s="50">
        <v>0</v>
      </c>
      <c r="O20" s="15">
        <f t="shared" si="0"/>
        <v>3</v>
      </c>
      <c r="P20" s="15">
        <f t="shared" si="1"/>
        <v>19</v>
      </c>
      <c r="R20" s="1" t="s">
        <v>16</v>
      </c>
      <c r="S20" s="17">
        <f t="shared" ref="S20:AF20" si="12">SUM(C50:C53)</f>
        <v>3</v>
      </c>
      <c r="T20" s="17">
        <f t="shared" si="12"/>
        <v>2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40</v>
      </c>
      <c r="AD20" s="17">
        <f t="shared" si="12"/>
        <v>0</v>
      </c>
      <c r="AE20" s="31">
        <f t="shared" si="12"/>
        <v>7</v>
      </c>
      <c r="AF20" s="31">
        <f t="shared" si="12"/>
        <v>47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4</v>
      </c>
      <c r="P21" s="15">
        <f t="shared" si="1"/>
        <v>19</v>
      </c>
      <c r="R21" s="36" t="s">
        <v>20</v>
      </c>
      <c r="S21" s="34">
        <f t="shared" ref="S21:AF21" si="13">SUM(C54:C57)</f>
        <v>3</v>
      </c>
      <c r="T21" s="17">
        <f t="shared" si="13"/>
        <v>2</v>
      </c>
      <c r="U21" s="17">
        <f t="shared" si="13"/>
        <v>3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53</v>
      </c>
      <c r="AD21" s="17">
        <f t="shared" si="13"/>
        <v>0</v>
      </c>
      <c r="AE21" s="31">
        <f t="shared" si="13"/>
        <v>17</v>
      </c>
      <c r="AF21" s="31">
        <f t="shared" si="13"/>
        <v>70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11</v>
      </c>
      <c r="N22" s="50">
        <v>0</v>
      </c>
      <c r="O22" s="15">
        <f t="shared" si="0"/>
        <v>1</v>
      </c>
      <c r="P22" s="15">
        <f t="shared" si="1"/>
        <v>12</v>
      </c>
      <c r="R22" s="38" t="s">
        <v>90</v>
      </c>
      <c r="S22" s="39">
        <f>MAX(S10:S12)</f>
        <v>3</v>
      </c>
      <c r="T22" s="39">
        <f t="shared" ref="T22:AF22" si="14">MAX(T10:T12)</f>
        <v>3</v>
      </c>
      <c r="U22" s="39">
        <f t="shared" si="14"/>
        <v>0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50</v>
      </c>
      <c r="AD22" s="39">
        <f t="shared" si="14"/>
        <v>0</v>
      </c>
      <c r="AE22" s="40">
        <f t="shared" si="14"/>
        <v>11</v>
      </c>
      <c r="AF22" s="40">
        <f t="shared" si="14"/>
        <v>60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1</v>
      </c>
      <c r="P23" s="15">
        <f t="shared" si="1"/>
        <v>19</v>
      </c>
      <c r="R23" s="38" t="s">
        <v>91</v>
      </c>
      <c r="S23" s="39">
        <f>MAX(S13:S18)</f>
        <v>4</v>
      </c>
      <c r="T23" s="39">
        <f t="shared" ref="T23:AF23" si="15">MAX(T13:T18)</f>
        <v>0</v>
      </c>
      <c r="U23" s="39">
        <f t="shared" si="15"/>
        <v>3</v>
      </c>
      <c r="V23" s="39">
        <f t="shared" si="15"/>
        <v>2</v>
      </c>
      <c r="W23" s="39">
        <f t="shared" si="15"/>
        <v>1</v>
      </c>
      <c r="X23" s="39">
        <f t="shared" si="15"/>
        <v>0</v>
      </c>
      <c r="Y23" s="39">
        <f t="shared" si="15"/>
        <v>3</v>
      </c>
      <c r="Z23" s="39">
        <f t="shared" si="15"/>
        <v>2</v>
      </c>
      <c r="AA23" s="39">
        <f t="shared" si="15"/>
        <v>0</v>
      </c>
      <c r="AB23" s="39">
        <f t="shared" si="15"/>
        <v>0</v>
      </c>
      <c r="AC23" s="39">
        <f t="shared" si="15"/>
        <v>60</v>
      </c>
      <c r="AD23" s="39">
        <f t="shared" si="15"/>
        <v>0</v>
      </c>
      <c r="AE23" s="40">
        <f t="shared" si="15"/>
        <v>10</v>
      </c>
      <c r="AF23" s="40">
        <f t="shared" si="15"/>
        <v>70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10</v>
      </c>
      <c r="N24" s="50">
        <v>0</v>
      </c>
      <c r="O24" s="15">
        <f t="shared" si="0"/>
        <v>1</v>
      </c>
      <c r="P24" s="15">
        <f t="shared" si="1"/>
        <v>11</v>
      </c>
      <c r="R24" s="38" t="s">
        <v>92</v>
      </c>
      <c r="S24" s="39">
        <f>MAX(S19:S21)</f>
        <v>3</v>
      </c>
      <c r="T24" s="39">
        <f t="shared" ref="T24:AF24" si="16">MAX(T19:T21)</f>
        <v>2</v>
      </c>
      <c r="U24" s="39">
        <f t="shared" si="16"/>
        <v>3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5</v>
      </c>
      <c r="Z24" s="39">
        <f t="shared" si="16"/>
        <v>3</v>
      </c>
      <c r="AA24" s="39">
        <f t="shared" si="16"/>
        <v>1</v>
      </c>
      <c r="AB24" s="39">
        <f t="shared" si="16"/>
        <v>0</v>
      </c>
      <c r="AC24" s="39">
        <f t="shared" si="16"/>
        <v>53</v>
      </c>
      <c r="AD24" s="39">
        <f t="shared" si="16"/>
        <v>0</v>
      </c>
      <c r="AE24" s="40">
        <f t="shared" si="16"/>
        <v>17</v>
      </c>
      <c r="AF24" s="40">
        <f t="shared" si="16"/>
        <v>70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8</v>
      </c>
      <c r="N25" s="50">
        <v>0</v>
      </c>
      <c r="O25" s="15">
        <f t="shared" si="0"/>
        <v>0</v>
      </c>
      <c r="P25" s="15">
        <f t="shared" si="1"/>
        <v>8</v>
      </c>
      <c r="R25" s="37" t="s">
        <v>85</v>
      </c>
      <c r="S25" s="35">
        <f t="shared" ref="S25:AF25" si="17">SUM(S10:S12)</f>
        <v>5</v>
      </c>
      <c r="T25" s="16">
        <f t="shared" si="17"/>
        <v>4</v>
      </c>
      <c r="U25" s="16">
        <f t="shared" si="17"/>
        <v>0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0</v>
      </c>
      <c r="AA25" s="16">
        <f t="shared" si="17"/>
        <v>1</v>
      </c>
      <c r="AB25" s="16">
        <f t="shared" si="17"/>
        <v>0</v>
      </c>
      <c r="AC25" s="16">
        <f t="shared" si="17"/>
        <v>148</v>
      </c>
      <c r="AD25" s="16">
        <f t="shared" si="17"/>
        <v>0</v>
      </c>
      <c r="AE25" s="32">
        <f t="shared" si="17"/>
        <v>19</v>
      </c>
      <c r="AF25" s="32">
        <f t="shared" si="17"/>
        <v>167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9</v>
      </c>
      <c r="N26" s="50">
        <v>0</v>
      </c>
      <c r="O26" s="15">
        <f t="shared" si="0"/>
        <v>3</v>
      </c>
      <c r="P26" s="15">
        <f t="shared" si="1"/>
        <v>12</v>
      </c>
      <c r="R26" s="28" t="s">
        <v>86</v>
      </c>
      <c r="S26" s="16">
        <f t="shared" ref="S26:AF26" si="18">SUM(S13:S18)</f>
        <v>13</v>
      </c>
      <c r="T26" s="16">
        <f t="shared" si="18"/>
        <v>0</v>
      </c>
      <c r="U26" s="16">
        <f t="shared" si="18"/>
        <v>5</v>
      </c>
      <c r="V26" s="16">
        <f t="shared" si="18"/>
        <v>4</v>
      </c>
      <c r="W26" s="16">
        <f t="shared" si="18"/>
        <v>1</v>
      </c>
      <c r="X26" s="16">
        <f t="shared" si="18"/>
        <v>0</v>
      </c>
      <c r="Y26" s="16">
        <f t="shared" si="18"/>
        <v>8</v>
      </c>
      <c r="Z26" s="16">
        <f t="shared" si="18"/>
        <v>3</v>
      </c>
      <c r="AA26" s="16">
        <f t="shared" si="18"/>
        <v>0</v>
      </c>
      <c r="AB26" s="16">
        <f t="shared" si="18"/>
        <v>0</v>
      </c>
      <c r="AC26" s="16">
        <f t="shared" si="18"/>
        <v>312</v>
      </c>
      <c r="AD26" s="16">
        <f t="shared" si="18"/>
        <v>0</v>
      </c>
      <c r="AE26" s="32">
        <f t="shared" si="18"/>
        <v>34</v>
      </c>
      <c r="AF26" s="32">
        <f t="shared" si="18"/>
        <v>346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13</v>
      </c>
      <c r="N27" s="50">
        <v>0</v>
      </c>
      <c r="O27" s="15">
        <f t="shared" si="0"/>
        <v>1</v>
      </c>
      <c r="P27" s="15">
        <f t="shared" si="1"/>
        <v>14</v>
      </c>
      <c r="R27" s="29" t="s">
        <v>87</v>
      </c>
      <c r="S27" s="16">
        <f t="shared" ref="S27:AF27" si="19">SUM(S19:S21)</f>
        <v>7</v>
      </c>
      <c r="T27" s="16">
        <f t="shared" si="19"/>
        <v>6</v>
      </c>
      <c r="U27" s="16">
        <f t="shared" si="19"/>
        <v>3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7</v>
      </c>
      <c r="Z27" s="16">
        <f t="shared" si="19"/>
        <v>5</v>
      </c>
      <c r="AA27" s="16">
        <f t="shared" si="19"/>
        <v>1</v>
      </c>
      <c r="AB27" s="16">
        <f t="shared" si="19"/>
        <v>0</v>
      </c>
      <c r="AC27" s="16">
        <f t="shared" si="19"/>
        <v>145</v>
      </c>
      <c r="AD27" s="16">
        <f t="shared" si="19"/>
        <v>0</v>
      </c>
      <c r="AE27" s="32">
        <f t="shared" si="19"/>
        <v>31</v>
      </c>
      <c r="AF27" s="32">
        <f t="shared" si="19"/>
        <v>176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0</v>
      </c>
      <c r="P28" s="15">
        <f t="shared" si="1"/>
        <v>14</v>
      </c>
      <c r="R28" s="5" t="s">
        <v>17</v>
      </c>
      <c r="S28" s="16">
        <f t="shared" ref="S28:AF28" si="20">SUM(S10:S21)</f>
        <v>25</v>
      </c>
      <c r="T28" s="16">
        <f t="shared" si="20"/>
        <v>10</v>
      </c>
      <c r="U28" s="16">
        <f t="shared" si="20"/>
        <v>8</v>
      </c>
      <c r="V28" s="16">
        <f t="shared" si="20"/>
        <v>8</v>
      </c>
      <c r="W28" s="16">
        <f t="shared" si="20"/>
        <v>1</v>
      </c>
      <c r="X28" s="16">
        <f t="shared" si="20"/>
        <v>0</v>
      </c>
      <c r="Y28" s="16">
        <f t="shared" si="20"/>
        <v>22</v>
      </c>
      <c r="Z28" s="16">
        <f t="shared" si="20"/>
        <v>8</v>
      </c>
      <c r="AA28" s="16">
        <f t="shared" si="20"/>
        <v>2</v>
      </c>
      <c r="AB28" s="16">
        <f t="shared" si="20"/>
        <v>0</v>
      </c>
      <c r="AC28" s="16">
        <f t="shared" si="20"/>
        <v>605</v>
      </c>
      <c r="AD28" s="16">
        <f t="shared" si="20"/>
        <v>0</v>
      </c>
      <c r="AE28" s="32">
        <f t="shared" si="20"/>
        <v>84</v>
      </c>
      <c r="AF28" s="32">
        <f t="shared" si="20"/>
        <v>689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16</v>
      </c>
      <c r="N29" s="50">
        <v>0</v>
      </c>
      <c r="O29" s="15">
        <f t="shared" si="0"/>
        <v>1</v>
      </c>
      <c r="P29" s="15">
        <f t="shared" si="1"/>
        <v>17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1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15</v>
      </c>
      <c r="N30" s="50">
        <v>0</v>
      </c>
      <c r="O30" s="15">
        <f t="shared" si="0"/>
        <v>1</v>
      </c>
      <c r="P30" s="15">
        <f t="shared" si="1"/>
        <v>16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13</v>
      </c>
      <c r="N31" s="50">
        <v>0</v>
      </c>
      <c r="O31" s="15">
        <f t="shared" si="0"/>
        <v>2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15</v>
      </c>
      <c r="N32" s="50">
        <v>0</v>
      </c>
      <c r="O32" s="15">
        <f t="shared" si="0"/>
        <v>2</v>
      </c>
      <c r="P32" s="15">
        <f t="shared" si="1"/>
        <v>17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5</v>
      </c>
      <c r="P33" s="15">
        <f t="shared" si="1"/>
        <v>22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13</v>
      </c>
      <c r="N34" s="50">
        <v>0</v>
      </c>
      <c r="O34" s="15">
        <f t="shared" si="0"/>
        <v>3</v>
      </c>
      <c r="P34" s="15">
        <f t="shared" si="1"/>
        <v>16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14</v>
      </c>
      <c r="N35" s="50">
        <v>0</v>
      </c>
      <c r="O35" s="15">
        <f t="shared" si="0"/>
        <v>0</v>
      </c>
      <c r="P35" s="15">
        <f t="shared" si="1"/>
        <v>14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15</v>
      </c>
      <c r="N36" s="50">
        <v>0</v>
      </c>
      <c r="O36" s="15">
        <f t="shared" si="0"/>
        <v>2</v>
      </c>
      <c r="P36" s="15">
        <f t="shared" si="1"/>
        <v>17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12</v>
      </c>
      <c r="N37" s="50">
        <v>0</v>
      </c>
      <c r="O37" s="15">
        <f t="shared" si="0"/>
        <v>1</v>
      </c>
      <c r="P37" s="15">
        <f t="shared" si="1"/>
        <v>13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2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0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12</v>
      </c>
      <c r="N40" s="50">
        <v>0</v>
      </c>
      <c r="O40" s="15">
        <f t="shared" si="0"/>
        <v>0</v>
      </c>
      <c r="P40" s="15">
        <f t="shared" si="1"/>
        <v>12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14</v>
      </c>
      <c r="N41" s="50">
        <v>0</v>
      </c>
      <c r="O41" s="15">
        <f t="shared" si="0"/>
        <v>2</v>
      </c>
      <c r="P41" s="15">
        <f t="shared" si="1"/>
        <v>16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15</v>
      </c>
      <c r="N42" s="50">
        <v>0</v>
      </c>
      <c r="O42" s="15">
        <f t="shared" si="0"/>
        <v>4</v>
      </c>
      <c r="P42" s="15">
        <f t="shared" si="1"/>
        <v>19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10</v>
      </c>
      <c r="N43" s="50">
        <v>0</v>
      </c>
      <c r="O43" s="15">
        <f t="shared" si="0"/>
        <v>0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14</v>
      </c>
      <c r="N44" s="50">
        <v>0</v>
      </c>
      <c r="O44" s="15">
        <f t="shared" si="0"/>
        <v>1</v>
      </c>
      <c r="P44" s="15">
        <f t="shared" si="1"/>
        <v>15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20</v>
      </c>
      <c r="N45" s="50">
        <v>0</v>
      </c>
      <c r="O45" s="15">
        <f t="shared" si="0"/>
        <v>1</v>
      </c>
      <c r="P45" s="15">
        <f t="shared" si="1"/>
        <v>21</v>
      </c>
    </row>
    <row r="46" spans="2:20" ht="23.1" customHeight="1" x14ac:dyDescent="0.25">
      <c r="B46" s="24" t="s">
        <v>73</v>
      </c>
      <c r="C46" s="50">
        <v>0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21</v>
      </c>
      <c r="N46" s="50">
        <v>0</v>
      </c>
      <c r="O46" s="15">
        <f t="shared" si="0"/>
        <v>2</v>
      </c>
      <c r="P46" s="15">
        <f t="shared" si="1"/>
        <v>23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12</v>
      </c>
      <c r="N47" s="50">
        <v>0</v>
      </c>
      <c r="O47" s="15">
        <f t="shared" si="0"/>
        <v>1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1</v>
      </c>
      <c r="L48" s="50">
        <v>0</v>
      </c>
      <c r="M48" s="50">
        <v>10</v>
      </c>
      <c r="N48" s="50">
        <v>0</v>
      </c>
      <c r="O48" s="15">
        <f t="shared" si="0"/>
        <v>1</v>
      </c>
      <c r="P48" s="15">
        <f t="shared" si="1"/>
        <v>11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9</v>
      </c>
      <c r="N49" s="50">
        <v>0</v>
      </c>
      <c r="O49" s="15">
        <f t="shared" si="0"/>
        <v>3</v>
      </c>
      <c r="P49" s="15">
        <f t="shared" si="1"/>
        <v>12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1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15</v>
      </c>
      <c r="N50" s="50">
        <v>0</v>
      </c>
      <c r="O50" s="15">
        <f t="shared" si="0"/>
        <v>2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14</v>
      </c>
      <c r="N51" s="50">
        <v>0</v>
      </c>
      <c r="O51" s="15">
        <f t="shared" si="0"/>
        <v>2</v>
      </c>
      <c r="P51" s="15">
        <f t="shared" si="1"/>
        <v>16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1</v>
      </c>
      <c r="P52" s="15">
        <f t="shared" si="1"/>
        <v>5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7</v>
      </c>
      <c r="N53" s="50">
        <v>0</v>
      </c>
      <c r="O53" s="15">
        <f t="shared" si="0"/>
        <v>2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10</v>
      </c>
      <c r="N54" s="50">
        <v>0</v>
      </c>
      <c r="O54" s="15">
        <f t="shared" si="0"/>
        <v>4</v>
      </c>
      <c r="P54" s="15">
        <f t="shared" si="1"/>
        <v>14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2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8</v>
      </c>
      <c r="N55" s="50">
        <v>0</v>
      </c>
      <c r="O55" s="15">
        <f t="shared" si="0"/>
        <v>4</v>
      </c>
      <c r="P55" s="15">
        <f t="shared" si="1"/>
        <v>12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5</v>
      </c>
      <c r="P56" s="15">
        <f t="shared" si="1"/>
        <v>22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18</v>
      </c>
      <c r="N57" s="50">
        <v>0</v>
      </c>
      <c r="O57" s="15">
        <f t="shared" si="0"/>
        <v>4</v>
      </c>
      <c r="P57" s="15">
        <f t="shared" si="1"/>
        <v>22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</v>
      </c>
      <c r="D58" s="16">
        <f t="shared" si="21"/>
        <v>10</v>
      </c>
      <c r="E58" s="16">
        <f t="shared" si="21"/>
        <v>8</v>
      </c>
      <c r="F58" s="16">
        <f t="shared" si="21"/>
        <v>8</v>
      </c>
      <c r="G58" s="16">
        <f t="shared" si="21"/>
        <v>1</v>
      </c>
      <c r="H58" s="16">
        <f t="shared" si="21"/>
        <v>0</v>
      </c>
      <c r="I58" s="16">
        <f t="shared" si="21"/>
        <v>22</v>
      </c>
      <c r="J58" s="16">
        <f t="shared" si="21"/>
        <v>8</v>
      </c>
      <c r="K58" s="16">
        <f t="shared" si="21"/>
        <v>2</v>
      </c>
      <c r="L58" s="16">
        <f t="shared" si="21"/>
        <v>0</v>
      </c>
      <c r="M58" s="16">
        <f t="shared" si="21"/>
        <v>605</v>
      </c>
      <c r="N58" s="16">
        <f t="shared" si="21"/>
        <v>0</v>
      </c>
      <c r="O58" s="16">
        <f t="shared" si="21"/>
        <v>84</v>
      </c>
      <c r="P58" s="16">
        <f t="shared" si="21"/>
        <v>689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3.6284470246734396E-2</v>
      </c>
      <c r="D59" s="43">
        <f t="shared" si="22"/>
        <v>1.4513788098693759E-2</v>
      </c>
      <c r="E59" s="43">
        <f t="shared" si="22"/>
        <v>1.1611030478955007E-2</v>
      </c>
      <c r="F59" s="43">
        <f t="shared" si="22"/>
        <v>1.1611030478955007E-2</v>
      </c>
      <c r="G59" s="43">
        <f t="shared" si="22"/>
        <v>1.4513788098693759E-3</v>
      </c>
      <c r="H59" s="43">
        <f t="shared" si="22"/>
        <v>0</v>
      </c>
      <c r="I59" s="43">
        <f t="shared" si="22"/>
        <v>3.1930333817126268E-2</v>
      </c>
      <c r="J59" s="43">
        <f t="shared" si="22"/>
        <v>1.1611030478955007E-2</v>
      </c>
      <c r="K59" s="43">
        <f t="shared" si="22"/>
        <v>2.9027576197387518E-3</v>
      </c>
      <c r="L59" s="43">
        <f t="shared" si="22"/>
        <v>0</v>
      </c>
      <c r="M59" s="43">
        <f t="shared" si="22"/>
        <v>0.87808417997097243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0.29761904761904762</v>
      </c>
      <c r="D60" s="44">
        <f t="shared" ref="D60:N60" si="23">D58/$O$58</f>
        <v>0.11904761904761904</v>
      </c>
      <c r="E60" s="44">
        <f t="shared" si="23"/>
        <v>9.5238095238095233E-2</v>
      </c>
      <c r="F60" s="44">
        <f t="shared" si="23"/>
        <v>9.5238095238095233E-2</v>
      </c>
      <c r="G60" s="44">
        <f t="shared" si="23"/>
        <v>1.1904761904761904E-2</v>
      </c>
      <c r="H60" s="44">
        <f t="shared" si="23"/>
        <v>0</v>
      </c>
      <c r="I60" s="44">
        <f t="shared" si="23"/>
        <v>0.26190476190476192</v>
      </c>
      <c r="J60" s="44">
        <f t="shared" si="23"/>
        <v>9.5238095238095233E-2</v>
      </c>
      <c r="K60" s="44">
        <f t="shared" si="23"/>
        <v>2.3809523809523808E-2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4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'17.10 BUSUNGU-MITYANA'!C3:G3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2" t="s">
        <v>162</v>
      </c>
      <c r="E5" s="3"/>
      <c r="F5" s="41" t="s">
        <v>1</v>
      </c>
      <c r="G5" s="64" t="str">
        <f>'17.10 BUSUNGU-MITYANA'!G5:H5</f>
        <v>EXCEL&amp;LOOGE</v>
      </c>
      <c r="H5" s="65"/>
      <c r="I5" s="14"/>
      <c r="J5" s="2" t="s">
        <v>5</v>
      </c>
      <c r="K5" s="64" t="str">
        <f>'17.10 BUSUNGU-MITYANA'!K5:L5</f>
        <v>JOSEPHINE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'17.10 BUSUNGU-MITYANA'!D6:E6</f>
        <v>BUSUNJU</v>
      </c>
      <c r="E6" s="65"/>
      <c r="F6" s="2" t="s">
        <v>2</v>
      </c>
      <c r="G6" s="64" t="str">
        <f>'17.10 BUSUNGU-MITYANA'!G6:H6</f>
        <v>MITYANA</v>
      </c>
      <c r="H6" s="65"/>
      <c r="J6" s="2" t="s">
        <v>21</v>
      </c>
      <c r="K6" s="64" t="str">
        <f>'17.10 BUSUNGU-MITYANA'!K6:L6</f>
        <v>Nusulah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12</v>
      </c>
      <c r="R10" s="1" t="s">
        <v>6</v>
      </c>
      <c r="S10" s="17">
        <f t="shared" ref="S10:AF10" si="2">SUM(C10:C13)</f>
        <v>1</v>
      </c>
      <c r="T10" s="17">
        <f t="shared" si="2"/>
        <v>2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44</v>
      </c>
      <c r="AD10" s="17">
        <f t="shared" si="2"/>
        <v>0</v>
      </c>
      <c r="AE10" s="31">
        <f t="shared" si="2"/>
        <v>10</v>
      </c>
      <c r="AF10" s="31">
        <f t="shared" si="2"/>
        <v>54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3</v>
      </c>
      <c r="P11" s="15">
        <f t="shared" si="1"/>
        <v>13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46</v>
      </c>
      <c r="AD11" s="17">
        <f t="shared" si="3"/>
        <v>0</v>
      </c>
      <c r="AE11" s="31">
        <f t="shared" si="3"/>
        <v>4</v>
      </c>
      <c r="AF11" s="31">
        <f t="shared" si="3"/>
        <v>50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14</v>
      </c>
      <c r="N12" s="50">
        <v>0</v>
      </c>
      <c r="O12" s="15">
        <f t="shared" si="0"/>
        <v>0</v>
      </c>
      <c r="P12" s="15">
        <f t="shared" si="1"/>
        <v>14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36</v>
      </c>
      <c r="AD12" s="17">
        <f t="shared" si="4"/>
        <v>0</v>
      </c>
      <c r="AE12" s="31">
        <f t="shared" si="4"/>
        <v>4</v>
      </c>
      <c r="AF12" s="31">
        <f t="shared" si="4"/>
        <v>40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5">
        <f t="shared" si="0"/>
        <v>2</v>
      </c>
      <c r="P13" s="15">
        <f t="shared" si="1"/>
        <v>15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1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49</v>
      </c>
      <c r="AD13" s="17">
        <f t="shared" si="5"/>
        <v>0</v>
      </c>
      <c r="AE13" s="31">
        <f t="shared" si="5"/>
        <v>5</v>
      </c>
      <c r="AF13" s="31">
        <f t="shared" si="5"/>
        <v>54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16</v>
      </c>
      <c r="N14" s="50">
        <v>0</v>
      </c>
      <c r="O14" s="15">
        <f t="shared" si="0"/>
        <v>0</v>
      </c>
      <c r="P14" s="15">
        <f t="shared" si="1"/>
        <v>16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55</v>
      </c>
      <c r="AD14" s="17">
        <f t="shared" si="6"/>
        <v>0</v>
      </c>
      <c r="AE14" s="31">
        <f t="shared" si="6"/>
        <v>4</v>
      </c>
      <c r="AF14" s="31">
        <f t="shared" si="6"/>
        <v>59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0</v>
      </c>
      <c r="P15" s="15">
        <f t="shared" si="1"/>
        <v>9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2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65</v>
      </c>
      <c r="AD15" s="17">
        <f t="shared" si="7"/>
        <v>0</v>
      </c>
      <c r="AE15" s="31">
        <f t="shared" si="7"/>
        <v>11</v>
      </c>
      <c r="AF15" s="31">
        <f t="shared" si="7"/>
        <v>76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3</v>
      </c>
      <c r="P16" s="15">
        <f t="shared" si="1"/>
        <v>13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3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56</v>
      </c>
      <c r="AD16" s="17">
        <f t="shared" si="8"/>
        <v>0</v>
      </c>
      <c r="AE16" s="31">
        <f t="shared" si="8"/>
        <v>7</v>
      </c>
      <c r="AF16" s="31">
        <f t="shared" si="8"/>
        <v>63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1</v>
      </c>
      <c r="P17" s="15">
        <f t="shared" si="1"/>
        <v>12</v>
      </c>
      <c r="R17" s="1" t="s">
        <v>13</v>
      </c>
      <c r="S17" s="17">
        <f t="shared" ref="S17:AF17" si="9">SUM(C38:C41)</f>
        <v>1</v>
      </c>
      <c r="T17" s="17">
        <f t="shared" si="9"/>
        <v>1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40</v>
      </c>
      <c r="AD17" s="17">
        <f t="shared" si="9"/>
        <v>0</v>
      </c>
      <c r="AE17" s="31">
        <f t="shared" si="9"/>
        <v>8</v>
      </c>
      <c r="AF17" s="31">
        <f t="shared" si="9"/>
        <v>48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0</v>
      </c>
      <c r="P18" s="15">
        <f t="shared" si="1"/>
        <v>8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52</v>
      </c>
      <c r="AD18" s="17">
        <f t="shared" si="10"/>
        <v>0</v>
      </c>
      <c r="AE18" s="31">
        <f t="shared" si="10"/>
        <v>6</v>
      </c>
      <c r="AF18" s="31">
        <f t="shared" si="10"/>
        <v>58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2</v>
      </c>
      <c r="P19" s="15">
        <f t="shared" si="1"/>
        <v>7</v>
      </c>
      <c r="R19" s="1" t="s">
        <v>15</v>
      </c>
      <c r="S19" s="17">
        <f t="shared" ref="S19:AF19" si="11">SUM(C46:C49)</f>
        <v>5</v>
      </c>
      <c r="T19" s="17">
        <f t="shared" si="11"/>
        <v>1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49</v>
      </c>
      <c r="AD19" s="17">
        <f t="shared" si="11"/>
        <v>0</v>
      </c>
      <c r="AE19" s="31">
        <f t="shared" si="11"/>
        <v>9</v>
      </c>
      <c r="AF19" s="31">
        <f t="shared" si="11"/>
        <v>58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1</v>
      </c>
      <c r="P20" s="15">
        <f t="shared" si="1"/>
        <v>14</v>
      </c>
      <c r="R20" s="1" t="s">
        <v>16</v>
      </c>
      <c r="S20" s="17">
        <f t="shared" ref="S20:AF20" si="12">SUM(C50:C53)</f>
        <v>6</v>
      </c>
      <c r="T20" s="17">
        <f t="shared" si="12"/>
        <v>3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43</v>
      </c>
      <c r="AD20" s="17">
        <f t="shared" si="12"/>
        <v>0</v>
      </c>
      <c r="AE20" s="31">
        <f t="shared" si="12"/>
        <v>14</v>
      </c>
      <c r="AF20" s="31">
        <f t="shared" si="12"/>
        <v>57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1</v>
      </c>
      <c r="P21" s="15">
        <f t="shared" si="1"/>
        <v>11</v>
      </c>
      <c r="R21" s="36" t="s">
        <v>20</v>
      </c>
      <c r="S21" s="34">
        <f t="shared" ref="S21:AF21" si="13">SUM(C54:C57)</f>
        <v>5</v>
      </c>
      <c r="T21" s="17">
        <f t="shared" si="13"/>
        <v>2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3</v>
      </c>
      <c r="Y21" s="17">
        <f t="shared" si="13"/>
        <v>7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55</v>
      </c>
      <c r="AD21" s="17">
        <f t="shared" si="13"/>
        <v>0</v>
      </c>
      <c r="AE21" s="31">
        <f t="shared" si="13"/>
        <v>21</v>
      </c>
      <c r="AF21" s="31">
        <f t="shared" si="13"/>
        <v>76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18</v>
      </c>
      <c r="N22" s="50">
        <v>0</v>
      </c>
      <c r="O22" s="15">
        <f t="shared" si="0"/>
        <v>2</v>
      </c>
      <c r="P22" s="15">
        <f t="shared" si="1"/>
        <v>20</v>
      </c>
      <c r="R22" s="38" t="s">
        <v>90</v>
      </c>
      <c r="S22" s="39">
        <f>MAX(S10:S12)</f>
        <v>2</v>
      </c>
      <c r="T22" s="39">
        <f t="shared" ref="T22:AF22" si="14">MAX(T10:T12)</f>
        <v>2</v>
      </c>
      <c r="U22" s="39">
        <f t="shared" si="14"/>
        <v>1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6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46</v>
      </c>
      <c r="AD22" s="39">
        <f t="shared" si="14"/>
        <v>0</v>
      </c>
      <c r="AE22" s="40">
        <f t="shared" si="14"/>
        <v>10</v>
      </c>
      <c r="AF22" s="40">
        <f t="shared" si="14"/>
        <v>54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1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2</v>
      </c>
      <c r="P23" s="15">
        <f t="shared" si="1"/>
        <v>16</v>
      </c>
      <c r="R23" s="38" t="s">
        <v>91</v>
      </c>
      <c r="S23" s="39">
        <f>MAX(S13:S18)</f>
        <v>4</v>
      </c>
      <c r="T23" s="39">
        <f t="shared" ref="T23:AF23" si="15">MAX(T13:T18)</f>
        <v>1</v>
      </c>
      <c r="U23" s="39">
        <f t="shared" si="15"/>
        <v>3</v>
      </c>
      <c r="V23" s="39">
        <f t="shared" si="15"/>
        <v>3</v>
      </c>
      <c r="W23" s="39">
        <f t="shared" si="15"/>
        <v>1</v>
      </c>
      <c r="X23" s="39">
        <f t="shared" si="15"/>
        <v>0</v>
      </c>
      <c r="Y23" s="39">
        <f t="shared" si="15"/>
        <v>4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65</v>
      </c>
      <c r="AD23" s="39">
        <f t="shared" si="15"/>
        <v>0</v>
      </c>
      <c r="AE23" s="40">
        <f t="shared" si="15"/>
        <v>11</v>
      </c>
      <c r="AF23" s="40">
        <f t="shared" si="15"/>
        <v>76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0</v>
      </c>
      <c r="P24" s="15">
        <f t="shared" si="1"/>
        <v>7</v>
      </c>
      <c r="R24" s="38" t="s">
        <v>92</v>
      </c>
      <c r="S24" s="39">
        <f>MAX(S19:S21)</f>
        <v>6</v>
      </c>
      <c r="T24" s="39">
        <f t="shared" ref="T24:AF24" si="16">MAX(T19:T21)</f>
        <v>3</v>
      </c>
      <c r="U24" s="39">
        <f t="shared" si="16"/>
        <v>2</v>
      </c>
      <c r="V24" s="39">
        <f t="shared" si="16"/>
        <v>1</v>
      </c>
      <c r="W24" s="39">
        <f t="shared" si="16"/>
        <v>0</v>
      </c>
      <c r="X24" s="39">
        <f t="shared" si="16"/>
        <v>3</v>
      </c>
      <c r="Y24" s="39">
        <f t="shared" si="16"/>
        <v>7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55</v>
      </c>
      <c r="AD24" s="39">
        <f t="shared" si="16"/>
        <v>0</v>
      </c>
      <c r="AE24" s="40">
        <f t="shared" si="16"/>
        <v>21</v>
      </c>
      <c r="AF24" s="40">
        <f t="shared" si="16"/>
        <v>76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10</v>
      </c>
      <c r="N25" s="50">
        <v>0</v>
      </c>
      <c r="O25" s="15">
        <f t="shared" si="0"/>
        <v>1</v>
      </c>
      <c r="P25" s="15">
        <f t="shared" si="1"/>
        <v>11</v>
      </c>
      <c r="R25" s="37" t="s">
        <v>85</v>
      </c>
      <c r="S25" s="35">
        <f t="shared" ref="S25:AF25" si="17">SUM(S10:S12)</f>
        <v>3</v>
      </c>
      <c r="T25" s="16">
        <f t="shared" si="17"/>
        <v>2</v>
      </c>
      <c r="U25" s="16">
        <f t="shared" si="17"/>
        <v>3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10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126</v>
      </c>
      <c r="AD25" s="16">
        <f t="shared" si="17"/>
        <v>0</v>
      </c>
      <c r="AE25" s="32">
        <f t="shared" si="17"/>
        <v>18</v>
      </c>
      <c r="AF25" s="32">
        <f t="shared" si="17"/>
        <v>144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10</v>
      </c>
      <c r="N26" s="50">
        <v>0</v>
      </c>
      <c r="O26" s="15">
        <f t="shared" si="0"/>
        <v>1</v>
      </c>
      <c r="P26" s="15">
        <f t="shared" si="1"/>
        <v>11</v>
      </c>
      <c r="R26" s="28" t="s">
        <v>86</v>
      </c>
      <c r="S26" s="16">
        <f t="shared" ref="S26:AF26" si="18">SUM(S13:S18)</f>
        <v>12</v>
      </c>
      <c r="T26" s="16">
        <f t="shared" si="18"/>
        <v>1</v>
      </c>
      <c r="U26" s="16">
        <f t="shared" si="18"/>
        <v>7</v>
      </c>
      <c r="V26" s="16">
        <f t="shared" si="18"/>
        <v>4</v>
      </c>
      <c r="W26" s="16">
        <f t="shared" si="18"/>
        <v>1</v>
      </c>
      <c r="X26" s="16">
        <f t="shared" si="18"/>
        <v>0</v>
      </c>
      <c r="Y26" s="16">
        <f t="shared" si="18"/>
        <v>14</v>
      </c>
      <c r="Z26" s="16">
        <f t="shared" si="18"/>
        <v>2</v>
      </c>
      <c r="AA26" s="16">
        <f t="shared" si="18"/>
        <v>0</v>
      </c>
      <c r="AB26" s="16">
        <f t="shared" si="18"/>
        <v>0</v>
      </c>
      <c r="AC26" s="16">
        <f t="shared" si="18"/>
        <v>317</v>
      </c>
      <c r="AD26" s="16">
        <f t="shared" si="18"/>
        <v>0</v>
      </c>
      <c r="AE26" s="32">
        <f t="shared" si="18"/>
        <v>41</v>
      </c>
      <c r="AF26" s="32">
        <f t="shared" si="18"/>
        <v>358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12</v>
      </c>
      <c r="N27" s="50">
        <v>0</v>
      </c>
      <c r="O27" s="15">
        <f t="shared" si="0"/>
        <v>3</v>
      </c>
      <c r="P27" s="15">
        <f t="shared" si="1"/>
        <v>15</v>
      </c>
      <c r="R27" s="29" t="s">
        <v>87</v>
      </c>
      <c r="S27" s="16">
        <f t="shared" ref="S27:AF27" si="19">SUM(S19:S21)</f>
        <v>16</v>
      </c>
      <c r="T27" s="16">
        <f t="shared" si="19"/>
        <v>6</v>
      </c>
      <c r="U27" s="16">
        <f t="shared" si="19"/>
        <v>2</v>
      </c>
      <c r="V27" s="16">
        <f t="shared" si="19"/>
        <v>2</v>
      </c>
      <c r="W27" s="16">
        <f t="shared" si="19"/>
        <v>0</v>
      </c>
      <c r="X27" s="16">
        <f t="shared" si="19"/>
        <v>3</v>
      </c>
      <c r="Y27" s="16">
        <f t="shared" si="19"/>
        <v>12</v>
      </c>
      <c r="Z27" s="16">
        <f t="shared" si="19"/>
        <v>3</v>
      </c>
      <c r="AA27" s="16">
        <f t="shared" si="19"/>
        <v>0</v>
      </c>
      <c r="AB27" s="16">
        <f t="shared" si="19"/>
        <v>0</v>
      </c>
      <c r="AC27" s="16">
        <f t="shared" si="19"/>
        <v>147</v>
      </c>
      <c r="AD27" s="16">
        <f t="shared" si="19"/>
        <v>0</v>
      </c>
      <c r="AE27" s="32">
        <f t="shared" si="19"/>
        <v>44</v>
      </c>
      <c r="AF27" s="32">
        <f t="shared" si="19"/>
        <v>191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18</v>
      </c>
      <c r="N28" s="50">
        <v>0</v>
      </c>
      <c r="O28" s="15">
        <f t="shared" si="0"/>
        <v>0</v>
      </c>
      <c r="P28" s="15">
        <f t="shared" si="1"/>
        <v>18</v>
      </c>
      <c r="R28" s="5" t="s">
        <v>17</v>
      </c>
      <c r="S28" s="16">
        <f t="shared" ref="S28:AF28" si="20">SUM(S10:S21)</f>
        <v>31</v>
      </c>
      <c r="T28" s="16">
        <f t="shared" si="20"/>
        <v>9</v>
      </c>
      <c r="U28" s="16">
        <f t="shared" si="20"/>
        <v>12</v>
      </c>
      <c r="V28" s="16">
        <f t="shared" si="20"/>
        <v>6</v>
      </c>
      <c r="W28" s="16">
        <f t="shared" si="20"/>
        <v>1</v>
      </c>
      <c r="X28" s="16">
        <f t="shared" si="20"/>
        <v>3</v>
      </c>
      <c r="Y28" s="16">
        <f t="shared" si="20"/>
        <v>36</v>
      </c>
      <c r="Z28" s="16">
        <f t="shared" si="20"/>
        <v>5</v>
      </c>
      <c r="AA28" s="16">
        <f t="shared" si="20"/>
        <v>0</v>
      </c>
      <c r="AB28" s="16">
        <f t="shared" si="20"/>
        <v>0</v>
      </c>
      <c r="AC28" s="16">
        <f t="shared" si="20"/>
        <v>590</v>
      </c>
      <c r="AD28" s="16">
        <f t="shared" si="20"/>
        <v>0</v>
      </c>
      <c r="AE28" s="32">
        <f t="shared" si="20"/>
        <v>103</v>
      </c>
      <c r="AF28" s="32">
        <f t="shared" si="20"/>
        <v>693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15</v>
      </c>
      <c r="N29" s="50">
        <v>0</v>
      </c>
      <c r="O29" s="15">
        <f t="shared" si="0"/>
        <v>0</v>
      </c>
      <c r="P29" s="15">
        <f t="shared" si="1"/>
        <v>15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2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16</v>
      </c>
      <c r="N30" s="50">
        <v>0</v>
      </c>
      <c r="O30" s="15">
        <f t="shared" si="0"/>
        <v>3</v>
      </c>
      <c r="P30" s="15">
        <f t="shared" si="1"/>
        <v>19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16</v>
      </c>
      <c r="N31" s="50">
        <v>0</v>
      </c>
      <c r="O31" s="15">
        <f t="shared" si="0"/>
        <v>0</v>
      </c>
      <c r="P31" s="15">
        <f t="shared" si="1"/>
        <v>16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16</v>
      </c>
      <c r="N32" s="50">
        <v>0</v>
      </c>
      <c r="O32" s="15">
        <f t="shared" si="0"/>
        <v>1</v>
      </c>
      <c r="P32" s="15">
        <f t="shared" si="1"/>
        <v>17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0</v>
      </c>
      <c r="F33" s="50">
        <v>2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7</v>
      </c>
      <c r="P33" s="15">
        <f t="shared" si="1"/>
        <v>24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12</v>
      </c>
      <c r="N34" s="50">
        <v>0</v>
      </c>
      <c r="O34" s="15">
        <f t="shared" si="0"/>
        <v>2</v>
      </c>
      <c r="P34" s="15">
        <f t="shared" si="1"/>
        <v>14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15</v>
      </c>
      <c r="N35" s="50">
        <v>0</v>
      </c>
      <c r="O35" s="15">
        <f t="shared" si="0"/>
        <v>4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1</v>
      </c>
      <c r="P36" s="15">
        <f t="shared" si="1"/>
        <v>15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15</v>
      </c>
      <c r="N37" s="50">
        <v>0</v>
      </c>
      <c r="O37" s="15">
        <f t="shared" si="0"/>
        <v>0</v>
      </c>
      <c r="P37" s="15">
        <f t="shared" si="1"/>
        <v>15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6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0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16</v>
      </c>
      <c r="N40" s="50">
        <v>0</v>
      </c>
      <c r="O40" s="15">
        <f t="shared" si="0"/>
        <v>1</v>
      </c>
      <c r="P40" s="15">
        <f t="shared" si="1"/>
        <v>17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1</v>
      </c>
      <c r="P41" s="15">
        <f t="shared" si="1"/>
        <v>12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1</v>
      </c>
      <c r="P42" s="15">
        <f t="shared" si="1"/>
        <v>14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10</v>
      </c>
      <c r="N43" s="50">
        <v>0</v>
      </c>
      <c r="O43" s="15">
        <f t="shared" si="0"/>
        <v>0</v>
      </c>
      <c r="P43" s="15">
        <f t="shared" si="1"/>
        <v>10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13</v>
      </c>
      <c r="N44" s="50">
        <v>0</v>
      </c>
      <c r="O44" s="15">
        <f t="shared" si="0"/>
        <v>4</v>
      </c>
      <c r="P44" s="15">
        <f t="shared" si="1"/>
        <v>17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1</v>
      </c>
      <c r="P45" s="15">
        <f t="shared" si="1"/>
        <v>17</v>
      </c>
    </row>
    <row r="46" spans="2:20" ht="23.1" customHeight="1" x14ac:dyDescent="0.25">
      <c r="B46" s="24" t="s">
        <v>73</v>
      </c>
      <c r="C46" s="50">
        <v>2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19</v>
      </c>
      <c r="N46" s="50">
        <v>0</v>
      </c>
      <c r="O46" s="15">
        <f t="shared" si="0"/>
        <v>3</v>
      </c>
      <c r="P46" s="15">
        <f t="shared" si="1"/>
        <v>22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9</v>
      </c>
      <c r="N47" s="50">
        <v>0</v>
      </c>
      <c r="O47" s="15">
        <f t="shared" si="0"/>
        <v>1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10</v>
      </c>
      <c r="N48" s="50">
        <v>0</v>
      </c>
      <c r="O48" s="15">
        <f t="shared" si="0"/>
        <v>3</v>
      </c>
      <c r="P48" s="15">
        <f t="shared" si="1"/>
        <v>13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11</v>
      </c>
      <c r="N49" s="50">
        <v>0</v>
      </c>
      <c r="O49" s="15">
        <f t="shared" si="0"/>
        <v>2</v>
      </c>
      <c r="P49" s="15">
        <f t="shared" si="1"/>
        <v>13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2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16</v>
      </c>
      <c r="N50" s="50">
        <v>0</v>
      </c>
      <c r="O50" s="15">
        <f t="shared" si="0"/>
        <v>5</v>
      </c>
      <c r="P50" s="15">
        <f t="shared" si="1"/>
        <v>21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17</v>
      </c>
      <c r="N51" s="50">
        <v>0</v>
      </c>
      <c r="O51" s="15">
        <f t="shared" si="0"/>
        <v>4</v>
      </c>
      <c r="P51" s="15">
        <f t="shared" si="1"/>
        <v>21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1</v>
      </c>
      <c r="P52" s="15">
        <f t="shared" si="1"/>
        <v>6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0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4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1</v>
      </c>
      <c r="E54" s="50">
        <v>1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4</v>
      </c>
      <c r="P54" s="15">
        <f t="shared" si="1"/>
        <v>11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0</v>
      </c>
      <c r="G55" s="50">
        <v>0</v>
      </c>
      <c r="H55" s="50">
        <v>3</v>
      </c>
      <c r="I55" s="50">
        <v>0</v>
      </c>
      <c r="J55" s="50">
        <v>0</v>
      </c>
      <c r="K55" s="50">
        <v>0</v>
      </c>
      <c r="L55" s="50">
        <v>0</v>
      </c>
      <c r="M55" s="50">
        <v>10</v>
      </c>
      <c r="N55" s="50">
        <v>0</v>
      </c>
      <c r="O55" s="15">
        <f t="shared" si="0"/>
        <v>5</v>
      </c>
      <c r="P55" s="15">
        <f t="shared" si="1"/>
        <v>15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18</v>
      </c>
      <c r="N56" s="50">
        <v>0</v>
      </c>
      <c r="O56" s="15">
        <f t="shared" si="0"/>
        <v>6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6</v>
      </c>
      <c r="P57" s="15">
        <f t="shared" si="1"/>
        <v>26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31</v>
      </c>
      <c r="D58" s="16">
        <f t="shared" si="21"/>
        <v>9</v>
      </c>
      <c r="E58" s="16">
        <f t="shared" si="21"/>
        <v>12</v>
      </c>
      <c r="F58" s="16">
        <f t="shared" si="21"/>
        <v>6</v>
      </c>
      <c r="G58" s="16">
        <f t="shared" si="21"/>
        <v>1</v>
      </c>
      <c r="H58" s="16">
        <f t="shared" si="21"/>
        <v>3</v>
      </c>
      <c r="I58" s="16">
        <f t="shared" si="21"/>
        <v>36</v>
      </c>
      <c r="J58" s="16">
        <f t="shared" si="21"/>
        <v>5</v>
      </c>
      <c r="K58" s="16">
        <f t="shared" si="21"/>
        <v>0</v>
      </c>
      <c r="L58" s="16">
        <f t="shared" si="21"/>
        <v>0</v>
      </c>
      <c r="M58" s="16">
        <f t="shared" si="21"/>
        <v>590</v>
      </c>
      <c r="N58" s="16">
        <f t="shared" si="21"/>
        <v>0</v>
      </c>
      <c r="O58" s="16">
        <f t="shared" si="21"/>
        <v>103</v>
      </c>
      <c r="P58" s="16">
        <f t="shared" si="21"/>
        <v>693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4.4733044733044736E-2</v>
      </c>
      <c r="D59" s="43">
        <f t="shared" si="22"/>
        <v>1.2987012987012988E-2</v>
      </c>
      <c r="E59" s="43">
        <f t="shared" si="22"/>
        <v>1.7316017316017316E-2</v>
      </c>
      <c r="F59" s="43">
        <f t="shared" si="22"/>
        <v>8.658008658008658E-3</v>
      </c>
      <c r="G59" s="43">
        <f t="shared" si="22"/>
        <v>1.443001443001443E-3</v>
      </c>
      <c r="H59" s="43">
        <f t="shared" si="22"/>
        <v>4.329004329004329E-3</v>
      </c>
      <c r="I59" s="43">
        <f t="shared" si="22"/>
        <v>5.1948051948051951E-2</v>
      </c>
      <c r="J59" s="43">
        <f t="shared" si="22"/>
        <v>7.215007215007215E-3</v>
      </c>
      <c r="K59" s="43">
        <f t="shared" si="22"/>
        <v>0</v>
      </c>
      <c r="L59" s="43">
        <f t="shared" si="22"/>
        <v>0</v>
      </c>
      <c r="M59" s="43">
        <f t="shared" si="22"/>
        <v>0.85137085137085133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0.30097087378640774</v>
      </c>
      <c r="D60" s="44">
        <f t="shared" ref="D60:N60" si="23">D58/$O$58</f>
        <v>8.7378640776699032E-2</v>
      </c>
      <c r="E60" s="44">
        <f t="shared" si="23"/>
        <v>0.11650485436893204</v>
      </c>
      <c r="F60" s="44">
        <f t="shared" si="23"/>
        <v>5.8252427184466021E-2</v>
      </c>
      <c r="G60" s="44">
        <f t="shared" si="23"/>
        <v>9.7087378640776691E-3</v>
      </c>
      <c r="H60" s="44" t="s">
        <v>181</v>
      </c>
      <c r="I60" s="44">
        <f t="shared" si="23"/>
        <v>0.34951456310679613</v>
      </c>
      <c r="J60" s="44">
        <f t="shared" si="23"/>
        <v>4.8543689320388349E-2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zoomScale="60" workbookViewId="0">
      <selection activeCell="R104" sqref="R10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'22.10 MITYANA-BUSUNJU 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1" t="s">
        <v>163</v>
      </c>
      <c r="E5" s="72"/>
      <c r="F5" s="41" t="s">
        <v>1</v>
      </c>
      <c r="G5" s="69" t="str">
        <f>'22.10 BUSUNJU-MITYANA '!G5:H5</f>
        <v>EXCEL&amp;LOOGE</v>
      </c>
      <c r="H5" s="70"/>
      <c r="I5" s="14"/>
      <c r="J5" s="2" t="s">
        <v>5</v>
      </c>
      <c r="K5" s="69" t="s">
        <v>183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'22.10 BUSUNJU-MITYANA '!D6:E6</f>
        <v>BUSUNJU</v>
      </c>
      <c r="E6" s="70"/>
      <c r="F6" s="2" t="s">
        <v>2</v>
      </c>
      <c r="G6" s="69" t="str">
        <f>'22.10 BUSUNJU-MITYANA '!G6:H6</f>
        <v>MITYANA</v>
      </c>
      <c r="H6" s="70"/>
      <c r="J6" s="2" t="s">
        <v>21</v>
      </c>
      <c r="K6" s="69" t="str">
        <f>'22.10 BUSUNJU-MITYANA '!K6:L6</f>
        <v>Nusulah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MITYANA-BUSUNJU'!C10,'18.10 MITYANA-BUSUNJU 24hr'!C10,'19.10 MITYANA-BUSUNJU 24hr'!C10,'20.10  MITYANA-BUSUNJU'!C10,'21.10 MITYANA-BUSUNJU '!C10,'22.10 MITYANA-BUSUNJU '!C10,'23.10 MITYANA-BUSUNJU '!C10)</f>
        <v>0.7142857142857143</v>
      </c>
      <c r="D10" s="49">
        <f>AVERAGE('17.10 MITYANA-BUSUNJU'!D10,'18.10 MITYANA-BUSUNJU 24hr'!D10,'19.10 MITYANA-BUSUNJU 24hr'!D10,'20.10  MITYANA-BUSUNJU'!D10,'21.10 MITYANA-BUSUNJU '!D10,'22.10 MITYANA-BUSUNJU '!D10,'23.10 MITYANA-BUSUNJU '!D10)</f>
        <v>0.14285714285714285</v>
      </c>
      <c r="E10" s="49">
        <f>AVERAGE('17.10 MITYANA-BUSUNJU'!E10,'18.10 MITYANA-BUSUNJU 24hr'!E10,'19.10 MITYANA-BUSUNJU 24hr'!E10,'20.10  MITYANA-BUSUNJU'!E10,'21.10 MITYANA-BUSUNJU '!E10,'22.10 MITYANA-BUSUNJU '!E10,'23.10 MITYANA-BUSUNJU '!E10)</f>
        <v>0.7142857142857143</v>
      </c>
      <c r="F10" s="49">
        <f>AVERAGE('17.10 MITYANA-BUSUNJU'!F10,'18.10 MITYANA-BUSUNJU 24hr'!F10,'19.10 MITYANA-BUSUNJU 24hr'!F10,'20.10  MITYANA-BUSUNJU'!F10,'21.10 MITYANA-BUSUNJU '!F10,'22.10 MITYANA-BUSUNJU '!F10,'23.10 MITYANA-BUSUNJU '!F10)</f>
        <v>0.5714285714285714</v>
      </c>
      <c r="G10" s="49">
        <f>AVERAGE('17.10 MITYANA-BUSUNJU'!G10,'18.10 MITYANA-BUSUNJU 24hr'!G10,'19.10 MITYANA-BUSUNJU 24hr'!G10,'20.10  MITYANA-BUSUNJU'!G10,'21.10 MITYANA-BUSUNJU '!G10,'22.10 MITYANA-BUSUNJU '!G10,'23.10 MITYANA-BUSUNJU '!G10)</f>
        <v>0</v>
      </c>
      <c r="H10" s="49">
        <f>AVERAGE('17.10 MITYANA-BUSUNJU'!H10,'18.10 MITYANA-BUSUNJU 24hr'!H10,'19.10 MITYANA-BUSUNJU 24hr'!H10,'20.10  MITYANA-BUSUNJU'!H10,'21.10 MITYANA-BUSUNJU '!H10,'22.10 MITYANA-BUSUNJU '!H10,'23.10 MITYANA-BUSUNJU '!H10)</f>
        <v>0</v>
      </c>
      <c r="I10" s="49">
        <f>AVERAGE('17.10 MITYANA-BUSUNJU'!I10,'18.10 MITYANA-BUSUNJU 24hr'!I10,'19.10 MITYANA-BUSUNJU 24hr'!I10,'20.10  MITYANA-BUSUNJU'!I10,'21.10 MITYANA-BUSUNJU '!I10,'22.10 MITYANA-BUSUNJU '!I10,'23.10 MITYANA-BUSUNJU '!I10)</f>
        <v>0.2857142857142857</v>
      </c>
      <c r="J10" s="49">
        <f>AVERAGE('17.10 MITYANA-BUSUNJU'!J10,'18.10 MITYANA-BUSUNJU 24hr'!J10,'19.10 MITYANA-BUSUNJU 24hr'!J10,'20.10  MITYANA-BUSUNJU'!J10,'21.10 MITYANA-BUSUNJU '!J10,'22.10 MITYANA-BUSUNJU '!J10,'23.10 MITYANA-BUSUNJU '!J10)</f>
        <v>0</v>
      </c>
      <c r="K10" s="49">
        <f>AVERAGE('17.10 MITYANA-BUSUNJU'!K10,'18.10 MITYANA-BUSUNJU 24hr'!K10,'19.10 MITYANA-BUSUNJU 24hr'!K10,'20.10  MITYANA-BUSUNJU'!K10,'21.10 MITYANA-BUSUNJU '!K10,'22.10 MITYANA-BUSUNJU '!K10,'23.10 MITYANA-BUSUNJU '!K10)</f>
        <v>0</v>
      </c>
      <c r="L10" s="49">
        <f>AVERAGE('17.10 MITYANA-BUSUNJU'!L10,'18.10 MITYANA-BUSUNJU 24hr'!L10,'19.10 MITYANA-BUSUNJU 24hr'!L10,'20.10  MITYANA-BUSUNJU'!L10,'21.10 MITYANA-BUSUNJU '!L10,'22.10 MITYANA-BUSUNJU '!L10,'23.10 MITYANA-BUSUNJU '!L10)</f>
        <v>0</v>
      </c>
      <c r="M10" s="49">
        <f>AVERAGE('17.10 MITYANA-BUSUNJU'!M10,'18.10 MITYANA-BUSUNJU 24hr'!M10,'19.10 MITYANA-BUSUNJU 24hr'!M10,'20.10  MITYANA-BUSUNJU'!M10,'21.10 MITYANA-BUSUNJU '!M10,'22.10 MITYANA-BUSUNJU '!M10,'23.10 MITYANA-BUSUNJU '!M10)</f>
        <v>4.8571428571428568</v>
      </c>
      <c r="N10" s="49">
        <f>AVERAGE('17.10 MITYANA-BUSUNJU'!N10,'18.10 MITYANA-BUSUNJU 24hr'!N10,'19.10 MITYANA-BUSUNJU 24hr'!N10,'20.10  MITYANA-BUSUNJU'!N10,'21.10 MITYANA-BUSUNJU '!N10,'22.10 MITYANA-BUSUNJU '!N10,'23.10 MITYANA-BUSUNJU '!N10)</f>
        <v>0</v>
      </c>
      <c r="O10" s="15">
        <f t="shared" ref="O10:O73" si="0">SUM(C10:L10,N10)</f>
        <v>2.4285714285714288</v>
      </c>
      <c r="P10" s="15">
        <f t="shared" ref="P10:P73" si="1">SUM(C10:N10)</f>
        <v>7.2857142857142856</v>
      </c>
      <c r="R10" s="1" t="s">
        <v>6</v>
      </c>
      <c r="S10" s="17">
        <f t="shared" ref="S10:AF10" si="2">SUM(C10:C13)</f>
        <v>1.9999999999999998</v>
      </c>
      <c r="T10" s="17">
        <f t="shared" si="2"/>
        <v>0.42857142857142855</v>
      </c>
      <c r="U10" s="17">
        <f t="shared" si="2"/>
        <v>1</v>
      </c>
      <c r="V10" s="17">
        <f t="shared" si="2"/>
        <v>0.71428571428571419</v>
      </c>
      <c r="W10" s="17">
        <f t="shared" si="2"/>
        <v>0</v>
      </c>
      <c r="X10" s="17">
        <f t="shared" si="2"/>
        <v>0</v>
      </c>
      <c r="Y10" s="17">
        <f t="shared" si="2"/>
        <v>0.5714285714285714</v>
      </c>
      <c r="Z10" s="17">
        <f t="shared" si="2"/>
        <v>0.14285714285714285</v>
      </c>
      <c r="AA10" s="17">
        <f t="shared" si="2"/>
        <v>0</v>
      </c>
      <c r="AB10" s="17">
        <f t="shared" si="2"/>
        <v>0.2857142857142857</v>
      </c>
      <c r="AC10" s="17">
        <f t="shared" si="2"/>
        <v>32.285714285714285</v>
      </c>
      <c r="AD10" s="17">
        <f t="shared" si="2"/>
        <v>0</v>
      </c>
      <c r="AE10" s="31">
        <f t="shared" si="2"/>
        <v>5.1428571428571423</v>
      </c>
      <c r="AF10" s="31">
        <f t="shared" si="2"/>
        <v>37.428571428571423</v>
      </c>
    </row>
    <row r="11" spans="2:32" s="6" customFormat="1" ht="23.1" customHeight="1" x14ac:dyDescent="0.25">
      <c r="B11" s="23" t="s">
        <v>38</v>
      </c>
      <c r="C11" s="49">
        <f>AVERAGE('17.10 MITYANA-BUSUNJU'!C11,'18.10 MITYANA-BUSUNJU 24hr'!C11,'19.10 MITYANA-BUSUNJU 24hr'!C11,'20.10  MITYANA-BUSUNJU'!C11,'21.10 MITYANA-BUSUNJU '!C11,'22.10 MITYANA-BUSUNJU '!C11,'23.10 MITYANA-BUSUNJU '!C11)</f>
        <v>0.5714285714285714</v>
      </c>
      <c r="D11" s="49">
        <f>AVERAGE('17.10 MITYANA-BUSUNJU'!D11,'18.10 MITYANA-BUSUNJU 24hr'!D11,'19.10 MITYANA-BUSUNJU 24hr'!D11,'20.10  MITYANA-BUSUNJU'!D11,'21.10 MITYANA-BUSUNJU '!D11,'22.10 MITYANA-BUSUNJU '!D11,'23.10 MITYANA-BUSUNJU '!D11)</f>
        <v>0.14285714285714285</v>
      </c>
      <c r="E11" s="49">
        <f>AVERAGE('17.10 MITYANA-BUSUNJU'!E11,'18.10 MITYANA-BUSUNJU 24hr'!E11,'19.10 MITYANA-BUSUNJU 24hr'!E11,'20.10  MITYANA-BUSUNJU'!E11,'21.10 MITYANA-BUSUNJU '!E11,'22.10 MITYANA-BUSUNJU '!E11,'23.10 MITYANA-BUSUNJU '!E11)</f>
        <v>0.14285714285714285</v>
      </c>
      <c r="F11" s="49">
        <f>AVERAGE('17.10 MITYANA-BUSUNJU'!F11,'18.10 MITYANA-BUSUNJU 24hr'!F11,'19.10 MITYANA-BUSUNJU 24hr'!F11,'20.10  MITYANA-BUSUNJU'!F11,'21.10 MITYANA-BUSUNJU '!F11,'22.10 MITYANA-BUSUNJU '!F11,'23.10 MITYANA-BUSUNJU '!F11)</f>
        <v>0.14285714285714285</v>
      </c>
      <c r="G11" s="49">
        <f>AVERAGE('17.10 MITYANA-BUSUNJU'!G11,'18.10 MITYANA-BUSUNJU 24hr'!G11,'19.10 MITYANA-BUSUNJU 24hr'!G11,'20.10  MITYANA-BUSUNJU'!G11,'21.10 MITYANA-BUSUNJU '!G11,'22.10 MITYANA-BUSUNJU '!G11,'23.10 MITYANA-BUSUNJU '!G11)</f>
        <v>0</v>
      </c>
      <c r="H11" s="49">
        <f>AVERAGE('17.10 MITYANA-BUSUNJU'!H11,'18.10 MITYANA-BUSUNJU 24hr'!H11,'19.10 MITYANA-BUSUNJU 24hr'!H11,'20.10  MITYANA-BUSUNJU'!H11,'21.10 MITYANA-BUSUNJU '!H11,'22.10 MITYANA-BUSUNJU '!H11,'23.10 MITYANA-BUSUNJU '!H11)</f>
        <v>0</v>
      </c>
      <c r="I11" s="49">
        <f>AVERAGE('17.10 MITYANA-BUSUNJU'!I11,'18.10 MITYANA-BUSUNJU 24hr'!I11,'19.10 MITYANA-BUSUNJU 24hr'!I11,'20.10  MITYANA-BUSUNJU'!I11,'21.10 MITYANA-BUSUNJU '!I11,'22.10 MITYANA-BUSUNJU '!I11,'23.10 MITYANA-BUSUNJU '!I11)</f>
        <v>0</v>
      </c>
      <c r="J11" s="49">
        <f>AVERAGE('17.10 MITYANA-BUSUNJU'!J11,'18.10 MITYANA-BUSUNJU 24hr'!J11,'19.10 MITYANA-BUSUNJU 24hr'!J11,'20.10  MITYANA-BUSUNJU'!J11,'21.10 MITYANA-BUSUNJU '!J11,'22.10 MITYANA-BUSUNJU '!J11,'23.10 MITYANA-BUSUNJU '!J11)</f>
        <v>0</v>
      </c>
      <c r="K11" s="49">
        <f>AVERAGE('17.10 MITYANA-BUSUNJU'!K11,'18.10 MITYANA-BUSUNJU 24hr'!K11,'19.10 MITYANA-BUSUNJU 24hr'!K11,'20.10  MITYANA-BUSUNJU'!K11,'21.10 MITYANA-BUSUNJU '!K11,'22.10 MITYANA-BUSUNJU '!K11,'23.10 MITYANA-BUSUNJU '!K11)</f>
        <v>0</v>
      </c>
      <c r="L11" s="49">
        <f>AVERAGE('17.10 MITYANA-BUSUNJU'!L11,'18.10 MITYANA-BUSUNJU 24hr'!L11,'19.10 MITYANA-BUSUNJU 24hr'!L11,'20.10  MITYANA-BUSUNJU'!L11,'21.10 MITYANA-BUSUNJU '!L11,'22.10 MITYANA-BUSUNJU '!L11,'23.10 MITYANA-BUSUNJU '!L11)</f>
        <v>0.14285714285714285</v>
      </c>
      <c r="M11" s="49">
        <f>AVERAGE('17.10 MITYANA-BUSUNJU'!M11,'18.10 MITYANA-BUSUNJU 24hr'!M11,'19.10 MITYANA-BUSUNJU 24hr'!M11,'20.10  MITYANA-BUSUNJU'!M11,'21.10 MITYANA-BUSUNJU '!M11,'22.10 MITYANA-BUSUNJU '!M11,'23.10 MITYANA-BUSUNJU '!M11)</f>
        <v>6.8571428571428568</v>
      </c>
      <c r="N11" s="49">
        <f>AVERAGE('17.10 MITYANA-BUSUNJU'!N11,'18.10 MITYANA-BUSUNJU 24hr'!N11,'19.10 MITYANA-BUSUNJU 24hr'!N11,'20.10  MITYANA-BUSUNJU'!N11,'21.10 MITYANA-BUSUNJU '!N11,'22.10 MITYANA-BUSUNJU '!N11,'23.10 MITYANA-BUSUNJU '!N11)</f>
        <v>0</v>
      </c>
      <c r="O11" s="15">
        <f t="shared" si="0"/>
        <v>1.1428571428571426</v>
      </c>
      <c r="P11" s="15">
        <f t="shared" si="1"/>
        <v>7.9999999999999991</v>
      </c>
      <c r="R11" s="1" t="s">
        <v>7</v>
      </c>
      <c r="S11" s="17">
        <f t="shared" ref="S11:AF11" si="3">SUM(C14:C17)</f>
        <v>0.71428571428571419</v>
      </c>
      <c r="T11" s="17">
        <f t="shared" si="3"/>
        <v>0.71428571428571419</v>
      </c>
      <c r="U11" s="17">
        <f t="shared" si="3"/>
        <v>0.85714285714285698</v>
      </c>
      <c r="V11" s="17">
        <f t="shared" si="3"/>
        <v>0.14285714285714285</v>
      </c>
      <c r="W11" s="17">
        <f t="shared" si="3"/>
        <v>0</v>
      </c>
      <c r="X11" s="17">
        <f t="shared" si="3"/>
        <v>0</v>
      </c>
      <c r="Y11" s="17">
        <f t="shared" si="3"/>
        <v>2.4285714285714284</v>
      </c>
      <c r="Z11" s="17">
        <f t="shared" si="3"/>
        <v>0.2857142857142857</v>
      </c>
      <c r="AA11" s="17">
        <f t="shared" si="3"/>
        <v>0.71428571428571419</v>
      </c>
      <c r="AB11" s="17">
        <f t="shared" si="3"/>
        <v>0</v>
      </c>
      <c r="AC11" s="17">
        <f t="shared" si="3"/>
        <v>39.571428571428569</v>
      </c>
      <c r="AD11" s="17">
        <f t="shared" si="3"/>
        <v>0</v>
      </c>
      <c r="AE11" s="31">
        <f t="shared" si="3"/>
        <v>5.8571428571428568</v>
      </c>
      <c r="AF11" s="31">
        <f t="shared" si="3"/>
        <v>45.428571428571431</v>
      </c>
    </row>
    <row r="12" spans="2:32" ht="23.1" customHeight="1" x14ac:dyDescent="0.25">
      <c r="B12" s="23" t="s">
        <v>39</v>
      </c>
      <c r="C12" s="49">
        <f>AVERAGE('17.10 MITYANA-BUSUNJU'!C12,'18.10 MITYANA-BUSUNJU 24hr'!C12,'19.10 MITYANA-BUSUNJU 24hr'!C12,'20.10  MITYANA-BUSUNJU'!C12,'21.10 MITYANA-BUSUNJU '!C12,'22.10 MITYANA-BUSUNJU '!C12,'23.10 MITYANA-BUSUNJU '!C12)</f>
        <v>0.14285714285714285</v>
      </c>
      <c r="D12" s="49">
        <f>AVERAGE('17.10 MITYANA-BUSUNJU'!D12,'18.10 MITYANA-BUSUNJU 24hr'!D12,'19.10 MITYANA-BUSUNJU 24hr'!D12,'20.10  MITYANA-BUSUNJU'!D12,'21.10 MITYANA-BUSUNJU '!D12,'22.10 MITYANA-BUSUNJU '!D12,'23.10 MITYANA-BUSUNJU '!D12)</f>
        <v>0.14285714285714285</v>
      </c>
      <c r="E12" s="49">
        <f>AVERAGE('17.10 MITYANA-BUSUNJU'!E12,'18.10 MITYANA-BUSUNJU 24hr'!E12,'19.10 MITYANA-BUSUNJU 24hr'!E12,'20.10  MITYANA-BUSUNJU'!E12,'21.10 MITYANA-BUSUNJU '!E12,'22.10 MITYANA-BUSUNJU '!E12,'23.10 MITYANA-BUSUNJU '!E12)</f>
        <v>0.14285714285714285</v>
      </c>
      <c r="F12" s="49">
        <f>AVERAGE('17.10 MITYANA-BUSUNJU'!F12,'18.10 MITYANA-BUSUNJU 24hr'!F12,'19.10 MITYANA-BUSUNJU 24hr'!F12,'20.10  MITYANA-BUSUNJU'!F12,'21.10 MITYANA-BUSUNJU '!F12,'22.10 MITYANA-BUSUNJU '!F12,'23.10 MITYANA-BUSUNJU '!F12)</f>
        <v>0</v>
      </c>
      <c r="G12" s="49">
        <f>AVERAGE('17.10 MITYANA-BUSUNJU'!G12,'18.10 MITYANA-BUSUNJU 24hr'!G12,'19.10 MITYANA-BUSUNJU 24hr'!G12,'20.10  MITYANA-BUSUNJU'!G12,'21.10 MITYANA-BUSUNJU '!G12,'22.10 MITYANA-BUSUNJU '!G12,'23.10 MITYANA-BUSUNJU '!G12)</f>
        <v>0</v>
      </c>
      <c r="H12" s="49">
        <f>AVERAGE('17.10 MITYANA-BUSUNJU'!H12,'18.10 MITYANA-BUSUNJU 24hr'!H12,'19.10 MITYANA-BUSUNJU 24hr'!H12,'20.10  MITYANA-BUSUNJU'!H12,'21.10 MITYANA-BUSUNJU '!H12,'22.10 MITYANA-BUSUNJU '!H12,'23.10 MITYANA-BUSUNJU '!H12)</f>
        <v>0</v>
      </c>
      <c r="I12" s="49">
        <f>AVERAGE('17.10 MITYANA-BUSUNJU'!I12,'18.10 MITYANA-BUSUNJU 24hr'!I12,'19.10 MITYANA-BUSUNJU 24hr'!I12,'20.10  MITYANA-BUSUNJU'!I12,'21.10 MITYANA-BUSUNJU '!I12,'22.10 MITYANA-BUSUNJU '!I12,'23.10 MITYANA-BUSUNJU '!I12)</f>
        <v>0.14285714285714285</v>
      </c>
      <c r="J12" s="49">
        <f>AVERAGE('17.10 MITYANA-BUSUNJU'!J12,'18.10 MITYANA-BUSUNJU 24hr'!J12,'19.10 MITYANA-BUSUNJU 24hr'!J12,'20.10  MITYANA-BUSUNJU'!J12,'21.10 MITYANA-BUSUNJU '!J12,'22.10 MITYANA-BUSUNJU '!J12,'23.10 MITYANA-BUSUNJU '!J12)</f>
        <v>0.14285714285714285</v>
      </c>
      <c r="K12" s="49">
        <f>AVERAGE('17.10 MITYANA-BUSUNJU'!K12,'18.10 MITYANA-BUSUNJU 24hr'!K12,'19.10 MITYANA-BUSUNJU 24hr'!K12,'20.10  MITYANA-BUSUNJU'!K12,'21.10 MITYANA-BUSUNJU '!K12,'22.10 MITYANA-BUSUNJU '!K12,'23.10 MITYANA-BUSUNJU '!K12)</f>
        <v>0</v>
      </c>
      <c r="L12" s="49">
        <f>AVERAGE('17.10 MITYANA-BUSUNJU'!L12,'18.10 MITYANA-BUSUNJU 24hr'!L12,'19.10 MITYANA-BUSUNJU 24hr'!L12,'20.10  MITYANA-BUSUNJU'!L12,'21.10 MITYANA-BUSUNJU '!L12,'22.10 MITYANA-BUSUNJU '!L12,'23.10 MITYANA-BUSUNJU '!L12)</f>
        <v>0.14285714285714285</v>
      </c>
      <c r="M12" s="49">
        <f>AVERAGE('17.10 MITYANA-BUSUNJU'!M12,'18.10 MITYANA-BUSUNJU 24hr'!M12,'19.10 MITYANA-BUSUNJU 24hr'!M12,'20.10  MITYANA-BUSUNJU'!M12,'21.10 MITYANA-BUSUNJU '!M12,'22.10 MITYANA-BUSUNJU '!M12,'23.10 MITYANA-BUSUNJU '!M12)</f>
        <v>10.428571428571429</v>
      </c>
      <c r="N12" s="49">
        <f>AVERAGE('17.10 MITYANA-BUSUNJU'!N12,'18.10 MITYANA-BUSUNJU 24hr'!N12,'19.10 MITYANA-BUSUNJU 24hr'!N12,'20.10  MITYANA-BUSUNJU'!N12,'21.10 MITYANA-BUSUNJU '!N12,'22.10 MITYANA-BUSUNJU '!N12,'23.10 MITYANA-BUSUNJU '!N12)</f>
        <v>0</v>
      </c>
      <c r="O12" s="15">
        <f t="shared" si="0"/>
        <v>0.85714285714285698</v>
      </c>
      <c r="P12" s="15">
        <f t="shared" si="1"/>
        <v>11.285714285714286</v>
      </c>
      <c r="R12" s="1" t="s">
        <v>8</v>
      </c>
      <c r="S12" s="17">
        <f t="shared" ref="S12:AF12" si="4">SUM(C18:C21)</f>
        <v>2</v>
      </c>
      <c r="T12" s="17">
        <f t="shared" si="4"/>
        <v>1.2857142857142856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0.2857142857142857</v>
      </c>
      <c r="Y12" s="17">
        <f t="shared" si="4"/>
        <v>2</v>
      </c>
      <c r="Z12" s="17">
        <f t="shared" si="4"/>
        <v>0.85714285714285721</v>
      </c>
      <c r="AA12" s="17">
        <f t="shared" si="4"/>
        <v>0.14285714285714285</v>
      </c>
      <c r="AB12" s="17">
        <f t="shared" si="4"/>
        <v>0</v>
      </c>
      <c r="AC12" s="17">
        <f t="shared" si="4"/>
        <v>41.857142857142861</v>
      </c>
      <c r="AD12" s="17">
        <f t="shared" si="4"/>
        <v>0</v>
      </c>
      <c r="AE12" s="31">
        <f t="shared" si="4"/>
        <v>8.5714285714285712</v>
      </c>
      <c r="AF12" s="31">
        <f t="shared" si="4"/>
        <v>50.428571428571423</v>
      </c>
    </row>
    <row r="13" spans="2:32" ht="23.1" customHeight="1" x14ac:dyDescent="0.25">
      <c r="B13" s="23" t="s">
        <v>40</v>
      </c>
      <c r="C13" s="49">
        <f>AVERAGE('17.10 MITYANA-BUSUNJU'!C13,'18.10 MITYANA-BUSUNJU 24hr'!C13,'19.10 MITYANA-BUSUNJU 24hr'!C13,'20.10  MITYANA-BUSUNJU'!C13,'21.10 MITYANA-BUSUNJU '!C13,'22.10 MITYANA-BUSUNJU '!C13,'23.10 MITYANA-BUSUNJU '!C13)</f>
        <v>0.5714285714285714</v>
      </c>
      <c r="D13" s="49">
        <f>AVERAGE('17.10 MITYANA-BUSUNJU'!D13,'18.10 MITYANA-BUSUNJU 24hr'!D13,'19.10 MITYANA-BUSUNJU 24hr'!D13,'20.10  MITYANA-BUSUNJU'!D13,'21.10 MITYANA-BUSUNJU '!D13,'22.10 MITYANA-BUSUNJU '!D13,'23.10 MITYANA-BUSUNJU '!D13)</f>
        <v>0</v>
      </c>
      <c r="E13" s="49">
        <f>AVERAGE('17.10 MITYANA-BUSUNJU'!E13,'18.10 MITYANA-BUSUNJU 24hr'!E13,'19.10 MITYANA-BUSUNJU 24hr'!E13,'20.10  MITYANA-BUSUNJU'!E13,'21.10 MITYANA-BUSUNJU '!E13,'22.10 MITYANA-BUSUNJU '!E13,'23.10 MITYANA-BUSUNJU '!E13)</f>
        <v>0</v>
      </c>
      <c r="F13" s="49">
        <f>AVERAGE('17.10 MITYANA-BUSUNJU'!F13,'18.10 MITYANA-BUSUNJU 24hr'!F13,'19.10 MITYANA-BUSUNJU 24hr'!F13,'20.10  MITYANA-BUSUNJU'!F13,'21.10 MITYANA-BUSUNJU '!F13,'22.10 MITYANA-BUSUNJU '!F13,'23.10 MITYANA-BUSUNJU '!F13)</f>
        <v>0</v>
      </c>
      <c r="G13" s="49">
        <f>AVERAGE('17.10 MITYANA-BUSUNJU'!G13,'18.10 MITYANA-BUSUNJU 24hr'!G13,'19.10 MITYANA-BUSUNJU 24hr'!G13,'20.10  MITYANA-BUSUNJU'!G13,'21.10 MITYANA-BUSUNJU '!G13,'22.10 MITYANA-BUSUNJU '!G13,'23.10 MITYANA-BUSUNJU '!G13)</f>
        <v>0</v>
      </c>
      <c r="H13" s="49">
        <f>AVERAGE('17.10 MITYANA-BUSUNJU'!H13,'18.10 MITYANA-BUSUNJU 24hr'!H13,'19.10 MITYANA-BUSUNJU 24hr'!H13,'20.10  MITYANA-BUSUNJU'!H13,'21.10 MITYANA-BUSUNJU '!H13,'22.10 MITYANA-BUSUNJU '!H13,'23.10 MITYANA-BUSUNJU '!H13)</f>
        <v>0</v>
      </c>
      <c r="I13" s="49">
        <f>AVERAGE('17.10 MITYANA-BUSUNJU'!I13,'18.10 MITYANA-BUSUNJU 24hr'!I13,'19.10 MITYANA-BUSUNJU 24hr'!I13,'20.10  MITYANA-BUSUNJU'!I13,'21.10 MITYANA-BUSUNJU '!I13,'22.10 MITYANA-BUSUNJU '!I13,'23.10 MITYANA-BUSUNJU '!I13)</f>
        <v>0.14285714285714285</v>
      </c>
      <c r="J13" s="49">
        <f>AVERAGE('17.10 MITYANA-BUSUNJU'!J13,'18.10 MITYANA-BUSUNJU 24hr'!J13,'19.10 MITYANA-BUSUNJU 24hr'!J13,'20.10  MITYANA-BUSUNJU'!J13,'21.10 MITYANA-BUSUNJU '!J13,'22.10 MITYANA-BUSUNJU '!J13,'23.10 MITYANA-BUSUNJU '!J13)</f>
        <v>0</v>
      </c>
      <c r="K13" s="49">
        <f>AVERAGE('17.10 MITYANA-BUSUNJU'!K13,'18.10 MITYANA-BUSUNJU 24hr'!K13,'19.10 MITYANA-BUSUNJU 24hr'!K13,'20.10  MITYANA-BUSUNJU'!K13,'21.10 MITYANA-BUSUNJU '!K13,'22.10 MITYANA-BUSUNJU '!K13,'23.10 MITYANA-BUSUNJU '!K13)</f>
        <v>0</v>
      </c>
      <c r="L13" s="49">
        <f>AVERAGE('17.10 MITYANA-BUSUNJU'!L13,'18.10 MITYANA-BUSUNJU 24hr'!L13,'19.10 MITYANA-BUSUNJU 24hr'!L13,'20.10  MITYANA-BUSUNJU'!L13,'21.10 MITYANA-BUSUNJU '!L13,'22.10 MITYANA-BUSUNJU '!L13,'23.10 MITYANA-BUSUNJU '!L13)</f>
        <v>0</v>
      </c>
      <c r="M13" s="49">
        <f>AVERAGE('17.10 MITYANA-BUSUNJU'!M13,'18.10 MITYANA-BUSUNJU 24hr'!M13,'19.10 MITYANA-BUSUNJU 24hr'!M13,'20.10  MITYANA-BUSUNJU'!M13,'21.10 MITYANA-BUSUNJU '!M13,'22.10 MITYANA-BUSUNJU '!M13,'23.10 MITYANA-BUSUNJU '!M13)</f>
        <v>10.142857142857142</v>
      </c>
      <c r="N13" s="49">
        <f>AVERAGE('17.10 MITYANA-BUSUNJU'!N13,'18.10 MITYANA-BUSUNJU 24hr'!N13,'19.10 MITYANA-BUSUNJU 24hr'!N13,'20.10  MITYANA-BUSUNJU'!N13,'21.10 MITYANA-BUSUNJU '!N13,'22.10 MITYANA-BUSUNJU '!N13,'23.10 MITYANA-BUSUNJU '!N13)</f>
        <v>0</v>
      </c>
      <c r="O13" s="15">
        <f t="shared" si="0"/>
        <v>0.71428571428571419</v>
      </c>
      <c r="P13" s="15">
        <f t="shared" si="1"/>
        <v>10.857142857142856</v>
      </c>
      <c r="R13" s="1" t="s">
        <v>9</v>
      </c>
      <c r="S13" s="17">
        <f t="shared" ref="S13:AF13" si="5">SUM(C22:C25)</f>
        <v>2.5714285714285716</v>
      </c>
      <c r="T13" s="17">
        <f t="shared" si="5"/>
        <v>0.85714285714285698</v>
      </c>
      <c r="U13" s="17">
        <f t="shared" si="5"/>
        <v>0.71428571428571419</v>
      </c>
      <c r="V13" s="17">
        <f t="shared" si="5"/>
        <v>0.5714285714285714</v>
      </c>
      <c r="W13" s="17">
        <f t="shared" si="5"/>
        <v>0</v>
      </c>
      <c r="X13" s="17">
        <f t="shared" si="5"/>
        <v>0.14285714285714285</v>
      </c>
      <c r="Y13" s="17">
        <f t="shared" si="5"/>
        <v>1.8571428571428568</v>
      </c>
      <c r="Z13" s="17">
        <f t="shared" si="5"/>
        <v>0.8571428571428571</v>
      </c>
      <c r="AA13" s="17">
        <f t="shared" si="5"/>
        <v>0.2857142857142857</v>
      </c>
      <c r="AB13" s="17">
        <f t="shared" si="5"/>
        <v>0</v>
      </c>
      <c r="AC13" s="17">
        <f t="shared" si="5"/>
        <v>40.142857142857139</v>
      </c>
      <c r="AD13" s="17">
        <f t="shared" si="5"/>
        <v>0</v>
      </c>
      <c r="AE13" s="31">
        <f t="shared" si="5"/>
        <v>7.8571428571428568</v>
      </c>
      <c r="AF13" s="31">
        <f t="shared" si="5"/>
        <v>48</v>
      </c>
    </row>
    <row r="14" spans="2:32" ht="23.1" customHeight="1" x14ac:dyDescent="0.25">
      <c r="B14" s="23" t="s">
        <v>41</v>
      </c>
      <c r="C14" s="49">
        <f>AVERAGE('17.10 MITYANA-BUSUNJU'!C14,'18.10 MITYANA-BUSUNJU 24hr'!C14,'19.10 MITYANA-BUSUNJU 24hr'!C14,'20.10  MITYANA-BUSUNJU'!C14,'21.10 MITYANA-BUSUNJU '!C14,'22.10 MITYANA-BUSUNJU '!C14,'23.10 MITYANA-BUSUNJU '!C14)</f>
        <v>0.42857142857142855</v>
      </c>
      <c r="D14" s="49">
        <f>AVERAGE('17.10 MITYANA-BUSUNJU'!D14,'18.10 MITYANA-BUSUNJU 24hr'!D14,'19.10 MITYANA-BUSUNJU 24hr'!D14,'20.10  MITYANA-BUSUNJU'!D14,'21.10 MITYANA-BUSUNJU '!D14,'22.10 MITYANA-BUSUNJU '!D14,'23.10 MITYANA-BUSUNJU '!D14)</f>
        <v>0</v>
      </c>
      <c r="E14" s="49">
        <f>AVERAGE('17.10 MITYANA-BUSUNJU'!E14,'18.10 MITYANA-BUSUNJU 24hr'!E14,'19.10 MITYANA-BUSUNJU 24hr'!E14,'20.10  MITYANA-BUSUNJU'!E14,'21.10 MITYANA-BUSUNJU '!E14,'22.10 MITYANA-BUSUNJU '!E14,'23.10 MITYANA-BUSUNJU '!E14)</f>
        <v>0.14285714285714285</v>
      </c>
      <c r="F14" s="49">
        <f>AVERAGE('17.10 MITYANA-BUSUNJU'!F14,'18.10 MITYANA-BUSUNJU 24hr'!F14,'19.10 MITYANA-BUSUNJU 24hr'!F14,'20.10  MITYANA-BUSUNJU'!F14,'21.10 MITYANA-BUSUNJU '!F14,'22.10 MITYANA-BUSUNJU '!F14,'23.10 MITYANA-BUSUNJU '!F14)</f>
        <v>0</v>
      </c>
      <c r="G14" s="49">
        <f>AVERAGE('17.10 MITYANA-BUSUNJU'!G14,'18.10 MITYANA-BUSUNJU 24hr'!G14,'19.10 MITYANA-BUSUNJU 24hr'!G14,'20.10  MITYANA-BUSUNJU'!G14,'21.10 MITYANA-BUSUNJU '!G14,'22.10 MITYANA-BUSUNJU '!G14,'23.10 MITYANA-BUSUNJU '!G14)</f>
        <v>0</v>
      </c>
      <c r="H14" s="49">
        <f>AVERAGE('17.10 MITYANA-BUSUNJU'!H14,'18.10 MITYANA-BUSUNJU 24hr'!H14,'19.10 MITYANA-BUSUNJU 24hr'!H14,'20.10  MITYANA-BUSUNJU'!H14,'21.10 MITYANA-BUSUNJU '!H14,'22.10 MITYANA-BUSUNJU '!H14,'23.10 MITYANA-BUSUNJU '!H14)</f>
        <v>0</v>
      </c>
      <c r="I14" s="49">
        <f>AVERAGE('17.10 MITYANA-BUSUNJU'!I14,'18.10 MITYANA-BUSUNJU 24hr'!I14,'19.10 MITYANA-BUSUNJU 24hr'!I14,'20.10  MITYANA-BUSUNJU'!I14,'21.10 MITYANA-BUSUNJU '!I14,'22.10 MITYANA-BUSUNJU '!I14,'23.10 MITYANA-BUSUNJU '!I14)</f>
        <v>0.7142857142857143</v>
      </c>
      <c r="J14" s="49">
        <f>AVERAGE('17.10 MITYANA-BUSUNJU'!J14,'18.10 MITYANA-BUSUNJU 24hr'!J14,'19.10 MITYANA-BUSUNJU 24hr'!J14,'20.10  MITYANA-BUSUNJU'!J14,'21.10 MITYANA-BUSUNJU '!J14,'22.10 MITYANA-BUSUNJU '!J14,'23.10 MITYANA-BUSUNJU '!J14)</f>
        <v>0</v>
      </c>
      <c r="K14" s="49">
        <f>AVERAGE('17.10 MITYANA-BUSUNJU'!K14,'18.10 MITYANA-BUSUNJU 24hr'!K14,'19.10 MITYANA-BUSUNJU 24hr'!K14,'20.10  MITYANA-BUSUNJU'!K14,'21.10 MITYANA-BUSUNJU '!K14,'22.10 MITYANA-BUSUNJU '!K14,'23.10 MITYANA-BUSUNJU '!K14)</f>
        <v>0.2857142857142857</v>
      </c>
      <c r="L14" s="49">
        <f>AVERAGE('17.10 MITYANA-BUSUNJU'!L14,'18.10 MITYANA-BUSUNJU 24hr'!L14,'19.10 MITYANA-BUSUNJU 24hr'!L14,'20.10  MITYANA-BUSUNJU'!L14,'21.10 MITYANA-BUSUNJU '!L14,'22.10 MITYANA-BUSUNJU '!L14,'23.10 MITYANA-BUSUNJU '!L14)</f>
        <v>0</v>
      </c>
      <c r="M14" s="49">
        <f>AVERAGE('17.10 MITYANA-BUSUNJU'!M14,'18.10 MITYANA-BUSUNJU 24hr'!M14,'19.10 MITYANA-BUSUNJU 24hr'!M14,'20.10  MITYANA-BUSUNJU'!M14,'21.10 MITYANA-BUSUNJU '!M14,'22.10 MITYANA-BUSUNJU '!M14,'23.10 MITYANA-BUSUNJU '!M14)</f>
        <v>8.1428571428571423</v>
      </c>
      <c r="N14" s="49">
        <f>AVERAGE('17.10 MITYANA-BUSUNJU'!N14,'18.10 MITYANA-BUSUNJU 24hr'!N14,'19.10 MITYANA-BUSUNJU 24hr'!N14,'20.10  MITYANA-BUSUNJU'!N14,'21.10 MITYANA-BUSUNJU '!N14,'22.10 MITYANA-BUSUNJU '!N14,'23.10 MITYANA-BUSUNJU '!N14)</f>
        <v>0</v>
      </c>
      <c r="O14" s="15">
        <f t="shared" si="0"/>
        <v>1.5714285714285712</v>
      </c>
      <c r="P14" s="15">
        <f t="shared" si="1"/>
        <v>9.7142857142857135</v>
      </c>
      <c r="R14" s="1" t="s">
        <v>10</v>
      </c>
      <c r="S14" s="17">
        <f t="shared" ref="S14:AF14" si="6">SUM(C26:C29)</f>
        <v>4.8571428571428577</v>
      </c>
      <c r="T14" s="17">
        <f t="shared" si="6"/>
        <v>1.2857142857142856</v>
      </c>
      <c r="U14" s="17">
        <f t="shared" si="6"/>
        <v>0.99999999999999989</v>
      </c>
      <c r="V14" s="17">
        <f t="shared" si="6"/>
        <v>0.2857142857142857</v>
      </c>
      <c r="W14" s="17">
        <f t="shared" si="6"/>
        <v>0.2857142857142857</v>
      </c>
      <c r="X14" s="17">
        <f t="shared" si="6"/>
        <v>0</v>
      </c>
      <c r="Y14" s="17">
        <f t="shared" si="6"/>
        <v>1.2857142857142856</v>
      </c>
      <c r="Z14" s="17">
        <f t="shared" si="6"/>
        <v>0.5714285714285714</v>
      </c>
      <c r="AA14" s="17">
        <f t="shared" si="6"/>
        <v>0.2857142857142857</v>
      </c>
      <c r="AB14" s="17">
        <f t="shared" si="6"/>
        <v>0</v>
      </c>
      <c r="AC14" s="17">
        <f t="shared" si="6"/>
        <v>40.857142857142861</v>
      </c>
      <c r="AD14" s="17">
        <f t="shared" si="6"/>
        <v>0</v>
      </c>
      <c r="AE14" s="31">
        <f t="shared" si="6"/>
        <v>9.8571428571428559</v>
      </c>
      <c r="AF14" s="31">
        <f t="shared" si="6"/>
        <v>50.714285714285715</v>
      </c>
    </row>
    <row r="15" spans="2:32" ht="23.1" customHeight="1" x14ac:dyDescent="0.25">
      <c r="B15" s="23" t="s">
        <v>42</v>
      </c>
      <c r="C15" s="49">
        <f>AVERAGE('17.10 MITYANA-BUSUNJU'!C15,'18.10 MITYANA-BUSUNJU 24hr'!C15,'19.10 MITYANA-BUSUNJU 24hr'!C15,'20.10  MITYANA-BUSUNJU'!C15,'21.10 MITYANA-BUSUNJU '!C15,'22.10 MITYANA-BUSUNJU '!C15,'23.10 MITYANA-BUSUNJU '!C15)</f>
        <v>0.2857142857142857</v>
      </c>
      <c r="D15" s="49">
        <f>AVERAGE('17.10 MITYANA-BUSUNJU'!D15,'18.10 MITYANA-BUSUNJU 24hr'!D15,'19.10 MITYANA-BUSUNJU 24hr'!D15,'20.10  MITYANA-BUSUNJU'!D15,'21.10 MITYANA-BUSUNJU '!D15,'22.10 MITYANA-BUSUNJU '!D15,'23.10 MITYANA-BUSUNJU '!D15)</f>
        <v>0.2857142857142857</v>
      </c>
      <c r="E15" s="49">
        <f>AVERAGE('17.10 MITYANA-BUSUNJU'!E15,'18.10 MITYANA-BUSUNJU 24hr'!E15,'19.10 MITYANA-BUSUNJU 24hr'!E15,'20.10  MITYANA-BUSUNJU'!E15,'21.10 MITYANA-BUSUNJU '!E15,'22.10 MITYANA-BUSUNJU '!E15,'23.10 MITYANA-BUSUNJU '!E15)</f>
        <v>0.5714285714285714</v>
      </c>
      <c r="F15" s="49">
        <f>AVERAGE('17.10 MITYANA-BUSUNJU'!F15,'18.10 MITYANA-BUSUNJU 24hr'!F15,'19.10 MITYANA-BUSUNJU 24hr'!F15,'20.10  MITYANA-BUSUNJU'!F15,'21.10 MITYANA-BUSUNJU '!F15,'22.10 MITYANA-BUSUNJU '!F15,'23.10 MITYANA-BUSUNJU '!F15)</f>
        <v>0</v>
      </c>
      <c r="G15" s="49">
        <f>AVERAGE('17.10 MITYANA-BUSUNJU'!G15,'18.10 MITYANA-BUSUNJU 24hr'!G15,'19.10 MITYANA-BUSUNJU 24hr'!G15,'20.10  MITYANA-BUSUNJU'!G15,'21.10 MITYANA-BUSUNJU '!G15,'22.10 MITYANA-BUSUNJU '!G15,'23.10 MITYANA-BUSUNJU '!G15)</f>
        <v>0</v>
      </c>
      <c r="H15" s="49">
        <f>AVERAGE('17.10 MITYANA-BUSUNJU'!H15,'18.10 MITYANA-BUSUNJU 24hr'!H15,'19.10 MITYANA-BUSUNJU 24hr'!H15,'20.10  MITYANA-BUSUNJU'!H15,'21.10 MITYANA-BUSUNJU '!H15,'22.10 MITYANA-BUSUNJU '!H15,'23.10 MITYANA-BUSUNJU '!H15)</f>
        <v>0</v>
      </c>
      <c r="I15" s="49">
        <f>AVERAGE('17.10 MITYANA-BUSUNJU'!I15,'18.10 MITYANA-BUSUNJU 24hr'!I15,'19.10 MITYANA-BUSUNJU 24hr'!I15,'20.10  MITYANA-BUSUNJU'!I15,'21.10 MITYANA-BUSUNJU '!I15,'22.10 MITYANA-BUSUNJU '!I15,'23.10 MITYANA-BUSUNJU '!I15)</f>
        <v>0.5714285714285714</v>
      </c>
      <c r="J15" s="49">
        <f>AVERAGE('17.10 MITYANA-BUSUNJU'!J15,'18.10 MITYANA-BUSUNJU 24hr'!J15,'19.10 MITYANA-BUSUNJU 24hr'!J15,'20.10  MITYANA-BUSUNJU'!J15,'21.10 MITYANA-BUSUNJU '!J15,'22.10 MITYANA-BUSUNJU '!J15,'23.10 MITYANA-BUSUNJU '!J15)</f>
        <v>0.14285714285714285</v>
      </c>
      <c r="K15" s="49">
        <f>AVERAGE('17.10 MITYANA-BUSUNJU'!K15,'18.10 MITYANA-BUSUNJU 24hr'!K15,'19.10 MITYANA-BUSUNJU 24hr'!K15,'20.10  MITYANA-BUSUNJU'!K15,'21.10 MITYANA-BUSUNJU '!K15,'22.10 MITYANA-BUSUNJU '!K15,'23.10 MITYANA-BUSUNJU '!K15)</f>
        <v>0.14285714285714285</v>
      </c>
      <c r="L15" s="49">
        <f>AVERAGE('17.10 MITYANA-BUSUNJU'!L15,'18.10 MITYANA-BUSUNJU 24hr'!L15,'19.10 MITYANA-BUSUNJU 24hr'!L15,'20.10  MITYANA-BUSUNJU'!L15,'21.10 MITYANA-BUSUNJU '!L15,'22.10 MITYANA-BUSUNJU '!L15,'23.10 MITYANA-BUSUNJU '!L15)</f>
        <v>0</v>
      </c>
      <c r="M15" s="49">
        <f>AVERAGE('17.10 MITYANA-BUSUNJU'!M15,'18.10 MITYANA-BUSUNJU 24hr'!M15,'19.10 MITYANA-BUSUNJU 24hr'!M15,'20.10  MITYANA-BUSUNJU'!M15,'21.10 MITYANA-BUSUNJU '!M15,'22.10 MITYANA-BUSUNJU '!M15,'23.10 MITYANA-BUSUNJU '!M15)</f>
        <v>10.142857142857142</v>
      </c>
      <c r="N15" s="49">
        <f>AVERAGE('17.10 MITYANA-BUSUNJU'!N15,'18.10 MITYANA-BUSUNJU 24hr'!N15,'19.10 MITYANA-BUSUNJU 24hr'!N15,'20.10  MITYANA-BUSUNJU'!N15,'21.10 MITYANA-BUSUNJU '!N15,'22.10 MITYANA-BUSUNJU '!N15,'23.10 MITYANA-BUSUNJU '!N15)</f>
        <v>0</v>
      </c>
      <c r="O15" s="15">
        <f t="shared" si="0"/>
        <v>1.9999999999999998</v>
      </c>
      <c r="P15" s="15">
        <f t="shared" si="1"/>
        <v>12.142857142857142</v>
      </c>
      <c r="R15" s="1" t="s">
        <v>11</v>
      </c>
      <c r="S15" s="17">
        <f t="shared" ref="S15:AF15" si="7">SUM(C30:C33)</f>
        <v>3.1428571428571428</v>
      </c>
      <c r="T15" s="17">
        <f t="shared" si="7"/>
        <v>0.99999999999999989</v>
      </c>
      <c r="U15" s="17">
        <f t="shared" si="7"/>
        <v>2</v>
      </c>
      <c r="V15" s="17">
        <f t="shared" si="7"/>
        <v>0.71428571428571419</v>
      </c>
      <c r="W15" s="17">
        <f t="shared" si="7"/>
        <v>0.2857142857142857</v>
      </c>
      <c r="X15" s="17">
        <f t="shared" si="7"/>
        <v>0</v>
      </c>
      <c r="Y15" s="17">
        <f t="shared" si="7"/>
        <v>1.2857142857142856</v>
      </c>
      <c r="Z15" s="17">
        <f t="shared" si="7"/>
        <v>0.42857142857142855</v>
      </c>
      <c r="AA15" s="17">
        <f t="shared" si="7"/>
        <v>0.2857142857142857</v>
      </c>
      <c r="AB15" s="17">
        <f t="shared" si="7"/>
        <v>0</v>
      </c>
      <c r="AC15" s="17">
        <f t="shared" si="7"/>
        <v>46.428571428571431</v>
      </c>
      <c r="AD15" s="17">
        <f t="shared" si="7"/>
        <v>0</v>
      </c>
      <c r="AE15" s="31">
        <f t="shared" si="7"/>
        <v>9.1428571428571423</v>
      </c>
      <c r="AF15" s="31">
        <f t="shared" si="7"/>
        <v>55.571428571428569</v>
      </c>
    </row>
    <row r="16" spans="2:32" ht="23.1" customHeight="1" x14ac:dyDescent="0.25">
      <c r="B16" s="23" t="s">
        <v>43</v>
      </c>
      <c r="C16" s="49">
        <f>AVERAGE('17.10 MITYANA-BUSUNJU'!C16,'18.10 MITYANA-BUSUNJU 24hr'!C16,'19.10 MITYANA-BUSUNJU 24hr'!C16,'20.10  MITYANA-BUSUNJU'!C16,'21.10 MITYANA-BUSUNJU '!C16,'22.10 MITYANA-BUSUNJU '!C16,'23.10 MITYANA-BUSUNJU '!C16)</f>
        <v>0</v>
      </c>
      <c r="D16" s="49">
        <f>AVERAGE('17.10 MITYANA-BUSUNJU'!D16,'18.10 MITYANA-BUSUNJU 24hr'!D16,'19.10 MITYANA-BUSUNJU 24hr'!D16,'20.10  MITYANA-BUSUNJU'!D16,'21.10 MITYANA-BUSUNJU '!D16,'22.10 MITYANA-BUSUNJU '!D16,'23.10 MITYANA-BUSUNJU '!D16)</f>
        <v>0.14285714285714285</v>
      </c>
      <c r="E16" s="49">
        <f>AVERAGE('17.10 MITYANA-BUSUNJU'!E16,'18.10 MITYANA-BUSUNJU 24hr'!E16,'19.10 MITYANA-BUSUNJU 24hr'!E16,'20.10  MITYANA-BUSUNJU'!E16,'21.10 MITYANA-BUSUNJU '!E16,'22.10 MITYANA-BUSUNJU '!E16,'23.10 MITYANA-BUSUNJU '!E16)</f>
        <v>0</v>
      </c>
      <c r="F16" s="49">
        <f>AVERAGE('17.10 MITYANA-BUSUNJU'!F16,'18.10 MITYANA-BUSUNJU 24hr'!F16,'19.10 MITYANA-BUSUNJU 24hr'!F16,'20.10  MITYANA-BUSUNJU'!F16,'21.10 MITYANA-BUSUNJU '!F16,'22.10 MITYANA-BUSUNJU '!F16,'23.10 MITYANA-BUSUNJU '!F16)</f>
        <v>0.14285714285714285</v>
      </c>
      <c r="G16" s="49">
        <f>AVERAGE('17.10 MITYANA-BUSUNJU'!G16,'18.10 MITYANA-BUSUNJU 24hr'!G16,'19.10 MITYANA-BUSUNJU 24hr'!G16,'20.10  MITYANA-BUSUNJU'!G16,'21.10 MITYANA-BUSUNJU '!G16,'22.10 MITYANA-BUSUNJU '!G16,'23.10 MITYANA-BUSUNJU '!G16)</f>
        <v>0</v>
      </c>
      <c r="H16" s="49">
        <f>AVERAGE('17.10 MITYANA-BUSUNJU'!H16,'18.10 MITYANA-BUSUNJU 24hr'!H16,'19.10 MITYANA-BUSUNJU 24hr'!H16,'20.10  MITYANA-BUSUNJU'!H16,'21.10 MITYANA-BUSUNJU '!H16,'22.10 MITYANA-BUSUNJU '!H16,'23.10 MITYANA-BUSUNJU '!H16)</f>
        <v>0</v>
      </c>
      <c r="I16" s="49">
        <f>AVERAGE('17.10 MITYANA-BUSUNJU'!I16,'18.10 MITYANA-BUSUNJU 24hr'!I16,'19.10 MITYANA-BUSUNJU 24hr'!I16,'20.10  MITYANA-BUSUNJU'!I16,'21.10 MITYANA-BUSUNJU '!I16,'22.10 MITYANA-BUSUNJU '!I16,'23.10 MITYANA-BUSUNJU '!I16)</f>
        <v>0.42857142857142855</v>
      </c>
      <c r="J16" s="49">
        <f>AVERAGE('17.10 MITYANA-BUSUNJU'!J16,'18.10 MITYANA-BUSUNJU 24hr'!J16,'19.10 MITYANA-BUSUNJU 24hr'!J16,'20.10  MITYANA-BUSUNJU'!J16,'21.10 MITYANA-BUSUNJU '!J16,'22.10 MITYANA-BUSUNJU '!J16,'23.10 MITYANA-BUSUNJU '!J16)</f>
        <v>0</v>
      </c>
      <c r="K16" s="49">
        <f>AVERAGE('17.10 MITYANA-BUSUNJU'!K16,'18.10 MITYANA-BUSUNJU 24hr'!K16,'19.10 MITYANA-BUSUNJU 24hr'!K16,'20.10  MITYANA-BUSUNJU'!K16,'21.10 MITYANA-BUSUNJU '!K16,'22.10 MITYANA-BUSUNJU '!K16,'23.10 MITYANA-BUSUNJU '!K16)</f>
        <v>0</v>
      </c>
      <c r="L16" s="49">
        <f>AVERAGE('17.10 MITYANA-BUSUNJU'!L16,'18.10 MITYANA-BUSUNJU 24hr'!L16,'19.10 MITYANA-BUSUNJU 24hr'!L16,'20.10  MITYANA-BUSUNJU'!L16,'21.10 MITYANA-BUSUNJU '!L16,'22.10 MITYANA-BUSUNJU '!L16,'23.10 MITYANA-BUSUNJU '!L16)</f>
        <v>0</v>
      </c>
      <c r="M16" s="49">
        <f>AVERAGE('17.10 MITYANA-BUSUNJU'!M16,'18.10 MITYANA-BUSUNJU 24hr'!M16,'19.10 MITYANA-BUSUNJU 24hr'!M16,'20.10  MITYANA-BUSUNJU'!M16,'21.10 MITYANA-BUSUNJU '!M16,'22.10 MITYANA-BUSUNJU '!M16,'23.10 MITYANA-BUSUNJU '!M16)</f>
        <v>12</v>
      </c>
      <c r="N16" s="49">
        <f>AVERAGE('17.10 MITYANA-BUSUNJU'!N16,'18.10 MITYANA-BUSUNJU 24hr'!N16,'19.10 MITYANA-BUSUNJU 24hr'!N16,'20.10  MITYANA-BUSUNJU'!N16,'21.10 MITYANA-BUSUNJU '!N16,'22.10 MITYANA-BUSUNJU '!N16,'23.10 MITYANA-BUSUNJU '!N16)</f>
        <v>0</v>
      </c>
      <c r="O16" s="15">
        <f t="shared" si="0"/>
        <v>0.71428571428571419</v>
      </c>
      <c r="P16" s="15">
        <f t="shared" si="1"/>
        <v>12.714285714285714</v>
      </c>
      <c r="R16" s="1" t="s">
        <v>12</v>
      </c>
      <c r="S16" s="17">
        <f t="shared" ref="S16:AF16" si="8">SUM(C34:C37)</f>
        <v>3.8571428571428572</v>
      </c>
      <c r="T16" s="17">
        <f t="shared" si="8"/>
        <v>0.5714285714285714</v>
      </c>
      <c r="U16" s="17">
        <f t="shared" si="8"/>
        <v>0.42857142857142855</v>
      </c>
      <c r="V16" s="17">
        <f t="shared" si="8"/>
        <v>0.42857142857142855</v>
      </c>
      <c r="W16" s="17">
        <f t="shared" si="8"/>
        <v>0.14285714285714285</v>
      </c>
      <c r="X16" s="17">
        <f t="shared" si="8"/>
        <v>0</v>
      </c>
      <c r="Y16" s="17">
        <f t="shared" si="8"/>
        <v>2</v>
      </c>
      <c r="Z16" s="17">
        <f t="shared" si="8"/>
        <v>0.2857142857142857</v>
      </c>
      <c r="AA16" s="17">
        <f t="shared" si="8"/>
        <v>0</v>
      </c>
      <c r="AB16" s="17">
        <f t="shared" si="8"/>
        <v>0</v>
      </c>
      <c r="AC16" s="17">
        <f t="shared" si="8"/>
        <v>53.428571428571423</v>
      </c>
      <c r="AD16" s="17">
        <f t="shared" si="8"/>
        <v>0</v>
      </c>
      <c r="AE16" s="31">
        <f t="shared" si="8"/>
        <v>7.7142857142857135</v>
      </c>
      <c r="AF16" s="31">
        <f t="shared" si="8"/>
        <v>61.142857142857139</v>
      </c>
    </row>
    <row r="17" spans="2:32" ht="23.1" customHeight="1" x14ac:dyDescent="0.25">
      <c r="B17" s="23" t="s">
        <v>44</v>
      </c>
      <c r="C17" s="49">
        <f>AVERAGE('17.10 MITYANA-BUSUNJU'!C17,'18.10 MITYANA-BUSUNJU 24hr'!C17,'19.10 MITYANA-BUSUNJU 24hr'!C17,'20.10  MITYANA-BUSUNJU'!C17,'21.10 MITYANA-BUSUNJU '!C17,'22.10 MITYANA-BUSUNJU '!C17,'23.10 MITYANA-BUSUNJU '!C17)</f>
        <v>0</v>
      </c>
      <c r="D17" s="49">
        <f>AVERAGE('17.10 MITYANA-BUSUNJU'!D17,'18.10 MITYANA-BUSUNJU 24hr'!D17,'19.10 MITYANA-BUSUNJU 24hr'!D17,'20.10  MITYANA-BUSUNJU'!D17,'21.10 MITYANA-BUSUNJU '!D17,'22.10 MITYANA-BUSUNJU '!D17,'23.10 MITYANA-BUSUNJU '!D17)</f>
        <v>0.2857142857142857</v>
      </c>
      <c r="E17" s="49">
        <f>AVERAGE('17.10 MITYANA-BUSUNJU'!E17,'18.10 MITYANA-BUSUNJU 24hr'!E17,'19.10 MITYANA-BUSUNJU 24hr'!E17,'20.10  MITYANA-BUSUNJU'!E17,'21.10 MITYANA-BUSUNJU '!E17,'22.10 MITYANA-BUSUNJU '!E17,'23.10 MITYANA-BUSUNJU '!E17)</f>
        <v>0.14285714285714285</v>
      </c>
      <c r="F17" s="49">
        <f>AVERAGE('17.10 MITYANA-BUSUNJU'!F17,'18.10 MITYANA-BUSUNJU 24hr'!F17,'19.10 MITYANA-BUSUNJU 24hr'!F17,'20.10  MITYANA-BUSUNJU'!F17,'21.10 MITYANA-BUSUNJU '!F17,'22.10 MITYANA-BUSUNJU '!F17,'23.10 MITYANA-BUSUNJU '!F17)</f>
        <v>0</v>
      </c>
      <c r="G17" s="49">
        <f>AVERAGE('17.10 MITYANA-BUSUNJU'!G17,'18.10 MITYANA-BUSUNJU 24hr'!G17,'19.10 MITYANA-BUSUNJU 24hr'!G17,'20.10  MITYANA-BUSUNJU'!G17,'21.10 MITYANA-BUSUNJU '!G17,'22.10 MITYANA-BUSUNJU '!G17,'23.10 MITYANA-BUSUNJU '!G17)</f>
        <v>0</v>
      </c>
      <c r="H17" s="49">
        <f>AVERAGE('17.10 MITYANA-BUSUNJU'!H17,'18.10 MITYANA-BUSUNJU 24hr'!H17,'19.10 MITYANA-BUSUNJU 24hr'!H17,'20.10  MITYANA-BUSUNJU'!H17,'21.10 MITYANA-BUSUNJU '!H17,'22.10 MITYANA-BUSUNJU '!H17,'23.10 MITYANA-BUSUNJU '!H17)</f>
        <v>0</v>
      </c>
      <c r="I17" s="49">
        <f>AVERAGE('17.10 MITYANA-BUSUNJU'!I17,'18.10 MITYANA-BUSUNJU 24hr'!I17,'19.10 MITYANA-BUSUNJU 24hr'!I17,'20.10  MITYANA-BUSUNJU'!I17,'21.10 MITYANA-BUSUNJU '!I17,'22.10 MITYANA-BUSUNJU '!I17,'23.10 MITYANA-BUSUNJU '!I17)</f>
        <v>0.7142857142857143</v>
      </c>
      <c r="J17" s="49">
        <f>AVERAGE('17.10 MITYANA-BUSUNJU'!J17,'18.10 MITYANA-BUSUNJU 24hr'!J17,'19.10 MITYANA-BUSUNJU 24hr'!J17,'20.10  MITYANA-BUSUNJU'!J17,'21.10 MITYANA-BUSUNJU '!J17,'22.10 MITYANA-BUSUNJU '!J17,'23.10 MITYANA-BUSUNJU '!J17)</f>
        <v>0.14285714285714285</v>
      </c>
      <c r="K17" s="49">
        <f>AVERAGE('17.10 MITYANA-BUSUNJU'!K17,'18.10 MITYANA-BUSUNJU 24hr'!K17,'19.10 MITYANA-BUSUNJU 24hr'!K17,'20.10  MITYANA-BUSUNJU'!K17,'21.10 MITYANA-BUSUNJU '!K17,'22.10 MITYANA-BUSUNJU '!K17,'23.10 MITYANA-BUSUNJU '!K17)</f>
        <v>0.2857142857142857</v>
      </c>
      <c r="L17" s="49">
        <f>AVERAGE('17.10 MITYANA-BUSUNJU'!L17,'18.10 MITYANA-BUSUNJU 24hr'!L17,'19.10 MITYANA-BUSUNJU 24hr'!L17,'20.10  MITYANA-BUSUNJU'!L17,'21.10 MITYANA-BUSUNJU '!L17,'22.10 MITYANA-BUSUNJU '!L17,'23.10 MITYANA-BUSUNJU '!L17)</f>
        <v>0</v>
      </c>
      <c r="M17" s="49">
        <f>AVERAGE('17.10 MITYANA-BUSUNJU'!M17,'18.10 MITYANA-BUSUNJU 24hr'!M17,'19.10 MITYANA-BUSUNJU 24hr'!M17,'20.10  MITYANA-BUSUNJU'!M17,'21.10 MITYANA-BUSUNJU '!M17,'22.10 MITYANA-BUSUNJU '!M17,'23.10 MITYANA-BUSUNJU '!M17)</f>
        <v>9.2857142857142865</v>
      </c>
      <c r="N17" s="49">
        <f>AVERAGE('17.10 MITYANA-BUSUNJU'!N17,'18.10 MITYANA-BUSUNJU 24hr'!N17,'19.10 MITYANA-BUSUNJU 24hr'!N17,'20.10  MITYANA-BUSUNJU'!N17,'21.10 MITYANA-BUSUNJU '!N17,'22.10 MITYANA-BUSUNJU '!N17,'23.10 MITYANA-BUSUNJU '!N17)</f>
        <v>0</v>
      </c>
      <c r="O17" s="15">
        <f t="shared" si="0"/>
        <v>1.5714285714285712</v>
      </c>
      <c r="P17" s="15">
        <f t="shared" si="1"/>
        <v>10.857142857142858</v>
      </c>
      <c r="R17" s="1" t="s">
        <v>13</v>
      </c>
      <c r="S17" s="17">
        <f t="shared" ref="S17:AF17" si="9">SUM(C38:C41)</f>
        <v>2.2857142857142856</v>
      </c>
      <c r="T17" s="17">
        <f t="shared" si="9"/>
        <v>0.42857142857142855</v>
      </c>
      <c r="U17" s="17">
        <f t="shared" si="9"/>
        <v>0.99999999999999989</v>
      </c>
      <c r="V17" s="17">
        <f t="shared" si="9"/>
        <v>0.2857142857142857</v>
      </c>
      <c r="W17" s="17">
        <f t="shared" si="9"/>
        <v>0</v>
      </c>
      <c r="X17" s="17">
        <f t="shared" si="9"/>
        <v>0</v>
      </c>
      <c r="Y17" s="17">
        <f t="shared" si="9"/>
        <v>2.1428571428571428</v>
      </c>
      <c r="Z17" s="17">
        <f t="shared" si="9"/>
        <v>0.5714285714285714</v>
      </c>
      <c r="AA17" s="17">
        <f t="shared" si="9"/>
        <v>0.14285714285714285</v>
      </c>
      <c r="AB17" s="17">
        <f t="shared" si="9"/>
        <v>0</v>
      </c>
      <c r="AC17" s="17">
        <f t="shared" si="9"/>
        <v>48.142857142857139</v>
      </c>
      <c r="AD17" s="17">
        <f t="shared" si="9"/>
        <v>0</v>
      </c>
      <c r="AE17" s="31">
        <f t="shared" si="9"/>
        <v>6.8571428571428568</v>
      </c>
      <c r="AF17" s="31">
        <f t="shared" si="9"/>
        <v>55</v>
      </c>
    </row>
    <row r="18" spans="2:32" ht="23.1" customHeight="1" x14ac:dyDescent="0.25">
      <c r="B18" s="23" t="s">
        <v>45</v>
      </c>
      <c r="C18" s="49">
        <f>AVERAGE('17.10 MITYANA-BUSUNJU'!C18,'18.10 MITYANA-BUSUNJU 24hr'!C18,'19.10 MITYANA-BUSUNJU 24hr'!C18,'20.10  MITYANA-BUSUNJU'!C18,'21.10 MITYANA-BUSUNJU '!C18,'22.10 MITYANA-BUSUNJU '!C18,'23.10 MITYANA-BUSUNJU '!C18)</f>
        <v>0.2857142857142857</v>
      </c>
      <c r="D18" s="49">
        <f>AVERAGE('17.10 MITYANA-BUSUNJU'!D18,'18.10 MITYANA-BUSUNJU 24hr'!D18,'19.10 MITYANA-BUSUNJU 24hr'!D18,'20.10  MITYANA-BUSUNJU'!D18,'21.10 MITYANA-BUSUNJU '!D18,'22.10 MITYANA-BUSUNJU '!D18,'23.10 MITYANA-BUSUNJU '!D18)</f>
        <v>0.42857142857142855</v>
      </c>
      <c r="E18" s="49">
        <f>AVERAGE('17.10 MITYANA-BUSUNJU'!E18,'18.10 MITYANA-BUSUNJU 24hr'!E18,'19.10 MITYANA-BUSUNJU 24hr'!E18,'20.10  MITYANA-BUSUNJU'!E18,'21.10 MITYANA-BUSUNJU '!E18,'22.10 MITYANA-BUSUNJU '!E18,'23.10 MITYANA-BUSUNJU '!E18)</f>
        <v>0.2857142857142857</v>
      </c>
      <c r="F18" s="49">
        <f>AVERAGE('17.10 MITYANA-BUSUNJU'!F18,'18.10 MITYANA-BUSUNJU 24hr'!F18,'19.10 MITYANA-BUSUNJU 24hr'!F18,'20.10  MITYANA-BUSUNJU'!F18,'21.10 MITYANA-BUSUNJU '!F18,'22.10 MITYANA-BUSUNJU '!F18,'23.10 MITYANA-BUSUNJU '!F18)</f>
        <v>0.14285714285714285</v>
      </c>
      <c r="G18" s="49">
        <f>AVERAGE('17.10 MITYANA-BUSUNJU'!G18,'18.10 MITYANA-BUSUNJU 24hr'!G18,'19.10 MITYANA-BUSUNJU 24hr'!G18,'20.10  MITYANA-BUSUNJU'!G18,'21.10 MITYANA-BUSUNJU '!G18,'22.10 MITYANA-BUSUNJU '!G18,'23.10 MITYANA-BUSUNJU '!G18)</f>
        <v>0</v>
      </c>
      <c r="H18" s="49">
        <f>AVERAGE('17.10 MITYANA-BUSUNJU'!H18,'18.10 MITYANA-BUSUNJU 24hr'!H18,'19.10 MITYANA-BUSUNJU 24hr'!H18,'20.10  MITYANA-BUSUNJU'!H18,'21.10 MITYANA-BUSUNJU '!H18,'22.10 MITYANA-BUSUNJU '!H18,'23.10 MITYANA-BUSUNJU '!H18)</f>
        <v>0</v>
      </c>
      <c r="I18" s="49">
        <f>AVERAGE('17.10 MITYANA-BUSUNJU'!I18,'18.10 MITYANA-BUSUNJU 24hr'!I18,'19.10 MITYANA-BUSUNJU 24hr'!I18,'20.10  MITYANA-BUSUNJU'!I18,'21.10 MITYANA-BUSUNJU '!I18,'22.10 MITYANA-BUSUNJU '!I18,'23.10 MITYANA-BUSUNJU '!I18)</f>
        <v>0.8571428571428571</v>
      </c>
      <c r="J18" s="49">
        <f>AVERAGE('17.10 MITYANA-BUSUNJU'!J18,'18.10 MITYANA-BUSUNJU 24hr'!J18,'19.10 MITYANA-BUSUNJU 24hr'!J18,'20.10  MITYANA-BUSUNJU'!J18,'21.10 MITYANA-BUSUNJU '!J18,'22.10 MITYANA-BUSUNJU '!J18,'23.10 MITYANA-BUSUNJU '!J18)</f>
        <v>0</v>
      </c>
      <c r="K18" s="49">
        <f>AVERAGE('17.10 MITYANA-BUSUNJU'!K18,'18.10 MITYANA-BUSUNJU 24hr'!K18,'19.10 MITYANA-BUSUNJU 24hr'!K18,'20.10  MITYANA-BUSUNJU'!K18,'21.10 MITYANA-BUSUNJU '!K18,'22.10 MITYANA-BUSUNJU '!K18,'23.10 MITYANA-BUSUNJU '!K18)</f>
        <v>0</v>
      </c>
      <c r="L18" s="49">
        <f>AVERAGE('17.10 MITYANA-BUSUNJU'!L18,'18.10 MITYANA-BUSUNJU 24hr'!L18,'19.10 MITYANA-BUSUNJU 24hr'!L18,'20.10  MITYANA-BUSUNJU'!L18,'21.10 MITYANA-BUSUNJU '!L18,'22.10 MITYANA-BUSUNJU '!L18,'23.10 MITYANA-BUSUNJU '!L18)</f>
        <v>0</v>
      </c>
      <c r="M18" s="49">
        <f>AVERAGE('17.10 MITYANA-BUSUNJU'!M18,'18.10 MITYANA-BUSUNJU 24hr'!M18,'19.10 MITYANA-BUSUNJU 24hr'!M18,'20.10  MITYANA-BUSUNJU'!M18,'21.10 MITYANA-BUSUNJU '!M18,'22.10 MITYANA-BUSUNJU '!M18,'23.10 MITYANA-BUSUNJU '!M18)</f>
        <v>9.4285714285714288</v>
      </c>
      <c r="N18" s="49">
        <f>AVERAGE('17.10 MITYANA-BUSUNJU'!N18,'18.10 MITYANA-BUSUNJU 24hr'!N18,'19.10 MITYANA-BUSUNJU 24hr'!N18,'20.10  MITYANA-BUSUNJU'!N18,'21.10 MITYANA-BUSUNJU '!N18,'22.10 MITYANA-BUSUNJU '!N18,'23.10 MITYANA-BUSUNJU '!N18)</f>
        <v>0</v>
      </c>
      <c r="O18" s="15">
        <f t="shared" si="0"/>
        <v>2</v>
      </c>
      <c r="P18" s="15">
        <f t="shared" si="1"/>
        <v>11.428571428571429</v>
      </c>
      <c r="R18" s="1" t="s">
        <v>14</v>
      </c>
      <c r="S18" s="17">
        <f t="shared" ref="S18:AF18" si="10">SUM(C42:C45)</f>
        <v>3.8571428571428572</v>
      </c>
      <c r="T18" s="17">
        <f t="shared" si="10"/>
        <v>0.5714285714285714</v>
      </c>
      <c r="U18" s="17">
        <f t="shared" si="10"/>
        <v>1</v>
      </c>
      <c r="V18" s="17">
        <f t="shared" si="10"/>
        <v>0.71428571428571419</v>
      </c>
      <c r="W18" s="17">
        <f t="shared" si="10"/>
        <v>0</v>
      </c>
      <c r="X18" s="17">
        <f t="shared" si="10"/>
        <v>0</v>
      </c>
      <c r="Y18" s="17">
        <f t="shared" si="10"/>
        <v>0.99999999999999989</v>
      </c>
      <c r="Z18" s="17">
        <f t="shared" si="10"/>
        <v>0.5714285714285714</v>
      </c>
      <c r="AA18" s="17">
        <f t="shared" si="10"/>
        <v>0.2857142857142857</v>
      </c>
      <c r="AB18" s="17">
        <f t="shared" si="10"/>
        <v>0</v>
      </c>
      <c r="AC18" s="17">
        <f t="shared" si="10"/>
        <v>51.714285714285715</v>
      </c>
      <c r="AD18" s="17">
        <f t="shared" si="10"/>
        <v>0</v>
      </c>
      <c r="AE18" s="31">
        <f t="shared" si="10"/>
        <v>7.9999999999999982</v>
      </c>
      <c r="AF18" s="31">
        <f t="shared" si="10"/>
        <v>59.714285714285708</v>
      </c>
    </row>
    <row r="19" spans="2:32" ht="23.1" customHeight="1" x14ac:dyDescent="0.25">
      <c r="B19" s="23" t="s">
        <v>46</v>
      </c>
      <c r="C19" s="49">
        <f>AVERAGE('17.10 MITYANA-BUSUNJU'!C19,'18.10 MITYANA-BUSUNJU 24hr'!C19,'19.10 MITYANA-BUSUNJU 24hr'!C19,'20.10  MITYANA-BUSUNJU'!C19,'21.10 MITYANA-BUSUNJU '!C19,'22.10 MITYANA-BUSUNJU '!C19,'23.10 MITYANA-BUSUNJU '!C19)</f>
        <v>0.2857142857142857</v>
      </c>
      <c r="D19" s="49">
        <f>AVERAGE('17.10 MITYANA-BUSUNJU'!D19,'18.10 MITYANA-BUSUNJU 24hr'!D19,'19.10 MITYANA-BUSUNJU 24hr'!D19,'20.10  MITYANA-BUSUNJU'!D19,'21.10 MITYANA-BUSUNJU '!D19,'22.10 MITYANA-BUSUNJU '!D19,'23.10 MITYANA-BUSUNJU '!D19)</f>
        <v>0</v>
      </c>
      <c r="E19" s="49">
        <f>AVERAGE('17.10 MITYANA-BUSUNJU'!E19,'18.10 MITYANA-BUSUNJU 24hr'!E19,'19.10 MITYANA-BUSUNJU 24hr'!E19,'20.10  MITYANA-BUSUNJU'!E19,'21.10 MITYANA-BUSUNJU '!E19,'22.10 MITYANA-BUSUNJU '!E19,'23.10 MITYANA-BUSUNJU '!E19)</f>
        <v>0.14285714285714285</v>
      </c>
      <c r="F19" s="49">
        <f>AVERAGE('17.10 MITYANA-BUSUNJU'!F19,'18.10 MITYANA-BUSUNJU 24hr'!F19,'19.10 MITYANA-BUSUNJU 24hr'!F19,'20.10  MITYANA-BUSUNJU'!F19,'21.10 MITYANA-BUSUNJU '!F19,'22.10 MITYANA-BUSUNJU '!F19,'23.10 MITYANA-BUSUNJU '!F19)</f>
        <v>0.14285714285714285</v>
      </c>
      <c r="G19" s="49">
        <f>AVERAGE('17.10 MITYANA-BUSUNJU'!G19,'18.10 MITYANA-BUSUNJU 24hr'!G19,'19.10 MITYANA-BUSUNJU 24hr'!G19,'20.10  MITYANA-BUSUNJU'!G19,'21.10 MITYANA-BUSUNJU '!G19,'22.10 MITYANA-BUSUNJU '!G19,'23.10 MITYANA-BUSUNJU '!G19)</f>
        <v>0</v>
      </c>
      <c r="H19" s="49">
        <f>AVERAGE('17.10 MITYANA-BUSUNJU'!H19,'18.10 MITYANA-BUSUNJU 24hr'!H19,'19.10 MITYANA-BUSUNJU 24hr'!H19,'20.10  MITYANA-BUSUNJU'!H19,'21.10 MITYANA-BUSUNJU '!H19,'22.10 MITYANA-BUSUNJU '!H19,'23.10 MITYANA-BUSUNJU '!H19)</f>
        <v>0</v>
      </c>
      <c r="I19" s="49">
        <f>AVERAGE('17.10 MITYANA-BUSUNJU'!I19,'18.10 MITYANA-BUSUNJU 24hr'!I19,'19.10 MITYANA-BUSUNJU 24hr'!I19,'20.10  MITYANA-BUSUNJU'!I19,'21.10 MITYANA-BUSUNJU '!I19,'22.10 MITYANA-BUSUNJU '!I19,'23.10 MITYANA-BUSUNJU '!I19)</f>
        <v>0.14285714285714285</v>
      </c>
      <c r="J19" s="49">
        <f>AVERAGE('17.10 MITYANA-BUSUNJU'!J19,'18.10 MITYANA-BUSUNJU 24hr'!J19,'19.10 MITYANA-BUSUNJU 24hr'!J19,'20.10  MITYANA-BUSUNJU'!J19,'21.10 MITYANA-BUSUNJU '!J19,'22.10 MITYANA-BUSUNJU '!J19,'23.10 MITYANA-BUSUNJU '!J19)</f>
        <v>0</v>
      </c>
      <c r="K19" s="49">
        <f>AVERAGE('17.10 MITYANA-BUSUNJU'!K19,'18.10 MITYANA-BUSUNJU 24hr'!K19,'19.10 MITYANA-BUSUNJU 24hr'!K19,'20.10  MITYANA-BUSUNJU'!K19,'21.10 MITYANA-BUSUNJU '!K19,'22.10 MITYANA-BUSUNJU '!K19,'23.10 MITYANA-BUSUNJU '!K19)</f>
        <v>0</v>
      </c>
      <c r="L19" s="49">
        <f>AVERAGE('17.10 MITYANA-BUSUNJU'!L19,'18.10 MITYANA-BUSUNJU 24hr'!L19,'19.10 MITYANA-BUSUNJU 24hr'!L19,'20.10  MITYANA-BUSUNJU'!L19,'21.10 MITYANA-BUSUNJU '!L19,'22.10 MITYANA-BUSUNJU '!L19,'23.10 MITYANA-BUSUNJU '!L19)</f>
        <v>0</v>
      </c>
      <c r="M19" s="49">
        <f>AVERAGE('17.10 MITYANA-BUSUNJU'!M19,'18.10 MITYANA-BUSUNJU 24hr'!M19,'19.10 MITYANA-BUSUNJU 24hr'!M19,'20.10  MITYANA-BUSUNJU'!M19,'21.10 MITYANA-BUSUNJU '!M19,'22.10 MITYANA-BUSUNJU '!M19,'23.10 MITYANA-BUSUNJU '!M19)</f>
        <v>8.8571428571428577</v>
      </c>
      <c r="N19" s="49">
        <f>AVERAGE('17.10 MITYANA-BUSUNJU'!N19,'18.10 MITYANA-BUSUNJU 24hr'!N19,'19.10 MITYANA-BUSUNJU 24hr'!N19,'20.10  MITYANA-BUSUNJU'!N19,'21.10 MITYANA-BUSUNJU '!N19,'22.10 MITYANA-BUSUNJU '!N19,'23.10 MITYANA-BUSUNJU '!N19)</f>
        <v>0</v>
      </c>
      <c r="O19" s="15">
        <f t="shared" si="0"/>
        <v>0.71428571428571419</v>
      </c>
      <c r="P19" s="15">
        <f t="shared" si="1"/>
        <v>9.5714285714285712</v>
      </c>
      <c r="R19" s="1" t="s">
        <v>15</v>
      </c>
      <c r="S19" s="17">
        <f t="shared" ref="S19:AF19" si="11">SUM(C46:C49)</f>
        <v>2.2857142857142856</v>
      </c>
      <c r="T19" s="17">
        <f t="shared" si="11"/>
        <v>1.4285714285714284</v>
      </c>
      <c r="U19" s="17">
        <f t="shared" si="11"/>
        <v>0.71428571428571419</v>
      </c>
      <c r="V19" s="17">
        <f t="shared" si="11"/>
        <v>0.42857142857142855</v>
      </c>
      <c r="W19" s="17">
        <f t="shared" si="11"/>
        <v>0.14285714285714285</v>
      </c>
      <c r="X19" s="17">
        <f t="shared" si="11"/>
        <v>0</v>
      </c>
      <c r="Y19" s="17">
        <f t="shared" si="11"/>
        <v>1.2857142857142856</v>
      </c>
      <c r="Z19" s="17">
        <f t="shared" si="11"/>
        <v>0.8571428571428571</v>
      </c>
      <c r="AA19" s="17">
        <f t="shared" si="11"/>
        <v>0.14285714285714285</v>
      </c>
      <c r="AB19" s="17">
        <f t="shared" si="11"/>
        <v>0</v>
      </c>
      <c r="AC19" s="17">
        <f t="shared" si="11"/>
        <v>52</v>
      </c>
      <c r="AD19" s="17">
        <f t="shared" si="11"/>
        <v>0</v>
      </c>
      <c r="AE19" s="31">
        <f t="shared" si="11"/>
        <v>7.2857142857142847</v>
      </c>
      <c r="AF19" s="31">
        <f t="shared" si="11"/>
        <v>59.285714285714278</v>
      </c>
    </row>
    <row r="20" spans="2:32" ht="23.1" customHeight="1" x14ac:dyDescent="0.25">
      <c r="B20" s="23" t="s">
        <v>47</v>
      </c>
      <c r="C20" s="49">
        <f>AVERAGE('17.10 MITYANA-BUSUNJU'!C20,'18.10 MITYANA-BUSUNJU 24hr'!C20,'19.10 MITYANA-BUSUNJU 24hr'!C20,'20.10  MITYANA-BUSUNJU'!C20,'21.10 MITYANA-BUSUNJU '!C20,'22.10 MITYANA-BUSUNJU '!C20,'23.10 MITYANA-BUSUNJU '!C20)</f>
        <v>0.7142857142857143</v>
      </c>
      <c r="D20" s="49">
        <f>AVERAGE('17.10 MITYANA-BUSUNJU'!D20,'18.10 MITYANA-BUSUNJU 24hr'!D20,'19.10 MITYANA-BUSUNJU 24hr'!D20,'20.10  MITYANA-BUSUNJU'!D20,'21.10 MITYANA-BUSUNJU '!D20,'22.10 MITYANA-BUSUNJU '!D20,'23.10 MITYANA-BUSUNJU '!D20)</f>
        <v>0.2857142857142857</v>
      </c>
      <c r="E20" s="49">
        <f>AVERAGE('17.10 MITYANA-BUSUNJU'!E20,'18.10 MITYANA-BUSUNJU 24hr'!E20,'19.10 MITYANA-BUSUNJU 24hr'!E20,'20.10  MITYANA-BUSUNJU'!E20,'21.10 MITYANA-BUSUNJU '!E20,'22.10 MITYANA-BUSUNJU '!E20,'23.10 MITYANA-BUSUNJU '!E20)</f>
        <v>0.5714285714285714</v>
      </c>
      <c r="F20" s="49">
        <f>AVERAGE('17.10 MITYANA-BUSUNJU'!F20,'18.10 MITYANA-BUSUNJU 24hr'!F20,'19.10 MITYANA-BUSUNJU 24hr'!F20,'20.10  MITYANA-BUSUNJU'!F20,'21.10 MITYANA-BUSUNJU '!F20,'22.10 MITYANA-BUSUNJU '!F20,'23.10 MITYANA-BUSUNJU '!F20)</f>
        <v>0.2857142857142857</v>
      </c>
      <c r="G20" s="49">
        <f>AVERAGE('17.10 MITYANA-BUSUNJU'!G20,'18.10 MITYANA-BUSUNJU 24hr'!G20,'19.10 MITYANA-BUSUNJU 24hr'!G20,'20.10  MITYANA-BUSUNJU'!G20,'21.10 MITYANA-BUSUNJU '!G20,'22.10 MITYANA-BUSUNJU '!G20,'23.10 MITYANA-BUSUNJU '!G20)</f>
        <v>0</v>
      </c>
      <c r="H20" s="49">
        <f>AVERAGE('17.10 MITYANA-BUSUNJU'!H20,'18.10 MITYANA-BUSUNJU 24hr'!H20,'19.10 MITYANA-BUSUNJU 24hr'!H20,'20.10  MITYANA-BUSUNJU'!H20,'21.10 MITYANA-BUSUNJU '!H20,'22.10 MITYANA-BUSUNJU '!H20,'23.10 MITYANA-BUSUNJU '!H20)</f>
        <v>0.2857142857142857</v>
      </c>
      <c r="I20" s="49">
        <f>AVERAGE('17.10 MITYANA-BUSUNJU'!I20,'18.10 MITYANA-BUSUNJU 24hr'!I20,'19.10 MITYANA-BUSUNJU 24hr'!I20,'20.10  MITYANA-BUSUNJU'!I20,'21.10 MITYANA-BUSUNJU '!I20,'22.10 MITYANA-BUSUNJU '!I20,'23.10 MITYANA-BUSUNJU '!I20)</f>
        <v>0.42857142857142855</v>
      </c>
      <c r="J20" s="49">
        <f>AVERAGE('17.10 MITYANA-BUSUNJU'!J20,'18.10 MITYANA-BUSUNJU 24hr'!J20,'19.10 MITYANA-BUSUNJU 24hr'!J20,'20.10  MITYANA-BUSUNJU'!J20,'21.10 MITYANA-BUSUNJU '!J20,'22.10 MITYANA-BUSUNJU '!J20,'23.10 MITYANA-BUSUNJU '!J20)</f>
        <v>0.14285714285714285</v>
      </c>
      <c r="K20" s="49">
        <f>AVERAGE('17.10 MITYANA-BUSUNJU'!K20,'18.10 MITYANA-BUSUNJU 24hr'!K20,'19.10 MITYANA-BUSUNJU 24hr'!K20,'20.10  MITYANA-BUSUNJU'!K20,'21.10 MITYANA-BUSUNJU '!K20,'22.10 MITYANA-BUSUNJU '!K20,'23.10 MITYANA-BUSUNJU '!K20)</f>
        <v>0</v>
      </c>
      <c r="L20" s="49">
        <f>AVERAGE('17.10 MITYANA-BUSUNJU'!L20,'18.10 MITYANA-BUSUNJU 24hr'!L20,'19.10 MITYANA-BUSUNJU 24hr'!L20,'20.10  MITYANA-BUSUNJU'!L20,'21.10 MITYANA-BUSUNJU '!L20,'22.10 MITYANA-BUSUNJU '!L20,'23.10 MITYANA-BUSUNJU '!L20)</f>
        <v>0</v>
      </c>
      <c r="M20" s="49">
        <f>AVERAGE('17.10 MITYANA-BUSUNJU'!M20,'18.10 MITYANA-BUSUNJU 24hr'!M20,'19.10 MITYANA-BUSUNJU 24hr'!M20,'20.10  MITYANA-BUSUNJU'!M20,'21.10 MITYANA-BUSUNJU '!M20,'22.10 MITYANA-BUSUNJU '!M20,'23.10 MITYANA-BUSUNJU '!M20)</f>
        <v>11.428571428571429</v>
      </c>
      <c r="N20" s="49">
        <f>AVERAGE('17.10 MITYANA-BUSUNJU'!N20,'18.10 MITYANA-BUSUNJU 24hr'!N20,'19.10 MITYANA-BUSUNJU 24hr'!N20,'20.10  MITYANA-BUSUNJU'!N20,'21.10 MITYANA-BUSUNJU '!N20,'22.10 MITYANA-BUSUNJU '!N20,'23.10 MITYANA-BUSUNJU '!N20)</f>
        <v>0</v>
      </c>
      <c r="O20" s="15">
        <f t="shared" si="0"/>
        <v>2.714285714285714</v>
      </c>
      <c r="P20" s="15">
        <f t="shared" si="1"/>
        <v>14.142857142857142</v>
      </c>
      <c r="R20" s="1" t="s">
        <v>16</v>
      </c>
      <c r="S20" s="17">
        <f t="shared" ref="S20:AF20" si="12">SUM(C50:C53)</f>
        <v>3.714285714285714</v>
      </c>
      <c r="T20" s="17">
        <f t="shared" si="12"/>
        <v>0.99999999999999989</v>
      </c>
      <c r="U20" s="17">
        <f t="shared" si="12"/>
        <v>0.5714285714285714</v>
      </c>
      <c r="V20" s="17">
        <f t="shared" si="12"/>
        <v>0.71428571428571419</v>
      </c>
      <c r="W20" s="17">
        <f t="shared" si="12"/>
        <v>0.14285714285714285</v>
      </c>
      <c r="X20" s="17">
        <f t="shared" si="12"/>
        <v>0</v>
      </c>
      <c r="Y20" s="17">
        <f t="shared" si="12"/>
        <v>0.8571428571428571</v>
      </c>
      <c r="Z20" s="17">
        <f t="shared" si="12"/>
        <v>0.5714285714285714</v>
      </c>
      <c r="AA20" s="17">
        <f t="shared" si="12"/>
        <v>0.14285714285714285</v>
      </c>
      <c r="AB20" s="17">
        <f t="shared" si="12"/>
        <v>0.14285714285714285</v>
      </c>
      <c r="AC20" s="17">
        <f t="shared" si="12"/>
        <v>45.857142857142861</v>
      </c>
      <c r="AD20" s="17">
        <f t="shared" si="12"/>
        <v>0</v>
      </c>
      <c r="AE20" s="31">
        <f t="shared" si="12"/>
        <v>7.8571428571428559</v>
      </c>
      <c r="AF20" s="31">
        <f t="shared" si="12"/>
        <v>53.714285714285708</v>
      </c>
    </row>
    <row r="21" spans="2:32" ht="23.1" customHeight="1" x14ac:dyDescent="0.25">
      <c r="B21" s="23" t="s">
        <v>48</v>
      </c>
      <c r="C21" s="49">
        <f>AVERAGE('17.10 MITYANA-BUSUNJU'!C21,'18.10 MITYANA-BUSUNJU 24hr'!C21,'19.10 MITYANA-BUSUNJU 24hr'!C21,'20.10  MITYANA-BUSUNJU'!C21,'21.10 MITYANA-BUSUNJU '!C21,'22.10 MITYANA-BUSUNJU '!C21,'23.10 MITYANA-BUSUNJU '!C21)</f>
        <v>0.7142857142857143</v>
      </c>
      <c r="D21" s="49">
        <f>AVERAGE('17.10 MITYANA-BUSUNJU'!D21,'18.10 MITYANA-BUSUNJU 24hr'!D21,'19.10 MITYANA-BUSUNJU 24hr'!D21,'20.10  MITYANA-BUSUNJU'!D21,'21.10 MITYANA-BUSUNJU '!D21,'22.10 MITYANA-BUSUNJU '!D21,'23.10 MITYANA-BUSUNJU '!D21)</f>
        <v>0.5714285714285714</v>
      </c>
      <c r="E21" s="49">
        <f>AVERAGE('17.10 MITYANA-BUSUNJU'!E21,'18.10 MITYANA-BUSUNJU 24hr'!E21,'19.10 MITYANA-BUSUNJU 24hr'!E21,'20.10  MITYANA-BUSUNJU'!E21,'21.10 MITYANA-BUSUNJU '!E21,'22.10 MITYANA-BUSUNJU '!E21,'23.10 MITYANA-BUSUNJU '!E21)</f>
        <v>0</v>
      </c>
      <c r="F21" s="49">
        <f>AVERAGE('17.10 MITYANA-BUSUNJU'!F21,'18.10 MITYANA-BUSUNJU 24hr'!F21,'19.10 MITYANA-BUSUNJU 24hr'!F21,'20.10  MITYANA-BUSUNJU'!F21,'21.10 MITYANA-BUSUNJU '!F21,'22.10 MITYANA-BUSUNJU '!F21,'23.10 MITYANA-BUSUNJU '!F21)</f>
        <v>0.42857142857142855</v>
      </c>
      <c r="G21" s="49">
        <f>AVERAGE('17.10 MITYANA-BUSUNJU'!G21,'18.10 MITYANA-BUSUNJU 24hr'!G21,'19.10 MITYANA-BUSUNJU 24hr'!G21,'20.10  MITYANA-BUSUNJU'!G21,'21.10 MITYANA-BUSUNJU '!G21,'22.10 MITYANA-BUSUNJU '!G21,'23.10 MITYANA-BUSUNJU '!G21)</f>
        <v>0</v>
      </c>
      <c r="H21" s="49">
        <f>AVERAGE('17.10 MITYANA-BUSUNJU'!H21,'18.10 MITYANA-BUSUNJU 24hr'!H21,'19.10 MITYANA-BUSUNJU 24hr'!H21,'20.10  MITYANA-BUSUNJU'!H21,'21.10 MITYANA-BUSUNJU '!H21,'22.10 MITYANA-BUSUNJU '!H21,'23.10 MITYANA-BUSUNJU '!H21)</f>
        <v>0</v>
      </c>
      <c r="I21" s="49">
        <f>AVERAGE('17.10 MITYANA-BUSUNJU'!I21,'18.10 MITYANA-BUSUNJU 24hr'!I21,'19.10 MITYANA-BUSUNJU 24hr'!I21,'20.10  MITYANA-BUSUNJU'!I21,'21.10 MITYANA-BUSUNJU '!I21,'22.10 MITYANA-BUSUNJU '!I21,'23.10 MITYANA-BUSUNJU '!I21)</f>
        <v>0.5714285714285714</v>
      </c>
      <c r="J21" s="49">
        <f>AVERAGE('17.10 MITYANA-BUSUNJU'!J21,'18.10 MITYANA-BUSUNJU 24hr'!J21,'19.10 MITYANA-BUSUNJU 24hr'!J21,'20.10  MITYANA-BUSUNJU'!J21,'21.10 MITYANA-BUSUNJU '!J21,'22.10 MITYANA-BUSUNJU '!J21,'23.10 MITYANA-BUSUNJU '!J21)</f>
        <v>0.7142857142857143</v>
      </c>
      <c r="K21" s="49">
        <f>AVERAGE('17.10 MITYANA-BUSUNJU'!K21,'18.10 MITYANA-BUSUNJU 24hr'!K21,'19.10 MITYANA-BUSUNJU 24hr'!K21,'20.10  MITYANA-BUSUNJU'!K21,'21.10 MITYANA-BUSUNJU '!K21,'22.10 MITYANA-BUSUNJU '!K21,'23.10 MITYANA-BUSUNJU '!K21)</f>
        <v>0.14285714285714285</v>
      </c>
      <c r="L21" s="49">
        <f>AVERAGE('17.10 MITYANA-BUSUNJU'!L21,'18.10 MITYANA-BUSUNJU 24hr'!L21,'19.10 MITYANA-BUSUNJU 24hr'!L21,'20.10  MITYANA-BUSUNJU'!L21,'21.10 MITYANA-BUSUNJU '!L21,'22.10 MITYANA-BUSUNJU '!L21,'23.10 MITYANA-BUSUNJU '!L21)</f>
        <v>0</v>
      </c>
      <c r="M21" s="49">
        <f>AVERAGE('17.10 MITYANA-BUSUNJU'!M21,'18.10 MITYANA-BUSUNJU 24hr'!M21,'19.10 MITYANA-BUSUNJU 24hr'!M21,'20.10  MITYANA-BUSUNJU'!M21,'21.10 MITYANA-BUSUNJU '!M21,'22.10 MITYANA-BUSUNJU '!M21,'23.10 MITYANA-BUSUNJU '!M21)</f>
        <v>12.142857142857142</v>
      </c>
      <c r="N21" s="49">
        <f>AVERAGE('17.10 MITYANA-BUSUNJU'!N21,'18.10 MITYANA-BUSUNJU 24hr'!N21,'19.10 MITYANA-BUSUNJU 24hr'!N21,'20.10  MITYANA-BUSUNJU'!N21,'21.10 MITYANA-BUSUNJU '!N21,'22.10 MITYANA-BUSUNJU '!N21,'23.10 MITYANA-BUSUNJU '!N21)</f>
        <v>0</v>
      </c>
      <c r="O21" s="15">
        <f t="shared" si="0"/>
        <v>3.1428571428571428</v>
      </c>
      <c r="P21" s="15">
        <f t="shared" si="1"/>
        <v>15.285714285714285</v>
      </c>
      <c r="R21" s="36" t="s">
        <v>20</v>
      </c>
      <c r="S21" s="34">
        <f t="shared" ref="S21:AF21" si="13">SUM(C54:C57)</f>
        <v>3.4285714285714284</v>
      </c>
      <c r="T21" s="17">
        <f t="shared" si="13"/>
        <v>1.1428571428571428</v>
      </c>
      <c r="U21" s="17">
        <f t="shared" si="13"/>
        <v>2.2857142857142856</v>
      </c>
      <c r="V21" s="17">
        <f t="shared" si="13"/>
        <v>0.85714285714285698</v>
      </c>
      <c r="W21" s="17">
        <f t="shared" si="13"/>
        <v>0</v>
      </c>
      <c r="X21" s="17">
        <f t="shared" si="13"/>
        <v>0.14285714285714285</v>
      </c>
      <c r="Y21" s="17">
        <f t="shared" si="13"/>
        <v>2.2857142857142856</v>
      </c>
      <c r="Z21" s="17">
        <f t="shared" si="13"/>
        <v>1.1428571428571428</v>
      </c>
      <c r="AA21" s="17">
        <f t="shared" si="13"/>
        <v>0.14285714285714285</v>
      </c>
      <c r="AB21" s="17">
        <f t="shared" si="13"/>
        <v>0</v>
      </c>
      <c r="AC21" s="17">
        <f t="shared" si="13"/>
        <v>41</v>
      </c>
      <c r="AD21" s="17">
        <f t="shared" si="13"/>
        <v>0</v>
      </c>
      <c r="AE21" s="31">
        <f t="shared" si="13"/>
        <v>11.428571428571427</v>
      </c>
      <c r="AF21" s="31">
        <f t="shared" si="13"/>
        <v>52.428571428571431</v>
      </c>
    </row>
    <row r="22" spans="2:32" ht="23.1" customHeight="1" x14ac:dyDescent="0.25">
      <c r="B22" s="23" t="s">
        <v>49</v>
      </c>
      <c r="C22" s="49">
        <f>AVERAGE('17.10 MITYANA-BUSUNJU'!C22,'18.10 MITYANA-BUSUNJU 24hr'!C22,'19.10 MITYANA-BUSUNJU 24hr'!C22,'20.10  MITYANA-BUSUNJU'!C22,'21.10 MITYANA-BUSUNJU '!C22,'22.10 MITYANA-BUSUNJU '!C22,'23.10 MITYANA-BUSUNJU '!C22)</f>
        <v>0.7142857142857143</v>
      </c>
      <c r="D22" s="49">
        <f>AVERAGE('17.10 MITYANA-BUSUNJU'!D22,'18.10 MITYANA-BUSUNJU 24hr'!D22,'19.10 MITYANA-BUSUNJU 24hr'!D22,'20.10  MITYANA-BUSUNJU'!D22,'21.10 MITYANA-BUSUNJU '!D22,'22.10 MITYANA-BUSUNJU '!D22,'23.10 MITYANA-BUSUNJU '!D22)</f>
        <v>0.14285714285714285</v>
      </c>
      <c r="E22" s="49">
        <f>AVERAGE('17.10 MITYANA-BUSUNJU'!E22,'18.10 MITYANA-BUSUNJU 24hr'!E22,'19.10 MITYANA-BUSUNJU 24hr'!E22,'20.10  MITYANA-BUSUNJU'!E22,'21.10 MITYANA-BUSUNJU '!E22,'22.10 MITYANA-BUSUNJU '!E22,'23.10 MITYANA-BUSUNJU '!E22)</f>
        <v>0.5714285714285714</v>
      </c>
      <c r="F22" s="49">
        <f>AVERAGE('17.10 MITYANA-BUSUNJU'!F22,'18.10 MITYANA-BUSUNJU 24hr'!F22,'19.10 MITYANA-BUSUNJU 24hr'!F22,'20.10  MITYANA-BUSUNJU'!F22,'21.10 MITYANA-BUSUNJU '!F22,'22.10 MITYANA-BUSUNJU '!F22,'23.10 MITYANA-BUSUNJU '!F22)</f>
        <v>0.14285714285714285</v>
      </c>
      <c r="G22" s="49">
        <f>AVERAGE('17.10 MITYANA-BUSUNJU'!G22,'18.10 MITYANA-BUSUNJU 24hr'!G22,'19.10 MITYANA-BUSUNJU 24hr'!G22,'20.10  MITYANA-BUSUNJU'!G22,'21.10 MITYANA-BUSUNJU '!G22,'22.10 MITYANA-BUSUNJU '!G22,'23.10 MITYANA-BUSUNJU '!G22)</f>
        <v>0</v>
      </c>
      <c r="H22" s="49">
        <f>AVERAGE('17.10 MITYANA-BUSUNJU'!H22,'18.10 MITYANA-BUSUNJU 24hr'!H22,'19.10 MITYANA-BUSUNJU 24hr'!H22,'20.10  MITYANA-BUSUNJU'!H22,'21.10 MITYANA-BUSUNJU '!H22,'22.10 MITYANA-BUSUNJU '!H22,'23.10 MITYANA-BUSUNJU '!H22)</f>
        <v>0.14285714285714285</v>
      </c>
      <c r="I22" s="49">
        <f>AVERAGE('17.10 MITYANA-BUSUNJU'!I22,'18.10 MITYANA-BUSUNJU 24hr'!I22,'19.10 MITYANA-BUSUNJU 24hr'!I22,'20.10  MITYANA-BUSUNJU'!I22,'21.10 MITYANA-BUSUNJU '!I22,'22.10 MITYANA-BUSUNJU '!I22,'23.10 MITYANA-BUSUNJU '!I22)</f>
        <v>0.2857142857142857</v>
      </c>
      <c r="J22" s="49">
        <f>AVERAGE('17.10 MITYANA-BUSUNJU'!J22,'18.10 MITYANA-BUSUNJU 24hr'!J22,'19.10 MITYANA-BUSUNJU 24hr'!J22,'20.10  MITYANA-BUSUNJU'!J22,'21.10 MITYANA-BUSUNJU '!J22,'22.10 MITYANA-BUSUNJU '!J22,'23.10 MITYANA-BUSUNJU '!J22)</f>
        <v>0.14285714285714285</v>
      </c>
      <c r="K22" s="49">
        <f>AVERAGE('17.10 MITYANA-BUSUNJU'!K22,'18.10 MITYANA-BUSUNJU 24hr'!K22,'19.10 MITYANA-BUSUNJU 24hr'!K22,'20.10  MITYANA-BUSUNJU'!K22,'21.10 MITYANA-BUSUNJU '!K22,'22.10 MITYANA-BUSUNJU '!K22,'23.10 MITYANA-BUSUNJU '!K22)</f>
        <v>0.14285714285714285</v>
      </c>
      <c r="L22" s="49">
        <f>AVERAGE('17.10 MITYANA-BUSUNJU'!L22,'18.10 MITYANA-BUSUNJU 24hr'!L22,'19.10 MITYANA-BUSUNJU 24hr'!L22,'20.10  MITYANA-BUSUNJU'!L22,'21.10 MITYANA-BUSUNJU '!L22,'22.10 MITYANA-BUSUNJU '!L22,'23.10 MITYANA-BUSUNJU '!L22)</f>
        <v>0</v>
      </c>
      <c r="M22" s="49">
        <f>AVERAGE('17.10 MITYANA-BUSUNJU'!M22,'18.10 MITYANA-BUSUNJU 24hr'!M22,'19.10 MITYANA-BUSUNJU 24hr'!M22,'20.10  MITYANA-BUSUNJU'!M22,'21.10 MITYANA-BUSUNJU '!M22,'22.10 MITYANA-BUSUNJU '!M22,'23.10 MITYANA-BUSUNJU '!M22)</f>
        <v>9.4285714285714288</v>
      </c>
      <c r="N22" s="49">
        <f>AVERAGE('17.10 MITYANA-BUSUNJU'!N22,'18.10 MITYANA-BUSUNJU 24hr'!N22,'19.10 MITYANA-BUSUNJU 24hr'!N22,'20.10  MITYANA-BUSUNJU'!N22,'21.10 MITYANA-BUSUNJU '!N22,'22.10 MITYANA-BUSUNJU '!N22,'23.10 MITYANA-BUSUNJU '!N22)</f>
        <v>0</v>
      </c>
      <c r="O22" s="15">
        <f t="shared" si="0"/>
        <v>2.2857142857142856</v>
      </c>
      <c r="P22" s="15">
        <f t="shared" si="1"/>
        <v>11.714285714285715</v>
      </c>
      <c r="R22" s="1" t="s">
        <v>146</v>
      </c>
      <c r="S22" s="34">
        <f>SUM(C58:C61)</f>
        <v>6</v>
      </c>
      <c r="T22" s="34">
        <f t="shared" ref="T22:AF22" si="14">SUM(D58:D61)</f>
        <v>1</v>
      </c>
      <c r="U22" s="34">
        <f t="shared" si="14"/>
        <v>0.5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0.5</v>
      </c>
      <c r="Z22" s="34">
        <f t="shared" si="14"/>
        <v>0</v>
      </c>
      <c r="AA22" s="34">
        <f t="shared" si="14"/>
        <v>0.5</v>
      </c>
      <c r="AB22" s="34">
        <f t="shared" si="14"/>
        <v>0</v>
      </c>
      <c r="AC22" s="34">
        <f t="shared" si="14"/>
        <v>56.5</v>
      </c>
      <c r="AD22" s="34">
        <f t="shared" si="14"/>
        <v>0</v>
      </c>
      <c r="AE22" s="31">
        <f t="shared" si="14"/>
        <v>9.5</v>
      </c>
      <c r="AF22" s="31">
        <f t="shared" si="14"/>
        <v>66</v>
      </c>
    </row>
    <row r="23" spans="2:32" ht="23.1" customHeight="1" x14ac:dyDescent="0.25">
      <c r="B23" s="23" t="s">
        <v>50</v>
      </c>
      <c r="C23" s="49">
        <f>AVERAGE('17.10 MITYANA-BUSUNJU'!C23,'18.10 MITYANA-BUSUNJU 24hr'!C23,'19.10 MITYANA-BUSUNJU 24hr'!C23,'20.10  MITYANA-BUSUNJU'!C23,'21.10 MITYANA-BUSUNJU '!C23,'22.10 MITYANA-BUSUNJU '!C23,'23.10 MITYANA-BUSUNJU '!C23)</f>
        <v>0.7142857142857143</v>
      </c>
      <c r="D23" s="49">
        <f>AVERAGE('17.10 MITYANA-BUSUNJU'!D23,'18.10 MITYANA-BUSUNJU 24hr'!D23,'19.10 MITYANA-BUSUNJU 24hr'!D23,'20.10  MITYANA-BUSUNJU'!D23,'21.10 MITYANA-BUSUNJU '!D23,'22.10 MITYANA-BUSUNJU '!D23,'23.10 MITYANA-BUSUNJU '!D23)</f>
        <v>0.42857142857142855</v>
      </c>
      <c r="E23" s="49">
        <f>AVERAGE('17.10 MITYANA-BUSUNJU'!E23,'18.10 MITYANA-BUSUNJU 24hr'!E23,'19.10 MITYANA-BUSUNJU 24hr'!E23,'20.10  MITYANA-BUSUNJU'!E23,'21.10 MITYANA-BUSUNJU '!E23,'22.10 MITYANA-BUSUNJU '!E23,'23.10 MITYANA-BUSUNJU '!E23)</f>
        <v>0.14285714285714285</v>
      </c>
      <c r="F23" s="49">
        <f>AVERAGE('17.10 MITYANA-BUSUNJU'!F23,'18.10 MITYANA-BUSUNJU 24hr'!F23,'19.10 MITYANA-BUSUNJU 24hr'!F23,'20.10  MITYANA-BUSUNJU'!F23,'21.10 MITYANA-BUSUNJU '!F23,'22.10 MITYANA-BUSUNJU '!F23,'23.10 MITYANA-BUSUNJU '!F23)</f>
        <v>0.14285714285714285</v>
      </c>
      <c r="G23" s="49">
        <f>AVERAGE('17.10 MITYANA-BUSUNJU'!G23,'18.10 MITYANA-BUSUNJU 24hr'!G23,'19.10 MITYANA-BUSUNJU 24hr'!G23,'20.10  MITYANA-BUSUNJU'!G23,'21.10 MITYANA-BUSUNJU '!G23,'22.10 MITYANA-BUSUNJU '!G23,'23.10 MITYANA-BUSUNJU '!G23)</f>
        <v>0</v>
      </c>
      <c r="H23" s="49">
        <f>AVERAGE('17.10 MITYANA-BUSUNJU'!H23,'18.10 MITYANA-BUSUNJU 24hr'!H23,'19.10 MITYANA-BUSUNJU 24hr'!H23,'20.10  MITYANA-BUSUNJU'!H23,'21.10 MITYANA-BUSUNJU '!H23,'22.10 MITYANA-BUSUNJU '!H23,'23.10 MITYANA-BUSUNJU '!H23)</f>
        <v>0</v>
      </c>
      <c r="I23" s="49">
        <f>AVERAGE('17.10 MITYANA-BUSUNJU'!I23,'18.10 MITYANA-BUSUNJU 24hr'!I23,'19.10 MITYANA-BUSUNJU 24hr'!I23,'20.10  MITYANA-BUSUNJU'!I23,'21.10 MITYANA-BUSUNJU '!I23,'22.10 MITYANA-BUSUNJU '!I23,'23.10 MITYANA-BUSUNJU '!I23)</f>
        <v>1</v>
      </c>
      <c r="J23" s="49">
        <f>AVERAGE('17.10 MITYANA-BUSUNJU'!J23,'18.10 MITYANA-BUSUNJU 24hr'!J23,'19.10 MITYANA-BUSUNJU 24hr'!J23,'20.10  MITYANA-BUSUNJU'!J23,'21.10 MITYANA-BUSUNJU '!J23,'22.10 MITYANA-BUSUNJU '!J23,'23.10 MITYANA-BUSUNJU '!J23)</f>
        <v>0.14285714285714285</v>
      </c>
      <c r="K23" s="49">
        <f>AVERAGE('17.10 MITYANA-BUSUNJU'!K23,'18.10 MITYANA-BUSUNJU 24hr'!K23,'19.10 MITYANA-BUSUNJU 24hr'!K23,'20.10  MITYANA-BUSUNJU'!K23,'21.10 MITYANA-BUSUNJU '!K23,'22.10 MITYANA-BUSUNJU '!K23,'23.10 MITYANA-BUSUNJU '!K23)</f>
        <v>0.14285714285714285</v>
      </c>
      <c r="L23" s="49">
        <f>AVERAGE('17.10 MITYANA-BUSUNJU'!L23,'18.10 MITYANA-BUSUNJU 24hr'!L23,'19.10 MITYANA-BUSUNJU 24hr'!L23,'20.10  MITYANA-BUSUNJU'!L23,'21.10 MITYANA-BUSUNJU '!L23,'22.10 MITYANA-BUSUNJU '!L23,'23.10 MITYANA-BUSUNJU '!L23)</f>
        <v>0</v>
      </c>
      <c r="M23" s="49">
        <f>AVERAGE('17.10 MITYANA-BUSUNJU'!M23,'18.10 MITYANA-BUSUNJU 24hr'!M23,'19.10 MITYANA-BUSUNJU 24hr'!M23,'20.10  MITYANA-BUSUNJU'!M23,'21.10 MITYANA-BUSUNJU '!M23,'22.10 MITYANA-BUSUNJU '!M23,'23.10 MITYANA-BUSUNJU '!M23)</f>
        <v>10.714285714285714</v>
      </c>
      <c r="N23" s="49">
        <f>AVERAGE('17.10 MITYANA-BUSUNJU'!N23,'18.10 MITYANA-BUSUNJU 24hr'!N23,'19.10 MITYANA-BUSUNJU 24hr'!N23,'20.10  MITYANA-BUSUNJU'!N23,'21.10 MITYANA-BUSUNJU '!N23,'22.10 MITYANA-BUSUNJU '!N23,'23.10 MITYANA-BUSUNJU '!N23)</f>
        <v>0</v>
      </c>
      <c r="O23" s="15">
        <f t="shared" si="0"/>
        <v>2.714285714285714</v>
      </c>
      <c r="P23" s="15">
        <f t="shared" si="1"/>
        <v>13.428571428571427</v>
      </c>
      <c r="R23" s="1" t="s">
        <v>147</v>
      </c>
      <c r="S23" s="34">
        <f>SUM(C62:C65)</f>
        <v>1</v>
      </c>
      <c r="T23" s="34">
        <f t="shared" ref="T23:AF23" si="15">SUM(D62:D65)</f>
        <v>4</v>
      </c>
      <c r="U23" s="34">
        <f t="shared" si="15"/>
        <v>0.5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1.5</v>
      </c>
      <c r="Z23" s="34">
        <f t="shared" si="15"/>
        <v>1</v>
      </c>
      <c r="AA23" s="34">
        <f t="shared" si="15"/>
        <v>1</v>
      </c>
      <c r="AB23" s="34">
        <f t="shared" si="15"/>
        <v>0</v>
      </c>
      <c r="AC23" s="34">
        <f t="shared" si="15"/>
        <v>36.5</v>
      </c>
      <c r="AD23" s="34">
        <f t="shared" si="15"/>
        <v>0</v>
      </c>
      <c r="AE23" s="31">
        <f t="shared" si="15"/>
        <v>9</v>
      </c>
      <c r="AF23" s="31">
        <f t="shared" si="15"/>
        <v>45.5</v>
      </c>
    </row>
    <row r="24" spans="2:32" ht="23.1" customHeight="1" x14ac:dyDescent="0.25">
      <c r="B24" s="23" t="s">
        <v>51</v>
      </c>
      <c r="C24" s="49">
        <f>AVERAGE('17.10 MITYANA-BUSUNJU'!C24,'18.10 MITYANA-BUSUNJU 24hr'!C24,'19.10 MITYANA-BUSUNJU 24hr'!C24,'20.10  MITYANA-BUSUNJU'!C24,'21.10 MITYANA-BUSUNJU '!C24,'22.10 MITYANA-BUSUNJU '!C24,'23.10 MITYANA-BUSUNJU '!C24)</f>
        <v>0.2857142857142857</v>
      </c>
      <c r="D24" s="49">
        <f>AVERAGE('17.10 MITYANA-BUSUNJU'!D24,'18.10 MITYANA-BUSUNJU 24hr'!D24,'19.10 MITYANA-BUSUNJU 24hr'!D24,'20.10  MITYANA-BUSUNJU'!D24,'21.10 MITYANA-BUSUNJU '!D24,'22.10 MITYANA-BUSUNJU '!D24,'23.10 MITYANA-BUSUNJU '!D24)</f>
        <v>0.14285714285714285</v>
      </c>
      <c r="E24" s="49">
        <f>AVERAGE('17.10 MITYANA-BUSUNJU'!E24,'18.10 MITYANA-BUSUNJU 24hr'!E24,'19.10 MITYANA-BUSUNJU 24hr'!E24,'20.10  MITYANA-BUSUNJU'!E24,'21.10 MITYANA-BUSUNJU '!E24,'22.10 MITYANA-BUSUNJU '!E24,'23.10 MITYANA-BUSUNJU '!E24)</f>
        <v>0</v>
      </c>
      <c r="F24" s="49">
        <f>AVERAGE('17.10 MITYANA-BUSUNJU'!F24,'18.10 MITYANA-BUSUNJU 24hr'!F24,'19.10 MITYANA-BUSUNJU 24hr'!F24,'20.10  MITYANA-BUSUNJU'!F24,'21.10 MITYANA-BUSUNJU '!F24,'22.10 MITYANA-BUSUNJU '!F24,'23.10 MITYANA-BUSUNJU '!F24)</f>
        <v>0.2857142857142857</v>
      </c>
      <c r="G24" s="49">
        <f>AVERAGE('17.10 MITYANA-BUSUNJU'!G24,'18.10 MITYANA-BUSUNJU 24hr'!G24,'19.10 MITYANA-BUSUNJU 24hr'!G24,'20.10  MITYANA-BUSUNJU'!G24,'21.10 MITYANA-BUSUNJU '!G24,'22.10 MITYANA-BUSUNJU '!G24,'23.10 MITYANA-BUSUNJU '!G24)</f>
        <v>0</v>
      </c>
      <c r="H24" s="49">
        <f>AVERAGE('17.10 MITYANA-BUSUNJU'!H24,'18.10 MITYANA-BUSUNJU 24hr'!H24,'19.10 MITYANA-BUSUNJU 24hr'!H24,'20.10  MITYANA-BUSUNJU'!H24,'21.10 MITYANA-BUSUNJU '!H24,'22.10 MITYANA-BUSUNJU '!H24,'23.10 MITYANA-BUSUNJU '!H24)</f>
        <v>0</v>
      </c>
      <c r="I24" s="49">
        <f>AVERAGE('17.10 MITYANA-BUSUNJU'!I24,'18.10 MITYANA-BUSUNJU 24hr'!I24,'19.10 MITYANA-BUSUNJU 24hr'!I24,'20.10  MITYANA-BUSUNJU'!I24,'21.10 MITYANA-BUSUNJU '!I24,'22.10 MITYANA-BUSUNJU '!I24,'23.10 MITYANA-BUSUNJU '!I24)</f>
        <v>0.2857142857142857</v>
      </c>
      <c r="J24" s="49">
        <f>AVERAGE('17.10 MITYANA-BUSUNJU'!J24,'18.10 MITYANA-BUSUNJU 24hr'!J24,'19.10 MITYANA-BUSUNJU 24hr'!J24,'20.10  MITYANA-BUSUNJU'!J24,'21.10 MITYANA-BUSUNJU '!J24,'22.10 MITYANA-BUSUNJU '!J24,'23.10 MITYANA-BUSUNJU '!J24)</f>
        <v>0.14285714285714285</v>
      </c>
      <c r="K24" s="49">
        <f>AVERAGE('17.10 MITYANA-BUSUNJU'!K24,'18.10 MITYANA-BUSUNJU 24hr'!K24,'19.10 MITYANA-BUSUNJU 24hr'!K24,'20.10  MITYANA-BUSUNJU'!K24,'21.10 MITYANA-BUSUNJU '!K24,'22.10 MITYANA-BUSUNJU '!K24,'23.10 MITYANA-BUSUNJU '!K24)</f>
        <v>0</v>
      </c>
      <c r="L24" s="49">
        <f>AVERAGE('17.10 MITYANA-BUSUNJU'!L24,'18.10 MITYANA-BUSUNJU 24hr'!L24,'19.10 MITYANA-BUSUNJU 24hr'!L24,'20.10  MITYANA-BUSUNJU'!L24,'21.10 MITYANA-BUSUNJU '!L24,'22.10 MITYANA-BUSUNJU '!L24,'23.10 MITYANA-BUSUNJU '!L24)</f>
        <v>0</v>
      </c>
      <c r="M24" s="49">
        <f>AVERAGE('17.10 MITYANA-BUSUNJU'!M24,'18.10 MITYANA-BUSUNJU 24hr'!M24,'19.10 MITYANA-BUSUNJU 24hr'!M24,'20.10  MITYANA-BUSUNJU'!M24,'21.10 MITYANA-BUSUNJU '!M24,'22.10 MITYANA-BUSUNJU '!M24,'23.10 MITYANA-BUSUNJU '!M24)</f>
        <v>10.428571428571429</v>
      </c>
      <c r="N24" s="49">
        <f>AVERAGE('17.10 MITYANA-BUSUNJU'!N24,'18.10 MITYANA-BUSUNJU 24hr'!N24,'19.10 MITYANA-BUSUNJU 24hr'!N24,'20.10  MITYANA-BUSUNJU'!N24,'21.10 MITYANA-BUSUNJU '!N24,'22.10 MITYANA-BUSUNJU '!N24,'23.10 MITYANA-BUSUNJU '!N24)</f>
        <v>0</v>
      </c>
      <c r="O24" s="15">
        <f t="shared" si="0"/>
        <v>1.1428571428571428</v>
      </c>
      <c r="P24" s="15">
        <f t="shared" si="1"/>
        <v>11.571428571428571</v>
      </c>
      <c r="R24" s="1" t="s">
        <v>148</v>
      </c>
      <c r="S24" s="34">
        <f>SUM(C66:C69)</f>
        <v>1.5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0.5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2</v>
      </c>
      <c r="AA24" s="34">
        <f t="shared" si="16"/>
        <v>2</v>
      </c>
      <c r="AB24" s="34">
        <f t="shared" si="16"/>
        <v>0</v>
      </c>
      <c r="AC24" s="34">
        <f t="shared" si="16"/>
        <v>28</v>
      </c>
      <c r="AD24" s="34">
        <f t="shared" si="16"/>
        <v>0</v>
      </c>
      <c r="AE24" s="31">
        <f t="shared" si="16"/>
        <v>11</v>
      </c>
      <c r="AF24" s="31">
        <f t="shared" si="16"/>
        <v>39</v>
      </c>
    </row>
    <row r="25" spans="2:32" ht="23.1" customHeight="1" x14ac:dyDescent="0.25">
      <c r="B25" s="23" t="s">
        <v>52</v>
      </c>
      <c r="C25" s="49">
        <f>AVERAGE('17.10 MITYANA-BUSUNJU'!C25,'18.10 MITYANA-BUSUNJU 24hr'!C25,'19.10 MITYANA-BUSUNJU 24hr'!C25,'20.10  MITYANA-BUSUNJU'!C25,'21.10 MITYANA-BUSUNJU '!C25,'22.10 MITYANA-BUSUNJU '!C25,'23.10 MITYANA-BUSUNJU '!C25)</f>
        <v>0.8571428571428571</v>
      </c>
      <c r="D25" s="49">
        <f>AVERAGE('17.10 MITYANA-BUSUNJU'!D25,'18.10 MITYANA-BUSUNJU 24hr'!D25,'19.10 MITYANA-BUSUNJU 24hr'!D25,'20.10  MITYANA-BUSUNJU'!D25,'21.10 MITYANA-BUSUNJU '!D25,'22.10 MITYANA-BUSUNJU '!D25,'23.10 MITYANA-BUSUNJU '!D25)</f>
        <v>0.14285714285714285</v>
      </c>
      <c r="E25" s="49">
        <f>AVERAGE('17.10 MITYANA-BUSUNJU'!E25,'18.10 MITYANA-BUSUNJU 24hr'!E25,'19.10 MITYANA-BUSUNJU 24hr'!E25,'20.10  MITYANA-BUSUNJU'!E25,'21.10 MITYANA-BUSUNJU '!E25,'22.10 MITYANA-BUSUNJU '!E25,'23.10 MITYANA-BUSUNJU '!E25)</f>
        <v>0</v>
      </c>
      <c r="F25" s="49">
        <f>AVERAGE('17.10 MITYANA-BUSUNJU'!F25,'18.10 MITYANA-BUSUNJU 24hr'!F25,'19.10 MITYANA-BUSUNJU 24hr'!F25,'20.10  MITYANA-BUSUNJU'!F25,'21.10 MITYANA-BUSUNJU '!F25,'22.10 MITYANA-BUSUNJU '!F25,'23.10 MITYANA-BUSUNJU '!F25)</f>
        <v>0</v>
      </c>
      <c r="G25" s="49">
        <f>AVERAGE('17.10 MITYANA-BUSUNJU'!G25,'18.10 MITYANA-BUSUNJU 24hr'!G25,'19.10 MITYANA-BUSUNJU 24hr'!G25,'20.10  MITYANA-BUSUNJU'!G25,'21.10 MITYANA-BUSUNJU '!G25,'22.10 MITYANA-BUSUNJU '!G25,'23.10 MITYANA-BUSUNJU '!G25)</f>
        <v>0</v>
      </c>
      <c r="H25" s="49">
        <f>AVERAGE('17.10 MITYANA-BUSUNJU'!H25,'18.10 MITYANA-BUSUNJU 24hr'!H25,'19.10 MITYANA-BUSUNJU 24hr'!H25,'20.10  MITYANA-BUSUNJU'!H25,'21.10 MITYANA-BUSUNJU '!H25,'22.10 MITYANA-BUSUNJU '!H25,'23.10 MITYANA-BUSUNJU '!H25)</f>
        <v>0</v>
      </c>
      <c r="I25" s="49">
        <f>AVERAGE('17.10 MITYANA-BUSUNJU'!I25,'18.10 MITYANA-BUSUNJU 24hr'!I25,'19.10 MITYANA-BUSUNJU 24hr'!I25,'20.10  MITYANA-BUSUNJU'!I25,'21.10 MITYANA-BUSUNJU '!I25,'22.10 MITYANA-BUSUNJU '!I25,'23.10 MITYANA-BUSUNJU '!I25)</f>
        <v>0.2857142857142857</v>
      </c>
      <c r="J25" s="49">
        <f>AVERAGE('17.10 MITYANA-BUSUNJU'!J25,'18.10 MITYANA-BUSUNJU 24hr'!J25,'19.10 MITYANA-BUSUNJU 24hr'!J25,'20.10  MITYANA-BUSUNJU'!J25,'21.10 MITYANA-BUSUNJU '!J25,'22.10 MITYANA-BUSUNJU '!J25,'23.10 MITYANA-BUSUNJU '!J25)</f>
        <v>0.42857142857142855</v>
      </c>
      <c r="K25" s="49">
        <f>AVERAGE('17.10 MITYANA-BUSUNJU'!K25,'18.10 MITYANA-BUSUNJU 24hr'!K25,'19.10 MITYANA-BUSUNJU 24hr'!K25,'20.10  MITYANA-BUSUNJU'!K25,'21.10 MITYANA-BUSUNJU '!K25,'22.10 MITYANA-BUSUNJU '!K25,'23.10 MITYANA-BUSUNJU '!K25)</f>
        <v>0</v>
      </c>
      <c r="L25" s="49">
        <f>AVERAGE('17.10 MITYANA-BUSUNJU'!L25,'18.10 MITYANA-BUSUNJU 24hr'!L25,'19.10 MITYANA-BUSUNJU 24hr'!L25,'20.10  MITYANA-BUSUNJU'!L25,'21.10 MITYANA-BUSUNJU '!L25,'22.10 MITYANA-BUSUNJU '!L25,'23.10 MITYANA-BUSUNJU '!L25)</f>
        <v>0</v>
      </c>
      <c r="M25" s="49">
        <f>AVERAGE('17.10 MITYANA-BUSUNJU'!M25,'18.10 MITYANA-BUSUNJU 24hr'!M25,'19.10 MITYANA-BUSUNJU 24hr'!M25,'20.10  MITYANA-BUSUNJU'!M25,'21.10 MITYANA-BUSUNJU '!M25,'22.10 MITYANA-BUSUNJU '!M25,'23.10 MITYANA-BUSUNJU '!M25)</f>
        <v>9.5714285714285712</v>
      </c>
      <c r="N25" s="49">
        <f>AVERAGE('17.10 MITYANA-BUSUNJU'!N25,'18.10 MITYANA-BUSUNJU 24hr'!N25,'19.10 MITYANA-BUSUNJU 24hr'!N25,'20.10  MITYANA-BUSUNJU'!N25,'21.10 MITYANA-BUSUNJU '!N25,'22.10 MITYANA-BUSUNJU '!N25,'23.10 MITYANA-BUSUNJU '!N25)</f>
        <v>0</v>
      </c>
      <c r="O25" s="15">
        <f t="shared" si="0"/>
        <v>1.7142857142857142</v>
      </c>
      <c r="P25" s="15">
        <f t="shared" si="1"/>
        <v>11.285714285714285</v>
      </c>
      <c r="R25" s="1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1</v>
      </c>
      <c r="Y25" s="34">
        <f t="shared" si="17"/>
        <v>2</v>
      </c>
      <c r="Z25" s="34">
        <f t="shared" si="17"/>
        <v>0.5</v>
      </c>
      <c r="AA25" s="34">
        <f t="shared" si="17"/>
        <v>1.5</v>
      </c>
      <c r="AB25" s="34">
        <f t="shared" si="17"/>
        <v>0</v>
      </c>
      <c r="AC25" s="34">
        <f t="shared" si="17"/>
        <v>20.5</v>
      </c>
      <c r="AD25" s="34">
        <f t="shared" si="17"/>
        <v>0</v>
      </c>
      <c r="AE25" s="31">
        <f t="shared" si="17"/>
        <v>9</v>
      </c>
      <c r="AF25" s="31">
        <f t="shared" si="17"/>
        <v>29.5</v>
      </c>
    </row>
    <row r="26" spans="2:32" ht="23.1" customHeight="1" x14ac:dyDescent="0.25">
      <c r="B26" s="23" t="s">
        <v>53</v>
      </c>
      <c r="C26" s="49">
        <f>AVERAGE('17.10 MITYANA-BUSUNJU'!C26,'18.10 MITYANA-BUSUNJU 24hr'!C26,'19.10 MITYANA-BUSUNJU 24hr'!C26,'20.10  MITYANA-BUSUNJU'!C26,'21.10 MITYANA-BUSUNJU '!C26,'22.10 MITYANA-BUSUNJU '!C26,'23.10 MITYANA-BUSUNJU '!C26)</f>
        <v>1.4285714285714286</v>
      </c>
      <c r="D26" s="49">
        <f>AVERAGE('17.10 MITYANA-BUSUNJU'!D26,'18.10 MITYANA-BUSUNJU 24hr'!D26,'19.10 MITYANA-BUSUNJU 24hr'!D26,'20.10  MITYANA-BUSUNJU'!D26,'21.10 MITYANA-BUSUNJU '!D26,'22.10 MITYANA-BUSUNJU '!D26,'23.10 MITYANA-BUSUNJU '!D26)</f>
        <v>0.5714285714285714</v>
      </c>
      <c r="E26" s="49">
        <f>AVERAGE('17.10 MITYANA-BUSUNJU'!E26,'18.10 MITYANA-BUSUNJU 24hr'!E26,'19.10 MITYANA-BUSUNJU 24hr'!E26,'20.10  MITYANA-BUSUNJU'!E26,'21.10 MITYANA-BUSUNJU '!E26,'22.10 MITYANA-BUSUNJU '!E26,'23.10 MITYANA-BUSUNJU '!E26)</f>
        <v>0.2857142857142857</v>
      </c>
      <c r="F26" s="49">
        <f>AVERAGE('17.10 MITYANA-BUSUNJU'!F26,'18.10 MITYANA-BUSUNJU 24hr'!F26,'19.10 MITYANA-BUSUNJU 24hr'!F26,'20.10  MITYANA-BUSUNJU'!F26,'21.10 MITYANA-BUSUNJU '!F26,'22.10 MITYANA-BUSUNJU '!F26,'23.10 MITYANA-BUSUNJU '!F26)</f>
        <v>0.14285714285714285</v>
      </c>
      <c r="G26" s="49">
        <f>AVERAGE('17.10 MITYANA-BUSUNJU'!G26,'18.10 MITYANA-BUSUNJU 24hr'!G26,'19.10 MITYANA-BUSUNJU 24hr'!G26,'20.10  MITYANA-BUSUNJU'!G26,'21.10 MITYANA-BUSUNJU '!G26,'22.10 MITYANA-BUSUNJU '!G26,'23.10 MITYANA-BUSUNJU '!G26)</f>
        <v>0</v>
      </c>
      <c r="H26" s="49">
        <f>AVERAGE('17.10 MITYANA-BUSUNJU'!H26,'18.10 MITYANA-BUSUNJU 24hr'!H26,'19.10 MITYANA-BUSUNJU 24hr'!H26,'20.10  MITYANA-BUSUNJU'!H26,'21.10 MITYANA-BUSUNJU '!H26,'22.10 MITYANA-BUSUNJU '!H26,'23.10 MITYANA-BUSUNJU '!H26)</f>
        <v>0</v>
      </c>
      <c r="I26" s="49">
        <f>AVERAGE('17.10 MITYANA-BUSUNJU'!I26,'18.10 MITYANA-BUSUNJU 24hr'!I26,'19.10 MITYANA-BUSUNJU 24hr'!I26,'20.10  MITYANA-BUSUNJU'!I26,'21.10 MITYANA-BUSUNJU '!I26,'22.10 MITYANA-BUSUNJU '!I26,'23.10 MITYANA-BUSUNJU '!I26)</f>
        <v>0.2857142857142857</v>
      </c>
      <c r="J26" s="49">
        <f>AVERAGE('17.10 MITYANA-BUSUNJU'!J26,'18.10 MITYANA-BUSUNJU 24hr'!J26,'19.10 MITYANA-BUSUNJU 24hr'!J26,'20.10  MITYANA-BUSUNJU'!J26,'21.10 MITYANA-BUSUNJU '!J26,'22.10 MITYANA-BUSUNJU '!J26,'23.10 MITYANA-BUSUNJU '!J26)</f>
        <v>0.14285714285714285</v>
      </c>
      <c r="K26" s="49">
        <f>AVERAGE('17.10 MITYANA-BUSUNJU'!K26,'18.10 MITYANA-BUSUNJU 24hr'!K26,'19.10 MITYANA-BUSUNJU 24hr'!K26,'20.10  MITYANA-BUSUNJU'!K26,'21.10 MITYANA-BUSUNJU '!K26,'22.10 MITYANA-BUSUNJU '!K26,'23.10 MITYANA-BUSUNJU '!K26)</f>
        <v>0.14285714285714285</v>
      </c>
      <c r="L26" s="49">
        <f>AVERAGE('17.10 MITYANA-BUSUNJU'!L26,'18.10 MITYANA-BUSUNJU 24hr'!L26,'19.10 MITYANA-BUSUNJU 24hr'!L26,'20.10  MITYANA-BUSUNJU'!L26,'21.10 MITYANA-BUSUNJU '!L26,'22.10 MITYANA-BUSUNJU '!L26,'23.10 MITYANA-BUSUNJU '!L26)</f>
        <v>0</v>
      </c>
      <c r="M26" s="49">
        <f>AVERAGE('17.10 MITYANA-BUSUNJU'!M26,'18.10 MITYANA-BUSUNJU 24hr'!M26,'19.10 MITYANA-BUSUNJU 24hr'!M26,'20.10  MITYANA-BUSUNJU'!M26,'21.10 MITYANA-BUSUNJU '!M26,'22.10 MITYANA-BUSUNJU '!M26,'23.10 MITYANA-BUSUNJU '!M26)</f>
        <v>10</v>
      </c>
      <c r="N26" s="49">
        <f>AVERAGE('17.10 MITYANA-BUSUNJU'!N26,'18.10 MITYANA-BUSUNJU 24hr'!N26,'19.10 MITYANA-BUSUNJU 24hr'!N26,'20.10  MITYANA-BUSUNJU'!N26,'21.10 MITYANA-BUSUNJU '!N26,'22.10 MITYANA-BUSUNJU '!N26,'23.10 MITYANA-BUSUNJU '!N26)</f>
        <v>0</v>
      </c>
      <c r="O26" s="15">
        <f t="shared" si="0"/>
        <v>2.9999999999999996</v>
      </c>
      <c r="P26" s="15">
        <f t="shared" si="1"/>
        <v>13</v>
      </c>
      <c r="R26" s="1" t="s">
        <v>150</v>
      </c>
      <c r="S26" s="34">
        <f>SUM(C74:C77)</f>
        <v>2.5</v>
      </c>
      <c r="T26" s="34">
        <f t="shared" ref="T26:AF26" si="18">SUM(D74:D77)</f>
        <v>1</v>
      </c>
      <c r="U26" s="34">
        <f t="shared" si="18"/>
        <v>0.5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2</v>
      </c>
      <c r="AA26" s="34">
        <f t="shared" si="18"/>
        <v>0.5</v>
      </c>
      <c r="AB26" s="34">
        <f t="shared" si="18"/>
        <v>0</v>
      </c>
      <c r="AC26" s="34">
        <f t="shared" si="18"/>
        <v>11</v>
      </c>
      <c r="AD26" s="34">
        <f t="shared" si="18"/>
        <v>0</v>
      </c>
      <c r="AE26" s="31">
        <f t="shared" si="18"/>
        <v>8.5</v>
      </c>
      <c r="AF26" s="31">
        <f t="shared" si="18"/>
        <v>19.5</v>
      </c>
    </row>
    <row r="27" spans="2:32" ht="23.1" customHeight="1" x14ac:dyDescent="0.25">
      <c r="B27" s="23" t="s">
        <v>54</v>
      </c>
      <c r="C27" s="49">
        <f>AVERAGE('17.10 MITYANA-BUSUNJU'!C27,'18.10 MITYANA-BUSUNJU 24hr'!C27,'19.10 MITYANA-BUSUNJU 24hr'!C27,'20.10  MITYANA-BUSUNJU'!C27,'21.10 MITYANA-BUSUNJU '!C27,'22.10 MITYANA-BUSUNJU '!C27,'23.10 MITYANA-BUSUNJU '!C27)</f>
        <v>1.4285714285714286</v>
      </c>
      <c r="D27" s="49">
        <f>AVERAGE('17.10 MITYANA-BUSUNJU'!D27,'18.10 MITYANA-BUSUNJU 24hr'!D27,'19.10 MITYANA-BUSUNJU 24hr'!D27,'20.10  MITYANA-BUSUNJU'!D27,'21.10 MITYANA-BUSUNJU '!D27,'22.10 MITYANA-BUSUNJU '!D27,'23.10 MITYANA-BUSUNJU '!D27)</f>
        <v>0.42857142857142855</v>
      </c>
      <c r="E27" s="49">
        <f>AVERAGE('17.10 MITYANA-BUSUNJU'!E27,'18.10 MITYANA-BUSUNJU 24hr'!E27,'19.10 MITYANA-BUSUNJU 24hr'!E27,'20.10  MITYANA-BUSUNJU'!E27,'21.10 MITYANA-BUSUNJU '!E27,'22.10 MITYANA-BUSUNJU '!E27,'23.10 MITYANA-BUSUNJU '!E27)</f>
        <v>0.14285714285714285</v>
      </c>
      <c r="F27" s="49">
        <f>AVERAGE('17.10 MITYANA-BUSUNJU'!F27,'18.10 MITYANA-BUSUNJU 24hr'!F27,'19.10 MITYANA-BUSUNJU 24hr'!F27,'20.10  MITYANA-BUSUNJU'!F27,'21.10 MITYANA-BUSUNJU '!F27,'22.10 MITYANA-BUSUNJU '!F27,'23.10 MITYANA-BUSUNJU '!F27)</f>
        <v>0</v>
      </c>
      <c r="G27" s="49">
        <f>AVERAGE('17.10 MITYANA-BUSUNJU'!G27,'18.10 MITYANA-BUSUNJU 24hr'!G27,'19.10 MITYANA-BUSUNJU 24hr'!G27,'20.10  MITYANA-BUSUNJU'!G27,'21.10 MITYANA-BUSUNJU '!G27,'22.10 MITYANA-BUSUNJU '!G27,'23.10 MITYANA-BUSUNJU '!G27)</f>
        <v>0.14285714285714285</v>
      </c>
      <c r="H27" s="49">
        <f>AVERAGE('17.10 MITYANA-BUSUNJU'!H27,'18.10 MITYANA-BUSUNJU 24hr'!H27,'19.10 MITYANA-BUSUNJU 24hr'!H27,'20.10  MITYANA-BUSUNJU'!H27,'21.10 MITYANA-BUSUNJU '!H27,'22.10 MITYANA-BUSUNJU '!H27,'23.10 MITYANA-BUSUNJU '!H27)</f>
        <v>0</v>
      </c>
      <c r="I27" s="49">
        <f>AVERAGE('17.10 MITYANA-BUSUNJU'!I27,'18.10 MITYANA-BUSUNJU 24hr'!I27,'19.10 MITYANA-BUSUNJU 24hr'!I27,'20.10  MITYANA-BUSUNJU'!I27,'21.10 MITYANA-BUSUNJU '!I27,'22.10 MITYANA-BUSUNJU '!I27,'23.10 MITYANA-BUSUNJU '!I27)</f>
        <v>0.42857142857142855</v>
      </c>
      <c r="J27" s="49">
        <f>AVERAGE('17.10 MITYANA-BUSUNJU'!J27,'18.10 MITYANA-BUSUNJU 24hr'!J27,'19.10 MITYANA-BUSUNJU 24hr'!J27,'20.10  MITYANA-BUSUNJU'!J27,'21.10 MITYANA-BUSUNJU '!J27,'22.10 MITYANA-BUSUNJU '!J27,'23.10 MITYANA-BUSUNJU '!J27)</f>
        <v>0</v>
      </c>
      <c r="K27" s="49">
        <f>AVERAGE('17.10 MITYANA-BUSUNJU'!K27,'18.10 MITYANA-BUSUNJU 24hr'!K27,'19.10 MITYANA-BUSUNJU 24hr'!K27,'20.10  MITYANA-BUSUNJU'!K27,'21.10 MITYANA-BUSUNJU '!K27,'22.10 MITYANA-BUSUNJU '!K27,'23.10 MITYANA-BUSUNJU '!K27)</f>
        <v>0</v>
      </c>
      <c r="L27" s="49">
        <f>AVERAGE('17.10 MITYANA-BUSUNJU'!L27,'18.10 MITYANA-BUSUNJU 24hr'!L27,'19.10 MITYANA-BUSUNJU 24hr'!L27,'20.10  MITYANA-BUSUNJU'!L27,'21.10 MITYANA-BUSUNJU '!L27,'22.10 MITYANA-BUSUNJU '!L27,'23.10 MITYANA-BUSUNJU '!L27)</f>
        <v>0</v>
      </c>
      <c r="M27" s="49">
        <f>AVERAGE('17.10 MITYANA-BUSUNJU'!M27,'18.10 MITYANA-BUSUNJU 24hr'!M27,'19.10 MITYANA-BUSUNJU 24hr'!M27,'20.10  MITYANA-BUSUNJU'!M27,'21.10 MITYANA-BUSUNJU '!M27,'22.10 MITYANA-BUSUNJU '!M27,'23.10 MITYANA-BUSUNJU '!M27)</f>
        <v>9.5714285714285712</v>
      </c>
      <c r="N27" s="49">
        <f>AVERAGE('17.10 MITYANA-BUSUNJU'!N27,'18.10 MITYANA-BUSUNJU 24hr'!N27,'19.10 MITYANA-BUSUNJU 24hr'!N27,'20.10  MITYANA-BUSUNJU'!N27,'21.10 MITYANA-BUSUNJU '!N27,'22.10 MITYANA-BUSUNJU '!N27,'23.10 MITYANA-BUSUNJU '!N27)</f>
        <v>0</v>
      </c>
      <c r="O27" s="15">
        <f t="shared" si="0"/>
        <v>2.5714285714285712</v>
      </c>
      <c r="P27" s="15">
        <f t="shared" si="1"/>
        <v>12.142857142857142</v>
      </c>
      <c r="R27" s="1" t="s">
        <v>151</v>
      </c>
      <c r="S27" s="34">
        <f>SUM(C78:C81)</f>
        <v>1.5</v>
      </c>
      <c r="T27" s="34">
        <f t="shared" ref="T27:AF27" si="19">SUM(D78:D81)</f>
        <v>1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3.5</v>
      </c>
      <c r="Z27" s="34">
        <f t="shared" si="19"/>
        <v>2.5</v>
      </c>
      <c r="AA27" s="34">
        <f t="shared" si="19"/>
        <v>1.5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10.5</v>
      </c>
      <c r="AF27" s="31">
        <f t="shared" si="19"/>
        <v>12.5</v>
      </c>
    </row>
    <row r="28" spans="2:32" ht="23.1" customHeight="1" x14ac:dyDescent="0.25">
      <c r="B28" s="23" t="s">
        <v>55</v>
      </c>
      <c r="C28" s="49">
        <f>AVERAGE('17.10 MITYANA-BUSUNJU'!C28,'18.10 MITYANA-BUSUNJU 24hr'!C28,'19.10 MITYANA-BUSUNJU 24hr'!C28,'20.10  MITYANA-BUSUNJU'!C28,'21.10 MITYANA-BUSUNJU '!C28,'22.10 MITYANA-BUSUNJU '!C28,'23.10 MITYANA-BUSUNJU '!C28)</f>
        <v>0.8571428571428571</v>
      </c>
      <c r="D28" s="49">
        <f>AVERAGE('17.10 MITYANA-BUSUNJU'!D28,'18.10 MITYANA-BUSUNJU 24hr'!D28,'19.10 MITYANA-BUSUNJU 24hr'!D28,'20.10  MITYANA-BUSUNJU'!D28,'21.10 MITYANA-BUSUNJU '!D28,'22.10 MITYANA-BUSUNJU '!D28,'23.10 MITYANA-BUSUNJU '!D28)</f>
        <v>0</v>
      </c>
      <c r="E28" s="49">
        <f>AVERAGE('17.10 MITYANA-BUSUNJU'!E28,'18.10 MITYANA-BUSUNJU 24hr'!E28,'19.10 MITYANA-BUSUNJU 24hr'!E28,'20.10  MITYANA-BUSUNJU'!E28,'21.10 MITYANA-BUSUNJU '!E28,'22.10 MITYANA-BUSUNJU '!E28,'23.10 MITYANA-BUSUNJU '!E28)</f>
        <v>0.2857142857142857</v>
      </c>
      <c r="F28" s="49">
        <f>AVERAGE('17.10 MITYANA-BUSUNJU'!F28,'18.10 MITYANA-BUSUNJU 24hr'!F28,'19.10 MITYANA-BUSUNJU 24hr'!F28,'20.10  MITYANA-BUSUNJU'!F28,'21.10 MITYANA-BUSUNJU '!F28,'22.10 MITYANA-BUSUNJU '!F28,'23.10 MITYANA-BUSUNJU '!F28)</f>
        <v>0.14285714285714285</v>
      </c>
      <c r="G28" s="49">
        <f>AVERAGE('17.10 MITYANA-BUSUNJU'!G28,'18.10 MITYANA-BUSUNJU 24hr'!G28,'19.10 MITYANA-BUSUNJU 24hr'!G28,'20.10  MITYANA-BUSUNJU'!G28,'21.10 MITYANA-BUSUNJU '!G28,'22.10 MITYANA-BUSUNJU '!G28,'23.10 MITYANA-BUSUNJU '!G28)</f>
        <v>0.14285714285714285</v>
      </c>
      <c r="H28" s="49">
        <f>AVERAGE('17.10 MITYANA-BUSUNJU'!H28,'18.10 MITYANA-BUSUNJU 24hr'!H28,'19.10 MITYANA-BUSUNJU 24hr'!H28,'20.10  MITYANA-BUSUNJU'!H28,'21.10 MITYANA-BUSUNJU '!H28,'22.10 MITYANA-BUSUNJU '!H28,'23.10 MITYANA-BUSUNJU '!H28)</f>
        <v>0</v>
      </c>
      <c r="I28" s="49">
        <f>AVERAGE('17.10 MITYANA-BUSUNJU'!I28,'18.10 MITYANA-BUSUNJU 24hr'!I28,'19.10 MITYANA-BUSUNJU 24hr'!I28,'20.10  MITYANA-BUSUNJU'!I28,'21.10 MITYANA-BUSUNJU '!I28,'22.10 MITYANA-BUSUNJU '!I28,'23.10 MITYANA-BUSUNJU '!I28)</f>
        <v>0.14285714285714285</v>
      </c>
      <c r="J28" s="49">
        <f>AVERAGE('17.10 MITYANA-BUSUNJU'!J28,'18.10 MITYANA-BUSUNJU 24hr'!J28,'19.10 MITYANA-BUSUNJU 24hr'!J28,'20.10  MITYANA-BUSUNJU'!J28,'21.10 MITYANA-BUSUNJU '!J28,'22.10 MITYANA-BUSUNJU '!J28,'23.10 MITYANA-BUSUNJU '!J28)</f>
        <v>0.2857142857142857</v>
      </c>
      <c r="K28" s="49">
        <f>AVERAGE('17.10 MITYANA-BUSUNJU'!K28,'18.10 MITYANA-BUSUNJU 24hr'!K28,'19.10 MITYANA-BUSUNJU 24hr'!K28,'20.10  MITYANA-BUSUNJU'!K28,'21.10 MITYANA-BUSUNJU '!K28,'22.10 MITYANA-BUSUNJU '!K28,'23.10 MITYANA-BUSUNJU '!K28)</f>
        <v>0</v>
      </c>
      <c r="L28" s="49">
        <f>AVERAGE('17.10 MITYANA-BUSUNJU'!L28,'18.10 MITYANA-BUSUNJU 24hr'!L28,'19.10 MITYANA-BUSUNJU 24hr'!L28,'20.10  MITYANA-BUSUNJU'!L28,'21.10 MITYANA-BUSUNJU '!L28,'22.10 MITYANA-BUSUNJU '!L28,'23.10 MITYANA-BUSUNJU '!L28)</f>
        <v>0</v>
      </c>
      <c r="M28" s="49">
        <f>AVERAGE('17.10 MITYANA-BUSUNJU'!M28,'18.10 MITYANA-BUSUNJU 24hr'!M28,'19.10 MITYANA-BUSUNJU 24hr'!M28,'20.10  MITYANA-BUSUNJU'!M28,'21.10 MITYANA-BUSUNJU '!M28,'22.10 MITYANA-BUSUNJU '!M28,'23.10 MITYANA-BUSUNJU '!M28)</f>
        <v>10.428571428571429</v>
      </c>
      <c r="N28" s="49">
        <f>AVERAGE('17.10 MITYANA-BUSUNJU'!N28,'18.10 MITYANA-BUSUNJU 24hr'!N28,'19.10 MITYANA-BUSUNJU 24hr'!N28,'20.10  MITYANA-BUSUNJU'!N28,'21.10 MITYANA-BUSUNJU '!N28,'22.10 MITYANA-BUSUNJU '!N28,'23.10 MITYANA-BUSUNJU '!N28)</f>
        <v>0</v>
      </c>
      <c r="O28" s="15">
        <f t="shared" si="0"/>
        <v>1.8571428571428568</v>
      </c>
      <c r="P28" s="15">
        <f t="shared" si="1"/>
        <v>12.285714285714285</v>
      </c>
      <c r="R28" s="1" t="s">
        <v>152</v>
      </c>
      <c r="S28" s="34">
        <f>SUM(C82:C85)</f>
        <v>1.5</v>
      </c>
      <c r="T28" s="34">
        <f t="shared" ref="T28:AF28" si="20">SUM(D82:D85)</f>
        <v>2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2.5</v>
      </c>
      <c r="AA28" s="34">
        <f t="shared" si="20"/>
        <v>0.5</v>
      </c>
      <c r="AB28" s="34">
        <f t="shared" si="20"/>
        <v>0.5</v>
      </c>
      <c r="AC28" s="34">
        <f t="shared" si="20"/>
        <v>0</v>
      </c>
      <c r="AD28" s="34">
        <f t="shared" si="20"/>
        <v>0</v>
      </c>
      <c r="AE28" s="31">
        <f t="shared" si="20"/>
        <v>10</v>
      </c>
      <c r="AF28" s="31">
        <f t="shared" si="20"/>
        <v>10</v>
      </c>
    </row>
    <row r="29" spans="2:32" ht="23.1" customHeight="1" x14ac:dyDescent="0.25">
      <c r="B29" s="23" t="s">
        <v>56</v>
      </c>
      <c r="C29" s="49">
        <f>AVERAGE('17.10 MITYANA-BUSUNJU'!C29,'18.10 MITYANA-BUSUNJU 24hr'!C29,'19.10 MITYANA-BUSUNJU 24hr'!C29,'20.10  MITYANA-BUSUNJU'!C29,'21.10 MITYANA-BUSUNJU '!C29,'22.10 MITYANA-BUSUNJU '!C29,'23.10 MITYANA-BUSUNJU '!C29)</f>
        <v>1.1428571428571428</v>
      </c>
      <c r="D29" s="49">
        <f>AVERAGE('17.10 MITYANA-BUSUNJU'!D29,'18.10 MITYANA-BUSUNJU 24hr'!D29,'19.10 MITYANA-BUSUNJU 24hr'!D29,'20.10  MITYANA-BUSUNJU'!D29,'21.10 MITYANA-BUSUNJU '!D29,'22.10 MITYANA-BUSUNJU '!D29,'23.10 MITYANA-BUSUNJU '!D29)</f>
        <v>0.2857142857142857</v>
      </c>
      <c r="E29" s="49">
        <f>AVERAGE('17.10 MITYANA-BUSUNJU'!E29,'18.10 MITYANA-BUSUNJU 24hr'!E29,'19.10 MITYANA-BUSUNJU 24hr'!E29,'20.10  MITYANA-BUSUNJU'!E29,'21.10 MITYANA-BUSUNJU '!E29,'22.10 MITYANA-BUSUNJU '!E29,'23.10 MITYANA-BUSUNJU '!E29)</f>
        <v>0.2857142857142857</v>
      </c>
      <c r="F29" s="49">
        <f>AVERAGE('17.10 MITYANA-BUSUNJU'!F29,'18.10 MITYANA-BUSUNJU 24hr'!F29,'19.10 MITYANA-BUSUNJU 24hr'!F29,'20.10  MITYANA-BUSUNJU'!F29,'21.10 MITYANA-BUSUNJU '!F29,'22.10 MITYANA-BUSUNJU '!F29,'23.10 MITYANA-BUSUNJU '!F29)</f>
        <v>0</v>
      </c>
      <c r="G29" s="49">
        <f>AVERAGE('17.10 MITYANA-BUSUNJU'!G29,'18.10 MITYANA-BUSUNJU 24hr'!G29,'19.10 MITYANA-BUSUNJU 24hr'!G29,'20.10  MITYANA-BUSUNJU'!G29,'21.10 MITYANA-BUSUNJU '!G29,'22.10 MITYANA-BUSUNJU '!G29,'23.10 MITYANA-BUSUNJU '!G29)</f>
        <v>0</v>
      </c>
      <c r="H29" s="49">
        <f>AVERAGE('17.10 MITYANA-BUSUNJU'!H29,'18.10 MITYANA-BUSUNJU 24hr'!H29,'19.10 MITYANA-BUSUNJU 24hr'!H29,'20.10  MITYANA-BUSUNJU'!H29,'21.10 MITYANA-BUSUNJU '!H29,'22.10 MITYANA-BUSUNJU '!H29,'23.10 MITYANA-BUSUNJU '!H29)</f>
        <v>0</v>
      </c>
      <c r="I29" s="49">
        <f>AVERAGE('17.10 MITYANA-BUSUNJU'!I29,'18.10 MITYANA-BUSUNJU 24hr'!I29,'19.10 MITYANA-BUSUNJU 24hr'!I29,'20.10  MITYANA-BUSUNJU'!I29,'21.10 MITYANA-BUSUNJU '!I29,'22.10 MITYANA-BUSUNJU '!I29,'23.10 MITYANA-BUSUNJU '!I29)</f>
        <v>0.42857142857142855</v>
      </c>
      <c r="J29" s="49">
        <f>AVERAGE('17.10 MITYANA-BUSUNJU'!J29,'18.10 MITYANA-BUSUNJU 24hr'!J29,'19.10 MITYANA-BUSUNJU 24hr'!J29,'20.10  MITYANA-BUSUNJU'!J29,'21.10 MITYANA-BUSUNJU '!J29,'22.10 MITYANA-BUSUNJU '!J29,'23.10 MITYANA-BUSUNJU '!J29)</f>
        <v>0.14285714285714285</v>
      </c>
      <c r="K29" s="49">
        <f>AVERAGE('17.10 MITYANA-BUSUNJU'!K29,'18.10 MITYANA-BUSUNJU 24hr'!K29,'19.10 MITYANA-BUSUNJU 24hr'!K29,'20.10  MITYANA-BUSUNJU'!K29,'21.10 MITYANA-BUSUNJU '!K29,'22.10 MITYANA-BUSUNJU '!K29,'23.10 MITYANA-BUSUNJU '!K29)</f>
        <v>0.14285714285714285</v>
      </c>
      <c r="L29" s="49">
        <f>AVERAGE('17.10 MITYANA-BUSUNJU'!L29,'18.10 MITYANA-BUSUNJU 24hr'!L29,'19.10 MITYANA-BUSUNJU 24hr'!L29,'20.10  MITYANA-BUSUNJU'!L29,'21.10 MITYANA-BUSUNJU '!L29,'22.10 MITYANA-BUSUNJU '!L29,'23.10 MITYANA-BUSUNJU '!L29)</f>
        <v>0</v>
      </c>
      <c r="M29" s="49">
        <f>AVERAGE('17.10 MITYANA-BUSUNJU'!M29,'18.10 MITYANA-BUSUNJU 24hr'!M29,'19.10 MITYANA-BUSUNJU 24hr'!M29,'20.10  MITYANA-BUSUNJU'!M29,'21.10 MITYANA-BUSUNJU '!M29,'22.10 MITYANA-BUSUNJU '!M29,'23.10 MITYANA-BUSUNJU '!M29)</f>
        <v>10.857142857142858</v>
      </c>
      <c r="N29" s="49">
        <f>AVERAGE('17.10 MITYANA-BUSUNJU'!N29,'18.10 MITYANA-BUSUNJU 24hr'!N29,'19.10 MITYANA-BUSUNJU 24hr'!N29,'20.10  MITYANA-BUSUNJU'!N29,'21.10 MITYANA-BUSUNJU '!N29,'22.10 MITYANA-BUSUNJU '!N29,'23.10 MITYANA-BUSUNJU '!N29)</f>
        <v>0</v>
      </c>
      <c r="O29" s="15">
        <f t="shared" si="0"/>
        <v>2.4285714285714279</v>
      </c>
      <c r="P29" s="15">
        <f t="shared" si="1"/>
        <v>13.285714285714285</v>
      </c>
      <c r="R29" s="1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1.5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1.5</v>
      </c>
      <c r="Z29" s="34">
        <f t="shared" si="21"/>
        <v>1.5</v>
      </c>
      <c r="AA29" s="34">
        <f t="shared" si="21"/>
        <v>2.5</v>
      </c>
      <c r="AB29" s="34">
        <f t="shared" si="21"/>
        <v>1.5</v>
      </c>
      <c r="AC29" s="34">
        <f t="shared" si="21"/>
        <v>0</v>
      </c>
      <c r="AD29" s="34">
        <f t="shared" si="21"/>
        <v>0</v>
      </c>
      <c r="AE29" s="31">
        <f t="shared" si="21"/>
        <v>10.5</v>
      </c>
      <c r="AF29" s="31">
        <f t="shared" si="21"/>
        <v>10.5</v>
      </c>
    </row>
    <row r="30" spans="2:32" ht="23.1" customHeight="1" x14ac:dyDescent="0.25">
      <c r="B30" s="23" t="s">
        <v>57</v>
      </c>
      <c r="C30" s="49">
        <f>AVERAGE('17.10 MITYANA-BUSUNJU'!C30,'18.10 MITYANA-BUSUNJU 24hr'!C30,'19.10 MITYANA-BUSUNJU 24hr'!C30,'20.10  MITYANA-BUSUNJU'!C30,'21.10 MITYANA-BUSUNJU '!C30,'22.10 MITYANA-BUSUNJU '!C30,'23.10 MITYANA-BUSUNJU '!C30)</f>
        <v>0.5714285714285714</v>
      </c>
      <c r="D30" s="49">
        <f>AVERAGE('17.10 MITYANA-BUSUNJU'!D30,'18.10 MITYANA-BUSUNJU 24hr'!D30,'19.10 MITYANA-BUSUNJU 24hr'!D30,'20.10  MITYANA-BUSUNJU'!D30,'21.10 MITYANA-BUSUNJU '!D30,'22.10 MITYANA-BUSUNJU '!D30,'23.10 MITYANA-BUSUNJU '!D30)</f>
        <v>0</v>
      </c>
      <c r="E30" s="49">
        <f>AVERAGE('17.10 MITYANA-BUSUNJU'!E30,'18.10 MITYANA-BUSUNJU 24hr'!E30,'19.10 MITYANA-BUSUNJU 24hr'!E30,'20.10  MITYANA-BUSUNJU'!E30,'21.10 MITYANA-BUSUNJU '!E30,'22.10 MITYANA-BUSUNJU '!E30,'23.10 MITYANA-BUSUNJU '!E30)</f>
        <v>0.14285714285714285</v>
      </c>
      <c r="F30" s="49">
        <f>AVERAGE('17.10 MITYANA-BUSUNJU'!F30,'18.10 MITYANA-BUSUNJU 24hr'!F30,'19.10 MITYANA-BUSUNJU 24hr'!F30,'20.10  MITYANA-BUSUNJU'!F30,'21.10 MITYANA-BUSUNJU '!F30,'22.10 MITYANA-BUSUNJU '!F30,'23.10 MITYANA-BUSUNJU '!F30)</f>
        <v>0.14285714285714285</v>
      </c>
      <c r="G30" s="49">
        <f>AVERAGE('17.10 MITYANA-BUSUNJU'!G30,'18.10 MITYANA-BUSUNJU 24hr'!G30,'19.10 MITYANA-BUSUNJU 24hr'!G30,'20.10  MITYANA-BUSUNJU'!G30,'21.10 MITYANA-BUSUNJU '!G30,'22.10 MITYANA-BUSUNJU '!G30,'23.10 MITYANA-BUSUNJU '!G30)</f>
        <v>0.14285714285714285</v>
      </c>
      <c r="H30" s="49">
        <f>AVERAGE('17.10 MITYANA-BUSUNJU'!H30,'18.10 MITYANA-BUSUNJU 24hr'!H30,'19.10 MITYANA-BUSUNJU 24hr'!H30,'20.10  MITYANA-BUSUNJU'!H30,'21.10 MITYANA-BUSUNJU '!H30,'22.10 MITYANA-BUSUNJU '!H30,'23.10 MITYANA-BUSUNJU '!H30)</f>
        <v>0</v>
      </c>
      <c r="I30" s="49">
        <f>AVERAGE('17.10 MITYANA-BUSUNJU'!I30,'18.10 MITYANA-BUSUNJU 24hr'!I30,'19.10 MITYANA-BUSUNJU 24hr'!I30,'20.10  MITYANA-BUSUNJU'!I30,'21.10 MITYANA-BUSUNJU '!I30,'22.10 MITYANA-BUSUNJU '!I30,'23.10 MITYANA-BUSUNJU '!I30)</f>
        <v>0.5714285714285714</v>
      </c>
      <c r="J30" s="49">
        <f>AVERAGE('17.10 MITYANA-BUSUNJU'!J30,'18.10 MITYANA-BUSUNJU 24hr'!J30,'19.10 MITYANA-BUSUNJU 24hr'!J30,'20.10  MITYANA-BUSUNJU'!J30,'21.10 MITYANA-BUSUNJU '!J30,'22.10 MITYANA-BUSUNJU '!J30,'23.10 MITYANA-BUSUNJU '!J30)</f>
        <v>0.2857142857142857</v>
      </c>
      <c r="K30" s="49">
        <f>AVERAGE('17.10 MITYANA-BUSUNJU'!K30,'18.10 MITYANA-BUSUNJU 24hr'!K30,'19.10 MITYANA-BUSUNJU 24hr'!K30,'20.10  MITYANA-BUSUNJU'!K30,'21.10 MITYANA-BUSUNJU '!K30,'22.10 MITYANA-BUSUNJU '!K30,'23.10 MITYANA-BUSUNJU '!K30)</f>
        <v>0</v>
      </c>
      <c r="L30" s="49">
        <f>AVERAGE('17.10 MITYANA-BUSUNJU'!L30,'18.10 MITYANA-BUSUNJU 24hr'!L30,'19.10 MITYANA-BUSUNJU 24hr'!L30,'20.10  MITYANA-BUSUNJU'!L30,'21.10 MITYANA-BUSUNJU '!L30,'22.10 MITYANA-BUSUNJU '!L30,'23.10 MITYANA-BUSUNJU '!L30)</f>
        <v>0</v>
      </c>
      <c r="M30" s="49">
        <f>AVERAGE('17.10 MITYANA-BUSUNJU'!M30,'18.10 MITYANA-BUSUNJU 24hr'!M30,'19.10 MITYANA-BUSUNJU 24hr'!M30,'20.10  MITYANA-BUSUNJU'!M30,'21.10 MITYANA-BUSUNJU '!M30,'22.10 MITYANA-BUSUNJU '!M30,'23.10 MITYANA-BUSUNJU '!M30)</f>
        <v>11.428571428571429</v>
      </c>
      <c r="N30" s="49">
        <f>AVERAGE('17.10 MITYANA-BUSUNJU'!N30,'18.10 MITYANA-BUSUNJU 24hr'!N30,'19.10 MITYANA-BUSUNJU 24hr'!N30,'20.10  MITYANA-BUSUNJU'!N30,'21.10 MITYANA-BUSUNJU '!N30,'22.10 MITYANA-BUSUNJU '!N30,'23.10 MITYANA-BUSUNJU '!N30)</f>
        <v>0</v>
      </c>
      <c r="O30" s="15">
        <f t="shared" si="0"/>
        <v>1.8571428571428568</v>
      </c>
      <c r="P30" s="15">
        <f t="shared" si="1"/>
        <v>13.285714285714285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3.5</v>
      </c>
      <c r="Z30" s="34">
        <f t="shared" si="22"/>
        <v>1.5</v>
      </c>
      <c r="AA30" s="34">
        <f t="shared" si="22"/>
        <v>3</v>
      </c>
      <c r="AB30" s="34">
        <f t="shared" si="22"/>
        <v>0.5</v>
      </c>
      <c r="AC30" s="34">
        <f t="shared" si="22"/>
        <v>0</v>
      </c>
      <c r="AD30" s="34">
        <f t="shared" si="22"/>
        <v>0</v>
      </c>
      <c r="AE30" s="31">
        <f t="shared" si="22"/>
        <v>9.5</v>
      </c>
      <c r="AF30" s="31">
        <f t="shared" si="22"/>
        <v>9.5</v>
      </c>
    </row>
    <row r="31" spans="2:32" ht="23.1" customHeight="1" x14ac:dyDescent="0.25">
      <c r="B31" s="24" t="s">
        <v>58</v>
      </c>
      <c r="C31" s="49">
        <f>AVERAGE('17.10 MITYANA-BUSUNJU'!C31,'18.10 MITYANA-BUSUNJU 24hr'!C31,'19.10 MITYANA-BUSUNJU 24hr'!C31,'20.10  MITYANA-BUSUNJU'!C31,'21.10 MITYANA-BUSUNJU '!C31,'22.10 MITYANA-BUSUNJU '!C31,'23.10 MITYANA-BUSUNJU '!C31)</f>
        <v>0.42857142857142855</v>
      </c>
      <c r="D31" s="49">
        <f>AVERAGE('17.10 MITYANA-BUSUNJU'!D31,'18.10 MITYANA-BUSUNJU 24hr'!D31,'19.10 MITYANA-BUSUNJU 24hr'!D31,'20.10  MITYANA-BUSUNJU'!D31,'21.10 MITYANA-BUSUNJU '!D31,'22.10 MITYANA-BUSUNJU '!D31,'23.10 MITYANA-BUSUNJU '!D31)</f>
        <v>0.2857142857142857</v>
      </c>
      <c r="E31" s="49">
        <f>AVERAGE('17.10 MITYANA-BUSUNJU'!E31,'18.10 MITYANA-BUSUNJU 24hr'!E31,'19.10 MITYANA-BUSUNJU 24hr'!E31,'20.10  MITYANA-BUSUNJU'!E31,'21.10 MITYANA-BUSUNJU '!E31,'22.10 MITYANA-BUSUNJU '!E31,'23.10 MITYANA-BUSUNJU '!E31)</f>
        <v>0.42857142857142855</v>
      </c>
      <c r="F31" s="49">
        <f>AVERAGE('17.10 MITYANA-BUSUNJU'!F31,'18.10 MITYANA-BUSUNJU 24hr'!F31,'19.10 MITYANA-BUSUNJU 24hr'!F31,'20.10  MITYANA-BUSUNJU'!F31,'21.10 MITYANA-BUSUNJU '!F31,'22.10 MITYANA-BUSUNJU '!F31,'23.10 MITYANA-BUSUNJU '!F31)</f>
        <v>0</v>
      </c>
      <c r="G31" s="49">
        <f>AVERAGE('17.10 MITYANA-BUSUNJU'!G31,'18.10 MITYANA-BUSUNJU 24hr'!G31,'19.10 MITYANA-BUSUNJU 24hr'!G31,'20.10  MITYANA-BUSUNJU'!G31,'21.10 MITYANA-BUSUNJU '!G31,'22.10 MITYANA-BUSUNJU '!G31,'23.10 MITYANA-BUSUNJU '!G31)</f>
        <v>0</v>
      </c>
      <c r="H31" s="49">
        <f>AVERAGE('17.10 MITYANA-BUSUNJU'!H31,'18.10 MITYANA-BUSUNJU 24hr'!H31,'19.10 MITYANA-BUSUNJU 24hr'!H31,'20.10  MITYANA-BUSUNJU'!H31,'21.10 MITYANA-BUSUNJU '!H31,'22.10 MITYANA-BUSUNJU '!H31,'23.10 MITYANA-BUSUNJU '!H31)</f>
        <v>0</v>
      </c>
      <c r="I31" s="49">
        <f>AVERAGE('17.10 MITYANA-BUSUNJU'!I31,'18.10 MITYANA-BUSUNJU 24hr'!I31,'19.10 MITYANA-BUSUNJU 24hr'!I31,'20.10  MITYANA-BUSUNJU'!I31,'21.10 MITYANA-BUSUNJU '!I31,'22.10 MITYANA-BUSUNJU '!I31,'23.10 MITYANA-BUSUNJU '!I31)</f>
        <v>0</v>
      </c>
      <c r="J31" s="49">
        <f>AVERAGE('17.10 MITYANA-BUSUNJU'!J31,'18.10 MITYANA-BUSUNJU 24hr'!J31,'19.10 MITYANA-BUSUNJU 24hr'!J31,'20.10  MITYANA-BUSUNJU'!J31,'21.10 MITYANA-BUSUNJU '!J31,'22.10 MITYANA-BUSUNJU '!J31,'23.10 MITYANA-BUSUNJU '!J31)</f>
        <v>0.14285714285714285</v>
      </c>
      <c r="K31" s="49">
        <f>AVERAGE('17.10 MITYANA-BUSUNJU'!K31,'18.10 MITYANA-BUSUNJU 24hr'!K31,'19.10 MITYANA-BUSUNJU 24hr'!K31,'20.10  MITYANA-BUSUNJU'!K31,'21.10 MITYANA-BUSUNJU '!K31,'22.10 MITYANA-BUSUNJU '!K31,'23.10 MITYANA-BUSUNJU '!K31)</f>
        <v>0.2857142857142857</v>
      </c>
      <c r="L31" s="49">
        <f>AVERAGE('17.10 MITYANA-BUSUNJU'!L31,'18.10 MITYANA-BUSUNJU 24hr'!L31,'19.10 MITYANA-BUSUNJU 24hr'!L31,'20.10  MITYANA-BUSUNJU'!L31,'21.10 MITYANA-BUSUNJU '!L31,'22.10 MITYANA-BUSUNJU '!L31,'23.10 MITYANA-BUSUNJU '!L31)</f>
        <v>0</v>
      </c>
      <c r="M31" s="49">
        <f>AVERAGE('17.10 MITYANA-BUSUNJU'!M31,'18.10 MITYANA-BUSUNJU 24hr'!M31,'19.10 MITYANA-BUSUNJU 24hr'!M31,'20.10  MITYANA-BUSUNJU'!M31,'21.10 MITYANA-BUSUNJU '!M31,'22.10 MITYANA-BUSUNJU '!M31,'23.10 MITYANA-BUSUNJU '!M31)</f>
        <v>10.714285714285714</v>
      </c>
      <c r="N31" s="49">
        <f>AVERAGE('17.10 MITYANA-BUSUNJU'!N31,'18.10 MITYANA-BUSUNJU 24hr'!N31,'19.10 MITYANA-BUSUNJU 24hr'!N31,'20.10  MITYANA-BUSUNJU'!N31,'21.10 MITYANA-BUSUNJU '!N31,'22.10 MITYANA-BUSUNJU '!N31,'23.10 MITYANA-BUSUNJU '!N31)</f>
        <v>0</v>
      </c>
      <c r="O31" s="15">
        <f t="shared" si="0"/>
        <v>1.5714285714285712</v>
      </c>
      <c r="P31" s="15">
        <f t="shared" si="1"/>
        <v>12.285714285714285</v>
      </c>
      <c r="R31" s="1" t="s">
        <v>155</v>
      </c>
      <c r="S31" s="34">
        <f>SUM(C94:C97)</f>
        <v>3.5</v>
      </c>
      <c r="T31" s="34">
        <f t="shared" ref="T31:AF31" si="23">SUM(D94:D97)</f>
        <v>0</v>
      </c>
      <c r="U31" s="34">
        <f t="shared" si="23"/>
        <v>4.5</v>
      </c>
      <c r="V31" s="34">
        <f t="shared" si="23"/>
        <v>1</v>
      </c>
      <c r="W31" s="34">
        <f t="shared" si="23"/>
        <v>0</v>
      </c>
      <c r="X31" s="34">
        <f t="shared" si="23"/>
        <v>0.5</v>
      </c>
      <c r="Y31" s="34">
        <f t="shared" si="23"/>
        <v>3.5</v>
      </c>
      <c r="Z31" s="34">
        <f t="shared" si="23"/>
        <v>0</v>
      </c>
      <c r="AA31" s="34">
        <f t="shared" si="23"/>
        <v>2.5</v>
      </c>
      <c r="AB31" s="34">
        <f t="shared" si="23"/>
        <v>0</v>
      </c>
      <c r="AC31" s="34">
        <f t="shared" si="23"/>
        <v>6.5</v>
      </c>
      <c r="AD31" s="34">
        <f t="shared" si="23"/>
        <v>0</v>
      </c>
      <c r="AE31" s="31">
        <f t="shared" si="23"/>
        <v>15.5</v>
      </c>
      <c r="AF31" s="31">
        <f t="shared" si="23"/>
        <v>22</v>
      </c>
    </row>
    <row r="32" spans="2:32" ht="23.1" customHeight="1" x14ac:dyDescent="0.25">
      <c r="B32" s="24" t="s">
        <v>59</v>
      </c>
      <c r="C32" s="49">
        <f>AVERAGE('17.10 MITYANA-BUSUNJU'!C32,'18.10 MITYANA-BUSUNJU 24hr'!C32,'19.10 MITYANA-BUSUNJU 24hr'!C32,'20.10  MITYANA-BUSUNJU'!C32,'21.10 MITYANA-BUSUNJU '!C32,'22.10 MITYANA-BUSUNJU '!C32,'23.10 MITYANA-BUSUNJU '!C32)</f>
        <v>1.2857142857142858</v>
      </c>
      <c r="D32" s="49">
        <f>AVERAGE('17.10 MITYANA-BUSUNJU'!D32,'18.10 MITYANA-BUSUNJU 24hr'!D32,'19.10 MITYANA-BUSUNJU 24hr'!D32,'20.10  MITYANA-BUSUNJU'!D32,'21.10 MITYANA-BUSUNJU '!D32,'22.10 MITYANA-BUSUNJU '!D32,'23.10 MITYANA-BUSUNJU '!D32)</f>
        <v>0.42857142857142855</v>
      </c>
      <c r="E32" s="49">
        <f>AVERAGE('17.10 MITYANA-BUSUNJU'!E32,'18.10 MITYANA-BUSUNJU 24hr'!E32,'19.10 MITYANA-BUSUNJU 24hr'!E32,'20.10  MITYANA-BUSUNJU'!E32,'21.10 MITYANA-BUSUNJU '!E32,'22.10 MITYANA-BUSUNJU '!E32,'23.10 MITYANA-BUSUNJU '!E32)</f>
        <v>1</v>
      </c>
      <c r="F32" s="49">
        <f>AVERAGE('17.10 MITYANA-BUSUNJU'!F32,'18.10 MITYANA-BUSUNJU 24hr'!F32,'19.10 MITYANA-BUSUNJU 24hr'!F32,'20.10  MITYANA-BUSUNJU'!F32,'21.10 MITYANA-BUSUNJU '!F32,'22.10 MITYANA-BUSUNJU '!F32,'23.10 MITYANA-BUSUNJU '!F32)</f>
        <v>0</v>
      </c>
      <c r="G32" s="49">
        <f>AVERAGE('17.10 MITYANA-BUSUNJU'!G32,'18.10 MITYANA-BUSUNJU 24hr'!G32,'19.10 MITYANA-BUSUNJU 24hr'!G32,'20.10  MITYANA-BUSUNJU'!G32,'21.10 MITYANA-BUSUNJU '!G32,'22.10 MITYANA-BUSUNJU '!G32,'23.10 MITYANA-BUSUNJU '!G32)</f>
        <v>0</v>
      </c>
      <c r="H32" s="49">
        <f>AVERAGE('17.10 MITYANA-BUSUNJU'!H32,'18.10 MITYANA-BUSUNJU 24hr'!H32,'19.10 MITYANA-BUSUNJU 24hr'!H32,'20.10  MITYANA-BUSUNJU'!H32,'21.10 MITYANA-BUSUNJU '!H32,'22.10 MITYANA-BUSUNJU '!H32,'23.10 MITYANA-BUSUNJU '!H32)</f>
        <v>0</v>
      </c>
      <c r="I32" s="49">
        <f>AVERAGE('17.10 MITYANA-BUSUNJU'!I32,'18.10 MITYANA-BUSUNJU 24hr'!I32,'19.10 MITYANA-BUSUNJU 24hr'!I32,'20.10  MITYANA-BUSUNJU'!I32,'21.10 MITYANA-BUSUNJU '!I32,'22.10 MITYANA-BUSUNJU '!I32,'23.10 MITYANA-BUSUNJU '!I32)</f>
        <v>0.42857142857142855</v>
      </c>
      <c r="J32" s="49">
        <f>AVERAGE('17.10 MITYANA-BUSUNJU'!J32,'18.10 MITYANA-BUSUNJU 24hr'!J32,'19.10 MITYANA-BUSUNJU 24hr'!J32,'20.10  MITYANA-BUSUNJU'!J32,'21.10 MITYANA-BUSUNJU '!J32,'22.10 MITYANA-BUSUNJU '!J32,'23.10 MITYANA-BUSUNJU '!J32)</f>
        <v>0</v>
      </c>
      <c r="K32" s="49">
        <f>AVERAGE('17.10 MITYANA-BUSUNJU'!K32,'18.10 MITYANA-BUSUNJU 24hr'!K32,'19.10 MITYANA-BUSUNJU 24hr'!K32,'20.10  MITYANA-BUSUNJU'!K32,'21.10 MITYANA-BUSUNJU '!K32,'22.10 MITYANA-BUSUNJU '!K32,'23.10 MITYANA-BUSUNJU '!K32)</f>
        <v>0</v>
      </c>
      <c r="L32" s="49">
        <f>AVERAGE('17.10 MITYANA-BUSUNJU'!L32,'18.10 MITYANA-BUSUNJU 24hr'!L32,'19.10 MITYANA-BUSUNJU 24hr'!L32,'20.10  MITYANA-BUSUNJU'!L32,'21.10 MITYANA-BUSUNJU '!L32,'22.10 MITYANA-BUSUNJU '!L32,'23.10 MITYANA-BUSUNJU '!L32)</f>
        <v>0</v>
      </c>
      <c r="M32" s="49">
        <f>AVERAGE('17.10 MITYANA-BUSUNJU'!M32,'18.10 MITYANA-BUSUNJU 24hr'!M32,'19.10 MITYANA-BUSUNJU 24hr'!M32,'20.10  MITYANA-BUSUNJU'!M32,'21.10 MITYANA-BUSUNJU '!M32,'22.10 MITYANA-BUSUNJU '!M32,'23.10 MITYANA-BUSUNJU '!M32)</f>
        <v>12.857142857142858</v>
      </c>
      <c r="N32" s="49">
        <f>AVERAGE('17.10 MITYANA-BUSUNJU'!N32,'18.10 MITYANA-BUSUNJU 24hr'!N32,'19.10 MITYANA-BUSUNJU 24hr'!N32,'20.10  MITYANA-BUSUNJU'!N32,'21.10 MITYANA-BUSUNJU '!N32,'22.10 MITYANA-BUSUNJU '!N32,'23.10 MITYANA-BUSUNJU '!N32)</f>
        <v>0</v>
      </c>
      <c r="O32" s="15">
        <f t="shared" si="0"/>
        <v>3.1428571428571428</v>
      </c>
      <c r="P32" s="15">
        <f t="shared" si="1"/>
        <v>16</v>
      </c>
      <c r="R32" s="1" t="s">
        <v>156</v>
      </c>
      <c r="S32" s="34">
        <f>SUM(C98:C101)</f>
        <v>2.5</v>
      </c>
      <c r="T32" s="34">
        <f t="shared" ref="T32:AF32" si="24">SUM(D98:D101)</f>
        <v>3.5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4</v>
      </c>
      <c r="Z32" s="34">
        <f t="shared" si="24"/>
        <v>3</v>
      </c>
      <c r="AA32" s="34">
        <f t="shared" si="24"/>
        <v>1</v>
      </c>
      <c r="AB32" s="34">
        <f t="shared" si="24"/>
        <v>0</v>
      </c>
      <c r="AC32" s="34">
        <f t="shared" si="24"/>
        <v>14.5</v>
      </c>
      <c r="AD32" s="34">
        <f t="shared" si="24"/>
        <v>0</v>
      </c>
      <c r="AE32" s="31">
        <f t="shared" si="24"/>
        <v>15</v>
      </c>
      <c r="AF32" s="31">
        <f t="shared" si="24"/>
        <v>29.5</v>
      </c>
    </row>
    <row r="33" spans="2:32" ht="23.1" customHeight="1" x14ac:dyDescent="0.25">
      <c r="B33" s="23" t="s">
        <v>60</v>
      </c>
      <c r="C33" s="49">
        <f>AVERAGE('17.10 MITYANA-BUSUNJU'!C33,'18.10 MITYANA-BUSUNJU 24hr'!C33,'19.10 MITYANA-BUSUNJU 24hr'!C33,'20.10  MITYANA-BUSUNJU'!C33,'21.10 MITYANA-BUSUNJU '!C33,'22.10 MITYANA-BUSUNJU '!C33,'23.10 MITYANA-BUSUNJU '!C33)</f>
        <v>0.8571428571428571</v>
      </c>
      <c r="D33" s="49">
        <f>AVERAGE('17.10 MITYANA-BUSUNJU'!D33,'18.10 MITYANA-BUSUNJU 24hr'!D33,'19.10 MITYANA-BUSUNJU 24hr'!D33,'20.10  MITYANA-BUSUNJU'!D33,'21.10 MITYANA-BUSUNJU '!D33,'22.10 MITYANA-BUSUNJU '!D33,'23.10 MITYANA-BUSUNJU '!D33)</f>
        <v>0.2857142857142857</v>
      </c>
      <c r="E33" s="49">
        <f>AVERAGE('17.10 MITYANA-BUSUNJU'!E33,'18.10 MITYANA-BUSUNJU 24hr'!E33,'19.10 MITYANA-BUSUNJU 24hr'!E33,'20.10  MITYANA-BUSUNJU'!E33,'21.10 MITYANA-BUSUNJU '!E33,'22.10 MITYANA-BUSUNJU '!E33,'23.10 MITYANA-BUSUNJU '!E33)</f>
        <v>0.42857142857142855</v>
      </c>
      <c r="F33" s="49">
        <f>AVERAGE('17.10 MITYANA-BUSUNJU'!F33,'18.10 MITYANA-BUSUNJU 24hr'!F33,'19.10 MITYANA-BUSUNJU 24hr'!F33,'20.10  MITYANA-BUSUNJU'!F33,'21.10 MITYANA-BUSUNJU '!F33,'22.10 MITYANA-BUSUNJU '!F33,'23.10 MITYANA-BUSUNJU '!F33)</f>
        <v>0.5714285714285714</v>
      </c>
      <c r="G33" s="49">
        <f>AVERAGE('17.10 MITYANA-BUSUNJU'!G33,'18.10 MITYANA-BUSUNJU 24hr'!G33,'19.10 MITYANA-BUSUNJU 24hr'!G33,'20.10  MITYANA-BUSUNJU'!G33,'21.10 MITYANA-BUSUNJU '!G33,'22.10 MITYANA-BUSUNJU '!G33,'23.10 MITYANA-BUSUNJU '!G33)</f>
        <v>0.14285714285714285</v>
      </c>
      <c r="H33" s="49">
        <f>AVERAGE('17.10 MITYANA-BUSUNJU'!H33,'18.10 MITYANA-BUSUNJU 24hr'!H33,'19.10 MITYANA-BUSUNJU 24hr'!H33,'20.10  MITYANA-BUSUNJU'!H33,'21.10 MITYANA-BUSUNJU '!H33,'22.10 MITYANA-BUSUNJU '!H33,'23.10 MITYANA-BUSUNJU '!H33)</f>
        <v>0</v>
      </c>
      <c r="I33" s="49">
        <f>AVERAGE('17.10 MITYANA-BUSUNJU'!I33,'18.10 MITYANA-BUSUNJU 24hr'!I33,'19.10 MITYANA-BUSUNJU 24hr'!I33,'20.10  MITYANA-BUSUNJU'!I33,'21.10 MITYANA-BUSUNJU '!I33,'22.10 MITYANA-BUSUNJU '!I33,'23.10 MITYANA-BUSUNJU '!I33)</f>
        <v>0.2857142857142857</v>
      </c>
      <c r="J33" s="49">
        <f>AVERAGE('17.10 MITYANA-BUSUNJU'!J33,'18.10 MITYANA-BUSUNJU 24hr'!J33,'19.10 MITYANA-BUSUNJU 24hr'!J33,'20.10  MITYANA-BUSUNJU'!J33,'21.10 MITYANA-BUSUNJU '!J33,'22.10 MITYANA-BUSUNJU '!J33,'23.10 MITYANA-BUSUNJU '!J33)</f>
        <v>0</v>
      </c>
      <c r="K33" s="49">
        <f>AVERAGE('17.10 MITYANA-BUSUNJU'!K33,'18.10 MITYANA-BUSUNJU 24hr'!K33,'19.10 MITYANA-BUSUNJU 24hr'!K33,'20.10  MITYANA-BUSUNJU'!K33,'21.10 MITYANA-BUSUNJU '!K33,'22.10 MITYANA-BUSUNJU '!K33,'23.10 MITYANA-BUSUNJU '!K33)</f>
        <v>0</v>
      </c>
      <c r="L33" s="49">
        <f>AVERAGE('17.10 MITYANA-BUSUNJU'!L33,'18.10 MITYANA-BUSUNJU 24hr'!L33,'19.10 MITYANA-BUSUNJU 24hr'!L33,'20.10  MITYANA-BUSUNJU'!L33,'21.10 MITYANA-BUSUNJU '!L33,'22.10 MITYANA-BUSUNJU '!L33,'23.10 MITYANA-BUSUNJU '!L33)</f>
        <v>0</v>
      </c>
      <c r="M33" s="49">
        <f>AVERAGE('17.10 MITYANA-BUSUNJU'!M33,'18.10 MITYANA-BUSUNJU 24hr'!M33,'19.10 MITYANA-BUSUNJU 24hr'!M33,'20.10  MITYANA-BUSUNJU'!M33,'21.10 MITYANA-BUSUNJU '!M33,'22.10 MITYANA-BUSUNJU '!M33,'23.10 MITYANA-BUSUNJU '!M33)</f>
        <v>11.428571428571429</v>
      </c>
      <c r="N33" s="49">
        <f>AVERAGE('17.10 MITYANA-BUSUNJU'!N33,'18.10 MITYANA-BUSUNJU 24hr'!N33,'19.10 MITYANA-BUSUNJU 24hr'!N33,'20.10  MITYANA-BUSUNJU'!N33,'21.10 MITYANA-BUSUNJU '!N33,'22.10 MITYANA-BUSUNJU '!N33,'23.10 MITYANA-BUSUNJU '!N33)</f>
        <v>0</v>
      </c>
      <c r="O33" s="15">
        <f t="shared" si="0"/>
        <v>2.5714285714285712</v>
      </c>
      <c r="P33" s="15">
        <f t="shared" si="1"/>
        <v>14</v>
      </c>
      <c r="R33" s="1" t="s">
        <v>157</v>
      </c>
      <c r="S33" s="34">
        <f>SUM(C102:C105)</f>
        <v>4.5</v>
      </c>
      <c r="T33" s="34">
        <f t="shared" ref="T33:AF33" si="25">SUM(D102:D105)</f>
        <v>5</v>
      </c>
      <c r="U33" s="34">
        <f t="shared" si="25"/>
        <v>2.5</v>
      </c>
      <c r="V33" s="34">
        <f t="shared" si="25"/>
        <v>3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1</v>
      </c>
      <c r="AA33" s="34">
        <f t="shared" si="25"/>
        <v>2.5</v>
      </c>
      <c r="AB33" s="34">
        <f t="shared" si="25"/>
        <v>0.5</v>
      </c>
      <c r="AC33" s="34">
        <f t="shared" si="25"/>
        <v>24</v>
      </c>
      <c r="AD33" s="34">
        <f t="shared" si="25"/>
        <v>0</v>
      </c>
      <c r="AE33" s="31">
        <f t="shared" si="25"/>
        <v>21</v>
      </c>
      <c r="AF33" s="31">
        <f t="shared" si="25"/>
        <v>45</v>
      </c>
    </row>
    <row r="34" spans="2:32" ht="23.1" customHeight="1" x14ac:dyDescent="0.25">
      <c r="B34" s="24" t="s">
        <v>61</v>
      </c>
      <c r="C34" s="49">
        <f>AVERAGE('17.10 MITYANA-BUSUNJU'!C34,'18.10 MITYANA-BUSUNJU 24hr'!C34,'19.10 MITYANA-BUSUNJU 24hr'!C34,'20.10  MITYANA-BUSUNJU'!C34,'21.10 MITYANA-BUSUNJU '!C34,'22.10 MITYANA-BUSUNJU '!C34,'23.10 MITYANA-BUSUNJU '!C34)</f>
        <v>1.5714285714285714</v>
      </c>
      <c r="D34" s="49">
        <f>AVERAGE('17.10 MITYANA-BUSUNJU'!D34,'18.10 MITYANA-BUSUNJU 24hr'!D34,'19.10 MITYANA-BUSUNJU 24hr'!D34,'20.10  MITYANA-BUSUNJU'!D34,'21.10 MITYANA-BUSUNJU '!D34,'22.10 MITYANA-BUSUNJU '!D34,'23.10 MITYANA-BUSUNJU '!D34)</f>
        <v>0.14285714285714285</v>
      </c>
      <c r="E34" s="49">
        <f>AVERAGE('17.10 MITYANA-BUSUNJU'!E34,'18.10 MITYANA-BUSUNJU 24hr'!E34,'19.10 MITYANA-BUSUNJU 24hr'!E34,'20.10  MITYANA-BUSUNJU'!E34,'21.10 MITYANA-BUSUNJU '!E34,'22.10 MITYANA-BUSUNJU '!E34,'23.10 MITYANA-BUSUNJU '!E34)</f>
        <v>0.14285714285714285</v>
      </c>
      <c r="F34" s="49">
        <f>AVERAGE('17.10 MITYANA-BUSUNJU'!F34,'18.10 MITYANA-BUSUNJU 24hr'!F34,'19.10 MITYANA-BUSUNJU 24hr'!F34,'20.10  MITYANA-BUSUNJU'!F34,'21.10 MITYANA-BUSUNJU '!F34,'22.10 MITYANA-BUSUNJU '!F34,'23.10 MITYANA-BUSUNJU '!F34)</f>
        <v>0.2857142857142857</v>
      </c>
      <c r="G34" s="49">
        <f>AVERAGE('17.10 MITYANA-BUSUNJU'!G34,'18.10 MITYANA-BUSUNJU 24hr'!G34,'19.10 MITYANA-BUSUNJU 24hr'!G34,'20.10  MITYANA-BUSUNJU'!G34,'21.10 MITYANA-BUSUNJU '!G34,'22.10 MITYANA-BUSUNJU '!G34,'23.10 MITYANA-BUSUNJU '!G34)</f>
        <v>0</v>
      </c>
      <c r="H34" s="49">
        <f>AVERAGE('17.10 MITYANA-BUSUNJU'!H34,'18.10 MITYANA-BUSUNJU 24hr'!H34,'19.10 MITYANA-BUSUNJU 24hr'!H34,'20.10  MITYANA-BUSUNJU'!H34,'21.10 MITYANA-BUSUNJU '!H34,'22.10 MITYANA-BUSUNJU '!H34,'23.10 MITYANA-BUSUNJU '!H34)</f>
        <v>0</v>
      </c>
      <c r="I34" s="49">
        <f>AVERAGE('17.10 MITYANA-BUSUNJU'!I34,'18.10 MITYANA-BUSUNJU 24hr'!I34,'19.10 MITYANA-BUSUNJU 24hr'!I34,'20.10  MITYANA-BUSUNJU'!I34,'21.10 MITYANA-BUSUNJU '!I34,'22.10 MITYANA-BUSUNJU '!I34,'23.10 MITYANA-BUSUNJU '!I34)</f>
        <v>0.7142857142857143</v>
      </c>
      <c r="J34" s="49">
        <f>AVERAGE('17.10 MITYANA-BUSUNJU'!J34,'18.10 MITYANA-BUSUNJU 24hr'!J34,'19.10 MITYANA-BUSUNJU 24hr'!J34,'20.10  MITYANA-BUSUNJU'!J34,'21.10 MITYANA-BUSUNJU '!J34,'22.10 MITYANA-BUSUNJU '!J34,'23.10 MITYANA-BUSUNJU '!J34)</f>
        <v>0.2857142857142857</v>
      </c>
      <c r="K34" s="49">
        <f>AVERAGE('17.10 MITYANA-BUSUNJU'!K34,'18.10 MITYANA-BUSUNJU 24hr'!K34,'19.10 MITYANA-BUSUNJU 24hr'!K34,'20.10  MITYANA-BUSUNJU'!K34,'21.10 MITYANA-BUSUNJU '!K34,'22.10 MITYANA-BUSUNJU '!K34,'23.10 MITYANA-BUSUNJU '!K34)</f>
        <v>0</v>
      </c>
      <c r="L34" s="49">
        <f>AVERAGE('17.10 MITYANA-BUSUNJU'!L34,'18.10 MITYANA-BUSUNJU 24hr'!L34,'19.10 MITYANA-BUSUNJU 24hr'!L34,'20.10  MITYANA-BUSUNJU'!L34,'21.10 MITYANA-BUSUNJU '!L34,'22.10 MITYANA-BUSUNJU '!L34,'23.10 MITYANA-BUSUNJU '!L34)</f>
        <v>0</v>
      </c>
      <c r="M34" s="49">
        <f>AVERAGE('17.10 MITYANA-BUSUNJU'!M34,'18.10 MITYANA-BUSUNJU 24hr'!M34,'19.10 MITYANA-BUSUNJU 24hr'!M34,'20.10  MITYANA-BUSUNJU'!M34,'21.10 MITYANA-BUSUNJU '!M34,'22.10 MITYANA-BUSUNJU '!M34,'23.10 MITYANA-BUSUNJU '!M34)</f>
        <v>13.142857142857142</v>
      </c>
      <c r="N34" s="49">
        <f>AVERAGE('17.10 MITYANA-BUSUNJU'!N34,'18.10 MITYANA-BUSUNJU 24hr'!N34,'19.10 MITYANA-BUSUNJU 24hr'!N34,'20.10  MITYANA-BUSUNJU'!N34,'21.10 MITYANA-BUSUNJU '!N34,'22.10 MITYANA-BUSUNJU '!N34,'23.10 MITYANA-BUSUNJU '!N34)</f>
        <v>0</v>
      </c>
      <c r="O34" s="15">
        <f t="shared" si="0"/>
        <v>3.1428571428571428</v>
      </c>
      <c r="P34" s="15">
        <f t="shared" si="1"/>
        <v>16.285714285714285</v>
      </c>
      <c r="R34" s="57" t="s">
        <v>90</v>
      </c>
      <c r="S34" s="58">
        <f t="shared" ref="S34:AF34" si="26">MAX(S10:S12)</f>
        <v>2</v>
      </c>
      <c r="T34" s="58">
        <f t="shared" si="26"/>
        <v>1.2857142857142856</v>
      </c>
      <c r="U34" s="58">
        <f t="shared" si="26"/>
        <v>1</v>
      </c>
      <c r="V34" s="58">
        <f t="shared" si="26"/>
        <v>1</v>
      </c>
      <c r="W34" s="58">
        <f t="shared" si="26"/>
        <v>0</v>
      </c>
      <c r="X34" s="58">
        <f t="shared" si="26"/>
        <v>0.2857142857142857</v>
      </c>
      <c r="Y34" s="58">
        <f t="shared" si="26"/>
        <v>2.4285714285714284</v>
      </c>
      <c r="Z34" s="58">
        <f t="shared" si="26"/>
        <v>0.85714285714285721</v>
      </c>
      <c r="AA34" s="58">
        <f t="shared" si="26"/>
        <v>0.71428571428571419</v>
      </c>
      <c r="AB34" s="58">
        <f t="shared" si="26"/>
        <v>0.2857142857142857</v>
      </c>
      <c r="AC34" s="58">
        <f t="shared" si="26"/>
        <v>41.857142857142861</v>
      </c>
      <c r="AD34" s="58">
        <f t="shared" si="26"/>
        <v>0</v>
      </c>
      <c r="AE34" s="40">
        <f t="shared" si="26"/>
        <v>8.5714285714285712</v>
      </c>
      <c r="AF34" s="40">
        <f t="shared" si="26"/>
        <v>50.428571428571423</v>
      </c>
    </row>
    <row r="35" spans="2:32" ht="23.1" customHeight="1" x14ac:dyDescent="0.25">
      <c r="B35" s="24" t="s">
        <v>62</v>
      </c>
      <c r="C35" s="49">
        <f>AVERAGE('17.10 MITYANA-BUSUNJU'!C35,'18.10 MITYANA-BUSUNJU 24hr'!C35,'19.10 MITYANA-BUSUNJU 24hr'!C35,'20.10  MITYANA-BUSUNJU'!C35,'21.10 MITYANA-BUSUNJU '!C35,'22.10 MITYANA-BUSUNJU '!C35,'23.10 MITYANA-BUSUNJU '!C35)</f>
        <v>0.7142857142857143</v>
      </c>
      <c r="D35" s="49">
        <f>AVERAGE('17.10 MITYANA-BUSUNJU'!D35,'18.10 MITYANA-BUSUNJU 24hr'!D35,'19.10 MITYANA-BUSUNJU 24hr'!D35,'20.10  MITYANA-BUSUNJU'!D35,'21.10 MITYANA-BUSUNJU '!D35,'22.10 MITYANA-BUSUNJU '!D35,'23.10 MITYANA-BUSUNJU '!D35)</f>
        <v>0</v>
      </c>
      <c r="E35" s="49">
        <f>AVERAGE('17.10 MITYANA-BUSUNJU'!E35,'18.10 MITYANA-BUSUNJU 24hr'!E35,'19.10 MITYANA-BUSUNJU 24hr'!E35,'20.10  MITYANA-BUSUNJU'!E35,'21.10 MITYANA-BUSUNJU '!E35,'22.10 MITYANA-BUSUNJU '!E35,'23.10 MITYANA-BUSUNJU '!E35)</f>
        <v>0</v>
      </c>
      <c r="F35" s="49">
        <f>AVERAGE('17.10 MITYANA-BUSUNJU'!F35,'18.10 MITYANA-BUSUNJU 24hr'!F35,'19.10 MITYANA-BUSUNJU 24hr'!F35,'20.10  MITYANA-BUSUNJU'!F35,'21.10 MITYANA-BUSUNJU '!F35,'22.10 MITYANA-BUSUNJU '!F35,'23.10 MITYANA-BUSUNJU '!F35)</f>
        <v>0.14285714285714285</v>
      </c>
      <c r="G35" s="49">
        <f>AVERAGE('17.10 MITYANA-BUSUNJU'!G35,'18.10 MITYANA-BUSUNJU 24hr'!G35,'19.10 MITYANA-BUSUNJU 24hr'!G35,'20.10  MITYANA-BUSUNJU'!G35,'21.10 MITYANA-BUSUNJU '!G35,'22.10 MITYANA-BUSUNJU '!G35,'23.10 MITYANA-BUSUNJU '!G35)</f>
        <v>0</v>
      </c>
      <c r="H35" s="49">
        <f>AVERAGE('17.10 MITYANA-BUSUNJU'!H35,'18.10 MITYANA-BUSUNJU 24hr'!H35,'19.10 MITYANA-BUSUNJU 24hr'!H35,'20.10  MITYANA-BUSUNJU'!H35,'21.10 MITYANA-BUSUNJU '!H35,'22.10 MITYANA-BUSUNJU '!H35,'23.10 MITYANA-BUSUNJU '!H35)</f>
        <v>0</v>
      </c>
      <c r="I35" s="49">
        <f>AVERAGE('17.10 MITYANA-BUSUNJU'!I35,'18.10 MITYANA-BUSUNJU 24hr'!I35,'19.10 MITYANA-BUSUNJU 24hr'!I35,'20.10  MITYANA-BUSUNJU'!I35,'21.10 MITYANA-BUSUNJU '!I35,'22.10 MITYANA-BUSUNJU '!I35,'23.10 MITYANA-BUSUNJU '!I35)</f>
        <v>0.42857142857142855</v>
      </c>
      <c r="J35" s="49">
        <f>AVERAGE('17.10 MITYANA-BUSUNJU'!J35,'18.10 MITYANA-BUSUNJU 24hr'!J35,'19.10 MITYANA-BUSUNJU 24hr'!J35,'20.10  MITYANA-BUSUNJU'!J35,'21.10 MITYANA-BUSUNJU '!J35,'22.10 MITYANA-BUSUNJU '!J35,'23.10 MITYANA-BUSUNJU '!J35)</f>
        <v>0</v>
      </c>
      <c r="K35" s="49">
        <f>AVERAGE('17.10 MITYANA-BUSUNJU'!K35,'18.10 MITYANA-BUSUNJU 24hr'!K35,'19.10 MITYANA-BUSUNJU 24hr'!K35,'20.10  MITYANA-BUSUNJU'!K35,'21.10 MITYANA-BUSUNJU '!K35,'22.10 MITYANA-BUSUNJU '!K35,'23.10 MITYANA-BUSUNJU '!K35)</f>
        <v>0</v>
      </c>
      <c r="L35" s="49">
        <f>AVERAGE('17.10 MITYANA-BUSUNJU'!L35,'18.10 MITYANA-BUSUNJU 24hr'!L35,'19.10 MITYANA-BUSUNJU 24hr'!L35,'20.10  MITYANA-BUSUNJU'!L35,'21.10 MITYANA-BUSUNJU '!L35,'22.10 MITYANA-BUSUNJU '!L35,'23.10 MITYANA-BUSUNJU '!L35)</f>
        <v>0</v>
      </c>
      <c r="M35" s="49">
        <f>AVERAGE('17.10 MITYANA-BUSUNJU'!M35,'18.10 MITYANA-BUSUNJU 24hr'!M35,'19.10 MITYANA-BUSUNJU 24hr'!M35,'20.10  MITYANA-BUSUNJU'!M35,'21.10 MITYANA-BUSUNJU '!M35,'22.10 MITYANA-BUSUNJU '!M35,'23.10 MITYANA-BUSUNJU '!M35)</f>
        <v>15</v>
      </c>
      <c r="N35" s="49">
        <f>AVERAGE('17.10 MITYANA-BUSUNJU'!N35,'18.10 MITYANA-BUSUNJU 24hr'!N35,'19.10 MITYANA-BUSUNJU 24hr'!N35,'20.10  MITYANA-BUSUNJU'!N35,'21.10 MITYANA-BUSUNJU '!N35,'22.10 MITYANA-BUSUNJU '!N35,'23.10 MITYANA-BUSUNJU '!N35)</f>
        <v>0</v>
      </c>
      <c r="O35" s="15">
        <f t="shared" si="0"/>
        <v>1.2857142857142858</v>
      </c>
      <c r="P35" s="15">
        <f t="shared" si="1"/>
        <v>16.285714285714285</v>
      </c>
      <c r="R35" s="57" t="s">
        <v>91</v>
      </c>
      <c r="S35" s="58">
        <f t="shared" ref="S35:AF35" si="27">MAX(S13:S18)</f>
        <v>4.8571428571428577</v>
      </c>
      <c r="T35" s="58">
        <f t="shared" si="27"/>
        <v>1.2857142857142856</v>
      </c>
      <c r="U35" s="58">
        <f t="shared" si="27"/>
        <v>2</v>
      </c>
      <c r="V35" s="58">
        <f t="shared" si="27"/>
        <v>0.71428571428571419</v>
      </c>
      <c r="W35" s="58">
        <f t="shared" si="27"/>
        <v>0.2857142857142857</v>
      </c>
      <c r="X35" s="58">
        <f t="shared" si="27"/>
        <v>0.14285714285714285</v>
      </c>
      <c r="Y35" s="58">
        <f t="shared" si="27"/>
        <v>2.1428571428571428</v>
      </c>
      <c r="Z35" s="58">
        <f t="shared" si="27"/>
        <v>0.8571428571428571</v>
      </c>
      <c r="AA35" s="58">
        <f t="shared" si="27"/>
        <v>0.2857142857142857</v>
      </c>
      <c r="AB35" s="58">
        <f t="shared" si="27"/>
        <v>0</v>
      </c>
      <c r="AC35" s="58">
        <f t="shared" si="27"/>
        <v>53.428571428571423</v>
      </c>
      <c r="AD35" s="58">
        <f t="shared" si="27"/>
        <v>0</v>
      </c>
      <c r="AE35" s="40">
        <f t="shared" si="27"/>
        <v>9.8571428571428559</v>
      </c>
      <c r="AF35" s="40">
        <f t="shared" si="27"/>
        <v>61.142857142857139</v>
      </c>
    </row>
    <row r="36" spans="2:32" ht="23.1" customHeight="1" x14ac:dyDescent="0.25">
      <c r="B36" s="24" t="s">
        <v>63</v>
      </c>
      <c r="C36" s="49">
        <f>AVERAGE('17.10 MITYANA-BUSUNJU'!C36,'18.10 MITYANA-BUSUNJU 24hr'!C36,'19.10 MITYANA-BUSUNJU 24hr'!C36,'20.10  MITYANA-BUSUNJU'!C36,'21.10 MITYANA-BUSUNJU '!C36,'22.10 MITYANA-BUSUNJU '!C36,'23.10 MITYANA-BUSUNJU '!C36)</f>
        <v>0.7142857142857143</v>
      </c>
      <c r="D36" s="49">
        <f>AVERAGE('17.10 MITYANA-BUSUNJU'!D36,'18.10 MITYANA-BUSUNJU 24hr'!D36,'19.10 MITYANA-BUSUNJU 24hr'!D36,'20.10  MITYANA-BUSUNJU'!D36,'21.10 MITYANA-BUSUNJU '!D36,'22.10 MITYANA-BUSUNJU '!D36,'23.10 MITYANA-BUSUNJU '!D36)</f>
        <v>0.14285714285714285</v>
      </c>
      <c r="E36" s="49">
        <f>AVERAGE('17.10 MITYANA-BUSUNJU'!E36,'18.10 MITYANA-BUSUNJU 24hr'!E36,'19.10 MITYANA-BUSUNJU 24hr'!E36,'20.10  MITYANA-BUSUNJU'!E36,'21.10 MITYANA-BUSUNJU '!E36,'22.10 MITYANA-BUSUNJU '!E36,'23.10 MITYANA-BUSUNJU '!E36)</f>
        <v>0.14285714285714285</v>
      </c>
      <c r="F36" s="49">
        <f>AVERAGE('17.10 MITYANA-BUSUNJU'!F36,'18.10 MITYANA-BUSUNJU 24hr'!F36,'19.10 MITYANA-BUSUNJU 24hr'!F36,'20.10  MITYANA-BUSUNJU'!F36,'21.10 MITYANA-BUSUNJU '!F36,'22.10 MITYANA-BUSUNJU '!F36,'23.10 MITYANA-BUSUNJU '!F36)</f>
        <v>0</v>
      </c>
      <c r="G36" s="49">
        <f>AVERAGE('17.10 MITYANA-BUSUNJU'!G36,'18.10 MITYANA-BUSUNJU 24hr'!G36,'19.10 MITYANA-BUSUNJU 24hr'!G36,'20.10  MITYANA-BUSUNJU'!G36,'21.10 MITYANA-BUSUNJU '!G36,'22.10 MITYANA-BUSUNJU '!G36,'23.10 MITYANA-BUSUNJU '!G36)</f>
        <v>0</v>
      </c>
      <c r="H36" s="49">
        <f>AVERAGE('17.10 MITYANA-BUSUNJU'!H36,'18.10 MITYANA-BUSUNJU 24hr'!H36,'19.10 MITYANA-BUSUNJU 24hr'!H36,'20.10  MITYANA-BUSUNJU'!H36,'21.10 MITYANA-BUSUNJU '!H36,'22.10 MITYANA-BUSUNJU '!H36,'23.10 MITYANA-BUSUNJU '!H36)</f>
        <v>0</v>
      </c>
      <c r="I36" s="49">
        <f>AVERAGE('17.10 MITYANA-BUSUNJU'!I36,'18.10 MITYANA-BUSUNJU 24hr'!I36,'19.10 MITYANA-BUSUNJU 24hr'!I36,'20.10  MITYANA-BUSUNJU'!I36,'21.10 MITYANA-BUSUNJU '!I36,'22.10 MITYANA-BUSUNJU '!I36,'23.10 MITYANA-BUSUNJU '!I36)</f>
        <v>0.5714285714285714</v>
      </c>
      <c r="J36" s="49">
        <f>AVERAGE('17.10 MITYANA-BUSUNJU'!J36,'18.10 MITYANA-BUSUNJU 24hr'!J36,'19.10 MITYANA-BUSUNJU 24hr'!J36,'20.10  MITYANA-BUSUNJU'!J36,'21.10 MITYANA-BUSUNJU '!J36,'22.10 MITYANA-BUSUNJU '!J36,'23.10 MITYANA-BUSUNJU '!J36)</f>
        <v>0</v>
      </c>
      <c r="K36" s="49">
        <f>AVERAGE('17.10 MITYANA-BUSUNJU'!K36,'18.10 MITYANA-BUSUNJU 24hr'!K36,'19.10 MITYANA-BUSUNJU 24hr'!K36,'20.10  MITYANA-BUSUNJU'!K36,'21.10 MITYANA-BUSUNJU '!K36,'22.10 MITYANA-BUSUNJU '!K36,'23.10 MITYANA-BUSUNJU '!K36)</f>
        <v>0</v>
      </c>
      <c r="L36" s="49">
        <f>AVERAGE('17.10 MITYANA-BUSUNJU'!L36,'18.10 MITYANA-BUSUNJU 24hr'!L36,'19.10 MITYANA-BUSUNJU 24hr'!L36,'20.10  MITYANA-BUSUNJU'!L36,'21.10 MITYANA-BUSUNJU '!L36,'22.10 MITYANA-BUSUNJU '!L36,'23.10 MITYANA-BUSUNJU '!L36)</f>
        <v>0</v>
      </c>
      <c r="M36" s="49">
        <f>AVERAGE('17.10 MITYANA-BUSUNJU'!M36,'18.10 MITYANA-BUSUNJU 24hr'!M36,'19.10 MITYANA-BUSUNJU 24hr'!M36,'20.10  MITYANA-BUSUNJU'!M36,'21.10 MITYANA-BUSUNJU '!M36,'22.10 MITYANA-BUSUNJU '!M36,'23.10 MITYANA-BUSUNJU '!M36)</f>
        <v>11.714285714285714</v>
      </c>
      <c r="N36" s="49">
        <f>AVERAGE('17.10 MITYANA-BUSUNJU'!N36,'18.10 MITYANA-BUSUNJU 24hr'!N36,'19.10 MITYANA-BUSUNJU 24hr'!N36,'20.10  MITYANA-BUSUNJU'!N36,'21.10 MITYANA-BUSUNJU '!N36,'22.10 MITYANA-BUSUNJU '!N36,'23.10 MITYANA-BUSUNJU '!N36)</f>
        <v>0</v>
      </c>
      <c r="O36" s="15">
        <f t="shared" si="0"/>
        <v>1.5714285714285714</v>
      </c>
      <c r="P36" s="15">
        <f t="shared" si="1"/>
        <v>13.285714285714285</v>
      </c>
      <c r="R36" s="57" t="s">
        <v>92</v>
      </c>
      <c r="S36" s="58">
        <f t="shared" ref="S36:AF36" si="28">MAX(S19:S21)</f>
        <v>3.714285714285714</v>
      </c>
      <c r="T36" s="58">
        <f t="shared" si="28"/>
        <v>1.4285714285714284</v>
      </c>
      <c r="U36" s="58">
        <f t="shared" si="28"/>
        <v>2.2857142857142856</v>
      </c>
      <c r="V36" s="58">
        <f t="shared" si="28"/>
        <v>0.85714285714285698</v>
      </c>
      <c r="W36" s="58">
        <f t="shared" si="28"/>
        <v>0.14285714285714285</v>
      </c>
      <c r="X36" s="58">
        <f t="shared" si="28"/>
        <v>0.14285714285714285</v>
      </c>
      <c r="Y36" s="58">
        <f t="shared" si="28"/>
        <v>2.2857142857142856</v>
      </c>
      <c r="Z36" s="58">
        <f t="shared" si="28"/>
        <v>1.1428571428571428</v>
      </c>
      <c r="AA36" s="58">
        <f t="shared" si="28"/>
        <v>0.14285714285714285</v>
      </c>
      <c r="AB36" s="58">
        <f t="shared" si="28"/>
        <v>0.14285714285714285</v>
      </c>
      <c r="AC36" s="58">
        <f t="shared" si="28"/>
        <v>52</v>
      </c>
      <c r="AD36" s="58">
        <f t="shared" si="28"/>
        <v>0</v>
      </c>
      <c r="AE36" s="40">
        <f t="shared" si="28"/>
        <v>11.428571428571427</v>
      </c>
      <c r="AF36" s="40">
        <f t="shared" si="28"/>
        <v>59.285714285714278</v>
      </c>
    </row>
    <row r="37" spans="2:32" ht="23.1" customHeight="1" x14ac:dyDescent="0.25">
      <c r="B37" s="23" t="s">
        <v>64</v>
      </c>
      <c r="C37" s="49">
        <f>AVERAGE('17.10 MITYANA-BUSUNJU'!C37,'18.10 MITYANA-BUSUNJU 24hr'!C37,'19.10 MITYANA-BUSUNJU 24hr'!C37,'20.10  MITYANA-BUSUNJU'!C37,'21.10 MITYANA-BUSUNJU '!C37,'22.10 MITYANA-BUSUNJU '!C37,'23.10 MITYANA-BUSUNJU '!C37)</f>
        <v>0.8571428571428571</v>
      </c>
      <c r="D37" s="49">
        <f>AVERAGE('17.10 MITYANA-BUSUNJU'!D37,'18.10 MITYANA-BUSUNJU 24hr'!D37,'19.10 MITYANA-BUSUNJU 24hr'!D37,'20.10  MITYANA-BUSUNJU'!D37,'21.10 MITYANA-BUSUNJU '!D37,'22.10 MITYANA-BUSUNJU '!D37,'23.10 MITYANA-BUSUNJU '!D37)</f>
        <v>0.2857142857142857</v>
      </c>
      <c r="E37" s="49">
        <f>AVERAGE('17.10 MITYANA-BUSUNJU'!E37,'18.10 MITYANA-BUSUNJU 24hr'!E37,'19.10 MITYANA-BUSUNJU 24hr'!E37,'20.10  MITYANA-BUSUNJU'!E37,'21.10 MITYANA-BUSUNJU '!E37,'22.10 MITYANA-BUSUNJU '!E37,'23.10 MITYANA-BUSUNJU '!E37)</f>
        <v>0.14285714285714285</v>
      </c>
      <c r="F37" s="49">
        <f>AVERAGE('17.10 MITYANA-BUSUNJU'!F37,'18.10 MITYANA-BUSUNJU 24hr'!F37,'19.10 MITYANA-BUSUNJU 24hr'!F37,'20.10  MITYANA-BUSUNJU'!F37,'21.10 MITYANA-BUSUNJU '!F37,'22.10 MITYANA-BUSUNJU '!F37,'23.10 MITYANA-BUSUNJU '!F37)</f>
        <v>0</v>
      </c>
      <c r="G37" s="49">
        <f>AVERAGE('17.10 MITYANA-BUSUNJU'!G37,'18.10 MITYANA-BUSUNJU 24hr'!G37,'19.10 MITYANA-BUSUNJU 24hr'!G37,'20.10  MITYANA-BUSUNJU'!G37,'21.10 MITYANA-BUSUNJU '!G37,'22.10 MITYANA-BUSUNJU '!G37,'23.10 MITYANA-BUSUNJU '!G37)</f>
        <v>0.14285714285714285</v>
      </c>
      <c r="H37" s="49">
        <f>AVERAGE('17.10 MITYANA-BUSUNJU'!H37,'18.10 MITYANA-BUSUNJU 24hr'!H37,'19.10 MITYANA-BUSUNJU 24hr'!H37,'20.10  MITYANA-BUSUNJU'!H37,'21.10 MITYANA-BUSUNJU '!H37,'22.10 MITYANA-BUSUNJU '!H37,'23.10 MITYANA-BUSUNJU '!H37)</f>
        <v>0</v>
      </c>
      <c r="I37" s="49">
        <f>AVERAGE('17.10 MITYANA-BUSUNJU'!I37,'18.10 MITYANA-BUSUNJU 24hr'!I37,'19.10 MITYANA-BUSUNJU 24hr'!I37,'20.10  MITYANA-BUSUNJU'!I37,'21.10 MITYANA-BUSUNJU '!I37,'22.10 MITYANA-BUSUNJU '!I37,'23.10 MITYANA-BUSUNJU '!I37)</f>
        <v>0.2857142857142857</v>
      </c>
      <c r="J37" s="49">
        <f>AVERAGE('17.10 MITYANA-BUSUNJU'!J37,'18.10 MITYANA-BUSUNJU 24hr'!J37,'19.10 MITYANA-BUSUNJU 24hr'!J37,'20.10  MITYANA-BUSUNJU'!J37,'21.10 MITYANA-BUSUNJU '!J37,'22.10 MITYANA-BUSUNJU '!J37,'23.10 MITYANA-BUSUNJU '!J37)</f>
        <v>0</v>
      </c>
      <c r="K37" s="49">
        <f>AVERAGE('17.10 MITYANA-BUSUNJU'!K37,'18.10 MITYANA-BUSUNJU 24hr'!K37,'19.10 MITYANA-BUSUNJU 24hr'!K37,'20.10  MITYANA-BUSUNJU'!K37,'21.10 MITYANA-BUSUNJU '!K37,'22.10 MITYANA-BUSUNJU '!K37,'23.10 MITYANA-BUSUNJU '!K37)</f>
        <v>0</v>
      </c>
      <c r="L37" s="49">
        <f>AVERAGE('17.10 MITYANA-BUSUNJU'!L37,'18.10 MITYANA-BUSUNJU 24hr'!L37,'19.10 MITYANA-BUSUNJU 24hr'!L37,'20.10  MITYANA-BUSUNJU'!L37,'21.10 MITYANA-BUSUNJU '!L37,'22.10 MITYANA-BUSUNJU '!L37,'23.10 MITYANA-BUSUNJU '!L37)</f>
        <v>0</v>
      </c>
      <c r="M37" s="49">
        <f>AVERAGE('17.10 MITYANA-BUSUNJU'!M37,'18.10 MITYANA-BUSUNJU 24hr'!M37,'19.10 MITYANA-BUSUNJU 24hr'!M37,'20.10  MITYANA-BUSUNJU'!M37,'21.10 MITYANA-BUSUNJU '!M37,'22.10 MITYANA-BUSUNJU '!M37,'23.10 MITYANA-BUSUNJU '!M37)</f>
        <v>13.571428571428571</v>
      </c>
      <c r="N37" s="49">
        <f>AVERAGE('17.10 MITYANA-BUSUNJU'!N37,'18.10 MITYANA-BUSUNJU 24hr'!N37,'19.10 MITYANA-BUSUNJU 24hr'!N37,'20.10  MITYANA-BUSUNJU'!N37,'21.10 MITYANA-BUSUNJU '!N37,'22.10 MITYANA-BUSUNJU '!N37,'23.10 MITYANA-BUSUNJU '!N37)</f>
        <v>0</v>
      </c>
      <c r="O37" s="15">
        <f t="shared" si="0"/>
        <v>1.714285714285714</v>
      </c>
      <c r="P37" s="15">
        <f t="shared" si="1"/>
        <v>15.285714285714285</v>
      </c>
      <c r="R37" s="37" t="s">
        <v>85</v>
      </c>
      <c r="S37" s="59">
        <f t="shared" ref="S37:AF37" si="29">SUM(S10:S12)</f>
        <v>4.7142857142857135</v>
      </c>
      <c r="T37" s="60">
        <f t="shared" si="29"/>
        <v>2.4285714285714284</v>
      </c>
      <c r="U37" s="60">
        <f t="shared" si="29"/>
        <v>2.8571428571428568</v>
      </c>
      <c r="V37" s="60">
        <f t="shared" si="29"/>
        <v>1.857142857142857</v>
      </c>
      <c r="W37" s="60">
        <f t="shared" si="29"/>
        <v>0</v>
      </c>
      <c r="X37" s="60">
        <f t="shared" si="29"/>
        <v>0.2857142857142857</v>
      </c>
      <c r="Y37" s="60">
        <f t="shared" si="29"/>
        <v>5</v>
      </c>
      <c r="Z37" s="60">
        <f t="shared" si="29"/>
        <v>1.2857142857142858</v>
      </c>
      <c r="AA37" s="60">
        <f t="shared" si="29"/>
        <v>0.85714285714285698</v>
      </c>
      <c r="AB37" s="60">
        <f t="shared" si="29"/>
        <v>0.2857142857142857</v>
      </c>
      <c r="AC37" s="60">
        <f t="shared" si="29"/>
        <v>113.71428571428572</v>
      </c>
      <c r="AD37" s="60">
        <f t="shared" si="29"/>
        <v>0</v>
      </c>
      <c r="AE37" s="61">
        <f t="shared" si="29"/>
        <v>19.571428571428569</v>
      </c>
      <c r="AF37" s="61">
        <f t="shared" si="29"/>
        <v>133.28571428571428</v>
      </c>
    </row>
    <row r="38" spans="2:32" ht="23.1" customHeight="1" x14ac:dyDescent="0.25">
      <c r="B38" s="24" t="s">
        <v>65</v>
      </c>
      <c r="C38" s="49">
        <f>AVERAGE('17.10 MITYANA-BUSUNJU'!C38,'18.10 MITYANA-BUSUNJU 24hr'!C38,'19.10 MITYANA-BUSUNJU 24hr'!C38,'20.10  MITYANA-BUSUNJU'!C38,'21.10 MITYANA-BUSUNJU '!C38,'22.10 MITYANA-BUSUNJU '!C38,'23.10 MITYANA-BUSUNJU '!C38)</f>
        <v>0.7142857142857143</v>
      </c>
      <c r="D38" s="49">
        <f>AVERAGE('17.10 MITYANA-BUSUNJU'!D38,'18.10 MITYANA-BUSUNJU 24hr'!D38,'19.10 MITYANA-BUSUNJU 24hr'!D38,'20.10  MITYANA-BUSUNJU'!D38,'21.10 MITYANA-BUSUNJU '!D38,'22.10 MITYANA-BUSUNJU '!D38,'23.10 MITYANA-BUSUNJU '!D38)</f>
        <v>0.2857142857142857</v>
      </c>
      <c r="E38" s="49">
        <f>AVERAGE('17.10 MITYANA-BUSUNJU'!E38,'18.10 MITYANA-BUSUNJU 24hr'!E38,'19.10 MITYANA-BUSUNJU 24hr'!E38,'20.10  MITYANA-BUSUNJU'!E38,'21.10 MITYANA-BUSUNJU '!E38,'22.10 MITYANA-BUSUNJU '!E38,'23.10 MITYANA-BUSUNJU '!E38)</f>
        <v>0.14285714285714285</v>
      </c>
      <c r="F38" s="49">
        <f>AVERAGE('17.10 MITYANA-BUSUNJU'!F38,'18.10 MITYANA-BUSUNJU 24hr'!F38,'19.10 MITYANA-BUSUNJU 24hr'!F38,'20.10  MITYANA-BUSUNJU'!F38,'21.10 MITYANA-BUSUNJU '!F38,'22.10 MITYANA-BUSUNJU '!F38,'23.10 MITYANA-BUSUNJU '!F38)</f>
        <v>0</v>
      </c>
      <c r="G38" s="49">
        <f>AVERAGE('17.10 MITYANA-BUSUNJU'!G38,'18.10 MITYANA-BUSUNJU 24hr'!G38,'19.10 MITYANA-BUSUNJU 24hr'!G38,'20.10  MITYANA-BUSUNJU'!G38,'21.10 MITYANA-BUSUNJU '!G38,'22.10 MITYANA-BUSUNJU '!G38,'23.10 MITYANA-BUSUNJU '!G38)</f>
        <v>0</v>
      </c>
      <c r="H38" s="49">
        <f>AVERAGE('17.10 MITYANA-BUSUNJU'!H38,'18.10 MITYANA-BUSUNJU 24hr'!H38,'19.10 MITYANA-BUSUNJU 24hr'!H38,'20.10  MITYANA-BUSUNJU'!H38,'21.10 MITYANA-BUSUNJU '!H38,'22.10 MITYANA-BUSUNJU '!H38,'23.10 MITYANA-BUSUNJU '!H38)</f>
        <v>0</v>
      </c>
      <c r="I38" s="49">
        <f>AVERAGE('17.10 MITYANA-BUSUNJU'!I38,'18.10 MITYANA-BUSUNJU 24hr'!I38,'19.10 MITYANA-BUSUNJU 24hr'!I38,'20.10  MITYANA-BUSUNJU'!I38,'21.10 MITYANA-BUSUNJU '!I38,'22.10 MITYANA-BUSUNJU '!I38,'23.10 MITYANA-BUSUNJU '!I38)</f>
        <v>0.5714285714285714</v>
      </c>
      <c r="J38" s="49">
        <f>AVERAGE('17.10 MITYANA-BUSUNJU'!J38,'18.10 MITYANA-BUSUNJU 24hr'!J38,'19.10 MITYANA-BUSUNJU 24hr'!J38,'20.10  MITYANA-BUSUNJU'!J38,'21.10 MITYANA-BUSUNJU '!J38,'22.10 MITYANA-BUSUNJU '!J38,'23.10 MITYANA-BUSUNJU '!J38)</f>
        <v>0</v>
      </c>
      <c r="K38" s="49">
        <f>AVERAGE('17.10 MITYANA-BUSUNJU'!K38,'18.10 MITYANA-BUSUNJU 24hr'!K38,'19.10 MITYANA-BUSUNJU 24hr'!K38,'20.10  MITYANA-BUSUNJU'!K38,'21.10 MITYANA-BUSUNJU '!K38,'22.10 MITYANA-BUSUNJU '!K38,'23.10 MITYANA-BUSUNJU '!K38)</f>
        <v>0</v>
      </c>
      <c r="L38" s="49">
        <f>AVERAGE('17.10 MITYANA-BUSUNJU'!L38,'18.10 MITYANA-BUSUNJU 24hr'!L38,'19.10 MITYANA-BUSUNJU 24hr'!L38,'20.10  MITYANA-BUSUNJU'!L38,'21.10 MITYANA-BUSUNJU '!L38,'22.10 MITYANA-BUSUNJU '!L38,'23.10 MITYANA-BUSUNJU '!L38)</f>
        <v>0</v>
      </c>
      <c r="M38" s="49">
        <f>AVERAGE('17.10 MITYANA-BUSUNJU'!M38,'18.10 MITYANA-BUSUNJU 24hr'!M38,'19.10 MITYANA-BUSUNJU 24hr'!M38,'20.10  MITYANA-BUSUNJU'!M38,'21.10 MITYANA-BUSUNJU '!M38,'22.10 MITYANA-BUSUNJU '!M38,'23.10 MITYANA-BUSUNJU '!M38)</f>
        <v>12.714285714285714</v>
      </c>
      <c r="N38" s="49">
        <f>AVERAGE('17.10 MITYANA-BUSUNJU'!N38,'18.10 MITYANA-BUSUNJU 24hr'!N38,'19.10 MITYANA-BUSUNJU 24hr'!N38,'20.10  MITYANA-BUSUNJU'!N38,'21.10 MITYANA-BUSUNJU '!N38,'22.10 MITYANA-BUSUNJU '!N38,'23.10 MITYANA-BUSUNJU '!N38)</f>
        <v>0</v>
      </c>
      <c r="O38" s="15">
        <f t="shared" si="0"/>
        <v>1.7142857142857142</v>
      </c>
      <c r="P38" s="15">
        <f t="shared" si="1"/>
        <v>14.428571428571427</v>
      </c>
      <c r="R38" s="28" t="s">
        <v>86</v>
      </c>
      <c r="S38" s="60">
        <f t="shared" ref="S38:AF38" si="30">SUM(S13:S18)</f>
        <v>20.571428571428573</v>
      </c>
      <c r="T38" s="60">
        <f t="shared" si="30"/>
        <v>4.7142857142857135</v>
      </c>
      <c r="U38" s="60">
        <f t="shared" si="30"/>
        <v>6.1428571428571423</v>
      </c>
      <c r="V38" s="60">
        <f t="shared" si="30"/>
        <v>3</v>
      </c>
      <c r="W38" s="60">
        <f t="shared" si="30"/>
        <v>0.71428571428571419</v>
      </c>
      <c r="X38" s="60">
        <f t="shared" si="30"/>
        <v>0.14285714285714285</v>
      </c>
      <c r="Y38" s="60">
        <f t="shared" si="30"/>
        <v>9.5714285714285712</v>
      </c>
      <c r="Z38" s="60">
        <f t="shared" si="30"/>
        <v>3.2857142857142856</v>
      </c>
      <c r="AA38" s="60">
        <f t="shared" si="30"/>
        <v>1.2857142857142856</v>
      </c>
      <c r="AB38" s="60">
        <f t="shared" si="30"/>
        <v>0</v>
      </c>
      <c r="AC38" s="60">
        <f t="shared" si="30"/>
        <v>280.71428571428572</v>
      </c>
      <c r="AD38" s="60">
        <f t="shared" si="30"/>
        <v>0</v>
      </c>
      <c r="AE38" s="61">
        <f t="shared" si="30"/>
        <v>49.428571428571423</v>
      </c>
      <c r="AF38" s="61">
        <f t="shared" si="30"/>
        <v>330.14285714285717</v>
      </c>
    </row>
    <row r="39" spans="2:32" ht="23.1" customHeight="1" x14ac:dyDescent="0.25">
      <c r="B39" s="24" t="s">
        <v>66</v>
      </c>
      <c r="C39" s="49">
        <f>AVERAGE('17.10 MITYANA-BUSUNJU'!C39,'18.10 MITYANA-BUSUNJU 24hr'!C39,'19.10 MITYANA-BUSUNJU 24hr'!C39,'20.10  MITYANA-BUSUNJU'!C39,'21.10 MITYANA-BUSUNJU '!C39,'22.10 MITYANA-BUSUNJU '!C39,'23.10 MITYANA-BUSUNJU '!C39)</f>
        <v>0.8571428571428571</v>
      </c>
      <c r="D39" s="49">
        <f>AVERAGE('17.10 MITYANA-BUSUNJU'!D39,'18.10 MITYANA-BUSUNJU 24hr'!D39,'19.10 MITYANA-BUSUNJU 24hr'!D39,'20.10  MITYANA-BUSUNJU'!D39,'21.10 MITYANA-BUSUNJU '!D39,'22.10 MITYANA-BUSUNJU '!D39,'23.10 MITYANA-BUSUNJU '!D39)</f>
        <v>0</v>
      </c>
      <c r="E39" s="49">
        <f>AVERAGE('17.10 MITYANA-BUSUNJU'!E39,'18.10 MITYANA-BUSUNJU 24hr'!E39,'19.10 MITYANA-BUSUNJU 24hr'!E39,'20.10  MITYANA-BUSUNJU'!E39,'21.10 MITYANA-BUSUNJU '!E39,'22.10 MITYANA-BUSUNJU '!E39,'23.10 MITYANA-BUSUNJU '!E39)</f>
        <v>0.14285714285714285</v>
      </c>
      <c r="F39" s="49">
        <f>AVERAGE('17.10 MITYANA-BUSUNJU'!F39,'18.10 MITYANA-BUSUNJU 24hr'!F39,'19.10 MITYANA-BUSUNJU 24hr'!F39,'20.10  MITYANA-BUSUNJU'!F39,'21.10 MITYANA-BUSUNJU '!F39,'22.10 MITYANA-BUSUNJU '!F39,'23.10 MITYANA-BUSUNJU '!F39)</f>
        <v>0.14285714285714285</v>
      </c>
      <c r="G39" s="49">
        <f>AVERAGE('17.10 MITYANA-BUSUNJU'!G39,'18.10 MITYANA-BUSUNJU 24hr'!G39,'19.10 MITYANA-BUSUNJU 24hr'!G39,'20.10  MITYANA-BUSUNJU'!G39,'21.10 MITYANA-BUSUNJU '!G39,'22.10 MITYANA-BUSUNJU '!G39,'23.10 MITYANA-BUSUNJU '!G39)</f>
        <v>0</v>
      </c>
      <c r="H39" s="49">
        <f>AVERAGE('17.10 MITYANA-BUSUNJU'!H39,'18.10 MITYANA-BUSUNJU 24hr'!H39,'19.10 MITYANA-BUSUNJU 24hr'!H39,'20.10  MITYANA-BUSUNJU'!H39,'21.10 MITYANA-BUSUNJU '!H39,'22.10 MITYANA-BUSUNJU '!H39,'23.10 MITYANA-BUSUNJU '!H39)</f>
        <v>0</v>
      </c>
      <c r="I39" s="49">
        <f>AVERAGE('17.10 MITYANA-BUSUNJU'!I39,'18.10 MITYANA-BUSUNJU 24hr'!I39,'19.10 MITYANA-BUSUNJU 24hr'!I39,'20.10  MITYANA-BUSUNJU'!I39,'21.10 MITYANA-BUSUNJU '!I39,'22.10 MITYANA-BUSUNJU '!I39,'23.10 MITYANA-BUSUNJU '!I39)</f>
        <v>0.14285714285714285</v>
      </c>
      <c r="J39" s="49">
        <f>AVERAGE('17.10 MITYANA-BUSUNJU'!J39,'18.10 MITYANA-BUSUNJU 24hr'!J39,'19.10 MITYANA-BUSUNJU 24hr'!J39,'20.10  MITYANA-BUSUNJU'!J39,'21.10 MITYANA-BUSUNJU '!J39,'22.10 MITYANA-BUSUNJU '!J39,'23.10 MITYANA-BUSUNJU '!J39)</f>
        <v>0.42857142857142855</v>
      </c>
      <c r="K39" s="49">
        <f>AVERAGE('17.10 MITYANA-BUSUNJU'!K39,'18.10 MITYANA-BUSUNJU 24hr'!K39,'19.10 MITYANA-BUSUNJU 24hr'!K39,'20.10  MITYANA-BUSUNJU'!K39,'21.10 MITYANA-BUSUNJU '!K39,'22.10 MITYANA-BUSUNJU '!K39,'23.10 MITYANA-BUSUNJU '!K39)</f>
        <v>0</v>
      </c>
      <c r="L39" s="49">
        <f>AVERAGE('17.10 MITYANA-BUSUNJU'!L39,'18.10 MITYANA-BUSUNJU 24hr'!L39,'19.10 MITYANA-BUSUNJU 24hr'!L39,'20.10  MITYANA-BUSUNJU'!L39,'21.10 MITYANA-BUSUNJU '!L39,'22.10 MITYANA-BUSUNJU '!L39,'23.10 MITYANA-BUSUNJU '!L39)</f>
        <v>0</v>
      </c>
      <c r="M39" s="49">
        <f>AVERAGE('17.10 MITYANA-BUSUNJU'!M39,'18.10 MITYANA-BUSUNJU 24hr'!M39,'19.10 MITYANA-BUSUNJU 24hr'!M39,'20.10  MITYANA-BUSUNJU'!M39,'21.10 MITYANA-BUSUNJU '!M39,'22.10 MITYANA-BUSUNJU '!M39,'23.10 MITYANA-BUSUNJU '!M39)</f>
        <v>11.857142857142858</v>
      </c>
      <c r="N39" s="49">
        <f>AVERAGE('17.10 MITYANA-BUSUNJU'!N39,'18.10 MITYANA-BUSUNJU 24hr'!N39,'19.10 MITYANA-BUSUNJU 24hr'!N39,'20.10  MITYANA-BUSUNJU'!N39,'21.10 MITYANA-BUSUNJU '!N39,'22.10 MITYANA-BUSUNJU '!N39,'23.10 MITYANA-BUSUNJU '!N39)</f>
        <v>0</v>
      </c>
      <c r="O39" s="15">
        <f t="shared" si="0"/>
        <v>1.7142857142857142</v>
      </c>
      <c r="P39" s="15">
        <f t="shared" si="1"/>
        <v>13.571428571428571</v>
      </c>
      <c r="R39" s="29" t="s">
        <v>87</v>
      </c>
      <c r="S39" s="60">
        <f t="shared" ref="S39:AF39" si="31">SUM(S19:S21)</f>
        <v>9.4285714285714288</v>
      </c>
      <c r="T39" s="60">
        <f t="shared" si="31"/>
        <v>3.5714285714285712</v>
      </c>
      <c r="U39" s="60">
        <f t="shared" si="31"/>
        <v>3.5714285714285712</v>
      </c>
      <c r="V39" s="60">
        <f t="shared" si="31"/>
        <v>1.9999999999999998</v>
      </c>
      <c r="W39" s="60">
        <f t="shared" si="31"/>
        <v>0.2857142857142857</v>
      </c>
      <c r="X39" s="60">
        <f t="shared" si="31"/>
        <v>0.14285714285714285</v>
      </c>
      <c r="Y39" s="60">
        <f t="shared" si="31"/>
        <v>4.4285714285714288</v>
      </c>
      <c r="Z39" s="60">
        <f t="shared" si="31"/>
        <v>2.5714285714285712</v>
      </c>
      <c r="AA39" s="60">
        <f t="shared" si="31"/>
        <v>0.42857142857142855</v>
      </c>
      <c r="AB39" s="60">
        <f t="shared" si="31"/>
        <v>0.14285714285714285</v>
      </c>
      <c r="AC39" s="60">
        <f t="shared" si="31"/>
        <v>138.85714285714286</v>
      </c>
      <c r="AD39" s="60">
        <f t="shared" si="31"/>
        <v>0</v>
      </c>
      <c r="AE39" s="61">
        <f t="shared" si="31"/>
        <v>26.571428571428569</v>
      </c>
      <c r="AF39" s="61">
        <f t="shared" si="31"/>
        <v>165.42857142857142</v>
      </c>
    </row>
    <row r="40" spans="2:32" ht="23.1" customHeight="1" x14ac:dyDescent="0.25">
      <c r="B40" s="24" t="s">
        <v>67</v>
      </c>
      <c r="C40" s="49">
        <f>AVERAGE('17.10 MITYANA-BUSUNJU'!C40,'18.10 MITYANA-BUSUNJU 24hr'!C40,'19.10 MITYANA-BUSUNJU 24hr'!C40,'20.10  MITYANA-BUSUNJU'!C40,'21.10 MITYANA-BUSUNJU '!C40,'22.10 MITYANA-BUSUNJU '!C40,'23.10 MITYANA-BUSUNJU '!C40)</f>
        <v>0.2857142857142857</v>
      </c>
      <c r="D40" s="49">
        <f>AVERAGE('17.10 MITYANA-BUSUNJU'!D40,'18.10 MITYANA-BUSUNJU 24hr'!D40,'19.10 MITYANA-BUSUNJU 24hr'!D40,'20.10  MITYANA-BUSUNJU'!D40,'21.10 MITYANA-BUSUNJU '!D40,'22.10 MITYANA-BUSUNJU '!D40,'23.10 MITYANA-BUSUNJU '!D40)</f>
        <v>0.14285714285714285</v>
      </c>
      <c r="E40" s="49">
        <f>AVERAGE('17.10 MITYANA-BUSUNJU'!E40,'18.10 MITYANA-BUSUNJU 24hr'!E40,'19.10 MITYANA-BUSUNJU 24hr'!E40,'20.10  MITYANA-BUSUNJU'!E40,'21.10 MITYANA-BUSUNJU '!E40,'22.10 MITYANA-BUSUNJU '!E40,'23.10 MITYANA-BUSUNJU '!E40)</f>
        <v>0.42857142857142855</v>
      </c>
      <c r="F40" s="49">
        <f>AVERAGE('17.10 MITYANA-BUSUNJU'!F40,'18.10 MITYANA-BUSUNJU 24hr'!F40,'19.10 MITYANA-BUSUNJU 24hr'!F40,'20.10  MITYANA-BUSUNJU'!F40,'21.10 MITYANA-BUSUNJU '!F40,'22.10 MITYANA-BUSUNJU '!F40,'23.10 MITYANA-BUSUNJU '!F40)</f>
        <v>0.14285714285714285</v>
      </c>
      <c r="G40" s="49">
        <f>AVERAGE('17.10 MITYANA-BUSUNJU'!G40,'18.10 MITYANA-BUSUNJU 24hr'!G40,'19.10 MITYANA-BUSUNJU 24hr'!G40,'20.10  MITYANA-BUSUNJU'!G40,'21.10 MITYANA-BUSUNJU '!G40,'22.10 MITYANA-BUSUNJU '!G40,'23.10 MITYANA-BUSUNJU '!G40)</f>
        <v>0</v>
      </c>
      <c r="H40" s="49">
        <f>AVERAGE('17.10 MITYANA-BUSUNJU'!H40,'18.10 MITYANA-BUSUNJU 24hr'!H40,'19.10 MITYANA-BUSUNJU 24hr'!H40,'20.10  MITYANA-BUSUNJU'!H40,'21.10 MITYANA-BUSUNJU '!H40,'22.10 MITYANA-BUSUNJU '!H40,'23.10 MITYANA-BUSUNJU '!H40)</f>
        <v>0</v>
      </c>
      <c r="I40" s="49">
        <f>AVERAGE('17.10 MITYANA-BUSUNJU'!I40,'18.10 MITYANA-BUSUNJU 24hr'!I40,'19.10 MITYANA-BUSUNJU 24hr'!I40,'20.10  MITYANA-BUSUNJU'!I40,'21.10 MITYANA-BUSUNJU '!I40,'22.10 MITYANA-BUSUNJU '!I40,'23.10 MITYANA-BUSUNJU '!I40)</f>
        <v>0.42857142857142855</v>
      </c>
      <c r="J40" s="49">
        <f>AVERAGE('17.10 MITYANA-BUSUNJU'!J40,'18.10 MITYANA-BUSUNJU 24hr'!J40,'19.10 MITYANA-BUSUNJU 24hr'!J40,'20.10  MITYANA-BUSUNJU'!J40,'21.10 MITYANA-BUSUNJU '!J40,'22.10 MITYANA-BUSUNJU '!J40,'23.10 MITYANA-BUSUNJU '!J40)</f>
        <v>0</v>
      </c>
      <c r="K40" s="49">
        <f>AVERAGE('17.10 MITYANA-BUSUNJU'!K40,'18.10 MITYANA-BUSUNJU 24hr'!K40,'19.10 MITYANA-BUSUNJU 24hr'!K40,'20.10  MITYANA-BUSUNJU'!K40,'21.10 MITYANA-BUSUNJU '!K40,'22.10 MITYANA-BUSUNJU '!K40,'23.10 MITYANA-BUSUNJU '!K40)</f>
        <v>0</v>
      </c>
      <c r="L40" s="49">
        <f>AVERAGE('17.10 MITYANA-BUSUNJU'!L40,'18.10 MITYANA-BUSUNJU 24hr'!L40,'19.10 MITYANA-BUSUNJU 24hr'!L40,'20.10  MITYANA-BUSUNJU'!L40,'21.10 MITYANA-BUSUNJU '!L40,'22.10 MITYANA-BUSUNJU '!L40,'23.10 MITYANA-BUSUNJU '!L40)</f>
        <v>0</v>
      </c>
      <c r="M40" s="49">
        <f>AVERAGE('17.10 MITYANA-BUSUNJU'!M40,'18.10 MITYANA-BUSUNJU 24hr'!M40,'19.10 MITYANA-BUSUNJU 24hr'!M40,'20.10  MITYANA-BUSUNJU'!M40,'21.10 MITYANA-BUSUNJU '!M40,'22.10 MITYANA-BUSUNJU '!M40,'23.10 MITYANA-BUSUNJU '!M40)</f>
        <v>11.714285714285714</v>
      </c>
      <c r="N40" s="49">
        <f>AVERAGE('17.10 MITYANA-BUSUNJU'!N40,'18.10 MITYANA-BUSUNJU 24hr'!N40,'19.10 MITYANA-BUSUNJU 24hr'!N40,'20.10  MITYANA-BUSUNJU'!N40,'21.10 MITYANA-BUSUNJU '!N40,'22.10 MITYANA-BUSUNJU '!N40,'23.10 MITYANA-BUSUNJU '!N40)</f>
        <v>0</v>
      </c>
      <c r="O40" s="15">
        <f t="shared" si="0"/>
        <v>1.4285714285714286</v>
      </c>
      <c r="P40" s="15">
        <f t="shared" si="1"/>
        <v>13.142857142857142</v>
      </c>
      <c r="R40" s="5" t="s">
        <v>17</v>
      </c>
      <c r="S40" s="60">
        <f t="shared" ref="S40:AF40" si="32">SUM(S10:S21)</f>
        <v>34.714285714285715</v>
      </c>
      <c r="T40" s="60">
        <f t="shared" si="32"/>
        <v>10.714285714285714</v>
      </c>
      <c r="U40" s="60">
        <f t="shared" si="32"/>
        <v>12.571428571428569</v>
      </c>
      <c r="V40" s="60">
        <f t="shared" si="32"/>
        <v>6.8571428571428568</v>
      </c>
      <c r="W40" s="60">
        <f t="shared" si="32"/>
        <v>0.99999999999999978</v>
      </c>
      <c r="X40" s="60">
        <f t="shared" si="32"/>
        <v>0.5714285714285714</v>
      </c>
      <c r="Y40" s="60">
        <f t="shared" si="32"/>
        <v>18.999999999999996</v>
      </c>
      <c r="Z40" s="60">
        <f t="shared" si="32"/>
        <v>7.1428571428571423</v>
      </c>
      <c r="AA40" s="60">
        <f t="shared" si="32"/>
        <v>2.5714285714285707</v>
      </c>
      <c r="AB40" s="60">
        <f t="shared" si="32"/>
        <v>0.42857142857142855</v>
      </c>
      <c r="AC40" s="60">
        <f t="shared" si="32"/>
        <v>533.28571428571433</v>
      </c>
      <c r="AD40" s="60">
        <f t="shared" si="32"/>
        <v>0</v>
      </c>
      <c r="AE40" s="61">
        <f t="shared" si="32"/>
        <v>95.571428571428569</v>
      </c>
      <c r="AF40" s="61">
        <f t="shared" si="32"/>
        <v>628.85714285714278</v>
      </c>
    </row>
    <row r="41" spans="2:32" ht="23.1" customHeight="1" x14ac:dyDescent="0.25">
      <c r="B41" s="23" t="s">
        <v>68</v>
      </c>
      <c r="C41" s="49">
        <f>AVERAGE('17.10 MITYANA-BUSUNJU'!C41,'18.10 MITYANA-BUSUNJU 24hr'!C41,'19.10 MITYANA-BUSUNJU 24hr'!C41,'20.10  MITYANA-BUSUNJU'!C41,'21.10 MITYANA-BUSUNJU '!C41,'22.10 MITYANA-BUSUNJU '!C41,'23.10 MITYANA-BUSUNJU '!C41)</f>
        <v>0.42857142857142855</v>
      </c>
      <c r="D41" s="49">
        <f>AVERAGE('17.10 MITYANA-BUSUNJU'!D41,'18.10 MITYANA-BUSUNJU 24hr'!D41,'19.10 MITYANA-BUSUNJU 24hr'!D41,'20.10  MITYANA-BUSUNJU'!D41,'21.10 MITYANA-BUSUNJU '!D41,'22.10 MITYANA-BUSUNJU '!D41,'23.10 MITYANA-BUSUNJU '!D41)</f>
        <v>0</v>
      </c>
      <c r="E41" s="49">
        <f>AVERAGE('17.10 MITYANA-BUSUNJU'!E41,'18.10 MITYANA-BUSUNJU 24hr'!E41,'19.10 MITYANA-BUSUNJU 24hr'!E41,'20.10  MITYANA-BUSUNJU'!E41,'21.10 MITYANA-BUSUNJU '!E41,'22.10 MITYANA-BUSUNJU '!E41,'23.10 MITYANA-BUSUNJU '!E41)</f>
        <v>0.2857142857142857</v>
      </c>
      <c r="F41" s="49">
        <f>AVERAGE('17.10 MITYANA-BUSUNJU'!F41,'18.10 MITYANA-BUSUNJU 24hr'!F41,'19.10 MITYANA-BUSUNJU 24hr'!F41,'20.10  MITYANA-BUSUNJU'!F41,'21.10 MITYANA-BUSUNJU '!F41,'22.10 MITYANA-BUSUNJU '!F41,'23.10 MITYANA-BUSUNJU '!F41)</f>
        <v>0</v>
      </c>
      <c r="G41" s="49">
        <f>AVERAGE('17.10 MITYANA-BUSUNJU'!G41,'18.10 MITYANA-BUSUNJU 24hr'!G41,'19.10 MITYANA-BUSUNJU 24hr'!G41,'20.10  MITYANA-BUSUNJU'!G41,'21.10 MITYANA-BUSUNJU '!G41,'22.10 MITYANA-BUSUNJU '!G41,'23.10 MITYANA-BUSUNJU '!G41)</f>
        <v>0</v>
      </c>
      <c r="H41" s="49">
        <f>AVERAGE('17.10 MITYANA-BUSUNJU'!H41,'18.10 MITYANA-BUSUNJU 24hr'!H41,'19.10 MITYANA-BUSUNJU 24hr'!H41,'20.10  MITYANA-BUSUNJU'!H41,'21.10 MITYANA-BUSUNJU '!H41,'22.10 MITYANA-BUSUNJU '!H41,'23.10 MITYANA-BUSUNJU '!H41)</f>
        <v>0</v>
      </c>
      <c r="I41" s="49">
        <f>AVERAGE('17.10 MITYANA-BUSUNJU'!I41,'18.10 MITYANA-BUSUNJU 24hr'!I41,'19.10 MITYANA-BUSUNJU 24hr'!I41,'20.10  MITYANA-BUSUNJU'!I41,'21.10 MITYANA-BUSUNJU '!I41,'22.10 MITYANA-BUSUNJU '!I41,'23.10 MITYANA-BUSUNJU '!I41)</f>
        <v>1</v>
      </c>
      <c r="J41" s="49">
        <f>AVERAGE('17.10 MITYANA-BUSUNJU'!J41,'18.10 MITYANA-BUSUNJU 24hr'!J41,'19.10 MITYANA-BUSUNJU 24hr'!J41,'20.10  MITYANA-BUSUNJU'!J41,'21.10 MITYANA-BUSUNJU '!J41,'22.10 MITYANA-BUSUNJU '!J41,'23.10 MITYANA-BUSUNJU '!J41)</f>
        <v>0.14285714285714285</v>
      </c>
      <c r="K41" s="49">
        <f>AVERAGE('17.10 MITYANA-BUSUNJU'!K41,'18.10 MITYANA-BUSUNJU 24hr'!K41,'19.10 MITYANA-BUSUNJU 24hr'!K41,'20.10  MITYANA-BUSUNJU'!K41,'21.10 MITYANA-BUSUNJU '!K41,'22.10 MITYANA-BUSUNJU '!K41,'23.10 MITYANA-BUSUNJU '!K41)</f>
        <v>0.14285714285714285</v>
      </c>
      <c r="L41" s="49">
        <f>AVERAGE('17.10 MITYANA-BUSUNJU'!L41,'18.10 MITYANA-BUSUNJU 24hr'!L41,'19.10 MITYANA-BUSUNJU 24hr'!L41,'20.10  MITYANA-BUSUNJU'!L41,'21.10 MITYANA-BUSUNJU '!L41,'22.10 MITYANA-BUSUNJU '!L41,'23.10 MITYANA-BUSUNJU '!L41)</f>
        <v>0</v>
      </c>
      <c r="M41" s="49">
        <f>AVERAGE('17.10 MITYANA-BUSUNJU'!M41,'18.10 MITYANA-BUSUNJU 24hr'!M41,'19.10 MITYANA-BUSUNJU 24hr'!M41,'20.10  MITYANA-BUSUNJU'!M41,'21.10 MITYANA-BUSUNJU '!M41,'22.10 MITYANA-BUSUNJU '!M41,'23.10 MITYANA-BUSUNJU '!M41)</f>
        <v>11.857142857142858</v>
      </c>
      <c r="N41" s="49">
        <f>AVERAGE('17.10 MITYANA-BUSUNJU'!N41,'18.10 MITYANA-BUSUNJU 24hr'!N41,'19.10 MITYANA-BUSUNJU 24hr'!N41,'20.10  MITYANA-BUSUNJU'!N41,'21.10 MITYANA-BUSUNJU '!N41,'22.10 MITYANA-BUSUNJU '!N41,'23.10 MITYANA-BUSUNJU '!N41)</f>
        <v>0</v>
      </c>
      <c r="O41" s="15">
        <f t="shared" si="0"/>
        <v>1.9999999999999998</v>
      </c>
      <c r="P41" s="15">
        <f t="shared" si="1"/>
        <v>13.857142857142858</v>
      </c>
      <c r="R41" s="5" t="s">
        <v>184</v>
      </c>
      <c r="S41" s="60">
        <f>SUM(S10:S33)</f>
        <v>64.214285714285722</v>
      </c>
      <c r="T41" s="60">
        <f t="shared" ref="T41:AD41" si="33">SUM(T10:T33)</f>
        <v>29.214285714285715</v>
      </c>
      <c r="U41" s="60">
        <f t="shared" si="33"/>
        <v>26.071428571428569</v>
      </c>
      <c r="V41" s="60">
        <f t="shared" si="33"/>
        <v>12.357142857142858</v>
      </c>
      <c r="W41" s="60">
        <f t="shared" si="33"/>
        <v>0.99999999999999978</v>
      </c>
      <c r="X41" s="60">
        <f t="shared" si="33"/>
        <v>2.0714285714285712</v>
      </c>
      <c r="Y41" s="60">
        <f t="shared" si="33"/>
        <v>50</v>
      </c>
      <c r="Z41" s="60">
        <f t="shared" si="33"/>
        <v>24.642857142857142</v>
      </c>
      <c r="AA41" s="60">
        <f t="shared" si="33"/>
        <v>21.571428571428569</v>
      </c>
      <c r="AB41" s="60">
        <f t="shared" si="33"/>
        <v>3.4285714285714288</v>
      </c>
      <c r="AC41" s="60">
        <f t="shared" si="33"/>
        <v>732.78571428571433</v>
      </c>
      <c r="AD41" s="60">
        <f t="shared" si="33"/>
        <v>0</v>
      </c>
      <c r="AE41" s="61">
        <f>SUM(AE10:AE33)</f>
        <v>234.57142857142856</v>
      </c>
      <c r="AF41" s="61">
        <f>SUM(AF10:AF33)</f>
        <v>967.35714285714278</v>
      </c>
    </row>
    <row r="42" spans="2:32" ht="23.1" customHeight="1" x14ac:dyDescent="0.25">
      <c r="B42" s="24" t="s">
        <v>69</v>
      </c>
      <c r="C42" s="49">
        <f>AVERAGE('17.10 MITYANA-BUSUNJU'!C42,'18.10 MITYANA-BUSUNJU 24hr'!C42,'19.10 MITYANA-BUSUNJU 24hr'!C42,'20.10  MITYANA-BUSUNJU'!C42,'21.10 MITYANA-BUSUNJU '!C42,'22.10 MITYANA-BUSUNJU '!C42,'23.10 MITYANA-BUSUNJU '!C42)</f>
        <v>1.1428571428571428</v>
      </c>
      <c r="D42" s="49">
        <f>AVERAGE('17.10 MITYANA-BUSUNJU'!D42,'18.10 MITYANA-BUSUNJU 24hr'!D42,'19.10 MITYANA-BUSUNJU 24hr'!D42,'20.10  MITYANA-BUSUNJU'!D42,'21.10 MITYANA-BUSUNJU '!D42,'22.10 MITYANA-BUSUNJU '!D42,'23.10 MITYANA-BUSUNJU '!D42)</f>
        <v>0.42857142857142855</v>
      </c>
      <c r="E42" s="49">
        <f>AVERAGE('17.10 MITYANA-BUSUNJU'!E42,'18.10 MITYANA-BUSUNJU 24hr'!E42,'19.10 MITYANA-BUSUNJU 24hr'!E42,'20.10  MITYANA-BUSUNJU'!E42,'21.10 MITYANA-BUSUNJU '!E42,'22.10 MITYANA-BUSUNJU '!E42,'23.10 MITYANA-BUSUNJU '!E42)</f>
        <v>0.42857142857142855</v>
      </c>
      <c r="F42" s="49">
        <f>AVERAGE('17.10 MITYANA-BUSUNJU'!F42,'18.10 MITYANA-BUSUNJU 24hr'!F42,'19.10 MITYANA-BUSUNJU 24hr'!F42,'20.10  MITYANA-BUSUNJU'!F42,'21.10 MITYANA-BUSUNJU '!F42,'22.10 MITYANA-BUSUNJU '!F42,'23.10 MITYANA-BUSUNJU '!F42)</f>
        <v>0.2857142857142857</v>
      </c>
      <c r="G42" s="49">
        <f>AVERAGE('17.10 MITYANA-BUSUNJU'!G42,'18.10 MITYANA-BUSUNJU 24hr'!G42,'19.10 MITYANA-BUSUNJU 24hr'!G42,'20.10  MITYANA-BUSUNJU'!G42,'21.10 MITYANA-BUSUNJU '!G42,'22.10 MITYANA-BUSUNJU '!G42,'23.10 MITYANA-BUSUNJU '!G42)</f>
        <v>0</v>
      </c>
      <c r="H42" s="49">
        <f>AVERAGE('17.10 MITYANA-BUSUNJU'!H42,'18.10 MITYANA-BUSUNJU 24hr'!H42,'19.10 MITYANA-BUSUNJU 24hr'!H42,'20.10  MITYANA-BUSUNJU'!H42,'21.10 MITYANA-BUSUNJU '!H42,'22.10 MITYANA-BUSUNJU '!H42,'23.10 MITYANA-BUSUNJU '!H42)</f>
        <v>0</v>
      </c>
      <c r="I42" s="49">
        <f>AVERAGE('17.10 MITYANA-BUSUNJU'!I42,'18.10 MITYANA-BUSUNJU 24hr'!I42,'19.10 MITYANA-BUSUNJU 24hr'!I42,'20.10  MITYANA-BUSUNJU'!I42,'21.10 MITYANA-BUSUNJU '!I42,'22.10 MITYANA-BUSUNJU '!I42,'23.10 MITYANA-BUSUNJU '!I42)</f>
        <v>0.2857142857142857</v>
      </c>
      <c r="J42" s="49">
        <f>AVERAGE('17.10 MITYANA-BUSUNJU'!J42,'18.10 MITYANA-BUSUNJU 24hr'!J42,'19.10 MITYANA-BUSUNJU 24hr'!J42,'20.10  MITYANA-BUSUNJU'!J42,'21.10 MITYANA-BUSUNJU '!J42,'22.10 MITYANA-BUSUNJU '!J42,'23.10 MITYANA-BUSUNJU '!J42)</f>
        <v>0</v>
      </c>
      <c r="K42" s="49">
        <f>AVERAGE('17.10 MITYANA-BUSUNJU'!K42,'18.10 MITYANA-BUSUNJU 24hr'!K42,'19.10 MITYANA-BUSUNJU 24hr'!K42,'20.10  MITYANA-BUSUNJU'!K42,'21.10 MITYANA-BUSUNJU '!K42,'22.10 MITYANA-BUSUNJU '!K42,'23.10 MITYANA-BUSUNJU '!K42)</f>
        <v>0.14285714285714285</v>
      </c>
      <c r="L42" s="49">
        <f>AVERAGE('17.10 MITYANA-BUSUNJU'!L42,'18.10 MITYANA-BUSUNJU 24hr'!L42,'19.10 MITYANA-BUSUNJU 24hr'!L42,'20.10  MITYANA-BUSUNJU'!L42,'21.10 MITYANA-BUSUNJU '!L42,'22.10 MITYANA-BUSUNJU '!L42,'23.10 MITYANA-BUSUNJU '!L42)</f>
        <v>0</v>
      </c>
      <c r="M42" s="49">
        <f>AVERAGE('17.10 MITYANA-BUSUNJU'!M42,'18.10 MITYANA-BUSUNJU 24hr'!M42,'19.10 MITYANA-BUSUNJU 24hr'!M42,'20.10  MITYANA-BUSUNJU'!M42,'21.10 MITYANA-BUSUNJU '!M42,'22.10 MITYANA-BUSUNJU '!M42,'23.10 MITYANA-BUSUNJU '!M42)</f>
        <v>13.142857142857142</v>
      </c>
      <c r="N42" s="49">
        <f>AVERAGE('17.10 MITYANA-BUSUNJU'!N42,'18.10 MITYANA-BUSUNJU 24hr'!N42,'19.10 MITYANA-BUSUNJU 24hr'!N42,'20.10  MITYANA-BUSUNJU'!N42,'21.10 MITYANA-BUSUNJU '!N42,'22.10 MITYANA-BUSUNJU '!N42,'23.10 MITYANA-BUSUNJU '!N42)</f>
        <v>0</v>
      </c>
      <c r="O42" s="15">
        <f t="shared" si="0"/>
        <v>2.714285714285714</v>
      </c>
      <c r="P42" s="15">
        <f t="shared" si="1"/>
        <v>15.857142857142856</v>
      </c>
      <c r="R42" s="5" t="s">
        <v>160</v>
      </c>
      <c r="S42" s="48">
        <f>S41/S40</f>
        <v>1.8497942386831276</v>
      </c>
      <c r="T42" s="48">
        <f t="shared" ref="T42:AF42" si="34">T41/T40</f>
        <v>2.726666666666667</v>
      </c>
      <c r="U42" s="48">
        <f t="shared" si="34"/>
        <v>2.0738636363636367</v>
      </c>
      <c r="V42" s="48">
        <f t="shared" si="34"/>
        <v>1.8020833333333335</v>
      </c>
      <c r="W42" s="48">
        <f t="shared" si="34"/>
        <v>1</v>
      </c>
      <c r="X42" s="48">
        <f t="shared" si="34"/>
        <v>3.6249999999999996</v>
      </c>
      <c r="Y42" s="48">
        <f t="shared" si="34"/>
        <v>2.6315789473684217</v>
      </c>
      <c r="Z42" s="48">
        <f t="shared" si="34"/>
        <v>3.45</v>
      </c>
      <c r="AA42" s="48">
        <f t="shared" si="34"/>
        <v>8.3888888888888911</v>
      </c>
      <c r="AB42" s="48">
        <f t="shared" si="34"/>
        <v>8.0000000000000018</v>
      </c>
      <c r="AC42" s="48">
        <f t="shared" si="34"/>
        <v>1.3740959014197696</v>
      </c>
      <c r="AD42" s="48" t="e">
        <f t="shared" si="34"/>
        <v>#DIV/0!</v>
      </c>
      <c r="AE42" s="62">
        <f t="shared" si="34"/>
        <v>2.4544095665171897</v>
      </c>
      <c r="AF42" s="62">
        <f t="shared" si="34"/>
        <v>1.5382780554293503</v>
      </c>
    </row>
    <row r="43" spans="2:32" ht="23.1" customHeight="1" x14ac:dyDescent="0.25">
      <c r="B43" s="23" t="s">
        <v>70</v>
      </c>
      <c r="C43" s="49">
        <f>AVERAGE('17.10 MITYANA-BUSUNJU'!C43,'18.10 MITYANA-BUSUNJU 24hr'!C43,'19.10 MITYANA-BUSUNJU 24hr'!C43,'20.10  MITYANA-BUSUNJU'!C43,'21.10 MITYANA-BUSUNJU '!C43,'22.10 MITYANA-BUSUNJU '!C43,'23.10 MITYANA-BUSUNJU '!C43)</f>
        <v>1</v>
      </c>
      <c r="D43" s="49">
        <f>AVERAGE('17.10 MITYANA-BUSUNJU'!D43,'18.10 MITYANA-BUSUNJU 24hr'!D43,'19.10 MITYANA-BUSUNJU 24hr'!D43,'20.10  MITYANA-BUSUNJU'!D43,'21.10 MITYANA-BUSUNJU '!D43,'22.10 MITYANA-BUSUNJU '!D43,'23.10 MITYANA-BUSUNJU '!D43)</f>
        <v>0</v>
      </c>
      <c r="E43" s="49">
        <f>AVERAGE('17.10 MITYANA-BUSUNJU'!E43,'18.10 MITYANA-BUSUNJU 24hr'!E43,'19.10 MITYANA-BUSUNJU 24hr'!E43,'20.10  MITYANA-BUSUNJU'!E43,'21.10 MITYANA-BUSUNJU '!E43,'22.10 MITYANA-BUSUNJU '!E43,'23.10 MITYANA-BUSUNJU '!E43)</f>
        <v>0</v>
      </c>
      <c r="F43" s="49">
        <f>AVERAGE('17.10 MITYANA-BUSUNJU'!F43,'18.10 MITYANA-BUSUNJU 24hr'!F43,'19.10 MITYANA-BUSUNJU 24hr'!F43,'20.10  MITYANA-BUSUNJU'!F43,'21.10 MITYANA-BUSUNJU '!F43,'22.10 MITYANA-BUSUNJU '!F43,'23.10 MITYANA-BUSUNJU '!F43)</f>
        <v>0.14285714285714285</v>
      </c>
      <c r="G43" s="49">
        <f>AVERAGE('17.10 MITYANA-BUSUNJU'!G43,'18.10 MITYANA-BUSUNJU 24hr'!G43,'19.10 MITYANA-BUSUNJU 24hr'!G43,'20.10  MITYANA-BUSUNJU'!G43,'21.10 MITYANA-BUSUNJU '!G43,'22.10 MITYANA-BUSUNJU '!G43,'23.10 MITYANA-BUSUNJU '!G43)</f>
        <v>0</v>
      </c>
      <c r="H43" s="49">
        <f>AVERAGE('17.10 MITYANA-BUSUNJU'!H43,'18.10 MITYANA-BUSUNJU 24hr'!H43,'19.10 MITYANA-BUSUNJU 24hr'!H43,'20.10  MITYANA-BUSUNJU'!H43,'21.10 MITYANA-BUSUNJU '!H43,'22.10 MITYANA-BUSUNJU '!H43,'23.10 MITYANA-BUSUNJU '!H43)</f>
        <v>0</v>
      </c>
      <c r="I43" s="49">
        <f>AVERAGE('17.10 MITYANA-BUSUNJU'!I43,'18.10 MITYANA-BUSUNJU 24hr'!I43,'19.10 MITYANA-BUSUNJU 24hr'!I43,'20.10  MITYANA-BUSUNJU'!I43,'21.10 MITYANA-BUSUNJU '!I43,'22.10 MITYANA-BUSUNJU '!I43,'23.10 MITYANA-BUSUNJU '!I43)</f>
        <v>0.2857142857142857</v>
      </c>
      <c r="J43" s="49">
        <f>AVERAGE('17.10 MITYANA-BUSUNJU'!J43,'18.10 MITYANA-BUSUNJU 24hr'!J43,'19.10 MITYANA-BUSUNJU 24hr'!J43,'20.10  MITYANA-BUSUNJU'!J43,'21.10 MITYANA-BUSUNJU '!J43,'22.10 MITYANA-BUSUNJU '!J43,'23.10 MITYANA-BUSUNJU '!J43)</f>
        <v>0.14285714285714285</v>
      </c>
      <c r="K43" s="49">
        <f>AVERAGE('17.10 MITYANA-BUSUNJU'!K43,'18.10 MITYANA-BUSUNJU 24hr'!K43,'19.10 MITYANA-BUSUNJU 24hr'!K43,'20.10  MITYANA-BUSUNJU'!K43,'21.10 MITYANA-BUSUNJU '!K43,'22.10 MITYANA-BUSUNJU '!K43,'23.10 MITYANA-BUSUNJU '!K43)</f>
        <v>0.14285714285714285</v>
      </c>
      <c r="L43" s="49">
        <f>AVERAGE('17.10 MITYANA-BUSUNJU'!L43,'18.10 MITYANA-BUSUNJU 24hr'!L43,'19.10 MITYANA-BUSUNJU 24hr'!L43,'20.10  MITYANA-BUSUNJU'!L43,'21.10 MITYANA-BUSUNJU '!L43,'22.10 MITYANA-BUSUNJU '!L43,'23.10 MITYANA-BUSUNJU '!L43)</f>
        <v>0</v>
      </c>
      <c r="M43" s="49">
        <f>AVERAGE('17.10 MITYANA-BUSUNJU'!M43,'18.10 MITYANA-BUSUNJU 24hr'!M43,'19.10 MITYANA-BUSUNJU 24hr'!M43,'20.10  MITYANA-BUSUNJU'!M43,'21.10 MITYANA-BUSUNJU '!M43,'22.10 MITYANA-BUSUNJU '!M43,'23.10 MITYANA-BUSUNJU '!M43)</f>
        <v>12.571428571428571</v>
      </c>
      <c r="N43" s="49">
        <f>AVERAGE('17.10 MITYANA-BUSUNJU'!N43,'18.10 MITYANA-BUSUNJU 24hr'!N43,'19.10 MITYANA-BUSUNJU 24hr'!N43,'20.10  MITYANA-BUSUNJU'!N43,'21.10 MITYANA-BUSUNJU '!N43,'22.10 MITYANA-BUSUNJU '!N43,'23.10 MITYANA-BUSUNJU '!N43)</f>
        <v>0</v>
      </c>
      <c r="O43" s="15">
        <f t="shared" si="0"/>
        <v>1.714285714285714</v>
      </c>
      <c r="P43" s="15">
        <f t="shared" si="1"/>
        <v>14.285714285714285</v>
      </c>
    </row>
    <row r="44" spans="2:32" ht="23.1" customHeight="1" x14ac:dyDescent="0.25">
      <c r="B44" s="25" t="s">
        <v>71</v>
      </c>
      <c r="C44" s="49">
        <f>AVERAGE('17.10 MITYANA-BUSUNJU'!C44,'18.10 MITYANA-BUSUNJU 24hr'!C44,'19.10 MITYANA-BUSUNJU 24hr'!C44,'20.10  MITYANA-BUSUNJU'!C44,'21.10 MITYANA-BUSUNJU '!C44,'22.10 MITYANA-BUSUNJU '!C44,'23.10 MITYANA-BUSUNJU '!C44)</f>
        <v>0.7142857142857143</v>
      </c>
      <c r="D44" s="49">
        <f>AVERAGE('17.10 MITYANA-BUSUNJU'!D44,'18.10 MITYANA-BUSUNJU 24hr'!D44,'19.10 MITYANA-BUSUNJU 24hr'!D44,'20.10  MITYANA-BUSUNJU'!D44,'21.10 MITYANA-BUSUNJU '!D44,'22.10 MITYANA-BUSUNJU '!D44,'23.10 MITYANA-BUSUNJU '!D44)</f>
        <v>0.14285714285714285</v>
      </c>
      <c r="E44" s="49">
        <f>AVERAGE('17.10 MITYANA-BUSUNJU'!E44,'18.10 MITYANA-BUSUNJU 24hr'!E44,'19.10 MITYANA-BUSUNJU 24hr'!E44,'20.10  MITYANA-BUSUNJU'!E44,'21.10 MITYANA-BUSUNJU '!E44,'22.10 MITYANA-BUSUNJU '!E44,'23.10 MITYANA-BUSUNJU '!E44)</f>
        <v>0.14285714285714285</v>
      </c>
      <c r="F44" s="49">
        <f>AVERAGE('17.10 MITYANA-BUSUNJU'!F44,'18.10 MITYANA-BUSUNJU 24hr'!F44,'19.10 MITYANA-BUSUNJU 24hr'!F44,'20.10  MITYANA-BUSUNJU'!F44,'21.10 MITYANA-BUSUNJU '!F44,'22.10 MITYANA-BUSUNJU '!F44,'23.10 MITYANA-BUSUNJU '!F44)</f>
        <v>0.14285714285714285</v>
      </c>
      <c r="G44" s="49">
        <f>AVERAGE('17.10 MITYANA-BUSUNJU'!G44,'18.10 MITYANA-BUSUNJU 24hr'!G44,'19.10 MITYANA-BUSUNJU 24hr'!G44,'20.10  MITYANA-BUSUNJU'!G44,'21.10 MITYANA-BUSUNJU '!G44,'22.10 MITYANA-BUSUNJU '!G44,'23.10 MITYANA-BUSUNJU '!G44)</f>
        <v>0</v>
      </c>
      <c r="H44" s="49">
        <f>AVERAGE('17.10 MITYANA-BUSUNJU'!H44,'18.10 MITYANA-BUSUNJU 24hr'!H44,'19.10 MITYANA-BUSUNJU 24hr'!H44,'20.10  MITYANA-BUSUNJU'!H44,'21.10 MITYANA-BUSUNJU '!H44,'22.10 MITYANA-BUSUNJU '!H44,'23.10 MITYANA-BUSUNJU '!H44)</f>
        <v>0</v>
      </c>
      <c r="I44" s="49">
        <f>AVERAGE('17.10 MITYANA-BUSUNJU'!I44,'18.10 MITYANA-BUSUNJU 24hr'!I44,'19.10 MITYANA-BUSUNJU 24hr'!I44,'20.10  MITYANA-BUSUNJU'!I44,'21.10 MITYANA-BUSUNJU '!I44,'22.10 MITYANA-BUSUNJU '!I44,'23.10 MITYANA-BUSUNJU '!I44)</f>
        <v>0.14285714285714285</v>
      </c>
      <c r="J44" s="49">
        <f>AVERAGE('17.10 MITYANA-BUSUNJU'!J44,'18.10 MITYANA-BUSUNJU 24hr'!J44,'19.10 MITYANA-BUSUNJU 24hr'!J44,'20.10  MITYANA-BUSUNJU'!J44,'21.10 MITYANA-BUSUNJU '!J44,'22.10 MITYANA-BUSUNJU '!J44,'23.10 MITYANA-BUSUNJU '!J44)</f>
        <v>0.14285714285714285</v>
      </c>
      <c r="K44" s="49">
        <f>AVERAGE('17.10 MITYANA-BUSUNJU'!K44,'18.10 MITYANA-BUSUNJU 24hr'!K44,'19.10 MITYANA-BUSUNJU 24hr'!K44,'20.10  MITYANA-BUSUNJU'!K44,'21.10 MITYANA-BUSUNJU '!K44,'22.10 MITYANA-BUSUNJU '!K44,'23.10 MITYANA-BUSUNJU '!K44)</f>
        <v>0</v>
      </c>
      <c r="L44" s="49">
        <f>AVERAGE('17.10 MITYANA-BUSUNJU'!L44,'18.10 MITYANA-BUSUNJU 24hr'!L44,'19.10 MITYANA-BUSUNJU 24hr'!L44,'20.10  MITYANA-BUSUNJU'!L44,'21.10 MITYANA-BUSUNJU '!L44,'22.10 MITYANA-BUSUNJU '!L44,'23.10 MITYANA-BUSUNJU '!L44)</f>
        <v>0</v>
      </c>
      <c r="M44" s="49">
        <f>AVERAGE('17.10 MITYANA-BUSUNJU'!M44,'18.10 MITYANA-BUSUNJU 24hr'!M44,'19.10 MITYANA-BUSUNJU 24hr'!M44,'20.10  MITYANA-BUSUNJU'!M44,'21.10 MITYANA-BUSUNJU '!M44,'22.10 MITYANA-BUSUNJU '!M44,'23.10 MITYANA-BUSUNJU '!M44)</f>
        <v>11.571428571428571</v>
      </c>
      <c r="N44" s="49">
        <f>AVERAGE('17.10 MITYANA-BUSUNJU'!N44,'18.10 MITYANA-BUSUNJU 24hr'!N44,'19.10 MITYANA-BUSUNJU 24hr'!N44,'20.10  MITYANA-BUSUNJU'!N44,'21.10 MITYANA-BUSUNJU '!N44,'22.10 MITYANA-BUSUNJU '!N44,'23.10 MITYANA-BUSUNJU '!N44)</f>
        <v>0</v>
      </c>
      <c r="O44" s="15">
        <f t="shared" si="0"/>
        <v>1.4285714285714284</v>
      </c>
      <c r="P44" s="15">
        <f t="shared" si="1"/>
        <v>13</v>
      </c>
    </row>
    <row r="45" spans="2:32" ht="23.1" customHeight="1" x14ac:dyDescent="0.25">
      <c r="B45" s="23" t="s">
        <v>72</v>
      </c>
      <c r="C45" s="49">
        <f>AVERAGE('17.10 MITYANA-BUSUNJU'!C45,'18.10 MITYANA-BUSUNJU 24hr'!C45,'19.10 MITYANA-BUSUNJU 24hr'!C45,'20.10  MITYANA-BUSUNJU'!C45,'21.10 MITYANA-BUSUNJU '!C45,'22.10 MITYANA-BUSUNJU '!C45,'23.10 MITYANA-BUSUNJU '!C45)</f>
        <v>1</v>
      </c>
      <c r="D45" s="49">
        <f>AVERAGE('17.10 MITYANA-BUSUNJU'!D45,'18.10 MITYANA-BUSUNJU 24hr'!D45,'19.10 MITYANA-BUSUNJU 24hr'!D45,'20.10  MITYANA-BUSUNJU'!D45,'21.10 MITYANA-BUSUNJU '!D45,'22.10 MITYANA-BUSUNJU '!D45,'23.10 MITYANA-BUSUNJU '!D45)</f>
        <v>0</v>
      </c>
      <c r="E45" s="49">
        <f>AVERAGE('17.10 MITYANA-BUSUNJU'!E45,'18.10 MITYANA-BUSUNJU 24hr'!E45,'19.10 MITYANA-BUSUNJU 24hr'!E45,'20.10  MITYANA-BUSUNJU'!E45,'21.10 MITYANA-BUSUNJU '!E45,'22.10 MITYANA-BUSUNJU '!E45,'23.10 MITYANA-BUSUNJU '!E45)</f>
        <v>0.42857142857142855</v>
      </c>
      <c r="F45" s="49">
        <f>AVERAGE('17.10 MITYANA-BUSUNJU'!F45,'18.10 MITYANA-BUSUNJU 24hr'!F45,'19.10 MITYANA-BUSUNJU 24hr'!F45,'20.10  MITYANA-BUSUNJU'!F45,'21.10 MITYANA-BUSUNJU '!F45,'22.10 MITYANA-BUSUNJU '!F45,'23.10 MITYANA-BUSUNJU '!F45)</f>
        <v>0.14285714285714285</v>
      </c>
      <c r="G45" s="49">
        <f>AVERAGE('17.10 MITYANA-BUSUNJU'!G45,'18.10 MITYANA-BUSUNJU 24hr'!G45,'19.10 MITYANA-BUSUNJU 24hr'!G45,'20.10  MITYANA-BUSUNJU'!G45,'21.10 MITYANA-BUSUNJU '!G45,'22.10 MITYANA-BUSUNJU '!G45,'23.10 MITYANA-BUSUNJU '!G45)</f>
        <v>0</v>
      </c>
      <c r="H45" s="49">
        <f>AVERAGE('17.10 MITYANA-BUSUNJU'!H45,'18.10 MITYANA-BUSUNJU 24hr'!H45,'19.10 MITYANA-BUSUNJU 24hr'!H45,'20.10  MITYANA-BUSUNJU'!H45,'21.10 MITYANA-BUSUNJU '!H45,'22.10 MITYANA-BUSUNJU '!H45,'23.10 MITYANA-BUSUNJU '!H45)</f>
        <v>0</v>
      </c>
      <c r="I45" s="49">
        <f>AVERAGE('17.10 MITYANA-BUSUNJU'!I45,'18.10 MITYANA-BUSUNJU 24hr'!I45,'19.10 MITYANA-BUSUNJU 24hr'!I45,'20.10  MITYANA-BUSUNJU'!I45,'21.10 MITYANA-BUSUNJU '!I45,'22.10 MITYANA-BUSUNJU '!I45,'23.10 MITYANA-BUSUNJU '!I45)</f>
        <v>0.2857142857142857</v>
      </c>
      <c r="J45" s="49">
        <f>AVERAGE('17.10 MITYANA-BUSUNJU'!J45,'18.10 MITYANA-BUSUNJU 24hr'!J45,'19.10 MITYANA-BUSUNJU 24hr'!J45,'20.10  MITYANA-BUSUNJU'!J45,'21.10 MITYANA-BUSUNJU '!J45,'22.10 MITYANA-BUSUNJU '!J45,'23.10 MITYANA-BUSUNJU '!J45)</f>
        <v>0.2857142857142857</v>
      </c>
      <c r="K45" s="49">
        <f>AVERAGE('17.10 MITYANA-BUSUNJU'!K45,'18.10 MITYANA-BUSUNJU 24hr'!K45,'19.10 MITYANA-BUSUNJU 24hr'!K45,'20.10  MITYANA-BUSUNJU'!K45,'21.10 MITYANA-BUSUNJU '!K45,'22.10 MITYANA-BUSUNJU '!K45,'23.10 MITYANA-BUSUNJU '!K45)</f>
        <v>0</v>
      </c>
      <c r="L45" s="49">
        <f>AVERAGE('17.10 MITYANA-BUSUNJU'!L45,'18.10 MITYANA-BUSUNJU 24hr'!L45,'19.10 MITYANA-BUSUNJU 24hr'!L45,'20.10  MITYANA-BUSUNJU'!L45,'21.10 MITYANA-BUSUNJU '!L45,'22.10 MITYANA-BUSUNJU '!L45,'23.10 MITYANA-BUSUNJU '!L45)</f>
        <v>0</v>
      </c>
      <c r="M45" s="49">
        <f>AVERAGE('17.10 MITYANA-BUSUNJU'!M45,'18.10 MITYANA-BUSUNJU 24hr'!M45,'19.10 MITYANA-BUSUNJU 24hr'!M45,'20.10  MITYANA-BUSUNJU'!M45,'21.10 MITYANA-BUSUNJU '!M45,'22.10 MITYANA-BUSUNJU '!M45,'23.10 MITYANA-BUSUNJU '!M45)</f>
        <v>14.428571428571429</v>
      </c>
      <c r="N45" s="49">
        <f>AVERAGE('17.10 MITYANA-BUSUNJU'!N45,'18.10 MITYANA-BUSUNJU 24hr'!N45,'19.10 MITYANA-BUSUNJU 24hr'!N45,'20.10  MITYANA-BUSUNJU'!N45,'21.10 MITYANA-BUSUNJU '!N45,'22.10 MITYANA-BUSUNJU '!N45,'23.10 MITYANA-BUSUNJU '!N45)</f>
        <v>0</v>
      </c>
      <c r="O45" s="15">
        <f t="shared" si="0"/>
        <v>2.1428571428571428</v>
      </c>
      <c r="P45" s="15">
        <f t="shared" si="1"/>
        <v>16.571428571428573</v>
      </c>
    </row>
    <row r="46" spans="2:32" ht="23.1" customHeight="1" x14ac:dyDescent="0.25">
      <c r="B46" s="24" t="s">
        <v>73</v>
      </c>
      <c r="C46" s="49">
        <f>AVERAGE('17.10 MITYANA-BUSUNJU'!C46,'18.10 MITYANA-BUSUNJU 24hr'!C46,'19.10 MITYANA-BUSUNJU 24hr'!C46,'20.10  MITYANA-BUSUNJU'!C46,'21.10 MITYANA-BUSUNJU '!C46,'22.10 MITYANA-BUSUNJU '!C46,'23.10 MITYANA-BUSUNJU '!C46)</f>
        <v>0.7142857142857143</v>
      </c>
      <c r="D46" s="49">
        <f>AVERAGE('17.10 MITYANA-BUSUNJU'!D46,'18.10 MITYANA-BUSUNJU 24hr'!D46,'19.10 MITYANA-BUSUNJU 24hr'!D46,'20.10  MITYANA-BUSUNJU'!D46,'21.10 MITYANA-BUSUNJU '!D46,'22.10 MITYANA-BUSUNJU '!D46,'23.10 MITYANA-BUSUNJU '!D46)</f>
        <v>0.14285714285714285</v>
      </c>
      <c r="E46" s="49">
        <f>AVERAGE('17.10 MITYANA-BUSUNJU'!E46,'18.10 MITYANA-BUSUNJU 24hr'!E46,'19.10 MITYANA-BUSUNJU 24hr'!E46,'20.10  MITYANA-BUSUNJU'!E46,'21.10 MITYANA-BUSUNJU '!E46,'22.10 MITYANA-BUSUNJU '!E46,'23.10 MITYANA-BUSUNJU '!E46)</f>
        <v>0.2857142857142857</v>
      </c>
      <c r="F46" s="49">
        <f>AVERAGE('17.10 MITYANA-BUSUNJU'!F46,'18.10 MITYANA-BUSUNJU 24hr'!F46,'19.10 MITYANA-BUSUNJU 24hr'!F46,'20.10  MITYANA-BUSUNJU'!F46,'21.10 MITYANA-BUSUNJU '!F46,'22.10 MITYANA-BUSUNJU '!F46,'23.10 MITYANA-BUSUNJU '!F46)</f>
        <v>0</v>
      </c>
      <c r="G46" s="49">
        <f>AVERAGE('17.10 MITYANA-BUSUNJU'!G46,'18.10 MITYANA-BUSUNJU 24hr'!G46,'19.10 MITYANA-BUSUNJU 24hr'!G46,'20.10  MITYANA-BUSUNJU'!G46,'21.10 MITYANA-BUSUNJU '!G46,'22.10 MITYANA-BUSUNJU '!G46,'23.10 MITYANA-BUSUNJU '!G46)</f>
        <v>0</v>
      </c>
      <c r="H46" s="49">
        <f>AVERAGE('17.10 MITYANA-BUSUNJU'!H46,'18.10 MITYANA-BUSUNJU 24hr'!H46,'19.10 MITYANA-BUSUNJU 24hr'!H46,'20.10  MITYANA-BUSUNJU'!H46,'21.10 MITYANA-BUSUNJU '!H46,'22.10 MITYANA-BUSUNJU '!H46,'23.10 MITYANA-BUSUNJU '!H46)</f>
        <v>0</v>
      </c>
      <c r="I46" s="49">
        <f>AVERAGE('17.10 MITYANA-BUSUNJU'!I46,'18.10 MITYANA-BUSUNJU 24hr'!I46,'19.10 MITYANA-BUSUNJU 24hr'!I46,'20.10  MITYANA-BUSUNJU'!I46,'21.10 MITYANA-BUSUNJU '!I46,'22.10 MITYANA-BUSUNJU '!I46,'23.10 MITYANA-BUSUNJU '!I46)</f>
        <v>0.5714285714285714</v>
      </c>
      <c r="J46" s="49">
        <f>AVERAGE('17.10 MITYANA-BUSUNJU'!J46,'18.10 MITYANA-BUSUNJU 24hr'!J46,'19.10 MITYANA-BUSUNJU 24hr'!J46,'20.10  MITYANA-BUSUNJU'!J46,'21.10 MITYANA-BUSUNJU '!J46,'22.10 MITYANA-BUSUNJU '!J46,'23.10 MITYANA-BUSUNJU '!J46)</f>
        <v>0.14285714285714285</v>
      </c>
      <c r="K46" s="49">
        <f>AVERAGE('17.10 MITYANA-BUSUNJU'!K46,'18.10 MITYANA-BUSUNJU 24hr'!K46,'19.10 MITYANA-BUSUNJU 24hr'!K46,'20.10  MITYANA-BUSUNJU'!K46,'21.10 MITYANA-BUSUNJU '!K46,'22.10 MITYANA-BUSUNJU '!K46,'23.10 MITYANA-BUSUNJU '!K46)</f>
        <v>0</v>
      </c>
      <c r="L46" s="49">
        <f>AVERAGE('17.10 MITYANA-BUSUNJU'!L46,'18.10 MITYANA-BUSUNJU 24hr'!L46,'19.10 MITYANA-BUSUNJU 24hr'!L46,'20.10  MITYANA-BUSUNJU'!L46,'21.10 MITYANA-BUSUNJU '!L46,'22.10 MITYANA-BUSUNJU '!L46,'23.10 MITYANA-BUSUNJU '!L46)</f>
        <v>0</v>
      </c>
      <c r="M46" s="49">
        <f>AVERAGE('17.10 MITYANA-BUSUNJU'!M46,'18.10 MITYANA-BUSUNJU 24hr'!M46,'19.10 MITYANA-BUSUNJU 24hr'!M46,'20.10  MITYANA-BUSUNJU'!M46,'21.10 MITYANA-BUSUNJU '!M46,'22.10 MITYANA-BUSUNJU '!M46,'23.10 MITYANA-BUSUNJU '!M46)</f>
        <v>13.428571428571429</v>
      </c>
      <c r="N46" s="49">
        <f>AVERAGE('17.10 MITYANA-BUSUNJU'!N46,'18.10 MITYANA-BUSUNJU 24hr'!N46,'19.10 MITYANA-BUSUNJU 24hr'!N46,'20.10  MITYANA-BUSUNJU'!N46,'21.10 MITYANA-BUSUNJU '!N46,'22.10 MITYANA-BUSUNJU '!N46,'23.10 MITYANA-BUSUNJU '!N46)</f>
        <v>0</v>
      </c>
      <c r="O46" s="15">
        <f t="shared" si="0"/>
        <v>1.857142857142857</v>
      </c>
      <c r="P46" s="15">
        <f t="shared" si="1"/>
        <v>15.285714285714286</v>
      </c>
      <c r="R46" s="8"/>
      <c r="T46"/>
    </row>
    <row r="47" spans="2:32" ht="23.1" customHeight="1" x14ac:dyDescent="0.25">
      <c r="B47" s="24" t="s">
        <v>74</v>
      </c>
      <c r="C47" s="49">
        <f>AVERAGE('17.10 MITYANA-BUSUNJU'!C47,'18.10 MITYANA-BUSUNJU 24hr'!C47,'19.10 MITYANA-BUSUNJU 24hr'!C47,'20.10  MITYANA-BUSUNJU'!C47,'21.10 MITYANA-BUSUNJU '!C47,'22.10 MITYANA-BUSUNJU '!C47,'23.10 MITYANA-BUSUNJU '!C47)</f>
        <v>0.42857142857142855</v>
      </c>
      <c r="D47" s="49">
        <f>AVERAGE('17.10 MITYANA-BUSUNJU'!D47,'18.10 MITYANA-BUSUNJU 24hr'!D47,'19.10 MITYANA-BUSUNJU 24hr'!D47,'20.10  MITYANA-BUSUNJU'!D47,'21.10 MITYANA-BUSUNJU '!D47,'22.10 MITYANA-BUSUNJU '!D47,'23.10 MITYANA-BUSUNJU '!D47)</f>
        <v>0.14285714285714285</v>
      </c>
      <c r="E47" s="49">
        <f>AVERAGE('17.10 MITYANA-BUSUNJU'!E47,'18.10 MITYANA-BUSUNJU 24hr'!E47,'19.10 MITYANA-BUSUNJU 24hr'!E47,'20.10  MITYANA-BUSUNJU'!E47,'21.10 MITYANA-BUSUNJU '!E47,'22.10 MITYANA-BUSUNJU '!E47,'23.10 MITYANA-BUSUNJU '!E47)</f>
        <v>0.14285714285714285</v>
      </c>
      <c r="F47" s="49">
        <f>AVERAGE('17.10 MITYANA-BUSUNJU'!F47,'18.10 MITYANA-BUSUNJU 24hr'!F47,'19.10 MITYANA-BUSUNJU 24hr'!F47,'20.10  MITYANA-BUSUNJU'!F47,'21.10 MITYANA-BUSUNJU '!F47,'22.10 MITYANA-BUSUNJU '!F47,'23.10 MITYANA-BUSUNJU '!F47)</f>
        <v>0.2857142857142857</v>
      </c>
      <c r="G47" s="49">
        <f>AVERAGE('17.10 MITYANA-BUSUNJU'!G47,'18.10 MITYANA-BUSUNJU 24hr'!G47,'19.10 MITYANA-BUSUNJU 24hr'!G47,'20.10  MITYANA-BUSUNJU'!G47,'21.10 MITYANA-BUSUNJU '!G47,'22.10 MITYANA-BUSUNJU '!G47,'23.10 MITYANA-BUSUNJU '!G47)</f>
        <v>0.14285714285714285</v>
      </c>
      <c r="H47" s="49">
        <f>AVERAGE('17.10 MITYANA-BUSUNJU'!H47,'18.10 MITYANA-BUSUNJU 24hr'!H47,'19.10 MITYANA-BUSUNJU 24hr'!H47,'20.10  MITYANA-BUSUNJU'!H47,'21.10 MITYANA-BUSUNJU '!H47,'22.10 MITYANA-BUSUNJU '!H47,'23.10 MITYANA-BUSUNJU '!H47)</f>
        <v>0</v>
      </c>
      <c r="I47" s="49">
        <f>AVERAGE('17.10 MITYANA-BUSUNJU'!I47,'18.10 MITYANA-BUSUNJU 24hr'!I47,'19.10 MITYANA-BUSUNJU 24hr'!I47,'20.10  MITYANA-BUSUNJU'!I47,'21.10 MITYANA-BUSUNJU '!I47,'22.10 MITYANA-BUSUNJU '!I47,'23.10 MITYANA-BUSUNJU '!I47)</f>
        <v>0.42857142857142855</v>
      </c>
      <c r="J47" s="49">
        <f>AVERAGE('17.10 MITYANA-BUSUNJU'!J47,'18.10 MITYANA-BUSUNJU 24hr'!J47,'19.10 MITYANA-BUSUNJU 24hr'!J47,'20.10  MITYANA-BUSUNJU'!J47,'21.10 MITYANA-BUSUNJU '!J47,'22.10 MITYANA-BUSUNJU '!J47,'23.10 MITYANA-BUSUNJU '!J47)</f>
        <v>0.14285714285714285</v>
      </c>
      <c r="K47" s="49">
        <f>AVERAGE('17.10 MITYANA-BUSUNJU'!K47,'18.10 MITYANA-BUSUNJU 24hr'!K47,'19.10 MITYANA-BUSUNJU 24hr'!K47,'20.10  MITYANA-BUSUNJU'!K47,'21.10 MITYANA-BUSUNJU '!K47,'22.10 MITYANA-BUSUNJU '!K47,'23.10 MITYANA-BUSUNJU '!K47)</f>
        <v>0</v>
      </c>
      <c r="L47" s="49">
        <f>AVERAGE('17.10 MITYANA-BUSUNJU'!L47,'18.10 MITYANA-BUSUNJU 24hr'!L47,'19.10 MITYANA-BUSUNJU 24hr'!L47,'20.10  MITYANA-BUSUNJU'!L47,'21.10 MITYANA-BUSUNJU '!L47,'22.10 MITYANA-BUSUNJU '!L47,'23.10 MITYANA-BUSUNJU '!L47)</f>
        <v>0</v>
      </c>
      <c r="M47" s="49">
        <f>AVERAGE('17.10 MITYANA-BUSUNJU'!M47,'18.10 MITYANA-BUSUNJU 24hr'!M47,'19.10 MITYANA-BUSUNJU 24hr'!M47,'20.10  MITYANA-BUSUNJU'!M47,'21.10 MITYANA-BUSUNJU '!M47,'22.10 MITYANA-BUSUNJU '!M47,'23.10 MITYANA-BUSUNJU '!M47)</f>
        <v>12.857142857142858</v>
      </c>
      <c r="N47" s="49">
        <f>AVERAGE('17.10 MITYANA-BUSUNJU'!N47,'18.10 MITYANA-BUSUNJU 24hr'!N47,'19.10 MITYANA-BUSUNJU 24hr'!N47,'20.10  MITYANA-BUSUNJU'!N47,'21.10 MITYANA-BUSUNJU '!N47,'22.10 MITYANA-BUSUNJU '!N47,'23.10 MITYANA-BUSUNJU '!N47)</f>
        <v>0</v>
      </c>
      <c r="O47" s="15">
        <f t="shared" si="0"/>
        <v>1.7142857142857142</v>
      </c>
      <c r="P47" s="15">
        <f t="shared" si="1"/>
        <v>14.571428571428571</v>
      </c>
      <c r="R47" s="8"/>
      <c r="T47"/>
    </row>
    <row r="48" spans="2:32" ht="23.1" customHeight="1" x14ac:dyDescent="0.25">
      <c r="B48" s="24" t="s">
        <v>75</v>
      </c>
      <c r="C48" s="49">
        <f>AVERAGE('17.10 MITYANA-BUSUNJU'!C48,'18.10 MITYANA-BUSUNJU 24hr'!C48,'19.10 MITYANA-BUSUNJU 24hr'!C48,'20.10  MITYANA-BUSUNJU'!C48,'21.10 MITYANA-BUSUNJU '!C48,'22.10 MITYANA-BUSUNJU '!C48,'23.10 MITYANA-BUSUNJU '!C48)</f>
        <v>0.42857142857142855</v>
      </c>
      <c r="D48" s="49">
        <f>AVERAGE('17.10 MITYANA-BUSUNJU'!D48,'18.10 MITYANA-BUSUNJU 24hr'!D48,'19.10 MITYANA-BUSUNJU 24hr'!D48,'20.10  MITYANA-BUSUNJU'!D48,'21.10 MITYANA-BUSUNJU '!D48,'22.10 MITYANA-BUSUNJU '!D48,'23.10 MITYANA-BUSUNJU '!D48)</f>
        <v>0.5714285714285714</v>
      </c>
      <c r="E48" s="49">
        <f>AVERAGE('17.10 MITYANA-BUSUNJU'!E48,'18.10 MITYANA-BUSUNJU 24hr'!E48,'19.10 MITYANA-BUSUNJU 24hr'!E48,'20.10  MITYANA-BUSUNJU'!E48,'21.10 MITYANA-BUSUNJU '!E48,'22.10 MITYANA-BUSUNJU '!E48,'23.10 MITYANA-BUSUNJU '!E48)</f>
        <v>0</v>
      </c>
      <c r="F48" s="49">
        <f>AVERAGE('17.10 MITYANA-BUSUNJU'!F48,'18.10 MITYANA-BUSUNJU 24hr'!F48,'19.10 MITYANA-BUSUNJU 24hr'!F48,'20.10  MITYANA-BUSUNJU'!F48,'21.10 MITYANA-BUSUNJU '!F48,'22.10 MITYANA-BUSUNJU '!F48,'23.10 MITYANA-BUSUNJU '!F48)</f>
        <v>0</v>
      </c>
      <c r="G48" s="49">
        <f>AVERAGE('17.10 MITYANA-BUSUNJU'!G48,'18.10 MITYANA-BUSUNJU 24hr'!G48,'19.10 MITYANA-BUSUNJU 24hr'!G48,'20.10  MITYANA-BUSUNJU'!G48,'21.10 MITYANA-BUSUNJU '!G48,'22.10 MITYANA-BUSUNJU '!G48,'23.10 MITYANA-BUSUNJU '!G48)</f>
        <v>0</v>
      </c>
      <c r="H48" s="49">
        <f>AVERAGE('17.10 MITYANA-BUSUNJU'!H48,'18.10 MITYANA-BUSUNJU 24hr'!H48,'19.10 MITYANA-BUSUNJU 24hr'!H48,'20.10  MITYANA-BUSUNJU'!H48,'21.10 MITYANA-BUSUNJU '!H48,'22.10 MITYANA-BUSUNJU '!H48,'23.10 MITYANA-BUSUNJU '!H48)</f>
        <v>0</v>
      </c>
      <c r="I48" s="49">
        <f>AVERAGE('17.10 MITYANA-BUSUNJU'!I48,'18.10 MITYANA-BUSUNJU 24hr'!I48,'19.10 MITYANA-BUSUNJU 24hr'!I48,'20.10  MITYANA-BUSUNJU'!I48,'21.10 MITYANA-BUSUNJU '!I48,'22.10 MITYANA-BUSUNJU '!I48,'23.10 MITYANA-BUSUNJU '!I48)</f>
        <v>0.14285714285714285</v>
      </c>
      <c r="J48" s="49">
        <f>AVERAGE('17.10 MITYANA-BUSUNJU'!J48,'18.10 MITYANA-BUSUNJU 24hr'!J48,'19.10 MITYANA-BUSUNJU 24hr'!J48,'20.10  MITYANA-BUSUNJU'!J48,'21.10 MITYANA-BUSUNJU '!J48,'22.10 MITYANA-BUSUNJU '!J48,'23.10 MITYANA-BUSUNJU '!J48)</f>
        <v>0.2857142857142857</v>
      </c>
      <c r="K48" s="49">
        <f>AVERAGE('17.10 MITYANA-BUSUNJU'!K48,'18.10 MITYANA-BUSUNJU 24hr'!K48,'19.10 MITYANA-BUSUNJU 24hr'!K48,'20.10  MITYANA-BUSUNJU'!K48,'21.10 MITYANA-BUSUNJU '!K48,'22.10 MITYANA-BUSUNJU '!K48,'23.10 MITYANA-BUSUNJU '!K48)</f>
        <v>0.14285714285714285</v>
      </c>
      <c r="L48" s="49">
        <f>AVERAGE('17.10 MITYANA-BUSUNJU'!L48,'18.10 MITYANA-BUSUNJU 24hr'!L48,'19.10 MITYANA-BUSUNJU 24hr'!L48,'20.10  MITYANA-BUSUNJU'!L48,'21.10 MITYANA-BUSUNJU '!L48,'22.10 MITYANA-BUSUNJU '!L48,'23.10 MITYANA-BUSUNJU '!L48)</f>
        <v>0</v>
      </c>
      <c r="M48" s="49">
        <f>AVERAGE('17.10 MITYANA-BUSUNJU'!M48,'18.10 MITYANA-BUSUNJU 24hr'!M48,'19.10 MITYANA-BUSUNJU 24hr'!M48,'20.10  MITYANA-BUSUNJU'!M48,'21.10 MITYANA-BUSUNJU '!M48,'22.10 MITYANA-BUSUNJU '!M48,'23.10 MITYANA-BUSUNJU '!M48)</f>
        <v>12.714285714285714</v>
      </c>
      <c r="N48" s="49">
        <f>AVERAGE('17.10 MITYANA-BUSUNJU'!N48,'18.10 MITYANA-BUSUNJU 24hr'!N48,'19.10 MITYANA-BUSUNJU 24hr'!N48,'20.10  MITYANA-BUSUNJU'!N48,'21.10 MITYANA-BUSUNJU '!N48,'22.10 MITYANA-BUSUNJU '!N48,'23.10 MITYANA-BUSUNJU '!N48)</f>
        <v>0</v>
      </c>
      <c r="O48" s="15">
        <f t="shared" si="0"/>
        <v>1.5714285714285712</v>
      </c>
      <c r="P48" s="15">
        <f t="shared" si="1"/>
        <v>14.285714285714285</v>
      </c>
      <c r="R48" s="8"/>
      <c r="T48"/>
    </row>
    <row r="49" spans="2:20" ht="23.1" customHeight="1" x14ac:dyDescent="0.25">
      <c r="B49" s="23" t="s">
        <v>76</v>
      </c>
      <c r="C49" s="49">
        <f>AVERAGE('17.10 MITYANA-BUSUNJU'!C49,'18.10 MITYANA-BUSUNJU 24hr'!C49,'19.10 MITYANA-BUSUNJU 24hr'!C49,'20.10  MITYANA-BUSUNJU'!C49,'21.10 MITYANA-BUSUNJU '!C49,'22.10 MITYANA-BUSUNJU '!C49,'23.10 MITYANA-BUSUNJU '!C49)</f>
        <v>0.7142857142857143</v>
      </c>
      <c r="D49" s="49">
        <f>AVERAGE('17.10 MITYANA-BUSUNJU'!D49,'18.10 MITYANA-BUSUNJU 24hr'!D49,'19.10 MITYANA-BUSUNJU 24hr'!D49,'20.10  MITYANA-BUSUNJU'!D49,'21.10 MITYANA-BUSUNJU '!D49,'22.10 MITYANA-BUSUNJU '!D49,'23.10 MITYANA-BUSUNJU '!D49)</f>
        <v>0.5714285714285714</v>
      </c>
      <c r="E49" s="49">
        <f>AVERAGE('17.10 MITYANA-BUSUNJU'!E49,'18.10 MITYANA-BUSUNJU 24hr'!E49,'19.10 MITYANA-BUSUNJU 24hr'!E49,'20.10  MITYANA-BUSUNJU'!E49,'21.10 MITYANA-BUSUNJU '!E49,'22.10 MITYANA-BUSUNJU '!E49,'23.10 MITYANA-BUSUNJU '!E49)</f>
        <v>0.2857142857142857</v>
      </c>
      <c r="F49" s="49">
        <f>AVERAGE('17.10 MITYANA-BUSUNJU'!F49,'18.10 MITYANA-BUSUNJU 24hr'!F49,'19.10 MITYANA-BUSUNJU 24hr'!F49,'20.10  MITYANA-BUSUNJU'!F49,'21.10 MITYANA-BUSUNJU '!F49,'22.10 MITYANA-BUSUNJU '!F49,'23.10 MITYANA-BUSUNJU '!F49)</f>
        <v>0.14285714285714285</v>
      </c>
      <c r="G49" s="49">
        <f>AVERAGE('17.10 MITYANA-BUSUNJU'!G49,'18.10 MITYANA-BUSUNJU 24hr'!G49,'19.10 MITYANA-BUSUNJU 24hr'!G49,'20.10  MITYANA-BUSUNJU'!G49,'21.10 MITYANA-BUSUNJU '!G49,'22.10 MITYANA-BUSUNJU '!G49,'23.10 MITYANA-BUSUNJU '!G49)</f>
        <v>0</v>
      </c>
      <c r="H49" s="49">
        <f>AVERAGE('17.10 MITYANA-BUSUNJU'!H49,'18.10 MITYANA-BUSUNJU 24hr'!H49,'19.10 MITYANA-BUSUNJU 24hr'!H49,'20.10  MITYANA-BUSUNJU'!H49,'21.10 MITYANA-BUSUNJU '!H49,'22.10 MITYANA-BUSUNJU '!H49,'23.10 MITYANA-BUSUNJU '!H49)</f>
        <v>0</v>
      </c>
      <c r="I49" s="49">
        <f>AVERAGE('17.10 MITYANA-BUSUNJU'!I49,'18.10 MITYANA-BUSUNJU 24hr'!I49,'19.10 MITYANA-BUSUNJU 24hr'!I49,'20.10  MITYANA-BUSUNJU'!I49,'21.10 MITYANA-BUSUNJU '!I49,'22.10 MITYANA-BUSUNJU '!I49,'23.10 MITYANA-BUSUNJU '!I49)</f>
        <v>0.14285714285714285</v>
      </c>
      <c r="J49" s="49">
        <f>AVERAGE('17.10 MITYANA-BUSUNJU'!J49,'18.10 MITYANA-BUSUNJU 24hr'!J49,'19.10 MITYANA-BUSUNJU 24hr'!J49,'20.10  MITYANA-BUSUNJU'!J49,'21.10 MITYANA-BUSUNJU '!J49,'22.10 MITYANA-BUSUNJU '!J49,'23.10 MITYANA-BUSUNJU '!J49)</f>
        <v>0.2857142857142857</v>
      </c>
      <c r="K49" s="49">
        <f>AVERAGE('17.10 MITYANA-BUSUNJU'!K49,'18.10 MITYANA-BUSUNJU 24hr'!K49,'19.10 MITYANA-BUSUNJU 24hr'!K49,'20.10  MITYANA-BUSUNJU'!K49,'21.10 MITYANA-BUSUNJU '!K49,'22.10 MITYANA-BUSUNJU '!K49,'23.10 MITYANA-BUSUNJU '!K49)</f>
        <v>0</v>
      </c>
      <c r="L49" s="49">
        <f>AVERAGE('17.10 MITYANA-BUSUNJU'!L49,'18.10 MITYANA-BUSUNJU 24hr'!L49,'19.10 MITYANA-BUSUNJU 24hr'!L49,'20.10  MITYANA-BUSUNJU'!L49,'21.10 MITYANA-BUSUNJU '!L49,'22.10 MITYANA-BUSUNJU '!L49,'23.10 MITYANA-BUSUNJU '!L49)</f>
        <v>0</v>
      </c>
      <c r="M49" s="49">
        <f>AVERAGE('17.10 MITYANA-BUSUNJU'!M49,'18.10 MITYANA-BUSUNJU 24hr'!M49,'19.10 MITYANA-BUSUNJU 24hr'!M49,'20.10  MITYANA-BUSUNJU'!M49,'21.10 MITYANA-BUSUNJU '!M49,'22.10 MITYANA-BUSUNJU '!M49,'23.10 MITYANA-BUSUNJU '!M49)</f>
        <v>13</v>
      </c>
      <c r="N49" s="49">
        <f>AVERAGE('17.10 MITYANA-BUSUNJU'!N49,'18.10 MITYANA-BUSUNJU 24hr'!N49,'19.10 MITYANA-BUSUNJU 24hr'!N49,'20.10  MITYANA-BUSUNJU'!N49,'21.10 MITYANA-BUSUNJU '!N49,'22.10 MITYANA-BUSUNJU '!N49,'23.10 MITYANA-BUSUNJU '!N49)</f>
        <v>0</v>
      </c>
      <c r="O49" s="15">
        <f t="shared" si="0"/>
        <v>2.1428571428571423</v>
      </c>
      <c r="P49" s="15">
        <f t="shared" si="1"/>
        <v>15.142857142857142</v>
      </c>
      <c r="R49" s="8"/>
      <c r="T49"/>
    </row>
    <row r="50" spans="2:20" ht="23.1" customHeight="1" x14ac:dyDescent="0.25">
      <c r="B50" s="24" t="s">
        <v>77</v>
      </c>
      <c r="C50" s="49">
        <f>AVERAGE('17.10 MITYANA-BUSUNJU'!C50,'18.10 MITYANA-BUSUNJU 24hr'!C50,'19.10 MITYANA-BUSUNJU 24hr'!C50,'20.10  MITYANA-BUSUNJU'!C50,'21.10 MITYANA-BUSUNJU '!C50,'22.10 MITYANA-BUSUNJU '!C50,'23.10 MITYANA-BUSUNJU '!C50)</f>
        <v>1.5714285714285714</v>
      </c>
      <c r="D50" s="49">
        <f>AVERAGE('17.10 MITYANA-BUSUNJU'!D50,'18.10 MITYANA-BUSUNJU 24hr'!D50,'19.10 MITYANA-BUSUNJU 24hr'!D50,'20.10  MITYANA-BUSUNJU'!D50,'21.10 MITYANA-BUSUNJU '!D50,'22.10 MITYANA-BUSUNJU '!D50,'23.10 MITYANA-BUSUNJU '!D50)</f>
        <v>0.14285714285714285</v>
      </c>
      <c r="E50" s="49">
        <f>AVERAGE('17.10 MITYANA-BUSUNJU'!E50,'18.10 MITYANA-BUSUNJU 24hr'!E50,'19.10 MITYANA-BUSUNJU 24hr'!E50,'20.10  MITYANA-BUSUNJU'!E50,'21.10 MITYANA-BUSUNJU '!E50,'22.10 MITYANA-BUSUNJU '!E50,'23.10 MITYANA-BUSUNJU '!E50)</f>
        <v>0.2857142857142857</v>
      </c>
      <c r="F50" s="49">
        <f>AVERAGE('17.10 MITYANA-BUSUNJU'!F50,'18.10 MITYANA-BUSUNJU 24hr'!F50,'19.10 MITYANA-BUSUNJU 24hr'!F50,'20.10  MITYANA-BUSUNJU'!F50,'21.10 MITYANA-BUSUNJU '!F50,'22.10 MITYANA-BUSUNJU '!F50,'23.10 MITYANA-BUSUNJU '!F50)</f>
        <v>0.14285714285714285</v>
      </c>
      <c r="G50" s="49">
        <f>AVERAGE('17.10 MITYANA-BUSUNJU'!G50,'18.10 MITYANA-BUSUNJU 24hr'!G50,'19.10 MITYANA-BUSUNJU 24hr'!G50,'20.10  MITYANA-BUSUNJU'!G50,'21.10 MITYANA-BUSUNJU '!G50,'22.10 MITYANA-BUSUNJU '!G50,'23.10 MITYANA-BUSUNJU '!G50)</f>
        <v>0</v>
      </c>
      <c r="H50" s="49">
        <f>AVERAGE('17.10 MITYANA-BUSUNJU'!H50,'18.10 MITYANA-BUSUNJU 24hr'!H50,'19.10 MITYANA-BUSUNJU 24hr'!H50,'20.10  MITYANA-BUSUNJU'!H50,'21.10 MITYANA-BUSUNJU '!H50,'22.10 MITYANA-BUSUNJU '!H50,'23.10 MITYANA-BUSUNJU '!H50)</f>
        <v>0</v>
      </c>
      <c r="I50" s="49">
        <f>AVERAGE('17.10 MITYANA-BUSUNJU'!I50,'18.10 MITYANA-BUSUNJU 24hr'!I50,'19.10 MITYANA-BUSUNJU 24hr'!I50,'20.10  MITYANA-BUSUNJU'!I50,'21.10 MITYANA-BUSUNJU '!I50,'22.10 MITYANA-BUSUNJU '!I50,'23.10 MITYANA-BUSUNJU '!I50)</f>
        <v>0.14285714285714285</v>
      </c>
      <c r="J50" s="49">
        <f>AVERAGE('17.10 MITYANA-BUSUNJU'!J50,'18.10 MITYANA-BUSUNJU 24hr'!J50,'19.10 MITYANA-BUSUNJU 24hr'!J50,'20.10  MITYANA-BUSUNJU'!J50,'21.10 MITYANA-BUSUNJU '!J50,'22.10 MITYANA-BUSUNJU '!J50,'23.10 MITYANA-BUSUNJU '!J50)</f>
        <v>0.14285714285714285</v>
      </c>
      <c r="K50" s="49">
        <f>AVERAGE('17.10 MITYANA-BUSUNJU'!K50,'18.10 MITYANA-BUSUNJU 24hr'!K50,'19.10 MITYANA-BUSUNJU 24hr'!K50,'20.10  MITYANA-BUSUNJU'!K50,'21.10 MITYANA-BUSUNJU '!K50,'22.10 MITYANA-BUSUNJU '!K50,'23.10 MITYANA-BUSUNJU '!K50)</f>
        <v>0</v>
      </c>
      <c r="L50" s="49">
        <f>AVERAGE('17.10 MITYANA-BUSUNJU'!L50,'18.10 MITYANA-BUSUNJU 24hr'!L50,'19.10 MITYANA-BUSUNJU 24hr'!L50,'20.10  MITYANA-BUSUNJU'!L50,'21.10 MITYANA-BUSUNJU '!L50,'22.10 MITYANA-BUSUNJU '!L50,'23.10 MITYANA-BUSUNJU '!L50)</f>
        <v>0</v>
      </c>
      <c r="M50" s="49">
        <f>AVERAGE('17.10 MITYANA-BUSUNJU'!M50,'18.10 MITYANA-BUSUNJU 24hr'!M50,'19.10 MITYANA-BUSUNJU 24hr'!M50,'20.10  MITYANA-BUSUNJU'!M50,'21.10 MITYANA-BUSUNJU '!M50,'22.10 MITYANA-BUSUNJU '!M50,'23.10 MITYANA-BUSUNJU '!M50)</f>
        <v>14.571428571428571</v>
      </c>
      <c r="N50" s="49">
        <f>AVERAGE('17.10 MITYANA-BUSUNJU'!N50,'18.10 MITYANA-BUSUNJU 24hr'!N50,'19.10 MITYANA-BUSUNJU 24hr'!N50,'20.10  MITYANA-BUSUNJU'!N50,'21.10 MITYANA-BUSUNJU '!N50,'22.10 MITYANA-BUSUNJU '!N50,'23.10 MITYANA-BUSUNJU '!N50)</f>
        <v>0</v>
      </c>
      <c r="O50" s="15">
        <f t="shared" si="0"/>
        <v>2.4285714285714284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49">
        <f>AVERAGE('17.10 MITYANA-BUSUNJU'!C51,'18.10 MITYANA-BUSUNJU 24hr'!C51,'19.10 MITYANA-BUSUNJU 24hr'!C51,'20.10  MITYANA-BUSUNJU'!C51,'21.10 MITYANA-BUSUNJU '!C51,'22.10 MITYANA-BUSUNJU '!C51,'23.10 MITYANA-BUSUNJU '!C51)</f>
        <v>1</v>
      </c>
      <c r="D51" s="49">
        <f>AVERAGE('17.10 MITYANA-BUSUNJU'!D51,'18.10 MITYANA-BUSUNJU 24hr'!D51,'19.10 MITYANA-BUSUNJU 24hr'!D51,'20.10  MITYANA-BUSUNJU'!D51,'21.10 MITYANA-BUSUNJU '!D51,'22.10 MITYANA-BUSUNJU '!D51,'23.10 MITYANA-BUSUNJU '!D51)</f>
        <v>0.14285714285714285</v>
      </c>
      <c r="E51" s="49">
        <f>AVERAGE('17.10 MITYANA-BUSUNJU'!E51,'18.10 MITYANA-BUSUNJU 24hr'!E51,'19.10 MITYANA-BUSUNJU 24hr'!E51,'20.10  MITYANA-BUSUNJU'!E51,'21.10 MITYANA-BUSUNJU '!E51,'22.10 MITYANA-BUSUNJU '!E51,'23.10 MITYANA-BUSUNJU '!E51)</f>
        <v>0</v>
      </c>
      <c r="F51" s="49">
        <f>AVERAGE('17.10 MITYANA-BUSUNJU'!F51,'18.10 MITYANA-BUSUNJU 24hr'!F51,'19.10 MITYANA-BUSUNJU 24hr'!F51,'20.10  MITYANA-BUSUNJU'!F51,'21.10 MITYANA-BUSUNJU '!F51,'22.10 MITYANA-BUSUNJU '!F51,'23.10 MITYANA-BUSUNJU '!F51)</f>
        <v>0.14285714285714285</v>
      </c>
      <c r="G51" s="49">
        <f>AVERAGE('17.10 MITYANA-BUSUNJU'!G51,'18.10 MITYANA-BUSUNJU 24hr'!G51,'19.10 MITYANA-BUSUNJU 24hr'!G51,'20.10  MITYANA-BUSUNJU'!G51,'21.10 MITYANA-BUSUNJU '!G51,'22.10 MITYANA-BUSUNJU '!G51,'23.10 MITYANA-BUSUNJU '!G51)</f>
        <v>0</v>
      </c>
      <c r="H51" s="49">
        <f>AVERAGE('17.10 MITYANA-BUSUNJU'!H51,'18.10 MITYANA-BUSUNJU 24hr'!H51,'19.10 MITYANA-BUSUNJU 24hr'!H51,'20.10  MITYANA-BUSUNJU'!H51,'21.10 MITYANA-BUSUNJU '!H51,'22.10 MITYANA-BUSUNJU '!H51,'23.10 MITYANA-BUSUNJU '!H51)</f>
        <v>0</v>
      </c>
      <c r="I51" s="49">
        <f>AVERAGE('17.10 MITYANA-BUSUNJU'!I51,'18.10 MITYANA-BUSUNJU 24hr'!I51,'19.10 MITYANA-BUSUNJU 24hr'!I51,'20.10  MITYANA-BUSUNJU'!I51,'21.10 MITYANA-BUSUNJU '!I51,'22.10 MITYANA-BUSUNJU '!I51,'23.10 MITYANA-BUSUNJU '!I51)</f>
        <v>0.14285714285714285</v>
      </c>
      <c r="J51" s="49">
        <f>AVERAGE('17.10 MITYANA-BUSUNJU'!J51,'18.10 MITYANA-BUSUNJU 24hr'!J51,'19.10 MITYANA-BUSUNJU 24hr'!J51,'20.10  MITYANA-BUSUNJU'!J51,'21.10 MITYANA-BUSUNJU '!J51,'22.10 MITYANA-BUSUNJU '!J51,'23.10 MITYANA-BUSUNJU '!J51)</f>
        <v>0.14285714285714285</v>
      </c>
      <c r="K51" s="49">
        <f>AVERAGE('17.10 MITYANA-BUSUNJU'!K51,'18.10 MITYANA-BUSUNJU 24hr'!K51,'19.10 MITYANA-BUSUNJU 24hr'!K51,'20.10  MITYANA-BUSUNJU'!K51,'21.10 MITYANA-BUSUNJU '!K51,'22.10 MITYANA-BUSUNJU '!K51,'23.10 MITYANA-BUSUNJU '!K51)</f>
        <v>0</v>
      </c>
      <c r="L51" s="49">
        <f>AVERAGE('17.10 MITYANA-BUSUNJU'!L51,'18.10 MITYANA-BUSUNJU 24hr'!L51,'19.10 MITYANA-BUSUNJU 24hr'!L51,'20.10  MITYANA-BUSUNJU'!L51,'21.10 MITYANA-BUSUNJU '!L51,'22.10 MITYANA-BUSUNJU '!L51,'23.10 MITYANA-BUSUNJU '!L51)</f>
        <v>0</v>
      </c>
      <c r="M51" s="49">
        <f>AVERAGE('17.10 MITYANA-BUSUNJU'!M51,'18.10 MITYANA-BUSUNJU 24hr'!M51,'19.10 MITYANA-BUSUNJU 24hr'!M51,'20.10  MITYANA-BUSUNJU'!M51,'21.10 MITYANA-BUSUNJU '!M51,'22.10 MITYANA-BUSUNJU '!M51,'23.10 MITYANA-BUSUNJU '!M51)</f>
        <v>11.428571428571429</v>
      </c>
      <c r="N51" s="49">
        <f>AVERAGE('17.10 MITYANA-BUSUNJU'!N51,'18.10 MITYANA-BUSUNJU 24hr'!N51,'19.10 MITYANA-BUSUNJU 24hr'!N51,'20.10  MITYANA-BUSUNJU'!N51,'21.10 MITYANA-BUSUNJU '!N51,'22.10 MITYANA-BUSUNJU '!N51,'23.10 MITYANA-BUSUNJU '!N51)</f>
        <v>0</v>
      </c>
      <c r="O51" s="15">
        <f t="shared" si="0"/>
        <v>1.5714285714285712</v>
      </c>
      <c r="P51" s="15">
        <f t="shared" si="1"/>
        <v>13</v>
      </c>
      <c r="R51" s="8"/>
      <c r="T51"/>
    </row>
    <row r="52" spans="2:20" ht="23.1" customHeight="1" x14ac:dyDescent="0.25">
      <c r="B52" s="24" t="s">
        <v>79</v>
      </c>
      <c r="C52" s="49">
        <f>AVERAGE('17.10 MITYANA-BUSUNJU'!C52,'18.10 MITYANA-BUSUNJU 24hr'!C52,'19.10 MITYANA-BUSUNJU 24hr'!C52,'20.10  MITYANA-BUSUNJU'!C52,'21.10 MITYANA-BUSUNJU '!C52,'22.10 MITYANA-BUSUNJU '!C52,'23.10 MITYANA-BUSUNJU '!C52)</f>
        <v>0.2857142857142857</v>
      </c>
      <c r="D52" s="49">
        <f>AVERAGE('17.10 MITYANA-BUSUNJU'!D52,'18.10 MITYANA-BUSUNJU 24hr'!D52,'19.10 MITYANA-BUSUNJU 24hr'!D52,'20.10  MITYANA-BUSUNJU'!D52,'21.10 MITYANA-BUSUNJU '!D52,'22.10 MITYANA-BUSUNJU '!D52,'23.10 MITYANA-BUSUNJU '!D52)</f>
        <v>0.42857142857142855</v>
      </c>
      <c r="E52" s="49">
        <f>AVERAGE('17.10 MITYANA-BUSUNJU'!E52,'18.10 MITYANA-BUSUNJU 24hr'!E52,'19.10 MITYANA-BUSUNJU 24hr'!E52,'20.10  MITYANA-BUSUNJU'!E52,'21.10 MITYANA-BUSUNJU '!E52,'22.10 MITYANA-BUSUNJU '!E52,'23.10 MITYANA-BUSUNJU '!E52)</f>
        <v>0.2857142857142857</v>
      </c>
      <c r="F52" s="49">
        <f>AVERAGE('17.10 MITYANA-BUSUNJU'!F52,'18.10 MITYANA-BUSUNJU 24hr'!F52,'19.10 MITYANA-BUSUNJU 24hr'!F52,'20.10  MITYANA-BUSUNJU'!F52,'21.10 MITYANA-BUSUNJU '!F52,'22.10 MITYANA-BUSUNJU '!F52,'23.10 MITYANA-BUSUNJU '!F52)</f>
        <v>0.14285714285714285</v>
      </c>
      <c r="G52" s="49">
        <f>AVERAGE('17.10 MITYANA-BUSUNJU'!G52,'18.10 MITYANA-BUSUNJU 24hr'!G52,'19.10 MITYANA-BUSUNJU 24hr'!G52,'20.10  MITYANA-BUSUNJU'!G52,'21.10 MITYANA-BUSUNJU '!G52,'22.10 MITYANA-BUSUNJU '!G52,'23.10 MITYANA-BUSUNJU '!G52)</f>
        <v>0</v>
      </c>
      <c r="H52" s="49">
        <f>AVERAGE('17.10 MITYANA-BUSUNJU'!H52,'18.10 MITYANA-BUSUNJU 24hr'!H52,'19.10 MITYANA-BUSUNJU 24hr'!H52,'20.10  MITYANA-BUSUNJU'!H52,'21.10 MITYANA-BUSUNJU '!H52,'22.10 MITYANA-BUSUNJU '!H52,'23.10 MITYANA-BUSUNJU '!H52)</f>
        <v>0</v>
      </c>
      <c r="I52" s="49">
        <f>AVERAGE('17.10 MITYANA-BUSUNJU'!I52,'18.10 MITYANA-BUSUNJU 24hr'!I52,'19.10 MITYANA-BUSUNJU 24hr'!I52,'20.10  MITYANA-BUSUNJU'!I52,'21.10 MITYANA-BUSUNJU '!I52,'22.10 MITYANA-BUSUNJU '!I52,'23.10 MITYANA-BUSUNJU '!I52)</f>
        <v>0.2857142857142857</v>
      </c>
      <c r="J52" s="49">
        <f>AVERAGE('17.10 MITYANA-BUSUNJU'!J52,'18.10 MITYANA-BUSUNJU 24hr'!J52,'19.10 MITYANA-BUSUNJU 24hr'!J52,'20.10  MITYANA-BUSUNJU'!J52,'21.10 MITYANA-BUSUNJU '!J52,'22.10 MITYANA-BUSUNJU '!J52,'23.10 MITYANA-BUSUNJU '!J52)</f>
        <v>0.14285714285714285</v>
      </c>
      <c r="K52" s="49">
        <f>AVERAGE('17.10 MITYANA-BUSUNJU'!K52,'18.10 MITYANA-BUSUNJU 24hr'!K52,'19.10 MITYANA-BUSUNJU 24hr'!K52,'20.10  MITYANA-BUSUNJU'!K52,'21.10 MITYANA-BUSUNJU '!K52,'22.10 MITYANA-BUSUNJU '!K52,'23.10 MITYANA-BUSUNJU '!K52)</f>
        <v>0</v>
      </c>
      <c r="L52" s="49">
        <f>AVERAGE('17.10 MITYANA-BUSUNJU'!L52,'18.10 MITYANA-BUSUNJU 24hr'!L52,'19.10 MITYANA-BUSUNJU 24hr'!L52,'20.10  MITYANA-BUSUNJU'!L52,'21.10 MITYANA-BUSUNJU '!L52,'22.10 MITYANA-BUSUNJU '!L52,'23.10 MITYANA-BUSUNJU '!L52)</f>
        <v>0</v>
      </c>
      <c r="M52" s="49">
        <f>AVERAGE('17.10 MITYANA-BUSUNJU'!M52,'18.10 MITYANA-BUSUNJU 24hr'!M52,'19.10 MITYANA-BUSUNJU 24hr'!M52,'20.10  MITYANA-BUSUNJU'!M52,'21.10 MITYANA-BUSUNJU '!M52,'22.10 MITYANA-BUSUNJU '!M52,'23.10 MITYANA-BUSUNJU '!M52)</f>
        <v>10.714285714285714</v>
      </c>
      <c r="N52" s="49">
        <f>AVERAGE('17.10 MITYANA-BUSUNJU'!N52,'18.10 MITYANA-BUSUNJU 24hr'!N52,'19.10 MITYANA-BUSUNJU 24hr'!N52,'20.10  MITYANA-BUSUNJU'!N52,'21.10 MITYANA-BUSUNJU '!N52,'22.10 MITYANA-BUSUNJU '!N52,'23.10 MITYANA-BUSUNJU '!N52)</f>
        <v>0</v>
      </c>
      <c r="O52" s="15">
        <f t="shared" si="0"/>
        <v>1.5714285714285712</v>
      </c>
      <c r="P52" s="15">
        <f t="shared" si="1"/>
        <v>12.285714285714285</v>
      </c>
      <c r="R52" s="8"/>
      <c r="T52"/>
    </row>
    <row r="53" spans="2:20" ht="23.1" customHeight="1" x14ac:dyDescent="0.25">
      <c r="B53" s="23" t="s">
        <v>80</v>
      </c>
      <c r="C53" s="49">
        <f>AVERAGE('17.10 MITYANA-BUSUNJU'!C53,'18.10 MITYANA-BUSUNJU 24hr'!C53,'19.10 MITYANA-BUSUNJU 24hr'!C53,'20.10  MITYANA-BUSUNJU'!C53,'21.10 MITYANA-BUSUNJU '!C53,'22.10 MITYANA-BUSUNJU '!C53,'23.10 MITYANA-BUSUNJU '!C53)</f>
        <v>0.8571428571428571</v>
      </c>
      <c r="D53" s="49">
        <f>AVERAGE('17.10 MITYANA-BUSUNJU'!D53,'18.10 MITYANA-BUSUNJU 24hr'!D53,'19.10 MITYANA-BUSUNJU 24hr'!D53,'20.10  MITYANA-BUSUNJU'!D53,'21.10 MITYANA-BUSUNJU '!D53,'22.10 MITYANA-BUSUNJU '!D53,'23.10 MITYANA-BUSUNJU '!D53)</f>
        <v>0.2857142857142857</v>
      </c>
      <c r="E53" s="49">
        <f>AVERAGE('17.10 MITYANA-BUSUNJU'!E53,'18.10 MITYANA-BUSUNJU 24hr'!E53,'19.10 MITYANA-BUSUNJU 24hr'!E53,'20.10  MITYANA-BUSUNJU'!E53,'21.10 MITYANA-BUSUNJU '!E53,'22.10 MITYANA-BUSUNJU '!E53,'23.10 MITYANA-BUSUNJU '!E53)</f>
        <v>0</v>
      </c>
      <c r="F53" s="49">
        <f>AVERAGE('17.10 MITYANA-BUSUNJU'!F53,'18.10 MITYANA-BUSUNJU 24hr'!F53,'19.10 MITYANA-BUSUNJU 24hr'!F53,'20.10  MITYANA-BUSUNJU'!F53,'21.10 MITYANA-BUSUNJU '!F53,'22.10 MITYANA-BUSUNJU '!F53,'23.10 MITYANA-BUSUNJU '!F53)</f>
        <v>0.2857142857142857</v>
      </c>
      <c r="G53" s="49">
        <f>AVERAGE('17.10 MITYANA-BUSUNJU'!G53,'18.10 MITYANA-BUSUNJU 24hr'!G53,'19.10 MITYANA-BUSUNJU 24hr'!G53,'20.10  MITYANA-BUSUNJU'!G53,'21.10 MITYANA-BUSUNJU '!G53,'22.10 MITYANA-BUSUNJU '!G53,'23.10 MITYANA-BUSUNJU '!G53)</f>
        <v>0.14285714285714285</v>
      </c>
      <c r="H53" s="49">
        <f>AVERAGE('17.10 MITYANA-BUSUNJU'!H53,'18.10 MITYANA-BUSUNJU 24hr'!H53,'19.10 MITYANA-BUSUNJU 24hr'!H53,'20.10  MITYANA-BUSUNJU'!H53,'21.10 MITYANA-BUSUNJU '!H53,'22.10 MITYANA-BUSUNJU '!H53,'23.10 MITYANA-BUSUNJU '!H53)</f>
        <v>0</v>
      </c>
      <c r="I53" s="49">
        <f>AVERAGE('17.10 MITYANA-BUSUNJU'!I53,'18.10 MITYANA-BUSUNJU 24hr'!I53,'19.10 MITYANA-BUSUNJU 24hr'!I53,'20.10  MITYANA-BUSUNJU'!I53,'21.10 MITYANA-BUSUNJU '!I53,'22.10 MITYANA-BUSUNJU '!I53,'23.10 MITYANA-BUSUNJU '!I53)</f>
        <v>0.2857142857142857</v>
      </c>
      <c r="J53" s="49">
        <f>AVERAGE('17.10 MITYANA-BUSUNJU'!J53,'18.10 MITYANA-BUSUNJU 24hr'!J53,'19.10 MITYANA-BUSUNJU 24hr'!J53,'20.10  MITYANA-BUSUNJU'!J53,'21.10 MITYANA-BUSUNJU '!J53,'22.10 MITYANA-BUSUNJU '!J53,'23.10 MITYANA-BUSUNJU '!J53)</f>
        <v>0.14285714285714285</v>
      </c>
      <c r="K53" s="49">
        <f>AVERAGE('17.10 MITYANA-BUSUNJU'!K53,'18.10 MITYANA-BUSUNJU 24hr'!K53,'19.10 MITYANA-BUSUNJU 24hr'!K53,'20.10  MITYANA-BUSUNJU'!K53,'21.10 MITYANA-BUSUNJU '!K53,'22.10 MITYANA-BUSUNJU '!K53,'23.10 MITYANA-BUSUNJU '!K53)</f>
        <v>0.14285714285714285</v>
      </c>
      <c r="L53" s="49">
        <f>AVERAGE('17.10 MITYANA-BUSUNJU'!L53,'18.10 MITYANA-BUSUNJU 24hr'!L53,'19.10 MITYANA-BUSUNJU 24hr'!L53,'20.10  MITYANA-BUSUNJU'!L53,'21.10 MITYANA-BUSUNJU '!L53,'22.10 MITYANA-BUSUNJU '!L53,'23.10 MITYANA-BUSUNJU '!L53)</f>
        <v>0.14285714285714285</v>
      </c>
      <c r="M53" s="49">
        <f>AVERAGE('17.10 MITYANA-BUSUNJU'!M53,'18.10 MITYANA-BUSUNJU 24hr'!M53,'19.10 MITYANA-BUSUNJU 24hr'!M53,'20.10  MITYANA-BUSUNJU'!M53,'21.10 MITYANA-BUSUNJU '!M53,'22.10 MITYANA-BUSUNJU '!M53,'23.10 MITYANA-BUSUNJU '!M53)</f>
        <v>9.1428571428571423</v>
      </c>
      <c r="N53" s="49">
        <f>AVERAGE('17.10 MITYANA-BUSUNJU'!N53,'18.10 MITYANA-BUSUNJU 24hr'!N53,'19.10 MITYANA-BUSUNJU 24hr'!N53,'20.10  MITYANA-BUSUNJU'!N53,'21.10 MITYANA-BUSUNJU '!N53,'22.10 MITYANA-BUSUNJU '!N53,'23.10 MITYANA-BUSUNJU '!N53)</f>
        <v>0</v>
      </c>
      <c r="O53" s="15">
        <f t="shared" si="0"/>
        <v>2.2857142857142851</v>
      </c>
      <c r="P53" s="15">
        <f t="shared" si="1"/>
        <v>11.428571428571427</v>
      </c>
      <c r="R53" s="8"/>
      <c r="T53"/>
    </row>
    <row r="54" spans="2:20" ht="23.1" customHeight="1" x14ac:dyDescent="0.25">
      <c r="B54" s="23" t="s">
        <v>81</v>
      </c>
      <c r="C54" s="49">
        <f>AVERAGE('17.10 MITYANA-BUSUNJU'!C54,'18.10 MITYANA-BUSUNJU 24hr'!C54,'19.10 MITYANA-BUSUNJU 24hr'!C54,'20.10  MITYANA-BUSUNJU'!C54,'21.10 MITYANA-BUSUNJU '!C54,'22.10 MITYANA-BUSUNJU '!C54,'23.10 MITYANA-BUSUNJU '!C54)</f>
        <v>1.1428571428571428</v>
      </c>
      <c r="D54" s="49">
        <f>AVERAGE('17.10 MITYANA-BUSUNJU'!D54,'18.10 MITYANA-BUSUNJU 24hr'!D54,'19.10 MITYANA-BUSUNJU 24hr'!D54,'20.10  MITYANA-BUSUNJU'!D54,'21.10 MITYANA-BUSUNJU '!D54,'22.10 MITYANA-BUSUNJU '!D54,'23.10 MITYANA-BUSUNJU '!D54)</f>
        <v>0.2857142857142857</v>
      </c>
      <c r="E54" s="49">
        <f>AVERAGE('17.10 MITYANA-BUSUNJU'!E54,'18.10 MITYANA-BUSUNJU 24hr'!E54,'19.10 MITYANA-BUSUNJU 24hr'!E54,'20.10  MITYANA-BUSUNJU'!E54,'21.10 MITYANA-BUSUNJU '!E54,'22.10 MITYANA-BUSUNJU '!E54,'23.10 MITYANA-BUSUNJU '!E54)</f>
        <v>0.2857142857142857</v>
      </c>
      <c r="F54" s="49">
        <f>AVERAGE('17.10 MITYANA-BUSUNJU'!F54,'18.10 MITYANA-BUSUNJU 24hr'!F54,'19.10 MITYANA-BUSUNJU 24hr'!F54,'20.10  MITYANA-BUSUNJU'!F54,'21.10 MITYANA-BUSUNJU '!F54,'22.10 MITYANA-BUSUNJU '!F54,'23.10 MITYANA-BUSUNJU '!F54)</f>
        <v>0.2857142857142857</v>
      </c>
      <c r="G54" s="49">
        <f>AVERAGE('17.10 MITYANA-BUSUNJU'!G54,'18.10 MITYANA-BUSUNJU 24hr'!G54,'19.10 MITYANA-BUSUNJU 24hr'!G54,'20.10  MITYANA-BUSUNJU'!G54,'21.10 MITYANA-BUSUNJU '!G54,'22.10 MITYANA-BUSUNJU '!G54,'23.10 MITYANA-BUSUNJU '!G54)</f>
        <v>0</v>
      </c>
      <c r="H54" s="49">
        <f>AVERAGE('17.10 MITYANA-BUSUNJU'!H54,'18.10 MITYANA-BUSUNJU 24hr'!H54,'19.10 MITYANA-BUSUNJU 24hr'!H54,'20.10  MITYANA-BUSUNJU'!H54,'21.10 MITYANA-BUSUNJU '!H54,'22.10 MITYANA-BUSUNJU '!H54,'23.10 MITYANA-BUSUNJU '!H54)</f>
        <v>0</v>
      </c>
      <c r="I54" s="49">
        <f>AVERAGE('17.10 MITYANA-BUSUNJU'!I54,'18.10 MITYANA-BUSUNJU 24hr'!I54,'19.10 MITYANA-BUSUNJU 24hr'!I54,'20.10  MITYANA-BUSUNJU'!I54,'21.10 MITYANA-BUSUNJU '!I54,'22.10 MITYANA-BUSUNJU '!I54,'23.10 MITYANA-BUSUNJU '!I54)</f>
        <v>0.42857142857142855</v>
      </c>
      <c r="J54" s="49">
        <f>AVERAGE('17.10 MITYANA-BUSUNJU'!J54,'18.10 MITYANA-BUSUNJU 24hr'!J54,'19.10 MITYANA-BUSUNJU 24hr'!J54,'20.10  MITYANA-BUSUNJU'!J54,'21.10 MITYANA-BUSUNJU '!J54,'22.10 MITYANA-BUSUNJU '!J54,'23.10 MITYANA-BUSUNJU '!J54)</f>
        <v>0.2857142857142857</v>
      </c>
      <c r="K54" s="49">
        <f>AVERAGE('17.10 MITYANA-BUSUNJU'!K54,'18.10 MITYANA-BUSUNJU 24hr'!K54,'19.10 MITYANA-BUSUNJU 24hr'!K54,'20.10  MITYANA-BUSUNJU'!K54,'21.10 MITYANA-BUSUNJU '!K54,'22.10 MITYANA-BUSUNJU '!K54,'23.10 MITYANA-BUSUNJU '!K54)</f>
        <v>0</v>
      </c>
      <c r="L54" s="49">
        <f>AVERAGE('17.10 MITYANA-BUSUNJU'!L54,'18.10 MITYANA-BUSUNJU 24hr'!L54,'19.10 MITYANA-BUSUNJU 24hr'!L54,'20.10  MITYANA-BUSUNJU'!L54,'21.10 MITYANA-BUSUNJU '!L54,'22.10 MITYANA-BUSUNJU '!L54,'23.10 MITYANA-BUSUNJU '!L54)</f>
        <v>0</v>
      </c>
      <c r="M54" s="49">
        <f>AVERAGE('17.10 MITYANA-BUSUNJU'!M54,'18.10 MITYANA-BUSUNJU 24hr'!M54,'19.10 MITYANA-BUSUNJU 24hr'!M54,'20.10  MITYANA-BUSUNJU'!M54,'21.10 MITYANA-BUSUNJU '!M54,'22.10 MITYANA-BUSUNJU '!M54,'23.10 MITYANA-BUSUNJU '!M54)</f>
        <v>10.714285714285714</v>
      </c>
      <c r="N54" s="49">
        <f>AVERAGE('17.10 MITYANA-BUSUNJU'!N54,'18.10 MITYANA-BUSUNJU 24hr'!N54,'19.10 MITYANA-BUSUNJU 24hr'!N54,'20.10  MITYANA-BUSUNJU'!N54,'21.10 MITYANA-BUSUNJU '!N54,'22.10 MITYANA-BUSUNJU '!N54,'23.10 MITYANA-BUSUNJU '!N54)</f>
        <v>0</v>
      </c>
      <c r="O54" s="15">
        <f t="shared" si="0"/>
        <v>2.7142857142857135</v>
      </c>
      <c r="P54" s="15">
        <f t="shared" si="1"/>
        <v>13.428571428571427</v>
      </c>
      <c r="R54" s="8"/>
      <c r="T54"/>
    </row>
    <row r="55" spans="2:20" ht="23.1" customHeight="1" x14ac:dyDescent="0.25">
      <c r="B55" s="23" t="s">
        <v>82</v>
      </c>
      <c r="C55" s="49">
        <f>AVERAGE('17.10 MITYANA-BUSUNJU'!C55,'18.10 MITYANA-BUSUNJU 24hr'!C55,'19.10 MITYANA-BUSUNJU 24hr'!C55,'20.10  MITYANA-BUSUNJU'!C55,'21.10 MITYANA-BUSUNJU '!C55,'22.10 MITYANA-BUSUNJU '!C55,'23.10 MITYANA-BUSUNJU '!C55)</f>
        <v>0.7142857142857143</v>
      </c>
      <c r="D55" s="49">
        <f>AVERAGE('17.10 MITYANA-BUSUNJU'!D55,'18.10 MITYANA-BUSUNJU 24hr'!D55,'19.10 MITYANA-BUSUNJU 24hr'!D55,'20.10  MITYANA-BUSUNJU'!D55,'21.10 MITYANA-BUSUNJU '!D55,'22.10 MITYANA-BUSUNJU '!D55,'23.10 MITYANA-BUSUNJU '!D55)</f>
        <v>0.42857142857142855</v>
      </c>
      <c r="E55" s="49">
        <f>AVERAGE('17.10 MITYANA-BUSUNJU'!E55,'18.10 MITYANA-BUSUNJU 24hr'!E55,'19.10 MITYANA-BUSUNJU 24hr'!E55,'20.10  MITYANA-BUSUNJU'!E55,'21.10 MITYANA-BUSUNJU '!E55,'22.10 MITYANA-BUSUNJU '!E55,'23.10 MITYANA-BUSUNJU '!E55)</f>
        <v>0.2857142857142857</v>
      </c>
      <c r="F55" s="49">
        <f>AVERAGE('17.10 MITYANA-BUSUNJU'!F55,'18.10 MITYANA-BUSUNJU 24hr'!F55,'19.10 MITYANA-BUSUNJU 24hr'!F55,'20.10  MITYANA-BUSUNJU'!F55,'21.10 MITYANA-BUSUNJU '!F55,'22.10 MITYANA-BUSUNJU '!F55,'23.10 MITYANA-BUSUNJU '!F55)</f>
        <v>0.42857142857142855</v>
      </c>
      <c r="G55" s="49">
        <f>AVERAGE('17.10 MITYANA-BUSUNJU'!G55,'18.10 MITYANA-BUSUNJU 24hr'!G55,'19.10 MITYANA-BUSUNJU 24hr'!G55,'20.10  MITYANA-BUSUNJU'!G55,'21.10 MITYANA-BUSUNJU '!G55,'22.10 MITYANA-BUSUNJU '!G55,'23.10 MITYANA-BUSUNJU '!G55)</f>
        <v>0</v>
      </c>
      <c r="H55" s="49">
        <f>AVERAGE('17.10 MITYANA-BUSUNJU'!H55,'18.10 MITYANA-BUSUNJU 24hr'!H55,'19.10 MITYANA-BUSUNJU 24hr'!H55,'20.10  MITYANA-BUSUNJU'!H55,'21.10 MITYANA-BUSUNJU '!H55,'22.10 MITYANA-BUSUNJU '!H55,'23.10 MITYANA-BUSUNJU '!H55)</f>
        <v>0</v>
      </c>
      <c r="I55" s="49">
        <f>AVERAGE('17.10 MITYANA-BUSUNJU'!I55,'18.10 MITYANA-BUSUNJU 24hr'!I55,'19.10 MITYANA-BUSUNJU 24hr'!I55,'20.10  MITYANA-BUSUNJU'!I55,'21.10 MITYANA-BUSUNJU '!I55,'22.10 MITYANA-BUSUNJU '!I55,'23.10 MITYANA-BUSUNJU '!I55)</f>
        <v>1</v>
      </c>
      <c r="J55" s="49">
        <f>AVERAGE('17.10 MITYANA-BUSUNJU'!J55,'18.10 MITYANA-BUSUNJU 24hr'!J55,'19.10 MITYANA-BUSUNJU 24hr'!J55,'20.10  MITYANA-BUSUNJU'!J55,'21.10 MITYANA-BUSUNJU '!J55,'22.10 MITYANA-BUSUNJU '!J55,'23.10 MITYANA-BUSUNJU '!J55)</f>
        <v>0.2857142857142857</v>
      </c>
      <c r="K55" s="49">
        <f>AVERAGE('17.10 MITYANA-BUSUNJU'!K55,'18.10 MITYANA-BUSUNJU 24hr'!K55,'19.10 MITYANA-BUSUNJU 24hr'!K55,'20.10  MITYANA-BUSUNJU'!K55,'21.10 MITYANA-BUSUNJU '!K55,'22.10 MITYANA-BUSUNJU '!K55,'23.10 MITYANA-BUSUNJU '!K55)</f>
        <v>0.14285714285714285</v>
      </c>
      <c r="L55" s="49">
        <f>AVERAGE('17.10 MITYANA-BUSUNJU'!L55,'18.10 MITYANA-BUSUNJU 24hr'!L55,'19.10 MITYANA-BUSUNJU 24hr'!L55,'20.10  MITYANA-BUSUNJU'!L55,'21.10 MITYANA-BUSUNJU '!L55,'22.10 MITYANA-BUSUNJU '!L55,'23.10 MITYANA-BUSUNJU '!L55)</f>
        <v>0</v>
      </c>
      <c r="M55" s="49">
        <f>AVERAGE('17.10 MITYANA-BUSUNJU'!M55,'18.10 MITYANA-BUSUNJU 24hr'!M55,'19.10 MITYANA-BUSUNJU 24hr'!M55,'20.10  MITYANA-BUSUNJU'!M55,'21.10 MITYANA-BUSUNJU '!M55,'22.10 MITYANA-BUSUNJU '!M55,'23.10 MITYANA-BUSUNJU '!M55)</f>
        <v>8.8571428571428577</v>
      </c>
      <c r="N55" s="49">
        <f>AVERAGE('17.10 MITYANA-BUSUNJU'!N55,'18.10 MITYANA-BUSUNJU 24hr'!N55,'19.10 MITYANA-BUSUNJU 24hr'!N55,'20.10  MITYANA-BUSUNJU'!N55,'21.10 MITYANA-BUSUNJU '!N55,'22.10 MITYANA-BUSUNJU '!N55,'23.10 MITYANA-BUSUNJU '!N55)</f>
        <v>0</v>
      </c>
      <c r="O55" s="15">
        <f t="shared" si="0"/>
        <v>3.2857142857142851</v>
      </c>
      <c r="P55" s="15">
        <f t="shared" si="1"/>
        <v>12.142857142857142</v>
      </c>
      <c r="R55" s="8"/>
      <c r="T55"/>
    </row>
    <row r="56" spans="2:20" ht="23.1" customHeight="1" x14ac:dyDescent="0.25">
      <c r="B56" s="23" t="s">
        <v>83</v>
      </c>
      <c r="C56" s="49">
        <f>AVERAGE('17.10 MITYANA-BUSUNJU'!C56,'18.10 MITYANA-BUSUNJU 24hr'!C56,'19.10 MITYANA-BUSUNJU 24hr'!C56,'20.10  MITYANA-BUSUNJU'!C56,'21.10 MITYANA-BUSUNJU '!C56,'22.10 MITYANA-BUSUNJU '!C56,'23.10 MITYANA-BUSUNJU '!C56)</f>
        <v>0.42857142857142855</v>
      </c>
      <c r="D56" s="49">
        <f>AVERAGE('17.10 MITYANA-BUSUNJU'!D56,'18.10 MITYANA-BUSUNJU 24hr'!D56,'19.10 MITYANA-BUSUNJU 24hr'!D56,'20.10  MITYANA-BUSUNJU'!D56,'21.10 MITYANA-BUSUNJU '!D56,'22.10 MITYANA-BUSUNJU '!D56,'23.10 MITYANA-BUSUNJU '!D56)</f>
        <v>0.14285714285714285</v>
      </c>
      <c r="E56" s="49">
        <f>AVERAGE('17.10 MITYANA-BUSUNJU'!E56,'18.10 MITYANA-BUSUNJU 24hr'!E56,'19.10 MITYANA-BUSUNJU 24hr'!E56,'20.10  MITYANA-BUSUNJU'!E56,'21.10 MITYANA-BUSUNJU '!E56,'22.10 MITYANA-BUSUNJU '!E56,'23.10 MITYANA-BUSUNJU '!E56)</f>
        <v>0.7142857142857143</v>
      </c>
      <c r="F56" s="49">
        <f>AVERAGE('17.10 MITYANA-BUSUNJU'!F56,'18.10 MITYANA-BUSUNJU 24hr'!F56,'19.10 MITYANA-BUSUNJU 24hr'!F56,'20.10  MITYANA-BUSUNJU'!F56,'21.10 MITYANA-BUSUNJU '!F56,'22.10 MITYANA-BUSUNJU '!F56,'23.10 MITYANA-BUSUNJU '!F56)</f>
        <v>0</v>
      </c>
      <c r="G56" s="49">
        <f>AVERAGE('17.10 MITYANA-BUSUNJU'!G56,'18.10 MITYANA-BUSUNJU 24hr'!G56,'19.10 MITYANA-BUSUNJU 24hr'!G56,'20.10  MITYANA-BUSUNJU'!G56,'21.10 MITYANA-BUSUNJU '!G56,'22.10 MITYANA-BUSUNJU '!G56,'23.10 MITYANA-BUSUNJU '!G56)</f>
        <v>0</v>
      </c>
      <c r="H56" s="49">
        <f>AVERAGE('17.10 MITYANA-BUSUNJU'!H56,'18.10 MITYANA-BUSUNJU 24hr'!H56,'19.10 MITYANA-BUSUNJU 24hr'!H56,'20.10  MITYANA-BUSUNJU'!H56,'21.10 MITYANA-BUSUNJU '!H56,'22.10 MITYANA-BUSUNJU '!H56,'23.10 MITYANA-BUSUNJU '!H56)</f>
        <v>0.14285714285714285</v>
      </c>
      <c r="I56" s="49">
        <f>AVERAGE('17.10 MITYANA-BUSUNJU'!I56,'18.10 MITYANA-BUSUNJU 24hr'!I56,'19.10 MITYANA-BUSUNJU 24hr'!I56,'20.10  MITYANA-BUSUNJU'!I56,'21.10 MITYANA-BUSUNJU '!I56,'22.10 MITYANA-BUSUNJU '!I56,'23.10 MITYANA-BUSUNJU '!I56)</f>
        <v>0.42857142857142855</v>
      </c>
      <c r="J56" s="49">
        <f>AVERAGE('17.10 MITYANA-BUSUNJU'!J56,'18.10 MITYANA-BUSUNJU 24hr'!J56,'19.10 MITYANA-BUSUNJU 24hr'!J56,'20.10  MITYANA-BUSUNJU'!J56,'21.10 MITYANA-BUSUNJU '!J56,'22.10 MITYANA-BUSUNJU '!J56,'23.10 MITYANA-BUSUNJU '!J56)</f>
        <v>0.14285714285714285</v>
      </c>
      <c r="K56" s="49">
        <f>AVERAGE('17.10 MITYANA-BUSUNJU'!K56,'18.10 MITYANA-BUSUNJU 24hr'!K56,'19.10 MITYANA-BUSUNJU 24hr'!K56,'20.10  MITYANA-BUSUNJU'!K56,'21.10 MITYANA-BUSUNJU '!K56,'22.10 MITYANA-BUSUNJU '!K56,'23.10 MITYANA-BUSUNJU '!K56)</f>
        <v>0</v>
      </c>
      <c r="L56" s="49">
        <f>AVERAGE('17.10 MITYANA-BUSUNJU'!L56,'18.10 MITYANA-BUSUNJU 24hr'!L56,'19.10 MITYANA-BUSUNJU 24hr'!L56,'20.10  MITYANA-BUSUNJU'!L56,'21.10 MITYANA-BUSUNJU '!L56,'22.10 MITYANA-BUSUNJU '!L56,'23.10 MITYANA-BUSUNJU '!L56)</f>
        <v>0</v>
      </c>
      <c r="M56" s="49">
        <f>AVERAGE('17.10 MITYANA-BUSUNJU'!M56,'18.10 MITYANA-BUSUNJU 24hr'!M56,'19.10 MITYANA-BUSUNJU 24hr'!M56,'20.10  MITYANA-BUSUNJU'!M56,'21.10 MITYANA-BUSUNJU '!M56,'22.10 MITYANA-BUSUNJU '!M56,'23.10 MITYANA-BUSUNJU '!M56)</f>
        <v>10.857142857142858</v>
      </c>
      <c r="N56" s="49">
        <f>AVERAGE('17.10 MITYANA-BUSUNJU'!N56,'18.10 MITYANA-BUSUNJU 24hr'!N56,'19.10 MITYANA-BUSUNJU 24hr'!N56,'20.10  MITYANA-BUSUNJU'!N56,'21.10 MITYANA-BUSUNJU '!N56,'22.10 MITYANA-BUSUNJU '!N56,'23.10 MITYANA-BUSUNJU '!N56)</f>
        <v>0</v>
      </c>
      <c r="O56" s="15">
        <f t="shared" si="0"/>
        <v>1.9999999999999998</v>
      </c>
      <c r="P56" s="15">
        <f t="shared" si="1"/>
        <v>12.857142857142858</v>
      </c>
      <c r="R56" s="8"/>
      <c r="T56"/>
    </row>
    <row r="57" spans="2:20" ht="23.1" customHeight="1" x14ac:dyDescent="0.25">
      <c r="B57" s="23" t="s">
        <v>84</v>
      </c>
      <c r="C57" s="49">
        <f>AVERAGE('17.10 MITYANA-BUSUNJU'!C57,'18.10 MITYANA-BUSUNJU 24hr'!C57,'19.10 MITYANA-BUSUNJU 24hr'!C57,'20.10  MITYANA-BUSUNJU'!C57,'21.10 MITYANA-BUSUNJU '!C57,'22.10 MITYANA-BUSUNJU '!C57,'23.10 MITYANA-BUSUNJU '!C57)</f>
        <v>1.1428571428571428</v>
      </c>
      <c r="D57" s="49">
        <f>AVERAGE('17.10 MITYANA-BUSUNJU'!D57,'18.10 MITYANA-BUSUNJU 24hr'!D57,'19.10 MITYANA-BUSUNJU 24hr'!D57,'20.10  MITYANA-BUSUNJU'!D57,'21.10 MITYANA-BUSUNJU '!D57,'22.10 MITYANA-BUSUNJU '!D57,'23.10 MITYANA-BUSUNJU '!D57)</f>
        <v>0.2857142857142857</v>
      </c>
      <c r="E57" s="49">
        <f>AVERAGE('17.10 MITYANA-BUSUNJU'!E57,'18.10 MITYANA-BUSUNJU 24hr'!E57,'19.10 MITYANA-BUSUNJU 24hr'!E57,'20.10  MITYANA-BUSUNJU'!E57,'21.10 MITYANA-BUSUNJU '!E57,'22.10 MITYANA-BUSUNJU '!E57,'23.10 MITYANA-BUSUNJU '!E57)</f>
        <v>1</v>
      </c>
      <c r="F57" s="49">
        <f>AVERAGE('17.10 MITYANA-BUSUNJU'!F57,'18.10 MITYANA-BUSUNJU 24hr'!F57,'19.10 MITYANA-BUSUNJU 24hr'!F57,'20.10  MITYANA-BUSUNJU'!F57,'21.10 MITYANA-BUSUNJU '!F57,'22.10 MITYANA-BUSUNJU '!F57,'23.10 MITYANA-BUSUNJU '!F57)</f>
        <v>0.14285714285714285</v>
      </c>
      <c r="G57" s="49">
        <f>AVERAGE('17.10 MITYANA-BUSUNJU'!G57,'18.10 MITYANA-BUSUNJU 24hr'!G57,'19.10 MITYANA-BUSUNJU 24hr'!G57,'20.10  MITYANA-BUSUNJU'!G57,'21.10 MITYANA-BUSUNJU '!G57,'22.10 MITYANA-BUSUNJU '!G57,'23.10 MITYANA-BUSUNJU '!G57)</f>
        <v>0</v>
      </c>
      <c r="H57" s="49">
        <f>AVERAGE('17.10 MITYANA-BUSUNJU'!H57,'18.10 MITYANA-BUSUNJU 24hr'!H57,'19.10 MITYANA-BUSUNJU 24hr'!H57,'20.10  MITYANA-BUSUNJU'!H57,'21.10 MITYANA-BUSUNJU '!H57,'22.10 MITYANA-BUSUNJU '!H57,'23.10 MITYANA-BUSUNJU '!H57)</f>
        <v>0</v>
      </c>
      <c r="I57" s="49">
        <f>AVERAGE('17.10 MITYANA-BUSUNJU'!I57,'18.10 MITYANA-BUSUNJU 24hr'!I57,'19.10 MITYANA-BUSUNJU 24hr'!I57,'20.10  MITYANA-BUSUNJU'!I57,'21.10 MITYANA-BUSUNJU '!I57,'22.10 MITYANA-BUSUNJU '!I57,'23.10 MITYANA-BUSUNJU '!I57)</f>
        <v>0.42857142857142855</v>
      </c>
      <c r="J57" s="49">
        <f>AVERAGE('17.10 MITYANA-BUSUNJU'!J57,'18.10 MITYANA-BUSUNJU 24hr'!J57,'19.10 MITYANA-BUSUNJU 24hr'!J57,'20.10  MITYANA-BUSUNJU'!J57,'21.10 MITYANA-BUSUNJU '!J57,'22.10 MITYANA-BUSUNJU '!J57,'23.10 MITYANA-BUSUNJU '!J57)</f>
        <v>0.42857142857142855</v>
      </c>
      <c r="K57" s="49">
        <f>AVERAGE('17.10 MITYANA-BUSUNJU'!K57,'18.10 MITYANA-BUSUNJU 24hr'!K57,'19.10 MITYANA-BUSUNJU 24hr'!K57,'20.10  MITYANA-BUSUNJU'!K57,'21.10 MITYANA-BUSUNJU '!K57,'22.10 MITYANA-BUSUNJU '!K57,'23.10 MITYANA-BUSUNJU '!K57)</f>
        <v>0</v>
      </c>
      <c r="L57" s="49">
        <f>AVERAGE('17.10 MITYANA-BUSUNJU'!L57,'18.10 MITYANA-BUSUNJU 24hr'!L57,'19.10 MITYANA-BUSUNJU 24hr'!L57,'20.10  MITYANA-BUSUNJU'!L57,'21.10 MITYANA-BUSUNJU '!L57,'22.10 MITYANA-BUSUNJU '!L57,'23.10 MITYANA-BUSUNJU '!L57)</f>
        <v>0</v>
      </c>
      <c r="M57" s="49">
        <f>AVERAGE('17.10 MITYANA-BUSUNJU'!M57,'18.10 MITYANA-BUSUNJU 24hr'!M57,'19.10 MITYANA-BUSUNJU 24hr'!M57,'20.10  MITYANA-BUSUNJU'!M57,'21.10 MITYANA-BUSUNJU '!M57,'22.10 MITYANA-BUSUNJU '!M57,'23.10 MITYANA-BUSUNJU '!M57)</f>
        <v>10.571428571428571</v>
      </c>
      <c r="N57" s="49">
        <f>AVERAGE('17.10 MITYANA-BUSUNJU'!N57,'18.10 MITYANA-BUSUNJU 24hr'!N57,'19.10 MITYANA-BUSUNJU 24hr'!N57,'20.10  MITYANA-BUSUNJU'!N57,'21.10 MITYANA-BUSUNJU '!N57,'22.10 MITYANA-BUSUNJU '!N57,'23.10 MITYANA-BUSUNJU '!N57)</f>
        <v>0</v>
      </c>
      <c r="O57" s="15">
        <f t="shared" si="0"/>
        <v>3.4285714285714279</v>
      </c>
      <c r="P57" s="15">
        <f t="shared" si="1"/>
        <v>14</v>
      </c>
      <c r="R57" s="8"/>
      <c r="T57"/>
    </row>
    <row r="58" spans="2:20" ht="23.1" customHeight="1" x14ac:dyDescent="0.25">
      <c r="B58" s="23" t="s">
        <v>99</v>
      </c>
      <c r="C58" s="49">
        <f>AVERAGE('18.10 MITYANA-BUSUNJU 24hr'!C58,'19.10 MITYANA-BUSUNJU 24hr'!C58)</f>
        <v>1</v>
      </c>
      <c r="D58" s="49">
        <f>AVERAGE('18.10 MITYANA-BUSUNJU 24hr'!D58,'19.10 MITYANA-BUSUNJU 24hr'!D58)</f>
        <v>1</v>
      </c>
      <c r="E58" s="49">
        <f>AVERAGE('18.10 MITYANA-BUSUNJU 24hr'!E58,'19.10 MITYANA-BUSUNJU 24hr'!E58)</f>
        <v>0</v>
      </c>
      <c r="F58" s="49">
        <f>AVERAGE('18.10 MITYANA-BUSUNJU 24hr'!F58,'19.10 MITYANA-BUSUNJU 24hr'!F58)</f>
        <v>0.5</v>
      </c>
      <c r="G58" s="49">
        <f>AVERAGE('18.10 MITYANA-BUSUNJU 24hr'!G58,'19.10 MITYANA-BUSUNJU 24hr'!G58)</f>
        <v>0</v>
      </c>
      <c r="H58" s="49">
        <f>AVERAGE('18.10 MITYANA-BUSUNJU 24hr'!H58,'19.10 MITYANA-BUSUNJU 24hr'!H58)</f>
        <v>0</v>
      </c>
      <c r="I58" s="49">
        <f>AVERAGE('18.10 MITYANA-BUSUNJU 24hr'!I58,'19.10 MITYANA-BUSUNJU 24hr'!I58)</f>
        <v>0.5</v>
      </c>
      <c r="J58" s="49">
        <f>AVERAGE('18.10 MITYANA-BUSUNJU 24hr'!J58,'19.10 MITYANA-BUSUNJU 24hr'!J58)</f>
        <v>0</v>
      </c>
      <c r="K58" s="49">
        <f>AVERAGE('18.10 MITYANA-BUSUNJU 24hr'!K58,'19.10 MITYANA-BUSUNJU 24hr'!K58)</f>
        <v>0</v>
      </c>
      <c r="L58" s="49">
        <f>AVERAGE('18.10 MITYANA-BUSUNJU 24hr'!L58,'19.10 MITYANA-BUSUNJU 24hr'!L58)</f>
        <v>0</v>
      </c>
      <c r="M58" s="49">
        <f>AVERAGE('18.10 MITYANA-BUSUNJU 24hr'!M58,'19.10 MITYANA-BUSUNJU 24hr'!M58)</f>
        <v>11</v>
      </c>
      <c r="N58" s="49">
        <f>AVERAGE('18.10 MITYANA-BUSUNJU 24hr'!N58,'19.10 MITYANA-BUSUNJU 24hr'!N58)</f>
        <v>0</v>
      </c>
      <c r="O58" s="15">
        <f t="shared" si="0"/>
        <v>3</v>
      </c>
      <c r="P58" s="15">
        <f t="shared" si="1"/>
        <v>14</v>
      </c>
      <c r="R58" s="8"/>
      <c r="T58"/>
    </row>
    <row r="59" spans="2:20" ht="23.1" customHeight="1" x14ac:dyDescent="0.25">
      <c r="B59" s="23" t="s">
        <v>100</v>
      </c>
      <c r="C59" s="49">
        <f>AVERAGE('18.10 MITYANA-BUSUNJU 24hr'!C59,'19.10 MITYANA-BUSUNJU 24hr'!C59)</f>
        <v>1</v>
      </c>
      <c r="D59" s="49">
        <f>AVERAGE('18.10 MITYANA-BUSUNJU 24hr'!D59,'19.10 MITYANA-BUSUNJU 24hr'!D59)</f>
        <v>0</v>
      </c>
      <c r="E59" s="49">
        <f>AVERAGE('18.10 MITYANA-BUSUNJU 24hr'!E59,'19.10 MITYANA-BUSUNJU 24hr'!E59)</f>
        <v>0</v>
      </c>
      <c r="F59" s="49">
        <f>AVERAGE('18.10 MITYANA-BUSUNJU 24hr'!F59,'19.10 MITYANA-BUSUNJU 24hr'!F59)</f>
        <v>0</v>
      </c>
      <c r="G59" s="49">
        <f>AVERAGE('18.10 MITYANA-BUSUNJU 24hr'!G59,'19.10 MITYANA-BUSUNJU 24hr'!G59)</f>
        <v>0</v>
      </c>
      <c r="H59" s="49">
        <f>AVERAGE('18.10 MITYANA-BUSUNJU 24hr'!H59,'19.10 MITYANA-BUSUNJU 24hr'!H59)</f>
        <v>0</v>
      </c>
      <c r="I59" s="49">
        <f>AVERAGE('18.10 MITYANA-BUSUNJU 24hr'!I59,'19.10 MITYANA-BUSUNJU 24hr'!I59)</f>
        <v>0</v>
      </c>
      <c r="J59" s="49">
        <f>AVERAGE('18.10 MITYANA-BUSUNJU 24hr'!J59,'19.10 MITYANA-BUSUNJU 24hr'!J59)</f>
        <v>0</v>
      </c>
      <c r="K59" s="49">
        <f>AVERAGE('18.10 MITYANA-BUSUNJU 24hr'!K59,'19.10 MITYANA-BUSUNJU 24hr'!K59)</f>
        <v>0.5</v>
      </c>
      <c r="L59" s="49">
        <f>AVERAGE('18.10 MITYANA-BUSUNJU 24hr'!L59,'19.10 MITYANA-BUSUNJU 24hr'!L59)</f>
        <v>0</v>
      </c>
      <c r="M59" s="49">
        <f>AVERAGE('18.10 MITYANA-BUSUNJU 24hr'!M59,'19.10 MITYANA-BUSUNJU 24hr'!M59)</f>
        <v>15</v>
      </c>
      <c r="N59" s="49">
        <f>AVERAGE('18.10 MITYANA-BUSUNJU 24hr'!N59,'19.10 MITYANA-BUSUNJU 24hr'!N59)</f>
        <v>0</v>
      </c>
      <c r="O59" s="15">
        <f t="shared" si="0"/>
        <v>1.5</v>
      </c>
      <c r="P59" s="15">
        <f t="shared" si="1"/>
        <v>16.5</v>
      </c>
      <c r="R59" s="8"/>
      <c r="T59"/>
    </row>
    <row r="60" spans="2:20" ht="23.1" customHeight="1" x14ac:dyDescent="0.25">
      <c r="B60" s="23" t="s">
        <v>101</v>
      </c>
      <c r="C60" s="49">
        <f>AVERAGE('18.10 MITYANA-BUSUNJU 24hr'!C60,'19.10 MITYANA-BUSUNJU 24hr'!C60)</f>
        <v>1.5</v>
      </c>
      <c r="D60" s="49">
        <f>AVERAGE('18.10 MITYANA-BUSUNJU 24hr'!D60,'19.10 MITYANA-BUSUNJU 24hr'!D60)</f>
        <v>0</v>
      </c>
      <c r="E60" s="49">
        <f>AVERAGE('18.10 MITYANA-BUSUNJU 24hr'!E60,'19.10 MITYANA-BUSUNJU 24hr'!E60)</f>
        <v>0.5</v>
      </c>
      <c r="F60" s="49">
        <f>AVERAGE('18.10 MITYANA-BUSUNJU 24hr'!F60,'19.10 MITYANA-BUSUNJU 24hr'!F60)</f>
        <v>0.5</v>
      </c>
      <c r="G60" s="49">
        <f>AVERAGE('18.10 MITYANA-BUSUNJU 24hr'!G60,'19.10 MITYANA-BUSUNJU 24hr'!G60)</f>
        <v>0</v>
      </c>
      <c r="H60" s="49">
        <f>AVERAGE('18.10 MITYANA-BUSUNJU 24hr'!H60,'19.10 MITYANA-BUSUNJU 24hr'!H60)</f>
        <v>0</v>
      </c>
      <c r="I60" s="49">
        <f>AVERAGE('18.10 MITYANA-BUSUNJU 24hr'!I60,'19.10 MITYANA-BUSUNJU 24hr'!I60)</f>
        <v>0</v>
      </c>
      <c r="J60" s="49">
        <f>AVERAGE('18.10 MITYANA-BUSUNJU 24hr'!J60,'19.10 MITYANA-BUSUNJU 24hr'!J60)</f>
        <v>0</v>
      </c>
      <c r="K60" s="49">
        <f>AVERAGE('18.10 MITYANA-BUSUNJU 24hr'!K60,'19.10 MITYANA-BUSUNJU 24hr'!K60)</f>
        <v>0</v>
      </c>
      <c r="L60" s="49">
        <f>AVERAGE('18.10 MITYANA-BUSUNJU 24hr'!L60,'19.10 MITYANA-BUSUNJU 24hr'!L60)</f>
        <v>0</v>
      </c>
      <c r="M60" s="49">
        <f>AVERAGE('18.10 MITYANA-BUSUNJU 24hr'!M60,'19.10 MITYANA-BUSUNJU 24hr'!M60)</f>
        <v>15</v>
      </c>
      <c r="N60" s="49">
        <f>AVERAGE('18.10 MITYANA-BUSUNJU 24hr'!N60,'19.10 MITYANA-BUSUNJU 24hr'!N60)</f>
        <v>0</v>
      </c>
      <c r="O60" s="15">
        <f t="shared" si="0"/>
        <v>2.5</v>
      </c>
      <c r="P60" s="15">
        <f t="shared" si="1"/>
        <v>17.5</v>
      </c>
      <c r="R60" s="8"/>
      <c r="T60"/>
    </row>
    <row r="61" spans="2:20" ht="23.1" customHeight="1" x14ac:dyDescent="0.25">
      <c r="B61" s="23" t="s">
        <v>102</v>
      </c>
      <c r="C61" s="49">
        <f>AVERAGE('18.10 MITYANA-BUSUNJU 24hr'!C61,'19.10 MITYANA-BUSUNJU 24hr'!C61)</f>
        <v>2.5</v>
      </c>
      <c r="D61" s="49">
        <f>AVERAGE('18.10 MITYANA-BUSUNJU 24hr'!D61,'19.10 MITYANA-BUSUNJU 24hr'!D61)</f>
        <v>0</v>
      </c>
      <c r="E61" s="49">
        <f>AVERAGE('18.10 MITYANA-BUSUNJU 24hr'!E61,'19.10 MITYANA-BUSUNJU 24hr'!E61)</f>
        <v>0</v>
      </c>
      <c r="F61" s="49">
        <f>AVERAGE('18.10 MITYANA-BUSUNJU 24hr'!F61,'19.10 MITYANA-BUSUNJU 24hr'!F61)</f>
        <v>0</v>
      </c>
      <c r="G61" s="49">
        <f>AVERAGE('18.10 MITYANA-BUSUNJU 24hr'!G61,'19.10 MITYANA-BUSUNJU 24hr'!G61)</f>
        <v>0</v>
      </c>
      <c r="H61" s="49">
        <f>AVERAGE('18.10 MITYANA-BUSUNJU 24hr'!H61,'19.10 MITYANA-BUSUNJU 24hr'!H61)</f>
        <v>0</v>
      </c>
      <c r="I61" s="49">
        <f>AVERAGE('18.10 MITYANA-BUSUNJU 24hr'!I61,'19.10 MITYANA-BUSUNJU 24hr'!I61)</f>
        <v>0</v>
      </c>
      <c r="J61" s="49">
        <f>AVERAGE('18.10 MITYANA-BUSUNJU 24hr'!J61,'19.10 MITYANA-BUSUNJU 24hr'!J61)</f>
        <v>0</v>
      </c>
      <c r="K61" s="49">
        <f>AVERAGE('18.10 MITYANA-BUSUNJU 24hr'!K61,'19.10 MITYANA-BUSUNJU 24hr'!K61)</f>
        <v>0</v>
      </c>
      <c r="L61" s="49">
        <f>AVERAGE('18.10 MITYANA-BUSUNJU 24hr'!L61,'19.10 MITYANA-BUSUNJU 24hr'!L61)</f>
        <v>0</v>
      </c>
      <c r="M61" s="49">
        <f>AVERAGE('18.10 MITYANA-BUSUNJU 24hr'!M61,'19.10 MITYANA-BUSUNJU 24hr'!M61)</f>
        <v>15.5</v>
      </c>
      <c r="N61" s="49">
        <f>AVERAGE('18.10 MITYANA-BUSUNJU 24hr'!N61,'19.10 MITYANA-BUSUNJU 24hr'!N61)</f>
        <v>0</v>
      </c>
      <c r="O61" s="15">
        <f t="shared" si="0"/>
        <v>2.5</v>
      </c>
      <c r="P61" s="15">
        <f t="shared" si="1"/>
        <v>18</v>
      </c>
      <c r="R61" s="8"/>
      <c r="T61"/>
    </row>
    <row r="62" spans="2:20" ht="23.1" customHeight="1" x14ac:dyDescent="0.25">
      <c r="B62" s="23" t="s">
        <v>107</v>
      </c>
      <c r="C62" s="49">
        <f>AVERAGE('18.10 MITYANA-BUSUNJU 24hr'!C62,'19.10 MITYANA-BUSUNJU 24hr'!C62)</f>
        <v>1</v>
      </c>
      <c r="D62" s="49">
        <f>AVERAGE('18.10 MITYANA-BUSUNJU 24hr'!D62,'19.10 MITYANA-BUSUNJU 24hr'!D62)</f>
        <v>1</v>
      </c>
      <c r="E62" s="49">
        <f>AVERAGE('18.10 MITYANA-BUSUNJU 24hr'!E62,'19.10 MITYANA-BUSUNJU 24hr'!E62)</f>
        <v>0.5</v>
      </c>
      <c r="F62" s="49">
        <f>AVERAGE('18.10 MITYANA-BUSUNJU 24hr'!F62,'19.10 MITYANA-BUSUNJU 24hr'!F62)</f>
        <v>0</v>
      </c>
      <c r="G62" s="49">
        <f>AVERAGE('18.10 MITYANA-BUSUNJU 24hr'!G62,'19.10 MITYANA-BUSUNJU 24hr'!G62)</f>
        <v>0</v>
      </c>
      <c r="H62" s="49">
        <f>AVERAGE('18.10 MITYANA-BUSUNJU 24hr'!H62,'19.10 MITYANA-BUSUNJU 24hr'!H62)</f>
        <v>0</v>
      </c>
      <c r="I62" s="49">
        <f>AVERAGE('18.10 MITYANA-BUSUNJU 24hr'!I62,'19.10 MITYANA-BUSUNJU 24hr'!I62)</f>
        <v>0</v>
      </c>
      <c r="J62" s="49">
        <f>AVERAGE('18.10 MITYANA-BUSUNJU 24hr'!J62,'19.10 MITYANA-BUSUNJU 24hr'!J62)</f>
        <v>0</v>
      </c>
      <c r="K62" s="49">
        <f>AVERAGE('18.10 MITYANA-BUSUNJU 24hr'!K62,'19.10 MITYANA-BUSUNJU 24hr'!K62)</f>
        <v>0</v>
      </c>
      <c r="L62" s="49">
        <f>AVERAGE('18.10 MITYANA-BUSUNJU 24hr'!L62,'19.10 MITYANA-BUSUNJU 24hr'!L62)</f>
        <v>0</v>
      </c>
      <c r="M62" s="49">
        <f>AVERAGE('18.10 MITYANA-BUSUNJU 24hr'!M62,'19.10 MITYANA-BUSUNJU 24hr'!M62)</f>
        <v>10.5</v>
      </c>
      <c r="N62" s="49">
        <f>AVERAGE('18.10 MITYANA-BUSUNJU 24hr'!N62,'19.10 MITYANA-BUSUNJU 24hr'!N62)</f>
        <v>0</v>
      </c>
      <c r="O62" s="15">
        <f t="shared" si="0"/>
        <v>2.5</v>
      </c>
      <c r="P62" s="15">
        <f t="shared" si="1"/>
        <v>13</v>
      </c>
      <c r="R62" s="8"/>
      <c r="T62"/>
    </row>
    <row r="63" spans="2:20" ht="23.1" customHeight="1" x14ac:dyDescent="0.25">
      <c r="B63" s="23" t="s">
        <v>108</v>
      </c>
      <c r="C63" s="49">
        <f>AVERAGE('18.10 MITYANA-BUSUNJU 24hr'!C63,'19.10 MITYANA-BUSUNJU 24hr'!C63)</f>
        <v>0</v>
      </c>
      <c r="D63" s="49">
        <f>AVERAGE('18.10 MITYANA-BUSUNJU 24hr'!D63,'19.10 MITYANA-BUSUNJU 24hr'!D63)</f>
        <v>0.5</v>
      </c>
      <c r="E63" s="49">
        <f>AVERAGE('18.10 MITYANA-BUSUNJU 24hr'!E63,'19.10 MITYANA-BUSUNJU 24hr'!E63)</f>
        <v>0</v>
      </c>
      <c r="F63" s="49">
        <f>AVERAGE('18.10 MITYANA-BUSUNJU 24hr'!F63,'19.10 MITYANA-BUSUNJU 24hr'!F63)</f>
        <v>0</v>
      </c>
      <c r="G63" s="49">
        <f>AVERAGE('18.10 MITYANA-BUSUNJU 24hr'!G63,'19.10 MITYANA-BUSUNJU 24hr'!G63)</f>
        <v>0</v>
      </c>
      <c r="H63" s="49">
        <f>AVERAGE('18.10 MITYANA-BUSUNJU 24hr'!H63,'19.10 MITYANA-BUSUNJU 24hr'!H63)</f>
        <v>0</v>
      </c>
      <c r="I63" s="49">
        <f>AVERAGE('18.10 MITYANA-BUSUNJU 24hr'!I63,'19.10 MITYANA-BUSUNJU 24hr'!I63)</f>
        <v>0.5</v>
      </c>
      <c r="J63" s="49">
        <f>AVERAGE('18.10 MITYANA-BUSUNJU 24hr'!J63,'19.10 MITYANA-BUSUNJU 24hr'!J63)</f>
        <v>1</v>
      </c>
      <c r="K63" s="49">
        <f>AVERAGE('18.10 MITYANA-BUSUNJU 24hr'!K63,'19.10 MITYANA-BUSUNJU 24hr'!K63)</f>
        <v>0</v>
      </c>
      <c r="L63" s="49">
        <f>AVERAGE('18.10 MITYANA-BUSUNJU 24hr'!L63,'19.10 MITYANA-BUSUNJU 24hr'!L63)</f>
        <v>0</v>
      </c>
      <c r="M63" s="49">
        <f>AVERAGE('18.10 MITYANA-BUSUNJU 24hr'!M63,'19.10 MITYANA-BUSUNJU 24hr'!M63)</f>
        <v>9.5</v>
      </c>
      <c r="N63" s="49">
        <f>AVERAGE('18.10 MITYANA-BUSUNJU 24hr'!N63,'19.10 MITYANA-BUSUNJU 24hr'!N63)</f>
        <v>0</v>
      </c>
      <c r="O63" s="15">
        <f t="shared" si="0"/>
        <v>2</v>
      </c>
      <c r="P63" s="15">
        <f t="shared" si="1"/>
        <v>11.5</v>
      </c>
      <c r="R63" s="8"/>
      <c r="T63"/>
    </row>
    <row r="64" spans="2:20" ht="23.1" customHeight="1" x14ac:dyDescent="0.25">
      <c r="B64" s="23" t="s">
        <v>109</v>
      </c>
      <c r="C64" s="49">
        <f>AVERAGE('18.10 MITYANA-BUSUNJU 24hr'!C64,'19.10 MITYANA-BUSUNJU 24hr'!C64)</f>
        <v>0</v>
      </c>
      <c r="D64" s="49">
        <f>AVERAGE('18.10 MITYANA-BUSUNJU 24hr'!D64,'19.10 MITYANA-BUSUNJU 24hr'!D64)</f>
        <v>0.5</v>
      </c>
      <c r="E64" s="49">
        <f>AVERAGE('18.10 MITYANA-BUSUNJU 24hr'!E64,'19.10 MITYANA-BUSUNJU 24hr'!E64)</f>
        <v>0</v>
      </c>
      <c r="F64" s="49">
        <f>AVERAGE('18.10 MITYANA-BUSUNJU 24hr'!F64,'19.10 MITYANA-BUSUNJU 24hr'!F64)</f>
        <v>0</v>
      </c>
      <c r="G64" s="49">
        <f>AVERAGE('18.10 MITYANA-BUSUNJU 24hr'!G64,'19.10 MITYANA-BUSUNJU 24hr'!G64)</f>
        <v>0</v>
      </c>
      <c r="H64" s="49">
        <f>AVERAGE('18.10 MITYANA-BUSUNJU 24hr'!H64,'19.10 MITYANA-BUSUNJU 24hr'!H64)</f>
        <v>0</v>
      </c>
      <c r="I64" s="49">
        <f>AVERAGE('18.10 MITYANA-BUSUNJU 24hr'!I64,'19.10 MITYANA-BUSUNJU 24hr'!I64)</f>
        <v>0.5</v>
      </c>
      <c r="J64" s="49">
        <f>AVERAGE('18.10 MITYANA-BUSUNJU 24hr'!J64,'19.10 MITYANA-BUSUNJU 24hr'!J64)</f>
        <v>0</v>
      </c>
      <c r="K64" s="49">
        <f>AVERAGE('18.10 MITYANA-BUSUNJU 24hr'!K64,'19.10 MITYANA-BUSUNJU 24hr'!K64)</f>
        <v>0</v>
      </c>
      <c r="L64" s="49">
        <f>AVERAGE('18.10 MITYANA-BUSUNJU 24hr'!L64,'19.10 MITYANA-BUSUNJU 24hr'!L64)</f>
        <v>0</v>
      </c>
      <c r="M64" s="49">
        <f>AVERAGE('18.10 MITYANA-BUSUNJU 24hr'!M64,'19.10 MITYANA-BUSUNJU 24hr'!M64)</f>
        <v>9</v>
      </c>
      <c r="N64" s="49">
        <f>AVERAGE('18.10 MITYANA-BUSUNJU 24hr'!N64,'19.10 MITYANA-BUSUNJU 24hr'!N64)</f>
        <v>0</v>
      </c>
      <c r="O64" s="15">
        <f t="shared" si="0"/>
        <v>1</v>
      </c>
      <c r="P64" s="15">
        <f t="shared" si="1"/>
        <v>10</v>
      </c>
      <c r="R64" s="8"/>
      <c r="T64"/>
    </row>
    <row r="65" spans="2:20" ht="23.1" customHeight="1" x14ac:dyDescent="0.25">
      <c r="B65" s="23" t="s">
        <v>158</v>
      </c>
      <c r="C65" s="49">
        <f>AVERAGE('18.10 MITYANA-BUSUNJU 24hr'!C65,'19.10 MITYANA-BUSUNJU 24hr'!C65)</f>
        <v>0</v>
      </c>
      <c r="D65" s="49">
        <f>AVERAGE('18.10 MITYANA-BUSUNJU 24hr'!D65,'19.10 MITYANA-BUSUNJU 24hr'!D65)</f>
        <v>2</v>
      </c>
      <c r="E65" s="49">
        <f>AVERAGE('18.10 MITYANA-BUSUNJU 24hr'!E65,'19.10 MITYANA-BUSUNJU 24hr'!E65)</f>
        <v>0</v>
      </c>
      <c r="F65" s="49">
        <f>AVERAGE('18.10 MITYANA-BUSUNJU 24hr'!F65,'19.10 MITYANA-BUSUNJU 24hr'!F65)</f>
        <v>0</v>
      </c>
      <c r="G65" s="49">
        <f>AVERAGE('18.10 MITYANA-BUSUNJU 24hr'!G65,'19.10 MITYANA-BUSUNJU 24hr'!G65)</f>
        <v>0</v>
      </c>
      <c r="H65" s="49">
        <f>AVERAGE('18.10 MITYANA-BUSUNJU 24hr'!H65,'19.10 MITYANA-BUSUNJU 24hr'!H65)</f>
        <v>0</v>
      </c>
      <c r="I65" s="49">
        <f>AVERAGE('18.10 MITYANA-BUSUNJU 24hr'!I65,'19.10 MITYANA-BUSUNJU 24hr'!I65)</f>
        <v>0.5</v>
      </c>
      <c r="J65" s="49">
        <f>AVERAGE('18.10 MITYANA-BUSUNJU 24hr'!J65,'19.10 MITYANA-BUSUNJU 24hr'!J65)</f>
        <v>0</v>
      </c>
      <c r="K65" s="49">
        <f>AVERAGE('18.10 MITYANA-BUSUNJU 24hr'!K65,'19.10 MITYANA-BUSUNJU 24hr'!K65)</f>
        <v>1</v>
      </c>
      <c r="L65" s="49">
        <f>AVERAGE('18.10 MITYANA-BUSUNJU 24hr'!L65,'19.10 MITYANA-BUSUNJU 24hr'!L65)</f>
        <v>0</v>
      </c>
      <c r="M65" s="49">
        <f>AVERAGE('18.10 MITYANA-BUSUNJU 24hr'!M65,'19.10 MITYANA-BUSUNJU 24hr'!M65)</f>
        <v>7.5</v>
      </c>
      <c r="N65" s="49">
        <f>AVERAGE('18.10 MITYANA-BUSUNJU 24hr'!N65,'19.10 MITYANA-BUSUNJU 24hr'!N65)</f>
        <v>0</v>
      </c>
      <c r="O65" s="15">
        <f t="shared" si="0"/>
        <v>3.5</v>
      </c>
      <c r="P65" s="15">
        <f t="shared" si="1"/>
        <v>11</v>
      </c>
      <c r="R65" s="8"/>
      <c r="T65"/>
    </row>
    <row r="66" spans="2:20" ht="23.1" customHeight="1" x14ac:dyDescent="0.25">
      <c r="B66" s="23" t="s">
        <v>103</v>
      </c>
      <c r="C66" s="49">
        <f>AVERAGE('18.10 MITYANA-BUSUNJU 24hr'!C66,'19.10 MITYANA-BUSUNJU 24hr'!C66)</f>
        <v>0.5</v>
      </c>
      <c r="D66" s="49">
        <f>AVERAGE('18.10 MITYANA-BUSUNJU 24hr'!D66,'19.10 MITYANA-BUSUNJU 24hr'!D66)</f>
        <v>0</v>
      </c>
      <c r="E66" s="49">
        <f>AVERAGE('18.10 MITYANA-BUSUNJU 24hr'!E66,'19.10 MITYANA-BUSUNJU 24hr'!E66)</f>
        <v>0</v>
      </c>
      <c r="F66" s="49">
        <f>AVERAGE('18.10 MITYANA-BUSUNJU 24hr'!F66,'19.10 MITYANA-BUSUNJU 24hr'!F66)</f>
        <v>0.5</v>
      </c>
      <c r="G66" s="49">
        <f>AVERAGE('18.10 MITYANA-BUSUNJU 24hr'!G66,'19.10 MITYANA-BUSUNJU 24hr'!G66)</f>
        <v>0</v>
      </c>
      <c r="H66" s="49">
        <f>AVERAGE('18.10 MITYANA-BUSUNJU 24hr'!H66,'19.10 MITYANA-BUSUNJU 24hr'!H66)</f>
        <v>0</v>
      </c>
      <c r="I66" s="49">
        <f>AVERAGE('18.10 MITYANA-BUSUNJU 24hr'!I66,'19.10 MITYANA-BUSUNJU 24hr'!I66)</f>
        <v>1</v>
      </c>
      <c r="J66" s="49">
        <f>AVERAGE('18.10 MITYANA-BUSUNJU 24hr'!J66,'19.10 MITYANA-BUSUNJU 24hr'!J66)</f>
        <v>0.5</v>
      </c>
      <c r="K66" s="49">
        <f>AVERAGE('18.10 MITYANA-BUSUNJU 24hr'!K66,'19.10 MITYANA-BUSUNJU 24hr'!K66)</f>
        <v>0</v>
      </c>
      <c r="L66" s="49">
        <f>AVERAGE('18.10 MITYANA-BUSUNJU 24hr'!L66,'19.10 MITYANA-BUSUNJU 24hr'!L66)</f>
        <v>0</v>
      </c>
      <c r="M66" s="49">
        <f>AVERAGE('18.10 MITYANA-BUSUNJU 24hr'!M66,'19.10 MITYANA-BUSUNJU 24hr'!M66)</f>
        <v>5.5</v>
      </c>
      <c r="N66" s="49">
        <f>AVERAGE('18.10 MITYANA-BUSUNJU 24hr'!N66,'19.10 MITYANA-BUSUNJU 24hr'!N66)</f>
        <v>0</v>
      </c>
      <c r="O66" s="15">
        <f t="shared" si="0"/>
        <v>2.5</v>
      </c>
      <c r="P66" s="15">
        <f t="shared" si="1"/>
        <v>8</v>
      </c>
      <c r="R66" s="8"/>
      <c r="T66"/>
    </row>
    <row r="67" spans="2:20" ht="23.1" customHeight="1" x14ac:dyDescent="0.25">
      <c r="B67" s="23" t="s">
        <v>104</v>
      </c>
      <c r="C67" s="49">
        <f>AVERAGE('18.10 MITYANA-BUSUNJU 24hr'!C67,'19.10 MITYANA-BUSUNJU 24hr'!C67)</f>
        <v>0.5</v>
      </c>
      <c r="D67" s="49">
        <f>AVERAGE('18.10 MITYANA-BUSUNJU 24hr'!D67,'19.10 MITYANA-BUSUNJU 24hr'!D67)</f>
        <v>1</v>
      </c>
      <c r="E67" s="49">
        <f>AVERAGE('18.10 MITYANA-BUSUNJU 24hr'!E67,'19.10 MITYANA-BUSUNJU 24hr'!E67)</f>
        <v>0</v>
      </c>
      <c r="F67" s="49">
        <f>AVERAGE('18.10 MITYANA-BUSUNJU 24hr'!F67,'19.10 MITYANA-BUSUNJU 24hr'!F67)</f>
        <v>0</v>
      </c>
      <c r="G67" s="49">
        <f>AVERAGE('18.10 MITYANA-BUSUNJU 24hr'!G67,'19.10 MITYANA-BUSUNJU 24hr'!G67)</f>
        <v>0</v>
      </c>
      <c r="H67" s="49">
        <f>AVERAGE('18.10 MITYANA-BUSUNJU 24hr'!H67,'19.10 MITYANA-BUSUNJU 24hr'!H67)</f>
        <v>0</v>
      </c>
      <c r="I67" s="49">
        <f>AVERAGE('18.10 MITYANA-BUSUNJU 24hr'!I67,'19.10 MITYANA-BUSUNJU 24hr'!I67)</f>
        <v>1</v>
      </c>
      <c r="J67" s="49">
        <f>AVERAGE('18.10 MITYANA-BUSUNJU 24hr'!J67,'19.10 MITYANA-BUSUNJU 24hr'!J67)</f>
        <v>0.5</v>
      </c>
      <c r="K67" s="49">
        <f>AVERAGE('18.10 MITYANA-BUSUNJU 24hr'!K67,'19.10 MITYANA-BUSUNJU 24hr'!K67)</f>
        <v>0.5</v>
      </c>
      <c r="L67" s="49">
        <f>AVERAGE('18.10 MITYANA-BUSUNJU 24hr'!L67,'19.10 MITYANA-BUSUNJU 24hr'!L67)</f>
        <v>0</v>
      </c>
      <c r="M67" s="49">
        <f>AVERAGE('18.10 MITYANA-BUSUNJU 24hr'!M67,'19.10 MITYANA-BUSUNJU 24hr'!M67)</f>
        <v>9</v>
      </c>
      <c r="N67" s="49">
        <f>AVERAGE('18.10 MITYANA-BUSUNJU 24hr'!N67,'19.10 MITYANA-BUSUNJU 24hr'!N67)</f>
        <v>0</v>
      </c>
      <c r="O67" s="15">
        <f t="shared" si="0"/>
        <v>3.5</v>
      </c>
      <c r="P67" s="15">
        <f t="shared" si="1"/>
        <v>12.5</v>
      </c>
      <c r="R67" s="8"/>
      <c r="T67"/>
    </row>
    <row r="68" spans="2:20" ht="23.1" customHeight="1" x14ac:dyDescent="0.25">
      <c r="B68" s="23" t="s">
        <v>105</v>
      </c>
      <c r="C68" s="49">
        <f>AVERAGE('18.10 MITYANA-BUSUNJU 24hr'!C68,'19.10 MITYANA-BUSUNJU 24hr'!C68)</f>
        <v>0.5</v>
      </c>
      <c r="D68" s="49">
        <f>AVERAGE('18.10 MITYANA-BUSUNJU 24hr'!D68,'19.10 MITYANA-BUSUNJU 24hr'!D68)</f>
        <v>0</v>
      </c>
      <c r="E68" s="49">
        <f>AVERAGE('18.10 MITYANA-BUSUNJU 24hr'!E68,'19.10 MITYANA-BUSUNJU 24hr'!E68)</f>
        <v>0</v>
      </c>
      <c r="F68" s="49">
        <f>AVERAGE('18.10 MITYANA-BUSUNJU 24hr'!F68,'19.10 MITYANA-BUSUNJU 24hr'!F68)</f>
        <v>0</v>
      </c>
      <c r="G68" s="49">
        <f>AVERAGE('18.10 MITYANA-BUSUNJU 24hr'!G68,'19.10 MITYANA-BUSUNJU 24hr'!G68)</f>
        <v>0</v>
      </c>
      <c r="H68" s="49">
        <f>AVERAGE('18.10 MITYANA-BUSUNJU 24hr'!H68,'19.10 MITYANA-BUSUNJU 24hr'!H68)</f>
        <v>0</v>
      </c>
      <c r="I68" s="49">
        <f>AVERAGE('18.10 MITYANA-BUSUNJU 24hr'!I68,'19.10 MITYANA-BUSUNJU 24hr'!I68)</f>
        <v>1</v>
      </c>
      <c r="J68" s="49">
        <f>AVERAGE('18.10 MITYANA-BUSUNJU 24hr'!J68,'19.10 MITYANA-BUSUNJU 24hr'!J68)</f>
        <v>0</v>
      </c>
      <c r="K68" s="49">
        <f>AVERAGE('18.10 MITYANA-BUSUNJU 24hr'!K68,'19.10 MITYANA-BUSUNJU 24hr'!K68)</f>
        <v>1</v>
      </c>
      <c r="L68" s="49">
        <f>AVERAGE('18.10 MITYANA-BUSUNJU 24hr'!L68,'19.10 MITYANA-BUSUNJU 24hr'!L68)</f>
        <v>0</v>
      </c>
      <c r="M68" s="49">
        <f>AVERAGE('18.10 MITYANA-BUSUNJU 24hr'!M68,'19.10 MITYANA-BUSUNJU 24hr'!M68)</f>
        <v>8</v>
      </c>
      <c r="N68" s="49">
        <f>AVERAGE('18.10 MITYANA-BUSUNJU 24hr'!N68,'19.10 MITYANA-BUSUNJU 24hr'!N68)</f>
        <v>0</v>
      </c>
      <c r="O68" s="15">
        <f t="shared" si="0"/>
        <v>2.5</v>
      </c>
      <c r="P68" s="15">
        <f t="shared" si="1"/>
        <v>10.5</v>
      </c>
      <c r="R68" s="8"/>
      <c r="T68"/>
    </row>
    <row r="69" spans="2:20" ht="23.1" customHeight="1" x14ac:dyDescent="0.25">
      <c r="B69" s="23" t="s">
        <v>106</v>
      </c>
      <c r="C69" s="49">
        <f>AVERAGE('18.10 MITYANA-BUSUNJU 24hr'!C69,'19.10 MITYANA-BUSUNJU 24hr'!C69)</f>
        <v>0</v>
      </c>
      <c r="D69" s="49">
        <f>AVERAGE('18.10 MITYANA-BUSUNJU 24hr'!D69,'19.10 MITYANA-BUSUNJU 24hr'!D69)</f>
        <v>0</v>
      </c>
      <c r="E69" s="49">
        <f>AVERAGE('18.10 MITYANA-BUSUNJU 24hr'!E69,'19.10 MITYANA-BUSUNJU 24hr'!E69)</f>
        <v>0</v>
      </c>
      <c r="F69" s="49">
        <f>AVERAGE('18.10 MITYANA-BUSUNJU 24hr'!F69,'19.10 MITYANA-BUSUNJU 24hr'!F69)</f>
        <v>0</v>
      </c>
      <c r="G69" s="49">
        <f>AVERAGE('18.10 MITYANA-BUSUNJU 24hr'!G69,'19.10 MITYANA-BUSUNJU 24hr'!G69)</f>
        <v>0</v>
      </c>
      <c r="H69" s="49">
        <f>AVERAGE('18.10 MITYANA-BUSUNJU 24hr'!H69,'19.10 MITYANA-BUSUNJU 24hr'!H69)</f>
        <v>0</v>
      </c>
      <c r="I69" s="49">
        <f>AVERAGE('18.10 MITYANA-BUSUNJU 24hr'!I69,'19.10 MITYANA-BUSUNJU 24hr'!I69)</f>
        <v>1</v>
      </c>
      <c r="J69" s="49">
        <f>AVERAGE('18.10 MITYANA-BUSUNJU 24hr'!J69,'19.10 MITYANA-BUSUNJU 24hr'!J69)</f>
        <v>1</v>
      </c>
      <c r="K69" s="49">
        <f>AVERAGE('18.10 MITYANA-BUSUNJU 24hr'!K69,'19.10 MITYANA-BUSUNJU 24hr'!K69)</f>
        <v>0.5</v>
      </c>
      <c r="L69" s="49">
        <f>AVERAGE('18.10 MITYANA-BUSUNJU 24hr'!L69,'19.10 MITYANA-BUSUNJU 24hr'!L69)</f>
        <v>0</v>
      </c>
      <c r="M69" s="49">
        <f>AVERAGE('18.10 MITYANA-BUSUNJU 24hr'!M69,'19.10 MITYANA-BUSUNJU 24hr'!M69)</f>
        <v>5.5</v>
      </c>
      <c r="N69" s="49">
        <f>AVERAGE('18.10 MITYANA-BUSUNJU 24hr'!N69,'19.10 MITYANA-BUSUNJU 24hr'!N69)</f>
        <v>0</v>
      </c>
      <c r="O69" s="15">
        <f t="shared" si="0"/>
        <v>2.5</v>
      </c>
      <c r="P69" s="15">
        <f t="shared" si="1"/>
        <v>8</v>
      </c>
      <c r="R69" s="8"/>
      <c r="T69"/>
    </row>
    <row r="70" spans="2:20" ht="23.1" customHeight="1" x14ac:dyDescent="0.25">
      <c r="B70" s="23" t="s">
        <v>110</v>
      </c>
      <c r="C70" s="49">
        <f>AVERAGE('18.10 MITYANA-BUSUNJU 24hr'!C70,'19.10 MITYANA-BUSUNJU 24hr'!C70)</f>
        <v>0</v>
      </c>
      <c r="D70" s="49">
        <f>AVERAGE('18.10 MITYANA-BUSUNJU 24hr'!D70,'19.10 MITYANA-BUSUNJU 24hr'!D70)</f>
        <v>0</v>
      </c>
      <c r="E70" s="49">
        <f>AVERAGE('18.10 MITYANA-BUSUNJU 24hr'!E70,'19.10 MITYANA-BUSUNJU 24hr'!E70)</f>
        <v>0</v>
      </c>
      <c r="F70" s="49">
        <f>AVERAGE('18.10 MITYANA-BUSUNJU 24hr'!F70,'19.10 MITYANA-BUSUNJU 24hr'!F70)</f>
        <v>0</v>
      </c>
      <c r="G70" s="49">
        <f>AVERAGE('18.10 MITYANA-BUSUNJU 24hr'!G70,'19.10 MITYANA-BUSUNJU 24hr'!G70)</f>
        <v>0</v>
      </c>
      <c r="H70" s="49">
        <f>AVERAGE('18.10 MITYANA-BUSUNJU 24hr'!H70,'19.10 MITYANA-BUSUNJU 24hr'!H70)</f>
        <v>1</v>
      </c>
      <c r="I70" s="49">
        <f>AVERAGE('18.10 MITYANA-BUSUNJU 24hr'!I70,'19.10 MITYANA-BUSUNJU 24hr'!I70)</f>
        <v>1</v>
      </c>
      <c r="J70" s="49">
        <f>AVERAGE('18.10 MITYANA-BUSUNJU 24hr'!J70,'19.10 MITYANA-BUSUNJU 24hr'!J70)</f>
        <v>0.5</v>
      </c>
      <c r="K70" s="49">
        <f>AVERAGE('18.10 MITYANA-BUSUNJU 24hr'!K70,'19.10 MITYANA-BUSUNJU 24hr'!K70)</f>
        <v>0</v>
      </c>
      <c r="L70" s="49">
        <f>AVERAGE('18.10 MITYANA-BUSUNJU 24hr'!L70,'19.10 MITYANA-BUSUNJU 24hr'!L70)</f>
        <v>0</v>
      </c>
      <c r="M70" s="49">
        <f>AVERAGE('18.10 MITYANA-BUSUNJU 24hr'!M70,'19.10 MITYANA-BUSUNJU 24hr'!M70)</f>
        <v>4.5</v>
      </c>
      <c r="N70" s="49">
        <f>AVERAGE('18.10 MITYANA-BUSUNJU 24hr'!N70,'19.10 MITYANA-BUSUNJU 24hr'!N70)</f>
        <v>0</v>
      </c>
      <c r="O70" s="15">
        <f t="shared" si="0"/>
        <v>2.5</v>
      </c>
      <c r="P70" s="15">
        <f t="shared" si="1"/>
        <v>7</v>
      </c>
      <c r="R70" s="8"/>
      <c r="T70"/>
    </row>
    <row r="71" spans="2:20" ht="23.1" customHeight="1" x14ac:dyDescent="0.25">
      <c r="B71" s="23" t="s">
        <v>111</v>
      </c>
      <c r="C71" s="49">
        <f>AVERAGE('18.10 MITYANA-BUSUNJU 24hr'!C71,'19.10 MITYANA-BUSUNJU 24hr'!C71)</f>
        <v>0</v>
      </c>
      <c r="D71" s="49">
        <f>AVERAGE('18.10 MITYANA-BUSUNJU 24hr'!D71,'19.10 MITYANA-BUSUNJU 24hr'!D71)</f>
        <v>0</v>
      </c>
      <c r="E71" s="49">
        <f>AVERAGE('18.10 MITYANA-BUSUNJU 24hr'!E71,'19.10 MITYANA-BUSUNJU 24hr'!E71)</f>
        <v>0</v>
      </c>
      <c r="F71" s="49">
        <f>AVERAGE('18.10 MITYANA-BUSUNJU 24hr'!F71,'19.10 MITYANA-BUSUNJU 24hr'!F71)</f>
        <v>0</v>
      </c>
      <c r="G71" s="49">
        <f>AVERAGE('18.10 MITYANA-BUSUNJU 24hr'!G71,'19.10 MITYANA-BUSUNJU 24hr'!G71)</f>
        <v>0</v>
      </c>
      <c r="H71" s="49">
        <f>AVERAGE('18.10 MITYANA-BUSUNJU 24hr'!H71,'19.10 MITYANA-BUSUNJU 24hr'!H71)</f>
        <v>0</v>
      </c>
      <c r="I71" s="49">
        <f>AVERAGE('18.10 MITYANA-BUSUNJU 24hr'!I71,'19.10 MITYANA-BUSUNJU 24hr'!I71)</f>
        <v>1</v>
      </c>
      <c r="J71" s="49">
        <f>AVERAGE('18.10 MITYANA-BUSUNJU 24hr'!J71,'19.10 MITYANA-BUSUNJU 24hr'!J71)</f>
        <v>0</v>
      </c>
      <c r="K71" s="49">
        <f>AVERAGE('18.10 MITYANA-BUSUNJU 24hr'!K71,'19.10 MITYANA-BUSUNJU 24hr'!K71)</f>
        <v>0</v>
      </c>
      <c r="L71" s="49">
        <f>AVERAGE('18.10 MITYANA-BUSUNJU 24hr'!L71,'19.10 MITYANA-BUSUNJU 24hr'!L71)</f>
        <v>0</v>
      </c>
      <c r="M71" s="49">
        <f>AVERAGE('18.10 MITYANA-BUSUNJU 24hr'!M71,'19.10 MITYANA-BUSUNJU 24hr'!M71)</f>
        <v>5</v>
      </c>
      <c r="N71" s="49">
        <f>AVERAGE('18.10 MITYANA-BUSUNJU 24hr'!N71,'19.10 MITYANA-BUSUNJU 24hr'!N71)</f>
        <v>0</v>
      </c>
      <c r="O71" s="15">
        <f t="shared" si="0"/>
        <v>1</v>
      </c>
      <c r="P71" s="15">
        <f t="shared" si="1"/>
        <v>6</v>
      </c>
      <c r="R71" s="8"/>
      <c r="T71"/>
    </row>
    <row r="72" spans="2:20" ht="23.1" customHeight="1" x14ac:dyDescent="0.25">
      <c r="B72" s="23" t="s">
        <v>112</v>
      </c>
      <c r="C72" s="49">
        <f>AVERAGE('18.10 MITYANA-BUSUNJU 24hr'!C72,'19.10 MITYANA-BUSUNJU 24hr'!C72)</f>
        <v>0</v>
      </c>
      <c r="D72" s="49">
        <f>AVERAGE('18.10 MITYANA-BUSUNJU 24hr'!D72,'19.10 MITYANA-BUSUNJU 24hr'!D72)</f>
        <v>0</v>
      </c>
      <c r="E72" s="49">
        <f>AVERAGE('18.10 MITYANA-BUSUNJU 24hr'!E72,'19.10 MITYANA-BUSUNJU 24hr'!E72)</f>
        <v>1</v>
      </c>
      <c r="F72" s="49">
        <f>AVERAGE('18.10 MITYANA-BUSUNJU 24hr'!F72,'19.10 MITYANA-BUSUNJU 24hr'!F72)</f>
        <v>0</v>
      </c>
      <c r="G72" s="49">
        <f>AVERAGE('18.10 MITYANA-BUSUNJU 24hr'!G72,'19.10 MITYANA-BUSUNJU 24hr'!G72)</f>
        <v>0</v>
      </c>
      <c r="H72" s="49">
        <f>AVERAGE('18.10 MITYANA-BUSUNJU 24hr'!H72,'19.10 MITYANA-BUSUNJU 24hr'!H72)</f>
        <v>0</v>
      </c>
      <c r="I72" s="49">
        <f>AVERAGE('18.10 MITYANA-BUSUNJU 24hr'!I72,'19.10 MITYANA-BUSUNJU 24hr'!I72)</f>
        <v>0</v>
      </c>
      <c r="J72" s="49">
        <f>AVERAGE('18.10 MITYANA-BUSUNJU 24hr'!J72,'19.10 MITYANA-BUSUNJU 24hr'!J72)</f>
        <v>0</v>
      </c>
      <c r="K72" s="49">
        <f>AVERAGE('18.10 MITYANA-BUSUNJU 24hr'!K72,'19.10 MITYANA-BUSUNJU 24hr'!K72)</f>
        <v>0</v>
      </c>
      <c r="L72" s="49">
        <f>AVERAGE('18.10 MITYANA-BUSUNJU 24hr'!L72,'19.10 MITYANA-BUSUNJU 24hr'!L72)</f>
        <v>0</v>
      </c>
      <c r="M72" s="49">
        <f>AVERAGE('18.10 MITYANA-BUSUNJU 24hr'!M72,'19.10 MITYANA-BUSUNJU 24hr'!M72)</f>
        <v>7</v>
      </c>
      <c r="N72" s="49">
        <f>AVERAGE('18.10 MITYANA-BUSUNJU 24hr'!N72,'19.10 MITYANA-BUSUNJU 24hr'!N72)</f>
        <v>0</v>
      </c>
      <c r="O72" s="15">
        <f t="shared" si="0"/>
        <v>1</v>
      </c>
      <c r="P72" s="15">
        <f t="shared" si="1"/>
        <v>8</v>
      </c>
      <c r="R72" s="8"/>
      <c r="T72"/>
    </row>
    <row r="73" spans="2:20" ht="23.1" customHeight="1" x14ac:dyDescent="0.25">
      <c r="B73" s="23" t="s">
        <v>113</v>
      </c>
      <c r="C73" s="49">
        <f>AVERAGE('18.10 MITYANA-BUSUNJU 24hr'!C73,'19.10 MITYANA-BUSUNJU 24hr'!C73)</f>
        <v>3</v>
      </c>
      <c r="D73" s="49">
        <f>AVERAGE('18.10 MITYANA-BUSUNJU 24hr'!D73,'19.10 MITYANA-BUSUNJU 24hr'!D73)</f>
        <v>0</v>
      </c>
      <c r="E73" s="49">
        <f>AVERAGE('18.10 MITYANA-BUSUNJU 24hr'!E73,'19.10 MITYANA-BUSUNJU 24hr'!E73)</f>
        <v>0</v>
      </c>
      <c r="F73" s="49">
        <f>AVERAGE('18.10 MITYANA-BUSUNJU 24hr'!F73,'19.10 MITYANA-BUSUNJU 24hr'!F73)</f>
        <v>0</v>
      </c>
      <c r="G73" s="49">
        <f>AVERAGE('18.10 MITYANA-BUSUNJU 24hr'!G73,'19.10 MITYANA-BUSUNJU 24hr'!G73)</f>
        <v>0</v>
      </c>
      <c r="H73" s="49">
        <f>AVERAGE('18.10 MITYANA-BUSUNJU 24hr'!H73,'19.10 MITYANA-BUSUNJU 24hr'!H73)</f>
        <v>0</v>
      </c>
      <c r="I73" s="49">
        <f>AVERAGE('18.10 MITYANA-BUSUNJU 24hr'!I73,'19.10 MITYANA-BUSUNJU 24hr'!I73)</f>
        <v>0</v>
      </c>
      <c r="J73" s="49">
        <f>AVERAGE('18.10 MITYANA-BUSUNJU 24hr'!J73,'19.10 MITYANA-BUSUNJU 24hr'!J73)</f>
        <v>0</v>
      </c>
      <c r="K73" s="49">
        <f>AVERAGE('18.10 MITYANA-BUSUNJU 24hr'!K73,'19.10 MITYANA-BUSUNJU 24hr'!K73)</f>
        <v>1.5</v>
      </c>
      <c r="L73" s="49">
        <f>AVERAGE('18.10 MITYANA-BUSUNJU 24hr'!L73,'19.10 MITYANA-BUSUNJU 24hr'!L73)</f>
        <v>0</v>
      </c>
      <c r="M73" s="49">
        <f>AVERAGE('18.10 MITYANA-BUSUNJU 24hr'!M73,'19.10 MITYANA-BUSUNJU 24hr'!M73)</f>
        <v>4</v>
      </c>
      <c r="N73" s="49">
        <f>AVERAGE('18.10 MITYANA-BUSUNJU 24hr'!N73,'19.10 MITYANA-BUSUNJU 24hr'!N73)</f>
        <v>0</v>
      </c>
      <c r="O73" s="15">
        <f t="shared" si="0"/>
        <v>4.5</v>
      </c>
      <c r="P73" s="15">
        <f t="shared" si="1"/>
        <v>8.5</v>
      </c>
      <c r="R73" s="8"/>
      <c r="T73"/>
    </row>
    <row r="74" spans="2:20" ht="23.1" customHeight="1" x14ac:dyDescent="0.25">
      <c r="B74" s="23" t="s">
        <v>114</v>
      </c>
      <c r="C74" s="49">
        <f>AVERAGE('18.10 MITYANA-BUSUNJU 24hr'!C74,'19.10 MITYANA-BUSUNJU 24hr'!C74)</f>
        <v>1.5</v>
      </c>
      <c r="D74" s="49">
        <f>AVERAGE('18.10 MITYANA-BUSUNJU 24hr'!D74,'19.10 MITYANA-BUSUNJU 24hr'!D74)</f>
        <v>1</v>
      </c>
      <c r="E74" s="49">
        <f>AVERAGE('18.10 MITYANA-BUSUNJU 24hr'!E74,'19.10 MITYANA-BUSUNJU 24hr'!E74)</f>
        <v>0</v>
      </c>
      <c r="F74" s="49">
        <f>AVERAGE('18.10 MITYANA-BUSUNJU 24hr'!F74,'19.10 MITYANA-BUSUNJU 24hr'!F74)</f>
        <v>0</v>
      </c>
      <c r="G74" s="49">
        <f>AVERAGE('18.10 MITYANA-BUSUNJU 24hr'!G74,'19.10 MITYANA-BUSUNJU 24hr'!G74)</f>
        <v>0</v>
      </c>
      <c r="H74" s="49">
        <f>AVERAGE('18.10 MITYANA-BUSUNJU 24hr'!H74,'19.10 MITYANA-BUSUNJU 24hr'!H74)</f>
        <v>0</v>
      </c>
      <c r="I74" s="49">
        <f>AVERAGE('18.10 MITYANA-BUSUNJU 24hr'!I74,'19.10 MITYANA-BUSUNJU 24hr'!I74)</f>
        <v>0</v>
      </c>
      <c r="J74" s="49">
        <f>AVERAGE('18.10 MITYANA-BUSUNJU 24hr'!J74,'19.10 MITYANA-BUSUNJU 24hr'!J74)</f>
        <v>0</v>
      </c>
      <c r="K74" s="49">
        <f>AVERAGE('18.10 MITYANA-BUSUNJU 24hr'!K74,'19.10 MITYANA-BUSUNJU 24hr'!K74)</f>
        <v>0</v>
      </c>
      <c r="L74" s="49">
        <f>AVERAGE('18.10 MITYANA-BUSUNJU 24hr'!L74,'19.10 MITYANA-BUSUNJU 24hr'!L74)</f>
        <v>0</v>
      </c>
      <c r="M74" s="49">
        <f>AVERAGE('18.10 MITYANA-BUSUNJU 24hr'!M74,'19.10 MITYANA-BUSUNJU 24hr'!M74)</f>
        <v>3</v>
      </c>
      <c r="N74" s="49">
        <f>AVERAGE('18.10 MITYANA-BUSUNJU 24hr'!N74,'19.10 MITYANA-BUSUNJU 24hr'!N74)</f>
        <v>0</v>
      </c>
      <c r="O74" s="15">
        <f t="shared" ref="O74:O105" si="35">SUM(C74:L74,N74)</f>
        <v>2.5</v>
      </c>
      <c r="P74" s="15">
        <f t="shared" ref="P74:P105" si="36">SUM(C74:N74)</f>
        <v>5.5</v>
      </c>
      <c r="R74" s="8"/>
      <c r="T74"/>
    </row>
    <row r="75" spans="2:20" ht="23.1" customHeight="1" x14ac:dyDescent="0.25">
      <c r="B75" s="23" t="s">
        <v>115</v>
      </c>
      <c r="C75" s="49">
        <f>AVERAGE('18.10 MITYANA-BUSUNJU 24hr'!C75,'19.10 MITYANA-BUSUNJU 24hr'!C75)</f>
        <v>0</v>
      </c>
      <c r="D75" s="49">
        <f>AVERAGE('18.10 MITYANA-BUSUNJU 24hr'!D75,'19.10 MITYANA-BUSUNJU 24hr'!D75)</f>
        <v>0</v>
      </c>
      <c r="E75" s="49">
        <f>AVERAGE('18.10 MITYANA-BUSUNJU 24hr'!E75,'19.10 MITYANA-BUSUNJU 24hr'!E75)</f>
        <v>0.5</v>
      </c>
      <c r="F75" s="49">
        <f>AVERAGE('18.10 MITYANA-BUSUNJU 24hr'!F75,'19.10 MITYANA-BUSUNJU 24hr'!F75)</f>
        <v>0</v>
      </c>
      <c r="G75" s="49">
        <f>AVERAGE('18.10 MITYANA-BUSUNJU 24hr'!G75,'19.10 MITYANA-BUSUNJU 24hr'!G75)</f>
        <v>0</v>
      </c>
      <c r="H75" s="49">
        <f>AVERAGE('18.10 MITYANA-BUSUNJU 24hr'!H75,'19.10 MITYANA-BUSUNJU 24hr'!H75)</f>
        <v>0</v>
      </c>
      <c r="I75" s="49">
        <f>AVERAGE('18.10 MITYANA-BUSUNJU 24hr'!I75,'19.10 MITYANA-BUSUNJU 24hr'!I75)</f>
        <v>0.5</v>
      </c>
      <c r="J75" s="49">
        <f>AVERAGE('18.10 MITYANA-BUSUNJU 24hr'!J75,'19.10 MITYANA-BUSUNJU 24hr'!J75)</f>
        <v>0.5</v>
      </c>
      <c r="K75" s="49">
        <f>AVERAGE('18.10 MITYANA-BUSUNJU 24hr'!K75,'19.10 MITYANA-BUSUNJU 24hr'!K75)</f>
        <v>0.5</v>
      </c>
      <c r="L75" s="49">
        <f>AVERAGE('18.10 MITYANA-BUSUNJU 24hr'!L75,'19.10 MITYANA-BUSUNJU 24hr'!L75)</f>
        <v>0</v>
      </c>
      <c r="M75" s="49">
        <f>AVERAGE('18.10 MITYANA-BUSUNJU 24hr'!M75,'19.10 MITYANA-BUSUNJU 24hr'!M75)</f>
        <v>3.5</v>
      </c>
      <c r="N75" s="49">
        <f>AVERAGE('18.10 MITYANA-BUSUNJU 24hr'!N75,'19.10 MITYANA-BUSUNJU 24hr'!N75)</f>
        <v>0</v>
      </c>
      <c r="O75" s="15">
        <f t="shared" si="35"/>
        <v>2</v>
      </c>
      <c r="P75" s="15">
        <f t="shared" si="36"/>
        <v>5.5</v>
      </c>
      <c r="R75" s="8"/>
      <c r="T75"/>
    </row>
    <row r="76" spans="2:20" ht="23.1" customHeight="1" x14ac:dyDescent="0.25">
      <c r="B76" s="23" t="s">
        <v>116</v>
      </c>
      <c r="C76" s="49">
        <f>AVERAGE('18.10 MITYANA-BUSUNJU 24hr'!C76,'19.10 MITYANA-BUSUNJU 24hr'!C76)</f>
        <v>1</v>
      </c>
      <c r="D76" s="49">
        <f>AVERAGE('18.10 MITYANA-BUSUNJU 24hr'!D76,'19.10 MITYANA-BUSUNJU 24hr'!D76)</f>
        <v>0</v>
      </c>
      <c r="E76" s="49">
        <f>AVERAGE('18.10 MITYANA-BUSUNJU 24hr'!E76,'19.10 MITYANA-BUSUNJU 24hr'!E76)</f>
        <v>0</v>
      </c>
      <c r="F76" s="49">
        <f>AVERAGE('18.10 MITYANA-BUSUNJU 24hr'!F76,'19.10 MITYANA-BUSUNJU 24hr'!F76)</f>
        <v>0</v>
      </c>
      <c r="G76" s="49">
        <f>AVERAGE('18.10 MITYANA-BUSUNJU 24hr'!G76,'19.10 MITYANA-BUSUNJU 24hr'!G76)</f>
        <v>0</v>
      </c>
      <c r="H76" s="49">
        <f>AVERAGE('18.10 MITYANA-BUSUNJU 24hr'!H76,'19.10 MITYANA-BUSUNJU 24hr'!H76)</f>
        <v>0</v>
      </c>
      <c r="I76" s="49">
        <f>AVERAGE('18.10 MITYANA-BUSUNJU 24hr'!I76,'19.10 MITYANA-BUSUNJU 24hr'!I76)</f>
        <v>1</v>
      </c>
      <c r="J76" s="49">
        <f>AVERAGE('18.10 MITYANA-BUSUNJU 24hr'!J76,'19.10 MITYANA-BUSUNJU 24hr'!J76)</f>
        <v>0</v>
      </c>
      <c r="K76" s="49">
        <f>AVERAGE('18.10 MITYANA-BUSUNJU 24hr'!K76,'19.10 MITYANA-BUSUNJU 24hr'!K76)</f>
        <v>0</v>
      </c>
      <c r="L76" s="49">
        <f>AVERAGE('18.10 MITYANA-BUSUNJU 24hr'!L76,'19.10 MITYANA-BUSUNJU 24hr'!L76)</f>
        <v>0</v>
      </c>
      <c r="M76" s="49">
        <f>AVERAGE('18.10 MITYANA-BUSUNJU 24hr'!M76,'19.10 MITYANA-BUSUNJU 24hr'!M76)</f>
        <v>3</v>
      </c>
      <c r="N76" s="49">
        <f>AVERAGE('18.10 MITYANA-BUSUNJU 24hr'!N76,'19.10 MITYANA-BUSUNJU 24hr'!N76)</f>
        <v>0</v>
      </c>
      <c r="O76" s="15">
        <f t="shared" si="35"/>
        <v>2</v>
      </c>
      <c r="P76" s="15">
        <f t="shared" si="36"/>
        <v>5</v>
      </c>
      <c r="R76" s="8"/>
      <c r="T76"/>
    </row>
    <row r="77" spans="2:20" ht="23.1" customHeight="1" x14ac:dyDescent="0.25">
      <c r="B77" s="23" t="s">
        <v>117</v>
      </c>
      <c r="C77" s="49">
        <f>AVERAGE('18.10 MITYANA-BUSUNJU 24hr'!C77,'19.10 MITYANA-BUSUNJU 24hr'!C77)</f>
        <v>0</v>
      </c>
      <c r="D77" s="49">
        <f>AVERAGE('18.10 MITYANA-BUSUNJU 24hr'!D77,'19.10 MITYANA-BUSUNJU 24hr'!D77)</f>
        <v>0</v>
      </c>
      <c r="E77" s="49">
        <f>AVERAGE('18.10 MITYANA-BUSUNJU 24hr'!E77,'19.10 MITYANA-BUSUNJU 24hr'!E77)</f>
        <v>0</v>
      </c>
      <c r="F77" s="49">
        <f>AVERAGE('18.10 MITYANA-BUSUNJU 24hr'!F77,'19.10 MITYANA-BUSUNJU 24hr'!F77)</f>
        <v>0</v>
      </c>
      <c r="G77" s="49">
        <f>AVERAGE('18.10 MITYANA-BUSUNJU 24hr'!G77,'19.10 MITYANA-BUSUNJU 24hr'!G77)</f>
        <v>0</v>
      </c>
      <c r="H77" s="49">
        <f>AVERAGE('18.10 MITYANA-BUSUNJU 24hr'!H77,'19.10 MITYANA-BUSUNJU 24hr'!H77)</f>
        <v>0</v>
      </c>
      <c r="I77" s="49">
        <f>AVERAGE('18.10 MITYANA-BUSUNJU 24hr'!I77,'19.10 MITYANA-BUSUNJU 24hr'!I77)</f>
        <v>0.5</v>
      </c>
      <c r="J77" s="49">
        <f>AVERAGE('18.10 MITYANA-BUSUNJU 24hr'!J77,'19.10 MITYANA-BUSUNJU 24hr'!J77)</f>
        <v>1.5</v>
      </c>
      <c r="K77" s="49">
        <f>AVERAGE('18.10 MITYANA-BUSUNJU 24hr'!K77,'19.10 MITYANA-BUSUNJU 24hr'!K77)</f>
        <v>0</v>
      </c>
      <c r="L77" s="49">
        <f>AVERAGE('18.10 MITYANA-BUSUNJU 24hr'!L77,'19.10 MITYANA-BUSUNJU 24hr'!L77)</f>
        <v>0</v>
      </c>
      <c r="M77" s="49">
        <f>AVERAGE('18.10 MITYANA-BUSUNJU 24hr'!M77,'19.10 MITYANA-BUSUNJU 24hr'!M77)</f>
        <v>1.5</v>
      </c>
      <c r="N77" s="49">
        <f>AVERAGE('18.10 MITYANA-BUSUNJU 24hr'!N77,'19.10 MITYANA-BUSUNJU 24hr'!N77)</f>
        <v>0</v>
      </c>
      <c r="O77" s="15">
        <f t="shared" si="35"/>
        <v>2</v>
      </c>
      <c r="P77" s="15">
        <f t="shared" si="36"/>
        <v>3.5</v>
      </c>
      <c r="R77" s="8"/>
      <c r="T77"/>
    </row>
    <row r="78" spans="2:20" ht="23.1" customHeight="1" x14ac:dyDescent="0.25">
      <c r="B78" s="24" t="s">
        <v>118</v>
      </c>
      <c r="C78" s="49">
        <f>AVERAGE('18.10 MITYANA-BUSUNJU 24hr'!C78,'19.10 MITYANA-BUSUNJU 24hr'!C78)</f>
        <v>1</v>
      </c>
      <c r="D78" s="49">
        <f>AVERAGE('18.10 MITYANA-BUSUNJU 24hr'!D78,'19.10 MITYANA-BUSUNJU 24hr'!D78)</f>
        <v>0</v>
      </c>
      <c r="E78" s="49">
        <f>AVERAGE('18.10 MITYANA-BUSUNJU 24hr'!E78,'19.10 MITYANA-BUSUNJU 24hr'!E78)</f>
        <v>0</v>
      </c>
      <c r="F78" s="49">
        <f>AVERAGE('18.10 MITYANA-BUSUNJU 24hr'!F78,'19.10 MITYANA-BUSUNJU 24hr'!F78)</f>
        <v>0</v>
      </c>
      <c r="G78" s="49">
        <f>AVERAGE('18.10 MITYANA-BUSUNJU 24hr'!G78,'19.10 MITYANA-BUSUNJU 24hr'!G78)</f>
        <v>0</v>
      </c>
      <c r="H78" s="49">
        <f>AVERAGE('18.10 MITYANA-BUSUNJU 24hr'!H78,'19.10 MITYANA-BUSUNJU 24hr'!H78)</f>
        <v>0</v>
      </c>
      <c r="I78" s="49">
        <f>AVERAGE('18.10 MITYANA-BUSUNJU 24hr'!I78,'19.10 MITYANA-BUSUNJU 24hr'!I78)</f>
        <v>0</v>
      </c>
      <c r="J78" s="49">
        <f>AVERAGE('18.10 MITYANA-BUSUNJU 24hr'!J78,'19.10 MITYANA-BUSUNJU 24hr'!J78)</f>
        <v>1</v>
      </c>
      <c r="K78" s="49">
        <f>AVERAGE('18.10 MITYANA-BUSUNJU 24hr'!K78,'19.10 MITYANA-BUSUNJU 24hr'!K78)</f>
        <v>1.5</v>
      </c>
      <c r="L78" s="49">
        <f>AVERAGE('18.10 MITYANA-BUSUNJU 24hr'!L78,'19.10 MITYANA-BUSUNJU 24hr'!L78)</f>
        <v>0</v>
      </c>
      <c r="M78" s="49">
        <f>AVERAGE('18.10 MITYANA-BUSUNJU 24hr'!M78,'19.10 MITYANA-BUSUNJU 24hr'!M78)</f>
        <v>1</v>
      </c>
      <c r="N78" s="49">
        <f>AVERAGE('18.10 MITYANA-BUSUNJU 24hr'!N78,'19.10 MITYANA-BUSUNJU 24hr'!N78)</f>
        <v>0</v>
      </c>
      <c r="O78" s="15">
        <f t="shared" si="35"/>
        <v>3.5</v>
      </c>
      <c r="P78" s="15">
        <f t="shared" si="36"/>
        <v>4.5</v>
      </c>
      <c r="R78" s="8"/>
      <c r="T78"/>
    </row>
    <row r="79" spans="2:20" ht="23.1" customHeight="1" x14ac:dyDescent="0.25">
      <c r="B79" s="23" t="s">
        <v>119</v>
      </c>
      <c r="C79" s="49">
        <f>AVERAGE('18.10 MITYANA-BUSUNJU 24hr'!C79,'19.10 MITYANA-BUSUNJU 24hr'!C79)</f>
        <v>0</v>
      </c>
      <c r="D79" s="49">
        <f>AVERAGE('18.10 MITYANA-BUSUNJU 24hr'!D79,'19.10 MITYANA-BUSUNJU 24hr'!D79)</f>
        <v>0</v>
      </c>
      <c r="E79" s="49">
        <f>AVERAGE('18.10 MITYANA-BUSUNJU 24hr'!E79,'19.10 MITYANA-BUSUNJU 24hr'!E79)</f>
        <v>0</v>
      </c>
      <c r="F79" s="49">
        <f>AVERAGE('18.10 MITYANA-BUSUNJU 24hr'!F79,'19.10 MITYANA-BUSUNJU 24hr'!F79)</f>
        <v>0</v>
      </c>
      <c r="G79" s="49">
        <f>AVERAGE('18.10 MITYANA-BUSUNJU 24hr'!G79,'19.10 MITYANA-BUSUNJU 24hr'!G79)</f>
        <v>0</v>
      </c>
      <c r="H79" s="49">
        <f>AVERAGE('18.10 MITYANA-BUSUNJU 24hr'!H79,'19.10 MITYANA-BUSUNJU 24hr'!H79)</f>
        <v>0</v>
      </c>
      <c r="I79" s="49">
        <f>AVERAGE('18.10 MITYANA-BUSUNJU 24hr'!I79,'19.10 MITYANA-BUSUNJU 24hr'!I79)</f>
        <v>1.5</v>
      </c>
      <c r="J79" s="49">
        <f>AVERAGE('18.10 MITYANA-BUSUNJU 24hr'!J79,'19.10 MITYANA-BUSUNJU 24hr'!J79)</f>
        <v>0</v>
      </c>
      <c r="K79" s="49">
        <f>AVERAGE('18.10 MITYANA-BUSUNJU 24hr'!K79,'19.10 MITYANA-BUSUNJU 24hr'!K79)</f>
        <v>0</v>
      </c>
      <c r="L79" s="49">
        <f>AVERAGE('18.10 MITYANA-BUSUNJU 24hr'!L79,'19.10 MITYANA-BUSUNJU 24hr'!L79)</f>
        <v>0</v>
      </c>
      <c r="M79" s="49">
        <f>AVERAGE('18.10 MITYANA-BUSUNJU 24hr'!M79,'19.10 MITYANA-BUSUNJU 24hr'!M79)</f>
        <v>1</v>
      </c>
      <c r="N79" s="49">
        <f>AVERAGE('18.10 MITYANA-BUSUNJU 24hr'!N79,'19.10 MITYANA-BUSUNJU 24hr'!N79)</f>
        <v>0</v>
      </c>
      <c r="O79" s="15">
        <f t="shared" si="35"/>
        <v>1.5</v>
      </c>
      <c r="P79" s="15">
        <f t="shared" si="36"/>
        <v>2.5</v>
      </c>
      <c r="R79" s="8"/>
      <c r="T79"/>
    </row>
    <row r="80" spans="2:20" ht="23.1" customHeight="1" x14ac:dyDescent="0.25">
      <c r="B80" s="25" t="s">
        <v>120</v>
      </c>
      <c r="C80" s="49">
        <f>AVERAGE('18.10 MITYANA-BUSUNJU 24hr'!C80,'19.10 MITYANA-BUSUNJU 24hr'!C80)</f>
        <v>0.5</v>
      </c>
      <c r="D80" s="49">
        <f>AVERAGE('18.10 MITYANA-BUSUNJU 24hr'!D80,'19.10 MITYANA-BUSUNJU 24hr'!D80)</f>
        <v>0</v>
      </c>
      <c r="E80" s="49">
        <f>AVERAGE('18.10 MITYANA-BUSUNJU 24hr'!E80,'19.10 MITYANA-BUSUNJU 24hr'!E80)</f>
        <v>0.5</v>
      </c>
      <c r="F80" s="49">
        <f>AVERAGE('18.10 MITYANA-BUSUNJU 24hr'!F80,'19.10 MITYANA-BUSUNJU 24hr'!F80)</f>
        <v>0</v>
      </c>
      <c r="G80" s="49">
        <f>AVERAGE('18.10 MITYANA-BUSUNJU 24hr'!G80,'19.10 MITYANA-BUSUNJU 24hr'!G80)</f>
        <v>0</v>
      </c>
      <c r="H80" s="49">
        <f>AVERAGE('18.10 MITYANA-BUSUNJU 24hr'!H80,'19.10 MITYANA-BUSUNJU 24hr'!H80)</f>
        <v>0</v>
      </c>
      <c r="I80" s="49">
        <f>AVERAGE('18.10 MITYANA-BUSUNJU 24hr'!I80,'19.10 MITYANA-BUSUNJU 24hr'!I80)</f>
        <v>0</v>
      </c>
      <c r="J80" s="49">
        <f>AVERAGE('18.10 MITYANA-BUSUNJU 24hr'!J80,'19.10 MITYANA-BUSUNJU 24hr'!J80)</f>
        <v>1.5</v>
      </c>
      <c r="K80" s="49">
        <f>AVERAGE('18.10 MITYANA-BUSUNJU 24hr'!K80,'19.10 MITYANA-BUSUNJU 24hr'!K80)</f>
        <v>0</v>
      </c>
      <c r="L80" s="49">
        <f>AVERAGE('18.10 MITYANA-BUSUNJU 24hr'!L80,'19.10 MITYANA-BUSUNJU 24hr'!L80)</f>
        <v>0</v>
      </c>
      <c r="M80" s="49">
        <f>AVERAGE('18.10 MITYANA-BUSUNJU 24hr'!M80,'19.10 MITYANA-BUSUNJU 24hr'!M80)</f>
        <v>0</v>
      </c>
      <c r="N80" s="49">
        <f>AVERAGE('18.10 MITYANA-BUSUNJU 24hr'!N80,'19.10 MITYANA-BUSUNJU 24hr'!N80)</f>
        <v>0</v>
      </c>
      <c r="O80" s="15">
        <f t="shared" si="35"/>
        <v>2.5</v>
      </c>
      <c r="P80" s="15">
        <f t="shared" si="36"/>
        <v>2.5</v>
      </c>
      <c r="R80" s="8"/>
      <c r="T80"/>
    </row>
    <row r="81" spans="2:20" ht="23.1" customHeight="1" x14ac:dyDescent="0.25">
      <c r="B81" s="23" t="s">
        <v>121</v>
      </c>
      <c r="C81" s="49">
        <f>AVERAGE('18.10 MITYANA-BUSUNJU 24hr'!C81,'19.10 MITYANA-BUSUNJU 24hr'!C81)</f>
        <v>0</v>
      </c>
      <c r="D81" s="49">
        <f>AVERAGE('18.10 MITYANA-BUSUNJU 24hr'!D81,'19.10 MITYANA-BUSUNJU 24hr'!D81)</f>
        <v>1</v>
      </c>
      <c r="E81" s="49">
        <f>AVERAGE('18.10 MITYANA-BUSUNJU 24hr'!E81,'19.10 MITYANA-BUSUNJU 24hr'!E81)</f>
        <v>0</v>
      </c>
      <c r="F81" s="49">
        <f>AVERAGE('18.10 MITYANA-BUSUNJU 24hr'!F81,'19.10 MITYANA-BUSUNJU 24hr'!F81)</f>
        <v>0</v>
      </c>
      <c r="G81" s="49">
        <f>AVERAGE('18.10 MITYANA-BUSUNJU 24hr'!G81,'19.10 MITYANA-BUSUNJU 24hr'!G81)</f>
        <v>0</v>
      </c>
      <c r="H81" s="49">
        <f>AVERAGE('18.10 MITYANA-BUSUNJU 24hr'!H81,'19.10 MITYANA-BUSUNJU 24hr'!H81)</f>
        <v>0</v>
      </c>
      <c r="I81" s="49">
        <f>AVERAGE('18.10 MITYANA-BUSUNJU 24hr'!I81,'19.10 MITYANA-BUSUNJU 24hr'!I81)</f>
        <v>2</v>
      </c>
      <c r="J81" s="49">
        <f>AVERAGE('18.10 MITYANA-BUSUNJU 24hr'!J81,'19.10 MITYANA-BUSUNJU 24hr'!J81)</f>
        <v>0</v>
      </c>
      <c r="K81" s="49">
        <f>AVERAGE('18.10 MITYANA-BUSUNJU 24hr'!K81,'19.10 MITYANA-BUSUNJU 24hr'!K81)</f>
        <v>0</v>
      </c>
      <c r="L81" s="49">
        <f>AVERAGE('18.10 MITYANA-BUSUNJU 24hr'!L81,'19.10 MITYANA-BUSUNJU 24hr'!L81)</f>
        <v>0</v>
      </c>
      <c r="M81" s="49">
        <f>AVERAGE('18.10 MITYANA-BUSUNJU 24hr'!M81,'19.10 MITYANA-BUSUNJU 24hr'!M81)</f>
        <v>0</v>
      </c>
      <c r="N81" s="49">
        <f>AVERAGE('18.10 MITYANA-BUSUNJU 24hr'!N81,'19.10 MITYANA-BUSUNJU 24hr'!N81)</f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24" t="s">
        <v>122</v>
      </c>
      <c r="C82" s="49">
        <f>AVERAGE('18.10 MITYANA-BUSUNJU 24hr'!C82,'19.10 MITYANA-BUSUNJU 24hr'!C82)</f>
        <v>0.5</v>
      </c>
      <c r="D82" s="49">
        <f>AVERAGE('18.10 MITYANA-BUSUNJU 24hr'!D82,'19.10 MITYANA-BUSUNJU 24hr'!D82)</f>
        <v>0</v>
      </c>
      <c r="E82" s="49">
        <f>AVERAGE('18.10 MITYANA-BUSUNJU 24hr'!E82,'19.10 MITYANA-BUSUNJU 24hr'!E82)</f>
        <v>0</v>
      </c>
      <c r="F82" s="49">
        <f>AVERAGE('18.10 MITYANA-BUSUNJU 24hr'!F82,'19.10 MITYANA-BUSUNJU 24hr'!F82)</f>
        <v>0</v>
      </c>
      <c r="G82" s="49">
        <f>AVERAGE('18.10 MITYANA-BUSUNJU 24hr'!G82,'19.10 MITYANA-BUSUNJU 24hr'!G82)</f>
        <v>0</v>
      </c>
      <c r="H82" s="49">
        <f>AVERAGE('18.10 MITYANA-BUSUNJU 24hr'!H82,'19.10 MITYANA-BUSUNJU 24hr'!H82)</f>
        <v>0</v>
      </c>
      <c r="I82" s="49">
        <f>AVERAGE('18.10 MITYANA-BUSUNJU 24hr'!I82,'19.10 MITYANA-BUSUNJU 24hr'!I82)</f>
        <v>1</v>
      </c>
      <c r="J82" s="49">
        <f>AVERAGE('18.10 MITYANA-BUSUNJU 24hr'!J82,'19.10 MITYANA-BUSUNJU 24hr'!J82)</f>
        <v>0.5</v>
      </c>
      <c r="K82" s="49">
        <f>AVERAGE('18.10 MITYANA-BUSUNJU 24hr'!K82,'19.10 MITYANA-BUSUNJU 24hr'!K82)</f>
        <v>0</v>
      </c>
      <c r="L82" s="49">
        <f>AVERAGE('18.10 MITYANA-BUSUNJU 24hr'!L82,'19.10 MITYANA-BUSUNJU 24hr'!L82)</f>
        <v>0.5</v>
      </c>
      <c r="M82" s="49">
        <f>AVERAGE('18.10 MITYANA-BUSUNJU 24hr'!M82,'19.10 MITYANA-BUSUNJU 24hr'!M82)</f>
        <v>0</v>
      </c>
      <c r="N82" s="49">
        <f>AVERAGE('18.10 MITYANA-BUSUNJU 24hr'!N82,'19.10 MITYANA-BUSUNJU 24hr'!N82)</f>
        <v>0</v>
      </c>
      <c r="O82" s="15">
        <f t="shared" si="35"/>
        <v>2.5</v>
      </c>
      <c r="P82" s="15">
        <f t="shared" si="36"/>
        <v>2.5</v>
      </c>
      <c r="R82" s="8"/>
      <c r="T82"/>
    </row>
    <row r="83" spans="2:20" ht="23.1" customHeight="1" x14ac:dyDescent="0.25">
      <c r="B83" s="23" t="s">
        <v>123</v>
      </c>
      <c r="C83" s="49">
        <f>AVERAGE('18.10 MITYANA-BUSUNJU 24hr'!C83,'19.10 MITYANA-BUSUNJU 24hr'!C83)</f>
        <v>0</v>
      </c>
      <c r="D83" s="49">
        <f>AVERAGE('18.10 MITYANA-BUSUNJU 24hr'!D83,'19.10 MITYANA-BUSUNJU 24hr'!D83)</f>
        <v>0</v>
      </c>
      <c r="E83" s="49">
        <f>AVERAGE('18.10 MITYANA-BUSUNJU 24hr'!E83,'19.10 MITYANA-BUSUNJU 24hr'!E83)</f>
        <v>0</v>
      </c>
      <c r="F83" s="49">
        <f>AVERAGE('18.10 MITYANA-BUSUNJU 24hr'!F83,'19.10 MITYANA-BUSUNJU 24hr'!F83)</f>
        <v>0</v>
      </c>
      <c r="G83" s="49">
        <f>AVERAGE('18.10 MITYANA-BUSUNJU 24hr'!G83,'19.10 MITYANA-BUSUNJU 24hr'!G83)</f>
        <v>0</v>
      </c>
      <c r="H83" s="49">
        <f>AVERAGE('18.10 MITYANA-BUSUNJU 24hr'!H83,'19.10 MITYANA-BUSUNJU 24hr'!H83)</f>
        <v>0</v>
      </c>
      <c r="I83" s="49">
        <f>AVERAGE('18.10 MITYANA-BUSUNJU 24hr'!I83,'19.10 MITYANA-BUSUNJU 24hr'!I83)</f>
        <v>0</v>
      </c>
      <c r="J83" s="49">
        <f>AVERAGE('18.10 MITYANA-BUSUNJU 24hr'!J83,'19.10 MITYANA-BUSUNJU 24hr'!J83)</f>
        <v>0.5</v>
      </c>
      <c r="K83" s="49">
        <f>AVERAGE('18.10 MITYANA-BUSUNJU 24hr'!K83,'19.10 MITYANA-BUSUNJU 24hr'!K83)</f>
        <v>0.5</v>
      </c>
      <c r="L83" s="49">
        <f>AVERAGE('18.10 MITYANA-BUSUNJU 24hr'!L83,'19.10 MITYANA-BUSUNJU 24hr'!L83)</f>
        <v>0</v>
      </c>
      <c r="M83" s="49">
        <f>AVERAGE('18.10 MITYANA-BUSUNJU 24hr'!M83,'19.10 MITYANA-BUSUNJU 24hr'!M83)</f>
        <v>0</v>
      </c>
      <c r="N83" s="49">
        <f>AVERAGE('18.10 MITYANA-BUSUNJU 24hr'!N83,'19.10 MITYANA-BUSUNJU 24hr'!N83)</f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25" t="s">
        <v>124</v>
      </c>
      <c r="C84" s="49">
        <f>AVERAGE('18.10 MITYANA-BUSUNJU 24hr'!C84,'19.10 MITYANA-BUSUNJU 24hr'!C84)</f>
        <v>0</v>
      </c>
      <c r="D84" s="49">
        <f>AVERAGE('18.10 MITYANA-BUSUNJU 24hr'!D84,'19.10 MITYANA-BUSUNJU 24hr'!D84)</f>
        <v>2</v>
      </c>
      <c r="E84" s="49">
        <f>AVERAGE('18.10 MITYANA-BUSUNJU 24hr'!E84,'19.10 MITYANA-BUSUNJU 24hr'!E84)</f>
        <v>0</v>
      </c>
      <c r="F84" s="49">
        <f>AVERAGE('18.10 MITYANA-BUSUNJU 24hr'!F84,'19.10 MITYANA-BUSUNJU 24hr'!F84)</f>
        <v>0</v>
      </c>
      <c r="G84" s="49">
        <f>AVERAGE('18.10 MITYANA-BUSUNJU 24hr'!G84,'19.10 MITYANA-BUSUNJU 24hr'!G84)</f>
        <v>0</v>
      </c>
      <c r="H84" s="49">
        <f>AVERAGE('18.10 MITYANA-BUSUNJU 24hr'!H84,'19.10 MITYANA-BUSUNJU 24hr'!H84)</f>
        <v>0</v>
      </c>
      <c r="I84" s="49">
        <f>AVERAGE('18.10 MITYANA-BUSUNJU 24hr'!I84,'19.10 MITYANA-BUSUNJU 24hr'!I84)</f>
        <v>1.5</v>
      </c>
      <c r="J84" s="49">
        <f>AVERAGE('18.10 MITYANA-BUSUNJU 24hr'!J84,'19.10 MITYANA-BUSUNJU 24hr'!J84)</f>
        <v>1</v>
      </c>
      <c r="K84" s="49">
        <f>AVERAGE('18.10 MITYANA-BUSUNJU 24hr'!K84,'19.10 MITYANA-BUSUNJU 24hr'!K84)</f>
        <v>0</v>
      </c>
      <c r="L84" s="49">
        <f>AVERAGE('18.10 MITYANA-BUSUNJU 24hr'!L84,'19.10 MITYANA-BUSUNJU 24hr'!L84)</f>
        <v>0</v>
      </c>
      <c r="M84" s="49">
        <f>AVERAGE('18.10 MITYANA-BUSUNJU 24hr'!M84,'19.10 MITYANA-BUSUNJU 24hr'!M84)</f>
        <v>0</v>
      </c>
      <c r="N84" s="49">
        <f>AVERAGE('18.10 MITYANA-BUSUNJU 24hr'!N84,'19.10 MITYANA-BUSUNJU 24hr'!N84)</f>
        <v>0</v>
      </c>
      <c r="O84" s="15">
        <f t="shared" si="35"/>
        <v>4.5</v>
      </c>
      <c r="P84" s="15">
        <f t="shared" si="36"/>
        <v>4.5</v>
      </c>
      <c r="R84" s="8"/>
      <c r="T84"/>
    </row>
    <row r="85" spans="2:20" ht="23.1" customHeight="1" x14ac:dyDescent="0.25">
      <c r="B85" s="23" t="s">
        <v>125</v>
      </c>
      <c r="C85" s="49">
        <f>AVERAGE('18.10 MITYANA-BUSUNJU 24hr'!C85,'19.10 MITYANA-BUSUNJU 24hr'!C85)</f>
        <v>1</v>
      </c>
      <c r="D85" s="49">
        <f>AVERAGE('18.10 MITYANA-BUSUNJU 24hr'!D85,'19.10 MITYANA-BUSUNJU 24hr'!D85)</f>
        <v>0</v>
      </c>
      <c r="E85" s="49">
        <f>AVERAGE('18.10 MITYANA-BUSUNJU 24hr'!E85,'19.10 MITYANA-BUSUNJU 24hr'!E85)</f>
        <v>0</v>
      </c>
      <c r="F85" s="49">
        <f>AVERAGE('18.10 MITYANA-BUSUNJU 24hr'!F85,'19.10 MITYANA-BUSUNJU 24hr'!F85)</f>
        <v>0</v>
      </c>
      <c r="G85" s="49">
        <f>AVERAGE('18.10 MITYANA-BUSUNJU 24hr'!G85,'19.10 MITYANA-BUSUNJU 24hr'!G85)</f>
        <v>0</v>
      </c>
      <c r="H85" s="49">
        <f>AVERAGE('18.10 MITYANA-BUSUNJU 24hr'!H85,'19.10 MITYANA-BUSUNJU 24hr'!H85)</f>
        <v>0</v>
      </c>
      <c r="I85" s="49">
        <f>AVERAGE('18.10 MITYANA-BUSUNJU 24hr'!I85,'19.10 MITYANA-BUSUNJU 24hr'!I85)</f>
        <v>0.5</v>
      </c>
      <c r="J85" s="49">
        <f>AVERAGE('18.10 MITYANA-BUSUNJU 24hr'!J85,'19.10 MITYANA-BUSUNJU 24hr'!J85)</f>
        <v>0.5</v>
      </c>
      <c r="K85" s="49">
        <f>AVERAGE('18.10 MITYANA-BUSUNJU 24hr'!K85,'19.10 MITYANA-BUSUNJU 24hr'!K85)</f>
        <v>0</v>
      </c>
      <c r="L85" s="49">
        <f>AVERAGE('18.10 MITYANA-BUSUNJU 24hr'!L85,'19.10 MITYANA-BUSUNJU 24hr'!L85)</f>
        <v>0</v>
      </c>
      <c r="M85" s="49">
        <f>AVERAGE('18.10 MITYANA-BUSUNJU 24hr'!M85,'19.10 MITYANA-BUSUNJU 24hr'!M85)</f>
        <v>0</v>
      </c>
      <c r="N85" s="49">
        <f>AVERAGE('18.10 MITYANA-BUSUNJU 24hr'!N85,'19.10 MITYANA-BUSUNJU 24hr'!N85)</f>
        <v>0</v>
      </c>
      <c r="O85" s="15">
        <f t="shared" si="35"/>
        <v>2</v>
      </c>
      <c r="P85" s="15">
        <f t="shared" si="36"/>
        <v>2</v>
      </c>
      <c r="R85" s="8"/>
      <c r="T85"/>
    </row>
    <row r="86" spans="2:20" ht="23.1" customHeight="1" x14ac:dyDescent="0.25">
      <c r="B86" s="24" t="s">
        <v>126</v>
      </c>
      <c r="C86" s="49">
        <f>AVERAGE('18.10 MITYANA-BUSUNJU 24hr'!C86,'19.10 MITYANA-BUSUNJU 24hr'!C86)</f>
        <v>0</v>
      </c>
      <c r="D86" s="49">
        <f>AVERAGE('18.10 MITYANA-BUSUNJU 24hr'!D86,'19.10 MITYANA-BUSUNJU 24hr'!D86)</f>
        <v>0</v>
      </c>
      <c r="E86" s="49">
        <f>AVERAGE('18.10 MITYANA-BUSUNJU 24hr'!E86,'19.10 MITYANA-BUSUNJU 24hr'!E86)</f>
        <v>0</v>
      </c>
      <c r="F86" s="49">
        <f>AVERAGE('18.10 MITYANA-BUSUNJU 24hr'!F86,'19.10 MITYANA-BUSUNJU 24hr'!F86)</f>
        <v>0</v>
      </c>
      <c r="G86" s="49">
        <f>AVERAGE('18.10 MITYANA-BUSUNJU 24hr'!G86,'19.10 MITYANA-BUSUNJU 24hr'!G86)</f>
        <v>0</v>
      </c>
      <c r="H86" s="49">
        <f>AVERAGE('18.10 MITYANA-BUSUNJU 24hr'!H86,'19.10 MITYANA-BUSUNJU 24hr'!H86)</f>
        <v>0</v>
      </c>
      <c r="I86" s="49">
        <f>AVERAGE('18.10 MITYANA-BUSUNJU 24hr'!I86,'19.10 MITYANA-BUSUNJU 24hr'!I86)</f>
        <v>1</v>
      </c>
      <c r="J86" s="49">
        <f>AVERAGE('18.10 MITYANA-BUSUNJU 24hr'!J86,'19.10 MITYANA-BUSUNJU 24hr'!J86)</f>
        <v>0</v>
      </c>
      <c r="K86" s="49">
        <f>AVERAGE('18.10 MITYANA-BUSUNJU 24hr'!K86,'19.10 MITYANA-BUSUNJU 24hr'!K86)</f>
        <v>1</v>
      </c>
      <c r="L86" s="49">
        <f>AVERAGE('18.10 MITYANA-BUSUNJU 24hr'!L86,'19.10 MITYANA-BUSUNJU 24hr'!L86)</f>
        <v>0</v>
      </c>
      <c r="M86" s="49">
        <f>AVERAGE('18.10 MITYANA-BUSUNJU 24hr'!M86,'19.10 MITYANA-BUSUNJU 24hr'!M86)</f>
        <v>0</v>
      </c>
      <c r="N86" s="49">
        <f>AVERAGE('18.10 MITYANA-BUSUNJU 24hr'!N86,'19.10 MITYANA-BUSUNJU 24hr'!N86)</f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23" t="s">
        <v>127</v>
      </c>
      <c r="C87" s="49">
        <f>AVERAGE('18.10 MITYANA-BUSUNJU 24hr'!C87,'19.10 MITYANA-BUSUNJU 24hr'!C87)</f>
        <v>1</v>
      </c>
      <c r="D87" s="49">
        <f>AVERAGE('18.10 MITYANA-BUSUNJU 24hr'!D87,'19.10 MITYANA-BUSUNJU 24hr'!D87)</f>
        <v>0</v>
      </c>
      <c r="E87" s="49">
        <f>AVERAGE('18.10 MITYANA-BUSUNJU 24hr'!E87,'19.10 MITYANA-BUSUNJU 24hr'!E87)</f>
        <v>1</v>
      </c>
      <c r="F87" s="49">
        <f>AVERAGE('18.10 MITYANA-BUSUNJU 24hr'!F87,'19.10 MITYANA-BUSUNJU 24hr'!F87)</f>
        <v>0</v>
      </c>
      <c r="G87" s="49">
        <f>AVERAGE('18.10 MITYANA-BUSUNJU 24hr'!G87,'19.10 MITYANA-BUSUNJU 24hr'!G87)</f>
        <v>0</v>
      </c>
      <c r="H87" s="49">
        <f>AVERAGE('18.10 MITYANA-BUSUNJU 24hr'!H87,'19.10 MITYANA-BUSUNJU 24hr'!H87)</f>
        <v>0</v>
      </c>
      <c r="I87" s="49">
        <f>AVERAGE('18.10 MITYANA-BUSUNJU 24hr'!I87,'19.10 MITYANA-BUSUNJU 24hr'!I87)</f>
        <v>0</v>
      </c>
      <c r="J87" s="49">
        <f>AVERAGE('18.10 MITYANA-BUSUNJU 24hr'!J87,'19.10 MITYANA-BUSUNJU 24hr'!J87)</f>
        <v>1</v>
      </c>
      <c r="K87" s="49">
        <f>AVERAGE('18.10 MITYANA-BUSUNJU 24hr'!K87,'19.10 MITYANA-BUSUNJU 24hr'!K87)</f>
        <v>0.5</v>
      </c>
      <c r="L87" s="49">
        <f>AVERAGE('18.10 MITYANA-BUSUNJU 24hr'!L87,'19.10 MITYANA-BUSUNJU 24hr'!L87)</f>
        <v>0</v>
      </c>
      <c r="M87" s="49">
        <f>AVERAGE('18.10 MITYANA-BUSUNJU 24hr'!M87,'19.10 MITYANA-BUSUNJU 24hr'!M87)</f>
        <v>0</v>
      </c>
      <c r="N87" s="49">
        <f>AVERAGE('18.10 MITYANA-BUSUNJU 24hr'!N87,'19.10 MITYANA-BUSUNJU 24hr'!N87)</f>
        <v>0</v>
      </c>
      <c r="O87" s="15">
        <f t="shared" si="35"/>
        <v>3.5</v>
      </c>
      <c r="P87" s="15">
        <f t="shared" si="36"/>
        <v>3.5</v>
      </c>
      <c r="R87" s="8"/>
      <c r="T87"/>
    </row>
    <row r="88" spans="2:20" ht="23.1" customHeight="1" x14ac:dyDescent="0.25">
      <c r="B88" s="25" t="s">
        <v>128</v>
      </c>
      <c r="C88" s="49">
        <f>AVERAGE('18.10 MITYANA-BUSUNJU 24hr'!C88,'19.10 MITYANA-BUSUNJU 24hr'!C88)</f>
        <v>0</v>
      </c>
      <c r="D88" s="49">
        <f>AVERAGE('18.10 MITYANA-BUSUNJU 24hr'!D88,'19.10 MITYANA-BUSUNJU 24hr'!D88)</f>
        <v>0</v>
      </c>
      <c r="E88" s="49">
        <f>AVERAGE('18.10 MITYANA-BUSUNJU 24hr'!E88,'19.10 MITYANA-BUSUNJU 24hr'!E88)</f>
        <v>0.5</v>
      </c>
      <c r="F88" s="49">
        <f>AVERAGE('18.10 MITYANA-BUSUNJU 24hr'!F88,'19.10 MITYANA-BUSUNJU 24hr'!F88)</f>
        <v>0</v>
      </c>
      <c r="G88" s="49">
        <f>AVERAGE('18.10 MITYANA-BUSUNJU 24hr'!G88,'19.10 MITYANA-BUSUNJU 24hr'!G88)</f>
        <v>0</v>
      </c>
      <c r="H88" s="49">
        <f>AVERAGE('18.10 MITYANA-BUSUNJU 24hr'!H88,'19.10 MITYANA-BUSUNJU 24hr'!H88)</f>
        <v>0</v>
      </c>
      <c r="I88" s="49">
        <f>AVERAGE('18.10 MITYANA-BUSUNJU 24hr'!I88,'19.10 MITYANA-BUSUNJU 24hr'!I88)</f>
        <v>0.5</v>
      </c>
      <c r="J88" s="49">
        <f>AVERAGE('18.10 MITYANA-BUSUNJU 24hr'!J88,'19.10 MITYANA-BUSUNJU 24hr'!J88)</f>
        <v>0.5</v>
      </c>
      <c r="K88" s="49">
        <f>AVERAGE('18.10 MITYANA-BUSUNJU 24hr'!K88,'19.10 MITYANA-BUSUNJU 24hr'!K88)</f>
        <v>0</v>
      </c>
      <c r="L88" s="49">
        <f>AVERAGE('18.10 MITYANA-BUSUNJU 24hr'!L88,'19.10 MITYANA-BUSUNJU 24hr'!L88)</f>
        <v>1</v>
      </c>
      <c r="M88" s="49">
        <f>AVERAGE('18.10 MITYANA-BUSUNJU 24hr'!M88,'19.10 MITYANA-BUSUNJU 24hr'!M88)</f>
        <v>0</v>
      </c>
      <c r="N88" s="49">
        <f>AVERAGE('18.10 MITYANA-BUSUNJU 24hr'!N88,'19.10 MITYANA-BUSUNJU 24hr'!N88)</f>
        <v>0</v>
      </c>
      <c r="O88" s="15">
        <f t="shared" si="35"/>
        <v>2.5</v>
      </c>
      <c r="P88" s="15">
        <f t="shared" si="36"/>
        <v>2.5</v>
      </c>
      <c r="R88" s="8"/>
      <c r="T88"/>
    </row>
    <row r="89" spans="2:20" ht="23.1" customHeight="1" x14ac:dyDescent="0.25">
      <c r="B89" s="23" t="s">
        <v>129</v>
      </c>
      <c r="C89" s="49">
        <f>AVERAGE('18.10 MITYANA-BUSUNJU 24hr'!C89,'19.10 MITYANA-BUSUNJU 24hr'!C89)</f>
        <v>1</v>
      </c>
      <c r="D89" s="49">
        <f>AVERAGE('18.10 MITYANA-BUSUNJU 24hr'!D89,'19.10 MITYANA-BUSUNJU 24hr'!D89)</f>
        <v>0</v>
      </c>
      <c r="E89" s="49">
        <f>AVERAGE('18.10 MITYANA-BUSUNJU 24hr'!E89,'19.10 MITYANA-BUSUNJU 24hr'!E89)</f>
        <v>0</v>
      </c>
      <c r="F89" s="49">
        <f>AVERAGE('18.10 MITYANA-BUSUNJU 24hr'!F89,'19.10 MITYANA-BUSUNJU 24hr'!F89)</f>
        <v>0</v>
      </c>
      <c r="G89" s="49">
        <f>AVERAGE('18.10 MITYANA-BUSUNJU 24hr'!G89,'19.10 MITYANA-BUSUNJU 24hr'!G89)</f>
        <v>0</v>
      </c>
      <c r="H89" s="49">
        <f>AVERAGE('18.10 MITYANA-BUSUNJU 24hr'!H89,'19.10 MITYANA-BUSUNJU 24hr'!H89)</f>
        <v>0</v>
      </c>
      <c r="I89" s="49">
        <f>AVERAGE('18.10 MITYANA-BUSUNJU 24hr'!I89,'19.10 MITYANA-BUSUNJU 24hr'!I89)</f>
        <v>0</v>
      </c>
      <c r="J89" s="49">
        <f>AVERAGE('18.10 MITYANA-BUSUNJU 24hr'!J89,'19.10 MITYANA-BUSUNJU 24hr'!J89)</f>
        <v>0</v>
      </c>
      <c r="K89" s="49">
        <f>AVERAGE('18.10 MITYANA-BUSUNJU 24hr'!K89,'19.10 MITYANA-BUSUNJU 24hr'!K89)</f>
        <v>1</v>
      </c>
      <c r="L89" s="49">
        <f>AVERAGE('18.10 MITYANA-BUSUNJU 24hr'!L89,'19.10 MITYANA-BUSUNJU 24hr'!L89)</f>
        <v>0.5</v>
      </c>
      <c r="M89" s="49">
        <f>AVERAGE('18.10 MITYANA-BUSUNJU 24hr'!M89,'19.10 MITYANA-BUSUNJU 24hr'!M89)</f>
        <v>0</v>
      </c>
      <c r="N89" s="49">
        <f>AVERAGE('18.10 MITYANA-BUSUNJU 24hr'!N89,'19.10 MITYANA-BUSUNJU 24hr'!N89)</f>
        <v>0</v>
      </c>
      <c r="O89" s="15">
        <f t="shared" si="35"/>
        <v>2.5</v>
      </c>
      <c r="P89" s="15">
        <f t="shared" si="36"/>
        <v>2.5</v>
      </c>
      <c r="R89" s="8"/>
      <c r="T89"/>
    </row>
    <row r="90" spans="2:20" ht="23.1" customHeight="1" x14ac:dyDescent="0.25">
      <c r="B90" s="24" t="s">
        <v>130</v>
      </c>
      <c r="C90" s="49">
        <f>AVERAGE('18.10 MITYANA-BUSUNJU 24hr'!C90,'19.10 MITYANA-BUSUNJU 24hr'!C90)</f>
        <v>0</v>
      </c>
      <c r="D90" s="49">
        <f>AVERAGE('18.10 MITYANA-BUSUNJU 24hr'!D90,'19.10 MITYANA-BUSUNJU 24hr'!D90)</f>
        <v>0</v>
      </c>
      <c r="E90" s="49">
        <f>AVERAGE('18.10 MITYANA-BUSUNJU 24hr'!E90,'19.10 MITYANA-BUSUNJU 24hr'!E90)</f>
        <v>0.5</v>
      </c>
      <c r="F90" s="49">
        <f>AVERAGE('18.10 MITYANA-BUSUNJU 24hr'!F90,'19.10 MITYANA-BUSUNJU 24hr'!F90)</f>
        <v>0</v>
      </c>
      <c r="G90" s="49">
        <f>AVERAGE('18.10 MITYANA-BUSUNJU 24hr'!G90,'19.10 MITYANA-BUSUNJU 24hr'!G90)</f>
        <v>0</v>
      </c>
      <c r="H90" s="49">
        <f>AVERAGE('18.10 MITYANA-BUSUNJU 24hr'!H90,'19.10 MITYANA-BUSUNJU 24hr'!H90)</f>
        <v>0</v>
      </c>
      <c r="I90" s="49">
        <f>AVERAGE('18.10 MITYANA-BUSUNJU 24hr'!I90,'19.10 MITYANA-BUSUNJU 24hr'!I90)</f>
        <v>0.5</v>
      </c>
      <c r="J90" s="49">
        <f>AVERAGE('18.10 MITYANA-BUSUNJU 24hr'!J90,'19.10 MITYANA-BUSUNJU 24hr'!J90)</f>
        <v>0</v>
      </c>
      <c r="K90" s="49">
        <f>AVERAGE('18.10 MITYANA-BUSUNJU 24hr'!K90,'19.10 MITYANA-BUSUNJU 24hr'!K90)</f>
        <v>1.5</v>
      </c>
      <c r="L90" s="49">
        <f>AVERAGE('18.10 MITYANA-BUSUNJU 24hr'!L90,'19.10 MITYANA-BUSUNJU 24hr'!L90)</f>
        <v>0</v>
      </c>
      <c r="M90" s="49">
        <f>AVERAGE('18.10 MITYANA-BUSUNJU 24hr'!M90,'19.10 MITYANA-BUSUNJU 24hr'!M90)</f>
        <v>0</v>
      </c>
      <c r="N90" s="49">
        <f>AVERAGE('18.10 MITYANA-BUSUNJU 24hr'!N90,'19.10 MITYANA-BUSUNJU 24hr'!N90)</f>
        <v>0</v>
      </c>
      <c r="O90" s="15">
        <f t="shared" si="35"/>
        <v>2.5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AVERAGE('18.10 MITYANA-BUSUNJU 24hr'!C91,'19.10 MITYANA-BUSUNJU 24hr'!C91)</f>
        <v>0</v>
      </c>
      <c r="D91" s="49">
        <f>AVERAGE('18.10 MITYANA-BUSUNJU 24hr'!D91,'19.10 MITYANA-BUSUNJU 24hr'!D91)</f>
        <v>0</v>
      </c>
      <c r="E91" s="49">
        <f>AVERAGE('18.10 MITYANA-BUSUNJU 24hr'!E91,'19.10 MITYANA-BUSUNJU 24hr'!E91)</f>
        <v>0</v>
      </c>
      <c r="F91" s="49">
        <f>AVERAGE('18.10 MITYANA-BUSUNJU 24hr'!F91,'19.10 MITYANA-BUSUNJU 24hr'!F91)</f>
        <v>0</v>
      </c>
      <c r="G91" s="49">
        <f>AVERAGE('18.10 MITYANA-BUSUNJU 24hr'!G91,'19.10 MITYANA-BUSUNJU 24hr'!G91)</f>
        <v>0</v>
      </c>
      <c r="H91" s="49">
        <f>AVERAGE('18.10 MITYANA-BUSUNJU 24hr'!H91,'19.10 MITYANA-BUSUNJU 24hr'!H91)</f>
        <v>0</v>
      </c>
      <c r="I91" s="49">
        <f>AVERAGE('18.10 MITYANA-BUSUNJU 24hr'!I91,'19.10 MITYANA-BUSUNJU 24hr'!I91)</f>
        <v>1</v>
      </c>
      <c r="J91" s="49">
        <f>AVERAGE('18.10 MITYANA-BUSUNJU 24hr'!J91,'19.10 MITYANA-BUSUNJU 24hr'!J91)</f>
        <v>0.5</v>
      </c>
      <c r="K91" s="49">
        <f>AVERAGE('18.10 MITYANA-BUSUNJU 24hr'!K91,'19.10 MITYANA-BUSUNJU 24hr'!K91)</f>
        <v>0</v>
      </c>
      <c r="L91" s="49">
        <f>AVERAGE('18.10 MITYANA-BUSUNJU 24hr'!L91,'19.10 MITYANA-BUSUNJU 24hr'!L91)</f>
        <v>0</v>
      </c>
      <c r="M91" s="49">
        <f>AVERAGE('18.10 MITYANA-BUSUNJU 24hr'!M91,'19.10 MITYANA-BUSUNJU 24hr'!M91)</f>
        <v>0</v>
      </c>
      <c r="N91" s="49">
        <f>AVERAGE('18.10 MITYANA-BUSUNJU 24hr'!N91,'19.10 MITYANA-BUSUNJU 24hr'!N91)</f>
        <v>0</v>
      </c>
      <c r="O91" s="15">
        <f t="shared" si="35"/>
        <v>1.5</v>
      </c>
      <c r="P91" s="15">
        <f t="shared" si="36"/>
        <v>1.5</v>
      </c>
      <c r="R91" s="8"/>
      <c r="T91"/>
    </row>
    <row r="92" spans="2:20" ht="23.1" customHeight="1" x14ac:dyDescent="0.25">
      <c r="B92" s="25" t="s">
        <v>132</v>
      </c>
      <c r="C92" s="49">
        <f>AVERAGE('18.10 MITYANA-BUSUNJU 24hr'!C92,'19.10 MITYANA-BUSUNJU 24hr'!C92)</f>
        <v>0</v>
      </c>
      <c r="D92" s="49">
        <f>AVERAGE('18.10 MITYANA-BUSUNJU 24hr'!D92,'19.10 MITYANA-BUSUNJU 24hr'!D92)</f>
        <v>0</v>
      </c>
      <c r="E92" s="49">
        <f>AVERAGE('18.10 MITYANA-BUSUNJU 24hr'!E92,'19.10 MITYANA-BUSUNJU 24hr'!E92)</f>
        <v>0</v>
      </c>
      <c r="F92" s="49">
        <f>AVERAGE('18.10 MITYANA-BUSUNJU 24hr'!F92,'19.10 MITYANA-BUSUNJU 24hr'!F92)</f>
        <v>0</v>
      </c>
      <c r="G92" s="49">
        <f>AVERAGE('18.10 MITYANA-BUSUNJU 24hr'!G92,'19.10 MITYANA-BUSUNJU 24hr'!G92)</f>
        <v>0</v>
      </c>
      <c r="H92" s="49">
        <f>AVERAGE('18.10 MITYANA-BUSUNJU 24hr'!H92,'19.10 MITYANA-BUSUNJU 24hr'!H92)</f>
        <v>0</v>
      </c>
      <c r="I92" s="49">
        <f>AVERAGE('18.10 MITYANA-BUSUNJU 24hr'!I92,'19.10 MITYANA-BUSUNJU 24hr'!I92)</f>
        <v>1</v>
      </c>
      <c r="J92" s="49">
        <f>AVERAGE('18.10 MITYANA-BUSUNJU 24hr'!J92,'19.10 MITYANA-BUSUNJU 24hr'!J92)</f>
        <v>0.5</v>
      </c>
      <c r="K92" s="49">
        <f>AVERAGE('18.10 MITYANA-BUSUNJU 24hr'!K92,'19.10 MITYANA-BUSUNJU 24hr'!K92)</f>
        <v>1</v>
      </c>
      <c r="L92" s="49">
        <f>AVERAGE('18.10 MITYANA-BUSUNJU 24hr'!L92,'19.10 MITYANA-BUSUNJU 24hr'!L92)</f>
        <v>0</v>
      </c>
      <c r="M92" s="49">
        <f>AVERAGE('18.10 MITYANA-BUSUNJU 24hr'!M92,'19.10 MITYANA-BUSUNJU 24hr'!M92)</f>
        <v>0</v>
      </c>
      <c r="N92" s="49">
        <f>AVERAGE('18.10 MITYANA-BUSUNJU 24hr'!N92,'19.10 MITYANA-BUSUNJU 24hr'!N92)</f>
        <v>0</v>
      </c>
      <c r="O92" s="15">
        <f t="shared" si="35"/>
        <v>2.5</v>
      </c>
      <c r="P92" s="15">
        <f t="shared" si="36"/>
        <v>2.5</v>
      </c>
      <c r="R92" s="8"/>
      <c r="T92"/>
    </row>
    <row r="93" spans="2:20" ht="23.1" customHeight="1" x14ac:dyDescent="0.25">
      <c r="B93" s="23" t="s">
        <v>133</v>
      </c>
      <c r="C93" s="49">
        <f>AVERAGE('18.10 MITYANA-BUSUNJU 24hr'!C93,'19.10 MITYANA-BUSUNJU 24hr'!C93)</f>
        <v>0</v>
      </c>
      <c r="D93" s="49">
        <f>AVERAGE('18.10 MITYANA-BUSUNJU 24hr'!D93,'19.10 MITYANA-BUSUNJU 24hr'!D93)</f>
        <v>0</v>
      </c>
      <c r="E93" s="49">
        <f>AVERAGE('18.10 MITYANA-BUSUNJU 24hr'!E93,'19.10 MITYANA-BUSUNJU 24hr'!E93)</f>
        <v>0.5</v>
      </c>
      <c r="F93" s="49">
        <f>AVERAGE('18.10 MITYANA-BUSUNJU 24hr'!F93,'19.10 MITYANA-BUSUNJU 24hr'!F93)</f>
        <v>0</v>
      </c>
      <c r="G93" s="49">
        <f>AVERAGE('18.10 MITYANA-BUSUNJU 24hr'!G93,'19.10 MITYANA-BUSUNJU 24hr'!G93)</f>
        <v>0</v>
      </c>
      <c r="H93" s="49">
        <f>AVERAGE('18.10 MITYANA-BUSUNJU 24hr'!H93,'19.10 MITYANA-BUSUNJU 24hr'!H93)</f>
        <v>0</v>
      </c>
      <c r="I93" s="49">
        <f>AVERAGE('18.10 MITYANA-BUSUNJU 24hr'!I93,'19.10 MITYANA-BUSUNJU 24hr'!I93)</f>
        <v>1</v>
      </c>
      <c r="J93" s="49">
        <f>AVERAGE('18.10 MITYANA-BUSUNJU 24hr'!J93,'19.10 MITYANA-BUSUNJU 24hr'!J93)</f>
        <v>0.5</v>
      </c>
      <c r="K93" s="49">
        <f>AVERAGE('18.10 MITYANA-BUSUNJU 24hr'!K93,'19.10 MITYANA-BUSUNJU 24hr'!K93)</f>
        <v>0.5</v>
      </c>
      <c r="L93" s="49">
        <f>AVERAGE('18.10 MITYANA-BUSUNJU 24hr'!L93,'19.10 MITYANA-BUSUNJU 24hr'!L93)</f>
        <v>0.5</v>
      </c>
      <c r="M93" s="49">
        <f>AVERAGE('18.10 MITYANA-BUSUNJU 24hr'!M93,'19.10 MITYANA-BUSUNJU 24hr'!M93)</f>
        <v>0</v>
      </c>
      <c r="N93" s="49">
        <f>AVERAGE('18.10 MITYANA-BUSUNJU 24hr'!N93,'19.10 MITYANA-BUSUNJU 24hr'!N93)</f>
        <v>0</v>
      </c>
      <c r="O93" s="15">
        <f t="shared" si="35"/>
        <v>3</v>
      </c>
      <c r="P93" s="15">
        <f t="shared" si="36"/>
        <v>3</v>
      </c>
      <c r="R93" s="8"/>
      <c r="T93"/>
    </row>
    <row r="94" spans="2:20" ht="23.1" customHeight="1" x14ac:dyDescent="0.25">
      <c r="B94" s="24" t="s">
        <v>134</v>
      </c>
      <c r="C94" s="49">
        <f>AVERAGE('18.10 MITYANA-BUSUNJU 24hr'!C94,'19.10 MITYANA-BUSUNJU 24hr'!C94)</f>
        <v>2</v>
      </c>
      <c r="D94" s="49">
        <f>AVERAGE('18.10 MITYANA-BUSUNJU 24hr'!D94,'19.10 MITYANA-BUSUNJU 24hr'!D94)</f>
        <v>0</v>
      </c>
      <c r="E94" s="49">
        <f>AVERAGE('18.10 MITYANA-BUSUNJU 24hr'!E94,'19.10 MITYANA-BUSUNJU 24hr'!E94)</f>
        <v>1</v>
      </c>
      <c r="F94" s="49">
        <f>AVERAGE('18.10 MITYANA-BUSUNJU 24hr'!F94,'19.10 MITYANA-BUSUNJU 24hr'!F94)</f>
        <v>0</v>
      </c>
      <c r="G94" s="49">
        <f>AVERAGE('18.10 MITYANA-BUSUNJU 24hr'!G94,'19.10 MITYANA-BUSUNJU 24hr'!G94)</f>
        <v>0</v>
      </c>
      <c r="H94" s="49">
        <f>AVERAGE('18.10 MITYANA-BUSUNJU 24hr'!H94,'19.10 MITYANA-BUSUNJU 24hr'!H94)</f>
        <v>0</v>
      </c>
      <c r="I94" s="49">
        <f>AVERAGE('18.10 MITYANA-BUSUNJU 24hr'!I94,'19.10 MITYANA-BUSUNJU 24hr'!I94)</f>
        <v>0</v>
      </c>
      <c r="J94" s="49">
        <f>AVERAGE('18.10 MITYANA-BUSUNJU 24hr'!J94,'19.10 MITYANA-BUSUNJU 24hr'!J94)</f>
        <v>0</v>
      </c>
      <c r="K94" s="49">
        <f>AVERAGE('18.10 MITYANA-BUSUNJU 24hr'!K94,'19.10 MITYANA-BUSUNJU 24hr'!K94)</f>
        <v>1.5</v>
      </c>
      <c r="L94" s="49">
        <f>AVERAGE('18.10 MITYANA-BUSUNJU 24hr'!L94,'19.10 MITYANA-BUSUNJU 24hr'!L94)</f>
        <v>0</v>
      </c>
      <c r="M94" s="49">
        <f>AVERAGE('18.10 MITYANA-BUSUNJU 24hr'!M94,'19.10 MITYANA-BUSUNJU 24hr'!M94)</f>
        <v>1</v>
      </c>
      <c r="N94" s="49">
        <f>AVERAGE('18.10 MITYANA-BUSUNJU 24hr'!N94,'19.10 MITYANA-BUSUNJU 24hr'!N94)</f>
        <v>0</v>
      </c>
      <c r="O94" s="15">
        <f t="shared" si="35"/>
        <v>4.5</v>
      </c>
      <c r="P94" s="15">
        <f t="shared" si="36"/>
        <v>5.5</v>
      </c>
      <c r="R94" s="8"/>
      <c r="T94"/>
    </row>
    <row r="95" spans="2:20" ht="23.1" customHeight="1" x14ac:dyDescent="0.25">
      <c r="B95" s="23" t="s">
        <v>135</v>
      </c>
      <c r="C95" s="49">
        <f>AVERAGE('18.10 MITYANA-BUSUNJU 24hr'!C95,'19.10 MITYANA-BUSUNJU 24hr'!C95)</f>
        <v>0.5</v>
      </c>
      <c r="D95" s="49">
        <f>AVERAGE('18.10 MITYANA-BUSUNJU 24hr'!D95,'19.10 MITYANA-BUSUNJU 24hr'!D95)</f>
        <v>0</v>
      </c>
      <c r="E95" s="49">
        <f>AVERAGE('18.10 MITYANA-BUSUNJU 24hr'!E95,'19.10 MITYANA-BUSUNJU 24hr'!E95)</f>
        <v>1.5</v>
      </c>
      <c r="F95" s="49">
        <f>AVERAGE('18.10 MITYANA-BUSUNJU 24hr'!F95,'19.10 MITYANA-BUSUNJU 24hr'!F95)</f>
        <v>0</v>
      </c>
      <c r="G95" s="49">
        <f>AVERAGE('18.10 MITYANA-BUSUNJU 24hr'!G95,'19.10 MITYANA-BUSUNJU 24hr'!G95)</f>
        <v>0</v>
      </c>
      <c r="H95" s="49">
        <f>AVERAGE('18.10 MITYANA-BUSUNJU 24hr'!H95,'19.10 MITYANA-BUSUNJU 24hr'!H95)</f>
        <v>0</v>
      </c>
      <c r="I95" s="49">
        <f>AVERAGE('18.10 MITYANA-BUSUNJU 24hr'!I95,'19.10 MITYANA-BUSUNJU 24hr'!I95)</f>
        <v>1</v>
      </c>
      <c r="J95" s="49">
        <f>AVERAGE('18.10 MITYANA-BUSUNJU 24hr'!J95,'19.10 MITYANA-BUSUNJU 24hr'!J95)</f>
        <v>0</v>
      </c>
      <c r="K95" s="49">
        <f>AVERAGE('18.10 MITYANA-BUSUNJU 24hr'!K95,'19.10 MITYANA-BUSUNJU 24hr'!K95)</f>
        <v>0.5</v>
      </c>
      <c r="L95" s="49">
        <f>AVERAGE('18.10 MITYANA-BUSUNJU 24hr'!L95,'19.10 MITYANA-BUSUNJU 24hr'!L95)</f>
        <v>0</v>
      </c>
      <c r="M95" s="49">
        <f>AVERAGE('18.10 MITYANA-BUSUNJU 24hr'!M95,'19.10 MITYANA-BUSUNJU 24hr'!M95)</f>
        <v>1.5</v>
      </c>
      <c r="N95" s="49">
        <f>AVERAGE('18.10 MITYANA-BUSUNJU 24hr'!N95,'19.10 MITYANA-BUSUNJU 24hr'!N95)</f>
        <v>0</v>
      </c>
      <c r="O95" s="15">
        <f t="shared" si="35"/>
        <v>3.5</v>
      </c>
      <c r="P95" s="15">
        <f t="shared" si="36"/>
        <v>5</v>
      </c>
      <c r="R95" s="8"/>
      <c r="T95"/>
    </row>
    <row r="96" spans="2:20" ht="23.1" customHeight="1" x14ac:dyDescent="0.25">
      <c r="B96" s="25" t="s">
        <v>136</v>
      </c>
      <c r="C96" s="49">
        <f>AVERAGE('18.10 MITYANA-BUSUNJU 24hr'!C96,'19.10 MITYANA-BUSUNJU 24hr'!C96)</f>
        <v>1</v>
      </c>
      <c r="D96" s="49">
        <f>AVERAGE('18.10 MITYANA-BUSUNJU 24hr'!D96,'19.10 MITYANA-BUSUNJU 24hr'!D96)</f>
        <v>0</v>
      </c>
      <c r="E96" s="49">
        <f>AVERAGE('18.10 MITYANA-BUSUNJU 24hr'!E96,'19.10 MITYANA-BUSUNJU 24hr'!E96)</f>
        <v>0.5</v>
      </c>
      <c r="F96" s="49">
        <f>AVERAGE('18.10 MITYANA-BUSUNJU 24hr'!F96,'19.10 MITYANA-BUSUNJU 24hr'!F96)</f>
        <v>1</v>
      </c>
      <c r="G96" s="49">
        <f>AVERAGE('18.10 MITYANA-BUSUNJU 24hr'!G96,'19.10 MITYANA-BUSUNJU 24hr'!G96)</f>
        <v>0</v>
      </c>
      <c r="H96" s="49">
        <f>AVERAGE('18.10 MITYANA-BUSUNJU 24hr'!H96,'19.10 MITYANA-BUSUNJU 24hr'!H96)</f>
        <v>0.5</v>
      </c>
      <c r="I96" s="49">
        <f>AVERAGE('18.10 MITYANA-BUSUNJU 24hr'!I96,'19.10 MITYANA-BUSUNJU 24hr'!I96)</f>
        <v>1</v>
      </c>
      <c r="J96" s="49">
        <f>AVERAGE('18.10 MITYANA-BUSUNJU 24hr'!J96,'19.10 MITYANA-BUSUNJU 24hr'!J96)</f>
        <v>0</v>
      </c>
      <c r="K96" s="49">
        <f>AVERAGE('18.10 MITYANA-BUSUNJU 24hr'!K96,'19.10 MITYANA-BUSUNJU 24hr'!K96)</f>
        <v>0</v>
      </c>
      <c r="L96" s="49">
        <f>AVERAGE('18.10 MITYANA-BUSUNJU 24hr'!L96,'19.10 MITYANA-BUSUNJU 24hr'!L96)</f>
        <v>0</v>
      </c>
      <c r="M96" s="49">
        <f>AVERAGE('18.10 MITYANA-BUSUNJU 24hr'!M96,'19.10 MITYANA-BUSUNJU 24hr'!M96)</f>
        <v>1</v>
      </c>
      <c r="N96" s="49">
        <f>AVERAGE('18.10 MITYANA-BUSUNJU 24hr'!N96,'19.10 MITYANA-BUSUNJU 24hr'!N96)</f>
        <v>0</v>
      </c>
      <c r="O96" s="15">
        <f t="shared" si="35"/>
        <v>4</v>
      </c>
      <c r="P96" s="15">
        <f t="shared" si="36"/>
        <v>5</v>
      </c>
      <c r="R96" s="8"/>
      <c r="T96"/>
    </row>
    <row r="97" spans="2:20" ht="23.1" customHeight="1" x14ac:dyDescent="0.25">
      <c r="B97" s="23" t="s">
        <v>137</v>
      </c>
      <c r="C97" s="49">
        <f>AVERAGE('18.10 MITYANA-BUSUNJU 24hr'!C97,'19.10 MITYANA-BUSUNJU 24hr'!C97)</f>
        <v>0</v>
      </c>
      <c r="D97" s="49">
        <f>AVERAGE('18.10 MITYANA-BUSUNJU 24hr'!D97,'19.10 MITYANA-BUSUNJU 24hr'!D97)</f>
        <v>0</v>
      </c>
      <c r="E97" s="49">
        <f>AVERAGE('18.10 MITYANA-BUSUNJU 24hr'!E97,'19.10 MITYANA-BUSUNJU 24hr'!E97)</f>
        <v>1.5</v>
      </c>
      <c r="F97" s="49">
        <f>AVERAGE('18.10 MITYANA-BUSUNJU 24hr'!F97,'19.10 MITYANA-BUSUNJU 24hr'!F97)</f>
        <v>0</v>
      </c>
      <c r="G97" s="49">
        <f>AVERAGE('18.10 MITYANA-BUSUNJU 24hr'!G97,'19.10 MITYANA-BUSUNJU 24hr'!G97)</f>
        <v>0</v>
      </c>
      <c r="H97" s="49">
        <f>AVERAGE('18.10 MITYANA-BUSUNJU 24hr'!H97,'19.10 MITYANA-BUSUNJU 24hr'!H97)</f>
        <v>0</v>
      </c>
      <c r="I97" s="49">
        <f>AVERAGE('18.10 MITYANA-BUSUNJU 24hr'!I97,'19.10 MITYANA-BUSUNJU 24hr'!I97)</f>
        <v>1.5</v>
      </c>
      <c r="J97" s="49">
        <f>AVERAGE('18.10 MITYANA-BUSUNJU 24hr'!J97,'19.10 MITYANA-BUSUNJU 24hr'!J97)</f>
        <v>0</v>
      </c>
      <c r="K97" s="49">
        <f>AVERAGE('18.10 MITYANA-BUSUNJU 24hr'!K97,'19.10 MITYANA-BUSUNJU 24hr'!K97)</f>
        <v>0.5</v>
      </c>
      <c r="L97" s="49">
        <f>AVERAGE('18.10 MITYANA-BUSUNJU 24hr'!L97,'19.10 MITYANA-BUSUNJU 24hr'!L97)</f>
        <v>0</v>
      </c>
      <c r="M97" s="49">
        <f>AVERAGE('18.10 MITYANA-BUSUNJU 24hr'!M97,'19.10 MITYANA-BUSUNJU 24hr'!M97)</f>
        <v>3</v>
      </c>
      <c r="N97" s="49">
        <f>AVERAGE('18.10 MITYANA-BUSUNJU 24hr'!N97,'19.10 MITYANA-BUSUNJU 24hr'!N97)</f>
        <v>0</v>
      </c>
      <c r="O97" s="15">
        <f t="shared" si="35"/>
        <v>3.5</v>
      </c>
      <c r="P97" s="15">
        <f t="shared" si="36"/>
        <v>6.5</v>
      </c>
      <c r="R97" s="8"/>
      <c r="T97"/>
    </row>
    <row r="98" spans="2:20" ht="23.1" customHeight="1" x14ac:dyDescent="0.25">
      <c r="B98" s="24" t="s">
        <v>138</v>
      </c>
      <c r="C98" s="49">
        <f>AVERAGE('18.10 MITYANA-BUSUNJU 24hr'!C98,'19.10 MITYANA-BUSUNJU 24hr'!C98)</f>
        <v>1.5</v>
      </c>
      <c r="D98" s="49">
        <f>AVERAGE('18.10 MITYANA-BUSUNJU 24hr'!D98,'19.10 MITYANA-BUSUNJU 24hr'!D98)</f>
        <v>0.5</v>
      </c>
      <c r="E98" s="49">
        <f>AVERAGE('18.10 MITYANA-BUSUNJU 24hr'!E98,'19.10 MITYANA-BUSUNJU 24hr'!E98)</f>
        <v>1</v>
      </c>
      <c r="F98" s="49">
        <f>AVERAGE('18.10 MITYANA-BUSUNJU 24hr'!F98,'19.10 MITYANA-BUSUNJU 24hr'!F98)</f>
        <v>0</v>
      </c>
      <c r="G98" s="49">
        <f>AVERAGE('18.10 MITYANA-BUSUNJU 24hr'!G98,'19.10 MITYANA-BUSUNJU 24hr'!G98)</f>
        <v>0</v>
      </c>
      <c r="H98" s="49">
        <f>AVERAGE('18.10 MITYANA-BUSUNJU 24hr'!H98,'19.10 MITYANA-BUSUNJU 24hr'!H98)</f>
        <v>0</v>
      </c>
      <c r="I98" s="49">
        <f>AVERAGE('18.10 MITYANA-BUSUNJU 24hr'!I98,'19.10 MITYANA-BUSUNJU 24hr'!I98)</f>
        <v>2.5</v>
      </c>
      <c r="J98" s="49">
        <f>AVERAGE('18.10 MITYANA-BUSUNJU 24hr'!J98,'19.10 MITYANA-BUSUNJU 24hr'!J98)</f>
        <v>0</v>
      </c>
      <c r="K98" s="49">
        <f>AVERAGE('18.10 MITYANA-BUSUNJU 24hr'!K98,'19.10 MITYANA-BUSUNJU 24hr'!K98)</f>
        <v>1</v>
      </c>
      <c r="L98" s="49">
        <f>AVERAGE('18.10 MITYANA-BUSUNJU 24hr'!L98,'19.10 MITYANA-BUSUNJU 24hr'!L98)</f>
        <v>0</v>
      </c>
      <c r="M98" s="49">
        <f>AVERAGE('18.10 MITYANA-BUSUNJU 24hr'!M98,'19.10 MITYANA-BUSUNJU 24hr'!M98)</f>
        <v>2.5</v>
      </c>
      <c r="N98" s="49">
        <f>AVERAGE('18.10 MITYANA-BUSUNJU 24hr'!N98,'19.10 MITYANA-BUSUNJU 24hr'!N98)</f>
        <v>0</v>
      </c>
      <c r="O98" s="15">
        <f t="shared" si="35"/>
        <v>6.5</v>
      </c>
      <c r="P98" s="15">
        <f t="shared" si="36"/>
        <v>9</v>
      </c>
      <c r="R98" s="8"/>
      <c r="T98"/>
    </row>
    <row r="99" spans="2:20" ht="23.1" customHeight="1" x14ac:dyDescent="0.25">
      <c r="B99" s="23" t="s">
        <v>139</v>
      </c>
      <c r="C99" s="49">
        <f>AVERAGE('18.10 MITYANA-BUSUNJU 24hr'!C99,'19.10 MITYANA-BUSUNJU 24hr'!C99)</f>
        <v>0</v>
      </c>
      <c r="D99" s="49">
        <f>AVERAGE('18.10 MITYANA-BUSUNJU 24hr'!D99,'19.10 MITYANA-BUSUNJU 24hr'!D99)</f>
        <v>1.5</v>
      </c>
      <c r="E99" s="49">
        <f>AVERAGE('18.10 MITYANA-BUSUNJU 24hr'!E99,'19.10 MITYANA-BUSUNJU 24hr'!E99)</f>
        <v>0</v>
      </c>
      <c r="F99" s="49">
        <f>AVERAGE('18.10 MITYANA-BUSUNJU 24hr'!F99,'19.10 MITYANA-BUSUNJU 24hr'!F99)</f>
        <v>0</v>
      </c>
      <c r="G99" s="49">
        <f>AVERAGE('18.10 MITYANA-BUSUNJU 24hr'!G99,'19.10 MITYANA-BUSUNJU 24hr'!G99)</f>
        <v>0</v>
      </c>
      <c r="H99" s="49">
        <f>AVERAGE('18.10 MITYANA-BUSUNJU 24hr'!H99,'19.10 MITYANA-BUSUNJU 24hr'!H99)</f>
        <v>0</v>
      </c>
      <c r="I99" s="49">
        <f>AVERAGE('18.10 MITYANA-BUSUNJU 24hr'!I99,'19.10 MITYANA-BUSUNJU 24hr'!I99)</f>
        <v>0.5</v>
      </c>
      <c r="J99" s="49">
        <f>AVERAGE('18.10 MITYANA-BUSUNJU 24hr'!J99,'19.10 MITYANA-BUSUNJU 24hr'!J99)</f>
        <v>1</v>
      </c>
      <c r="K99" s="49">
        <f>AVERAGE('18.10 MITYANA-BUSUNJU 24hr'!K99,'19.10 MITYANA-BUSUNJU 24hr'!K99)</f>
        <v>0</v>
      </c>
      <c r="L99" s="49">
        <f>AVERAGE('18.10 MITYANA-BUSUNJU 24hr'!L99,'19.10 MITYANA-BUSUNJU 24hr'!L99)</f>
        <v>0</v>
      </c>
      <c r="M99" s="49">
        <f>AVERAGE('18.10 MITYANA-BUSUNJU 24hr'!M99,'19.10 MITYANA-BUSUNJU 24hr'!M99)</f>
        <v>3</v>
      </c>
      <c r="N99" s="49">
        <f>AVERAGE('18.10 MITYANA-BUSUNJU 24hr'!N99,'19.10 MITYANA-BUSUNJU 24hr'!N99)</f>
        <v>0</v>
      </c>
      <c r="O99" s="15">
        <f t="shared" si="35"/>
        <v>3</v>
      </c>
      <c r="P99" s="15">
        <f t="shared" si="36"/>
        <v>6</v>
      </c>
      <c r="R99" s="8"/>
      <c r="T99"/>
    </row>
    <row r="100" spans="2:20" ht="23.1" customHeight="1" x14ac:dyDescent="0.25">
      <c r="B100" s="25" t="s">
        <v>140</v>
      </c>
      <c r="C100" s="49">
        <f>AVERAGE('18.10 MITYANA-BUSUNJU 24hr'!C100,'19.10 MITYANA-BUSUNJU 24hr'!C100)</f>
        <v>0</v>
      </c>
      <c r="D100" s="49">
        <f>AVERAGE('18.10 MITYANA-BUSUNJU 24hr'!D100,'19.10 MITYANA-BUSUNJU 24hr'!D100)</f>
        <v>0</v>
      </c>
      <c r="E100" s="49">
        <f>AVERAGE('18.10 MITYANA-BUSUNJU 24hr'!E100,'19.10 MITYANA-BUSUNJU 24hr'!E100)</f>
        <v>0</v>
      </c>
      <c r="F100" s="49">
        <f>AVERAGE('18.10 MITYANA-BUSUNJU 24hr'!F100,'19.10 MITYANA-BUSUNJU 24hr'!F100)</f>
        <v>0</v>
      </c>
      <c r="G100" s="49">
        <f>AVERAGE('18.10 MITYANA-BUSUNJU 24hr'!G100,'19.10 MITYANA-BUSUNJU 24hr'!G100)</f>
        <v>0</v>
      </c>
      <c r="H100" s="49">
        <f>AVERAGE('18.10 MITYANA-BUSUNJU 24hr'!H100,'19.10 MITYANA-BUSUNJU 24hr'!H100)</f>
        <v>0</v>
      </c>
      <c r="I100" s="49">
        <f>AVERAGE('18.10 MITYANA-BUSUNJU 24hr'!I100,'19.10 MITYANA-BUSUNJU 24hr'!I100)</f>
        <v>0</v>
      </c>
      <c r="J100" s="49">
        <f>AVERAGE('18.10 MITYANA-BUSUNJU 24hr'!J100,'19.10 MITYANA-BUSUNJU 24hr'!J100)</f>
        <v>1.5</v>
      </c>
      <c r="K100" s="49">
        <f>AVERAGE('18.10 MITYANA-BUSUNJU 24hr'!K100,'19.10 MITYANA-BUSUNJU 24hr'!K100)</f>
        <v>0</v>
      </c>
      <c r="L100" s="49">
        <f>AVERAGE('18.10 MITYANA-BUSUNJU 24hr'!L100,'19.10 MITYANA-BUSUNJU 24hr'!L100)</f>
        <v>0</v>
      </c>
      <c r="M100" s="49">
        <f>AVERAGE('18.10 MITYANA-BUSUNJU 24hr'!M100,'19.10 MITYANA-BUSUNJU 24hr'!M100)</f>
        <v>4</v>
      </c>
      <c r="N100" s="49">
        <f>AVERAGE('18.10 MITYANA-BUSUNJU 24hr'!N100,'19.10 MITYANA-BUSUNJU 24hr'!N100)</f>
        <v>0</v>
      </c>
      <c r="O100" s="15">
        <f t="shared" si="35"/>
        <v>1.5</v>
      </c>
      <c r="P100" s="15">
        <f t="shared" si="36"/>
        <v>5.5</v>
      </c>
      <c r="R100" s="8"/>
      <c r="T100"/>
    </row>
    <row r="101" spans="2:20" ht="23.1" customHeight="1" x14ac:dyDescent="0.25">
      <c r="B101" s="23" t="s">
        <v>141</v>
      </c>
      <c r="C101" s="49">
        <f>AVERAGE('18.10 MITYANA-BUSUNJU 24hr'!C101,'19.10 MITYANA-BUSUNJU 24hr'!C101)</f>
        <v>1</v>
      </c>
      <c r="D101" s="49">
        <f>AVERAGE('18.10 MITYANA-BUSUNJU 24hr'!D101,'19.10 MITYANA-BUSUNJU 24hr'!D101)</f>
        <v>1.5</v>
      </c>
      <c r="E101" s="49">
        <f>AVERAGE('18.10 MITYANA-BUSUNJU 24hr'!E101,'19.10 MITYANA-BUSUNJU 24hr'!E101)</f>
        <v>0</v>
      </c>
      <c r="F101" s="49">
        <f>AVERAGE('18.10 MITYANA-BUSUNJU 24hr'!F101,'19.10 MITYANA-BUSUNJU 24hr'!F101)</f>
        <v>0</v>
      </c>
      <c r="G101" s="49">
        <f>AVERAGE('18.10 MITYANA-BUSUNJU 24hr'!G101,'19.10 MITYANA-BUSUNJU 24hr'!G101)</f>
        <v>0</v>
      </c>
      <c r="H101" s="49">
        <f>AVERAGE('18.10 MITYANA-BUSUNJU 24hr'!H101,'19.10 MITYANA-BUSUNJU 24hr'!H101)</f>
        <v>0</v>
      </c>
      <c r="I101" s="49">
        <f>AVERAGE('18.10 MITYANA-BUSUNJU 24hr'!I101,'19.10 MITYANA-BUSUNJU 24hr'!I101)</f>
        <v>1</v>
      </c>
      <c r="J101" s="49">
        <f>AVERAGE('18.10 MITYANA-BUSUNJU 24hr'!J101,'19.10 MITYANA-BUSUNJU 24hr'!J101)</f>
        <v>0.5</v>
      </c>
      <c r="K101" s="49">
        <f>AVERAGE('18.10 MITYANA-BUSUNJU 24hr'!K101,'19.10 MITYANA-BUSUNJU 24hr'!K101)</f>
        <v>0</v>
      </c>
      <c r="L101" s="49">
        <f>AVERAGE('18.10 MITYANA-BUSUNJU 24hr'!L101,'19.10 MITYANA-BUSUNJU 24hr'!L101)</f>
        <v>0</v>
      </c>
      <c r="M101" s="49">
        <f>AVERAGE('18.10 MITYANA-BUSUNJU 24hr'!M101,'19.10 MITYANA-BUSUNJU 24hr'!M101)</f>
        <v>5</v>
      </c>
      <c r="N101" s="49">
        <f>AVERAGE('18.10 MITYANA-BUSUNJU 24hr'!N101,'19.10 MITYANA-BUSUNJU 24hr'!N101)</f>
        <v>0</v>
      </c>
      <c r="O101" s="15">
        <f t="shared" si="35"/>
        <v>4</v>
      </c>
      <c r="P101" s="15">
        <f t="shared" si="36"/>
        <v>9</v>
      </c>
      <c r="R101" s="8"/>
      <c r="T101"/>
    </row>
    <row r="102" spans="2:20" ht="23.1" customHeight="1" x14ac:dyDescent="0.25">
      <c r="B102" s="24" t="s">
        <v>142</v>
      </c>
      <c r="C102" s="49">
        <f>AVERAGE('18.10 MITYANA-BUSUNJU 24hr'!C102,'19.10 MITYANA-BUSUNJU 24hr'!C102)</f>
        <v>2.5</v>
      </c>
      <c r="D102" s="49">
        <f>AVERAGE('18.10 MITYANA-BUSUNJU 24hr'!D102,'19.10 MITYANA-BUSUNJU 24hr'!D102)</f>
        <v>1.5</v>
      </c>
      <c r="E102" s="49">
        <f>AVERAGE('18.10 MITYANA-BUSUNJU 24hr'!E102,'19.10 MITYANA-BUSUNJU 24hr'!E102)</f>
        <v>1</v>
      </c>
      <c r="F102" s="49">
        <f>AVERAGE('18.10 MITYANA-BUSUNJU 24hr'!F102,'19.10 MITYANA-BUSUNJU 24hr'!F102)</f>
        <v>1</v>
      </c>
      <c r="G102" s="49">
        <f>AVERAGE('18.10 MITYANA-BUSUNJU 24hr'!G102,'19.10 MITYANA-BUSUNJU 24hr'!G102)</f>
        <v>0</v>
      </c>
      <c r="H102" s="49">
        <f>AVERAGE('18.10 MITYANA-BUSUNJU 24hr'!H102,'19.10 MITYANA-BUSUNJU 24hr'!H102)</f>
        <v>0</v>
      </c>
      <c r="I102" s="49">
        <f>AVERAGE('18.10 MITYANA-BUSUNJU 24hr'!I102,'19.10 MITYANA-BUSUNJU 24hr'!I102)</f>
        <v>1.5</v>
      </c>
      <c r="J102" s="49">
        <f>AVERAGE('18.10 MITYANA-BUSUNJU 24hr'!J102,'19.10 MITYANA-BUSUNJU 24hr'!J102)</f>
        <v>0</v>
      </c>
      <c r="K102" s="49">
        <f>AVERAGE('18.10 MITYANA-BUSUNJU 24hr'!K102,'19.10 MITYANA-BUSUNJU 24hr'!K102)</f>
        <v>0</v>
      </c>
      <c r="L102" s="49">
        <f>AVERAGE('18.10 MITYANA-BUSUNJU 24hr'!L102,'19.10 MITYANA-BUSUNJU 24hr'!L102)</f>
        <v>0</v>
      </c>
      <c r="M102" s="49">
        <f>AVERAGE('18.10 MITYANA-BUSUNJU 24hr'!M102,'19.10 MITYANA-BUSUNJU 24hr'!M102)</f>
        <v>5</v>
      </c>
      <c r="N102" s="49">
        <f>AVERAGE('18.10 MITYANA-BUSUNJU 24hr'!N102,'19.10 MITYANA-BUSUNJU 24hr'!N102)</f>
        <v>0</v>
      </c>
      <c r="O102" s="15">
        <f t="shared" si="35"/>
        <v>7.5</v>
      </c>
      <c r="P102" s="15">
        <f t="shared" si="36"/>
        <v>12.5</v>
      </c>
      <c r="R102" s="8"/>
      <c r="T102"/>
    </row>
    <row r="103" spans="2:20" ht="23.1" customHeight="1" x14ac:dyDescent="0.25">
      <c r="B103" s="23" t="s">
        <v>143</v>
      </c>
      <c r="C103" s="49">
        <f>AVERAGE('18.10 MITYANA-BUSUNJU 24hr'!C103,'19.10 MITYANA-BUSUNJU 24hr'!C103)</f>
        <v>0</v>
      </c>
      <c r="D103" s="49">
        <f>AVERAGE('18.10 MITYANA-BUSUNJU 24hr'!D103,'19.10 MITYANA-BUSUNJU 24hr'!D103)</f>
        <v>2</v>
      </c>
      <c r="E103" s="49">
        <f>AVERAGE('18.10 MITYANA-BUSUNJU 24hr'!E103,'19.10 MITYANA-BUSUNJU 24hr'!E103)</f>
        <v>0</v>
      </c>
      <c r="F103" s="49">
        <f>AVERAGE('18.10 MITYANA-BUSUNJU 24hr'!F103,'19.10 MITYANA-BUSUNJU 24hr'!F103)</f>
        <v>0</v>
      </c>
      <c r="G103" s="49">
        <f>AVERAGE('18.10 MITYANA-BUSUNJU 24hr'!G103,'19.10 MITYANA-BUSUNJU 24hr'!G103)</f>
        <v>0</v>
      </c>
      <c r="H103" s="49">
        <f>AVERAGE('18.10 MITYANA-BUSUNJU 24hr'!H103,'19.10 MITYANA-BUSUNJU 24hr'!H103)</f>
        <v>0</v>
      </c>
      <c r="I103" s="49">
        <f>AVERAGE('18.10 MITYANA-BUSUNJU 24hr'!I103,'19.10 MITYANA-BUSUNJU 24hr'!I103)</f>
        <v>0.5</v>
      </c>
      <c r="J103" s="49">
        <f>AVERAGE('18.10 MITYANA-BUSUNJU 24hr'!J103,'19.10 MITYANA-BUSUNJU 24hr'!J103)</f>
        <v>0</v>
      </c>
      <c r="K103" s="49">
        <f>AVERAGE('18.10 MITYANA-BUSUNJU 24hr'!K103,'19.10 MITYANA-BUSUNJU 24hr'!K103)</f>
        <v>1</v>
      </c>
      <c r="L103" s="49">
        <f>AVERAGE('18.10 MITYANA-BUSUNJU 24hr'!L103,'19.10 MITYANA-BUSUNJU 24hr'!L103)</f>
        <v>0.5</v>
      </c>
      <c r="M103" s="49">
        <f>AVERAGE('18.10 MITYANA-BUSUNJU 24hr'!M103,'19.10 MITYANA-BUSUNJU 24hr'!M103)</f>
        <v>5.5</v>
      </c>
      <c r="N103" s="49">
        <f>AVERAGE('18.10 MITYANA-BUSUNJU 24hr'!N103,'19.10 MITYANA-BUSUNJU 24hr'!N103)</f>
        <v>0</v>
      </c>
      <c r="O103" s="15">
        <f t="shared" si="35"/>
        <v>4</v>
      </c>
      <c r="P103" s="15">
        <f t="shared" si="36"/>
        <v>9.5</v>
      </c>
      <c r="R103" s="8"/>
      <c r="T103"/>
    </row>
    <row r="104" spans="2:20" ht="23.1" customHeight="1" x14ac:dyDescent="0.25">
      <c r="B104" s="25" t="s">
        <v>144</v>
      </c>
      <c r="C104" s="49">
        <f>AVERAGE('18.10 MITYANA-BUSUNJU 24hr'!C104,'19.10 MITYANA-BUSUNJU 24hr'!C104)</f>
        <v>0.5</v>
      </c>
      <c r="D104" s="49">
        <f>AVERAGE('18.10 MITYANA-BUSUNJU 24hr'!D104,'19.10 MITYANA-BUSUNJU 24hr'!D104)</f>
        <v>0</v>
      </c>
      <c r="E104" s="49">
        <f>AVERAGE('18.10 MITYANA-BUSUNJU 24hr'!E104,'19.10 MITYANA-BUSUNJU 24hr'!E104)</f>
        <v>1.5</v>
      </c>
      <c r="F104" s="49">
        <f>AVERAGE('18.10 MITYANA-BUSUNJU 24hr'!F104,'19.10 MITYANA-BUSUNJU 24hr'!F104)</f>
        <v>1</v>
      </c>
      <c r="G104" s="49">
        <f>AVERAGE('18.10 MITYANA-BUSUNJU 24hr'!G104,'19.10 MITYANA-BUSUNJU 24hr'!G104)</f>
        <v>0</v>
      </c>
      <c r="H104" s="49">
        <f>AVERAGE('18.10 MITYANA-BUSUNJU 24hr'!H104,'19.10 MITYANA-BUSUNJU 24hr'!H104)</f>
        <v>0</v>
      </c>
      <c r="I104" s="49">
        <f>AVERAGE('18.10 MITYANA-BUSUNJU 24hr'!I104,'19.10 MITYANA-BUSUNJU 24hr'!I104)</f>
        <v>0</v>
      </c>
      <c r="J104" s="49">
        <f>AVERAGE('18.10 MITYANA-BUSUNJU 24hr'!J104,'19.10 MITYANA-BUSUNJU 24hr'!J104)</f>
        <v>1</v>
      </c>
      <c r="K104" s="49">
        <f>AVERAGE('18.10 MITYANA-BUSUNJU 24hr'!K104,'19.10 MITYANA-BUSUNJU 24hr'!K104)</f>
        <v>1</v>
      </c>
      <c r="L104" s="49">
        <f>AVERAGE('18.10 MITYANA-BUSUNJU 24hr'!L104,'19.10 MITYANA-BUSUNJU 24hr'!L104)</f>
        <v>0</v>
      </c>
      <c r="M104" s="49">
        <f>AVERAGE('18.10 MITYANA-BUSUNJU 24hr'!M104,'19.10 MITYANA-BUSUNJU 24hr'!M104)</f>
        <v>7.5</v>
      </c>
      <c r="N104" s="49">
        <f>AVERAGE('18.10 MITYANA-BUSUNJU 24hr'!N104,'19.10 MITYANA-BUSUNJU 24hr'!N104)</f>
        <v>0</v>
      </c>
      <c r="O104" s="15">
        <f t="shared" si="35"/>
        <v>5</v>
      </c>
      <c r="P104" s="15">
        <f t="shared" si="36"/>
        <v>12.5</v>
      </c>
      <c r="R104" s="8"/>
      <c r="T104"/>
    </row>
    <row r="105" spans="2:20" ht="23.1" customHeight="1" x14ac:dyDescent="0.25">
      <c r="B105" s="23" t="s">
        <v>145</v>
      </c>
      <c r="C105" s="49">
        <f>AVERAGE('18.10 MITYANA-BUSUNJU 24hr'!C105,'19.10 MITYANA-BUSUNJU 24hr'!C105)</f>
        <v>1.5</v>
      </c>
      <c r="D105" s="49">
        <f>AVERAGE('18.10 MITYANA-BUSUNJU 24hr'!D105,'19.10 MITYANA-BUSUNJU 24hr'!D105)</f>
        <v>1.5</v>
      </c>
      <c r="E105" s="49">
        <f>AVERAGE('18.10 MITYANA-BUSUNJU 24hr'!E105,'19.10 MITYANA-BUSUNJU 24hr'!E105)</f>
        <v>0</v>
      </c>
      <c r="F105" s="49">
        <f>AVERAGE('18.10 MITYANA-BUSUNJU 24hr'!F105,'19.10 MITYANA-BUSUNJU 24hr'!F105)</f>
        <v>1</v>
      </c>
      <c r="G105" s="49">
        <f>AVERAGE('18.10 MITYANA-BUSUNJU 24hr'!G105,'19.10 MITYANA-BUSUNJU 24hr'!G105)</f>
        <v>0</v>
      </c>
      <c r="H105" s="49">
        <f>AVERAGE('18.10 MITYANA-BUSUNJU 24hr'!H105,'19.10 MITYANA-BUSUNJU 24hr'!H105)</f>
        <v>0</v>
      </c>
      <c r="I105" s="49">
        <f>AVERAGE('18.10 MITYANA-BUSUNJU 24hr'!I105,'19.10 MITYANA-BUSUNJU 24hr'!I105)</f>
        <v>0</v>
      </c>
      <c r="J105" s="49">
        <f>AVERAGE('18.10 MITYANA-BUSUNJU 24hr'!J105,'19.10 MITYANA-BUSUNJU 24hr'!J105)</f>
        <v>0</v>
      </c>
      <c r="K105" s="49">
        <f>AVERAGE('18.10 MITYANA-BUSUNJU 24hr'!K105,'19.10 MITYANA-BUSUNJU 24hr'!K105)</f>
        <v>0.5</v>
      </c>
      <c r="L105" s="49">
        <f>AVERAGE('18.10 MITYANA-BUSUNJU 24hr'!L105,'19.10 MITYANA-BUSUNJU 24hr'!L105)</f>
        <v>0</v>
      </c>
      <c r="M105" s="49">
        <f>AVERAGE('18.10 MITYANA-BUSUNJU 24hr'!M105,'19.10 MITYANA-BUSUNJU 24hr'!M105)</f>
        <v>6</v>
      </c>
      <c r="N105" s="49">
        <f>AVERAGE('18.10 MITYANA-BUSUNJU 24hr'!N105,'19.10 MITYANA-BUSUNJU 24hr'!N105)</f>
        <v>0</v>
      </c>
      <c r="O105" s="15">
        <f t="shared" si="35"/>
        <v>4.5</v>
      </c>
      <c r="P105" s="15">
        <f t="shared" si="36"/>
        <v>10.5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64.214285714285722</v>
      </c>
      <c r="D106" s="16">
        <f t="shared" ref="D106:P106" si="37">SUM(D10:D105)</f>
        <v>29.214285714285715</v>
      </c>
      <c r="E106" s="16">
        <f t="shared" si="37"/>
        <v>26.071428571428577</v>
      </c>
      <c r="F106" s="16">
        <f t="shared" si="37"/>
        <v>12.357142857142859</v>
      </c>
      <c r="G106" s="16">
        <f t="shared" si="37"/>
        <v>0.99999999999999978</v>
      </c>
      <c r="H106" s="16">
        <f t="shared" si="37"/>
        <v>2.0714285714285712</v>
      </c>
      <c r="I106" s="16">
        <f t="shared" si="37"/>
        <v>49.999999999999993</v>
      </c>
      <c r="J106" s="16">
        <f t="shared" si="37"/>
        <v>24.642857142857146</v>
      </c>
      <c r="K106" s="16">
        <f t="shared" si="37"/>
        <v>21.571428571428569</v>
      </c>
      <c r="L106" s="16">
        <f t="shared" si="37"/>
        <v>3.4285714285714288</v>
      </c>
      <c r="M106" s="16">
        <f t="shared" si="37"/>
        <v>732.78571428571422</v>
      </c>
      <c r="N106" s="16">
        <f t="shared" si="37"/>
        <v>0</v>
      </c>
      <c r="O106" s="16">
        <f t="shared" si="37"/>
        <v>234.57142857142856</v>
      </c>
      <c r="P106" s="16">
        <f t="shared" si="37"/>
        <v>967.35714285714278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6.6381156316916504E-2</v>
      </c>
      <c r="D107" s="43">
        <f t="shared" si="38"/>
        <v>3.020010337443698E-2</v>
      </c>
      <c r="E107" s="43">
        <f t="shared" si="38"/>
        <v>2.6951192497969439E-2</v>
      </c>
      <c r="F107" s="43">
        <f t="shared" si="38"/>
        <v>1.2774126855201953E-2</v>
      </c>
      <c r="G107" s="43">
        <f t="shared" si="38"/>
        <v>1.0337443697851288E-3</v>
      </c>
      <c r="H107" s="43">
        <f t="shared" si="38"/>
        <v>2.1413276231263384E-3</v>
      </c>
      <c r="I107" s="43">
        <f t="shared" si="38"/>
        <v>5.1687218489256441E-2</v>
      </c>
      <c r="J107" s="43">
        <f t="shared" si="38"/>
        <v>2.5474414826847824E-2</v>
      </c>
      <c r="K107" s="43">
        <f t="shared" si="38"/>
        <v>2.229934283393635E-2</v>
      </c>
      <c r="L107" s="43">
        <f t="shared" si="38"/>
        <v>3.544266410691871E-3</v>
      </c>
      <c r="M107" s="43">
        <f t="shared" si="38"/>
        <v>0.75751310640183123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0.27375152253349577</v>
      </c>
      <c r="D108" s="44">
        <f t="shared" ref="D108:N108" si="39">D106/$O$106</f>
        <v>0.12454323995127894</v>
      </c>
      <c r="E108" s="44">
        <f t="shared" si="39"/>
        <v>0.11114494518879418</v>
      </c>
      <c r="F108" s="44">
        <f t="shared" si="39"/>
        <v>5.2679658952496967E-2</v>
      </c>
      <c r="G108" s="44">
        <f t="shared" si="39"/>
        <v>4.2630937880633367E-3</v>
      </c>
      <c r="H108" s="44">
        <f t="shared" si="39"/>
        <v>8.8306942752740553E-3</v>
      </c>
      <c r="I108" s="44">
        <f t="shared" si="39"/>
        <v>0.21315468940316684</v>
      </c>
      <c r="J108" s="44">
        <f t="shared" si="39"/>
        <v>0.10505481120584655</v>
      </c>
      <c r="K108" s="44">
        <f t="shared" si="39"/>
        <v>9.1961023142509132E-2</v>
      </c>
      <c r="L108" s="44">
        <f t="shared" si="39"/>
        <v>1.4616321559074302E-2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zoomScale="60" workbookViewId="0">
      <selection activeCell="S103" sqref="S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'22.10 MITYANA-BUSUNJU 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1" t="s">
        <v>163</v>
      </c>
      <c r="E5" s="72"/>
      <c r="F5" s="41" t="s">
        <v>1</v>
      </c>
      <c r="G5" s="69" t="str">
        <f>'22.10 MITYANA-BUSUNJU '!G5:H5</f>
        <v>EXCEL&amp;LOOGE</v>
      </c>
      <c r="H5" s="70"/>
      <c r="I5" s="14"/>
      <c r="J5" s="2" t="s">
        <v>5</v>
      </c>
      <c r="K5" s="69" t="str">
        <f>'22.10 MITYANA-BUSUNJU '!K5:L5</f>
        <v>JOSEPHINE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tr">
        <f>'22.10 MITYANA-BUSUNJU '!D6:E6</f>
        <v>MITYANA</v>
      </c>
      <c r="E6" s="70"/>
      <c r="F6" s="2" t="s">
        <v>2</v>
      </c>
      <c r="G6" s="69" t="str">
        <f>'22.10 MITYANA-BUSUNJU '!G6:H6</f>
        <v>BUSUNJU</v>
      </c>
      <c r="H6" s="70"/>
      <c r="J6" s="2" t="s">
        <v>21</v>
      </c>
      <c r="K6" s="69" t="str">
        <f>'22.10 MITYANA-BUSUNJU '!K6:L6</f>
        <v>Nusulah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MITYANA-BUSUNJU'!C10,'23.10 MITYANA-BUSUNJU '!C10,'20.10  BUSUNJU-MITYANA'!C10,'21.10 MITYANA-BUSUNJU '!C10,'19.10 MITYANA-BUSUNJU 24hr'!C10,'19.10 BUSUNJU-MITYANA 24hr'!C10,'22.10 MITYANA-BUSUNJU '!C10)</f>
        <v>0.5714285714285714</v>
      </c>
      <c r="D10" s="49">
        <f>AVERAGE('17.10 MITYANA-BUSUNJU'!D10,'23.10 MITYANA-BUSUNJU '!D10,'20.10  BUSUNJU-MITYANA'!D10,'21.10 MITYANA-BUSUNJU '!D10,'19.10 MITYANA-BUSUNJU 24hr'!D10,'19.10 BUSUNJU-MITYANA 24hr'!D10,'22.10 MITYANA-BUSUNJU '!D10)</f>
        <v>0.2857142857142857</v>
      </c>
      <c r="E10" s="49">
        <f>AVERAGE('17.10 MITYANA-BUSUNJU'!E10,'23.10 MITYANA-BUSUNJU '!E10,'20.10  BUSUNJU-MITYANA'!E10,'21.10 MITYANA-BUSUNJU '!E10,'19.10 MITYANA-BUSUNJU 24hr'!E10,'19.10 BUSUNJU-MITYANA 24hr'!E10,'22.10 MITYANA-BUSUNJU '!E10)</f>
        <v>0.5714285714285714</v>
      </c>
      <c r="F10" s="49">
        <f>AVERAGE('17.10 MITYANA-BUSUNJU'!F10,'23.10 MITYANA-BUSUNJU '!F10,'20.10  BUSUNJU-MITYANA'!F10,'21.10 MITYANA-BUSUNJU '!F10,'19.10 MITYANA-BUSUNJU 24hr'!F10,'19.10 BUSUNJU-MITYANA 24hr'!F10,'22.10 MITYANA-BUSUNJU '!F10)</f>
        <v>0.5714285714285714</v>
      </c>
      <c r="G10" s="49">
        <f>AVERAGE('17.10 MITYANA-BUSUNJU'!G10,'23.10 MITYANA-BUSUNJU '!G10,'20.10  BUSUNJU-MITYANA'!G10,'21.10 MITYANA-BUSUNJU '!G10,'19.10 MITYANA-BUSUNJU 24hr'!G10,'19.10 BUSUNJU-MITYANA 24hr'!G10,'22.10 MITYANA-BUSUNJU '!G10)</f>
        <v>0</v>
      </c>
      <c r="H10" s="49">
        <f>AVERAGE('17.10 MITYANA-BUSUNJU'!H10,'23.10 MITYANA-BUSUNJU '!H10,'20.10  BUSUNJU-MITYANA'!H10,'21.10 MITYANA-BUSUNJU '!H10,'19.10 MITYANA-BUSUNJU 24hr'!H10,'19.10 BUSUNJU-MITYANA 24hr'!H10,'22.10 MITYANA-BUSUNJU '!H10)</f>
        <v>0</v>
      </c>
      <c r="I10" s="49">
        <f>AVERAGE('17.10 MITYANA-BUSUNJU'!I10,'23.10 MITYANA-BUSUNJU '!I10,'20.10  BUSUNJU-MITYANA'!I10,'21.10 MITYANA-BUSUNJU '!I10,'19.10 MITYANA-BUSUNJU 24hr'!I10,'19.10 BUSUNJU-MITYANA 24hr'!I10,'22.10 MITYANA-BUSUNJU '!I10)</f>
        <v>0.2857142857142857</v>
      </c>
      <c r="J10" s="49">
        <f>AVERAGE('17.10 MITYANA-BUSUNJU'!J10,'23.10 MITYANA-BUSUNJU '!J10,'20.10  BUSUNJU-MITYANA'!J10,'21.10 MITYANA-BUSUNJU '!J10,'19.10 MITYANA-BUSUNJU 24hr'!J10,'19.10 BUSUNJU-MITYANA 24hr'!J10,'22.10 MITYANA-BUSUNJU '!J10)</f>
        <v>0</v>
      </c>
      <c r="K10" s="49">
        <f>AVERAGE('17.10 MITYANA-BUSUNJU'!K10,'23.10 MITYANA-BUSUNJU '!K10,'20.10  BUSUNJU-MITYANA'!K10,'21.10 MITYANA-BUSUNJU '!K10,'19.10 MITYANA-BUSUNJU 24hr'!K10,'19.10 BUSUNJU-MITYANA 24hr'!K10,'22.10 MITYANA-BUSUNJU '!K10)</f>
        <v>0</v>
      </c>
      <c r="L10" s="49">
        <f>AVERAGE('17.10 MITYANA-BUSUNJU'!L10,'23.10 MITYANA-BUSUNJU '!L10,'20.10  BUSUNJU-MITYANA'!L10,'21.10 MITYANA-BUSUNJU '!L10,'19.10 MITYANA-BUSUNJU 24hr'!L10,'19.10 BUSUNJU-MITYANA 24hr'!L10,'22.10 MITYANA-BUSUNJU '!L10)</f>
        <v>0</v>
      </c>
      <c r="M10" s="49">
        <f>AVERAGE('17.10 MITYANA-BUSUNJU'!M10,'23.10 MITYANA-BUSUNJU '!M10,'20.10  BUSUNJU-MITYANA'!M10,'21.10 MITYANA-BUSUNJU '!M10,'19.10 MITYANA-BUSUNJU 24hr'!M10,'19.10 BUSUNJU-MITYANA 24hr'!M10,'22.10 MITYANA-BUSUNJU '!M10)</f>
        <v>5.4285714285714288</v>
      </c>
      <c r="N10" s="49">
        <f>AVERAGE('17.10 MITYANA-BUSUNJU'!N10,'23.10 MITYANA-BUSUNJU '!N10,'20.10  BUSUNJU-MITYANA'!N10,'21.10 MITYANA-BUSUNJU '!N10,'19.10 MITYANA-BUSUNJU 24hr'!N10,'19.10 BUSUNJU-MITYANA 24hr'!N10,'22.10 MITYANA-BUSUNJU '!N10)</f>
        <v>0</v>
      </c>
      <c r="O10" s="15">
        <f t="shared" ref="O10:O73" si="0">SUM(C10:L10,N10)</f>
        <v>2.2857142857142856</v>
      </c>
      <c r="P10" s="15">
        <f t="shared" ref="P10:P73" si="1">SUM(C10:N10)</f>
        <v>7.7142857142857144</v>
      </c>
      <c r="R10" s="1" t="s">
        <v>6</v>
      </c>
      <c r="S10" s="17">
        <f t="shared" ref="S10:AF10" si="2">SUM(C10:C13)</f>
        <v>1.7142857142857142</v>
      </c>
      <c r="T10" s="17">
        <f t="shared" si="2"/>
        <v>0.5714285714285714</v>
      </c>
      <c r="U10" s="17">
        <f t="shared" si="2"/>
        <v>0.8571428571428571</v>
      </c>
      <c r="V10" s="17">
        <f t="shared" si="2"/>
        <v>0.71428571428571419</v>
      </c>
      <c r="W10" s="17">
        <f t="shared" si="2"/>
        <v>0</v>
      </c>
      <c r="X10" s="17">
        <f t="shared" si="2"/>
        <v>0</v>
      </c>
      <c r="Y10" s="17">
        <f t="shared" si="2"/>
        <v>0.8571428571428571</v>
      </c>
      <c r="Z10" s="17">
        <f t="shared" si="2"/>
        <v>0.2857142857142857</v>
      </c>
      <c r="AA10" s="17">
        <f t="shared" si="2"/>
        <v>0</v>
      </c>
      <c r="AB10" s="17">
        <f t="shared" si="2"/>
        <v>0.2857142857142857</v>
      </c>
      <c r="AC10" s="17">
        <f t="shared" si="2"/>
        <v>30.571428571428573</v>
      </c>
      <c r="AD10" s="17">
        <f t="shared" si="2"/>
        <v>0</v>
      </c>
      <c r="AE10" s="31">
        <f t="shared" si="2"/>
        <v>5.2857142857142856</v>
      </c>
      <c r="AF10" s="31">
        <f t="shared" si="2"/>
        <v>35.857142857142854</v>
      </c>
    </row>
    <row r="11" spans="2:32" s="6" customFormat="1" ht="23.1" customHeight="1" x14ac:dyDescent="0.25">
      <c r="B11" s="23" t="s">
        <v>38</v>
      </c>
      <c r="C11" s="49">
        <f>AVERAGE('17.10 MITYANA-BUSUNJU'!C11,'23.10 MITYANA-BUSUNJU '!C11,'20.10  BUSUNJU-MITYANA'!C11,'21.10 MITYANA-BUSUNJU '!C11,'19.10 MITYANA-BUSUNJU 24hr'!C11,'19.10 BUSUNJU-MITYANA 24hr'!C11,'22.10 MITYANA-BUSUNJU '!C11)</f>
        <v>0.42857142857142855</v>
      </c>
      <c r="D11" s="49">
        <f>AVERAGE('17.10 MITYANA-BUSUNJU'!D11,'23.10 MITYANA-BUSUNJU '!D11,'20.10  BUSUNJU-MITYANA'!D11,'21.10 MITYANA-BUSUNJU '!D11,'19.10 MITYANA-BUSUNJU 24hr'!D11,'19.10 BUSUNJU-MITYANA 24hr'!D11,'22.10 MITYANA-BUSUNJU '!D11)</f>
        <v>0.14285714285714285</v>
      </c>
      <c r="E11" s="49">
        <f>AVERAGE('17.10 MITYANA-BUSUNJU'!E11,'23.10 MITYANA-BUSUNJU '!E11,'20.10  BUSUNJU-MITYANA'!E11,'21.10 MITYANA-BUSUNJU '!E11,'19.10 MITYANA-BUSUNJU 24hr'!E11,'19.10 BUSUNJU-MITYANA 24hr'!E11,'22.10 MITYANA-BUSUNJU '!E11)</f>
        <v>0.2857142857142857</v>
      </c>
      <c r="F11" s="49">
        <f>AVERAGE('17.10 MITYANA-BUSUNJU'!F11,'23.10 MITYANA-BUSUNJU '!F11,'20.10  BUSUNJU-MITYANA'!F11,'21.10 MITYANA-BUSUNJU '!F11,'19.10 MITYANA-BUSUNJU 24hr'!F11,'19.10 BUSUNJU-MITYANA 24hr'!F11,'22.10 MITYANA-BUSUNJU '!F11)</f>
        <v>0.14285714285714285</v>
      </c>
      <c r="G11" s="49">
        <f>AVERAGE('17.10 MITYANA-BUSUNJU'!G11,'23.10 MITYANA-BUSUNJU '!G11,'20.10  BUSUNJU-MITYANA'!G11,'21.10 MITYANA-BUSUNJU '!G11,'19.10 MITYANA-BUSUNJU 24hr'!G11,'19.10 BUSUNJU-MITYANA 24hr'!G11,'22.10 MITYANA-BUSUNJU '!G11)</f>
        <v>0</v>
      </c>
      <c r="H11" s="49">
        <f>AVERAGE('17.10 MITYANA-BUSUNJU'!H11,'23.10 MITYANA-BUSUNJU '!H11,'20.10  BUSUNJU-MITYANA'!H11,'21.10 MITYANA-BUSUNJU '!H11,'19.10 MITYANA-BUSUNJU 24hr'!H11,'19.10 BUSUNJU-MITYANA 24hr'!H11,'22.10 MITYANA-BUSUNJU '!H11)</f>
        <v>0</v>
      </c>
      <c r="I11" s="49">
        <f>AVERAGE('17.10 MITYANA-BUSUNJU'!I11,'23.10 MITYANA-BUSUNJU '!I11,'20.10  BUSUNJU-MITYANA'!I11,'21.10 MITYANA-BUSUNJU '!I11,'19.10 MITYANA-BUSUNJU 24hr'!I11,'19.10 BUSUNJU-MITYANA 24hr'!I11,'22.10 MITYANA-BUSUNJU '!I11)</f>
        <v>0</v>
      </c>
      <c r="J11" s="49">
        <f>AVERAGE('17.10 MITYANA-BUSUNJU'!J11,'23.10 MITYANA-BUSUNJU '!J11,'20.10  BUSUNJU-MITYANA'!J11,'21.10 MITYANA-BUSUNJU '!J11,'19.10 MITYANA-BUSUNJU 24hr'!J11,'19.10 BUSUNJU-MITYANA 24hr'!J11,'22.10 MITYANA-BUSUNJU '!J11)</f>
        <v>0</v>
      </c>
      <c r="K11" s="49">
        <f>AVERAGE('17.10 MITYANA-BUSUNJU'!K11,'23.10 MITYANA-BUSUNJU '!K11,'20.10  BUSUNJU-MITYANA'!K11,'21.10 MITYANA-BUSUNJU '!K11,'19.10 MITYANA-BUSUNJU 24hr'!K11,'19.10 BUSUNJU-MITYANA 24hr'!K11,'22.10 MITYANA-BUSUNJU '!K11)</f>
        <v>0</v>
      </c>
      <c r="L11" s="49">
        <f>AVERAGE('17.10 MITYANA-BUSUNJU'!L11,'23.10 MITYANA-BUSUNJU '!L11,'20.10  BUSUNJU-MITYANA'!L11,'21.10 MITYANA-BUSUNJU '!L11,'19.10 MITYANA-BUSUNJU 24hr'!L11,'19.10 BUSUNJU-MITYANA 24hr'!L11,'22.10 MITYANA-BUSUNJU '!L11)</f>
        <v>0.14285714285714285</v>
      </c>
      <c r="M11" s="49">
        <f>AVERAGE('17.10 MITYANA-BUSUNJU'!M11,'23.10 MITYANA-BUSUNJU '!M11,'20.10  BUSUNJU-MITYANA'!M11,'21.10 MITYANA-BUSUNJU '!M11,'19.10 MITYANA-BUSUNJU 24hr'!M11,'19.10 BUSUNJU-MITYANA 24hr'!M11,'22.10 MITYANA-BUSUNJU '!M11)</f>
        <v>7</v>
      </c>
      <c r="N11" s="49">
        <f>AVERAGE('17.10 MITYANA-BUSUNJU'!N11,'23.10 MITYANA-BUSUNJU '!N11,'20.10  BUSUNJU-MITYANA'!N11,'21.10 MITYANA-BUSUNJU '!N11,'19.10 MITYANA-BUSUNJU 24hr'!N11,'19.10 BUSUNJU-MITYANA 24hr'!N11,'22.10 MITYANA-BUSUNJU '!N11)</f>
        <v>0</v>
      </c>
      <c r="O11" s="15">
        <f t="shared" si="0"/>
        <v>1.1428571428571428</v>
      </c>
      <c r="P11" s="15">
        <f t="shared" si="1"/>
        <v>8.1428571428571423</v>
      </c>
      <c r="R11" s="1" t="s">
        <v>7</v>
      </c>
      <c r="S11" s="17">
        <f t="shared" ref="S11:AF11" si="3">SUM(C14:C17)</f>
        <v>1</v>
      </c>
      <c r="T11" s="17">
        <f t="shared" si="3"/>
        <v>0.42857142857142855</v>
      </c>
      <c r="U11" s="17">
        <f t="shared" si="3"/>
        <v>0.71428571428571419</v>
      </c>
      <c r="V11" s="17">
        <f t="shared" si="3"/>
        <v>0.14285714285714285</v>
      </c>
      <c r="W11" s="17">
        <f t="shared" si="3"/>
        <v>0</v>
      </c>
      <c r="X11" s="17">
        <f t="shared" si="3"/>
        <v>0</v>
      </c>
      <c r="Y11" s="17">
        <f t="shared" si="3"/>
        <v>2.7142857142857144</v>
      </c>
      <c r="Z11" s="17">
        <f t="shared" si="3"/>
        <v>0.14285714285714285</v>
      </c>
      <c r="AA11" s="17">
        <f t="shared" si="3"/>
        <v>0.2857142857142857</v>
      </c>
      <c r="AB11" s="17">
        <f t="shared" si="3"/>
        <v>0</v>
      </c>
      <c r="AC11" s="17">
        <f t="shared" si="3"/>
        <v>43.142857142857146</v>
      </c>
      <c r="AD11" s="17">
        <f t="shared" si="3"/>
        <v>0</v>
      </c>
      <c r="AE11" s="31">
        <f t="shared" si="3"/>
        <v>5.4285714285714288</v>
      </c>
      <c r="AF11" s="31">
        <f t="shared" si="3"/>
        <v>48.571428571428569</v>
      </c>
    </row>
    <row r="12" spans="2:32" ht="23.1" customHeight="1" x14ac:dyDescent="0.25">
      <c r="B12" s="23" t="s">
        <v>39</v>
      </c>
      <c r="C12" s="49">
        <f>AVERAGE('17.10 MITYANA-BUSUNJU'!C12,'23.10 MITYANA-BUSUNJU '!C12,'20.10  BUSUNJU-MITYANA'!C12,'21.10 MITYANA-BUSUNJU '!C12,'19.10 MITYANA-BUSUNJU 24hr'!C12,'19.10 BUSUNJU-MITYANA 24hr'!C12,'22.10 MITYANA-BUSUNJU '!C12)</f>
        <v>0.2857142857142857</v>
      </c>
      <c r="D12" s="49">
        <f>AVERAGE('17.10 MITYANA-BUSUNJU'!D12,'23.10 MITYANA-BUSUNJU '!D12,'20.10  BUSUNJU-MITYANA'!D12,'21.10 MITYANA-BUSUNJU '!D12,'19.10 MITYANA-BUSUNJU 24hr'!D12,'19.10 BUSUNJU-MITYANA 24hr'!D12,'22.10 MITYANA-BUSUNJU '!D12)</f>
        <v>0.14285714285714285</v>
      </c>
      <c r="E12" s="49">
        <f>AVERAGE('17.10 MITYANA-BUSUNJU'!E12,'23.10 MITYANA-BUSUNJU '!E12,'20.10  BUSUNJU-MITYANA'!E12,'21.10 MITYANA-BUSUNJU '!E12,'19.10 MITYANA-BUSUNJU 24hr'!E12,'19.10 BUSUNJU-MITYANA 24hr'!E12,'22.10 MITYANA-BUSUNJU '!E12)</f>
        <v>0</v>
      </c>
      <c r="F12" s="49">
        <f>AVERAGE('17.10 MITYANA-BUSUNJU'!F12,'23.10 MITYANA-BUSUNJU '!F12,'20.10  BUSUNJU-MITYANA'!F12,'21.10 MITYANA-BUSUNJU '!F12,'19.10 MITYANA-BUSUNJU 24hr'!F12,'19.10 BUSUNJU-MITYANA 24hr'!F12,'22.10 MITYANA-BUSUNJU '!F12)</f>
        <v>0</v>
      </c>
      <c r="G12" s="49">
        <f>AVERAGE('17.10 MITYANA-BUSUNJU'!G12,'23.10 MITYANA-BUSUNJU '!G12,'20.10  BUSUNJU-MITYANA'!G12,'21.10 MITYANA-BUSUNJU '!G12,'19.10 MITYANA-BUSUNJU 24hr'!G12,'19.10 BUSUNJU-MITYANA 24hr'!G12,'22.10 MITYANA-BUSUNJU '!G12)</f>
        <v>0</v>
      </c>
      <c r="H12" s="49">
        <f>AVERAGE('17.10 MITYANA-BUSUNJU'!H12,'23.10 MITYANA-BUSUNJU '!H12,'20.10  BUSUNJU-MITYANA'!H12,'21.10 MITYANA-BUSUNJU '!H12,'19.10 MITYANA-BUSUNJU 24hr'!H12,'19.10 BUSUNJU-MITYANA 24hr'!H12,'22.10 MITYANA-BUSUNJU '!H12)</f>
        <v>0</v>
      </c>
      <c r="I12" s="49">
        <f>AVERAGE('17.10 MITYANA-BUSUNJU'!I12,'23.10 MITYANA-BUSUNJU '!I12,'20.10  BUSUNJU-MITYANA'!I12,'21.10 MITYANA-BUSUNJU '!I12,'19.10 MITYANA-BUSUNJU 24hr'!I12,'19.10 BUSUNJU-MITYANA 24hr'!I12,'22.10 MITYANA-BUSUNJU '!I12)</f>
        <v>0.2857142857142857</v>
      </c>
      <c r="J12" s="49">
        <f>AVERAGE('17.10 MITYANA-BUSUNJU'!J12,'23.10 MITYANA-BUSUNJU '!J12,'20.10  BUSUNJU-MITYANA'!J12,'21.10 MITYANA-BUSUNJU '!J12,'19.10 MITYANA-BUSUNJU 24hr'!J12,'19.10 BUSUNJU-MITYANA 24hr'!J12,'22.10 MITYANA-BUSUNJU '!J12)</f>
        <v>0.2857142857142857</v>
      </c>
      <c r="K12" s="49">
        <f>AVERAGE('17.10 MITYANA-BUSUNJU'!K12,'23.10 MITYANA-BUSUNJU '!K12,'20.10  BUSUNJU-MITYANA'!K12,'21.10 MITYANA-BUSUNJU '!K12,'19.10 MITYANA-BUSUNJU 24hr'!K12,'19.10 BUSUNJU-MITYANA 24hr'!K12,'22.10 MITYANA-BUSUNJU '!K12)</f>
        <v>0</v>
      </c>
      <c r="L12" s="49">
        <f>AVERAGE('17.10 MITYANA-BUSUNJU'!L12,'23.10 MITYANA-BUSUNJU '!L12,'20.10  BUSUNJU-MITYANA'!L12,'21.10 MITYANA-BUSUNJU '!L12,'19.10 MITYANA-BUSUNJU 24hr'!L12,'19.10 BUSUNJU-MITYANA 24hr'!L12,'22.10 MITYANA-BUSUNJU '!L12)</f>
        <v>0.14285714285714285</v>
      </c>
      <c r="M12" s="49">
        <f>AVERAGE('17.10 MITYANA-BUSUNJU'!M12,'23.10 MITYANA-BUSUNJU '!M12,'20.10  BUSUNJU-MITYANA'!M12,'21.10 MITYANA-BUSUNJU '!M12,'19.10 MITYANA-BUSUNJU 24hr'!M12,'19.10 BUSUNJU-MITYANA 24hr'!M12,'22.10 MITYANA-BUSUNJU '!M12)</f>
        <v>9</v>
      </c>
      <c r="N12" s="49">
        <f>AVERAGE('17.10 MITYANA-BUSUNJU'!N12,'23.10 MITYANA-BUSUNJU '!N12,'20.10  BUSUNJU-MITYANA'!N12,'21.10 MITYANA-BUSUNJU '!N12,'19.10 MITYANA-BUSUNJU 24hr'!N12,'19.10 BUSUNJU-MITYANA 24hr'!N12,'22.10 MITYANA-BUSUNJU '!N12)</f>
        <v>0</v>
      </c>
      <c r="O12" s="15">
        <f t="shared" si="0"/>
        <v>1.1428571428571428</v>
      </c>
      <c r="P12" s="15">
        <f t="shared" si="1"/>
        <v>10.142857142857142</v>
      </c>
      <c r="R12" s="1" t="s">
        <v>8</v>
      </c>
      <c r="S12" s="17">
        <f t="shared" ref="S12:AF12" si="4">SUM(C18:C21)</f>
        <v>1.7142857142857142</v>
      </c>
      <c r="T12" s="17">
        <f t="shared" si="4"/>
        <v>1.2857142857142856</v>
      </c>
      <c r="U12" s="17">
        <f t="shared" si="4"/>
        <v>0.85714285714285721</v>
      </c>
      <c r="V12" s="17">
        <f t="shared" si="4"/>
        <v>0.71428571428571419</v>
      </c>
      <c r="W12" s="17">
        <f t="shared" si="4"/>
        <v>0</v>
      </c>
      <c r="X12" s="17">
        <f t="shared" si="4"/>
        <v>0.2857142857142857</v>
      </c>
      <c r="Y12" s="17">
        <f t="shared" si="4"/>
        <v>1.5714285714285714</v>
      </c>
      <c r="Z12" s="17">
        <f t="shared" si="4"/>
        <v>0.42857142857142855</v>
      </c>
      <c r="AA12" s="17">
        <f t="shared" si="4"/>
        <v>0.14285714285714285</v>
      </c>
      <c r="AB12" s="17">
        <f t="shared" si="4"/>
        <v>0</v>
      </c>
      <c r="AC12" s="17">
        <f t="shared" si="4"/>
        <v>44.571428571428569</v>
      </c>
      <c r="AD12" s="17">
        <f t="shared" si="4"/>
        <v>0</v>
      </c>
      <c r="AE12" s="31">
        <f t="shared" si="4"/>
        <v>6.9999999999999982</v>
      </c>
      <c r="AF12" s="31">
        <f t="shared" si="4"/>
        <v>51.571428571428569</v>
      </c>
    </row>
    <row r="13" spans="2:32" ht="23.1" customHeight="1" x14ac:dyDescent="0.25">
      <c r="B13" s="23" t="s">
        <v>40</v>
      </c>
      <c r="C13" s="49">
        <f>AVERAGE('17.10 MITYANA-BUSUNJU'!C13,'23.10 MITYANA-BUSUNJU '!C13,'20.10  BUSUNJU-MITYANA'!C13,'21.10 MITYANA-BUSUNJU '!C13,'19.10 MITYANA-BUSUNJU 24hr'!C13,'19.10 BUSUNJU-MITYANA 24hr'!C13,'22.10 MITYANA-BUSUNJU '!C13)</f>
        <v>0.42857142857142855</v>
      </c>
      <c r="D13" s="49">
        <f>AVERAGE('17.10 MITYANA-BUSUNJU'!D13,'23.10 MITYANA-BUSUNJU '!D13,'20.10  BUSUNJU-MITYANA'!D13,'21.10 MITYANA-BUSUNJU '!D13,'19.10 MITYANA-BUSUNJU 24hr'!D13,'19.10 BUSUNJU-MITYANA 24hr'!D13,'22.10 MITYANA-BUSUNJU '!D13)</f>
        <v>0</v>
      </c>
      <c r="E13" s="49">
        <f>AVERAGE('17.10 MITYANA-BUSUNJU'!E13,'23.10 MITYANA-BUSUNJU '!E13,'20.10  BUSUNJU-MITYANA'!E13,'21.10 MITYANA-BUSUNJU '!E13,'19.10 MITYANA-BUSUNJU 24hr'!E13,'19.10 BUSUNJU-MITYANA 24hr'!E13,'22.10 MITYANA-BUSUNJU '!E13)</f>
        <v>0</v>
      </c>
      <c r="F13" s="49">
        <f>AVERAGE('17.10 MITYANA-BUSUNJU'!F13,'23.10 MITYANA-BUSUNJU '!F13,'20.10  BUSUNJU-MITYANA'!F13,'21.10 MITYANA-BUSUNJU '!F13,'19.10 MITYANA-BUSUNJU 24hr'!F13,'19.10 BUSUNJU-MITYANA 24hr'!F13,'22.10 MITYANA-BUSUNJU '!F13)</f>
        <v>0</v>
      </c>
      <c r="G13" s="49">
        <f>AVERAGE('17.10 MITYANA-BUSUNJU'!G13,'23.10 MITYANA-BUSUNJU '!G13,'20.10  BUSUNJU-MITYANA'!G13,'21.10 MITYANA-BUSUNJU '!G13,'19.10 MITYANA-BUSUNJU 24hr'!G13,'19.10 BUSUNJU-MITYANA 24hr'!G13,'22.10 MITYANA-BUSUNJU '!G13)</f>
        <v>0</v>
      </c>
      <c r="H13" s="49">
        <f>AVERAGE('17.10 MITYANA-BUSUNJU'!H13,'23.10 MITYANA-BUSUNJU '!H13,'20.10  BUSUNJU-MITYANA'!H13,'21.10 MITYANA-BUSUNJU '!H13,'19.10 MITYANA-BUSUNJU 24hr'!H13,'19.10 BUSUNJU-MITYANA 24hr'!H13,'22.10 MITYANA-BUSUNJU '!H13)</f>
        <v>0</v>
      </c>
      <c r="I13" s="49">
        <f>AVERAGE('17.10 MITYANA-BUSUNJU'!I13,'23.10 MITYANA-BUSUNJU '!I13,'20.10  BUSUNJU-MITYANA'!I13,'21.10 MITYANA-BUSUNJU '!I13,'19.10 MITYANA-BUSUNJU 24hr'!I13,'19.10 BUSUNJU-MITYANA 24hr'!I13,'22.10 MITYANA-BUSUNJU '!I13)</f>
        <v>0.2857142857142857</v>
      </c>
      <c r="J13" s="49">
        <f>AVERAGE('17.10 MITYANA-BUSUNJU'!J13,'23.10 MITYANA-BUSUNJU '!J13,'20.10  BUSUNJU-MITYANA'!J13,'21.10 MITYANA-BUSUNJU '!J13,'19.10 MITYANA-BUSUNJU 24hr'!J13,'19.10 BUSUNJU-MITYANA 24hr'!J13,'22.10 MITYANA-BUSUNJU '!J13)</f>
        <v>0</v>
      </c>
      <c r="K13" s="49">
        <f>AVERAGE('17.10 MITYANA-BUSUNJU'!K13,'23.10 MITYANA-BUSUNJU '!K13,'20.10  BUSUNJU-MITYANA'!K13,'21.10 MITYANA-BUSUNJU '!K13,'19.10 MITYANA-BUSUNJU 24hr'!K13,'19.10 BUSUNJU-MITYANA 24hr'!K13,'22.10 MITYANA-BUSUNJU '!K13)</f>
        <v>0</v>
      </c>
      <c r="L13" s="49">
        <f>AVERAGE('17.10 MITYANA-BUSUNJU'!L13,'23.10 MITYANA-BUSUNJU '!L13,'20.10  BUSUNJU-MITYANA'!L13,'21.10 MITYANA-BUSUNJU '!L13,'19.10 MITYANA-BUSUNJU 24hr'!L13,'19.10 BUSUNJU-MITYANA 24hr'!L13,'22.10 MITYANA-BUSUNJU '!L13)</f>
        <v>0</v>
      </c>
      <c r="M13" s="49">
        <f>AVERAGE('17.10 MITYANA-BUSUNJU'!M13,'23.10 MITYANA-BUSUNJU '!M13,'20.10  BUSUNJU-MITYANA'!M13,'21.10 MITYANA-BUSUNJU '!M13,'19.10 MITYANA-BUSUNJU 24hr'!M13,'19.10 BUSUNJU-MITYANA 24hr'!M13,'22.10 MITYANA-BUSUNJU '!M13)</f>
        <v>9.1428571428571423</v>
      </c>
      <c r="N13" s="49">
        <f>AVERAGE('17.10 MITYANA-BUSUNJU'!N13,'23.10 MITYANA-BUSUNJU '!N13,'20.10  BUSUNJU-MITYANA'!N13,'21.10 MITYANA-BUSUNJU '!N13,'19.10 MITYANA-BUSUNJU 24hr'!N13,'19.10 BUSUNJU-MITYANA 24hr'!N13,'22.10 MITYANA-BUSUNJU '!N13)</f>
        <v>0</v>
      </c>
      <c r="O13" s="15">
        <f t="shared" si="0"/>
        <v>0.71428571428571419</v>
      </c>
      <c r="P13" s="15">
        <f t="shared" si="1"/>
        <v>9.8571428571428559</v>
      </c>
      <c r="R13" s="1" t="s">
        <v>9</v>
      </c>
      <c r="S13" s="17">
        <f t="shared" ref="S13:AF13" si="5">SUM(C22:C25)</f>
        <v>1.9999999999999998</v>
      </c>
      <c r="T13" s="17">
        <f t="shared" si="5"/>
        <v>1.2857142857142856</v>
      </c>
      <c r="U13" s="17">
        <f t="shared" si="5"/>
        <v>0.85714285714285721</v>
      </c>
      <c r="V13" s="17">
        <f t="shared" si="5"/>
        <v>0.5714285714285714</v>
      </c>
      <c r="W13" s="17">
        <f t="shared" si="5"/>
        <v>0.14285714285714285</v>
      </c>
      <c r="X13" s="17">
        <f t="shared" si="5"/>
        <v>0.14285714285714285</v>
      </c>
      <c r="Y13" s="17">
        <f t="shared" si="5"/>
        <v>1.4285714285714284</v>
      </c>
      <c r="Z13" s="17">
        <f t="shared" si="5"/>
        <v>0.5714285714285714</v>
      </c>
      <c r="AA13" s="17">
        <f t="shared" si="5"/>
        <v>0</v>
      </c>
      <c r="AB13" s="17">
        <f t="shared" si="5"/>
        <v>0</v>
      </c>
      <c r="AC13" s="17">
        <f t="shared" si="5"/>
        <v>36.285714285714285</v>
      </c>
      <c r="AD13" s="17">
        <f t="shared" si="5"/>
        <v>0</v>
      </c>
      <c r="AE13" s="31">
        <f t="shared" si="5"/>
        <v>7</v>
      </c>
      <c r="AF13" s="31">
        <f t="shared" si="5"/>
        <v>43.285714285714285</v>
      </c>
    </row>
    <row r="14" spans="2:32" ht="23.1" customHeight="1" x14ac:dyDescent="0.25">
      <c r="B14" s="23" t="s">
        <v>41</v>
      </c>
      <c r="C14" s="49">
        <f>AVERAGE('17.10 MITYANA-BUSUNJU'!C14,'23.10 MITYANA-BUSUNJU '!C14,'20.10  BUSUNJU-MITYANA'!C14,'21.10 MITYANA-BUSUNJU '!C14,'19.10 MITYANA-BUSUNJU 24hr'!C14,'19.10 BUSUNJU-MITYANA 24hr'!C14,'22.10 MITYANA-BUSUNJU '!C14)</f>
        <v>0.14285714285714285</v>
      </c>
      <c r="D14" s="49">
        <f>AVERAGE('17.10 MITYANA-BUSUNJU'!D14,'23.10 MITYANA-BUSUNJU '!D14,'20.10  BUSUNJU-MITYANA'!D14,'21.10 MITYANA-BUSUNJU '!D14,'19.10 MITYANA-BUSUNJU 24hr'!D14,'19.10 BUSUNJU-MITYANA 24hr'!D14,'22.10 MITYANA-BUSUNJU '!D14)</f>
        <v>0</v>
      </c>
      <c r="E14" s="49">
        <f>AVERAGE('17.10 MITYANA-BUSUNJU'!E14,'23.10 MITYANA-BUSUNJU '!E14,'20.10  BUSUNJU-MITYANA'!E14,'21.10 MITYANA-BUSUNJU '!E14,'19.10 MITYANA-BUSUNJU 24hr'!E14,'19.10 BUSUNJU-MITYANA 24hr'!E14,'22.10 MITYANA-BUSUNJU '!E14)</f>
        <v>0.14285714285714285</v>
      </c>
      <c r="F14" s="49">
        <f>AVERAGE('17.10 MITYANA-BUSUNJU'!F14,'23.10 MITYANA-BUSUNJU '!F14,'20.10  BUSUNJU-MITYANA'!F14,'21.10 MITYANA-BUSUNJU '!F14,'19.10 MITYANA-BUSUNJU 24hr'!F14,'19.10 BUSUNJU-MITYANA 24hr'!F14,'22.10 MITYANA-BUSUNJU '!F14)</f>
        <v>0</v>
      </c>
      <c r="G14" s="49">
        <f>AVERAGE('17.10 MITYANA-BUSUNJU'!G14,'23.10 MITYANA-BUSUNJU '!G14,'20.10  BUSUNJU-MITYANA'!G14,'21.10 MITYANA-BUSUNJU '!G14,'19.10 MITYANA-BUSUNJU 24hr'!G14,'19.10 BUSUNJU-MITYANA 24hr'!G14,'22.10 MITYANA-BUSUNJU '!G14)</f>
        <v>0</v>
      </c>
      <c r="H14" s="49">
        <f>AVERAGE('17.10 MITYANA-BUSUNJU'!H14,'23.10 MITYANA-BUSUNJU '!H14,'20.10  BUSUNJU-MITYANA'!H14,'21.10 MITYANA-BUSUNJU '!H14,'19.10 MITYANA-BUSUNJU 24hr'!H14,'19.10 BUSUNJU-MITYANA 24hr'!H14,'22.10 MITYANA-BUSUNJU '!H14)</f>
        <v>0</v>
      </c>
      <c r="I14" s="49">
        <f>AVERAGE('17.10 MITYANA-BUSUNJU'!I14,'23.10 MITYANA-BUSUNJU '!I14,'20.10  BUSUNJU-MITYANA'!I14,'21.10 MITYANA-BUSUNJU '!I14,'19.10 MITYANA-BUSUNJU 24hr'!I14,'19.10 BUSUNJU-MITYANA 24hr'!I14,'22.10 MITYANA-BUSUNJU '!I14)</f>
        <v>0.7142857142857143</v>
      </c>
      <c r="J14" s="49">
        <f>AVERAGE('17.10 MITYANA-BUSUNJU'!J14,'23.10 MITYANA-BUSUNJU '!J14,'20.10  BUSUNJU-MITYANA'!J14,'21.10 MITYANA-BUSUNJU '!J14,'19.10 MITYANA-BUSUNJU 24hr'!J14,'19.10 BUSUNJU-MITYANA 24hr'!J14,'22.10 MITYANA-BUSUNJU '!J14)</f>
        <v>0</v>
      </c>
      <c r="K14" s="49">
        <f>AVERAGE('17.10 MITYANA-BUSUNJU'!K14,'23.10 MITYANA-BUSUNJU '!K14,'20.10  BUSUNJU-MITYANA'!K14,'21.10 MITYANA-BUSUNJU '!K14,'19.10 MITYANA-BUSUNJU 24hr'!K14,'19.10 BUSUNJU-MITYANA 24hr'!K14,'22.10 MITYANA-BUSUNJU '!K14)</f>
        <v>0.2857142857142857</v>
      </c>
      <c r="L14" s="49">
        <f>AVERAGE('17.10 MITYANA-BUSUNJU'!L14,'23.10 MITYANA-BUSUNJU '!L14,'20.10  BUSUNJU-MITYANA'!L14,'21.10 MITYANA-BUSUNJU '!L14,'19.10 MITYANA-BUSUNJU 24hr'!L14,'19.10 BUSUNJU-MITYANA 24hr'!L14,'22.10 MITYANA-BUSUNJU '!L14)</f>
        <v>0</v>
      </c>
      <c r="M14" s="49">
        <f>AVERAGE('17.10 MITYANA-BUSUNJU'!M14,'23.10 MITYANA-BUSUNJU '!M14,'20.10  BUSUNJU-MITYANA'!M14,'21.10 MITYANA-BUSUNJU '!M14,'19.10 MITYANA-BUSUNJU 24hr'!M14,'19.10 BUSUNJU-MITYANA 24hr'!M14,'22.10 MITYANA-BUSUNJU '!M14)</f>
        <v>8.7142857142857135</v>
      </c>
      <c r="N14" s="49">
        <f>AVERAGE('17.10 MITYANA-BUSUNJU'!N14,'23.10 MITYANA-BUSUNJU '!N14,'20.10  BUSUNJU-MITYANA'!N14,'21.10 MITYANA-BUSUNJU '!N14,'19.10 MITYANA-BUSUNJU 24hr'!N14,'19.10 BUSUNJU-MITYANA 24hr'!N14,'22.10 MITYANA-BUSUNJU '!N14)</f>
        <v>0</v>
      </c>
      <c r="O14" s="15">
        <f t="shared" si="0"/>
        <v>1.2857142857142856</v>
      </c>
      <c r="P14" s="15">
        <f t="shared" si="1"/>
        <v>10</v>
      </c>
      <c r="R14" s="1" t="s">
        <v>10</v>
      </c>
      <c r="S14" s="17">
        <f t="shared" ref="S14:AF14" si="6">SUM(C26:C29)</f>
        <v>3.5714285714285716</v>
      </c>
      <c r="T14" s="17">
        <f t="shared" si="6"/>
        <v>1.7142857142857142</v>
      </c>
      <c r="U14" s="17">
        <f t="shared" si="6"/>
        <v>1</v>
      </c>
      <c r="V14" s="17">
        <f t="shared" si="6"/>
        <v>0.14285714285714285</v>
      </c>
      <c r="W14" s="17">
        <f t="shared" si="6"/>
        <v>0.2857142857142857</v>
      </c>
      <c r="X14" s="17">
        <f t="shared" si="6"/>
        <v>0</v>
      </c>
      <c r="Y14" s="17">
        <f t="shared" si="6"/>
        <v>1.5714285714285714</v>
      </c>
      <c r="Z14" s="17">
        <f t="shared" si="6"/>
        <v>0.2857142857142857</v>
      </c>
      <c r="AA14" s="17">
        <f t="shared" si="6"/>
        <v>0.2857142857142857</v>
      </c>
      <c r="AB14" s="17">
        <f t="shared" si="6"/>
        <v>0</v>
      </c>
      <c r="AC14" s="17">
        <f t="shared" si="6"/>
        <v>41</v>
      </c>
      <c r="AD14" s="17">
        <f t="shared" si="6"/>
        <v>0</v>
      </c>
      <c r="AE14" s="31">
        <f t="shared" si="6"/>
        <v>8.8571428571428577</v>
      </c>
      <c r="AF14" s="31">
        <f t="shared" si="6"/>
        <v>49.857142857142854</v>
      </c>
    </row>
    <row r="15" spans="2:32" ht="23.1" customHeight="1" x14ac:dyDescent="0.25">
      <c r="B15" s="23" t="s">
        <v>42</v>
      </c>
      <c r="C15" s="49">
        <f>AVERAGE('17.10 MITYANA-BUSUNJU'!C15,'23.10 MITYANA-BUSUNJU '!C15,'20.10  BUSUNJU-MITYANA'!C15,'21.10 MITYANA-BUSUNJU '!C15,'19.10 MITYANA-BUSUNJU 24hr'!C15,'19.10 BUSUNJU-MITYANA 24hr'!C15,'22.10 MITYANA-BUSUNJU '!C15)</f>
        <v>0.8571428571428571</v>
      </c>
      <c r="D15" s="49">
        <f>AVERAGE('17.10 MITYANA-BUSUNJU'!D15,'23.10 MITYANA-BUSUNJU '!D15,'20.10  BUSUNJU-MITYANA'!D15,'21.10 MITYANA-BUSUNJU '!D15,'19.10 MITYANA-BUSUNJU 24hr'!D15,'19.10 BUSUNJU-MITYANA 24hr'!D15,'22.10 MITYANA-BUSUNJU '!D15)</f>
        <v>0.14285714285714285</v>
      </c>
      <c r="E15" s="49">
        <f>AVERAGE('17.10 MITYANA-BUSUNJU'!E15,'23.10 MITYANA-BUSUNJU '!E15,'20.10  BUSUNJU-MITYANA'!E15,'21.10 MITYANA-BUSUNJU '!E15,'19.10 MITYANA-BUSUNJU 24hr'!E15,'19.10 BUSUNJU-MITYANA 24hr'!E15,'22.10 MITYANA-BUSUNJU '!E15)</f>
        <v>0.42857142857142855</v>
      </c>
      <c r="F15" s="49">
        <f>AVERAGE('17.10 MITYANA-BUSUNJU'!F15,'23.10 MITYANA-BUSUNJU '!F15,'20.10  BUSUNJU-MITYANA'!F15,'21.10 MITYANA-BUSUNJU '!F15,'19.10 MITYANA-BUSUNJU 24hr'!F15,'19.10 BUSUNJU-MITYANA 24hr'!F15,'22.10 MITYANA-BUSUNJU '!F15)</f>
        <v>0</v>
      </c>
      <c r="G15" s="49">
        <f>AVERAGE('17.10 MITYANA-BUSUNJU'!G15,'23.10 MITYANA-BUSUNJU '!G15,'20.10  BUSUNJU-MITYANA'!G15,'21.10 MITYANA-BUSUNJU '!G15,'19.10 MITYANA-BUSUNJU 24hr'!G15,'19.10 BUSUNJU-MITYANA 24hr'!G15,'22.10 MITYANA-BUSUNJU '!G15)</f>
        <v>0</v>
      </c>
      <c r="H15" s="49">
        <f>AVERAGE('17.10 MITYANA-BUSUNJU'!H15,'23.10 MITYANA-BUSUNJU '!H15,'20.10  BUSUNJU-MITYANA'!H15,'21.10 MITYANA-BUSUNJU '!H15,'19.10 MITYANA-BUSUNJU 24hr'!H15,'19.10 BUSUNJU-MITYANA 24hr'!H15,'22.10 MITYANA-BUSUNJU '!H15)</f>
        <v>0</v>
      </c>
      <c r="I15" s="49">
        <f>AVERAGE('17.10 MITYANA-BUSUNJU'!I15,'23.10 MITYANA-BUSUNJU '!I15,'20.10  BUSUNJU-MITYANA'!I15,'21.10 MITYANA-BUSUNJU '!I15,'19.10 MITYANA-BUSUNJU 24hr'!I15,'19.10 BUSUNJU-MITYANA 24hr'!I15,'22.10 MITYANA-BUSUNJU '!I15)</f>
        <v>0.5714285714285714</v>
      </c>
      <c r="J15" s="49">
        <f>AVERAGE('17.10 MITYANA-BUSUNJU'!J15,'23.10 MITYANA-BUSUNJU '!J15,'20.10  BUSUNJU-MITYANA'!J15,'21.10 MITYANA-BUSUNJU '!J15,'19.10 MITYANA-BUSUNJU 24hr'!J15,'19.10 BUSUNJU-MITYANA 24hr'!J15,'22.10 MITYANA-BUSUNJU '!J15)</f>
        <v>0</v>
      </c>
      <c r="K15" s="49">
        <f>AVERAGE('17.10 MITYANA-BUSUNJU'!K15,'23.10 MITYANA-BUSUNJU '!K15,'20.10  BUSUNJU-MITYANA'!K15,'21.10 MITYANA-BUSUNJU '!K15,'19.10 MITYANA-BUSUNJU 24hr'!K15,'19.10 BUSUNJU-MITYANA 24hr'!K15,'22.10 MITYANA-BUSUNJU '!K15)</f>
        <v>0</v>
      </c>
      <c r="L15" s="49">
        <f>AVERAGE('17.10 MITYANA-BUSUNJU'!L15,'23.10 MITYANA-BUSUNJU '!L15,'20.10  BUSUNJU-MITYANA'!L15,'21.10 MITYANA-BUSUNJU '!L15,'19.10 MITYANA-BUSUNJU 24hr'!L15,'19.10 BUSUNJU-MITYANA 24hr'!L15,'22.10 MITYANA-BUSUNJU '!L15)</f>
        <v>0</v>
      </c>
      <c r="M15" s="49">
        <f>AVERAGE('17.10 MITYANA-BUSUNJU'!M15,'23.10 MITYANA-BUSUNJU '!M15,'20.10  BUSUNJU-MITYANA'!M15,'21.10 MITYANA-BUSUNJU '!M15,'19.10 MITYANA-BUSUNJU 24hr'!M15,'19.10 BUSUNJU-MITYANA 24hr'!M15,'22.10 MITYANA-BUSUNJU '!M15)</f>
        <v>10.428571428571429</v>
      </c>
      <c r="N15" s="49">
        <f>AVERAGE('17.10 MITYANA-BUSUNJU'!N15,'23.10 MITYANA-BUSUNJU '!N15,'20.10  BUSUNJU-MITYANA'!N15,'21.10 MITYANA-BUSUNJU '!N15,'19.10 MITYANA-BUSUNJU 24hr'!N15,'19.10 BUSUNJU-MITYANA 24hr'!N15,'22.10 MITYANA-BUSUNJU '!N15)</f>
        <v>0</v>
      </c>
      <c r="O15" s="15">
        <f t="shared" si="0"/>
        <v>2</v>
      </c>
      <c r="P15" s="15">
        <f t="shared" si="1"/>
        <v>12.428571428571429</v>
      </c>
      <c r="R15" s="1" t="s">
        <v>11</v>
      </c>
      <c r="S15" s="17">
        <f t="shared" ref="S15:AF15" si="7">SUM(C30:C33)</f>
        <v>4.4285714285714288</v>
      </c>
      <c r="T15" s="17">
        <f t="shared" si="7"/>
        <v>0.2857142857142857</v>
      </c>
      <c r="U15" s="17">
        <f t="shared" si="7"/>
        <v>1.5714285714285714</v>
      </c>
      <c r="V15" s="17">
        <f t="shared" si="7"/>
        <v>0.8571428571428571</v>
      </c>
      <c r="W15" s="17">
        <f t="shared" si="7"/>
        <v>0.2857142857142857</v>
      </c>
      <c r="X15" s="17">
        <f t="shared" si="7"/>
        <v>0</v>
      </c>
      <c r="Y15" s="17">
        <f t="shared" si="7"/>
        <v>1.1428571428571428</v>
      </c>
      <c r="Z15" s="17">
        <f t="shared" si="7"/>
        <v>0.2857142857142857</v>
      </c>
      <c r="AA15" s="17">
        <f t="shared" si="7"/>
        <v>0.2857142857142857</v>
      </c>
      <c r="AB15" s="17">
        <f t="shared" si="7"/>
        <v>0</v>
      </c>
      <c r="AC15" s="17">
        <f t="shared" si="7"/>
        <v>44.714285714285715</v>
      </c>
      <c r="AD15" s="17">
        <f t="shared" si="7"/>
        <v>0</v>
      </c>
      <c r="AE15" s="31">
        <f t="shared" si="7"/>
        <v>9.1428571428571423</v>
      </c>
      <c r="AF15" s="31">
        <f t="shared" si="7"/>
        <v>53.857142857142861</v>
      </c>
    </row>
    <row r="16" spans="2:32" ht="23.1" customHeight="1" x14ac:dyDescent="0.25">
      <c r="B16" s="23" t="s">
        <v>43</v>
      </c>
      <c r="C16" s="49">
        <f>AVERAGE('17.10 MITYANA-BUSUNJU'!C16,'23.10 MITYANA-BUSUNJU '!C16,'20.10  BUSUNJU-MITYANA'!C16,'21.10 MITYANA-BUSUNJU '!C16,'19.10 MITYANA-BUSUNJU 24hr'!C16,'19.10 BUSUNJU-MITYANA 24hr'!C16,'22.10 MITYANA-BUSUNJU '!C16)</f>
        <v>0</v>
      </c>
      <c r="D16" s="49">
        <f>AVERAGE('17.10 MITYANA-BUSUNJU'!D16,'23.10 MITYANA-BUSUNJU '!D16,'20.10  BUSUNJU-MITYANA'!D16,'21.10 MITYANA-BUSUNJU '!D16,'19.10 MITYANA-BUSUNJU 24hr'!D16,'19.10 BUSUNJU-MITYANA 24hr'!D16,'22.10 MITYANA-BUSUNJU '!D16)</f>
        <v>0.14285714285714285</v>
      </c>
      <c r="E16" s="49">
        <f>AVERAGE('17.10 MITYANA-BUSUNJU'!E16,'23.10 MITYANA-BUSUNJU '!E16,'20.10  BUSUNJU-MITYANA'!E16,'21.10 MITYANA-BUSUNJU '!E16,'19.10 MITYANA-BUSUNJU 24hr'!E16,'19.10 BUSUNJU-MITYANA 24hr'!E16,'22.10 MITYANA-BUSUNJU '!E16)</f>
        <v>0</v>
      </c>
      <c r="F16" s="49">
        <f>AVERAGE('17.10 MITYANA-BUSUNJU'!F16,'23.10 MITYANA-BUSUNJU '!F16,'20.10  BUSUNJU-MITYANA'!F16,'21.10 MITYANA-BUSUNJU '!F16,'19.10 MITYANA-BUSUNJU 24hr'!F16,'19.10 BUSUNJU-MITYANA 24hr'!F16,'22.10 MITYANA-BUSUNJU '!F16)</f>
        <v>0.14285714285714285</v>
      </c>
      <c r="G16" s="49">
        <f>AVERAGE('17.10 MITYANA-BUSUNJU'!G16,'23.10 MITYANA-BUSUNJU '!G16,'20.10  BUSUNJU-MITYANA'!G16,'21.10 MITYANA-BUSUNJU '!G16,'19.10 MITYANA-BUSUNJU 24hr'!G16,'19.10 BUSUNJU-MITYANA 24hr'!G16,'22.10 MITYANA-BUSUNJU '!G16)</f>
        <v>0</v>
      </c>
      <c r="H16" s="49">
        <f>AVERAGE('17.10 MITYANA-BUSUNJU'!H16,'23.10 MITYANA-BUSUNJU '!H16,'20.10  BUSUNJU-MITYANA'!H16,'21.10 MITYANA-BUSUNJU '!H16,'19.10 MITYANA-BUSUNJU 24hr'!H16,'19.10 BUSUNJU-MITYANA 24hr'!H16,'22.10 MITYANA-BUSUNJU '!H16)</f>
        <v>0</v>
      </c>
      <c r="I16" s="49">
        <f>AVERAGE('17.10 MITYANA-BUSUNJU'!I16,'23.10 MITYANA-BUSUNJU '!I16,'20.10  BUSUNJU-MITYANA'!I16,'21.10 MITYANA-BUSUNJU '!I16,'19.10 MITYANA-BUSUNJU 24hr'!I16,'19.10 BUSUNJU-MITYANA 24hr'!I16,'22.10 MITYANA-BUSUNJU '!I16)</f>
        <v>0.7142857142857143</v>
      </c>
      <c r="J16" s="49">
        <f>AVERAGE('17.10 MITYANA-BUSUNJU'!J16,'23.10 MITYANA-BUSUNJU '!J16,'20.10  BUSUNJU-MITYANA'!J16,'21.10 MITYANA-BUSUNJU '!J16,'19.10 MITYANA-BUSUNJU 24hr'!J16,'19.10 BUSUNJU-MITYANA 24hr'!J16,'22.10 MITYANA-BUSUNJU '!J16)</f>
        <v>0</v>
      </c>
      <c r="K16" s="49">
        <f>AVERAGE('17.10 MITYANA-BUSUNJU'!K16,'23.10 MITYANA-BUSUNJU '!K16,'20.10  BUSUNJU-MITYANA'!K16,'21.10 MITYANA-BUSUNJU '!K16,'19.10 MITYANA-BUSUNJU 24hr'!K16,'19.10 BUSUNJU-MITYANA 24hr'!K16,'22.10 MITYANA-BUSUNJU '!K16)</f>
        <v>0</v>
      </c>
      <c r="L16" s="49">
        <f>AVERAGE('17.10 MITYANA-BUSUNJU'!L16,'23.10 MITYANA-BUSUNJU '!L16,'20.10  BUSUNJU-MITYANA'!L16,'21.10 MITYANA-BUSUNJU '!L16,'19.10 MITYANA-BUSUNJU 24hr'!L16,'19.10 BUSUNJU-MITYANA 24hr'!L16,'22.10 MITYANA-BUSUNJU '!L16)</f>
        <v>0</v>
      </c>
      <c r="M16" s="49">
        <f>AVERAGE('17.10 MITYANA-BUSUNJU'!M16,'23.10 MITYANA-BUSUNJU '!M16,'20.10  BUSUNJU-MITYANA'!M16,'21.10 MITYANA-BUSUNJU '!M16,'19.10 MITYANA-BUSUNJU 24hr'!M16,'19.10 BUSUNJU-MITYANA 24hr'!M16,'22.10 MITYANA-BUSUNJU '!M16)</f>
        <v>12.571428571428571</v>
      </c>
      <c r="N16" s="49">
        <f>AVERAGE('17.10 MITYANA-BUSUNJU'!N16,'23.10 MITYANA-BUSUNJU '!N16,'20.10  BUSUNJU-MITYANA'!N16,'21.10 MITYANA-BUSUNJU '!N16,'19.10 MITYANA-BUSUNJU 24hr'!N16,'19.10 BUSUNJU-MITYANA 24hr'!N16,'22.10 MITYANA-BUSUNJU '!N16)</f>
        <v>0</v>
      </c>
      <c r="O16" s="15">
        <f t="shared" si="0"/>
        <v>1</v>
      </c>
      <c r="P16" s="15">
        <f t="shared" si="1"/>
        <v>13.571428571428571</v>
      </c>
      <c r="R16" s="1" t="s">
        <v>12</v>
      </c>
      <c r="S16" s="17">
        <f t="shared" ref="S16:AF16" si="8">SUM(C34:C37)</f>
        <v>3.8571428571428568</v>
      </c>
      <c r="T16" s="17">
        <f t="shared" si="8"/>
        <v>0.5714285714285714</v>
      </c>
      <c r="U16" s="17">
        <f t="shared" si="8"/>
        <v>0.5714285714285714</v>
      </c>
      <c r="V16" s="17">
        <f t="shared" si="8"/>
        <v>0.2857142857142857</v>
      </c>
      <c r="W16" s="17">
        <f t="shared" si="8"/>
        <v>0</v>
      </c>
      <c r="X16" s="17">
        <f t="shared" si="8"/>
        <v>0</v>
      </c>
      <c r="Y16" s="17">
        <f t="shared" si="8"/>
        <v>1.857142857142857</v>
      </c>
      <c r="Z16" s="17">
        <f t="shared" si="8"/>
        <v>0.5714285714285714</v>
      </c>
      <c r="AA16" s="17">
        <f t="shared" si="8"/>
        <v>0</v>
      </c>
      <c r="AB16" s="17">
        <f t="shared" si="8"/>
        <v>0</v>
      </c>
      <c r="AC16" s="17">
        <f t="shared" si="8"/>
        <v>55.428571428571431</v>
      </c>
      <c r="AD16" s="17">
        <f t="shared" si="8"/>
        <v>0</v>
      </c>
      <c r="AE16" s="31">
        <f t="shared" si="8"/>
        <v>7.7142857142857135</v>
      </c>
      <c r="AF16" s="31">
        <f t="shared" si="8"/>
        <v>63.142857142857139</v>
      </c>
    </row>
    <row r="17" spans="2:32" ht="23.1" customHeight="1" x14ac:dyDescent="0.25">
      <c r="B17" s="23" t="s">
        <v>44</v>
      </c>
      <c r="C17" s="49">
        <f>AVERAGE('17.10 MITYANA-BUSUNJU'!C17,'23.10 MITYANA-BUSUNJU '!C17,'20.10  BUSUNJU-MITYANA'!C17,'21.10 MITYANA-BUSUNJU '!C17,'19.10 MITYANA-BUSUNJU 24hr'!C17,'19.10 BUSUNJU-MITYANA 24hr'!C17,'22.10 MITYANA-BUSUNJU '!C17)</f>
        <v>0</v>
      </c>
      <c r="D17" s="49">
        <f>AVERAGE('17.10 MITYANA-BUSUNJU'!D17,'23.10 MITYANA-BUSUNJU '!D17,'20.10  BUSUNJU-MITYANA'!D17,'21.10 MITYANA-BUSUNJU '!D17,'19.10 MITYANA-BUSUNJU 24hr'!D17,'19.10 BUSUNJU-MITYANA 24hr'!D17,'22.10 MITYANA-BUSUNJU '!D17)</f>
        <v>0.14285714285714285</v>
      </c>
      <c r="E17" s="49">
        <f>AVERAGE('17.10 MITYANA-BUSUNJU'!E17,'23.10 MITYANA-BUSUNJU '!E17,'20.10  BUSUNJU-MITYANA'!E17,'21.10 MITYANA-BUSUNJU '!E17,'19.10 MITYANA-BUSUNJU 24hr'!E17,'19.10 BUSUNJU-MITYANA 24hr'!E17,'22.10 MITYANA-BUSUNJU '!E17)</f>
        <v>0.14285714285714285</v>
      </c>
      <c r="F17" s="49">
        <f>AVERAGE('17.10 MITYANA-BUSUNJU'!F17,'23.10 MITYANA-BUSUNJU '!F17,'20.10  BUSUNJU-MITYANA'!F17,'21.10 MITYANA-BUSUNJU '!F17,'19.10 MITYANA-BUSUNJU 24hr'!F17,'19.10 BUSUNJU-MITYANA 24hr'!F17,'22.10 MITYANA-BUSUNJU '!F17)</f>
        <v>0</v>
      </c>
      <c r="G17" s="49">
        <f>AVERAGE('17.10 MITYANA-BUSUNJU'!G17,'23.10 MITYANA-BUSUNJU '!G17,'20.10  BUSUNJU-MITYANA'!G17,'21.10 MITYANA-BUSUNJU '!G17,'19.10 MITYANA-BUSUNJU 24hr'!G17,'19.10 BUSUNJU-MITYANA 24hr'!G17,'22.10 MITYANA-BUSUNJU '!G17)</f>
        <v>0</v>
      </c>
      <c r="H17" s="49">
        <f>AVERAGE('17.10 MITYANA-BUSUNJU'!H17,'23.10 MITYANA-BUSUNJU '!H17,'20.10  BUSUNJU-MITYANA'!H17,'21.10 MITYANA-BUSUNJU '!H17,'19.10 MITYANA-BUSUNJU 24hr'!H17,'19.10 BUSUNJU-MITYANA 24hr'!H17,'22.10 MITYANA-BUSUNJU '!H17)</f>
        <v>0</v>
      </c>
      <c r="I17" s="49">
        <f>AVERAGE('17.10 MITYANA-BUSUNJU'!I17,'23.10 MITYANA-BUSUNJU '!I17,'20.10  BUSUNJU-MITYANA'!I17,'21.10 MITYANA-BUSUNJU '!I17,'19.10 MITYANA-BUSUNJU 24hr'!I17,'19.10 BUSUNJU-MITYANA 24hr'!I17,'22.10 MITYANA-BUSUNJU '!I17)</f>
        <v>0.7142857142857143</v>
      </c>
      <c r="J17" s="49">
        <f>AVERAGE('17.10 MITYANA-BUSUNJU'!J17,'23.10 MITYANA-BUSUNJU '!J17,'20.10  BUSUNJU-MITYANA'!J17,'21.10 MITYANA-BUSUNJU '!J17,'19.10 MITYANA-BUSUNJU 24hr'!J17,'19.10 BUSUNJU-MITYANA 24hr'!J17,'22.10 MITYANA-BUSUNJU '!J17)</f>
        <v>0.14285714285714285</v>
      </c>
      <c r="K17" s="49">
        <f>AVERAGE('17.10 MITYANA-BUSUNJU'!K17,'23.10 MITYANA-BUSUNJU '!K17,'20.10  BUSUNJU-MITYANA'!K17,'21.10 MITYANA-BUSUNJU '!K17,'19.10 MITYANA-BUSUNJU 24hr'!K17,'19.10 BUSUNJU-MITYANA 24hr'!K17,'22.10 MITYANA-BUSUNJU '!K17)</f>
        <v>0</v>
      </c>
      <c r="L17" s="49">
        <f>AVERAGE('17.10 MITYANA-BUSUNJU'!L17,'23.10 MITYANA-BUSUNJU '!L17,'20.10  BUSUNJU-MITYANA'!L17,'21.10 MITYANA-BUSUNJU '!L17,'19.10 MITYANA-BUSUNJU 24hr'!L17,'19.10 BUSUNJU-MITYANA 24hr'!L17,'22.10 MITYANA-BUSUNJU '!L17)</f>
        <v>0</v>
      </c>
      <c r="M17" s="49">
        <f>AVERAGE('17.10 MITYANA-BUSUNJU'!M17,'23.10 MITYANA-BUSUNJU '!M17,'20.10  BUSUNJU-MITYANA'!M17,'21.10 MITYANA-BUSUNJU '!M17,'19.10 MITYANA-BUSUNJU 24hr'!M17,'19.10 BUSUNJU-MITYANA 24hr'!M17,'22.10 MITYANA-BUSUNJU '!M17)</f>
        <v>11.428571428571429</v>
      </c>
      <c r="N17" s="49">
        <f>AVERAGE('17.10 MITYANA-BUSUNJU'!N17,'23.10 MITYANA-BUSUNJU '!N17,'20.10  BUSUNJU-MITYANA'!N17,'21.10 MITYANA-BUSUNJU '!N17,'19.10 MITYANA-BUSUNJU 24hr'!N17,'19.10 BUSUNJU-MITYANA 24hr'!N17,'22.10 MITYANA-BUSUNJU '!N17)</f>
        <v>0</v>
      </c>
      <c r="O17" s="15">
        <f t="shared" si="0"/>
        <v>1.1428571428571428</v>
      </c>
      <c r="P17" s="15">
        <f t="shared" si="1"/>
        <v>12.571428571428571</v>
      </c>
      <c r="R17" s="1" t="s">
        <v>13</v>
      </c>
      <c r="S17" s="17">
        <f t="shared" ref="S17:AF17" si="9">SUM(C38:C41)</f>
        <v>3.1428571428571432</v>
      </c>
      <c r="T17" s="17">
        <f t="shared" si="9"/>
        <v>0.5714285714285714</v>
      </c>
      <c r="U17" s="17">
        <f t="shared" si="9"/>
        <v>1.2857142857142858</v>
      </c>
      <c r="V17" s="17">
        <f t="shared" si="9"/>
        <v>0.2857142857142857</v>
      </c>
      <c r="W17" s="17">
        <f t="shared" si="9"/>
        <v>0</v>
      </c>
      <c r="X17" s="17">
        <f t="shared" si="9"/>
        <v>0</v>
      </c>
      <c r="Y17" s="17">
        <f t="shared" si="9"/>
        <v>1.2857142857142856</v>
      </c>
      <c r="Z17" s="17">
        <f t="shared" si="9"/>
        <v>0.5714285714285714</v>
      </c>
      <c r="AA17" s="17">
        <f t="shared" si="9"/>
        <v>0</v>
      </c>
      <c r="AB17" s="17">
        <f t="shared" si="9"/>
        <v>0</v>
      </c>
      <c r="AC17" s="17">
        <f t="shared" si="9"/>
        <v>50</v>
      </c>
      <c r="AD17" s="17">
        <f t="shared" si="9"/>
        <v>0</v>
      </c>
      <c r="AE17" s="31">
        <f t="shared" si="9"/>
        <v>7.1428571428571423</v>
      </c>
      <c r="AF17" s="31">
        <f t="shared" si="9"/>
        <v>57.142857142857139</v>
      </c>
    </row>
    <row r="18" spans="2:32" ht="23.1" customHeight="1" x14ac:dyDescent="0.25">
      <c r="B18" s="23" t="s">
        <v>45</v>
      </c>
      <c r="C18" s="49">
        <f>AVERAGE('17.10 MITYANA-BUSUNJU'!C18,'23.10 MITYANA-BUSUNJU '!C18,'20.10  BUSUNJU-MITYANA'!C18,'21.10 MITYANA-BUSUNJU '!C18,'19.10 MITYANA-BUSUNJU 24hr'!C18,'19.10 BUSUNJU-MITYANA 24hr'!C18,'22.10 MITYANA-BUSUNJU '!C18)</f>
        <v>0.14285714285714285</v>
      </c>
      <c r="D18" s="49">
        <f>AVERAGE('17.10 MITYANA-BUSUNJU'!D18,'23.10 MITYANA-BUSUNJU '!D18,'20.10  BUSUNJU-MITYANA'!D18,'21.10 MITYANA-BUSUNJU '!D18,'19.10 MITYANA-BUSUNJU 24hr'!D18,'19.10 BUSUNJU-MITYANA 24hr'!D18,'22.10 MITYANA-BUSUNJU '!D18)</f>
        <v>0.42857142857142855</v>
      </c>
      <c r="E18" s="49">
        <f>AVERAGE('17.10 MITYANA-BUSUNJU'!E18,'23.10 MITYANA-BUSUNJU '!E18,'20.10  BUSUNJU-MITYANA'!E18,'21.10 MITYANA-BUSUNJU '!E18,'19.10 MITYANA-BUSUNJU 24hr'!E18,'19.10 BUSUNJU-MITYANA 24hr'!E18,'22.10 MITYANA-BUSUNJU '!E18)</f>
        <v>0</v>
      </c>
      <c r="F18" s="49">
        <f>AVERAGE('17.10 MITYANA-BUSUNJU'!F18,'23.10 MITYANA-BUSUNJU '!F18,'20.10  BUSUNJU-MITYANA'!F18,'21.10 MITYANA-BUSUNJU '!F18,'19.10 MITYANA-BUSUNJU 24hr'!F18,'19.10 BUSUNJU-MITYANA 24hr'!F18,'22.10 MITYANA-BUSUNJU '!F18)</f>
        <v>0.14285714285714285</v>
      </c>
      <c r="G18" s="49">
        <f>AVERAGE('17.10 MITYANA-BUSUNJU'!G18,'23.10 MITYANA-BUSUNJU '!G18,'20.10  BUSUNJU-MITYANA'!G18,'21.10 MITYANA-BUSUNJU '!G18,'19.10 MITYANA-BUSUNJU 24hr'!G18,'19.10 BUSUNJU-MITYANA 24hr'!G18,'22.10 MITYANA-BUSUNJU '!G18)</f>
        <v>0</v>
      </c>
      <c r="H18" s="49">
        <f>AVERAGE('17.10 MITYANA-BUSUNJU'!H18,'23.10 MITYANA-BUSUNJU '!H18,'20.10  BUSUNJU-MITYANA'!H18,'21.10 MITYANA-BUSUNJU '!H18,'19.10 MITYANA-BUSUNJU 24hr'!H18,'19.10 BUSUNJU-MITYANA 24hr'!H18,'22.10 MITYANA-BUSUNJU '!H18)</f>
        <v>0</v>
      </c>
      <c r="I18" s="49">
        <f>AVERAGE('17.10 MITYANA-BUSUNJU'!I18,'23.10 MITYANA-BUSUNJU '!I18,'20.10  BUSUNJU-MITYANA'!I18,'21.10 MITYANA-BUSUNJU '!I18,'19.10 MITYANA-BUSUNJU 24hr'!I18,'19.10 BUSUNJU-MITYANA 24hr'!I18,'22.10 MITYANA-BUSUNJU '!I18)</f>
        <v>0.8571428571428571</v>
      </c>
      <c r="J18" s="49">
        <f>AVERAGE('17.10 MITYANA-BUSUNJU'!J18,'23.10 MITYANA-BUSUNJU '!J18,'20.10  BUSUNJU-MITYANA'!J18,'21.10 MITYANA-BUSUNJU '!J18,'19.10 MITYANA-BUSUNJU 24hr'!J18,'19.10 BUSUNJU-MITYANA 24hr'!J18,'22.10 MITYANA-BUSUNJU '!J18)</f>
        <v>0</v>
      </c>
      <c r="K18" s="49">
        <f>AVERAGE('17.10 MITYANA-BUSUNJU'!K18,'23.10 MITYANA-BUSUNJU '!K18,'20.10  BUSUNJU-MITYANA'!K18,'21.10 MITYANA-BUSUNJU '!K18,'19.10 MITYANA-BUSUNJU 24hr'!K18,'19.10 BUSUNJU-MITYANA 24hr'!K18,'22.10 MITYANA-BUSUNJU '!K18)</f>
        <v>0</v>
      </c>
      <c r="L18" s="49">
        <f>AVERAGE('17.10 MITYANA-BUSUNJU'!L18,'23.10 MITYANA-BUSUNJU '!L18,'20.10  BUSUNJU-MITYANA'!L18,'21.10 MITYANA-BUSUNJU '!L18,'19.10 MITYANA-BUSUNJU 24hr'!L18,'19.10 BUSUNJU-MITYANA 24hr'!L18,'22.10 MITYANA-BUSUNJU '!L18)</f>
        <v>0</v>
      </c>
      <c r="M18" s="49">
        <f>AVERAGE('17.10 MITYANA-BUSUNJU'!M18,'23.10 MITYANA-BUSUNJU '!M18,'20.10  BUSUNJU-MITYANA'!M18,'21.10 MITYANA-BUSUNJU '!M18,'19.10 MITYANA-BUSUNJU 24hr'!M18,'19.10 BUSUNJU-MITYANA 24hr'!M18,'22.10 MITYANA-BUSUNJU '!M18)</f>
        <v>10.714285714285714</v>
      </c>
      <c r="N18" s="49">
        <f>AVERAGE('17.10 MITYANA-BUSUNJU'!N18,'23.10 MITYANA-BUSUNJU '!N18,'20.10  BUSUNJU-MITYANA'!N18,'21.10 MITYANA-BUSUNJU '!N18,'19.10 MITYANA-BUSUNJU 24hr'!N18,'19.10 BUSUNJU-MITYANA 24hr'!N18,'22.10 MITYANA-BUSUNJU '!N18)</f>
        <v>0</v>
      </c>
      <c r="O18" s="15">
        <f t="shared" si="0"/>
        <v>1.5714285714285712</v>
      </c>
      <c r="P18" s="15">
        <f t="shared" si="1"/>
        <v>12.285714285714285</v>
      </c>
      <c r="R18" s="1" t="s">
        <v>14</v>
      </c>
      <c r="S18" s="17">
        <f t="shared" ref="S18:AF18" si="10">SUM(C42:C45)</f>
        <v>4</v>
      </c>
      <c r="T18" s="17">
        <f t="shared" si="10"/>
        <v>0.5714285714285714</v>
      </c>
      <c r="U18" s="17">
        <f t="shared" si="10"/>
        <v>0.71428571428571419</v>
      </c>
      <c r="V18" s="17">
        <f t="shared" si="10"/>
        <v>0.71428571428571419</v>
      </c>
      <c r="W18" s="17">
        <f t="shared" si="10"/>
        <v>0</v>
      </c>
      <c r="X18" s="17">
        <f t="shared" si="10"/>
        <v>0.14285714285714285</v>
      </c>
      <c r="Y18" s="17">
        <f t="shared" si="10"/>
        <v>1.7142857142857144</v>
      </c>
      <c r="Z18" s="17">
        <f t="shared" si="10"/>
        <v>0.42857142857142855</v>
      </c>
      <c r="AA18" s="17">
        <f t="shared" si="10"/>
        <v>0.2857142857142857</v>
      </c>
      <c r="AB18" s="17">
        <f t="shared" si="10"/>
        <v>0</v>
      </c>
      <c r="AC18" s="17">
        <f t="shared" si="10"/>
        <v>55.285714285714285</v>
      </c>
      <c r="AD18" s="17">
        <f t="shared" si="10"/>
        <v>0</v>
      </c>
      <c r="AE18" s="31">
        <f t="shared" si="10"/>
        <v>8.5714285714285694</v>
      </c>
      <c r="AF18" s="31">
        <f t="shared" si="10"/>
        <v>63.857142857142854</v>
      </c>
    </row>
    <row r="19" spans="2:32" ht="23.1" customHeight="1" x14ac:dyDescent="0.25">
      <c r="B19" s="23" t="s">
        <v>46</v>
      </c>
      <c r="C19" s="49">
        <f>AVERAGE('17.10 MITYANA-BUSUNJU'!C19,'23.10 MITYANA-BUSUNJU '!C19,'20.10  BUSUNJU-MITYANA'!C19,'21.10 MITYANA-BUSUNJU '!C19,'19.10 MITYANA-BUSUNJU 24hr'!C19,'19.10 BUSUNJU-MITYANA 24hr'!C19,'22.10 MITYANA-BUSUNJU '!C19)</f>
        <v>0.14285714285714285</v>
      </c>
      <c r="D19" s="49">
        <f>AVERAGE('17.10 MITYANA-BUSUNJU'!D19,'23.10 MITYANA-BUSUNJU '!D19,'20.10  BUSUNJU-MITYANA'!D19,'21.10 MITYANA-BUSUNJU '!D19,'19.10 MITYANA-BUSUNJU 24hr'!D19,'19.10 BUSUNJU-MITYANA 24hr'!D19,'22.10 MITYANA-BUSUNJU '!D19)</f>
        <v>0</v>
      </c>
      <c r="E19" s="49">
        <f>AVERAGE('17.10 MITYANA-BUSUNJU'!E19,'23.10 MITYANA-BUSUNJU '!E19,'20.10  BUSUNJU-MITYANA'!E19,'21.10 MITYANA-BUSUNJU '!E19,'19.10 MITYANA-BUSUNJU 24hr'!E19,'19.10 BUSUNJU-MITYANA 24hr'!E19,'22.10 MITYANA-BUSUNJU '!E19)</f>
        <v>0.14285714285714285</v>
      </c>
      <c r="F19" s="49">
        <f>AVERAGE('17.10 MITYANA-BUSUNJU'!F19,'23.10 MITYANA-BUSUNJU '!F19,'20.10  BUSUNJU-MITYANA'!F19,'21.10 MITYANA-BUSUNJU '!F19,'19.10 MITYANA-BUSUNJU 24hr'!F19,'19.10 BUSUNJU-MITYANA 24hr'!F19,'22.10 MITYANA-BUSUNJU '!F19)</f>
        <v>0</v>
      </c>
      <c r="G19" s="49">
        <f>AVERAGE('17.10 MITYANA-BUSUNJU'!G19,'23.10 MITYANA-BUSUNJU '!G19,'20.10  BUSUNJU-MITYANA'!G19,'21.10 MITYANA-BUSUNJU '!G19,'19.10 MITYANA-BUSUNJU 24hr'!G19,'19.10 BUSUNJU-MITYANA 24hr'!G19,'22.10 MITYANA-BUSUNJU '!G19)</f>
        <v>0</v>
      </c>
      <c r="H19" s="49">
        <f>AVERAGE('17.10 MITYANA-BUSUNJU'!H19,'23.10 MITYANA-BUSUNJU '!H19,'20.10  BUSUNJU-MITYANA'!H19,'21.10 MITYANA-BUSUNJU '!H19,'19.10 MITYANA-BUSUNJU 24hr'!H19,'19.10 BUSUNJU-MITYANA 24hr'!H19,'22.10 MITYANA-BUSUNJU '!H19)</f>
        <v>0</v>
      </c>
      <c r="I19" s="49">
        <f>AVERAGE('17.10 MITYANA-BUSUNJU'!I19,'23.10 MITYANA-BUSUNJU '!I19,'20.10  BUSUNJU-MITYANA'!I19,'21.10 MITYANA-BUSUNJU '!I19,'19.10 MITYANA-BUSUNJU 24hr'!I19,'19.10 BUSUNJU-MITYANA 24hr'!I19,'22.10 MITYANA-BUSUNJU '!I19)</f>
        <v>0.14285714285714285</v>
      </c>
      <c r="J19" s="49">
        <f>AVERAGE('17.10 MITYANA-BUSUNJU'!J19,'23.10 MITYANA-BUSUNJU '!J19,'20.10  BUSUNJU-MITYANA'!J19,'21.10 MITYANA-BUSUNJU '!J19,'19.10 MITYANA-BUSUNJU 24hr'!J19,'19.10 BUSUNJU-MITYANA 24hr'!J19,'22.10 MITYANA-BUSUNJU '!J19)</f>
        <v>0</v>
      </c>
      <c r="K19" s="49">
        <f>AVERAGE('17.10 MITYANA-BUSUNJU'!K19,'23.10 MITYANA-BUSUNJU '!K19,'20.10  BUSUNJU-MITYANA'!K19,'21.10 MITYANA-BUSUNJU '!K19,'19.10 MITYANA-BUSUNJU 24hr'!K19,'19.10 BUSUNJU-MITYANA 24hr'!K19,'22.10 MITYANA-BUSUNJU '!K19)</f>
        <v>0</v>
      </c>
      <c r="L19" s="49">
        <f>AVERAGE('17.10 MITYANA-BUSUNJU'!L19,'23.10 MITYANA-BUSUNJU '!L19,'20.10  BUSUNJU-MITYANA'!L19,'21.10 MITYANA-BUSUNJU '!L19,'19.10 MITYANA-BUSUNJU 24hr'!L19,'19.10 BUSUNJU-MITYANA 24hr'!L19,'22.10 MITYANA-BUSUNJU '!L19)</f>
        <v>0</v>
      </c>
      <c r="M19" s="49">
        <f>AVERAGE('17.10 MITYANA-BUSUNJU'!M19,'23.10 MITYANA-BUSUNJU '!M19,'20.10  BUSUNJU-MITYANA'!M19,'21.10 MITYANA-BUSUNJU '!M19,'19.10 MITYANA-BUSUNJU 24hr'!M19,'19.10 BUSUNJU-MITYANA 24hr'!M19,'22.10 MITYANA-BUSUNJU '!M19)</f>
        <v>9.7142857142857135</v>
      </c>
      <c r="N19" s="49">
        <f>AVERAGE('17.10 MITYANA-BUSUNJU'!N19,'23.10 MITYANA-BUSUNJU '!N19,'20.10  BUSUNJU-MITYANA'!N19,'21.10 MITYANA-BUSUNJU '!N19,'19.10 MITYANA-BUSUNJU 24hr'!N19,'19.10 BUSUNJU-MITYANA 24hr'!N19,'22.10 MITYANA-BUSUNJU '!N19)</f>
        <v>0</v>
      </c>
      <c r="O19" s="15">
        <f t="shared" si="0"/>
        <v>0.42857142857142855</v>
      </c>
      <c r="P19" s="15">
        <f t="shared" si="1"/>
        <v>10.142857142857142</v>
      </c>
      <c r="R19" s="1" t="s">
        <v>15</v>
      </c>
      <c r="S19" s="17">
        <f t="shared" ref="S19:AF19" si="11">SUM(C46:C49)</f>
        <v>2.4285714285714284</v>
      </c>
      <c r="T19" s="17">
        <f t="shared" si="11"/>
        <v>1.4285714285714284</v>
      </c>
      <c r="U19" s="17">
        <f t="shared" si="11"/>
        <v>0.5714285714285714</v>
      </c>
      <c r="V19" s="17">
        <f t="shared" si="11"/>
        <v>0.42857142857142855</v>
      </c>
      <c r="W19" s="17">
        <f t="shared" si="11"/>
        <v>0.2857142857142857</v>
      </c>
      <c r="X19" s="17">
        <f t="shared" si="11"/>
        <v>0</v>
      </c>
      <c r="Y19" s="17">
        <f t="shared" si="11"/>
        <v>1.4285714285714284</v>
      </c>
      <c r="Z19" s="17">
        <f t="shared" si="11"/>
        <v>0.71428571428571419</v>
      </c>
      <c r="AA19" s="17">
        <f t="shared" si="11"/>
        <v>0.14285714285714285</v>
      </c>
      <c r="AB19" s="17">
        <f t="shared" si="11"/>
        <v>0</v>
      </c>
      <c r="AC19" s="17">
        <f t="shared" si="11"/>
        <v>50.285714285714292</v>
      </c>
      <c r="AD19" s="17">
        <f t="shared" si="11"/>
        <v>0</v>
      </c>
      <c r="AE19" s="31">
        <f t="shared" si="11"/>
        <v>7.428571428571427</v>
      </c>
      <c r="AF19" s="31">
        <f t="shared" si="11"/>
        <v>57.714285714285722</v>
      </c>
    </row>
    <row r="20" spans="2:32" ht="23.1" customHeight="1" x14ac:dyDescent="0.25">
      <c r="B20" s="23" t="s">
        <v>47</v>
      </c>
      <c r="C20" s="49">
        <f>AVERAGE('17.10 MITYANA-BUSUNJU'!C20,'23.10 MITYANA-BUSUNJU '!C20,'20.10  BUSUNJU-MITYANA'!C20,'21.10 MITYANA-BUSUNJU '!C20,'19.10 MITYANA-BUSUNJU 24hr'!C20,'19.10 BUSUNJU-MITYANA 24hr'!C20,'22.10 MITYANA-BUSUNJU '!C20)</f>
        <v>0.42857142857142855</v>
      </c>
      <c r="D20" s="49">
        <f>AVERAGE('17.10 MITYANA-BUSUNJU'!D20,'23.10 MITYANA-BUSUNJU '!D20,'20.10  BUSUNJU-MITYANA'!D20,'21.10 MITYANA-BUSUNJU '!D20,'19.10 MITYANA-BUSUNJU 24hr'!D20,'19.10 BUSUNJU-MITYANA 24hr'!D20,'22.10 MITYANA-BUSUNJU '!D20)</f>
        <v>0.2857142857142857</v>
      </c>
      <c r="E20" s="49">
        <f>AVERAGE('17.10 MITYANA-BUSUNJU'!E20,'23.10 MITYANA-BUSUNJU '!E20,'20.10  BUSUNJU-MITYANA'!E20,'21.10 MITYANA-BUSUNJU '!E20,'19.10 MITYANA-BUSUNJU 24hr'!E20,'19.10 BUSUNJU-MITYANA 24hr'!E20,'22.10 MITYANA-BUSUNJU '!E20)</f>
        <v>0.7142857142857143</v>
      </c>
      <c r="F20" s="49">
        <f>AVERAGE('17.10 MITYANA-BUSUNJU'!F20,'23.10 MITYANA-BUSUNJU '!F20,'20.10  BUSUNJU-MITYANA'!F20,'21.10 MITYANA-BUSUNJU '!F20,'19.10 MITYANA-BUSUNJU 24hr'!F20,'19.10 BUSUNJU-MITYANA 24hr'!F20,'22.10 MITYANA-BUSUNJU '!F20)</f>
        <v>0.14285714285714285</v>
      </c>
      <c r="G20" s="49">
        <f>AVERAGE('17.10 MITYANA-BUSUNJU'!G20,'23.10 MITYANA-BUSUNJU '!G20,'20.10  BUSUNJU-MITYANA'!G20,'21.10 MITYANA-BUSUNJU '!G20,'19.10 MITYANA-BUSUNJU 24hr'!G20,'19.10 BUSUNJU-MITYANA 24hr'!G20,'22.10 MITYANA-BUSUNJU '!G20)</f>
        <v>0</v>
      </c>
      <c r="H20" s="49">
        <f>AVERAGE('17.10 MITYANA-BUSUNJU'!H20,'23.10 MITYANA-BUSUNJU '!H20,'20.10  BUSUNJU-MITYANA'!H20,'21.10 MITYANA-BUSUNJU '!H20,'19.10 MITYANA-BUSUNJU 24hr'!H20,'19.10 BUSUNJU-MITYANA 24hr'!H20,'22.10 MITYANA-BUSUNJU '!H20)</f>
        <v>0.2857142857142857</v>
      </c>
      <c r="I20" s="49">
        <f>AVERAGE('17.10 MITYANA-BUSUNJU'!I20,'23.10 MITYANA-BUSUNJU '!I20,'20.10  BUSUNJU-MITYANA'!I20,'21.10 MITYANA-BUSUNJU '!I20,'19.10 MITYANA-BUSUNJU 24hr'!I20,'19.10 BUSUNJU-MITYANA 24hr'!I20,'22.10 MITYANA-BUSUNJU '!I20)</f>
        <v>0.14285714285714285</v>
      </c>
      <c r="J20" s="49">
        <f>AVERAGE('17.10 MITYANA-BUSUNJU'!J20,'23.10 MITYANA-BUSUNJU '!J20,'20.10  BUSUNJU-MITYANA'!J20,'21.10 MITYANA-BUSUNJU '!J20,'19.10 MITYANA-BUSUNJU 24hr'!J20,'19.10 BUSUNJU-MITYANA 24hr'!J20,'22.10 MITYANA-BUSUNJU '!J20)</f>
        <v>0</v>
      </c>
      <c r="K20" s="49">
        <f>AVERAGE('17.10 MITYANA-BUSUNJU'!K20,'23.10 MITYANA-BUSUNJU '!K20,'20.10  BUSUNJU-MITYANA'!K20,'21.10 MITYANA-BUSUNJU '!K20,'19.10 MITYANA-BUSUNJU 24hr'!K20,'19.10 BUSUNJU-MITYANA 24hr'!K20,'22.10 MITYANA-BUSUNJU '!K20)</f>
        <v>0</v>
      </c>
      <c r="L20" s="49">
        <f>AVERAGE('17.10 MITYANA-BUSUNJU'!L20,'23.10 MITYANA-BUSUNJU '!L20,'20.10  BUSUNJU-MITYANA'!L20,'21.10 MITYANA-BUSUNJU '!L20,'19.10 MITYANA-BUSUNJU 24hr'!L20,'19.10 BUSUNJU-MITYANA 24hr'!L20,'22.10 MITYANA-BUSUNJU '!L20)</f>
        <v>0</v>
      </c>
      <c r="M20" s="49">
        <f>AVERAGE('17.10 MITYANA-BUSUNJU'!M20,'23.10 MITYANA-BUSUNJU '!M20,'20.10  BUSUNJU-MITYANA'!M20,'21.10 MITYANA-BUSUNJU '!M20,'19.10 MITYANA-BUSUNJU 24hr'!M20,'19.10 BUSUNJU-MITYANA 24hr'!M20,'22.10 MITYANA-BUSUNJU '!M20)</f>
        <v>12.857142857142858</v>
      </c>
      <c r="N20" s="49">
        <f>AVERAGE('17.10 MITYANA-BUSUNJU'!N20,'23.10 MITYANA-BUSUNJU '!N20,'20.10  BUSUNJU-MITYANA'!N20,'21.10 MITYANA-BUSUNJU '!N20,'19.10 MITYANA-BUSUNJU 24hr'!N20,'19.10 BUSUNJU-MITYANA 24hr'!N20,'22.10 MITYANA-BUSUNJU '!N20)</f>
        <v>0</v>
      </c>
      <c r="O20" s="15">
        <f t="shared" si="0"/>
        <v>1.9999999999999996</v>
      </c>
      <c r="P20" s="15">
        <f t="shared" si="1"/>
        <v>14.857142857142858</v>
      </c>
      <c r="R20" s="1" t="s">
        <v>16</v>
      </c>
      <c r="S20" s="17">
        <f t="shared" ref="S20:AF20" si="12">SUM(C50:C53)</f>
        <v>3.8571428571428572</v>
      </c>
      <c r="T20" s="17">
        <f t="shared" si="12"/>
        <v>1.4285714285714284</v>
      </c>
      <c r="U20" s="17">
        <f t="shared" si="12"/>
        <v>0.42857142857142855</v>
      </c>
      <c r="V20" s="17">
        <f t="shared" si="12"/>
        <v>0.42857142857142855</v>
      </c>
      <c r="W20" s="17">
        <f t="shared" si="12"/>
        <v>0</v>
      </c>
      <c r="X20" s="17">
        <f t="shared" si="12"/>
        <v>0</v>
      </c>
      <c r="Y20" s="17">
        <f t="shared" si="12"/>
        <v>0.42857142857142855</v>
      </c>
      <c r="Z20" s="17">
        <f t="shared" si="12"/>
        <v>0.71428571428571419</v>
      </c>
      <c r="AA20" s="17">
        <f t="shared" si="12"/>
        <v>0</v>
      </c>
      <c r="AB20" s="17">
        <f t="shared" si="12"/>
        <v>0</v>
      </c>
      <c r="AC20" s="17">
        <f t="shared" si="12"/>
        <v>50.285714285714285</v>
      </c>
      <c r="AD20" s="17">
        <f t="shared" si="12"/>
        <v>0</v>
      </c>
      <c r="AE20" s="31">
        <f t="shared" si="12"/>
        <v>7.2857142857142838</v>
      </c>
      <c r="AF20" s="31">
        <f t="shared" si="12"/>
        <v>57.571428571428569</v>
      </c>
    </row>
    <row r="21" spans="2:32" ht="23.1" customHeight="1" x14ac:dyDescent="0.25">
      <c r="B21" s="23" t="s">
        <v>48</v>
      </c>
      <c r="C21" s="49">
        <f>AVERAGE('17.10 MITYANA-BUSUNJU'!C21,'23.10 MITYANA-BUSUNJU '!C21,'20.10  BUSUNJU-MITYANA'!C21,'21.10 MITYANA-BUSUNJU '!C21,'19.10 MITYANA-BUSUNJU 24hr'!C21,'19.10 BUSUNJU-MITYANA 24hr'!C21,'22.10 MITYANA-BUSUNJU '!C21)</f>
        <v>1</v>
      </c>
      <c r="D21" s="49">
        <f>AVERAGE('17.10 MITYANA-BUSUNJU'!D21,'23.10 MITYANA-BUSUNJU '!D21,'20.10  BUSUNJU-MITYANA'!D21,'21.10 MITYANA-BUSUNJU '!D21,'19.10 MITYANA-BUSUNJU 24hr'!D21,'19.10 BUSUNJU-MITYANA 24hr'!D21,'22.10 MITYANA-BUSUNJU '!D21)</f>
        <v>0.5714285714285714</v>
      </c>
      <c r="E21" s="49">
        <f>AVERAGE('17.10 MITYANA-BUSUNJU'!E21,'23.10 MITYANA-BUSUNJU '!E21,'20.10  BUSUNJU-MITYANA'!E21,'21.10 MITYANA-BUSUNJU '!E21,'19.10 MITYANA-BUSUNJU 24hr'!E21,'19.10 BUSUNJU-MITYANA 24hr'!E21,'22.10 MITYANA-BUSUNJU '!E21)</f>
        <v>0</v>
      </c>
      <c r="F21" s="49">
        <f>AVERAGE('17.10 MITYANA-BUSUNJU'!F21,'23.10 MITYANA-BUSUNJU '!F21,'20.10  BUSUNJU-MITYANA'!F21,'21.10 MITYANA-BUSUNJU '!F21,'19.10 MITYANA-BUSUNJU 24hr'!F21,'19.10 BUSUNJU-MITYANA 24hr'!F21,'22.10 MITYANA-BUSUNJU '!F21)</f>
        <v>0.42857142857142855</v>
      </c>
      <c r="G21" s="49">
        <f>AVERAGE('17.10 MITYANA-BUSUNJU'!G21,'23.10 MITYANA-BUSUNJU '!G21,'20.10  BUSUNJU-MITYANA'!G21,'21.10 MITYANA-BUSUNJU '!G21,'19.10 MITYANA-BUSUNJU 24hr'!G21,'19.10 BUSUNJU-MITYANA 24hr'!G21,'22.10 MITYANA-BUSUNJU '!G21)</f>
        <v>0</v>
      </c>
      <c r="H21" s="49">
        <f>AVERAGE('17.10 MITYANA-BUSUNJU'!H21,'23.10 MITYANA-BUSUNJU '!H21,'20.10  BUSUNJU-MITYANA'!H21,'21.10 MITYANA-BUSUNJU '!H21,'19.10 MITYANA-BUSUNJU 24hr'!H21,'19.10 BUSUNJU-MITYANA 24hr'!H21,'22.10 MITYANA-BUSUNJU '!H21)</f>
        <v>0</v>
      </c>
      <c r="I21" s="49">
        <f>AVERAGE('17.10 MITYANA-BUSUNJU'!I21,'23.10 MITYANA-BUSUNJU '!I21,'20.10  BUSUNJU-MITYANA'!I21,'21.10 MITYANA-BUSUNJU '!I21,'19.10 MITYANA-BUSUNJU 24hr'!I21,'19.10 BUSUNJU-MITYANA 24hr'!I21,'22.10 MITYANA-BUSUNJU '!I21)</f>
        <v>0.42857142857142855</v>
      </c>
      <c r="J21" s="49">
        <f>AVERAGE('17.10 MITYANA-BUSUNJU'!J21,'23.10 MITYANA-BUSUNJU '!J21,'20.10  BUSUNJU-MITYANA'!J21,'21.10 MITYANA-BUSUNJU '!J21,'19.10 MITYANA-BUSUNJU 24hr'!J21,'19.10 BUSUNJU-MITYANA 24hr'!J21,'22.10 MITYANA-BUSUNJU '!J21)</f>
        <v>0.42857142857142855</v>
      </c>
      <c r="K21" s="49">
        <f>AVERAGE('17.10 MITYANA-BUSUNJU'!K21,'23.10 MITYANA-BUSUNJU '!K21,'20.10  BUSUNJU-MITYANA'!K21,'21.10 MITYANA-BUSUNJU '!K21,'19.10 MITYANA-BUSUNJU 24hr'!K21,'19.10 BUSUNJU-MITYANA 24hr'!K21,'22.10 MITYANA-BUSUNJU '!K21)</f>
        <v>0.14285714285714285</v>
      </c>
      <c r="L21" s="49">
        <f>AVERAGE('17.10 MITYANA-BUSUNJU'!L21,'23.10 MITYANA-BUSUNJU '!L21,'20.10  BUSUNJU-MITYANA'!L21,'21.10 MITYANA-BUSUNJU '!L21,'19.10 MITYANA-BUSUNJU 24hr'!L21,'19.10 BUSUNJU-MITYANA 24hr'!L21,'22.10 MITYANA-BUSUNJU '!L21)</f>
        <v>0</v>
      </c>
      <c r="M21" s="49">
        <f>AVERAGE('17.10 MITYANA-BUSUNJU'!M21,'23.10 MITYANA-BUSUNJU '!M21,'20.10  BUSUNJU-MITYANA'!M21,'21.10 MITYANA-BUSUNJU '!M21,'19.10 MITYANA-BUSUNJU 24hr'!M21,'19.10 BUSUNJU-MITYANA 24hr'!M21,'22.10 MITYANA-BUSUNJU '!M21)</f>
        <v>11.285714285714286</v>
      </c>
      <c r="N21" s="49">
        <f>AVERAGE('17.10 MITYANA-BUSUNJU'!N21,'23.10 MITYANA-BUSUNJU '!N21,'20.10  BUSUNJU-MITYANA'!N21,'21.10 MITYANA-BUSUNJU '!N21,'19.10 MITYANA-BUSUNJU 24hr'!N21,'19.10 BUSUNJU-MITYANA 24hr'!N21,'22.10 MITYANA-BUSUNJU '!N21)</f>
        <v>0</v>
      </c>
      <c r="O21" s="15">
        <f t="shared" si="0"/>
        <v>2.9999999999999996</v>
      </c>
      <c r="P21" s="15">
        <f t="shared" si="1"/>
        <v>14.285714285714286</v>
      </c>
      <c r="R21" s="36" t="s">
        <v>20</v>
      </c>
      <c r="S21" s="34">
        <f t="shared" ref="S21:AF21" si="13">SUM(C54:C57)</f>
        <v>3.2857142857142856</v>
      </c>
      <c r="T21" s="17">
        <f t="shared" si="13"/>
        <v>1.1428571428571428</v>
      </c>
      <c r="U21" s="17">
        <f t="shared" si="13"/>
        <v>2.1428571428571428</v>
      </c>
      <c r="V21" s="17">
        <f t="shared" si="13"/>
        <v>1.2857142857142856</v>
      </c>
      <c r="W21" s="17">
        <f t="shared" si="13"/>
        <v>0</v>
      </c>
      <c r="X21" s="17">
        <f t="shared" si="13"/>
        <v>0.14285714285714285</v>
      </c>
      <c r="Y21" s="17">
        <f t="shared" si="13"/>
        <v>2.1428571428571428</v>
      </c>
      <c r="Z21" s="17">
        <f t="shared" si="13"/>
        <v>1.2857142857142856</v>
      </c>
      <c r="AA21" s="17">
        <f t="shared" si="13"/>
        <v>0</v>
      </c>
      <c r="AB21" s="17">
        <f t="shared" si="13"/>
        <v>0</v>
      </c>
      <c r="AC21" s="17">
        <f t="shared" si="13"/>
        <v>41.714285714285715</v>
      </c>
      <c r="AD21" s="17">
        <f t="shared" si="13"/>
        <v>0</v>
      </c>
      <c r="AE21" s="31">
        <f t="shared" si="13"/>
        <v>11.428571428571429</v>
      </c>
      <c r="AF21" s="31">
        <f t="shared" si="13"/>
        <v>53.142857142857146</v>
      </c>
    </row>
    <row r="22" spans="2:32" ht="23.1" customHeight="1" x14ac:dyDescent="0.25">
      <c r="B22" s="23" t="s">
        <v>49</v>
      </c>
      <c r="C22" s="49">
        <f>AVERAGE('17.10 MITYANA-BUSUNJU'!C22,'23.10 MITYANA-BUSUNJU '!C22,'20.10  BUSUNJU-MITYANA'!C22,'21.10 MITYANA-BUSUNJU '!C22,'19.10 MITYANA-BUSUNJU 24hr'!C22,'19.10 BUSUNJU-MITYANA 24hr'!C22,'22.10 MITYANA-BUSUNJU '!C22)</f>
        <v>0.2857142857142857</v>
      </c>
      <c r="D22" s="49">
        <f>AVERAGE('17.10 MITYANA-BUSUNJU'!D22,'23.10 MITYANA-BUSUNJU '!D22,'20.10  BUSUNJU-MITYANA'!D22,'21.10 MITYANA-BUSUNJU '!D22,'19.10 MITYANA-BUSUNJU 24hr'!D22,'19.10 BUSUNJU-MITYANA 24hr'!D22,'22.10 MITYANA-BUSUNJU '!D22)</f>
        <v>0.2857142857142857</v>
      </c>
      <c r="E22" s="49">
        <f>AVERAGE('17.10 MITYANA-BUSUNJU'!E22,'23.10 MITYANA-BUSUNJU '!E22,'20.10  BUSUNJU-MITYANA'!E22,'21.10 MITYANA-BUSUNJU '!E22,'19.10 MITYANA-BUSUNJU 24hr'!E22,'19.10 BUSUNJU-MITYANA 24hr'!E22,'22.10 MITYANA-BUSUNJU '!E22)</f>
        <v>0.7142857142857143</v>
      </c>
      <c r="F22" s="49">
        <f>AVERAGE('17.10 MITYANA-BUSUNJU'!F22,'23.10 MITYANA-BUSUNJU '!F22,'20.10  BUSUNJU-MITYANA'!F22,'21.10 MITYANA-BUSUNJU '!F22,'19.10 MITYANA-BUSUNJU 24hr'!F22,'19.10 BUSUNJU-MITYANA 24hr'!F22,'22.10 MITYANA-BUSUNJU '!F22)</f>
        <v>0.14285714285714285</v>
      </c>
      <c r="G22" s="49">
        <f>AVERAGE('17.10 MITYANA-BUSUNJU'!G22,'23.10 MITYANA-BUSUNJU '!G22,'20.10  BUSUNJU-MITYANA'!G22,'21.10 MITYANA-BUSUNJU '!G22,'19.10 MITYANA-BUSUNJU 24hr'!G22,'19.10 BUSUNJU-MITYANA 24hr'!G22,'22.10 MITYANA-BUSUNJU '!G22)</f>
        <v>0</v>
      </c>
      <c r="H22" s="49">
        <f>AVERAGE('17.10 MITYANA-BUSUNJU'!H22,'23.10 MITYANA-BUSUNJU '!H22,'20.10  BUSUNJU-MITYANA'!H22,'21.10 MITYANA-BUSUNJU '!H22,'19.10 MITYANA-BUSUNJU 24hr'!H22,'19.10 BUSUNJU-MITYANA 24hr'!H22,'22.10 MITYANA-BUSUNJU '!H22)</f>
        <v>0.14285714285714285</v>
      </c>
      <c r="I22" s="49">
        <f>AVERAGE('17.10 MITYANA-BUSUNJU'!I22,'23.10 MITYANA-BUSUNJU '!I22,'20.10  BUSUNJU-MITYANA'!I22,'21.10 MITYANA-BUSUNJU '!I22,'19.10 MITYANA-BUSUNJU 24hr'!I22,'19.10 BUSUNJU-MITYANA 24hr'!I22,'22.10 MITYANA-BUSUNJU '!I22)</f>
        <v>0.2857142857142857</v>
      </c>
      <c r="J22" s="49">
        <f>AVERAGE('17.10 MITYANA-BUSUNJU'!J22,'23.10 MITYANA-BUSUNJU '!J22,'20.10  BUSUNJU-MITYANA'!J22,'21.10 MITYANA-BUSUNJU '!J22,'19.10 MITYANA-BUSUNJU 24hr'!J22,'19.10 BUSUNJU-MITYANA 24hr'!J22,'22.10 MITYANA-BUSUNJU '!J22)</f>
        <v>0.14285714285714285</v>
      </c>
      <c r="K22" s="49">
        <f>AVERAGE('17.10 MITYANA-BUSUNJU'!K22,'23.10 MITYANA-BUSUNJU '!K22,'20.10  BUSUNJU-MITYANA'!K22,'21.10 MITYANA-BUSUNJU '!K22,'19.10 MITYANA-BUSUNJU 24hr'!K22,'19.10 BUSUNJU-MITYANA 24hr'!K22,'22.10 MITYANA-BUSUNJU '!K22)</f>
        <v>0</v>
      </c>
      <c r="L22" s="49">
        <f>AVERAGE('17.10 MITYANA-BUSUNJU'!L22,'23.10 MITYANA-BUSUNJU '!L22,'20.10  BUSUNJU-MITYANA'!L22,'21.10 MITYANA-BUSUNJU '!L22,'19.10 MITYANA-BUSUNJU 24hr'!L22,'19.10 BUSUNJU-MITYANA 24hr'!L22,'22.10 MITYANA-BUSUNJU '!L22)</f>
        <v>0</v>
      </c>
      <c r="M22" s="49">
        <f>AVERAGE('17.10 MITYANA-BUSUNJU'!M22,'23.10 MITYANA-BUSUNJU '!M22,'20.10  BUSUNJU-MITYANA'!M22,'21.10 MITYANA-BUSUNJU '!M22,'19.10 MITYANA-BUSUNJU 24hr'!M22,'19.10 BUSUNJU-MITYANA 24hr'!M22,'22.10 MITYANA-BUSUNJU '!M22)</f>
        <v>9</v>
      </c>
      <c r="N22" s="49">
        <f>AVERAGE('17.10 MITYANA-BUSUNJU'!N22,'23.10 MITYANA-BUSUNJU '!N22,'20.10  BUSUNJU-MITYANA'!N22,'21.10 MITYANA-BUSUNJU '!N22,'19.10 MITYANA-BUSUNJU 24hr'!N22,'19.10 BUSUNJU-MITYANA 24hr'!N22,'22.10 MITYANA-BUSUNJU '!N22)</f>
        <v>0</v>
      </c>
      <c r="O22" s="15">
        <f t="shared" si="0"/>
        <v>1.9999999999999996</v>
      </c>
      <c r="P22" s="15">
        <f t="shared" si="1"/>
        <v>11</v>
      </c>
      <c r="R22" s="1" t="s">
        <v>146</v>
      </c>
      <c r="S22" s="34">
        <f>SUM(C58:C61)</f>
        <v>5.5</v>
      </c>
      <c r="T22" s="34">
        <f t="shared" ref="T22:AF22" si="14">SUM(D58:D61)</f>
        <v>1</v>
      </c>
      <c r="U22" s="34">
        <f t="shared" si="14"/>
        <v>2</v>
      </c>
      <c r="V22" s="34">
        <f t="shared" si="14"/>
        <v>1.5</v>
      </c>
      <c r="W22" s="34">
        <f t="shared" si="14"/>
        <v>0.5</v>
      </c>
      <c r="X22" s="34">
        <f t="shared" si="14"/>
        <v>0</v>
      </c>
      <c r="Y22" s="34">
        <f t="shared" si="14"/>
        <v>3</v>
      </c>
      <c r="Z22" s="34">
        <f t="shared" si="14"/>
        <v>0</v>
      </c>
      <c r="AA22" s="34">
        <f t="shared" si="14"/>
        <v>0.5</v>
      </c>
      <c r="AB22" s="34">
        <f t="shared" si="14"/>
        <v>0</v>
      </c>
      <c r="AC22" s="34">
        <f t="shared" si="14"/>
        <v>75</v>
      </c>
      <c r="AD22" s="34">
        <f t="shared" si="14"/>
        <v>0</v>
      </c>
      <c r="AE22" s="31">
        <f t="shared" si="14"/>
        <v>14</v>
      </c>
      <c r="AF22" s="31">
        <f t="shared" si="14"/>
        <v>89</v>
      </c>
    </row>
    <row r="23" spans="2:32" ht="23.1" customHeight="1" x14ac:dyDescent="0.25">
      <c r="B23" s="23" t="s">
        <v>50</v>
      </c>
      <c r="C23" s="49">
        <f>AVERAGE('17.10 MITYANA-BUSUNJU'!C23,'23.10 MITYANA-BUSUNJU '!C23,'20.10  BUSUNJU-MITYANA'!C23,'21.10 MITYANA-BUSUNJU '!C23,'19.10 MITYANA-BUSUNJU 24hr'!C23,'19.10 BUSUNJU-MITYANA 24hr'!C23,'22.10 MITYANA-BUSUNJU '!C23)</f>
        <v>1</v>
      </c>
      <c r="D23" s="49">
        <f>AVERAGE('17.10 MITYANA-BUSUNJU'!D23,'23.10 MITYANA-BUSUNJU '!D23,'20.10  BUSUNJU-MITYANA'!D23,'21.10 MITYANA-BUSUNJU '!D23,'19.10 MITYANA-BUSUNJU 24hr'!D23,'19.10 BUSUNJU-MITYANA 24hr'!D23,'22.10 MITYANA-BUSUNJU '!D23)</f>
        <v>0.42857142857142855</v>
      </c>
      <c r="E23" s="49">
        <f>AVERAGE('17.10 MITYANA-BUSUNJU'!E23,'23.10 MITYANA-BUSUNJU '!E23,'20.10  BUSUNJU-MITYANA'!E23,'21.10 MITYANA-BUSUNJU '!E23,'19.10 MITYANA-BUSUNJU 24hr'!E23,'19.10 BUSUNJU-MITYANA 24hr'!E23,'22.10 MITYANA-BUSUNJU '!E23)</f>
        <v>0.14285714285714285</v>
      </c>
      <c r="F23" s="49">
        <f>AVERAGE('17.10 MITYANA-BUSUNJU'!F23,'23.10 MITYANA-BUSUNJU '!F23,'20.10  BUSUNJU-MITYANA'!F23,'21.10 MITYANA-BUSUNJU '!F23,'19.10 MITYANA-BUSUNJU 24hr'!F23,'19.10 BUSUNJU-MITYANA 24hr'!F23,'22.10 MITYANA-BUSUNJU '!F23)</f>
        <v>0.14285714285714285</v>
      </c>
      <c r="G23" s="49">
        <f>AVERAGE('17.10 MITYANA-BUSUNJU'!G23,'23.10 MITYANA-BUSUNJU '!G23,'20.10  BUSUNJU-MITYANA'!G23,'21.10 MITYANA-BUSUNJU '!G23,'19.10 MITYANA-BUSUNJU 24hr'!G23,'19.10 BUSUNJU-MITYANA 24hr'!G23,'22.10 MITYANA-BUSUNJU '!G23)</f>
        <v>0</v>
      </c>
      <c r="H23" s="49">
        <f>AVERAGE('17.10 MITYANA-BUSUNJU'!H23,'23.10 MITYANA-BUSUNJU '!H23,'20.10  BUSUNJU-MITYANA'!H23,'21.10 MITYANA-BUSUNJU '!H23,'19.10 MITYANA-BUSUNJU 24hr'!H23,'19.10 BUSUNJU-MITYANA 24hr'!H23,'22.10 MITYANA-BUSUNJU '!H23)</f>
        <v>0</v>
      </c>
      <c r="I23" s="49">
        <f>AVERAGE('17.10 MITYANA-BUSUNJU'!I23,'23.10 MITYANA-BUSUNJU '!I23,'20.10  BUSUNJU-MITYANA'!I23,'21.10 MITYANA-BUSUNJU '!I23,'19.10 MITYANA-BUSUNJU 24hr'!I23,'19.10 BUSUNJU-MITYANA 24hr'!I23,'22.10 MITYANA-BUSUNJU '!I23)</f>
        <v>0.7142857142857143</v>
      </c>
      <c r="J23" s="49">
        <f>AVERAGE('17.10 MITYANA-BUSUNJU'!J23,'23.10 MITYANA-BUSUNJU '!J23,'20.10  BUSUNJU-MITYANA'!J23,'21.10 MITYANA-BUSUNJU '!J23,'19.10 MITYANA-BUSUNJU 24hr'!J23,'19.10 BUSUNJU-MITYANA 24hr'!J23,'22.10 MITYANA-BUSUNJU '!J23)</f>
        <v>0.14285714285714285</v>
      </c>
      <c r="K23" s="49">
        <f>AVERAGE('17.10 MITYANA-BUSUNJU'!K23,'23.10 MITYANA-BUSUNJU '!K23,'20.10  BUSUNJU-MITYANA'!K23,'21.10 MITYANA-BUSUNJU '!K23,'19.10 MITYANA-BUSUNJU 24hr'!K23,'19.10 BUSUNJU-MITYANA 24hr'!K23,'22.10 MITYANA-BUSUNJU '!K23)</f>
        <v>0</v>
      </c>
      <c r="L23" s="49">
        <f>AVERAGE('17.10 MITYANA-BUSUNJU'!L23,'23.10 MITYANA-BUSUNJU '!L23,'20.10  BUSUNJU-MITYANA'!L23,'21.10 MITYANA-BUSUNJU '!L23,'19.10 MITYANA-BUSUNJU 24hr'!L23,'19.10 BUSUNJU-MITYANA 24hr'!L23,'22.10 MITYANA-BUSUNJU '!L23)</f>
        <v>0</v>
      </c>
      <c r="M23" s="49">
        <f>AVERAGE('17.10 MITYANA-BUSUNJU'!M23,'23.10 MITYANA-BUSUNJU '!M23,'20.10  BUSUNJU-MITYANA'!M23,'21.10 MITYANA-BUSUNJU '!M23,'19.10 MITYANA-BUSUNJU 24hr'!M23,'19.10 BUSUNJU-MITYANA 24hr'!M23,'22.10 MITYANA-BUSUNJU '!M23)</f>
        <v>9.2857142857142865</v>
      </c>
      <c r="N23" s="49">
        <f>AVERAGE('17.10 MITYANA-BUSUNJU'!N23,'23.10 MITYANA-BUSUNJU '!N23,'20.10  BUSUNJU-MITYANA'!N23,'21.10 MITYANA-BUSUNJU '!N23,'19.10 MITYANA-BUSUNJU 24hr'!N23,'19.10 BUSUNJU-MITYANA 24hr'!N23,'22.10 MITYANA-BUSUNJU '!N23)</f>
        <v>0</v>
      </c>
      <c r="O23" s="15">
        <f t="shared" si="0"/>
        <v>2.5714285714285712</v>
      </c>
      <c r="P23" s="15">
        <f t="shared" si="1"/>
        <v>11.857142857142858</v>
      </c>
      <c r="R23" s="1" t="s">
        <v>147</v>
      </c>
      <c r="S23" s="34">
        <f>SUM(C62:C65)</f>
        <v>4</v>
      </c>
      <c r="T23" s="34">
        <f t="shared" ref="T23:AF23" si="15">SUM(D62:D65)</f>
        <v>1.5</v>
      </c>
      <c r="U23" s="34">
        <f t="shared" si="15"/>
        <v>0</v>
      </c>
      <c r="V23" s="34">
        <f t="shared" si="15"/>
        <v>0.5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40.5</v>
      </c>
      <c r="AD23" s="34">
        <f t="shared" si="15"/>
        <v>0</v>
      </c>
      <c r="AE23" s="31">
        <f t="shared" si="15"/>
        <v>8</v>
      </c>
      <c r="AF23" s="31">
        <f t="shared" si="15"/>
        <v>48.5</v>
      </c>
    </row>
    <row r="24" spans="2:32" ht="23.1" customHeight="1" x14ac:dyDescent="0.25">
      <c r="B24" s="23" t="s">
        <v>51</v>
      </c>
      <c r="C24" s="49">
        <f>AVERAGE('17.10 MITYANA-BUSUNJU'!C24,'23.10 MITYANA-BUSUNJU '!C24,'20.10  BUSUNJU-MITYANA'!C24,'21.10 MITYANA-BUSUNJU '!C24,'19.10 MITYANA-BUSUNJU 24hr'!C24,'19.10 BUSUNJU-MITYANA 24hr'!C24,'22.10 MITYANA-BUSUNJU '!C24)</f>
        <v>0.2857142857142857</v>
      </c>
      <c r="D24" s="49">
        <f>AVERAGE('17.10 MITYANA-BUSUNJU'!D24,'23.10 MITYANA-BUSUNJU '!D24,'20.10  BUSUNJU-MITYANA'!D24,'21.10 MITYANA-BUSUNJU '!D24,'19.10 MITYANA-BUSUNJU 24hr'!D24,'19.10 BUSUNJU-MITYANA 24hr'!D24,'22.10 MITYANA-BUSUNJU '!D24)</f>
        <v>0</v>
      </c>
      <c r="E24" s="49">
        <f>AVERAGE('17.10 MITYANA-BUSUNJU'!E24,'23.10 MITYANA-BUSUNJU '!E24,'20.10  BUSUNJU-MITYANA'!E24,'21.10 MITYANA-BUSUNJU '!E24,'19.10 MITYANA-BUSUNJU 24hr'!E24,'19.10 BUSUNJU-MITYANA 24hr'!E24,'22.10 MITYANA-BUSUNJU '!E24)</f>
        <v>0</v>
      </c>
      <c r="F24" s="49">
        <f>AVERAGE('17.10 MITYANA-BUSUNJU'!F24,'23.10 MITYANA-BUSUNJU '!F24,'20.10  BUSUNJU-MITYANA'!F24,'21.10 MITYANA-BUSUNJU '!F24,'19.10 MITYANA-BUSUNJU 24hr'!F24,'19.10 BUSUNJU-MITYANA 24hr'!F24,'22.10 MITYANA-BUSUNJU '!F24)</f>
        <v>0.2857142857142857</v>
      </c>
      <c r="G24" s="49">
        <f>AVERAGE('17.10 MITYANA-BUSUNJU'!G24,'23.10 MITYANA-BUSUNJU '!G24,'20.10  BUSUNJU-MITYANA'!G24,'21.10 MITYANA-BUSUNJU '!G24,'19.10 MITYANA-BUSUNJU 24hr'!G24,'19.10 BUSUNJU-MITYANA 24hr'!G24,'22.10 MITYANA-BUSUNJU '!G24)</f>
        <v>0</v>
      </c>
      <c r="H24" s="49">
        <f>AVERAGE('17.10 MITYANA-BUSUNJU'!H24,'23.10 MITYANA-BUSUNJU '!H24,'20.10  BUSUNJU-MITYANA'!H24,'21.10 MITYANA-BUSUNJU '!H24,'19.10 MITYANA-BUSUNJU 24hr'!H24,'19.10 BUSUNJU-MITYANA 24hr'!H24,'22.10 MITYANA-BUSUNJU '!H24)</f>
        <v>0</v>
      </c>
      <c r="I24" s="49">
        <f>AVERAGE('17.10 MITYANA-BUSUNJU'!I24,'23.10 MITYANA-BUSUNJU '!I24,'20.10  BUSUNJU-MITYANA'!I24,'21.10 MITYANA-BUSUNJU '!I24,'19.10 MITYANA-BUSUNJU 24hr'!I24,'19.10 BUSUNJU-MITYANA 24hr'!I24,'22.10 MITYANA-BUSUNJU '!I24)</f>
        <v>0.2857142857142857</v>
      </c>
      <c r="J24" s="49">
        <f>AVERAGE('17.10 MITYANA-BUSUNJU'!J24,'23.10 MITYANA-BUSUNJU '!J24,'20.10  BUSUNJU-MITYANA'!J24,'21.10 MITYANA-BUSUNJU '!J24,'19.10 MITYANA-BUSUNJU 24hr'!J24,'19.10 BUSUNJU-MITYANA 24hr'!J24,'22.10 MITYANA-BUSUNJU '!J24)</f>
        <v>0.14285714285714285</v>
      </c>
      <c r="K24" s="49">
        <f>AVERAGE('17.10 MITYANA-BUSUNJU'!K24,'23.10 MITYANA-BUSUNJU '!K24,'20.10  BUSUNJU-MITYANA'!K24,'21.10 MITYANA-BUSUNJU '!K24,'19.10 MITYANA-BUSUNJU 24hr'!K24,'19.10 BUSUNJU-MITYANA 24hr'!K24,'22.10 MITYANA-BUSUNJU '!K24)</f>
        <v>0</v>
      </c>
      <c r="L24" s="49">
        <f>AVERAGE('17.10 MITYANA-BUSUNJU'!L24,'23.10 MITYANA-BUSUNJU '!L24,'20.10  BUSUNJU-MITYANA'!L24,'21.10 MITYANA-BUSUNJU '!L24,'19.10 MITYANA-BUSUNJU 24hr'!L24,'19.10 BUSUNJU-MITYANA 24hr'!L24,'22.10 MITYANA-BUSUNJU '!L24)</f>
        <v>0</v>
      </c>
      <c r="M24" s="49">
        <f>AVERAGE('17.10 MITYANA-BUSUNJU'!M24,'23.10 MITYANA-BUSUNJU '!M24,'20.10  BUSUNJU-MITYANA'!M24,'21.10 MITYANA-BUSUNJU '!M24,'19.10 MITYANA-BUSUNJU 24hr'!M24,'19.10 BUSUNJU-MITYANA 24hr'!M24,'22.10 MITYANA-BUSUNJU '!M24)</f>
        <v>9.8571428571428577</v>
      </c>
      <c r="N24" s="49">
        <f>AVERAGE('17.10 MITYANA-BUSUNJU'!N24,'23.10 MITYANA-BUSUNJU '!N24,'20.10  BUSUNJU-MITYANA'!N24,'21.10 MITYANA-BUSUNJU '!N24,'19.10 MITYANA-BUSUNJU 24hr'!N24,'19.10 BUSUNJU-MITYANA 24hr'!N24,'22.10 MITYANA-BUSUNJU '!N24)</f>
        <v>0</v>
      </c>
      <c r="O24" s="15">
        <f t="shared" si="0"/>
        <v>1</v>
      </c>
      <c r="P24" s="15">
        <f t="shared" si="1"/>
        <v>10.857142857142858</v>
      </c>
      <c r="R24" s="1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1.5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0.5</v>
      </c>
      <c r="AB24" s="34">
        <f t="shared" si="16"/>
        <v>0</v>
      </c>
      <c r="AC24" s="34">
        <f t="shared" si="16"/>
        <v>18</v>
      </c>
      <c r="AD24" s="34">
        <f t="shared" si="16"/>
        <v>0</v>
      </c>
      <c r="AE24" s="31">
        <f t="shared" si="16"/>
        <v>6</v>
      </c>
      <c r="AF24" s="31">
        <f t="shared" si="16"/>
        <v>24</v>
      </c>
    </row>
    <row r="25" spans="2:32" ht="23.1" customHeight="1" x14ac:dyDescent="0.25">
      <c r="B25" s="23" t="s">
        <v>52</v>
      </c>
      <c r="C25" s="49">
        <f>AVERAGE('17.10 MITYANA-BUSUNJU'!C25,'23.10 MITYANA-BUSUNJU '!C25,'20.10  BUSUNJU-MITYANA'!C25,'21.10 MITYANA-BUSUNJU '!C25,'19.10 MITYANA-BUSUNJU 24hr'!C25,'19.10 BUSUNJU-MITYANA 24hr'!C25,'22.10 MITYANA-BUSUNJU '!C25)</f>
        <v>0.42857142857142855</v>
      </c>
      <c r="D25" s="49">
        <f>AVERAGE('17.10 MITYANA-BUSUNJU'!D25,'23.10 MITYANA-BUSUNJU '!D25,'20.10  BUSUNJU-MITYANA'!D25,'21.10 MITYANA-BUSUNJU '!D25,'19.10 MITYANA-BUSUNJU 24hr'!D25,'19.10 BUSUNJU-MITYANA 24hr'!D25,'22.10 MITYANA-BUSUNJU '!D25)</f>
        <v>0.5714285714285714</v>
      </c>
      <c r="E25" s="49">
        <f>AVERAGE('17.10 MITYANA-BUSUNJU'!E25,'23.10 MITYANA-BUSUNJU '!E25,'20.10  BUSUNJU-MITYANA'!E25,'21.10 MITYANA-BUSUNJU '!E25,'19.10 MITYANA-BUSUNJU 24hr'!E25,'19.10 BUSUNJU-MITYANA 24hr'!E25,'22.10 MITYANA-BUSUNJU '!E25)</f>
        <v>0</v>
      </c>
      <c r="F25" s="49">
        <f>AVERAGE('17.10 MITYANA-BUSUNJU'!F25,'23.10 MITYANA-BUSUNJU '!F25,'20.10  BUSUNJU-MITYANA'!F25,'21.10 MITYANA-BUSUNJU '!F25,'19.10 MITYANA-BUSUNJU 24hr'!F25,'19.10 BUSUNJU-MITYANA 24hr'!F25,'22.10 MITYANA-BUSUNJU '!F25)</f>
        <v>0</v>
      </c>
      <c r="G25" s="49">
        <f>AVERAGE('17.10 MITYANA-BUSUNJU'!G25,'23.10 MITYANA-BUSUNJU '!G25,'20.10  BUSUNJU-MITYANA'!G25,'21.10 MITYANA-BUSUNJU '!G25,'19.10 MITYANA-BUSUNJU 24hr'!G25,'19.10 BUSUNJU-MITYANA 24hr'!G25,'22.10 MITYANA-BUSUNJU '!G25)</f>
        <v>0.14285714285714285</v>
      </c>
      <c r="H25" s="49">
        <f>AVERAGE('17.10 MITYANA-BUSUNJU'!H25,'23.10 MITYANA-BUSUNJU '!H25,'20.10  BUSUNJU-MITYANA'!H25,'21.10 MITYANA-BUSUNJU '!H25,'19.10 MITYANA-BUSUNJU 24hr'!H25,'19.10 BUSUNJU-MITYANA 24hr'!H25,'22.10 MITYANA-BUSUNJU '!H25)</f>
        <v>0</v>
      </c>
      <c r="I25" s="49">
        <f>AVERAGE('17.10 MITYANA-BUSUNJU'!I25,'23.10 MITYANA-BUSUNJU '!I25,'20.10  BUSUNJU-MITYANA'!I25,'21.10 MITYANA-BUSUNJU '!I25,'19.10 MITYANA-BUSUNJU 24hr'!I25,'19.10 BUSUNJU-MITYANA 24hr'!I25,'22.10 MITYANA-BUSUNJU '!I25)</f>
        <v>0.14285714285714285</v>
      </c>
      <c r="J25" s="49">
        <f>AVERAGE('17.10 MITYANA-BUSUNJU'!J25,'23.10 MITYANA-BUSUNJU '!J25,'20.10  BUSUNJU-MITYANA'!J25,'21.10 MITYANA-BUSUNJU '!J25,'19.10 MITYANA-BUSUNJU 24hr'!J25,'19.10 BUSUNJU-MITYANA 24hr'!J25,'22.10 MITYANA-BUSUNJU '!J25)</f>
        <v>0.14285714285714285</v>
      </c>
      <c r="K25" s="49">
        <f>AVERAGE('17.10 MITYANA-BUSUNJU'!K25,'23.10 MITYANA-BUSUNJU '!K25,'20.10  BUSUNJU-MITYANA'!K25,'21.10 MITYANA-BUSUNJU '!K25,'19.10 MITYANA-BUSUNJU 24hr'!K25,'19.10 BUSUNJU-MITYANA 24hr'!K25,'22.10 MITYANA-BUSUNJU '!K25)</f>
        <v>0</v>
      </c>
      <c r="L25" s="49">
        <f>AVERAGE('17.10 MITYANA-BUSUNJU'!L25,'23.10 MITYANA-BUSUNJU '!L25,'20.10  BUSUNJU-MITYANA'!L25,'21.10 MITYANA-BUSUNJU '!L25,'19.10 MITYANA-BUSUNJU 24hr'!L25,'19.10 BUSUNJU-MITYANA 24hr'!L25,'22.10 MITYANA-BUSUNJU '!L25)</f>
        <v>0</v>
      </c>
      <c r="M25" s="49">
        <f>AVERAGE('17.10 MITYANA-BUSUNJU'!M25,'23.10 MITYANA-BUSUNJU '!M25,'20.10  BUSUNJU-MITYANA'!M25,'21.10 MITYANA-BUSUNJU '!M25,'19.10 MITYANA-BUSUNJU 24hr'!M25,'19.10 BUSUNJU-MITYANA 24hr'!M25,'22.10 MITYANA-BUSUNJU '!M25)</f>
        <v>8.1428571428571423</v>
      </c>
      <c r="N25" s="49">
        <f>AVERAGE('17.10 MITYANA-BUSUNJU'!N25,'23.10 MITYANA-BUSUNJU '!N25,'20.10  BUSUNJU-MITYANA'!N25,'21.10 MITYANA-BUSUNJU '!N25,'19.10 MITYANA-BUSUNJU 24hr'!N25,'19.10 BUSUNJU-MITYANA 24hr'!N25,'22.10 MITYANA-BUSUNJU '!N25)</f>
        <v>0</v>
      </c>
      <c r="O25" s="15">
        <f t="shared" si="0"/>
        <v>1.4285714285714284</v>
      </c>
      <c r="P25" s="15">
        <f t="shared" si="1"/>
        <v>9.5714285714285712</v>
      </c>
      <c r="R25" s="1" t="s">
        <v>149</v>
      </c>
      <c r="S25" s="34">
        <f>SUM(C70:C73)</f>
        <v>0.5</v>
      </c>
      <c r="T25" s="34">
        <f t="shared" ref="T25:AF25" si="17">SUM(D70:D73)</f>
        <v>1.5</v>
      </c>
      <c r="U25" s="34">
        <f t="shared" si="17"/>
        <v>0.5</v>
      </c>
      <c r="V25" s="34">
        <f t="shared" si="17"/>
        <v>0.5</v>
      </c>
      <c r="W25" s="34">
        <f t="shared" si="17"/>
        <v>0</v>
      </c>
      <c r="X25" s="34">
        <f t="shared" si="17"/>
        <v>0</v>
      </c>
      <c r="Y25" s="34">
        <f t="shared" si="17"/>
        <v>1.5</v>
      </c>
      <c r="Z25" s="34">
        <f t="shared" si="17"/>
        <v>0</v>
      </c>
      <c r="AA25" s="34">
        <f t="shared" si="17"/>
        <v>0</v>
      </c>
      <c r="AB25" s="34">
        <f t="shared" si="17"/>
        <v>1</v>
      </c>
      <c r="AC25" s="34">
        <f t="shared" si="17"/>
        <v>16.5</v>
      </c>
      <c r="AD25" s="34">
        <f t="shared" si="17"/>
        <v>0</v>
      </c>
      <c r="AE25" s="31">
        <f t="shared" si="17"/>
        <v>5.5</v>
      </c>
      <c r="AF25" s="31">
        <f t="shared" si="17"/>
        <v>22</v>
      </c>
    </row>
    <row r="26" spans="2:32" ht="23.1" customHeight="1" x14ac:dyDescent="0.25">
      <c r="B26" s="23" t="s">
        <v>53</v>
      </c>
      <c r="C26" s="49">
        <f>AVERAGE('17.10 MITYANA-BUSUNJU'!C26,'23.10 MITYANA-BUSUNJU '!C26,'20.10  BUSUNJU-MITYANA'!C26,'21.10 MITYANA-BUSUNJU '!C26,'19.10 MITYANA-BUSUNJU 24hr'!C26,'19.10 BUSUNJU-MITYANA 24hr'!C26,'22.10 MITYANA-BUSUNJU '!C26)</f>
        <v>0.7142857142857143</v>
      </c>
      <c r="D26" s="49">
        <f>AVERAGE('17.10 MITYANA-BUSUNJU'!D26,'23.10 MITYANA-BUSUNJU '!D26,'20.10  BUSUNJU-MITYANA'!D26,'21.10 MITYANA-BUSUNJU '!D26,'19.10 MITYANA-BUSUNJU 24hr'!D26,'19.10 BUSUNJU-MITYANA 24hr'!D26,'22.10 MITYANA-BUSUNJU '!D26)</f>
        <v>0.7142857142857143</v>
      </c>
      <c r="E26" s="49">
        <f>AVERAGE('17.10 MITYANA-BUSUNJU'!E26,'23.10 MITYANA-BUSUNJU '!E26,'20.10  BUSUNJU-MITYANA'!E26,'21.10 MITYANA-BUSUNJU '!E26,'19.10 MITYANA-BUSUNJU 24hr'!E26,'19.10 BUSUNJU-MITYANA 24hr'!E26,'22.10 MITYANA-BUSUNJU '!E26)</f>
        <v>0.2857142857142857</v>
      </c>
      <c r="F26" s="49">
        <f>AVERAGE('17.10 MITYANA-BUSUNJU'!F26,'23.10 MITYANA-BUSUNJU '!F26,'20.10  BUSUNJU-MITYANA'!F26,'21.10 MITYANA-BUSUNJU '!F26,'19.10 MITYANA-BUSUNJU 24hr'!F26,'19.10 BUSUNJU-MITYANA 24hr'!F26,'22.10 MITYANA-BUSUNJU '!F26)</f>
        <v>0</v>
      </c>
      <c r="G26" s="49">
        <f>AVERAGE('17.10 MITYANA-BUSUNJU'!G26,'23.10 MITYANA-BUSUNJU '!G26,'20.10  BUSUNJU-MITYANA'!G26,'21.10 MITYANA-BUSUNJU '!G26,'19.10 MITYANA-BUSUNJU 24hr'!G26,'19.10 BUSUNJU-MITYANA 24hr'!G26,'22.10 MITYANA-BUSUNJU '!G26)</f>
        <v>0</v>
      </c>
      <c r="H26" s="49">
        <f>AVERAGE('17.10 MITYANA-BUSUNJU'!H26,'23.10 MITYANA-BUSUNJU '!H26,'20.10  BUSUNJU-MITYANA'!H26,'21.10 MITYANA-BUSUNJU '!H26,'19.10 MITYANA-BUSUNJU 24hr'!H26,'19.10 BUSUNJU-MITYANA 24hr'!H26,'22.10 MITYANA-BUSUNJU '!H26)</f>
        <v>0</v>
      </c>
      <c r="I26" s="49">
        <f>AVERAGE('17.10 MITYANA-BUSUNJU'!I26,'23.10 MITYANA-BUSUNJU '!I26,'20.10  BUSUNJU-MITYANA'!I26,'21.10 MITYANA-BUSUNJU '!I26,'19.10 MITYANA-BUSUNJU 24hr'!I26,'19.10 BUSUNJU-MITYANA 24hr'!I26,'22.10 MITYANA-BUSUNJU '!I26)</f>
        <v>0.2857142857142857</v>
      </c>
      <c r="J26" s="49">
        <f>AVERAGE('17.10 MITYANA-BUSUNJU'!J26,'23.10 MITYANA-BUSUNJU '!J26,'20.10  BUSUNJU-MITYANA'!J26,'21.10 MITYANA-BUSUNJU '!J26,'19.10 MITYANA-BUSUNJU 24hr'!J26,'19.10 BUSUNJU-MITYANA 24hr'!J26,'22.10 MITYANA-BUSUNJU '!J26)</f>
        <v>0.14285714285714285</v>
      </c>
      <c r="K26" s="49">
        <f>AVERAGE('17.10 MITYANA-BUSUNJU'!K26,'23.10 MITYANA-BUSUNJU '!K26,'20.10  BUSUNJU-MITYANA'!K26,'21.10 MITYANA-BUSUNJU '!K26,'19.10 MITYANA-BUSUNJU 24hr'!K26,'19.10 BUSUNJU-MITYANA 24hr'!K26,'22.10 MITYANA-BUSUNJU '!K26)</f>
        <v>0</v>
      </c>
      <c r="L26" s="49">
        <f>AVERAGE('17.10 MITYANA-BUSUNJU'!L26,'23.10 MITYANA-BUSUNJU '!L26,'20.10  BUSUNJU-MITYANA'!L26,'21.10 MITYANA-BUSUNJU '!L26,'19.10 MITYANA-BUSUNJU 24hr'!L26,'19.10 BUSUNJU-MITYANA 24hr'!L26,'22.10 MITYANA-BUSUNJU '!L26)</f>
        <v>0</v>
      </c>
      <c r="M26" s="49">
        <f>AVERAGE('17.10 MITYANA-BUSUNJU'!M26,'23.10 MITYANA-BUSUNJU '!M26,'20.10  BUSUNJU-MITYANA'!M26,'21.10 MITYANA-BUSUNJU '!M26,'19.10 MITYANA-BUSUNJU 24hr'!M26,'19.10 BUSUNJU-MITYANA 24hr'!M26,'22.10 MITYANA-BUSUNJU '!M26)</f>
        <v>10.714285714285714</v>
      </c>
      <c r="N26" s="49">
        <f>AVERAGE('17.10 MITYANA-BUSUNJU'!N26,'23.10 MITYANA-BUSUNJU '!N26,'20.10  BUSUNJU-MITYANA'!N26,'21.10 MITYANA-BUSUNJU '!N26,'19.10 MITYANA-BUSUNJU 24hr'!N26,'19.10 BUSUNJU-MITYANA 24hr'!N26,'22.10 MITYANA-BUSUNJU '!N26)</f>
        <v>0</v>
      </c>
      <c r="O26" s="15">
        <f t="shared" si="0"/>
        <v>2.1428571428571428</v>
      </c>
      <c r="P26" s="15">
        <f t="shared" si="1"/>
        <v>12.857142857142856</v>
      </c>
      <c r="R26" s="1" t="s">
        <v>150</v>
      </c>
      <c r="S26" s="34">
        <f>SUM(C74:C77)</f>
        <v>2.5</v>
      </c>
      <c r="T26" s="34">
        <f t="shared" ref="T26:AF26" si="18">SUM(D74:D77)</f>
        <v>1.5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0.5</v>
      </c>
      <c r="Z26" s="34">
        <f t="shared" si="18"/>
        <v>1.5</v>
      </c>
      <c r="AA26" s="34">
        <f t="shared" si="18"/>
        <v>0</v>
      </c>
      <c r="AB26" s="34">
        <f t="shared" si="18"/>
        <v>0</v>
      </c>
      <c r="AC26" s="34">
        <f t="shared" si="18"/>
        <v>6</v>
      </c>
      <c r="AD26" s="34">
        <f t="shared" si="18"/>
        <v>0</v>
      </c>
      <c r="AE26" s="31">
        <f t="shared" si="18"/>
        <v>6</v>
      </c>
      <c r="AF26" s="31">
        <f t="shared" si="18"/>
        <v>12</v>
      </c>
    </row>
    <row r="27" spans="2:32" ht="23.1" customHeight="1" x14ac:dyDescent="0.25">
      <c r="B27" s="23" t="s">
        <v>54</v>
      </c>
      <c r="C27" s="49">
        <f>AVERAGE('17.10 MITYANA-BUSUNJU'!C27,'23.10 MITYANA-BUSUNJU '!C27,'20.10  BUSUNJU-MITYANA'!C27,'21.10 MITYANA-BUSUNJU '!C27,'19.10 MITYANA-BUSUNJU 24hr'!C27,'19.10 BUSUNJU-MITYANA 24hr'!C27,'22.10 MITYANA-BUSUNJU '!C27)</f>
        <v>1.4285714285714286</v>
      </c>
      <c r="D27" s="49">
        <f>AVERAGE('17.10 MITYANA-BUSUNJU'!D27,'23.10 MITYANA-BUSUNJU '!D27,'20.10  BUSUNJU-MITYANA'!D27,'21.10 MITYANA-BUSUNJU '!D27,'19.10 MITYANA-BUSUNJU 24hr'!D27,'19.10 BUSUNJU-MITYANA 24hr'!D27,'22.10 MITYANA-BUSUNJU '!D27)</f>
        <v>0.42857142857142855</v>
      </c>
      <c r="E27" s="49">
        <f>AVERAGE('17.10 MITYANA-BUSUNJU'!E27,'23.10 MITYANA-BUSUNJU '!E27,'20.10  BUSUNJU-MITYANA'!E27,'21.10 MITYANA-BUSUNJU '!E27,'19.10 MITYANA-BUSUNJU 24hr'!E27,'19.10 BUSUNJU-MITYANA 24hr'!E27,'22.10 MITYANA-BUSUNJU '!E27)</f>
        <v>0.14285714285714285</v>
      </c>
      <c r="F27" s="49">
        <f>AVERAGE('17.10 MITYANA-BUSUNJU'!F27,'23.10 MITYANA-BUSUNJU '!F27,'20.10  BUSUNJU-MITYANA'!F27,'21.10 MITYANA-BUSUNJU '!F27,'19.10 MITYANA-BUSUNJU 24hr'!F27,'19.10 BUSUNJU-MITYANA 24hr'!F27,'22.10 MITYANA-BUSUNJU '!F27)</f>
        <v>0</v>
      </c>
      <c r="G27" s="49">
        <f>AVERAGE('17.10 MITYANA-BUSUNJU'!G27,'23.10 MITYANA-BUSUNJU '!G27,'20.10  BUSUNJU-MITYANA'!G27,'21.10 MITYANA-BUSUNJU '!G27,'19.10 MITYANA-BUSUNJU 24hr'!G27,'19.10 BUSUNJU-MITYANA 24hr'!G27,'22.10 MITYANA-BUSUNJU '!G27)</f>
        <v>0.14285714285714285</v>
      </c>
      <c r="H27" s="49">
        <f>AVERAGE('17.10 MITYANA-BUSUNJU'!H27,'23.10 MITYANA-BUSUNJU '!H27,'20.10  BUSUNJU-MITYANA'!H27,'21.10 MITYANA-BUSUNJU '!H27,'19.10 MITYANA-BUSUNJU 24hr'!H27,'19.10 BUSUNJU-MITYANA 24hr'!H27,'22.10 MITYANA-BUSUNJU '!H27)</f>
        <v>0</v>
      </c>
      <c r="I27" s="49">
        <f>AVERAGE('17.10 MITYANA-BUSUNJU'!I27,'23.10 MITYANA-BUSUNJU '!I27,'20.10  BUSUNJU-MITYANA'!I27,'21.10 MITYANA-BUSUNJU '!I27,'19.10 MITYANA-BUSUNJU 24hr'!I27,'19.10 BUSUNJU-MITYANA 24hr'!I27,'22.10 MITYANA-BUSUNJU '!I27)</f>
        <v>0.5714285714285714</v>
      </c>
      <c r="J27" s="49">
        <f>AVERAGE('17.10 MITYANA-BUSUNJU'!J27,'23.10 MITYANA-BUSUNJU '!J27,'20.10  BUSUNJU-MITYANA'!J27,'21.10 MITYANA-BUSUNJU '!J27,'19.10 MITYANA-BUSUNJU 24hr'!J27,'19.10 BUSUNJU-MITYANA 24hr'!J27,'22.10 MITYANA-BUSUNJU '!J27)</f>
        <v>0</v>
      </c>
      <c r="K27" s="49">
        <f>AVERAGE('17.10 MITYANA-BUSUNJU'!K27,'23.10 MITYANA-BUSUNJU '!K27,'20.10  BUSUNJU-MITYANA'!K27,'21.10 MITYANA-BUSUNJU '!K27,'19.10 MITYANA-BUSUNJU 24hr'!K27,'19.10 BUSUNJU-MITYANA 24hr'!K27,'22.10 MITYANA-BUSUNJU '!K27)</f>
        <v>0.14285714285714285</v>
      </c>
      <c r="L27" s="49">
        <f>AVERAGE('17.10 MITYANA-BUSUNJU'!L27,'23.10 MITYANA-BUSUNJU '!L27,'20.10  BUSUNJU-MITYANA'!L27,'21.10 MITYANA-BUSUNJU '!L27,'19.10 MITYANA-BUSUNJU 24hr'!L27,'19.10 BUSUNJU-MITYANA 24hr'!L27,'22.10 MITYANA-BUSUNJU '!L27)</f>
        <v>0</v>
      </c>
      <c r="M27" s="49">
        <f>AVERAGE('17.10 MITYANA-BUSUNJU'!M27,'23.10 MITYANA-BUSUNJU '!M27,'20.10  BUSUNJU-MITYANA'!M27,'21.10 MITYANA-BUSUNJU '!M27,'19.10 MITYANA-BUSUNJU 24hr'!M27,'19.10 BUSUNJU-MITYANA 24hr'!M27,'22.10 MITYANA-BUSUNJU '!M27)</f>
        <v>9.7142857142857135</v>
      </c>
      <c r="N27" s="49">
        <f>AVERAGE('17.10 MITYANA-BUSUNJU'!N27,'23.10 MITYANA-BUSUNJU '!N27,'20.10  BUSUNJU-MITYANA'!N27,'21.10 MITYANA-BUSUNJU '!N27,'19.10 MITYANA-BUSUNJU 24hr'!N27,'19.10 BUSUNJU-MITYANA 24hr'!N27,'22.10 MITYANA-BUSUNJU '!N27)</f>
        <v>0</v>
      </c>
      <c r="O27" s="15">
        <f t="shared" si="0"/>
        <v>2.8571428571428572</v>
      </c>
      <c r="P27" s="15">
        <f t="shared" si="1"/>
        <v>12.571428571428571</v>
      </c>
      <c r="R27" s="1" t="s">
        <v>151</v>
      </c>
      <c r="S27" s="34">
        <f>SUM(C78:C81)</f>
        <v>3</v>
      </c>
      <c r="T27" s="34">
        <f t="shared" ref="T27:AF27" si="19">SUM(D78:D81)</f>
        <v>0</v>
      </c>
      <c r="U27" s="34">
        <f t="shared" si="19"/>
        <v>1.5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0.5</v>
      </c>
      <c r="AA27" s="34">
        <f t="shared" si="19"/>
        <v>0</v>
      </c>
      <c r="AB27" s="34">
        <f t="shared" si="19"/>
        <v>1.5</v>
      </c>
      <c r="AC27" s="34">
        <f t="shared" si="19"/>
        <v>2.5</v>
      </c>
      <c r="AD27" s="34">
        <f t="shared" si="19"/>
        <v>0</v>
      </c>
      <c r="AE27" s="31">
        <f t="shared" si="19"/>
        <v>6.5</v>
      </c>
      <c r="AF27" s="31">
        <f t="shared" si="19"/>
        <v>9</v>
      </c>
    </row>
    <row r="28" spans="2:32" ht="23.1" customHeight="1" x14ac:dyDescent="0.25">
      <c r="B28" s="23" t="s">
        <v>55</v>
      </c>
      <c r="C28" s="49">
        <f>AVERAGE('17.10 MITYANA-BUSUNJU'!C28,'23.10 MITYANA-BUSUNJU '!C28,'20.10  BUSUNJU-MITYANA'!C28,'21.10 MITYANA-BUSUNJU '!C28,'19.10 MITYANA-BUSUNJU 24hr'!C28,'19.10 BUSUNJU-MITYANA 24hr'!C28,'22.10 MITYANA-BUSUNJU '!C28)</f>
        <v>0.7142857142857143</v>
      </c>
      <c r="D28" s="49">
        <f>AVERAGE('17.10 MITYANA-BUSUNJU'!D28,'23.10 MITYANA-BUSUNJU '!D28,'20.10  BUSUNJU-MITYANA'!D28,'21.10 MITYANA-BUSUNJU '!D28,'19.10 MITYANA-BUSUNJU 24hr'!D28,'19.10 BUSUNJU-MITYANA 24hr'!D28,'22.10 MITYANA-BUSUNJU '!D28)</f>
        <v>0</v>
      </c>
      <c r="E28" s="49">
        <f>AVERAGE('17.10 MITYANA-BUSUNJU'!E28,'23.10 MITYANA-BUSUNJU '!E28,'20.10  BUSUNJU-MITYANA'!E28,'21.10 MITYANA-BUSUNJU '!E28,'19.10 MITYANA-BUSUNJU 24hr'!E28,'19.10 BUSUNJU-MITYANA 24hr'!E28,'22.10 MITYANA-BUSUNJU '!E28)</f>
        <v>0.14285714285714285</v>
      </c>
      <c r="F28" s="49">
        <f>AVERAGE('17.10 MITYANA-BUSUNJU'!F28,'23.10 MITYANA-BUSUNJU '!F28,'20.10  BUSUNJU-MITYANA'!F28,'21.10 MITYANA-BUSUNJU '!F28,'19.10 MITYANA-BUSUNJU 24hr'!F28,'19.10 BUSUNJU-MITYANA 24hr'!F28,'22.10 MITYANA-BUSUNJU '!F28)</f>
        <v>0.14285714285714285</v>
      </c>
      <c r="G28" s="49">
        <f>AVERAGE('17.10 MITYANA-BUSUNJU'!G28,'23.10 MITYANA-BUSUNJU '!G28,'20.10  BUSUNJU-MITYANA'!G28,'21.10 MITYANA-BUSUNJU '!G28,'19.10 MITYANA-BUSUNJU 24hr'!G28,'19.10 BUSUNJU-MITYANA 24hr'!G28,'22.10 MITYANA-BUSUNJU '!G28)</f>
        <v>0</v>
      </c>
      <c r="H28" s="49">
        <f>AVERAGE('17.10 MITYANA-BUSUNJU'!H28,'23.10 MITYANA-BUSUNJU '!H28,'20.10  BUSUNJU-MITYANA'!H28,'21.10 MITYANA-BUSUNJU '!H28,'19.10 MITYANA-BUSUNJU 24hr'!H28,'19.10 BUSUNJU-MITYANA 24hr'!H28,'22.10 MITYANA-BUSUNJU '!H28)</f>
        <v>0</v>
      </c>
      <c r="I28" s="49">
        <f>AVERAGE('17.10 MITYANA-BUSUNJU'!I28,'23.10 MITYANA-BUSUNJU '!I28,'20.10  BUSUNJU-MITYANA'!I28,'21.10 MITYANA-BUSUNJU '!I28,'19.10 MITYANA-BUSUNJU 24hr'!I28,'19.10 BUSUNJU-MITYANA 24hr'!I28,'22.10 MITYANA-BUSUNJU '!I28)</f>
        <v>0.2857142857142857</v>
      </c>
      <c r="J28" s="49">
        <f>AVERAGE('17.10 MITYANA-BUSUNJU'!J28,'23.10 MITYANA-BUSUNJU '!J28,'20.10  BUSUNJU-MITYANA'!J28,'21.10 MITYANA-BUSUNJU '!J28,'19.10 MITYANA-BUSUNJU 24hr'!J28,'19.10 BUSUNJU-MITYANA 24hr'!J28,'22.10 MITYANA-BUSUNJU '!J28)</f>
        <v>0.14285714285714285</v>
      </c>
      <c r="K28" s="49">
        <f>AVERAGE('17.10 MITYANA-BUSUNJU'!K28,'23.10 MITYANA-BUSUNJU '!K28,'20.10  BUSUNJU-MITYANA'!K28,'21.10 MITYANA-BUSUNJU '!K28,'19.10 MITYANA-BUSUNJU 24hr'!K28,'19.10 BUSUNJU-MITYANA 24hr'!K28,'22.10 MITYANA-BUSUNJU '!K28)</f>
        <v>0</v>
      </c>
      <c r="L28" s="49">
        <f>AVERAGE('17.10 MITYANA-BUSUNJU'!L28,'23.10 MITYANA-BUSUNJU '!L28,'20.10  BUSUNJU-MITYANA'!L28,'21.10 MITYANA-BUSUNJU '!L28,'19.10 MITYANA-BUSUNJU 24hr'!L28,'19.10 BUSUNJU-MITYANA 24hr'!L28,'22.10 MITYANA-BUSUNJU '!L28)</f>
        <v>0</v>
      </c>
      <c r="M28" s="49">
        <f>AVERAGE('17.10 MITYANA-BUSUNJU'!M28,'23.10 MITYANA-BUSUNJU '!M28,'20.10  BUSUNJU-MITYANA'!M28,'21.10 MITYANA-BUSUNJU '!M28,'19.10 MITYANA-BUSUNJU 24hr'!M28,'19.10 BUSUNJU-MITYANA 24hr'!M28,'22.10 MITYANA-BUSUNJU '!M28)</f>
        <v>9.7142857142857135</v>
      </c>
      <c r="N28" s="49">
        <f>AVERAGE('17.10 MITYANA-BUSUNJU'!N28,'23.10 MITYANA-BUSUNJU '!N28,'20.10  BUSUNJU-MITYANA'!N28,'21.10 MITYANA-BUSUNJU '!N28,'19.10 MITYANA-BUSUNJU 24hr'!N28,'19.10 BUSUNJU-MITYANA 24hr'!N28,'22.10 MITYANA-BUSUNJU '!N28)</f>
        <v>0</v>
      </c>
      <c r="O28" s="15">
        <f t="shared" si="0"/>
        <v>1.4285714285714284</v>
      </c>
      <c r="P28" s="15">
        <f t="shared" si="1"/>
        <v>11.142857142857142</v>
      </c>
      <c r="R28" s="1" t="s">
        <v>152</v>
      </c>
      <c r="S28" s="34">
        <f>SUM(C82:C85)</f>
        <v>1</v>
      </c>
      <c r="T28" s="34">
        <f t="shared" ref="T28:AF28" si="20">SUM(D82:D85)</f>
        <v>0.5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1.5</v>
      </c>
      <c r="AC28" s="34">
        <f t="shared" si="20"/>
        <v>0</v>
      </c>
      <c r="AD28" s="34">
        <f t="shared" si="20"/>
        <v>0</v>
      </c>
      <c r="AE28" s="31">
        <f t="shared" si="20"/>
        <v>4</v>
      </c>
      <c r="AF28" s="31">
        <f t="shared" si="20"/>
        <v>4</v>
      </c>
    </row>
    <row r="29" spans="2:32" ht="23.1" customHeight="1" x14ac:dyDescent="0.25">
      <c r="B29" s="23" t="s">
        <v>56</v>
      </c>
      <c r="C29" s="49">
        <f>AVERAGE('17.10 MITYANA-BUSUNJU'!C29,'23.10 MITYANA-BUSUNJU '!C29,'20.10  BUSUNJU-MITYANA'!C29,'21.10 MITYANA-BUSUNJU '!C29,'19.10 MITYANA-BUSUNJU 24hr'!C29,'19.10 BUSUNJU-MITYANA 24hr'!C29,'22.10 MITYANA-BUSUNJU '!C29)</f>
        <v>0.7142857142857143</v>
      </c>
      <c r="D29" s="49">
        <f>AVERAGE('17.10 MITYANA-BUSUNJU'!D29,'23.10 MITYANA-BUSUNJU '!D29,'20.10  BUSUNJU-MITYANA'!D29,'21.10 MITYANA-BUSUNJU '!D29,'19.10 MITYANA-BUSUNJU 24hr'!D29,'19.10 BUSUNJU-MITYANA 24hr'!D29,'22.10 MITYANA-BUSUNJU '!D29)</f>
        <v>0.5714285714285714</v>
      </c>
      <c r="E29" s="49">
        <f>AVERAGE('17.10 MITYANA-BUSUNJU'!E29,'23.10 MITYANA-BUSUNJU '!E29,'20.10  BUSUNJU-MITYANA'!E29,'21.10 MITYANA-BUSUNJU '!E29,'19.10 MITYANA-BUSUNJU 24hr'!E29,'19.10 BUSUNJU-MITYANA 24hr'!E29,'22.10 MITYANA-BUSUNJU '!E29)</f>
        <v>0.42857142857142855</v>
      </c>
      <c r="F29" s="49">
        <f>AVERAGE('17.10 MITYANA-BUSUNJU'!F29,'23.10 MITYANA-BUSUNJU '!F29,'20.10  BUSUNJU-MITYANA'!F29,'21.10 MITYANA-BUSUNJU '!F29,'19.10 MITYANA-BUSUNJU 24hr'!F29,'19.10 BUSUNJU-MITYANA 24hr'!F29,'22.10 MITYANA-BUSUNJU '!F29)</f>
        <v>0</v>
      </c>
      <c r="G29" s="49">
        <f>AVERAGE('17.10 MITYANA-BUSUNJU'!G29,'23.10 MITYANA-BUSUNJU '!G29,'20.10  BUSUNJU-MITYANA'!G29,'21.10 MITYANA-BUSUNJU '!G29,'19.10 MITYANA-BUSUNJU 24hr'!G29,'19.10 BUSUNJU-MITYANA 24hr'!G29,'22.10 MITYANA-BUSUNJU '!G29)</f>
        <v>0.14285714285714285</v>
      </c>
      <c r="H29" s="49">
        <f>AVERAGE('17.10 MITYANA-BUSUNJU'!H29,'23.10 MITYANA-BUSUNJU '!H29,'20.10  BUSUNJU-MITYANA'!H29,'21.10 MITYANA-BUSUNJU '!H29,'19.10 MITYANA-BUSUNJU 24hr'!H29,'19.10 BUSUNJU-MITYANA 24hr'!H29,'22.10 MITYANA-BUSUNJU '!H29)</f>
        <v>0</v>
      </c>
      <c r="I29" s="49">
        <f>AVERAGE('17.10 MITYANA-BUSUNJU'!I29,'23.10 MITYANA-BUSUNJU '!I29,'20.10  BUSUNJU-MITYANA'!I29,'21.10 MITYANA-BUSUNJU '!I29,'19.10 MITYANA-BUSUNJU 24hr'!I29,'19.10 BUSUNJU-MITYANA 24hr'!I29,'22.10 MITYANA-BUSUNJU '!I29)</f>
        <v>0.42857142857142855</v>
      </c>
      <c r="J29" s="49">
        <f>AVERAGE('17.10 MITYANA-BUSUNJU'!J29,'23.10 MITYANA-BUSUNJU '!J29,'20.10  BUSUNJU-MITYANA'!J29,'21.10 MITYANA-BUSUNJU '!J29,'19.10 MITYANA-BUSUNJU 24hr'!J29,'19.10 BUSUNJU-MITYANA 24hr'!J29,'22.10 MITYANA-BUSUNJU '!J29)</f>
        <v>0</v>
      </c>
      <c r="K29" s="49">
        <f>AVERAGE('17.10 MITYANA-BUSUNJU'!K29,'23.10 MITYANA-BUSUNJU '!K29,'20.10  BUSUNJU-MITYANA'!K29,'21.10 MITYANA-BUSUNJU '!K29,'19.10 MITYANA-BUSUNJU 24hr'!K29,'19.10 BUSUNJU-MITYANA 24hr'!K29,'22.10 MITYANA-BUSUNJU '!K29)</f>
        <v>0.14285714285714285</v>
      </c>
      <c r="L29" s="49">
        <f>AVERAGE('17.10 MITYANA-BUSUNJU'!L29,'23.10 MITYANA-BUSUNJU '!L29,'20.10  BUSUNJU-MITYANA'!L29,'21.10 MITYANA-BUSUNJU '!L29,'19.10 MITYANA-BUSUNJU 24hr'!L29,'19.10 BUSUNJU-MITYANA 24hr'!L29,'22.10 MITYANA-BUSUNJU '!L29)</f>
        <v>0</v>
      </c>
      <c r="M29" s="49">
        <f>AVERAGE('17.10 MITYANA-BUSUNJU'!M29,'23.10 MITYANA-BUSUNJU '!M29,'20.10  BUSUNJU-MITYANA'!M29,'21.10 MITYANA-BUSUNJU '!M29,'19.10 MITYANA-BUSUNJU 24hr'!M29,'19.10 BUSUNJU-MITYANA 24hr'!M29,'22.10 MITYANA-BUSUNJU '!M29)</f>
        <v>10.857142857142858</v>
      </c>
      <c r="N29" s="49">
        <f>AVERAGE('17.10 MITYANA-BUSUNJU'!N29,'23.10 MITYANA-BUSUNJU '!N29,'20.10  BUSUNJU-MITYANA'!N29,'21.10 MITYANA-BUSUNJU '!N29,'19.10 MITYANA-BUSUNJU 24hr'!N29,'19.10 BUSUNJU-MITYANA 24hr'!N29,'22.10 MITYANA-BUSUNJU '!N29)</f>
        <v>0</v>
      </c>
      <c r="O29" s="15">
        <f t="shared" si="0"/>
        <v>2.4285714285714284</v>
      </c>
      <c r="P29" s="15">
        <f t="shared" si="1"/>
        <v>13.285714285714286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1.5</v>
      </c>
      <c r="AA29" s="34">
        <f t="shared" si="21"/>
        <v>0.5</v>
      </c>
      <c r="AB29" s="34">
        <f t="shared" si="21"/>
        <v>1.5</v>
      </c>
      <c r="AC29" s="34">
        <f t="shared" si="21"/>
        <v>0</v>
      </c>
      <c r="AD29" s="34">
        <f t="shared" si="21"/>
        <v>0</v>
      </c>
      <c r="AE29" s="31">
        <f t="shared" si="21"/>
        <v>3.5</v>
      </c>
      <c r="AF29" s="31">
        <f t="shared" si="21"/>
        <v>3.5</v>
      </c>
    </row>
    <row r="30" spans="2:32" ht="23.1" customHeight="1" x14ac:dyDescent="0.25">
      <c r="B30" s="23" t="s">
        <v>57</v>
      </c>
      <c r="C30" s="49">
        <f>AVERAGE('17.10 MITYANA-BUSUNJU'!C30,'23.10 MITYANA-BUSUNJU '!C30,'20.10  BUSUNJU-MITYANA'!C30,'21.10 MITYANA-BUSUNJU '!C30,'19.10 MITYANA-BUSUNJU 24hr'!C30,'19.10 BUSUNJU-MITYANA 24hr'!C30,'22.10 MITYANA-BUSUNJU '!C30)</f>
        <v>0.8571428571428571</v>
      </c>
      <c r="D30" s="49">
        <f>AVERAGE('17.10 MITYANA-BUSUNJU'!D30,'23.10 MITYANA-BUSUNJU '!D30,'20.10  BUSUNJU-MITYANA'!D30,'21.10 MITYANA-BUSUNJU '!D30,'19.10 MITYANA-BUSUNJU 24hr'!D30,'19.10 BUSUNJU-MITYANA 24hr'!D30,'22.10 MITYANA-BUSUNJU '!D30)</f>
        <v>0</v>
      </c>
      <c r="E30" s="49">
        <f>AVERAGE('17.10 MITYANA-BUSUNJU'!E30,'23.10 MITYANA-BUSUNJU '!E30,'20.10  BUSUNJU-MITYANA'!E30,'21.10 MITYANA-BUSUNJU '!E30,'19.10 MITYANA-BUSUNJU 24hr'!E30,'19.10 BUSUNJU-MITYANA 24hr'!E30,'22.10 MITYANA-BUSUNJU '!E30)</f>
        <v>0.14285714285714285</v>
      </c>
      <c r="F30" s="49">
        <f>AVERAGE('17.10 MITYANA-BUSUNJU'!F30,'23.10 MITYANA-BUSUNJU '!F30,'20.10  BUSUNJU-MITYANA'!F30,'21.10 MITYANA-BUSUNJU '!F30,'19.10 MITYANA-BUSUNJU 24hr'!F30,'19.10 BUSUNJU-MITYANA 24hr'!F30,'22.10 MITYANA-BUSUNJU '!F30)</f>
        <v>0.14285714285714285</v>
      </c>
      <c r="G30" s="49">
        <f>AVERAGE('17.10 MITYANA-BUSUNJU'!G30,'23.10 MITYANA-BUSUNJU '!G30,'20.10  BUSUNJU-MITYANA'!G30,'21.10 MITYANA-BUSUNJU '!G30,'19.10 MITYANA-BUSUNJU 24hr'!G30,'19.10 BUSUNJU-MITYANA 24hr'!G30,'22.10 MITYANA-BUSUNJU '!G30)</f>
        <v>0.14285714285714285</v>
      </c>
      <c r="H30" s="49">
        <f>AVERAGE('17.10 MITYANA-BUSUNJU'!H30,'23.10 MITYANA-BUSUNJU '!H30,'20.10  BUSUNJU-MITYANA'!H30,'21.10 MITYANA-BUSUNJU '!H30,'19.10 MITYANA-BUSUNJU 24hr'!H30,'19.10 BUSUNJU-MITYANA 24hr'!H30,'22.10 MITYANA-BUSUNJU '!H30)</f>
        <v>0</v>
      </c>
      <c r="I30" s="49">
        <f>AVERAGE('17.10 MITYANA-BUSUNJU'!I30,'23.10 MITYANA-BUSUNJU '!I30,'20.10  BUSUNJU-MITYANA'!I30,'21.10 MITYANA-BUSUNJU '!I30,'19.10 MITYANA-BUSUNJU 24hr'!I30,'19.10 BUSUNJU-MITYANA 24hr'!I30,'22.10 MITYANA-BUSUNJU '!I30)</f>
        <v>0.42857142857142855</v>
      </c>
      <c r="J30" s="49">
        <f>AVERAGE('17.10 MITYANA-BUSUNJU'!J30,'23.10 MITYANA-BUSUNJU '!J30,'20.10  BUSUNJU-MITYANA'!J30,'21.10 MITYANA-BUSUNJU '!J30,'19.10 MITYANA-BUSUNJU 24hr'!J30,'19.10 BUSUNJU-MITYANA 24hr'!J30,'22.10 MITYANA-BUSUNJU '!J30)</f>
        <v>0.14285714285714285</v>
      </c>
      <c r="K30" s="49">
        <f>AVERAGE('17.10 MITYANA-BUSUNJU'!K30,'23.10 MITYANA-BUSUNJU '!K30,'20.10  BUSUNJU-MITYANA'!K30,'21.10 MITYANA-BUSUNJU '!K30,'19.10 MITYANA-BUSUNJU 24hr'!K30,'19.10 BUSUNJU-MITYANA 24hr'!K30,'22.10 MITYANA-BUSUNJU '!K30)</f>
        <v>0</v>
      </c>
      <c r="L30" s="49">
        <f>AVERAGE('17.10 MITYANA-BUSUNJU'!L30,'23.10 MITYANA-BUSUNJU '!L30,'20.10  BUSUNJU-MITYANA'!L30,'21.10 MITYANA-BUSUNJU '!L30,'19.10 MITYANA-BUSUNJU 24hr'!L30,'19.10 BUSUNJU-MITYANA 24hr'!L30,'22.10 MITYANA-BUSUNJU '!L30)</f>
        <v>0</v>
      </c>
      <c r="M30" s="49">
        <f>AVERAGE('17.10 MITYANA-BUSUNJU'!M30,'23.10 MITYANA-BUSUNJU '!M30,'20.10  BUSUNJU-MITYANA'!M30,'21.10 MITYANA-BUSUNJU '!M30,'19.10 MITYANA-BUSUNJU 24hr'!M30,'19.10 BUSUNJU-MITYANA 24hr'!M30,'22.10 MITYANA-BUSUNJU '!M30)</f>
        <v>9.8571428571428577</v>
      </c>
      <c r="N30" s="49">
        <f>AVERAGE('17.10 MITYANA-BUSUNJU'!N30,'23.10 MITYANA-BUSUNJU '!N30,'20.10  BUSUNJU-MITYANA'!N30,'21.10 MITYANA-BUSUNJU '!N30,'19.10 MITYANA-BUSUNJU 24hr'!N30,'19.10 BUSUNJU-MITYANA 24hr'!N30,'22.10 MITYANA-BUSUNJU '!N30)</f>
        <v>0</v>
      </c>
      <c r="O30" s="15">
        <f t="shared" si="0"/>
        <v>1.857142857142857</v>
      </c>
      <c r="P30" s="15">
        <f t="shared" si="1"/>
        <v>11.714285714285715</v>
      </c>
      <c r="R30" s="1" t="s">
        <v>154</v>
      </c>
      <c r="S30" s="34">
        <f>SUM(C90:C93)</f>
        <v>1</v>
      </c>
      <c r="T30" s="34">
        <f t="shared" ref="T30:AF30" si="22">SUM(D90:D93)</f>
        <v>1.5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1</v>
      </c>
      <c r="AA30" s="34">
        <f t="shared" si="22"/>
        <v>0.5</v>
      </c>
      <c r="AB30" s="34">
        <f t="shared" si="22"/>
        <v>2</v>
      </c>
      <c r="AC30" s="34">
        <f t="shared" si="22"/>
        <v>0</v>
      </c>
      <c r="AD30" s="34">
        <f t="shared" si="22"/>
        <v>0</v>
      </c>
      <c r="AE30" s="31">
        <f t="shared" si="22"/>
        <v>7.5</v>
      </c>
      <c r="AF30" s="31">
        <f t="shared" si="22"/>
        <v>7.5</v>
      </c>
    </row>
    <row r="31" spans="2:32" ht="23.1" customHeight="1" x14ac:dyDescent="0.25">
      <c r="B31" s="24" t="s">
        <v>58</v>
      </c>
      <c r="C31" s="49">
        <f>AVERAGE('17.10 MITYANA-BUSUNJU'!C31,'23.10 MITYANA-BUSUNJU '!C31,'20.10  BUSUNJU-MITYANA'!C31,'21.10 MITYANA-BUSUNJU '!C31,'19.10 MITYANA-BUSUNJU 24hr'!C31,'19.10 BUSUNJU-MITYANA 24hr'!C31,'22.10 MITYANA-BUSUNJU '!C31)</f>
        <v>0.8571428571428571</v>
      </c>
      <c r="D31" s="49">
        <f>AVERAGE('17.10 MITYANA-BUSUNJU'!D31,'23.10 MITYANA-BUSUNJU '!D31,'20.10  BUSUNJU-MITYANA'!D31,'21.10 MITYANA-BUSUNJU '!D31,'19.10 MITYANA-BUSUNJU 24hr'!D31,'19.10 BUSUNJU-MITYANA 24hr'!D31,'22.10 MITYANA-BUSUNJU '!D31)</f>
        <v>0.14285714285714285</v>
      </c>
      <c r="E31" s="49">
        <f>AVERAGE('17.10 MITYANA-BUSUNJU'!E31,'23.10 MITYANA-BUSUNJU '!E31,'20.10  BUSUNJU-MITYANA'!E31,'21.10 MITYANA-BUSUNJU '!E31,'19.10 MITYANA-BUSUNJU 24hr'!E31,'19.10 BUSUNJU-MITYANA 24hr'!E31,'22.10 MITYANA-BUSUNJU '!E31)</f>
        <v>0.2857142857142857</v>
      </c>
      <c r="F31" s="49">
        <f>AVERAGE('17.10 MITYANA-BUSUNJU'!F31,'23.10 MITYANA-BUSUNJU '!F31,'20.10  BUSUNJU-MITYANA'!F31,'21.10 MITYANA-BUSUNJU '!F31,'19.10 MITYANA-BUSUNJU 24hr'!F31,'19.10 BUSUNJU-MITYANA 24hr'!F31,'22.10 MITYANA-BUSUNJU '!F31)</f>
        <v>0.14285714285714285</v>
      </c>
      <c r="G31" s="49">
        <f>AVERAGE('17.10 MITYANA-BUSUNJU'!G31,'23.10 MITYANA-BUSUNJU '!G31,'20.10  BUSUNJU-MITYANA'!G31,'21.10 MITYANA-BUSUNJU '!G31,'19.10 MITYANA-BUSUNJU 24hr'!G31,'19.10 BUSUNJU-MITYANA 24hr'!G31,'22.10 MITYANA-BUSUNJU '!G31)</f>
        <v>0</v>
      </c>
      <c r="H31" s="49">
        <f>AVERAGE('17.10 MITYANA-BUSUNJU'!H31,'23.10 MITYANA-BUSUNJU '!H31,'20.10  BUSUNJU-MITYANA'!H31,'21.10 MITYANA-BUSUNJU '!H31,'19.10 MITYANA-BUSUNJU 24hr'!H31,'19.10 BUSUNJU-MITYANA 24hr'!H31,'22.10 MITYANA-BUSUNJU '!H31)</f>
        <v>0</v>
      </c>
      <c r="I31" s="49">
        <f>AVERAGE('17.10 MITYANA-BUSUNJU'!I31,'23.10 MITYANA-BUSUNJU '!I31,'20.10  BUSUNJU-MITYANA'!I31,'21.10 MITYANA-BUSUNJU '!I31,'19.10 MITYANA-BUSUNJU 24hr'!I31,'19.10 BUSUNJU-MITYANA 24hr'!I31,'22.10 MITYANA-BUSUNJU '!I31)</f>
        <v>0</v>
      </c>
      <c r="J31" s="49">
        <f>AVERAGE('17.10 MITYANA-BUSUNJU'!J31,'23.10 MITYANA-BUSUNJU '!J31,'20.10  BUSUNJU-MITYANA'!J31,'21.10 MITYANA-BUSUNJU '!J31,'19.10 MITYANA-BUSUNJU 24hr'!J31,'19.10 BUSUNJU-MITYANA 24hr'!J31,'22.10 MITYANA-BUSUNJU '!J31)</f>
        <v>0.14285714285714285</v>
      </c>
      <c r="K31" s="49">
        <f>AVERAGE('17.10 MITYANA-BUSUNJU'!K31,'23.10 MITYANA-BUSUNJU '!K31,'20.10  BUSUNJU-MITYANA'!K31,'21.10 MITYANA-BUSUNJU '!K31,'19.10 MITYANA-BUSUNJU 24hr'!K31,'19.10 BUSUNJU-MITYANA 24hr'!K31,'22.10 MITYANA-BUSUNJU '!K31)</f>
        <v>0.2857142857142857</v>
      </c>
      <c r="L31" s="49">
        <f>AVERAGE('17.10 MITYANA-BUSUNJU'!L31,'23.10 MITYANA-BUSUNJU '!L31,'20.10  BUSUNJU-MITYANA'!L31,'21.10 MITYANA-BUSUNJU '!L31,'19.10 MITYANA-BUSUNJU 24hr'!L31,'19.10 BUSUNJU-MITYANA 24hr'!L31,'22.10 MITYANA-BUSUNJU '!L31)</f>
        <v>0</v>
      </c>
      <c r="M31" s="49">
        <f>AVERAGE('17.10 MITYANA-BUSUNJU'!M31,'23.10 MITYANA-BUSUNJU '!M31,'20.10  BUSUNJU-MITYANA'!M31,'21.10 MITYANA-BUSUNJU '!M31,'19.10 MITYANA-BUSUNJU 24hr'!M31,'19.10 BUSUNJU-MITYANA 24hr'!M31,'22.10 MITYANA-BUSUNJU '!M31)</f>
        <v>11.857142857142858</v>
      </c>
      <c r="N31" s="49">
        <f>AVERAGE('17.10 MITYANA-BUSUNJU'!N31,'23.10 MITYANA-BUSUNJU '!N31,'20.10  BUSUNJU-MITYANA'!N31,'21.10 MITYANA-BUSUNJU '!N31,'19.10 MITYANA-BUSUNJU 24hr'!N31,'19.10 BUSUNJU-MITYANA 24hr'!N31,'22.10 MITYANA-BUSUNJU '!N31)</f>
        <v>0</v>
      </c>
      <c r="O31" s="15">
        <f t="shared" si="0"/>
        <v>1.8571428571428568</v>
      </c>
      <c r="P31" s="15">
        <f t="shared" si="1"/>
        <v>13.714285714285715</v>
      </c>
      <c r="R31" s="1" t="s">
        <v>155</v>
      </c>
      <c r="S31" s="34">
        <f>SUM(C94:C97)</f>
        <v>0.5</v>
      </c>
      <c r="T31" s="34">
        <f t="shared" ref="T31:AF31" si="23">SUM(D94:D97)</f>
        <v>0.5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1.5</v>
      </c>
      <c r="AA31" s="34">
        <f t="shared" si="23"/>
        <v>0</v>
      </c>
      <c r="AB31" s="34">
        <f t="shared" si="23"/>
        <v>1</v>
      </c>
      <c r="AC31" s="34">
        <f t="shared" si="23"/>
        <v>1.5</v>
      </c>
      <c r="AD31" s="34">
        <f t="shared" si="23"/>
        <v>0</v>
      </c>
      <c r="AE31" s="31">
        <f t="shared" si="23"/>
        <v>3.5</v>
      </c>
      <c r="AF31" s="31">
        <f t="shared" si="23"/>
        <v>5</v>
      </c>
    </row>
    <row r="32" spans="2:32" ht="23.1" customHeight="1" x14ac:dyDescent="0.25">
      <c r="B32" s="24" t="s">
        <v>59</v>
      </c>
      <c r="C32" s="49">
        <f>AVERAGE('17.10 MITYANA-BUSUNJU'!C32,'23.10 MITYANA-BUSUNJU '!C32,'20.10  BUSUNJU-MITYANA'!C32,'21.10 MITYANA-BUSUNJU '!C32,'19.10 MITYANA-BUSUNJU 24hr'!C32,'19.10 BUSUNJU-MITYANA 24hr'!C32,'22.10 MITYANA-BUSUNJU '!C32)</f>
        <v>1.7142857142857142</v>
      </c>
      <c r="D32" s="49">
        <f>AVERAGE('17.10 MITYANA-BUSUNJU'!D32,'23.10 MITYANA-BUSUNJU '!D32,'20.10  BUSUNJU-MITYANA'!D32,'21.10 MITYANA-BUSUNJU '!D32,'19.10 MITYANA-BUSUNJU 24hr'!D32,'19.10 BUSUNJU-MITYANA 24hr'!D32,'22.10 MITYANA-BUSUNJU '!D32)</f>
        <v>0</v>
      </c>
      <c r="E32" s="49">
        <f>AVERAGE('17.10 MITYANA-BUSUNJU'!E32,'23.10 MITYANA-BUSUNJU '!E32,'20.10  BUSUNJU-MITYANA'!E32,'21.10 MITYANA-BUSUNJU '!E32,'19.10 MITYANA-BUSUNJU 24hr'!E32,'19.10 BUSUNJU-MITYANA 24hr'!E32,'22.10 MITYANA-BUSUNJU '!E32)</f>
        <v>0.7142857142857143</v>
      </c>
      <c r="F32" s="49">
        <f>AVERAGE('17.10 MITYANA-BUSUNJU'!F32,'23.10 MITYANA-BUSUNJU '!F32,'20.10  BUSUNJU-MITYANA'!F32,'21.10 MITYANA-BUSUNJU '!F32,'19.10 MITYANA-BUSUNJU 24hr'!F32,'19.10 BUSUNJU-MITYANA 24hr'!F32,'22.10 MITYANA-BUSUNJU '!F32)</f>
        <v>0</v>
      </c>
      <c r="G32" s="49">
        <f>AVERAGE('17.10 MITYANA-BUSUNJU'!G32,'23.10 MITYANA-BUSUNJU '!G32,'20.10  BUSUNJU-MITYANA'!G32,'21.10 MITYANA-BUSUNJU '!G32,'19.10 MITYANA-BUSUNJU 24hr'!G32,'19.10 BUSUNJU-MITYANA 24hr'!G32,'22.10 MITYANA-BUSUNJU '!G32)</f>
        <v>0</v>
      </c>
      <c r="H32" s="49">
        <f>AVERAGE('17.10 MITYANA-BUSUNJU'!H32,'23.10 MITYANA-BUSUNJU '!H32,'20.10  BUSUNJU-MITYANA'!H32,'21.10 MITYANA-BUSUNJU '!H32,'19.10 MITYANA-BUSUNJU 24hr'!H32,'19.10 BUSUNJU-MITYANA 24hr'!H32,'22.10 MITYANA-BUSUNJU '!H32)</f>
        <v>0</v>
      </c>
      <c r="I32" s="49">
        <f>AVERAGE('17.10 MITYANA-BUSUNJU'!I32,'23.10 MITYANA-BUSUNJU '!I32,'20.10  BUSUNJU-MITYANA'!I32,'21.10 MITYANA-BUSUNJU '!I32,'19.10 MITYANA-BUSUNJU 24hr'!I32,'19.10 BUSUNJU-MITYANA 24hr'!I32,'22.10 MITYANA-BUSUNJU '!I32)</f>
        <v>0.42857142857142855</v>
      </c>
      <c r="J32" s="49">
        <f>AVERAGE('17.10 MITYANA-BUSUNJU'!J32,'23.10 MITYANA-BUSUNJU '!J32,'20.10  BUSUNJU-MITYANA'!J32,'21.10 MITYANA-BUSUNJU '!J32,'19.10 MITYANA-BUSUNJU 24hr'!J32,'19.10 BUSUNJU-MITYANA 24hr'!J32,'22.10 MITYANA-BUSUNJU '!J32)</f>
        <v>0</v>
      </c>
      <c r="K32" s="49">
        <f>AVERAGE('17.10 MITYANA-BUSUNJU'!K32,'23.10 MITYANA-BUSUNJU '!K32,'20.10  BUSUNJU-MITYANA'!K32,'21.10 MITYANA-BUSUNJU '!K32,'19.10 MITYANA-BUSUNJU 24hr'!K32,'19.10 BUSUNJU-MITYANA 24hr'!K32,'22.10 MITYANA-BUSUNJU '!K32)</f>
        <v>0</v>
      </c>
      <c r="L32" s="49">
        <f>AVERAGE('17.10 MITYANA-BUSUNJU'!L32,'23.10 MITYANA-BUSUNJU '!L32,'20.10  BUSUNJU-MITYANA'!L32,'21.10 MITYANA-BUSUNJU '!L32,'19.10 MITYANA-BUSUNJU 24hr'!L32,'19.10 BUSUNJU-MITYANA 24hr'!L32,'22.10 MITYANA-BUSUNJU '!L32)</f>
        <v>0</v>
      </c>
      <c r="M32" s="49">
        <f>AVERAGE('17.10 MITYANA-BUSUNJU'!M32,'23.10 MITYANA-BUSUNJU '!M32,'20.10  BUSUNJU-MITYANA'!M32,'21.10 MITYANA-BUSUNJU '!M32,'19.10 MITYANA-BUSUNJU 24hr'!M32,'19.10 BUSUNJU-MITYANA 24hr'!M32,'22.10 MITYANA-BUSUNJU '!M32)</f>
        <v>10.714285714285714</v>
      </c>
      <c r="N32" s="49">
        <f>AVERAGE('17.10 MITYANA-BUSUNJU'!N32,'23.10 MITYANA-BUSUNJU '!N32,'20.10  BUSUNJU-MITYANA'!N32,'21.10 MITYANA-BUSUNJU '!N32,'19.10 MITYANA-BUSUNJU 24hr'!N32,'19.10 BUSUNJU-MITYANA 24hr'!N32,'22.10 MITYANA-BUSUNJU '!N32)</f>
        <v>0</v>
      </c>
      <c r="O32" s="15">
        <f t="shared" si="0"/>
        <v>2.8571428571428568</v>
      </c>
      <c r="P32" s="15">
        <f t="shared" si="1"/>
        <v>13.571428571428569</v>
      </c>
      <c r="R32" s="1" t="s">
        <v>156</v>
      </c>
      <c r="S32" s="34">
        <f>SUM(C98:C101)</f>
        <v>1.5</v>
      </c>
      <c r="T32" s="34">
        <f t="shared" ref="T32:AF32" si="24">SUM(D98:D101)</f>
        <v>1</v>
      </c>
      <c r="U32" s="34">
        <f t="shared" si="24"/>
        <v>0.5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1.5</v>
      </c>
      <c r="Z32" s="34">
        <f t="shared" si="24"/>
        <v>1.5</v>
      </c>
      <c r="AA32" s="34">
        <f t="shared" si="24"/>
        <v>2</v>
      </c>
      <c r="AB32" s="34">
        <f t="shared" si="24"/>
        <v>0</v>
      </c>
      <c r="AC32" s="34">
        <f t="shared" si="24"/>
        <v>1.5</v>
      </c>
      <c r="AD32" s="34">
        <f t="shared" si="24"/>
        <v>0</v>
      </c>
      <c r="AE32" s="31">
        <f t="shared" si="24"/>
        <v>8</v>
      </c>
      <c r="AF32" s="31">
        <f t="shared" si="24"/>
        <v>9.5</v>
      </c>
    </row>
    <row r="33" spans="2:32" ht="23.1" customHeight="1" x14ac:dyDescent="0.25">
      <c r="B33" s="23" t="s">
        <v>60</v>
      </c>
      <c r="C33" s="49">
        <f>AVERAGE('17.10 MITYANA-BUSUNJU'!C33,'23.10 MITYANA-BUSUNJU '!C33,'20.10  BUSUNJU-MITYANA'!C33,'21.10 MITYANA-BUSUNJU '!C33,'19.10 MITYANA-BUSUNJU 24hr'!C33,'19.10 BUSUNJU-MITYANA 24hr'!C33,'22.10 MITYANA-BUSUNJU '!C33)</f>
        <v>1</v>
      </c>
      <c r="D33" s="49">
        <f>AVERAGE('17.10 MITYANA-BUSUNJU'!D33,'23.10 MITYANA-BUSUNJU '!D33,'20.10  BUSUNJU-MITYANA'!D33,'21.10 MITYANA-BUSUNJU '!D33,'19.10 MITYANA-BUSUNJU 24hr'!D33,'19.10 BUSUNJU-MITYANA 24hr'!D33,'22.10 MITYANA-BUSUNJU '!D33)</f>
        <v>0.14285714285714285</v>
      </c>
      <c r="E33" s="49">
        <f>AVERAGE('17.10 MITYANA-BUSUNJU'!E33,'23.10 MITYANA-BUSUNJU '!E33,'20.10  BUSUNJU-MITYANA'!E33,'21.10 MITYANA-BUSUNJU '!E33,'19.10 MITYANA-BUSUNJU 24hr'!E33,'19.10 BUSUNJU-MITYANA 24hr'!E33,'22.10 MITYANA-BUSUNJU '!E33)</f>
        <v>0.42857142857142855</v>
      </c>
      <c r="F33" s="49">
        <f>AVERAGE('17.10 MITYANA-BUSUNJU'!F33,'23.10 MITYANA-BUSUNJU '!F33,'20.10  BUSUNJU-MITYANA'!F33,'21.10 MITYANA-BUSUNJU '!F33,'19.10 MITYANA-BUSUNJU 24hr'!F33,'19.10 BUSUNJU-MITYANA 24hr'!F33,'22.10 MITYANA-BUSUNJU '!F33)</f>
        <v>0.5714285714285714</v>
      </c>
      <c r="G33" s="49">
        <f>AVERAGE('17.10 MITYANA-BUSUNJU'!G33,'23.10 MITYANA-BUSUNJU '!G33,'20.10  BUSUNJU-MITYANA'!G33,'21.10 MITYANA-BUSUNJU '!G33,'19.10 MITYANA-BUSUNJU 24hr'!G33,'19.10 BUSUNJU-MITYANA 24hr'!G33,'22.10 MITYANA-BUSUNJU '!G33)</f>
        <v>0.14285714285714285</v>
      </c>
      <c r="H33" s="49">
        <f>AVERAGE('17.10 MITYANA-BUSUNJU'!H33,'23.10 MITYANA-BUSUNJU '!H33,'20.10  BUSUNJU-MITYANA'!H33,'21.10 MITYANA-BUSUNJU '!H33,'19.10 MITYANA-BUSUNJU 24hr'!H33,'19.10 BUSUNJU-MITYANA 24hr'!H33,'22.10 MITYANA-BUSUNJU '!H33)</f>
        <v>0</v>
      </c>
      <c r="I33" s="49">
        <f>AVERAGE('17.10 MITYANA-BUSUNJU'!I33,'23.10 MITYANA-BUSUNJU '!I33,'20.10  BUSUNJU-MITYANA'!I33,'21.10 MITYANA-BUSUNJU '!I33,'19.10 MITYANA-BUSUNJU 24hr'!I33,'19.10 BUSUNJU-MITYANA 24hr'!I33,'22.10 MITYANA-BUSUNJU '!I33)</f>
        <v>0.2857142857142857</v>
      </c>
      <c r="J33" s="49">
        <f>AVERAGE('17.10 MITYANA-BUSUNJU'!J33,'23.10 MITYANA-BUSUNJU '!J33,'20.10  BUSUNJU-MITYANA'!J33,'21.10 MITYANA-BUSUNJU '!J33,'19.10 MITYANA-BUSUNJU 24hr'!J33,'19.10 BUSUNJU-MITYANA 24hr'!J33,'22.10 MITYANA-BUSUNJU '!J33)</f>
        <v>0</v>
      </c>
      <c r="K33" s="49">
        <f>AVERAGE('17.10 MITYANA-BUSUNJU'!K33,'23.10 MITYANA-BUSUNJU '!K33,'20.10  BUSUNJU-MITYANA'!K33,'21.10 MITYANA-BUSUNJU '!K33,'19.10 MITYANA-BUSUNJU 24hr'!K33,'19.10 BUSUNJU-MITYANA 24hr'!K33,'22.10 MITYANA-BUSUNJU '!K33)</f>
        <v>0</v>
      </c>
      <c r="L33" s="49">
        <f>AVERAGE('17.10 MITYANA-BUSUNJU'!L33,'23.10 MITYANA-BUSUNJU '!L33,'20.10  BUSUNJU-MITYANA'!L33,'21.10 MITYANA-BUSUNJU '!L33,'19.10 MITYANA-BUSUNJU 24hr'!L33,'19.10 BUSUNJU-MITYANA 24hr'!L33,'22.10 MITYANA-BUSUNJU '!L33)</f>
        <v>0</v>
      </c>
      <c r="M33" s="49">
        <f>AVERAGE('17.10 MITYANA-BUSUNJU'!M33,'23.10 MITYANA-BUSUNJU '!M33,'20.10  BUSUNJU-MITYANA'!M33,'21.10 MITYANA-BUSUNJU '!M33,'19.10 MITYANA-BUSUNJU 24hr'!M33,'19.10 BUSUNJU-MITYANA 24hr'!M33,'22.10 MITYANA-BUSUNJU '!M33)</f>
        <v>12.285714285714286</v>
      </c>
      <c r="N33" s="49">
        <f>AVERAGE('17.10 MITYANA-BUSUNJU'!N33,'23.10 MITYANA-BUSUNJU '!N33,'20.10  BUSUNJU-MITYANA'!N33,'21.10 MITYANA-BUSUNJU '!N33,'19.10 MITYANA-BUSUNJU 24hr'!N33,'19.10 BUSUNJU-MITYANA 24hr'!N33,'22.10 MITYANA-BUSUNJU '!N33)</f>
        <v>0</v>
      </c>
      <c r="O33" s="15">
        <f t="shared" si="0"/>
        <v>2.5714285714285712</v>
      </c>
      <c r="P33" s="15">
        <f t="shared" si="1"/>
        <v>14.857142857142858</v>
      </c>
      <c r="R33" s="1" t="s">
        <v>157</v>
      </c>
      <c r="S33" s="34">
        <f>SUM(C102:C105)</f>
        <v>0</v>
      </c>
      <c r="T33" s="34">
        <f t="shared" ref="T33:AF33" si="25">SUM(D102:D105)</f>
        <v>0.5</v>
      </c>
      <c r="U33" s="34">
        <f t="shared" si="25"/>
        <v>1</v>
      </c>
      <c r="V33" s="34">
        <f t="shared" si="25"/>
        <v>1</v>
      </c>
      <c r="W33" s="34">
        <f t="shared" si="25"/>
        <v>1</v>
      </c>
      <c r="X33" s="34">
        <f t="shared" si="25"/>
        <v>0</v>
      </c>
      <c r="Y33" s="34">
        <f t="shared" si="25"/>
        <v>0</v>
      </c>
      <c r="Z33" s="34">
        <f t="shared" si="25"/>
        <v>2</v>
      </c>
      <c r="AA33" s="34">
        <f t="shared" si="25"/>
        <v>1</v>
      </c>
      <c r="AB33" s="34">
        <f t="shared" si="25"/>
        <v>0</v>
      </c>
      <c r="AC33" s="34">
        <f t="shared" si="25"/>
        <v>4</v>
      </c>
      <c r="AD33" s="34">
        <f t="shared" si="25"/>
        <v>0</v>
      </c>
      <c r="AE33" s="31">
        <f t="shared" si="25"/>
        <v>6.5</v>
      </c>
      <c r="AF33" s="31">
        <f t="shared" si="25"/>
        <v>10.5</v>
      </c>
    </row>
    <row r="34" spans="2:32" ht="23.1" customHeight="1" x14ac:dyDescent="0.25">
      <c r="B34" s="24" t="s">
        <v>61</v>
      </c>
      <c r="C34" s="49">
        <f>AVERAGE('17.10 MITYANA-BUSUNJU'!C34,'23.10 MITYANA-BUSUNJU '!C34,'20.10  BUSUNJU-MITYANA'!C34,'21.10 MITYANA-BUSUNJU '!C34,'19.10 MITYANA-BUSUNJU 24hr'!C34,'19.10 BUSUNJU-MITYANA 24hr'!C34,'22.10 MITYANA-BUSUNJU '!C34)</f>
        <v>1.1428571428571428</v>
      </c>
      <c r="D34" s="49">
        <f>AVERAGE('17.10 MITYANA-BUSUNJU'!D34,'23.10 MITYANA-BUSUNJU '!D34,'20.10  BUSUNJU-MITYANA'!D34,'21.10 MITYANA-BUSUNJU '!D34,'19.10 MITYANA-BUSUNJU 24hr'!D34,'19.10 BUSUNJU-MITYANA 24hr'!D34,'22.10 MITYANA-BUSUNJU '!D34)</f>
        <v>0.14285714285714285</v>
      </c>
      <c r="E34" s="49">
        <f>AVERAGE('17.10 MITYANA-BUSUNJU'!E34,'23.10 MITYANA-BUSUNJU '!E34,'20.10  BUSUNJU-MITYANA'!E34,'21.10 MITYANA-BUSUNJU '!E34,'19.10 MITYANA-BUSUNJU 24hr'!E34,'19.10 BUSUNJU-MITYANA 24hr'!E34,'22.10 MITYANA-BUSUNJU '!E34)</f>
        <v>0</v>
      </c>
      <c r="F34" s="49">
        <f>AVERAGE('17.10 MITYANA-BUSUNJU'!F34,'23.10 MITYANA-BUSUNJU '!F34,'20.10  BUSUNJU-MITYANA'!F34,'21.10 MITYANA-BUSUNJU '!F34,'19.10 MITYANA-BUSUNJU 24hr'!F34,'19.10 BUSUNJU-MITYANA 24hr'!F34,'22.10 MITYANA-BUSUNJU '!F34)</f>
        <v>0.14285714285714285</v>
      </c>
      <c r="G34" s="49">
        <f>AVERAGE('17.10 MITYANA-BUSUNJU'!G34,'23.10 MITYANA-BUSUNJU '!G34,'20.10  BUSUNJU-MITYANA'!G34,'21.10 MITYANA-BUSUNJU '!G34,'19.10 MITYANA-BUSUNJU 24hr'!G34,'19.10 BUSUNJU-MITYANA 24hr'!G34,'22.10 MITYANA-BUSUNJU '!G34)</f>
        <v>0</v>
      </c>
      <c r="H34" s="49">
        <f>AVERAGE('17.10 MITYANA-BUSUNJU'!H34,'23.10 MITYANA-BUSUNJU '!H34,'20.10  BUSUNJU-MITYANA'!H34,'21.10 MITYANA-BUSUNJU '!H34,'19.10 MITYANA-BUSUNJU 24hr'!H34,'19.10 BUSUNJU-MITYANA 24hr'!H34,'22.10 MITYANA-BUSUNJU '!H34)</f>
        <v>0</v>
      </c>
      <c r="I34" s="49">
        <f>AVERAGE('17.10 MITYANA-BUSUNJU'!I34,'23.10 MITYANA-BUSUNJU '!I34,'20.10  BUSUNJU-MITYANA'!I34,'21.10 MITYANA-BUSUNJU '!I34,'19.10 MITYANA-BUSUNJU 24hr'!I34,'19.10 BUSUNJU-MITYANA 24hr'!I34,'22.10 MITYANA-BUSUNJU '!I34)</f>
        <v>0.42857142857142855</v>
      </c>
      <c r="J34" s="49">
        <f>AVERAGE('17.10 MITYANA-BUSUNJU'!J34,'23.10 MITYANA-BUSUNJU '!J34,'20.10  BUSUNJU-MITYANA'!J34,'21.10 MITYANA-BUSUNJU '!J34,'19.10 MITYANA-BUSUNJU 24hr'!J34,'19.10 BUSUNJU-MITYANA 24hr'!J34,'22.10 MITYANA-BUSUNJU '!J34)</f>
        <v>0.14285714285714285</v>
      </c>
      <c r="K34" s="49">
        <f>AVERAGE('17.10 MITYANA-BUSUNJU'!K34,'23.10 MITYANA-BUSUNJU '!K34,'20.10  BUSUNJU-MITYANA'!K34,'21.10 MITYANA-BUSUNJU '!K34,'19.10 MITYANA-BUSUNJU 24hr'!K34,'19.10 BUSUNJU-MITYANA 24hr'!K34,'22.10 MITYANA-BUSUNJU '!K34)</f>
        <v>0</v>
      </c>
      <c r="L34" s="49">
        <f>AVERAGE('17.10 MITYANA-BUSUNJU'!L34,'23.10 MITYANA-BUSUNJU '!L34,'20.10  BUSUNJU-MITYANA'!L34,'21.10 MITYANA-BUSUNJU '!L34,'19.10 MITYANA-BUSUNJU 24hr'!L34,'19.10 BUSUNJU-MITYANA 24hr'!L34,'22.10 MITYANA-BUSUNJU '!L34)</f>
        <v>0</v>
      </c>
      <c r="M34" s="49">
        <f>AVERAGE('17.10 MITYANA-BUSUNJU'!M34,'23.10 MITYANA-BUSUNJU '!M34,'20.10  BUSUNJU-MITYANA'!M34,'21.10 MITYANA-BUSUNJU '!M34,'19.10 MITYANA-BUSUNJU 24hr'!M34,'19.10 BUSUNJU-MITYANA 24hr'!M34,'22.10 MITYANA-BUSUNJU '!M34)</f>
        <v>13.571428571428571</v>
      </c>
      <c r="N34" s="49">
        <f>AVERAGE('17.10 MITYANA-BUSUNJU'!N34,'23.10 MITYANA-BUSUNJU '!N34,'20.10  BUSUNJU-MITYANA'!N34,'21.10 MITYANA-BUSUNJU '!N34,'19.10 MITYANA-BUSUNJU 24hr'!N34,'19.10 BUSUNJU-MITYANA 24hr'!N34,'22.10 MITYANA-BUSUNJU '!N34)</f>
        <v>0</v>
      </c>
      <c r="O34" s="15">
        <f t="shared" si="0"/>
        <v>1.9999999999999998</v>
      </c>
      <c r="P34" s="15">
        <f t="shared" si="1"/>
        <v>15.571428571428571</v>
      </c>
      <c r="R34" s="57" t="s">
        <v>90</v>
      </c>
      <c r="S34" s="58">
        <f t="shared" ref="S34:AF34" si="26">MAX(S10:S12)</f>
        <v>1.7142857142857142</v>
      </c>
      <c r="T34" s="58">
        <f t="shared" si="26"/>
        <v>1.2857142857142856</v>
      </c>
      <c r="U34" s="58">
        <f t="shared" si="26"/>
        <v>0.85714285714285721</v>
      </c>
      <c r="V34" s="58">
        <f t="shared" si="26"/>
        <v>0.71428571428571419</v>
      </c>
      <c r="W34" s="58">
        <f t="shared" si="26"/>
        <v>0</v>
      </c>
      <c r="X34" s="58">
        <f t="shared" si="26"/>
        <v>0.2857142857142857</v>
      </c>
      <c r="Y34" s="58">
        <f t="shared" si="26"/>
        <v>2.7142857142857144</v>
      </c>
      <c r="Z34" s="58">
        <f t="shared" si="26"/>
        <v>0.42857142857142855</v>
      </c>
      <c r="AA34" s="58">
        <f t="shared" si="26"/>
        <v>0.2857142857142857</v>
      </c>
      <c r="AB34" s="58">
        <f t="shared" si="26"/>
        <v>0.2857142857142857</v>
      </c>
      <c r="AC34" s="58">
        <f t="shared" si="26"/>
        <v>44.571428571428569</v>
      </c>
      <c r="AD34" s="58">
        <f t="shared" si="26"/>
        <v>0</v>
      </c>
      <c r="AE34" s="40">
        <f t="shared" si="26"/>
        <v>6.9999999999999982</v>
      </c>
      <c r="AF34" s="40">
        <f t="shared" si="26"/>
        <v>51.571428571428569</v>
      </c>
    </row>
    <row r="35" spans="2:32" ht="23.1" customHeight="1" x14ac:dyDescent="0.25">
      <c r="B35" s="24" t="s">
        <v>62</v>
      </c>
      <c r="C35" s="49">
        <f>AVERAGE('17.10 MITYANA-BUSUNJU'!C35,'23.10 MITYANA-BUSUNJU '!C35,'20.10  BUSUNJU-MITYANA'!C35,'21.10 MITYANA-BUSUNJU '!C35,'19.10 MITYANA-BUSUNJU 24hr'!C35,'19.10 BUSUNJU-MITYANA 24hr'!C35,'22.10 MITYANA-BUSUNJU '!C35)</f>
        <v>0.42857142857142855</v>
      </c>
      <c r="D35" s="49">
        <f>AVERAGE('17.10 MITYANA-BUSUNJU'!D35,'23.10 MITYANA-BUSUNJU '!D35,'20.10  BUSUNJU-MITYANA'!D35,'21.10 MITYANA-BUSUNJU '!D35,'19.10 MITYANA-BUSUNJU 24hr'!D35,'19.10 BUSUNJU-MITYANA 24hr'!D35,'22.10 MITYANA-BUSUNJU '!D35)</f>
        <v>0</v>
      </c>
      <c r="E35" s="49">
        <f>AVERAGE('17.10 MITYANA-BUSUNJU'!E35,'23.10 MITYANA-BUSUNJU '!E35,'20.10  BUSUNJU-MITYANA'!E35,'21.10 MITYANA-BUSUNJU '!E35,'19.10 MITYANA-BUSUNJU 24hr'!E35,'19.10 BUSUNJU-MITYANA 24hr'!E35,'22.10 MITYANA-BUSUNJU '!E35)</f>
        <v>0.2857142857142857</v>
      </c>
      <c r="F35" s="49">
        <f>AVERAGE('17.10 MITYANA-BUSUNJU'!F35,'23.10 MITYANA-BUSUNJU '!F35,'20.10  BUSUNJU-MITYANA'!F35,'21.10 MITYANA-BUSUNJU '!F35,'19.10 MITYANA-BUSUNJU 24hr'!F35,'19.10 BUSUNJU-MITYANA 24hr'!F35,'22.10 MITYANA-BUSUNJU '!F35)</f>
        <v>0.14285714285714285</v>
      </c>
      <c r="G35" s="49">
        <f>AVERAGE('17.10 MITYANA-BUSUNJU'!G35,'23.10 MITYANA-BUSUNJU '!G35,'20.10  BUSUNJU-MITYANA'!G35,'21.10 MITYANA-BUSUNJU '!G35,'19.10 MITYANA-BUSUNJU 24hr'!G35,'19.10 BUSUNJU-MITYANA 24hr'!G35,'22.10 MITYANA-BUSUNJU '!G35)</f>
        <v>0</v>
      </c>
      <c r="H35" s="49">
        <f>AVERAGE('17.10 MITYANA-BUSUNJU'!H35,'23.10 MITYANA-BUSUNJU '!H35,'20.10  BUSUNJU-MITYANA'!H35,'21.10 MITYANA-BUSUNJU '!H35,'19.10 MITYANA-BUSUNJU 24hr'!H35,'19.10 BUSUNJU-MITYANA 24hr'!H35,'22.10 MITYANA-BUSUNJU '!H35)</f>
        <v>0</v>
      </c>
      <c r="I35" s="49">
        <f>AVERAGE('17.10 MITYANA-BUSUNJU'!I35,'23.10 MITYANA-BUSUNJU '!I35,'20.10  BUSUNJU-MITYANA'!I35,'21.10 MITYANA-BUSUNJU '!I35,'19.10 MITYANA-BUSUNJU 24hr'!I35,'19.10 BUSUNJU-MITYANA 24hr'!I35,'22.10 MITYANA-BUSUNJU '!I35)</f>
        <v>0.2857142857142857</v>
      </c>
      <c r="J35" s="49">
        <f>AVERAGE('17.10 MITYANA-BUSUNJU'!J35,'23.10 MITYANA-BUSUNJU '!J35,'20.10  BUSUNJU-MITYANA'!J35,'21.10 MITYANA-BUSUNJU '!J35,'19.10 MITYANA-BUSUNJU 24hr'!J35,'19.10 BUSUNJU-MITYANA 24hr'!J35,'22.10 MITYANA-BUSUNJU '!J35)</f>
        <v>0</v>
      </c>
      <c r="K35" s="49">
        <f>AVERAGE('17.10 MITYANA-BUSUNJU'!K35,'23.10 MITYANA-BUSUNJU '!K35,'20.10  BUSUNJU-MITYANA'!K35,'21.10 MITYANA-BUSUNJU '!K35,'19.10 MITYANA-BUSUNJU 24hr'!K35,'19.10 BUSUNJU-MITYANA 24hr'!K35,'22.10 MITYANA-BUSUNJU '!K35)</f>
        <v>0</v>
      </c>
      <c r="L35" s="49">
        <f>AVERAGE('17.10 MITYANA-BUSUNJU'!L35,'23.10 MITYANA-BUSUNJU '!L35,'20.10  BUSUNJU-MITYANA'!L35,'21.10 MITYANA-BUSUNJU '!L35,'19.10 MITYANA-BUSUNJU 24hr'!L35,'19.10 BUSUNJU-MITYANA 24hr'!L35,'22.10 MITYANA-BUSUNJU '!L35)</f>
        <v>0</v>
      </c>
      <c r="M35" s="49">
        <f>AVERAGE('17.10 MITYANA-BUSUNJU'!M35,'23.10 MITYANA-BUSUNJU '!M35,'20.10  BUSUNJU-MITYANA'!M35,'21.10 MITYANA-BUSUNJU '!M35,'19.10 MITYANA-BUSUNJU 24hr'!M35,'19.10 BUSUNJU-MITYANA 24hr'!M35,'22.10 MITYANA-BUSUNJU '!M35)</f>
        <v>15.285714285714286</v>
      </c>
      <c r="N35" s="49">
        <f>AVERAGE('17.10 MITYANA-BUSUNJU'!N35,'23.10 MITYANA-BUSUNJU '!N35,'20.10  BUSUNJU-MITYANA'!N35,'21.10 MITYANA-BUSUNJU '!N35,'19.10 MITYANA-BUSUNJU 24hr'!N35,'19.10 BUSUNJU-MITYANA 24hr'!N35,'22.10 MITYANA-BUSUNJU '!N35)</f>
        <v>0</v>
      </c>
      <c r="O35" s="15">
        <f t="shared" si="0"/>
        <v>1.1428571428571428</v>
      </c>
      <c r="P35" s="15">
        <f t="shared" si="1"/>
        <v>16.428571428571431</v>
      </c>
      <c r="R35" s="57" t="s">
        <v>91</v>
      </c>
      <c r="S35" s="58">
        <f t="shared" ref="S35:AF35" si="27">MAX(S13:S18)</f>
        <v>4.4285714285714288</v>
      </c>
      <c r="T35" s="58">
        <f t="shared" si="27"/>
        <v>1.7142857142857142</v>
      </c>
      <c r="U35" s="58">
        <f t="shared" si="27"/>
        <v>1.5714285714285714</v>
      </c>
      <c r="V35" s="58">
        <f t="shared" si="27"/>
        <v>0.8571428571428571</v>
      </c>
      <c r="W35" s="58">
        <f t="shared" si="27"/>
        <v>0.2857142857142857</v>
      </c>
      <c r="X35" s="58">
        <f t="shared" si="27"/>
        <v>0.14285714285714285</v>
      </c>
      <c r="Y35" s="58">
        <f t="shared" si="27"/>
        <v>1.857142857142857</v>
      </c>
      <c r="Z35" s="58">
        <f t="shared" si="27"/>
        <v>0.5714285714285714</v>
      </c>
      <c r="AA35" s="58">
        <f t="shared" si="27"/>
        <v>0.2857142857142857</v>
      </c>
      <c r="AB35" s="58">
        <f t="shared" si="27"/>
        <v>0</v>
      </c>
      <c r="AC35" s="58">
        <f t="shared" si="27"/>
        <v>55.428571428571431</v>
      </c>
      <c r="AD35" s="58">
        <f t="shared" si="27"/>
        <v>0</v>
      </c>
      <c r="AE35" s="40">
        <f t="shared" si="27"/>
        <v>9.1428571428571423</v>
      </c>
      <c r="AF35" s="40">
        <f t="shared" si="27"/>
        <v>63.857142857142854</v>
      </c>
    </row>
    <row r="36" spans="2:32" ht="23.1" customHeight="1" x14ac:dyDescent="0.25">
      <c r="B36" s="24" t="s">
        <v>63</v>
      </c>
      <c r="C36" s="49">
        <f>AVERAGE('17.10 MITYANA-BUSUNJU'!C36,'23.10 MITYANA-BUSUNJU '!C36,'20.10  BUSUNJU-MITYANA'!C36,'21.10 MITYANA-BUSUNJU '!C36,'19.10 MITYANA-BUSUNJU 24hr'!C36,'19.10 BUSUNJU-MITYANA 24hr'!C36,'22.10 MITYANA-BUSUNJU '!C36)</f>
        <v>1</v>
      </c>
      <c r="D36" s="49">
        <f>AVERAGE('17.10 MITYANA-BUSUNJU'!D36,'23.10 MITYANA-BUSUNJU '!D36,'20.10  BUSUNJU-MITYANA'!D36,'21.10 MITYANA-BUSUNJU '!D36,'19.10 MITYANA-BUSUNJU 24hr'!D36,'19.10 BUSUNJU-MITYANA 24hr'!D36,'22.10 MITYANA-BUSUNJU '!D36)</f>
        <v>0.14285714285714285</v>
      </c>
      <c r="E36" s="49">
        <f>AVERAGE('17.10 MITYANA-BUSUNJU'!E36,'23.10 MITYANA-BUSUNJU '!E36,'20.10  BUSUNJU-MITYANA'!E36,'21.10 MITYANA-BUSUNJU '!E36,'19.10 MITYANA-BUSUNJU 24hr'!E36,'19.10 BUSUNJU-MITYANA 24hr'!E36,'22.10 MITYANA-BUSUNJU '!E36)</f>
        <v>0.14285714285714285</v>
      </c>
      <c r="F36" s="49">
        <f>AVERAGE('17.10 MITYANA-BUSUNJU'!F36,'23.10 MITYANA-BUSUNJU '!F36,'20.10  BUSUNJU-MITYANA'!F36,'21.10 MITYANA-BUSUNJU '!F36,'19.10 MITYANA-BUSUNJU 24hr'!F36,'19.10 BUSUNJU-MITYANA 24hr'!F36,'22.10 MITYANA-BUSUNJU '!F36)</f>
        <v>0</v>
      </c>
      <c r="G36" s="49">
        <f>AVERAGE('17.10 MITYANA-BUSUNJU'!G36,'23.10 MITYANA-BUSUNJU '!G36,'20.10  BUSUNJU-MITYANA'!G36,'21.10 MITYANA-BUSUNJU '!G36,'19.10 MITYANA-BUSUNJU 24hr'!G36,'19.10 BUSUNJU-MITYANA 24hr'!G36,'22.10 MITYANA-BUSUNJU '!G36)</f>
        <v>0</v>
      </c>
      <c r="H36" s="49">
        <f>AVERAGE('17.10 MITYANA-BUSUNJU'!H36,'23.10 MITYANA-BUSUNJU '!H36,'20.10  BUSUNJU-MITYANA'!H36,'21.10 MITYANA-BUSUNJU '!H36,'19.10 MITYANA-BUSUNJU 24hr'!H36,'19.10 BUSUNJU-MITYANA 24hr'!H36,'22.10 MITYANA-BUSUNJU '!H36)</f>
        <v>0</v>
      </c>
      <c r="I36" s="49">
        <f>AVERAGE('17.10 MITYANA-BUSUNJU'!I36,'23.10 MITYANA-BUSUNJU '!I36,'20.10  BUSUNJU-MITYANA'!I36,'21.10 MITYANA-BUSUNJU '!I36,'19.10 MITYANA-BUSUNJU 24hr'!I36,'19.10 BUSUNJU-MITYANA 24hr'!I36,'22.10 MITYANA-BUSUNJU '!I36)</f>
        <v>0.7142857142857143</v>
      </c>
      <c r="J36" s="49">
        <f>AVERAGE('17.10 MITYANA-BUSUNJU'!J36,'23.10 MITYANA-BUSUNJU '!J36,'20.10  BUSUNJU-MITYANA'!J36,'21.10 MITYANA-BUSUNJU '!J36,'19.10 MITYANA-BUSUNJU 24hr'!J36,'19.10 BUSUNJU-MITYANA 24hr'!J36,'22.10 MITYANA-BUSUNJU '!J36)</f>
        <v>0.14285714285714285</v>
      </c>
      <c r="K36" s="49">
        <f>AVERAGE('17.10 MITYANA-BUSUNJU'!K36,'23.10 MITYANA-BUSUNJU '!K36,'20.10  BUSUNJU-MITYANA'!K36,'21.10 MITYANA-BUSUNJU '!K36,'19.10 MITYANA-BUSUNJU 24hr'!K36,'19.10 BUSUNJU-MITYANA 24hr'!K36,'22.10 MITYANA-BUSUNJU '!K36)</f>
        <v>0</v>
      </c>
      <c r="L36" s="49">
        <f>AVERAGE('17.10 MITYANA-BUSUNJU'!L36,'23.10 MITYANA-BUSUNJU '!L36,'20.10  BUSUNJU-MITYANA'!L36,'21.10 MITYANA-BUSUNJU '!L36,'19.10 MITYANA-BUSUNJU 24hr'!L36,'19.10 BUSUNJU-MITYANA 24hr'!L36,'22.10 MITYANA-BUSUNJU '!L36)</f>
        <v>0</v>
      </c>
      <c r="M36" s="49">
        <f>AVERAGE('17.10 MITYANA-BUSUNJU'!M36,'23.10 MITYANA-BUSUNJU '!M36,'20.10  BUSUNJU-MITYANA'!M36,'21.10 MITYANA-BUSUNJU '!M36,'19.10 MITYANA-BUSUNJU 24hr'!M36,'19.10 BUSUNJU-MITYANA 24hr'!M36,'22.10 MITYANA-BUSUNJU '!M36)</f>
        <v>12.857142857142858</v>
      </c>
      <c r="N36" s="49">
        <f>AVERAGE('17.10 MITYANA-BUSUNJU'!N36,'23.10 MITYANA-BUSUNJU '!N36,'20.10  BUSUNJU-MITYANA'!N36,'21.10 MITYANA-BUSUNJU '!N36,'19.10 MITYANA-BUSUNJU 24hr'!N36,'19.10 BUSUNJU-MITYANA 24hr'!N36,'22.10 MITYANA-BUSUNJU '!N36)</f>
        <v>0</v>
      </c>
      <c r="O36" s="15">
        <f t="shared" si="0"/>
        <v>2.1428571428571428</v>
      </c>
      <c r="P36" s="15">
        <f t="shared" si="1"/>
        <v>15</v>
      </c>
      <c r="R36" s="57" t="s">
        <v>92</v>
      </c>
      <c r="S36" s="58">
        <f t="shared" ref="S36:AF36" si="28">MAX(S19:S21)</f>
        <v>3.8571428571428572</v>
      </c>
      <c r="T36" s="58">
        <f t="shared" si="28"/>
        <v>1.4285714285714284</v>
      </c>
      <c r="U36" s="58">
        <f t="shared" si="28"/>
        <v>2.1428571428571428</v>
      </c>
      <c r="V36" s="58">
        <f t="shared" si="28"/>
        <v>1.2857142857142856</v>
      </c>
      <c r="W36" s="58">
        <f t="shared" si="28"/>
        <v>0.2857142857142857</v>
      </c>
      <c r="X36" s="58">
        <f t="shared" si="28"/>
        <v>0.14285714285714285</v>
      </c>
      <c r="Y36" s="58">
        <f t="shared" si="28"/>
        <v>2.1428571428571428</v>
      </c>
      <c r="Z36" s="58">
        <f t="shared" si="28"/>
        <v>1.2857142857142856</v>
      </c>
      <c r="AA36" s="58">
        <f t="shared" si="28"/>
        <v>0.14285714285714285</v>
      </c>
      <c r="AB36" s="58">
        <f t="shared" si="28"/>
        <v>0</v>
      </c>
      <c r="AC36" s="58">
        <f t="shared" si="28"/>
        <v>50.285714285714292</v>
      </c>
      <c r="AD36" s="58">
        <f t="shared" si="28"/>
        <v>0</v>
      </c>
      <c r="AE36" s="40">
        <f t="shared" si="28"/>
        <v>11.428571428571429</v>
      </c>
      <c r="AF36" s="40">
        <f t="shared" si="28"/>
        <v>57.714285714285722</v>
      </c>
    </row>
    <row r="37" spans="2:32" ht="23.1" customHeight="1" x14ac:dyDescent="0.25">
      <c r="B37" s="23" t="s">
        <v>64</v>
      </c>
      <c r="C37" s="49">
        <f>AVERAGE('17.10 MITYANA-BUSUNJU'!C37,'23.10 MITYANA-BUSUNJU '!C37,'20.10  BUSUNJU-MITYANA'!C37,'21.10 MITYANA-BUSUNJU '!C37,'19.10 MITYANA-BUSUNJU 24hr'!C37,'19.10 BUSUNJU-MITYANA 24hr'!C37,'22.10 MITYANA-BUSUNJU '!C37)</f>
        <v>1.2857142857142858</v>
      </c>
      <c r="D37" s="49">
        <f>AVERAGE('17.10 MITYANA-BUSUNJU'!D37,'23.10 MITYANA-BUSUNJU '!D37,'20.10  BUSUNJU-MITYANA'!D37,'21.10 MITYANA-BUSUNJU '!D37,'19.10 MITYANA-BUSUNJU 24hr'!D37,'19.10 BUSUNJU-MITYANA 24hr'!D37,'22.10 MITYANA-BUSUNJU '!D37)</f>
        <v>0.2857142857142857</v>
      </c>
      <c r="E37" s="49">
        <f>AVERAGE('17.10 MITYANA-BUSUNJU'!E37,'23.10 MITYANA-BUSUNJU '!E37,'20.10  BUSUNJU-MITYANA'!E37,'21.10 MITYANA-BUSUNJU '!E37,'19.10 MITYANA-BUSUNJU 24hr'!E37,'19.10 BUSUNJU-MITYANA 24hr'!E37,'22.10 MITYANA-BUSUNJU '!E37)</f>
        <v>0.14285714285714285</v>
      </c>
      <c r="F37" s="49">
        <f>AVERAGE('17.10 MITYANA-BUSUNJU'!F37,'23.10 MITYANA-BUSUNJU '!F37,'20.10  BUSUNJU-MITYANA'!F37,'21.10 MITYANA-BUSUNJU '!F37,'19.10 MITYANA-BUSUNJU 24hr'!F37,'19.10 BUSUNJU-MITYANA 24hr'!F37,'22.10 MITYANA-BUSUNJU '!F37)</f>
        <v>0</v>
      </c>
      <c r="G37" s="49">
        <f>AVERAGE('17.10 MITYANA-BUSUNJU'!G37,'23.10 MITYANA-BUSUNJU '!G37,'20.10  BUSUNJU-MITYANA'!G37,'21.10 MITYANA-BUSUNJU '!G37,'19.10 MITYANA-BUSUNJU 24hr'!G37,'19.10 BUSUNJU-MITYANA 24hr'!G37,'22.10 MITYANA-BUSUNJU '!G37)</f>
        <v>0</v>
      </c>
      <c r="H37" s="49">
        <f>AVERAGE('17.10 MITYANA-BUSUNJU'!H37,'23.10 MITYANA-BUSUNJU '!H37,'20.10  BUSUNJU-MITYANA'!H37,'21.10 MITYANA-BUSUNJU '!H37,'19.10 MITYANA-BUSUNJU 24hr'!H37,'19.10 BUSUNJU-MITYANA 24hr'!H37,'22.10 MITYANA-BUSUNJU '!H37)</f>
        <v>0</v>
      </c>
      <c r="I37" s="49">
        <f>AVERAGE('17.10 MITYANA-BUSUNJU'!I37,'23.10 MITYANA-BUSUNJU '!I37,'20.10  BUSUNJU-MITYANA'!I37,'21.10 MITYANA-BUSUNJU '!I37,'19.10 MITYANA-BUSUNJU 24hr'!I37,'19.10 BUSUNJU-MITYANA 24hr'!I37,'22.10 MITYANA-BUSUNJU '!I37)</f>
        <v>0.42857142857142855</v>
      </c>
      <c r="J37" s="49">
        <f>AVERAGE('17.10 MITYANA-BUSUNJU'!J37,'23.10 MITYANA-BUSUNJU '!J37,'20.10  BUSUNJU-MITYANA'!J37,'21.10 MITYANA-BUSUNJU '!J37,'19.10 MITYANA-BUSUNJU 24hr'!J37,'19.10 BUSUNJU-MITYANA 24hr'!J37,'22.10 MITYANA-BUSUNJU '!J37)</f>
        <v>0.2857142857142857</v>
      </c>
      <c r="K37" s="49">
        <f>AVERAGE('17.10 MITYANA-BUSUNJU'!K37,'23.10 MITYANA-BUSUNJU '!K37,'20.10  BUSUNJU-MITYANA'!K37,'21.10 MITYANA-BUSUNJU '!K37,'19.10 MITYANA-BUSUNJU 24hr'!K37,'19.10 BUSUNJU-MITYANA 24hr'!K37,'22.10 MITYANA-BUSUNJU '!K37)</f>
        <v>0</v>
      </c>
      <c r="L37" s="49">
        <f>AVERAGE('17.10 MITYANA-BUSUNJU'!L37,'23.10 MITYANA-BUSUNJU '!L37,'20.10  BUSUNJU-MITYANA'!L37,'21.10 MITYANA-BUSUNJU '!L37,'19.10 MITYANA-BUSUNJU 24hr'!L37,'19.10 BUSUNJU-MITYANA 24hr'!L37,'22.10 MITYANA-BUSUNJU '!L37)</f>
        <v>0</v>
      </c>
      <c r="M37" s="49">
        <f>AVERAGE('17.10 MITYANA-BUSUNJU'!M37,'23.10 MITYANA-BUSUNJU '!M37,'20.10  BUSUNJU-MITYANA'!M37,'21.10 MITYANA-BUSUNJU '!M37,'19.10 MITYANA-BUSUNJU 24hr'!M37,'19.10 BUSUNJU-MITYANA 24hr'!M37,'22.10 MITYANA-BUSUNJU '!M37)</f>
        <v>13.714285714285714</v>
      </c>
      <c r="N37" s="49">
        <f>AVERAGE('17.10 MITYANA-BUSUNJU'!N37,'23.10 MITYANA-BUSUNJU '!N37,'20.10  BUSUNJU-MITYANA'!N37,'21.10 MITYANA-BUSUNJU '!N37,'19.10 MITYANA-BUSUNJU 24hr'!N37,'19.10 BUSUNJU-MITYANA 24hr'!N37,'22.10 MITYANA-BUSUNJU '!N37)</f>
        <v>0</v>
      </c>
      <c r="O37" s="15">
        <f t="shared" si="0"/>
        <v>2.4285714285714284</v>
      </c>
      <c r="P37" s="15">
        <f t="shared" si="1"/>
        <v>16.142857142857142</v>
      </c>
      <c r="R37" s="37" t="s">
        <v>85</v>
      </c>
      <c r="S37" s="59">
        <f t="shared" ref="S37:AF37" si="29">SUM(S10:S12)</f>
        <v>4.4285714285714288</v>
      </c>
      <c r="T37" s="60">
        <f t="shared" si="29"/>
        <v>2.2857142857142856</v>
      </c>
      <c r="U37" s="60">
        <f t="shared" si="29"/>
        <v>2.4285714285714284</v>
      </c>
      <c r="V37" s="60">
        <f t="shared" si="29"/>
        <v>1.5714285714285712</v>
      </c>
      <c r="W37" s="60">
        <f t="shared" si="29"/>
        <v>0</v>
      </c>
      <c r="X37" s="60">
        <f t="shared" si="29"/>
        <v>0.2857142857142857</v>
      </c>
      <c r="Y37" s="60">
        <f t="shared" si="29"/>
        <v>5.1428571428571432</v>
      </c>
      <c r="Z37" s="60">
        <f t="shared" si="29"/>
        <v>0.8571428571428571</v>
      </c>
      <c r="AA37" s="60">
        <f t="shared" si="29"/>
        <v>0.42857142857142855</v>
      </c>
      <c r="AB37" s="60">
        <f t="shared" si="29"/>
        <v>0.2857142857142857</v>
      </c>
      <c r="AC37" s="60">
        <f t="shared" si="29"/>
        <v>118.28571428571429</v>
      </c>
      <c r="AD37" s="60">
        <f t="shared" si="29"/>
        <v>0</v>
      </c>
      <c r="AE37" s="61">
        <f t="shared" si="29"/>
        <v>17.714285714285715</v>
      </c>
      <c r="AF37" s="61">
        <f t="shared" si="29"/>
        <v>136</v>
      </c>
    </row>
    <row r="38" spans="2:32" ht="23.1" customHeight="1" x14ac:dyDescent="0.25">
      <c r="B38" s="24" t="s">
        <v>65</v>
      </c>
      <c r="C38" s="49">
        <f>AVERAGE('17.10 MITYANA-BUSUNJU'!C38,'23.10 MITYANA-BUSUNJU '!C38,'20.10  BUSUNJU-MITYANA'!C38,'21.10 MITYANA-BUSUNJU '!C38,'19.10 MITYANA-BUSUNJU 24hr'!C38,'19.10 BUSUNJU-MITYANA 24hr'!C38,'22.10 MITYANA-BUSUNJU '!C38)</f>
        <v>1</v>
      </c>
      <c r="D38" s="49">
        <f>AVERAGE('17.10 MITYANA-BUSUNJU'!D38,'23.10 MITYANA-BUSUNJU '!D38,'20.10  BUSUNJU-MITYANA'!D38,'21.10 MITYANA-BUSUNJU '!D38,'19.10 MITYANA-BUSUNJU 24hr'!D38,'19.10 BUSUNJU-MITYANA 24hr'!D38,'22.10 MITYANA-BUSUNJU '!D38)</f>
        <v>0.42857142857142855</v>
      </c>
      <c r="E38" s="49">
        <f>AVERAGE('17.10 MITYANA-BUSUNJU'!E38,'23.10 MITYANA-BUSUNJU '!E38,'20.10  BUSUNJU-MITYANA'!E38,'21.10 MITYANA-BUSUNJU '!E38,'19.10 MITYANA-BUSUNJU 24hr'!E38,'19.10 BUSUNJU-MITYANA 24hr'!E38,'22.10 MITYANA-BUSUNJU '!E38)</f>
        <v>0</v>
      </c>
      <c r="F38" s="49">
        <f>AVERAGE('17.10 MITYANA-BUSUNJU'!F38,'23.10 MITYANA-BUSUNJU '!F38,'20.10  BUSUNJU-MITYANA'!F38,'21.10 MITYANA-BUSUNJU '!F38,'19.10 MITYANA-BUSUNJU 24hr'!F38,'19.10 BUSUNJU-MITYANA 24hr'!F38,'22.10 MITYANA-BUSUNJU '!F38)</f>
        <v>0</v>
      </c>
      <c r="G38" s="49">
        <f>AVERAGE('17.10 MITYANA-BUSUNJU'!G38,'23.10 MITYANA-BUSUNJU '!G38,'20.10  BUSUNJU-MITYANA'!G38,'21.10 MITYANA-BUSUNJU '!G38,'19.10 MITYANA-BUSUNJU 24hr'!G38,'19.10 BUSUNJU-MITYANA 24hr'!G38,'22.10 MITYANA-BUSUNJU '!G38)</f>
        <v>0</v>
      </c>
      <c r="H38" s="49">
        <f>AVERAGE('17.10 MITYANA-BUSUNJU'!H38,'23.10 MITYANA-BUSUNJU '!H38,'20.10  BUSUNJU-MITYANA'!H38,'21.10 MITYANA-BUSUNJU '!H38,'19.10 MITYANA-BUSUNJU 24hr'!H38,'19.10 BUSUNJU-MITYANA 24hr'!H38,'22.10 MITYANA-BUSUNJU '!H38)</f>
        <v>0</v>
      </c>
      <c r="I38" s="49">
        <f>AVERAGE('17.10 MITYANA-BUSUNJU'!I38,'23.10 MITYANA-BUSUNJU '!I38,'20.10  BUSUNJU-MITYANA'!I38,'21.10 MITYANA-BUSUNJU '!I38,'19.10 MITYANA-BUSUNJU 24hr'!I38,'19.10 BUSUNJU-MITYANA 24hr'!I38,'22.10 MITYANA-BUSUNJU '!I38)</f>
        <v>0.5714285714285714</v>
      </c>
      <c r="J38" s="49">
        <f>AVERAGE('17.10 MITYANA-BUSUNJU'!J38,'23.10 MITYANA-BUSUNJU '!J38,'20.10  BUSUNJU-MITYANA'!J38,'21.10 MITYANA-BUSUNJU '!J38,'19.10 MITYANA-BUSUNJU 24hr'!J38,'19.10 BUSUNJU-MITYANA 24hr'!J38,'22.10 MITYANA-BUSUNJU '!J38)</f>
        <v>0</v>
      </c>
      <c r="K38" s="49">
        <f>AVERAGE('17.10 MITYANA-BUSUNJU'!K38,'23.10 MITYANA-BUSUNJU '!K38,'20.10  BUSUNJU-MITYANA'!K38,'21.10 MITYANA-BUSUNJU '!K38,'19.10 MITYANA-BUSUNJU 24hr'!K38,'19.10 BUSUNJU-MITYANA 24hr'!K38,'22.10 MITYANA-BUSUNJU '!K38)</f>
        <v>0</v>
      </c>
      <c r="L38" s="49">
        <f>AVERAGE('17.10 MITYANA-BUSUNJU'!L38,'23.10 MITYANA-BUSUNJU '!L38,'20.10  BUSUNJU-MITYANA'!L38,'21.10 MITYANA-BUSUNJU '!L38,'19.10 MITYANA-BUSUNJU 24hr'!L38,'19.10 BUSUNJU-MITYANA 24hr'!L38,'22.10 MITYANA-BUSUNJU '!L38)</f>
        <v>0</v>
      </c>
      <c r="M38" s="49">
        <f>AVERAGE('17.10 MITYANA-BUSUNJU'!M38,'23.10 MITYANA-BUSUNJU '!M38,'20.10  BUSUNJU-MITYANA'!M38,'21.10 MITYANA-BUSUNJU '!M38,'19.10 MITYANA-BUSUNJU 24hr'!M38,'19.10 BUSUNJU-MITYANA 24hr'!M38,'22.10 MITYANA-BUSUNJU '!M38)</f>
        <v>12</v>
      </c>
      <c r="N38" s="49">
        <f>AVERAGE('17.10 MITYANA-BUSUNJU'!N38,'23.10 MITYANA-BUSUNJU '!N38,'20.10  BUSUNJU-MITYANA'!N38,'21.10 MITYANA-BUSUNJU '!N38,'19.10 MITYANA-BUSUNJU 24hr'!N38,'19.10 BUSUNJU-MITYANA 24hr'!N38,'22.10 MITYANA-BUSUNJU '!N38)</f>
        <v>0</v>
      </c>
      <c r="O38" s="15">
        <f t="shared" si="0"/>
        <v>2</v>
      </c>
      <c r="P38" s="15">
        <f t="shared" si="1"/>
        <v>14</v>
      </c>
      <c r="R38" s="28" t="s">
        <v>86</v>
      </c>
      <c r="S38" s="60">
        <f t="shared" ref="S38:AF38" si="30">SUM(S13:S18)</f>
        <v>21</v>
      </c>
      <c r="T38" s="60">
        <f t="shared" si="30"/>
        <v>4.9999999999999991</v>
      </c>
      <c r="U38" s="60">
        <f t="shared" si="30"/>
        <v>6</v>
      </c>
      <c r="V38" s="60">
        <f t="shared" si="30"/>
        <v>2.8571428571428568</v>
      </c>
      <c r="W38" s="60">
        <f t="shared" si="30"/>
        <v>0.71428571428571419</v>
      </c>
      <c r="X38" s="60">
        <f t="shared" si="30"/>
        <v>0.2857142857142857</v>
      </c>
      <c r="Y38" s="60">
        <f t="shared" si="30"/>
        <v>9</v>
      </c>
      <c r="Z38" s="60">
        <f t="shared" si="30"/>
        <v>2.714285714285714</v>
      </c>
      <c r="AA38" s="60">
        <f t="shared" si="30"/>
        <v>0.8571428571428571</v>
      </c>
      <c r="AB38" s="60">
        <f t="shared" si="30"/>
        <v>0</v>
      </c>
      <c r="AC38" s="60">
        <f t="shared" si="30"/>
        <v>282.71428571428572</v>
      </c>
      <c r="AD38" s="60">
        <f t="shared" si="30"/>
        <v>0</v>
      </c>
      <c r="AE38" s="61">
        <f t="shared" si="30"/>
        <v>48.428571428571431</v>
      </c>
      <c r="AF38" s="61">
        <f t="shared" si="30"/>
        <v>331.14285714285711</v>
      </c>
    </row>
    <row r="39" spans="2:32" ht="23.1" customHeight="1" x14ac:dyDescent="0.25">
      <c r="B39" s="24" t="s">
        <v>66</v>
      </c>
      <c r="C39" s="49">
        <f>AVERAGE('17.10 MITYANA-BUSUNJU'!C39,'23.10 MITYANA-BUSUNJU '!C39,'20.10  BUSUNJU-MITYANA'!C39,'21.10 MITYANA-BUSUNJU '!C39,'19.10 MITYANA-BUSUNJU 24hr'!C39,'19.10 BUSUNJU-MITYANA 24hr'!C39,'22.10 MITYANA-BUSUNJU '!C39)</f>
        <v>0.7142857142857143</v>
      </c>
      <c r="D39" s="49">
        <f>AVERAGE('17.10 MITYANA-BUSUNJU'!D39,'23.10 MITYANA-BUSUNJU '!D39,'20.10  BUSUNJU-MITYANA'!D39,'21.10 MITYANA-BUSUNJU '!D39,'19.10 MITYANA-BUSUNJU 24hr'!D39,'19.10 BUSUNJU-MITYANA 24hr'!D39,'22.10 MITYANA-BUSUNJU '!D39)</f>
        <v>0</v>
      </c>
      <c r="E39" s="49">
        <f>AVERAGE('17.10 MITYANA-BUSUNJU'!E39,'23.10 MITYANA-BUSUNJU '!E39,'20.10  BUSUNJU-MITYANA'!E39,'21.10 MITYANA-BUSUNJU '!E39,'19.10 MITYANA-BUSUNJU 24hr'!E39,'19.10 BUSUNJU-MITYANA 24hr'!E39,'22.10 MITYANA-BUSUNJU '!E39)</f>
        <v>0.7142857142857143</v>
      </c>
      <c r="F39" s="49">
        <f>AVERAGE('17.10 MITYANA-BUSUNJU'!F39,'23.10 MITYANA-BUSUNJU '!F39,'20.10  BUSUNJU-MITYANA'!F39,'21.10 MITYANA-BUSUNJU '!F39,'19.10 MITYANA-BUSUNJU 24hr'!F39,'19.10 BUSUNJU-MITYANA 24hr'!F39,'22.10 MITYANA-BUSUNJU '!F39)</f>
        <v>0.14285714285714285</v>
      </c>
      <c r="G39" s="49">
        <f>AVERAGE('17.10 MITYANA-BUSUNJU'!G39,'23.10 MITYANA-BUSUNJU '!G39,'20.10  BUSUNJU-MITYANA'!G39,'21.10 MITYANA-BUSUNJU '!G39,'19.10 MITYANA-BUSUNJU 24hr'!G39,'19.10 BUSUNJU-MITYANA 24hr'!G39,'22.10 MITYANA-BUSUNJU '!G39)</f>
        <v>0</v>
      </c>
      <c r="H39" s="49">
        <f>AVERAGE('17.10 MITYANA-BUSUNJU'!H39,'23.10 MITYANA-BUSUNJU '!H39,'20.10  BUSUNJU-MITYANA'!H39,'21.10 MITYANA-BUSUNJU '!H39,'19.10 MITYANA-BUSUNJU 24hr'!H39,'19.10 BUSUNJU-MITYANA 24hr'!H39,'22.10 MITYANA-BUSUNJU '!H39)</f>
        <v>0</v>
      </c>
      <c r="I39" s="49">
        <f>AVERAGE('17.10 MITYANA-BUSUNJU'!I39,'23.10 MITYANA-BUSUNJU '!I39,'20.10  BUSUNJU-MITYANA'!I39,'21.10 MITYANA-BUSUNJU '!I39,'19.10 MITYANA-BUSUNJU 24hr'!I39,'19.10 BUSUNJU-MITYANA 24hr'!I39,'22.10 MITYANA-BUSUNJU '!I39)</f>
        <v>0</v>
      </c>
      <c r="J39" s="49">
        <f>AVERAGE('17.10 MITYANA-BUSUNJU'!J39,'23.10 MITYANA-BUSUNJU '!J39,'20.10  BUSUNJU-MITYANA'!J39,'21.10 MITYANA-BUSUNJU '!J39,'19.10 MITYANA-BUSUNJU 24hr'!J39,'19.10 BUSUNJU-MITYANA 24hr'!J39,'22.10 MITYANA-BUSUNJU '!J39)</f>
        <v>0.42857142857142855</v>
      </c>
      <c r="K39" s="49">
        <f>AVERAGE('17.10 MITYANA-BUSUNJU'!K39,'23.10 MITYANA-BUSUNJU '!K39,'20.10  BUSUNJU-MITYANA'!K39,'21.10 MITYANA-BUSUNJU '!K39,'19.10 MITYANA-BUSUNJU 24hr'!K39,'19.10 BUSUNJU-MITYANA 24hr'!K39,'22.10 MITYANA-BUSUNJU '!K39)</f>
        <v>0</v>
      </c>
      <c r="L39" s="49">
        <f>AVERAGE('17.10 MITYANA-BUSUNJU'!L39,'23.10 MITYANA-BUSUNJU '!L39,'20.10  BUSUNJU-MITYANA'!L39,'21.10 MITYANA-BUSUNJU '!L39,'19.10 MITYANA-BUSUNJU 24hr'!L39,'19.10 BUSUNJU-MITYANA 24hr'!L39,'22.10 MITYANA-BUSUNJU '!L39)</f>
        <v>0</v>
      </c>
      <c r="M39" s="49">
        <f>AVERAGE('17.10 MITYANA-BUSUNJU'!M39,'23.10 MITYANA-BUSUNJU '!M39,'20.10  BUSUNJU-MITYANA'!M39,'21.10 MITYANA-BUSUNJU '!M39,'19.10 MITYANA-BUSUNJU 24hr'!M39,'19.10 BUSUNJU-MITYANA 24hr'!M39,'22.10 MITYANA-BUSUNJU '!M39)</f>
        <v>13</v>
      </c>
      <c r="N39" s="49">
        <f>AVERAGE('17.10 MITYANA-BUSUNJU'!N39,'23.10 MITYANA-BUSUNJU '!N39,'20.10  BUSUNJU-MITYANA'!N39,'21.10 MITYANA-BUSUNJU '!N39,'19.10 MITYANA-BUSUNJU 24hr'!N39,'19.10 BUSUNJU-MITYANA 24hr'!N39,'22.10 MITYANA-BUSUNJU '!N39)</f>
        <v>0</v>
      </c>
      <c r="O39" s="15">
        <f t="shared" si="0"/>
        <v>2</v>
      </c>
      <c r="P39" s="15">
        <f t="shared" si="1"/>
        <v>15</v>
      </c>
      <c r="R39" s="29" t="s">
        <v>87</v>
      </c>
      <c r="S39" s="60">
        <f t="shared" ref="S39:AF39" si="31">SUM(S19:S21)</f>
        <v>9.5714285714285712</v>
      </c>
      <c r="T39" s="60">
        <f t="shared" si="31"/>
        <v>3.9999999999999996</v>
      </c>
      <c r="U39" s="60">
        <f t="shared" si="31"/>
        <v>3.1428571428571428</v>
      </c>
      <c r="V39" s="60">
        <f t="shared" si="31"/>
        <v>2.1428571428571428</v>
      </c>
      <c r="W39" s="60">
        <f t="shared" si="31"/>
        <v>0.2857142857142857</v>
      </c>
      <c r="X39" s="60">
        <f t="shared" si="31"/>
        <v>0.14285714285714285</v>
      </c>
      <c r="Y39" s="60">
        <f t="shared" si="31"/>
        <v>4</v>
      </c>
      <c r="Z39" s="60">
        <f t="shared" si="31"/>
        <v>2.714285714285714</v>
      </c>
      <c r="AA39" s="60">
        <f t="shared" si="31"/>
        <v>0.14285714285714285</v>
      </c>
      <c r="AB39" s="60">
        <f t="shared" si="31"/>
        <v>0</v>
      </c>
      <c r="AC39" s="60">
        <f t="shared" si="31"/>
        <v>142.28571428571431</v>
      </c>
      <c r="AD39" s="60">
        <f t="shared" si="31"/>
        <v>0</v>
      </c>
      <c r="AE39" s="61">
        <f t="shared" si="31"/>
        <v>26.142857142857139</v>
      </c>
      <c r="AF39" s="61">
        <f t="shared" si="31"/>
        <v>168.42857142857144</v>
      </c>
    </row>
    <row r="40" spans="2:32" ht="23.1" customHeight="1" x14ac:dyDescent="0.25">
      <c r="B40" s="24" t="s">
        <v>67</v>
      </c>
      <c r="C40" s="49">
        <f>AVERAGE('17.10 MITYANA-BUSUNJU'!C40,'23.10 MITYANA-BUSUNJU '!C40,'20.10  BUSUNJU-MITYANA'!C40,'21.10 MITYANA-BUSUNJU '!C40,'19.10 MITYANA-BUSUNJU 24hr'!C40,'19.10 BUSUNJU-MITYANA 24hr'!C40,'22.10 MITYANA-BUSUNJU '!C40)</f>
        <v>0.7142857142857143</v>
      </c>
      <c r="D40" s="49">
        <f>AVERAGE('17.10 MITYANA-BUSUNJU'!D40,'23.10 MITYANA-BUSUNJU '!D40,'20.10  BUSUNJU-MITYANA'!D40,'21.10 MITYANA-BUSUNJU '!D40,'19.10 MITYANA-BUSUNJU 24hr'!D40,'19.10 BUSUNJU-MITYANA 24hr'!D40,'22.10 MITYANA-BUSUNJU '!D40)</f>
        <v>0.14285714285714285</v>
      </c>
      <c r="E40" s="49">
        <f>AVERAGE('17.10 MITYANA-BUSUNJU'!E40,'23.10 MITYANA-BUSUNJU '!E40,'20.10  BUSUNJU-MITYANA'!E40,'21.10 MITYANA-BUSUNJU '!E40,'19.10 MITYANA-BUSUNJU 24hr'!E40,'19.10 BUSUNJU-MITYANA 24hr'!E40,'22.10 MITYANA-BUSUNJU '!E40)</f>
        <v>0.14285714285714285</v>
      </c>
      <c r="F40" s="49">
        <f>AVERAGE('17.10 MITYANA-BUSUNJU'!F40,'23.10 MITYANA-BUSUNJU '!F40,'20.10  BUSUNJU-MITYANA'!F40,'21.10 MITYANA-BUSUNJU '!F40,'19.10 MITYANA-BUSUNJU 24hr'!F40,'19.10 BUSUNJU-MITYANA 24hr'!F40,'22.10 MITYANA-BUSUNJU '!F40)</f>
        <v>0.14285714285714285</v>
      </c>
      <c r="G40" s="49">
        <f>AVERAGE('17.10 MITYANA-BUSUNJU'!G40,'23.10 MITYANA-BUSUNJU '!G40,'20.10  BUSUNJU-MITYANA'!G40,'21.10 MITYANA-BUSUNJU '!G40,'19.10 MITYANA-BUSUNJU 24hr'!G40,'19.10 BUSUNJU-MITYANA 24hr'!G40,'22.10 MITYANA-BUSUNJU '!G40)</f>
        <v>0</v>
      </c>
      <c r="H40" s="49">
        <f>AVERAGE('17.10 MITYANA-BUSUNJU'!H40,'23.10 MITYANA-BUSUNJU '!H40,'20.10  BUSUNJU-MITYANA'!H40,'21.10 MITYANA-BUSUNJU '!H40,'19.10 MITYANA-BUSUNJU 24hr'!H40,'19.10 BUSUNJU-MITYANA 24hr'!H40,'22.10 MITYANA-BUSUNJU '!H40)</f>
        <v>0</v>
      </c>
      <c r="I40" s="49">
        <f>AVERAGE('17.10 MITYANA-BUSUNJU'!I40,'23.10 MITYANA-BUSUNJU '!I40,'20.10  BUSUNJU-MITYANA'!I40,'21.10 MITYANA-BUSUNJU '!I40,'19.10 MITYANA-BUSUNJU 24hr'!I40,'19.10 BUSUNJU-MITYANA 24hr'!I40,'22.10 MITYANA-BUSUNJU '!I40)</f>
        <v>0.14285714285714285</v>
      </c>
      <c r="J40" s="49">
        <f>AVERAGE('17.10 MITYANA-BUSUNJU'!J40,'23.10 MITYANA-BUSUNJU '!J40,'20.10  BUSUNJU-MITYANA'!J40,'21.10 MITYANA-BUSUNJU '!J40,'19.10 MITYANA-BUSUNJU 24hr'!J40,'19.10 BUSUNJU-MITYANA 24hr'!J40,'22.10 MITYANA-BUSUNJU '!J40)</f>
        <v>0</v>
      </c>
      <c r="K40" s="49">
        <f>AVERAGE('17.10 MITYANA-BUSUNJU'!K40,'23.10 MITYANA-BUSUNJU '!K40,'20.10  BUSUNJU-MITYANA'!K40,'21.10 MITYANA-BUSUNJU '!K40,'19.10 MITYANA-BUSUNJU 24hr'!K40,'19.10 BUSUNJU-MITYANA 24hr'!K40,'22.10 MITYANA-BUSUNJU '!K40)</f>
        <v>0</v>
      </c>
      <c r="L40" s="49">
        <f>AVERAGE('17.10 MITYANA-BUSUNJU'!L40,'23.10 MITYANA-BUSUNJU '!L40,'20.10  BUSUNJU-MITYANA'!L40,'21.10 MITYANA-BUSUNJU '!L40,'19.10 MITYANA-BUSUNJU 24hr'!L40,'19.10 BUSUNJU-MITYANA 24hr'!L40,'22.10 MITYANA-BUSUNJU '!L40)</f>
        <v>0</v>
      </c>
      <c r="M40" s="49">
        <f>AVERAGE('17.10 MITYANA-BUSUNJU'!M40,'23.10 MITYANA-BUSUNJU '!M40,'20.10  BUSUNJU-MITYANA'!M40,'21.10 MITYANA-BUSUNJU '!M40,'19.10 MITYANA-BUSUNJU 24hr'!M40,'19.10 BUSUNJU-MITYANA 24hr'!M40,'22.10 MITYANA-BUSUNJU '!M40)</f>
        <v>13</v>
      </c>
      <c r="N40" s="49">
        <f>AVERAGE('17.10 MITYANA-BUSUNJU'!N40,'23.10 MITYANA-BUSUNJU '!N40,'20.10  BUSUNJU-MITYANA'!N40,'21.10 MITYANA-BUSUNJU '!N40,'19.10 MITYANA-BUSUNJU 24hr'!N40,'19.10 BUSUNJU-MITYANA 24hr'!N40,'22.10 MITYANA-BUSUNJU '!N40)</f>
        <v>0</v>
      </c>
      <c r="O40" s="15">
        <f t="shared" si="0"/>
        <v>1.2857142857142856</v>
      </c>
      <c r="P40" s="15">
        <f t="shared" si="1"/>
        <v>14.285714285714285</v>
      </c>
      <c r="R40" s="5" t="s">
        <v>17</v>
      </c>
      <c r="S40" s="60">
        <f t="shared" ref="S40:AF40" si="32">SUM(S10:S21)</f>
        <v>35</v>
      </c>
      <c r="T40" s="60">
        <f t="shared" si="32"/>
        <v>11.285714285714285</v>
      </c>
      <c r="U40" s="60">
        <f t="shared" si="32"/>
        <v>11.571428571428569</v>
      </c>
      <c r="V40" s="60">
        <f t="shared" si="32"/>
        <v>6.5714285714285712</v>
      </c>
      <c r="W40" s="60">
        <f t="shared" si="32"/>
        <v>0.99999999999999989</v>
      </c>
      <c r="X40" s="60">
        <f t="shared" si="32"/>
        <v>0.71428571428571419</v>
      </c>
      <c r="Y40" s="60">
        <f t="shared" si="32"/>
        <v>18.142857142857142</v>
      </c>
      <c r="Z40" s="60">
        <f t="shared" si="32"/>
        <v>6.2857142857142847</v>
      </c>
      <c r="AA40" s="60">
        <f t="shared" si="32"/>
        <v>1.4285714285714284</v>
      </c>
      <c r="AB40" s="60">
        <f t="shared" si="32"/>
        <v>0.2857142857142857</v>
      </c>
      <c r="AC40" s="60">
        <f t="shared" si="32"/>
        <v>543.28571428571422</v>
      </c>
      <c r="AD40" s="60">
        <f t="shared" si="32"/>
        <v>0</v>
      </c>
      <c r="AE40" s="61">
        <f t="shared" si="32"/>
        <v>92.285714285714278</v>
      </c>
      <c r="AF40" s="61">
        <f t="shared" si="32"/>
        <v>635.57142857142844</v>
      </c>
    </row>
    <row r="41" spans="2:32" ht="23.1" customHeight="1" x14ac:dyDescent="0.25">
      <c r="B41" s="23" t="s">
        <v>68</v>
      </c>
      <c r="C41" s="49">
        <f>AVERAGE('17.10 MITYANA-BUSUNJU'!C41,'23.10 MITYANA-BUSUNJU '!C41,'20.10  BUSUNJU-MITYANA'!C41,'21.10 MITYANA-BUSUNJU '!C41,'19.10 MITYANA-BUSUNJU 24hr'!C41,'19.10 BUSUNJU-MITYANA 24hr'!C41,'22.10 MITYANA-BUSUNJU '!C41)</f>
        <v>0.7142857142857143</v>
      </c>
      <c r="D41" s="49">
        <f>AVERAGE('17.10 MITYANA-BUSUNJU'!D41,'23.10 MITYANA-BUSUNJU '!D41,'20.10  BUSUNJU-MITYANA'!D41,'21.10 MITYANA-BUSUNJU '!D41,'19.10 MITYANA-BUSUNJU 24hr'!D41,'19.10 BUSUNJU-MITYANA 24hr'!D41,'22.10 MITYANA-BUSUNJU '!D41)</f>
        <v>0</v>
      </c>
      <c r="E41" s="49">
        <f>AVERAGE('17.10 MITYANA-BUSUNJU'!E41,'23.10 MITYANA-BUSUNJU '!E41,'20.10  BUSUNJU-MITYANA'!E41,'21.10 MITYANA-BUSUNJU '!E41,'19.10 MITYANA-BUSUNJU 24hr'!E41,'19.10 BUSUNJU-MITYANA 24hr'!E41,'22.10 MITYANA-BUSUNJU '!E41)</f>
        <v>0.42857142857142855</v>
      </c>
      <c r="F41" s="49">
        <f>AVERAGE('17.10 MITYANA-BUSUNJU'!F41,'23.10 MITYANA-BUSUNJU '!F41,'20.10  BUSUNJU-MITYANA'!F41,'21.10 MITYANA-BUSUNJU '!F41,'19.10 MITYANA-BUSUNJU 24hr'!F41,'19.10 BUSUNJU-MITYANA 24hr'!F41,'22.10 MITYANA-BUSUNJU '!F41)</f>
        <v>0</v>
      </c>
      <c r="G41" s="49">
        <f>AVERAGE('17.10 MITYANA-BUSUNJU'!G41,'23.10 MITYANA-BUSUNJU '!G41,'20.10  BUSUNJU-MITYANA'!G41,'21.10 MITYANA-BUSUNJU '!G41,'19.10 MITYANA-BUSUNJU 24hr'!G41,'19.10 BUSUNJU-MITYANA 24hr'!G41,'22.10 MITYANA-BUSUNJU '!G41)</f>
        <v>0</v>
      </c>
      <c r="H41" s="49">
        <f>AVERAGE('17.10 MITYANA-BUSUNJU'!H41,'23.10 MITYANA-BUSUNJU '!H41,'20.10  BUSUNJU-MITYANA'!H41,'21.10 MITYANA-BUSUNJU '!H41,'19.10 MITYANA-BUSUNJU 24hr'!H41,'19.10 BUSUNJU-MITYANA 24hr'!H41,'22.10 MITYANA-BUSUNJU '!H41)</f>
        <v>0</v>
      </c>
      <c r="I41" s="49">
        <f>AVERAGE('17.10 MITYANA-BUSUNJU'!I41,'23.10 MITYANA-BUSUNJU '!I41,'20.10  BUSUNJU-MITYANA'!I41,'21.10 MITYANA-BUSUNJU '!I41,'19.10 MITYANA-BUSUNJU 24hr'!I41,'19.10 BUSUNJU-MITYANA 24hr'!I41,'22.10 MITYANA-BUSUNJU '!I41)</f>
        <v>0.5714285714285714</v>
      </c>
      <c r="J41" s="49">
        <f>AVERAGE('17.10 MITYANA-BUSUNJU'!J41,'23.10 MITYANA-BUSUNJU '!J41,'20.10  BUSUNJU-MITYANA'!J41,'21.10 MITYANA-BUSUNJU '!J41,'19.10 MITYANA-BUSUNJU 24hr'!J41,'19.10 BUSUNJU-MITYANA 24hr'!J41,'22.10 MITYANA-BUSUNJU '!J41)</f>
        <v>0.14285714285714285</v>
      </c>
      <c r="K41" s="49">
        <f>AVERAGE('17.10 MITYANA-BUSUNJU'!K41,'23.10 MITYANA-BUSUNJU '!K41,'20.10  BUSUNJU-MITYANA'!K41,'21.10 MITYANA-BUSUNJU '!K41,'19.10 MITYANA-BUSUNJU 24hr'!K41,'19.10 BUSUNJU-MITYANA 24hr'!K41,'22.10 MITYANA-BUSUNJU '!K41)</f>
        <v>0</v>
      </c>
      <c r="L41" s="49">
        <f>AVERAGE('17.10 MITYANA-BUSUNJU'!L41,'23.10 MITYANA-BUSUNJU '!L41,'20.10  BUSUNJU-MITYANA'!L41,'21.10 MITYANA-BUSUNJU '!L41,'19.10 MITYANA-BUSUNJU 24hr'!L41,'19.10 BUSUNJU-MITYANA 24hr'!L41,'22.10 MITYANA-BUSUNJU '!L41)</f>
        <v>0</v>
      </c>
      <c r="M41" s="49">
        <f>AVERAGE('17.10 MITYANA-BUSUNJU'!M41,'23.10 MITYANA-BUSUNJU '!M41,'20.10  BUSUNJU-MITYANA'!M41,'21.10 MITYANA-BUSUNJU '!M41,'19.10 MITYANA-BUSUNJU 24hr'!M41,'19.10 BUSUNJU-MITYANA 24hr'!M41,'22.10 MITYANA-BUSUNJU '!M41)</f>
        <v>12</v>
      </c>
      <c r="N41" s="49">
        <f>AVERAGE('17.10 MITYANA-BUSUNJU'!N41,'23.10 MITYANA-BUSUNJU '!N41,'20.10  BUSUNJU-MITYANA'!N41,'21.10 MITYANA-BUSUNJU '!N41,'19.10 MITYANA-BUSUNJU 24hr'!N41,'19.10 BUSUNJU-MITYANA 24hr'!N41,'22.10 MITYANA-BUSUNJU '!N41)</f>
        <v>0</v>
      </c>
      <c r="O41" s="15">
        <f t="shared" si="0"/>
        <v>1.857142857142857</v>
      </c>
      <c r="P41" s="15">
        <f t="shared" si="1"/>
        <v>13.857142857142858</v>
      </c>
      <c r="R41" s="5" t="s">
        <v>184</v>
      </c>
      <c r="S41" s="60">
        <f>SUM(S10:S33)</f>
        <v>57.5</v>
      </c>
      <c r="T41" s="60">
        <f t="shared" ref="T41:AD41" si="33">SUM(T10:T33)</f>
        <v>20.785714285714285</v>
      </c>
      <c r="U41" s="60">
        <f t="shared" si="33"/>
        <v>19.571428571428569</v>
      </c>
      <c r="V41" s="60">
        <f t="shared" si="33"/>
        <v>10.071428571428571</v>
      </c>
      <c r="W41" s="60">
        <f t="shared" si="33"/>
        <v>2.5</v>
      </c>
      <c r="X41" s="60">
        <f t="shared" si="33"/>
        <v>0.71428571428571419</v>
      </c>
      <c r="Y41" s="60">
        <f t="shared" si="33"/>
        <v>28.142857142857142</v>
      </c>
      <c r="Z41" s="60">
        <f t="shared" si="33"/>
        <v>16.785714285714285</v>
      </c>
      <c r="AA41" s="60">
        <f t="shared" si="33"/>
        <v>6.4285714285714288</v>
      </c>
      <c r="AB41" s="60">
        <f t="shared" si="33"/>
        <v>8.7857142857142847</v>
      </c>
      <c r="AC41" s="60">
        <f t="shared" si="33"/>
        <v>708.78571428571422</v>
      </c>
      <c r="AD41" s="60">
        <f t="shared" si="33"/>
        <v>0</v>
      </c>
      <c r="AE41" s="61">
        <f>SUM(AE10:AE33)</f>
        <v>171.28571428571428</v>
      </c>
      <c r="AF41" s="61">
        <f>SUM(AF10:AF33)</f>
        <v>880.07142857142844</v>
      </c>
    </row>
    <row r="42" spans="2:32" ht="23.1" customHeight="1" x14ac:dyDescent="0.25">
      <c r="B42" s="24" t="s">
        <v>69</v>
      </c>
      <c r="C42" s="49">
        <f>AVERAGE('17.10 MITYANA-BUSUNJU'!C42,'23.10 MITYANA-BUSUNJU '!C42,'20.10  BUSUNJU-MITYANA'!C42,'21.10 MITYANA-BUSUNJU '!C42,'19.10 MITYANA-BUSUNJU 24hr'!C42,'19.10 BUSUNJU-MITYANA 24hr'!C42,'22.10 MITYANA-BUSUNJU '!C42)</f>
        <v>0.7142857142857143</v>
      </c>
      <c r="D42" s="49">
        <f>AVERAGE('17.10 MITYANA-BUSUNJU'!D42,'23.10 MITYANA-BUSUNJU '!D42,'20.10  BUSUNJU-MITYANA'!D42,'21.10 MITYANA-BUSUNJU '!D42,'19.10 MITYANA-BUSUNJU 24hr'!D42,'19.10 BUSUNJU-MITYANA 24hr'!D42,'22.10 MITYANA-BUSUNJU '!D42)</f>
        <v>0.2857142857142857</v>
      </c>
      <c r="E42" s="49">
        <f>AVERAGE('17.10 MITYANA-BUSUNJU'!E42,'23.10 MITYANA-BUSUNJU '!E42,'20.10  BUSUNJU-MITYANA'!E42,'21.10 MITYANA-BUSUNJU '!E42,'19.10 MITYANA-BUSUNJU 24hr'!E42,'19.10 BUSUNJU-MITYANA 24hr'!E42,'22.10 MITYANA-BUSUNJU '!E42)</f>
        <v>0.14285714285714285</v>
      </c>
      <c r="F42" s="49">
        <f>AVERAGE('17.10 MITYANA-BUSUNJU'!F42,'23.10 MITYANA-BUSUNJU '!F42,'20.10  BUSUNJU-MITYANA'!F42,'21.10 MITYANA-BUSUNJU '!F42,'19.10 MITYANA-BUSUNJU 24hr'!F42,'19.10 BUSUNJU-MITYANA 24hr'!F42,'22.10 MITYANA-BUSUNJU '!F42)</f>
        <v>0.2857142857142857</v>
      </c>
      <c r="G42" s="49">
        <f>AVERAGE('17.10 MITYANA-BUSUNJU'!G42,'23.10 MITYANA-BUSUNJU '!G42,'20.10  BUSUNJU-MITYANA'!G42,'21.10 MITYANA-BUSUNJU '!G42,'19.10 MITYANA-BUSUNJU 24hr'!G42,'19.10 BUSUNJU-MITYANA 24hr'!G42,'22.10 MITYANA-BUSUNJU '!G42)</f>
        <v>0</v>
      </c>
      <c r="H42" s="49">
        <f>AVERAGE('17.10 MITYANA-BUSUNJU'!H42,'23.10 MITYANA-BUSUNJU '!H42,'20.10  BUSUNJU-MITYANA'!H42,'21.10 MITYANA-BUSUNJU '!H42,'19.10 MITYANA-BUSUNJU 24hr'!H42,'19.10 BUSUNJU-MITYANA 24hr'!H42,'22.10 MITYANA-BUSUNJU '!H42)</f>
        <v>0.14285714285714285</v>
      </c>
      <c r="I42" s="49">
        <f>AVERAGE('17.10 MITYANA-BUSUNJU'!I42,'23.10 MITYANA-BUSUNJU '!I42,'20.10  BUSUNJU-MITYANA'!I42,'21.10 MITYANA-BUSUNJU '!I42,'19.10 MITYANA-BUSUNJU 24hr'!I42,'19.10 BUSUNJU-MITYANA 24hr'!I42,'22.10 MITYANA-BUSUNJU '!I42)</f>
        <v>0.5714285714285714</v>
      </c>
      <c r="J42" s="49">
        <f>AVERAGE('17.10 MITYANA-BUSUNJU'!J42,'23.10 MITYANA-BUSUNJU '!J42,'20.10  BUSUNJU-MITYANA'!J42,'21.10 MITYANA-BUSUNJU '!J42,'19.10 MITYANA-BUSUNJU 24hr'!J42,'19.10 BUSUNJU-MITYANA 24hr'!J42,'22.10 MITYANA-BUSUNJU '!J42)</f>
        <v>0</v>
      </c>
      <c r="K42" s="49">
        <f>AVERAGE('17.10 MITYANA-BUSUNJU'!K42,'23.10 MITYANA-BUSUNJU '!K42,'20.10  BUSUNJU-MITYANA'!K42,'21.10 MITYANA-BUSUNJU '!K42,'19.10 MITYANA-BUSUNJU 24hr'!K42,'19.10 BUSUNJU-MITYANA 24hr'!K42,'22.10 MITYANA-BUSUNJU '!K42)</f>
        <v>0.14285714285714285</v>
      </c>
      <c r="L42" s="49">
        <f>AVERAGE('17.10 MITYANA-BUSUNJU'!L42,'23.10 MITYANA-BUSUNJU '!L42,'20.10  BUSUNJU-MITYANA'!L42,'21.10 MITYANA-BUSUNJU '!L42,'19.10 MITYANA-BUSUNJU 24hr'!L42,'19.10 BUSUNJU-MITYANA 24hr'!L42,'22.10 MITYANA-BUSUNJU '!L42)</f>
        <v>0</v>
      </c>
      <c r="M42" s="49">
        <f>AVERAGE('17.10 MITYANA-BUSUNJU'!M42,'23.10 MITYANA-BUSUNJU '!M42,'20.10  BUSUNJU-MITYANA'!M42,'21.10 MITYANA-BUSUNJU '!M42,'19.10 MITYANA-BUSUNJU 24hr'!M42,'19.10 BUSUNJU-MITYANA 24hr'!M42,'22.10 MITYANA-BUSUNJU '!M42)</f>
        <v>13.714285714285714</v>
      </c>
      <c r="N42" s="49">
        <f>AVERAGE('17.10 MITYANA-BUSUNJU'!N42,'23.10 MITYANA-BUSUNJU '!N42,'20.10  BUSUNJU-MITYANA'!N42,'21.10 MITYANA-BUSUNJU '!N42,'19.10 MITYANA-BUSUNJU 24hr'!N42,'19.10 BUSUNJU-MITYANA 24hr'!N42,'22.10 MITYANA-BUSUNJU '!N42)</f>
        <v>0</v>
      </c>
      <c r="O42" s="15">
        <f t="shared" si="0"/>
        <v>2.2857142857142851</v>
      </c>
      <c r="P42" s="15">
        <f t="shared" si="1"/>
        <v>15.999999999999998</v>
      </c>
      <c r="R42" s="5" t="s">
        <v>160</v>
      </c>
      <c r="S42" s="48">
        <f>S41/S40</f>
        <v>1.6428571428571428</v>
      </c>
      <c r="T42" s="48">
        <f t="shared" ref="T42:AF42" si="34">T41/T40</f>
        <v>1.8417721518987342</v>
      </c>
      <c r="U42" s="48">
        <f t="shared" si="34"/>
        <v>1.6913580246913582</v>
      </c>
      <c r="V42" s="48">
        <f t="shared" si="34"/>
        <v>1.5326086956521738</v>
      </c>
      <c r="W42" s="48">
        <f t="shared" si="34"/>
        <v>2.5000000000000004</v>
      </c>
      <c r="X42" s="48">
        <f t="shared" si="34"/>
        <v>1</v>
      </c>
      <c r="Y42" s="48">
        <f t="shared" si="34"/>
        <v>1.5511811023622046</v>
      </c>
      <c r="Z42" s="48">
        <f t="shared" si="34"/>
        <v>2.6704545454545459</v>
      </c>
      <c r="AA42" s="48">
        <f t="shared" si="34"/>
        <v>4.5000000000000009</v>
      </c>
      <c r="AB42" s="48">
        <f t="shared" si="34"/>
        <v>30.749999999999996</v>
      </c>
      <c r="AC42" s="48">
        <f t="shared" si="34"/>
        <v>1.3046279253221142</v>
      </c>
      <c r="AD42" s="48" t="e">
        <f t="shared" si="34"/>
        <v>#DIV/0!</v>
      </c>
      <c r="AE42" s="62">
        <f t="shared" si="34"/>
        <v>1.8560371517027865</v>
      </c>
      <c r="AF42" s="62">
        <f t="shared" si="34"/>
        <v>1.3846931894807823</v>
      </c>
    </row>
    <row r="43" spans="2:32" ht="23.1" customHeight="1" x14ac:dyDescent="0.25">
      <c r="B43" s="23" t="s">
        <v>70</v>
      </c>
      <c r="C43" s="49">
        <f>AVERAGE('17.10 MITYANA-BUSUNJU'!C43,'23.10 MITYANA-BUSUNJU '!C43,'20.10  BUSUNJU-MITYANA'!C43,'21.10 MITYANA-BUSUNJU '!C43,'19.10 MITYANA-BUSUNJU 24hr'!C43,'19.10 BUSUNJU-MITYANA 24hr'!C43,'22.10 MITYANA-BUSUNJU '!C43)</f>
        <v>0.8571428571428571</v>
      </c>
      <c r="D43" s="49">
        <f>AVERAGE('17.10 MITYANA-BUSUNJU'!D43,'23.10 MITYANA-BUSUNJU '!D43,'20.10  BUSUNJU-MITYANA'!D43,'21.10 MITYANA-BUSUNJU '!D43,'19.10 MITYANA-BUSUNJU 24hr'!D43,'19.10 BUSUNJU-MITYANA 24hr'!D43,'22.10 MITYANA-BUSUNJU '!D43)</f>
        <v>0</v>
      </c>
      <c r="E43" s="49">
        <f>AVERAGE('17.10 MITYANA-BUSUNJU'!E43,'23.10 MITYANA-BUSUNJU '!E43,'20.10  BUSUNJU-MITYANA'!E43,'21.10 MITYANA-BUSUNJU '!E43,'19.10 MITYANA-BUSUNJU 24hr'!E43,'19.10 BUSUNJU-MITYANA 24hr'!E43,'22.10 MITYANA-BUSUNJU '!E43)</f>
        <v>0.14285714285714285</v>
      </c>
      <c r="F43" s="49">
        <f>AVERAGE('17.10 MITYANA-BUSUNJU'!F43,'23.10 MITYANA-BUSUNJU '!F43,'20.10  BUSUNJU-MITYANA'!F43,'21.10 MITYANA-BUSUNJU '!F43,'19.10 MITYANA-BUSUNJU 24hr'!F43,'19.10 BUSUNJU-MITYANA 24hr'!F43,'22.10 MITYANA-BUSUNJU '!F43)</f>
        <v>0.14285714285714285</v>
      </c>
      <c r="G43" s="49">
        <f>AVERAGE('17.10 MITYANA-BUSUNJU'!G43,'23.10 MITYANA-BUSUNJU '!G43,'20.10  BUSUNJU-MITYANA'!G43,'21.10 MITYANA-BUSUNJU '!G43,'19.10 MITYANA-BUSUNJU 24hr'!G43,'19.10 BUSUNJU-MITYANA 24hr'!G43,'22.10 MITYANA-BUSUNJU '!G43)</f>
        <v>0</v>
      </c>
      <c r="H43" s="49">
        <f>AVERAGE('17.10 MITYANA-BUSUNJU'!H43,'23.10 MITYANA-BUSUNJU '!H43,'20.10  BUSUNJU-MITYANA'!H43,'21.10 MITYANA-BUSUNJU '!H43,'19.10 MITYANA-BUSUNJU 24hr'!H43,'19.10 BUSUNJU-MITYANA 24hr'!H43,'22.10 MITYANA-BUSUNJU '!H43)</f>
        <v>0</v>
      </c>
      <c r="I43" s="49">
        <f>AVERAGE('17.10 MITYANA-BUSUNJU'!I43,'23.10 MITYANA-BUSUNJU '!I43,'20.10  BUSUNJU-MITYANA'!I43,'21.10 MITYANA-BUSUNJU '!I43,'19.10 MITYANA-BUSUNJU 24hr'!I43,'19.10 BUSUNJU-MITYANA 24hr'!I43,'22.10 MITYANA-BUSUNJU '!I43)</f>
        <v>0.42857142857142855</v>
      </c>
      <c r="J43" s="49">
        <f>AVERAGE('17.10 MITYANA-BUSUNJU'!J43,'23.10 MITYANA-BUSUNJU '!J43,'20.10  BUSUNJU-MITYANA'!J43,'21.10 MITYANA-BUSUNJU '!J43,'19.10 MITYANA-BUSUNJU 24hr'!J43,'19.10 BUSUNJU-MITYANA 24hr'!J43,'22.10 MITYANA-BUSUNJU '!J43)</f>
        <v>0.14285714285714285</v>
      </c>
      <c r="K43" s="49">
        <f>AVERAGE('17.10 MITYANA-BUSUNJU'!K43,'23.10 MITYANA-BUSUNJU '!K43,'20.10  BUSUNJU-MITYANA'!K43,'21.10 MITYANA-BUSUNJU '!K43,'19.10 MITYANA-BUSUNJU 24hr'!K43,'19.10 BUSUNJU-MITYANA 24hr'!K43,'22.10 MITYANA-BUSUNJU '!K43)</f>
        <v>0.14285714285714285</v>
      </c>
      <c r="L43" s="49">
        <f>AVERAGE('17.10 MITYANA-BUSUNJU'!L43,'23.10 MITYANA-BUSUNJU '!L43,'20.10  BUSUNJU-MITYANA'!L43,'21.10 MITYANA-BUSUNJU '!L43,'19.10 MITYANA-BUSUNJU 24hr'!L43,'19.10 BUSUNJU-MITYANA 24hr'!L43,'22.10 MITYANA-BUSUNJU '!L43)</f>
        <v>0</v>
      </c>
      <c r="M43" s="49">
        <f>AVERAGE('17.10 MITYANA-BUSUNJU'!M43,'23.10 MITYANA-BUSUNJU '!M43,'20.10  BUSUNJU-MITYANA'!M43,'21.10 MITYANA-BUSUNJU '!M43,'19.10 MITYANA-BUSUNJU 24hr'!M43,'19.10 BUSUNJU-MITYANA 24hr'!M43,'22.10 MITYANA-BUSUNJU '!M43)</f>
        <v>14</v>
      </c>
      <c r="N43" s="49">
        <f>AVERAGE('17.10 MITYANA-BUSUNJU'!N43,'23.10 MITYANA-BUSUNJU '!N43,'20.10  BUSUNJU-MITYANA'!N43,'21.10 MITYANA-BUSUNJU '!N43,'19.10 MITYANA-BUSUNJU 24hr'!N43,'19.10 BUSUNJU-MITYANA 24hr'!N43,'22.10 MITYANA-BUSUNJU '!N43)</f>
        <v>0</v>
      </c>
      <c r="O43" s="15">
        <f t="shared" si="0"/>
        <v>1.857142857142857</v>
      </c>
      <c r="P43" s="15">
        <f t="shared" si="1"/>
        <v>15.857142857142858</v>
      </c>
    </row>
    <row r="44" spans="2:32" ht="23.1" customHeight="1" x14ac:dyDescent="0.25">
      <c r="B44" s="25" t="s">
        <v>71</v>
      </c>
      <c r="C44" s="49">
        <f>AVERAGE('17.10 MITYANA-BUSUNJU'!C44,'23.10 MITYANA-BUSUNJU '!C44,'20.10  BUSUNJU-MITYANA'!C44,'21.10 MITYANA-BUSUNJU '!C44,'19.10 MITYANA-BUSUNJU 24hr'!C44,'19.10 BUSUNJU-MITYANA 24hr'!C44,'22.10 MITYANA-BUSUNJU '!C44)</f>
        <v>1.4285714285714286</v>
      </c>
      <c r="D44" s="49">
        <f>AVERAGE('17.10 MITYANA-BUSUNJU'!D44,'23.10 MITYANA-BUSUNJU '!D44,'20.10  BUSUNJU-MITYANA'!D44,'21.10 MITYANA-BUSUNJU '!D44,'19.10 MITYANA-BUSUNJU 24hr'!D44,'19.10 BUSUNJU-MITYANA 24hr'!D44,'22.10 MITYANA-BUSUNJU '!D44)</f>
        <v>0.2857142857142857</v>
      </c>
      <c r="E44" s="49">
        <f>AVERAGE('17.10 MITYANA-BUSUNJU'!E44,'23.10 MITYANA-BUSUNJU '!E44,'20.10  BUSUNJU-MITYANA'!E44,'21.10 MITYANA-BUSUNJU '!E44,'19.10 MITYANA-BUSUNJU 24hr'!E44,'19.10 BUSUNJU-MITYANA 24hr'!E44,'22.10 MITYANA-BUSUNJU '!E44)</f>
        <v>0.14285714285714285</v>
      </c>
      <c r="F44" s="49">
        <f>AVERAGE('17.10 MITYANA-BUSUNJU'!F44,'23.10 MITYANA-BUSUNJU '!F44,'20.10  BUSUNJU-MITYANA'!F44,'21.10 MITYANA-BUSUNJU '!F44,'19.10 MITYANA-BUSUNJU 24hr'!F44,'19.10 BUSUNJU-MITYANA 24hr'!F44,'22.10 MITYANA-BUSUNJU '!F44)</f>
        <v>0.14285714285714285</v>
      </c>
      <c r="G44" s="49">
        <f>AVERAGE('17.10 MITYANA-BUSUNJU'!G44,'23.10 MITYANA-BUSUNJU '!G44,'20.10  BUSUNJU-MITYANA'!G44,'21.10 MITYANA-BUSUNJU '!G44,'19.10 MITYANA-BUSUNJU 24hr'!G44,'19.10 BUSUNJU-MITYANA 24hr'!G44,'22.10 MITYANA-BUSUNJU '!G44)</f>
        <v>0</v>
      </c>
      <c r="H44" s="49">
        <f>AVERAGE('17.10 MITYANA-BUSUNJU'!H44,'23.10 MITYANA-BUSUNJU '!H44,'20.10  BUSUNJU-MITYANA'!H44,'21.10 MITYANA-BUSUNJU '!H44,'19.10 MITYANA-BUSUNJU 24hr'!H44,'19.10 BUSUNJU-MITYANA 24hr'!H44,'22.10 MITYANA-BUSUNJU '!H44)</f>
        <v>0</v>
      </c>
      <c r="I44" s="49">
        <f>AVERAGE('17.10 MITYANA-BUSUNJU'!I44,'23.10 MITYANA-BUSUNJU '!I44,'20.10  BUSUNJU-MITYANA'!I44,'21.10 MITYANA-BUSUNJU '!I44,'19.10 MITYANA-BUSUNJU 24hr'!I44,'19.10 BUSUNJU-MITYANA 24hr'!I44,'22.10 MITYANA-BUSUNJU '!I44)</f>
        <v>0</v>
      </c>
      <c r="J44" s="49">
        <f>AVERAGE('17.10 MITYANA-BUSUNJU'!J44,'23.10 MITYANA-BUSUNJU '!J44,'20.10  BUSUNJU-MITYANA'!J44,'21.10 MITYANA-BUSUNJU '!J44,'19.10 MITYANA-BUSUNJU 24hr'!J44,'19.10 BUSUNJU-MITYANA 24hr'!J44,'22.10 MITYANA-BUSUNJU '!J44)</f>
        <v>0.14285714285714285</v>
      </c>
      <c r="K44" s="49">
        <f>AVERAGE('17.10 MITYANA-BUSUNJU'!K44,'23.10 MITYANA-BUSUNJU '!K44,'20.10  BUSUNJU-MITYANA'!K44,'21.10 MITYANA-BUSUNJU '!K44,'19.10 MITYANA-BUSUNJU 24hr'!K44,'19.10 BUSUNJU-MITYANA 24hr'!K44,'22.10 MITYANA-BUSUNJU '!K44)</f>
        <v>0</v>
      </c>
      <c r="L44" s="49">
        <f>AVERAGE('17.10 MITYANA-BUSUNJU'!L44,'23.10 MITYANA-BUSUNJU '!L44,'20.10  BUSUNJU-MITYANA'!L44,'21.10 MITYANA-BUSUNJU '!L44,'19.10 MITYANA-BUSUNJU 24hr'!L44,'19.10 BUSUNJU-MITYANA 24hr'!L44,'22.10 MITYANA-BUSUNJU '!L44)</f>
        <v>0</v>
      </c>
      <c r="M44" s="49">
        <f>AVERAGE('17.10 MITYANA-BUSUNJU'!M44,'23.10 MITYANA-BUSUNJU '!M44,'20.10  BUSUNJU-MITYANA'!M44,'21.10 MITYANA-BUSUNJU '!M44,'19.10 MITYANA-BUSUNJU 24hr'!M44,'19.10 BUSUNJU-MITYANA 24hr'!M44,'22.10 MITYANA-BUSUNJU '!M44)</f>
        <v>11.857142857142858</v>
      </c>
      <c r="N44" s="49">
        <f>AVERAGE('17.10 MITYANA-BUSUNJU'!N44,'23.10 MITYANA-BUSUNJU '!N44,'20.10  BUSUNJU-MITYANA'!N44,'21.10 MITYANA-BUSUNJU '!N44,'19.10 MITYANA-BUSUNJU 24hr'!N44,'19.10 BUSUNJU-MITYANA 24hr'!N44,'22.10 MITYANA-BUSUNJU '!N44)</f>
        <v>0</v>
      </c>
      <c r="O44" s="15">
        <f t="shared" si="0"/>
        <v>2.1428571428571428</v>
      </c>
      <c r="P44" s="15">
        <f t="shared" si="1"/>
        <v>14</v>
      </c>
    </row>
    <row r="45" spans="2:32" ht="23.1" customHeight="1" x14ac:dyDescent="0.25">
      <c r="B45" s="23" t="s">
        <v>72</v>
      </c>
      <c r="C45" s="49">
        <f>AVERAGE('17.10 MITYANA-BUSUNJU'!C45,'23.10 MITYANA-BUSUNJU '!C45,'20.10  BUSUNJU-MITYANA'!C45,'21.10 MITYANA-BUSUNJU '!C45,'19.10 MITYANA-BUSUNJU 24hr'!C45,'19.10 BUSUNJU-MITYANA 24hr'!C45,'22.10 MITYANA-BUSUNJU '!C45)</f>
        <v>1</v>
      </c>
      <c r="D45" s="49">
        <f>AVERAGE('17.10 MITYANA-BUSUNJU'!D45,'23.10 MITYANA-BUSUNJU '!D45,'20.10  BUSUNJU-MITYANA'!D45,'21.10 MITYANA-BUSUNJU '!D45,'19.10 MITYANA-BUSUNJU 24hr'!D45,'19.10 BUSUNJU-MITYANA 24hr'!D45,'22.10 MITYANA-BUSUNJU '!D45)</f>
        <v>0</v>
      </c>
      <c r="E45" s="49">
        <f>AVERAGE('17.10 MITYANA-BUSUNJU'!E45,'23.10 MITYANA-BUSUNJU '!E45,'20.10  BUSUNJU-MITYANA'!E45,'21.10 MITYANA-BUSUNJU '!E45,'19.10 MITYANA-BUSUNJU 24hr'!E45,'19.10 BUSUNJU-MITYANA 24hr'!E45,'22.10 MITYANA-BUSUNJU '!E45)</f>
        <v>0.2857142857142857</v>
      </c>
      <c r="F45" s="49">
        <f>AVERAGE('17.10 MITYANA-BUSUNJU'!F45,'23.10 MITYANA-BUSUNJU '!F45,'20.10  BUSUNJU-MITYANA'!F45,'21.10 MITYANA-BUSUNJU '!F45,'19.10 MITYANA-BUSUNJU 24hr'!F45,'19.10 BUSUNJU-MITYANA 24hr'!F45,'22.10 MITYANA-BUSUNJU '!F45)</f>
        <v>0.14285714285714285</v>
      </c>
      <c r="G45" s="49">
        <f>AVERAGE('17.10 MITYANA-BUSUNJU'!G45,'23.10 MITYANA-BUSUNJU '!G45,'20.10  BUSUNJU-MITYANA'!G45,'21.10 MITYANA-BUSUNJU '!G45,'19.10 MITYANA-BUSUNJU 24hr'!G45,'19.10 BUSUNJU-MITYANA 24hr'!G45,'22.10 MITYANA-BUSUNJU '!G45)</f>
        <v>0</v>
      </c>
      <c r="H45" s="49">
        <f>AVERAGE('17.10 MITYANA-BUSUNJU'!H45,'23.10 MITYANA-BUSUNJU '!H45,'20.10  BUSUNJU-MITYANA'!H45,'21.10 MITYANA-BUSUNJU '!H45,'19.10 MITYANA-BUSUNJU 24hr'!H45,'19.10 BUSUNJU-MITYANA 24hr'!H45,'22.10 MITYANA-BUSUNJU '!H45)</f>
        <v>0</v>
      </c>
      <c r="I45" s="49">
        <f>AVERAGE('17.10 MITYANA-BUSUNJU'!I45,'23.10 MITYANA-BUSUNJU '!I45,'20.10  BUSUNJU-MITYANA'!I45,'21.10 MITYANA-BUSUNJU '!I45,'19.10 MITYANA-BUSUNJU 24hr'!I45,'19.10 BUSUNJU-MITYANA 24hr'!I45,'22.10 MITYANA-BUSUNJU '!I45)</f>
        <v>0.7142857142857143</v>
      </c>
      <c r="J45" s="49">
        <f>AVERAGE('17.10 MITYANA-BUSUNJU'!J45,'23.10 MITYANA-BUSUNJU '!J45,'20.10  BUSUNJU-MITYANA'!J45,'21.10 MITYANA-BUSUNJU '!J45,'19.10 MITYANA-BUSUNJU 24hr'!J45,'19.10 BUSUNJU-MITYANA 24hr'!J45,'22.10 MITYANA-BUSUNJU '!J45)</f>
        <v>0.14285714285714285</v>
      </c>
      <c r="K45" s="49">
        <f>AVERAGE('17.10 MITYANA-BUSUNJU'!K45,'23.10 MITYANA-BUSUNJU '!K45,'20.10  BUSUNJU-MITYANA'!K45,'21.10 MITYANA-BUSUNJU '!K45,'19.10 MITYANA-BUSUNJU 24hr'!K45,'19.10 BUSUNJU-MITYANA 24hr'!K45,'22.10 MITYANA-BUSUNJU '!K45)</f>
        <v>0</v>
      </c>
      <c r="L45" s="49">
        <f>AVERAGE('17.10 MITYANA-BUSUNJU'!L45,'23.10 MITYANA-BUSUNJU '!L45,'20.10  BUSUNJU-MITYANA'!L45,'21.10 MITYANA-BUSUNJU '!L45,'19.10 MITYANA-BUSUNJU 24hr'!L45,'19.10 BUSUNJU-MITYANA 24hr'!L45,'22.10 MITYANA-BUSUNJU '!L45)</f>
        <v>0</v>
      </c>
      <c r="M45" s="49">
        <f>AVERAGE('17.10 MITYANA-BUSUNJU'!M45,'23.10 MITYANA-BUSUNJU '!M45,'20.10  BUSUNJU-MITYANA'!M45,'21.10 MITYANA-BUSUNJU '!M45,'19.10 MITYANA-BUSUNJU 24hr'!M45,'19.10 BUSUNJU-MITYANA 24hr'!M45,'22.10 MITYANA-BUSUNJU '!M45)</f>
        <v>15.714285714285714</v>
      </c>
      <c r="N45" s="49">
        <f>AVERAGE('17.10 MITYANA-BUSUNJU'!N45,'23.10 MITYANA-BUSUNJU '!N45,'20.10  BUSUNJU-MITYANA'!N45,'21.10 MITYANA-BUSUNJU '!N45,'19.10 MITYANA-BUSUNJU 24hr'!N45,'19.10 BUSUNJU-MITYANA 24hr'!N45,'22.10 MITYANA-BUSUNJU '!N45)</f>
        <v>0</v>
      </c>
      <c r="O45" s="15">
        <f t="shared" si="0"/>
        <v>2.2857142857142856</v>
      </c>
      <c r="P45" s="15">
        <f t="shared" si="1"/>
        <v>18</v>
      </c>
    </row>
    <row r="46" spans="2:32" ht="23.1" customHeight="1" x14ac:dyDescent="0.25">
      <c r="B46" s="24" t="s">
        <v>73</v>
      </c>
      <c r="C46" s="49">
        <f>AVERAGE('17.10 MITYANA-BUSUNJU'!C46,'23.10 MITYANA-BUSUNJU '!C46,'20.10  BUSUNJU-MITYANA'!C46,'21.10 MITYANA-BUSUNJU '!C46,'19.10 MITYANA-BUSUNJU 24hr'!C46,'19.10 BUSUNJU-MITYANA 24hr'!C46,'22.10 MITYANA-BUSUNJU '!C46)</f>
        <v>0.5714285714285714</v>
      </c>
      <c r="D46" s="49">
        <f>AVERAGE('17.10 MITYANA-BUSUNJU'!D46,'23.10 MITYANA-BUSUNJU '!D46,'20.10  BUSUNJU-MITYANA'!D46,'21.10 MITYANA-BUSUNJU '!D46,'19.10 MITYANA-BUSUNJU 24hr'!D46,'19.10 BUSUNJU-MITYANA 24hr'!D46,'22.10 MITYANA-BUSUNJU '!D46)</f>
        <v>0.14285714285714285</v>
      </c>
      <c r="E46" s="49">
        <f>AVERAGE('17.10 MITYANA-BUSUNJU'!E46,'23.10 MITYANA-BUSUNJU '!E46,'20.10  BUSUNJU-MITYANA'!E46,'21.10 MITYANA-BUSUNJU '!E46,'19.10 MITYANA-BUSUNJU 24hr'!E46,'19.10 BUSUNJU-MITYANA 24hr'!E46,'22.10 MITYANA-BUSUNJU '!E46)</f>
        <v>0.14285714285714285</v>
      </c>
      <c r="F46" s="49">
        <f>AVERAGE('17.10 MITYANA-BUSUNJU'!F46,'23.10 MITYANA-BUSUNJU '!F46,'20.10  BUSUNJU-MITYANA'!F46,'21.10 MITYANA-BUSUNJU '!F46,'19.10 MITYANA-BUSUNJU 24hr'!F46,'19.10 BUSUNJU-MITYANA 24hr'!F46,'22.10 MITYANA-BUSUNJU '!F46)</f>
        <v>0</v>
      </c>
      <c r="G46" s="49">
        <f>AVERAGE('17.10 MITYANA-BUSUNJU'!G46,'23.10 MITYANA-BUSUNJU '!G46,'20.10  BUSUNJU-MITYANA'!G46,'21.10 MITYANA-BUSUNJU '!G46,'19.10 MITYANA-BUSUNJU 24hr'!G46,'19.10 BUSUNJU-MITYANA 24hr'!G46,'22.10 MITYANA-BUSUNJU '!G46)</f>
        <v>0</v>
      </c>
      <c r="H46" s="49">
        <f>AVERAGE('17.10 MITYANA-BUSUNJU'!H46,'23.10 MITYANA-BUSUNJU '!H46,'20.10  BUSUNJU-MITYANA'!H46,'21.10 MITYANA-BUSUNJU '!H46,'19.10 MITYANA-BUSUNJU 24hr'!H46,'19.10 BUSUNJU-MITYANA 24hr'!H46,'22.10 MITYANA-BUSUNJU '!H46)</f>
        <v>0</v>
      </c>
      <c r="I46" s="49">
        <f>AVERAGE('17.10 MITYANA-BUSUNJU'!I46,'23.10 MITYANA-BUSUNJU '!I46,'20.10  BUSUNJU-MITYANA'!I46,'21.10 MITYANA-BUSUNJU '!I46,'19.10 MITYANA-BUSUNJU 24hr'!I46,'19.10 BUSUNJU-MITYANA 24hr'!I46,'22.10 MITYANA-BUSUNJU '!I46)</f>
        <v>0.42857142857142855</v>
      </c>
      <c r="J46" s="49">
        <f>AVERAGE('17.10 MITYANA-BUSUNJU'!J46,'23.10 MITYANA-BUSUNJU '!J46,'20.10  BUSUNJU-MITYANA'!J46,'21.10 MITYANA-BUSUNJU '!J46,'19.10 MITYANA-BUSUNJU 24hr'!J46,'19.10 BUSUNJU-MITYANA 24hr'!J46,'22.10 MITYANA-BUSUNJU '!J46)</f>
        <v>0</v>
      </c>
      <c r="K46" s="49">
        <f>AVERAGE('17.10 MITYANA-BUSUNJU'!K46,'23.10 MITYANA-BUSUNJU '!K46,'20.10  BUSUNJU-MITYANA'!K46,'21.10 MITYANA-BUSUNJU '!K46,'19.10 MITYANA-BUSUNJU 24hr'!K46,'19.10 BUSUNJU-MITYANA 24hr'!K46,'22.10 MITYANA-BUSUNJU '!K46)</f>
        <v>0</v>
      </c>
      <c r="L46" s="49">
        <f>AVERAGE('17.10 MITYANA-BUSUNJU'!L46,'23.10 MITYANA-BUSUNJU '!L46,'20.10  BUSUNJU-MITYANA'!L46,'21.10 MITYANA-BUSUNJU '!L46,'19.10 MITYANA-BUSUNJU 24hr'!L46,'19.10 BUSUNJU-MITYANA 24hr'!L46,'22.10 MITYANA-BUSUNJU '!L46)</f>
        <v>0</v>
      </c>
      <c r="M46" s="49">
        <f>AVERAGE('17.10 MITYANA-BUSUNJU'!M46,'23.10 MITYANA-BUSUNJU '!M46,'20.10  BUSUNJU-MITYANA'!M46,'21.10 MITYANA-BUSUNJU '!M46,'19.10 MITYANA-BUSUNJU 24hr'!M46,'19.10 BUSUNJU-MITYANA 24hr'!M46,'22.10 MITYANA-BUSUNJU '!M46)</f>
        <v>12.285714285714286</v>
      </c>
      <c r="N46" s="49">
        <f>AVERAGE('17.10 MITYANA-BUSUNJU'!N46,'23.10 MITYANA-BUSUNJU '!N46,'20.10  BUSUNJU-MITYANA'!N46,'21.10 MITYANA-BUSUNJU '!N46,'19.10 MITYANA-BUSUNJU 24hr'!N46,'19.10 BUSUNJU-MITYANA 24hr'!N46,'22.10 MITYANA-BUSUNJU '!N46)</f>
        <v>0</v>
      </c>
      <c r="O46" s="15">
        <f t="shared" si="0"/>
        <v>1.2857142857142856</v>
      </c>
      <c r="P46" s="15">
        <f t="shared" si="1"/>
        <v>13.571428571428573</v>
      </c>
      <c r="R46" s="8"/>
      <c r="T46"/>
    </row>
    <row r="47" spans="2:32" ht="23.1" customHeight="1" x14ac:dyDescent="0.25">
      <c r="B47" s="24" t="s">
        <v>74</v>
      </c>
      <c r="C47" s="49">
        <f>AVERAGE('17.10 MITYANA-BUSUNJU'!C47,'23.10 MITYANA-BUSUNJU '!C47,'20.10  BUSUNJU-MITYANA'!C47,'21.10 MITYANA-BUSUNJU '!C47,'19.10 MITYANA-BUSUNJU 24hr'!C47,'19.10 BUSUNJU-MITYANA 24hr'!C47,'22.10 MITYANA-BUSUNJU '!C47)</f>
        <v>0.8571428571428571</v>
      </c>
      <c r="D47" s="49">
        <f>AVERAGE('17.10 MITYANA-BUSUNJU'!D47,'23.10 MITYANA-BUSUNJU '!D47,'20.10  BUSUNJU-MITYANA'!D47,'21.10 MITYANA-BUSUNJU '!D47,'19.10 MITYANA-BUSUNJU 24hr'!D47,'19.10 BUSUNJU-MITYANA 24hr'!D47,'22.10 MITYANA-BUSUNJU '!D47)</f>
        <v>0.2857142857142857</v>
      </c>
      <c r="E47" s="49">
        <f>AVERAGE('17.10 MITYANA-BUSUNJU'!E47,'23.10 MITYANA-BUSUNJU '!E47,'20.10  BUSUNJU-MITYANA'!E47,'21.10 MITYANA-BUSUNJU '!E47,'19.10 MITYANA-BUSUNJU 24hr'!E47,'19.10 BUSUNJU-MITYANA 24hr'!E47,'22.10 MITYANA-BUSUNJU '!E47)</f>
        <v>0.14285714285714285</v>
      </c>
      <c r="F47" s="49">
        <f>AVERAGE('17.10 MITYANA-BUSUNJU'!F47,'23.10 MITYANA-BUSUNJU '!F47,'20.10  BUSUNJU-MITYANA'!F47,'21.10 MITYANA-BUSUNJU '!F47,'19.10 MITYANA-BUSUNJU 24hr'!F47,'19.10 BUSUNJU-MITYANA 24hr'!F47,'22.10 MITYANA-BUSUNJU '!F47)</f>
        <v>0.2857142857142857</v>
      </c>
      <c r="G47" s="49">
        <f>AVERAGE('17.10 MITYANA-BUSUNJU'!G47,'23.10 MITYANA-BUSUNJU '!G47,'20.10  BUSUNJU-MITYANA'!G47,'21.10 MITYANA-BUSUNJU '!G47,'19.10 MITYANA-BUSUNJU 24hr'!G47,'19.10 BUSUNJU-MITYANA 24hr'!G47,'22.10 MITYANA-BUSUNJU '!G47)</f>
        <v>0.2857142857142857</v>
      </c>
      <c r="H47" s="49">
        <f>AVERAGE('17.10 MITYANA-BUSUNJU'!H47,'23.10 MITYANA-BUSUNJU '!H47,'20.10  BUSUNJU-MITYANA'!H47,'21.10 MITYANA-BUSUNJU '!H47,'19.10 MITYANA-BUSUNJU 24hr'!H47,'19.10 BUSUNJU-MITYANA 24hr'!H47,'22.10 MITYANA-BUSUNJU '!H47)</f>
        <v>0</v>
      </c>
      <c r="I47" s="49">
        <f>AVERAGE('17.10 MITYANA-BUSUNJU'!I47,'23.10 MITYANA-BUSUNJU '!I47,'20.10  BUSUNJU-MITYANA'!I47,'21.10 MITYANA-BUSUNJU '!I47,'19.10 MITYANA-BUSUNJU 24hr'!I47,'19.10 BUSUNJU-MITYANA 24hr'!I47,'22.10 MITYANA-BUSUNJU '!I47)</f>
        <v>0.14285714285714285</v>
      </c>
      <c r="J47" s="49">
        <f>AVERAGE('17.10 MITYANA-BUSUNJU'!J47,'23.10 MITYANA-BUSUNJU '!J47,'20.10  BUSUNJU-MITYANA'!J47,'21.10 MITYANA-BUSUNJU '!J47,'19.10 MITYANA-BUSUNJU 24hr'!J47,'19.10 BUSUNJU-MITYANA 24hr'!J47,'22.10 MITYANA-BUSUNJU '!J47)</f>
        <v>0.14285714285714285</v>
      </c>
      <c r="K47" s="49">
        <f>AVERAGE('17.10 MITYANA-BUSUNJU'!K47,'23.10 MITYANA-BUSUNJU '!K47,'20.10  BUSUNJU-MITYANA'!K47,'21.10 MITYANA-BUSUNJU '!K47,'19.10 MITYANA-BUSUNJU 24hr'!K47,'19.10 BUSUNJU-MITYANA 24hr'!K47,'22.10 MITYANA-BUSUNJU '!K47)</f>
        <v>0</v>
      </c>
      <c r="L47" s="49">
        <f>AVERAGE('17.10 MITYANA-BUSUNJU'!L47,'23.10 MITYANA-BUSUNJU '!L47,'20.10  BUSUNJU-MITYANA'!L47,'21.10 MITYANA-BUSUNJU '!L47,'19.10 MITYANA-BUSUNJU 24hr'!L47,'19.10 BUSUNJU-MITYANA 24hr'!L47,'22.10 MITYANA-BUSUNJU '!L47)</f>
        <v>0</v>
      </c>
      <c r="M47" s="49">
        <f>AVERAGE('17.10 MITYANA-BUSUNJU'!M47,'23.10 MITYANA-BUSUNJU '!M47,'20.10  BUSUNJU-MITYANA'!M47,'21.10 MITYANA-BUSUNJU '!M47,'19.10 MITYANA-BUSUNJU 24hr'!M47,'19.10 BUSUNJU-MITYANA 24hr'!M47,'22.10 MITYANA-BUSUNJU '!M47)</f>
        <v>14.571428571428571</v>
      </c>
      <c r="N47" s="49">
        <f>AVERAGE('17.10 MITYANA-BUSUNJU'!N47,'23.10 MITYANA-BUSUNJU '!N47,'20.10  BUSUNJU-MITYANA'!N47,'21.10 MITYANA-BUSUNJU '!N47,'19.10 MITYANA-BUSUNJU 24hr'!N47,'19.10 BUSUNJU-MITYANA 24hr'!N47,'22.10 MITYANA-BUSUNJU '!N47)</f>
        <v>0</v>
      </c>
      <c r="O47" s="15">
        <f t="shared" si="0"/>
        <v>2.1428571428571423</v>
      </c>
      <c r="P47" s="15">
        <f t="shared" si="1"/>
        <v>16.714285714285715</v>
      </c>
      <c r="R47" s="8"/>
      <c r="T47"/>
    </row>
    <row r="48" spans="2:32" ht="23.1" customHeight="1" x14ac:dyDescent="0.25">
      <c r="B48" s="24" t="s">
        <v>75</v>
      </c>
      <c r="C48" s="49">
        <f>AVERAGE('17.10 MITYANA-BUSUNJU'!C48,'23.10 MITYANA-BUSUNJU '!C48,'20.10  BUSUNJU-MITYANA'!C48,'21.10 MITYANA-BUSUNJU '!C48,'19.10 MITYANA-BUSUNJU 24hr'!C48,'19.10 BUSUNJU-MITYANA 24hr'!C48,'22.10 MITYANA-BUSUNJU '!C48)</f>
        <v>0.14285714285714285</v>
      </c>
      <c r="D48" s="49">
        <f>AVERAGE('17.10 MITYANA-BUSUNJU'!D48,'23.10 MITYANA-BUSUNJU '!D48,'20.10  BUSUNJU-MITYANA'!D48,'21.10 MITYANA-BUSUNJU '!D48,'19.10 MITYANA-BUSUNJU 24hr'!D48,'19.10 BUSUNJU-MITYANA 24hr'!D48,'22.10 MITYANA-BUSUNJU '!D48)</f>
        <v>0.42857142857142855</v>
      </c>
      <c r="E48" s="49">
        <f>AVERAGE('17.10 MITYANA-BUSUNJU'!E48,'23.10 MITYANA-BUSUNJU '!E48,'20.10  BUSUNJU-MITYANA'!E48,'21.10 MITYANA-BUSUNJU '!E48,'19.10 MITYANA-BUSUNJU 24hr'!E48,'19.10 BUSUNJU-MITYANA 24hr'!E48,'22.10 MITYANA-BUSUNJU '!E48)</f>
        <v>0</v>
      </c>
      <c r="F48" s="49">
        <f>AVERAGE('17.10 MITYANA-BUSUNJU'!F48,'23.10 MITYANA-BUSUNJU '!F48,'20.10  BUSUNJU-MITYANA'!F48,'21.10 MITYANA-BUSUNJU '!F48,'19.10 MITYANA-BUSUNJU 24hr'!F48,'19.10 BUSUNJU-MITYANA 24hr'!F48,'22.10 MITYANA-BUSUNJU '!F48)</f>
        <v>0</v>
      </c>
      <c r="G48" s="49">
        <f>AVERAGE('17.10 MITYANA-BUSUNJU'!G48,'23.10 MITYANA-BUSUNJU '!G48,'20.10  BUSUNJU-MITYANA'!G48,'21.10 MITYANA-BUSUNJU '!G48,'19.10 MITYANA-BUSUNJU 24hr'!G48,'19.10 BUSUNJU-MITYANA 24hr'!G48,'22.10 MITYANA-BUSUNJU '!G48)</f>
        <v>0</v>
      </c>
      <c r="H48" s="49">
        <f>AVERAGE('17.10 MITYANA-BUSUNJU'!H48,'23.10 MITYANA-BUSUNJU '!H48,'20.10  BUSUNJU-MITYANA'!H48,'21.10 MITYANA-BUSUNJU '!H48,'19.10 MITYANA-BUSUNJU 24hr'!H48,'19.10 BUSUNJU-MITYANA 24hr'!H48,'22.10 MITYANA-BUSUNJU '!H48)</f>
        <v>0</v>
      </c>
      <c r="I48" s="49">
        <f>AVERAGE('17.10 MITYANA-BUSUNJU'!I48,'23.10 MITYANA-BUSUNJU '!I48,'20.10  BUSUNJU-MITYANA'!I48,'21.10 MITYANA-BUSUNJU '!I48,'19.10 MITYANA-BUSUNJU 24hr'!I48,'19.10 BUSUNJU-MITYANA 24hr'!I48,'22.10 MITYANA-BUSUNJU '!I48)</f>
        <v>0.7142857142857143</v>
      </c>
      <c r="J48" s="49">
        <f>AVERAGE('17.10 MITYANA-BUSUNJU'!J48,'23.10 MITYANA-BUSUNJU '!J48,'20.10  BUSUNJU-MITYANA'!J48,'21.10 MITYANA-BUSUNJU '!J48,'19.10 MITYANA-BUSUNJU 24hr'!J48,'19.10 BUSUNJU-MITYANA 24hr'!J48,'22.10 MITYANA-BUSUNJU '!J48)</f>
        <v>0.2857142857142857</v>
      </c>
      <c r="K48" s="49">
        <f>AVERAGE('17.10 MITYANA-BUSUNJU'!K48,'23.10 MITYANA-BUSUNJU '!K48,'20.10  BUSUNJU-MITYANA'!K48,'21.10 MITYANA-BUSUNJU '!K48,'19.10 MITYANA-BUSUNJU 24hr'!K48,'19.10 BUSUNJU-MITYANA 24hr'!K48,'22.10 MITYANA-BUSUNJU '!K48)</f>
        <v>0.14285714285714285</v>
      </c>
      <c r="L48" s="49">
        <f>AVERAGE('17.10 MITYANA-BUSUNJU'!L48,'23.10 MITYANA-BUSUNJU '!L48,'20.10  BUSUNJU-MITYANA'!L48,'21.10 MITYANA-BUSUNJU '!L48,'19.10 MITYANA-BUSUNJU 24hr'!L48,'19.10 BUSUNJU-MITYANA 24hr'!L48,'22.10 MITYANA-BUSUNJU '!L48)</f>
        <v>0</v>
      </c>
      <c r="M48" s="49">
        <f>AVERAGE('17.10 MITYANA-BUSUNJU'!M48,'23.10 MITYANA-BUSUNJU '!M48,'20.10  BUSUNJU-MITYANA'!M48,'21.10 MITYANA-BUSUNJU '!M48,'19.10 MITYANA-BUSUNJU 24hr'!M48,'19.10 BUSUNJU-MITYANA 24hr'!M48,'22.10 MITYANA-BUSUNJU '!M48)</f>
        <v>12.285714285714286</v>
      </c>
      <c r="N48" s="49">
        <f>AVERAGE('17.10 MITYANA-BUSUNJU'!N48,'23.10 MITYANA-BUSUNJU '!N48,'20.10  BUSUNJU-MITYANA'!N48,'21.10 MITYANA-BUSUNJU '!N48,'19.10 MITYANA-BUSUNJU 24hr'!N48,'19.10 BUSUNJU-MITYANA 24hr'!N48,'22.10 MITYANA-BUSUNJU '!N48)</f>
        <v>0</v>
      </c>
      <c r="O48" s="15">
        <f t="shared" si="0"/>
        <v>1.714285714285714</v>
      </c>
      <c r="P48" s="15">
        <f t="shared" si="1"/>
        <v>14</v>
      </c>
      <c r="R48" s="8"/>
      <c r="T48"/>
    </row>
    <row r="49" spans="2:20" ht="23.1" customHeight="1" x14ac:dyDescent="0.25">
      <c r="B49" s="23" t="s">
        <v>76</v>
      </c>
      <c r="C49" s="49">
        <f>AVERAGE('17.10 MITYANA-BUSUNJU'!C49,'23.10 MITYANA-BUSUNJU '!C49,'20.10  BUSUNJU-MITYANA'!C49,'21.10 MITYANA-BUSUNJU '!C49,'19.10 MITYANA-BUSUNJU 24hr'!C49,'19.10 BUSUNJU-MITYANA 24hr'!C49,'22.10 MITYANA-BUSUNJU '!C49)</f>
        <v>0.8571428571428571</v>
      </c>
      <c r="D49" s="49">
        <f>AVERAGE('17.10 MITYANA-BUSUNJU'!D49,'23.10 MITYANA-BUSUNJU '!D49,'20.10  BUSUNJU-MITYANA'!D49,'21.10 MITYANA-BUSUNJU '!D49,'19.10 MITYANA-BUSUNJU 24hr'!D49,'19.10 BUSUNJU-MITYANA 24hr'!D49,'22.10 MITYANA-BUSUNJU '!D49)</f>
        <v>0.5714285714285714</v>
      </c>
      <c r="E49" s="49">
        <f>AVERAGE('17.10 MITYANA-BUSUNJU'!E49,'23.10 MITYANA-BUSUNJU '!E49,'20.10  BUSUNJU-MITYANA'!E49,'21.10 MITYANA-BUSUNJU '!E49,'19.10 MITYANA-BUSUNJU 24hr'!E49,'19.10 BUSUNJU-MITYANA 24hr'!E49,'22.10 MITYANA-BUSUNJU '!E49)</f>
        <v>0.2857142857142857</v>
      </c>
      <c r="F49" s="49">
        <f>AVERAGE('17.10 MITYANA-BUSUNJU'!F49,'23.10 MITYANA-BUSUNJU '!F49,'20.10  BUSUNJU-MITYANA'!F49,'21.10 MITYANA-BUSUNJU '!F49,'19.10 MITYANA-BUSUNJU 24hr'!F49,'19.10 BUSUNJU-MITYANA 24hr'!F49,'22.10 MITYANA-BUSUNJU '!F49)</f>
        <v>0.14285714285714285</v>
      </c>
      <c r="G49" s="49">
        <f>AVERAGE('17.10 MITYANA-BUSUNJU'!G49,'23.10 MITYANA-BUSUNJU '!G49,'20.10  BUSUNJU-MITYANA'!G49,'21.10 MITYANA-BUSUNJU '!G49,'19.10 MITYANA-BUSUNJU 24hr'!G49,'19.10 BUSUNJU-MITYANA 24hr'!G49,'22.10 MITYANA-BUSUNJU '!G49)</f>
        <v>0</v>
      </c>
      <c r="H49" s="49">
        <f>AVERAGE('17.10 MITYANA-BUSUNJU'!H49,'23.10 MITYANA-BUSUNJU '!H49,'20.10  BUSUNJU-MITYANA'!H49,'21.10 MITYANA-BUSUNJU '!H49,'19.10 MITYANA-BUSUNJU 24hr'!H49,'19.10 BUSUNJU-MITYANA 24hr'!H49,'22.10 MITYANA-BUSUNJU '!H49)</f>
        <v>0</v>
      </c>
      <c r="I49" s="49">
        <f>AVERAGE('17.10 MITYANA-BUSUNJU'!I49,'23.10 MITYANA-BUSUNJU '!I49,'20.10  BUSUNJU-MITYANA'!I49,'21.10 MITYANA-BUSUNJU '!I49,'19.10 MITYANA-BUSUNJU 24hr'!I49,'19.10 BUSUNJU-MITYANA 24hr'!I49,'22.10 MITYANA-BUSUNJU '!I49)</f>
        <v>0.14285714285714285</v>
      </c>
      <c r="J49" s="49">
        <f>AVERAGE('17.10 MITYANA-BUSUNJU'!J49,'23.10 MITYANA-BUSUNJU '!J49,'20.10  BUSUNJU-MITYANA'!J49,'21.10 MITYANA-BUSUNJU '!J49,'19.10 MITYANA-BUSUNJU 24hr'!J49,'19.10 BUSUNJU-MITYANA 24hr'!J49,'22.10 MITYANA-BUSUNJU '!J49)</f>
        <v>0.2857142857142857</v>
      </c>
      <c r="K49" s="49">
        <f>AVERAGE('17.10 MITYANA-BUSUNJU'!K49,'23.10 MITYANA-BUSUNJU '!K49,'20.10  BUSUNJU-MITYANA'!K49,'21.10 MITYANA-BUSUNJU '!K49,'19.10 MITYANA-BUSUNJU 24hr'!K49,'19.10 BUSUNJU-MITYANA 24hr'!K49,'22.10 MITYANA-BUSUNJU '!K49)</f>
        <v>0</v>
      </c>
      <c r="L49" s="49">
        <f>AVERAGE('17.10 MITYANA-BUSUNJU'!L49,'23.10 MITYANA-BUSUNJU '!L49,'20.10  BUSUNJU-MITYANA'!L49,'21.10 MITYANA-BUSUNJU '!L49,'19.10 MITYANA-BUSUNJU 24hr'!L49,'19.10 BUSUNJU-MITYANA 24hr'!L49,'22.10 MITYANA-BUSUNJU '!L49)</f>
        <v>0</v>
      </c>
      <c r="M49" s="49">
        <f>AVERAGE('17.10 MITYANA-BUSUNJU'!M49,'23.10 MITYANA-BUSUNJU '!M49,'20.10  BUSUNJU-MITYANA'!M49,'21.10 MITYANA-BUSUNJU '!M49,'19.10 MITYANA-BUSUNJU 24hr'!M49,'19.10 BUSUNJU-MITYANA 24hr'!M49,'22.10 MITYANA-BUSUNJU '!M49)</f>
        <v>11.142857142857142</v>
      </c>
      <c r="N49" s="49">
        <f>AVERAGE('17.10 MITYANA-BUSUNJU'!N49,'23.10 MITYANA-BUSUNJU '!N49,'20.10  BUSUNJU-MITYANA'!N49,'21.10 MITYANA-BUSUNJU '!N49,'19.10 MITYANA-BUSUNJU 24hr'!N49,'19.10 BUSUNJU-MITYANA 24hr'!N49,'22.10 MITYANA-BUSUNJU '!N49)</f>
        <v>0</v>
      </c>
      <c r="O49" s="15">
        <f t="shared" si="0"/>
        <v>2.2857142857142851</v>
      </c>
      <c r="P49" s="15">
        <f t="shared" si="1"/>
        <v>13.428571428571427</v>
      </c>
      <c r="R49" s="8"/>
      <c r="T49"/>
    </row>
    <row r="50" spans="2:20" ht="23.1" customHeight="1" x14ac:dyDescent="0.25">
      <c r="B50" s="24" t="s">
        <v>77</v>
      </c>
      <c r="C50" s="49">
        <f>AVERAGE('17.10 MITYANA-BUSUNJU'!C50,'23.10 MITYANA-BUSUNJU '!C50,'20.10  BUSUNJU-MITYANA'!C50,'21.10 MITYANA-BUSUNJU '!C50,'19.10 MITYANA-BUSUNJU 24hr'!C50,'19.10 BUSUNJU-MITYANA 24hr'!C50,'22.10 MITYANA-BUSUNJU '!C50)</f>
        <v>1.1428571428571428</v>
      </c>
      <c r="D50" s="49">
        <f>AVERAGE('17.10 MITYANA-BUSUNJU'!D50,'23.10 MITYANA-BUSUNJU '!D50,'20.10  BUSUNJU-MITYANA'!D50,'21.10 MITYANA-BUSUNJU '!D50,'19.10 MITYANA-BUSUNJU 24hr'!D50,'19.10 BUSUNJU-MITYANA 24hr'!D50,'22.10 MITYANA-BUSUNJU '!D50)</f>
        <v>0.2857142857142857</v>
      </c>
      <c r="E50" s="49">
        <f>AVERAGE('17.10 MITYANA-BUSUNJU'!E50,'23.10 MITYANA-BUSUNJU '!E50,'20.10  BUSUNJU-MITYANA'!E50,'21.10 MITYANA-BUSUNJU '!E50,'19.10 MITYANA-BUSUNJU 24hr'!E50,'19.10 BUSUNJU-MITYANA 24hr'!E50,'22.10 MITYANA-BUSUNJU '!E50)</f>
        <v>0.14285714285714285</v>
      </c>
      <c r="F50" s="49">
        <f>AVERAGE('17.10 MITYANA-BUSUNJU'!F50,'23.10 MITYANA-BUSUNJU '!F50,'20.10  BUSUNJU-MITYANA'!F50,'21.10 MITYANA-BUSUNJU '!F50,'19.10 MITYANA-BUSUNJU 24hr'!F50,'19.10 BUSUNJU-MITYANA 24hr'!F50,'22.10 MITYANA-BUSUNJU '!F50)</f>
        <v>0.14285714285714285</v>
      </c>
      <c r="G50" s="49">
        <f>AVERAGE('17.10 MITYANA-BUSUNJU'!G50,'23.10 MITYANA-BUSUNJU '!G50,'20.10  BUSUNJU-MITYANA'!G50,'21.10 MITYANA-BUSUNJU '!G50,'19.10 MITYANA-BUSUNJU 24hr'!G50,'19.10 BUSUNJU-MITYANA 24hr'!G50,'22.10 MITYANA-BUSUNJU '!G50)</f>
        <v>0</v>
      </c>
      <c r="H50" s="49">
        <f>AVERAGE('17.10 MITYANA-BUSUNJU'!H50,'23.10 MITYANA-BUSUNJU '!H50,'20.10  BUSUNJU-MITYANA'!H50,'21.10 MITYANA-BUSUNJU '!H50,'19.10 MITYANA-BUSUNJU 24hr'!H50,'19.10 BUSUNJU-MITYANA 24hr'!H50,'22.10 MITYANA-BUSUNJU '!H50)</f>
        <v>0</v>
      </c>
      <c r="I50" s="49">
        <f>AVERAGE('17.10 MITYANA-BUSUNJU'!I50,'23.10 MITYANA-BUSUNJU '!I50,'20.10  BUSUNJU-MITYANA'!I50,'21.10 MITYANA-BUSUNJU '!I50,'19.10 MITYANA-BUSUNJU 24hr'!I50,'19.10 BUSUNJU-MITYANA 24hr'!I50,'22.10 MITYANA-BUSUNJU '!I50)</f>
        <v>0.14285714285714285</v>
      </c>
      <c r="J50" s="49">
        <f>AVERAGE('17.10 MITYANA-BUSUNJU'!J50,'23.10 MITYANA-BUSUNJU '!J50,'20.10  BUSUNJU-MITYANA'!J50,'21.10 MITYANA-BUSUNJU '!J50,'19.10 MITYANA-BUSUNJU 24hr'!J50,'19.10 BUSUNJU-MITYANA 24hr'!J50,'22.10 MITYANA-BUSUNJU '!J50)</f>
        <v>0.14285714285714285</v>
      </c>
      <c r="K50" s="49">
        <f>AVERAGE('17.10 MITYANA-BUSUNJU'!K50,'23.10 MITYANA-BUSUNJU '!K50,'20.10  BUSUNJU-MITYANA'!K50,'21.10 MITYANA-BUSUNJU '!K50,'19.10 MITYANA-BUSUNJU 24hr'!K50,'19.10 BUSUNJU-MITYANA 24hr'!K50,'22.10 MITYANA-BUSUNJU '!K50)</f>
        <v>0</v>
      </c>
      <c r="L50" s="49">
        <f>AVERAGE('17.10 MITYANA-BUSUNJU'!L50,'23.10 MITYANA-BUSUNJU '!L50,'20.10  BUSUNJU-MITYANA'!L50,'21.10 MITYANA-BUSUNJU '!L50,'19.10 MITYANA-BUSUNJU 24hr'!L50,'19.10 BUSUNJU-MITYANA 24hr'!L50,'22.10 MITYANA-BUSUNJU '!L50)</f>
        <v>0</v>
      </c>
      <c r="M50" s="49">
        <f>AVERAGE('17.10 MITYANA-BUSUNJU'!M50,'23.10 MITYANA-BUSUNJU '!M50,'20.10  BUSUNJU-MITYANA'!M50,'21.10 MITYANA-BUSUNJU '!M50,'19.10 MITYANA-BUSUNJU 24hr'!M50,'19.10 BUSUNJU-MITYANA 24hr'!M50,'22.10 MITYANA-BUSUNJU '!M50)</f>
        <v>14.428571428571429</v>
      </c>
      <c r="N50" s="49">
        <f>AVERAGE('17.10 MITYANA-BUSUNJU'!N50,'23.10 MITYANA-BUSUNJU '!N50,'20.10  BUSUNJU-MITYANA'!N50,'21.10 MITYANA-BUSUNJU '!N50,'19.10 MITYANA-BUSUNJU 24hr'!N50,'19.10 BUSUNJU-MITYANA 24hr'!N50,'22.10 MITYANA-BUSUNJU '!N50)</f>
        <v>0</v>
      </c>
      <c r="O50" s="15">
        <f t="shared" si="0"/>
        <v>1.9999999999999996</v>
      </c>
      <c r="P50" s="15">
        <f t="shared" si="1"/>
        <v>16.428571428571427</v>
      </c>
      <c r="R50" s="8"/>
      <c r="T50"/>
    </row>
    <row r="51" spans="2:20" ht="23.1" customHeight="1" x14ac:dyDescent="0.25">
      <c r="B51" s="24" t="s">
        <v>78</v>
      </c>
      <c r="C51" s="49">
        <f>AVERAGE('17.10 MITYANA-BUSUNJU'!C51,'23.10 MITYANA-BUSUNJU '!C51,'20.10  BUSUNJU-MITYANA'!C51,'21.10 MITYANA-BUSUNJU '!C51,'19.10 MITYANA-BUSUNJU 24hr'!C51,'19.10 BUSUNJU-MITYANA 24hr'!C51,'22.10 MITYANA-BUSUNJU '!C51)</f>
        <v>1.1428571428571428</v>
      </c>
      <c r="D51" s="49">
        <f>AVERAGE('17.10 MITYANA-BUSUNJU'!D51,'23.10 MITYANA-BUSUNJU '!D51,'20.10  BUSUNJU-MITYANA'!D51,'21.10 MITYANA-BUSUNJU '!D51,'19.10 MITYANA-BUSUNJU 24hr'!D51,'19.10 BUSUNJU-MITYANA 24hr'!D51,'22.10 MITYANA-BUSUNJU '!D51)</f>
        <v>0.2857142857142857</v>
      </c>
      <c r="E51" s="49">
        <f>AVERAGE('17.10 MITYANA-BUSUNJU'!E51,'23.10 MITYANA-BUSUNJU '!E51,'20.10  BUSUNJU-MITYANA'!E51,'21.10 MITYANA-BUSUNJU '!E51,'19.10 MITYANA-BUSUNJU 24hr'!E51,'19.10 BUSUNJU-MITYANA 24hr'!E51,'22.10 MITYANA-BUSUNJU '!E51)</f>
        <v>0</v>
      </c>
      <c r="F51" s="49">
        <f>AVERAGE('17.10 MITYANA-BUSUNJU'!F51,'23.10 MITYANA-BUSUNJU '!F51,'20.10  BUSUNJU-MITYANA'!F51,'21.10 MITYANA-BUSUNJU '!F51,'19.10 MITYANA-BUSUNJU 24hr'!F51,'19.10 BUSUNJU-MITYANA 24hr'!F51,'22.10 MITYANA-BUSUNJU '!F51)</f>
        <v>0.14285714285714285</v>
      </c>
      <c r="G51" s="49">
        <f>AVERAGE('17.10 MITYANA-BUSUNJU'!G51,'23.10 MITYANA-BUSUNJU '!G51,'20.10  BUSUNJU-MITYANA'!G51,'21.10 MITYANA-BUSUNJU '!G51,'19.10 MITYANA-BUSUNJU 24hr'!G51,'19.10 BUSUNJU-MITYANA 24hr'!G51,'22.10 MITYANA-BUSUNJU '!G51)</f>
        <v>0</v>
      </c>
      <c r="H51" s="49">
        <f>AVERAGE('17.10 MITYANA-BUSUNJU'!H51,'23.10 MITYANA-BUSUNJU '!H51,'20.10  BUSUNJU-MITYANA'!H51,'21.10 MITYANA-BUSUNJU '!H51,'19.10 MITYANA-BUSUNJU 24hr'!H51,'19.10 BUSUNJU-MITYANA 24hr'!H51,'22.10 MITYANA-BUSUNJU '!H51)</f>
        <v>0</v>
      </c>
      <c r="I51" s="49">
        <f>AVERAGE('17.10 MITYANA-BUSUNJU'!I51,'23.10 MITYANA-BUSUNJU '!I51,'20.10  BUSUNJU-MITYANA'!I51,'21.10 MITYANA-BUSUNJU '!I51,'19.10 MITYANA-BUSUNJU 24hr'!I51,'19.10 BUSUNJU-MITYANA 24hr'!I51,'22.10 MITYANA-BUSUNJU '!I51)</f>
        <v>0</v>
      </c>
      <c r="J51" s="49">
        <f>AVERAGE('17.10 MITYANA-BUSUNJU'!J51,'23.10 MITYANA-BUSUNJU '!J51,'20.10  BUSUNJU-MITYANA'!J51,'21.10 MITYANA-BUSUNJU '!J51,'19.10 MITYANA-BUSUNJU 24hr'!J51,'19.10 BUSUNJU-MITYANA 24hr'!J51,'22.10 MITYANA-BUSUNJU '!J51)</f>
        <v>0.2857142857142857</v>
      </c>
      <c r="K51" s="49">
        <f>AVERAGE('17.10 MITYANA-BUSUNJU'!K51,'23.10 MITYANA-BUSUNJU '!K51,'20.10  BUSUNJU-MITYANA'!K51,'21.10 MITYANA-BUSUNJU '!K51,'19.10 MITYANA-BUSUNJU 24hr'!K51,'19.10 BUSUNJU-MITYANA 24hr'!K51,'22.10 MITYANA-BUSUNJU '!K51)</f>
        <v>0</v>
      </c>
      <c r="L51" s="49">
        <f>AVERAGE('17.10 MITYANA-BUSUNJU'!L51,'23.10 MITYANA-BUSUNJU '!L51,'20.10  BUSUNJU-MITYANA'!L51,'21.10 MITYANA-BUSUNJU '!L51,'19.10 MITYANA-BUSUNJU 24hr'!L51,'19.10 BUSUNJU-MITYANA 24hr'!L51,'22.10 MITYANA-BUSUNJU '!L51)</f>
        <v>0</v>
      </c>
      <c r="M51" s="49">
        <f>AVERAGE('17.10 MITYANA-BUSUNJU'!M51,'23.10 MITYANA-BUSUNJU '!M51,'20.10  BUSUNJU-MITYANA'!M51,'21.10 MITYANA-BUSUNJU '!M51,'19.10 MITYANA-BUSUNJU 24hr'!M51,'19.10 BUSUNJU-MITYANA 24hr'!M51,'22.10 MITYANA-BUSUNJU '!M51)</f>
        <v>13.571428571428571</v>
      </c>
      <c r="N51" s="49">
        <f>AVERAGE('17.10 MITYANA-BUSUNJU'!N51,'23.10 MITYANA-BUSUNJU '!N51,'20.10  BUSUNJU-MITYANA'!N51,'21.10 MITYANA-BUSUNJU '!N51,'19.10 MITYANA-BUSUNJU 24hr'!N51,'19.10 BUSUNJU-MITYANA 24hr'!N51,'22.10 MITYANA-BUSUNJU '!N51)</f>
        <v>0</v>
      </c>
      <c r="O51" s="15">
        <f t="shared" si="0"/>
        <v>1.8571428571428568</v>
      </c>
      <c r="P51" s="15">
        <f t="shared" si="1"/>
        <v>15.428571428571427</v>
      </c>
      <c r="R51" s="8"/>
      <c r="T51"/>
    </row>
    <row r="52" spans="2:20" ht="23.1" customHeight="1" x14ac:dyDescent="0.25">
      <c r="B52" s="24" t="s">
        <v>79</v>
      </c>
      <c r="C52" s="49">
        <f>AVERAGE('17.10 MITYANA-BUSUNJU'!C52,'23.10 MITYANA-BUSUNJU '!C52,'20.10  BUSUNJU-MITYANA'!C52,'21.10 MITYANA-BUSUNJU '!C52,'19.10 MITYANA-BUSUNJU 24hr'!C52,'19.10 BUSUNJU-MITYANA 24hr'!C52,'22.10 MITYANA-BUSUNJU '!C52)</f>
        <v>0.7142857142857143</v>
      </c>
      <c r="D52" s="49">
        <f>AVERAGE('17.10 MITYANA-BUSUNJU'!D52,'23.10 MITYANA-BUSUNJU '!D52,'20.10  BUSUNJU-MITYANA'!D52,'21.10 MITYANA-BUSUNJU '!D52,'19.10 MITYANA-BUSUNJU 24hr'!D52,'19.10 BUSUNJU-MITYANA 24hr'!D52,'22.10 MITYANA-BUSUNJU '!D52)</f>
        <v>0.5714285714285714</v>
      </c>
      <c r="E52" s="49">
        <f>AVERAGE('17.10 MITYANA-BUSUNJU'!E52,'23.10 MITYANA-BUSUNJU '!E52,'20.10  BUSUNJU-MITYANA'!E52,'21.10 MITYANA-BUSUNJU '!E52,'19.10 MITYANA-BUSUNJU 24hr'!E52,'19.10 BUSUNJU-MITYANA 24hr'!E52,'22.10 MITYANA-BUSUNJU '!E52)</f>
        <v>0.2857142857142857</v>
      </c>
      <c r="F52" s="49">
        <f>AVERAGE('17.10 MITYANA-BUSUNJU'!F52,'23.10 MITYANA-BUSUNJU '!F52,'20.10  BUSUNJU-MITYANA'!F52,'21.10 MITYANA-BUSUNJU '!F52,'19.10 MITYANA-BUSUNJU 24hr'!F52,'19.10 BUSUNJU-MITYANA 24hr'!F52,'22.10 MITYANA-BUSUNJU '!F52)</f>
        <v>0.14285714285714285</v>
      </c>
      <c r="G52" s="49">
        <f>AVERAGE('17.10 MITYANA-BUSUNJU'!G52,'23.10 MITYANA-BUSUNJU '!G52,'20.10  BUSUNJU-MITYANA'!G52,'21.10 MITYANA-BUSUNJU '!G52,'19.10 MITYANA-BUSUNJU 24hr'!G52,'19.10 BUSUNJU-MITYANA 24hr'!G52,'22.10 MITYANA-BUSUNJU '!G52)</f>
        <v>0</v>
      </c>
      <c r="H52" s="49">
        <f>AVERAGE('17.10 MITYANA-BUSUNJU'!H52,'23.10 MITYANA-BUSUNJU '!H52,'20.10  BUSUNJU-MITYANA'!H52,'21.10 MITYANA-BUSUNJU '!H52,'19.10 MITYANA-BUSUNJU 24hr'!H52,'19.10 BUSUNJU-MITYANA 24hr'!H52,'22.10 MITYANA-BUSUNJU '!H52)</f>
        <v>0</v>
      </c>
      <c r="I52" s="49">
        <f>AVERAGE('17.10 MITYANA-BUSUNJU'!I52,'23.10 MITYANA-BUSUNJU '!I52,'20.10  BUSUNJU-MITYANA'!I52,'21.10 MITYANA-BUSUNJU '!I52,'19.10 MITYANA-BUSUNJU 24hr'!I52,'19.10 BUSUNJU-MITYANA 24hr'!I52,'22.10 MITYANA-BUSUNJU '!I52)</f>
        <v>0.2857142857142857</v>
      </c>
      <c r="J52" s="49">
        <f>AVERAGE('17.10 MITYANA-BUSUNJU'!J52,'23.10 MITYANA-BUSUNJU '!J52,'20.10  BUSUNJU-MITYANA'!J52,'21.10 MITYANA-BUSUNJU '!J52,'19.10 MITYANA-BUSUNJU 24hr'!J52,'19.10 BUSUNJU-MITYANA 24hr'!J52,'22.10 MITYANA-BUSUNJU '!J52)</f>
        <v>0.14285714285714285</v>
      </c>
      <c r="K52" s="49">
        <f>AVERAGE('17.10 MITYANA-BUSUNJU'!K52,'23.10 MITYANA-BUSUNJU '!K52,'20.10  BUSUNJU-MITYANA'!K52,'21.10 MITYANA-BUSUNJU '!K52,'19.10 MITYANA-BUSUNJU 24hr'!K52,'19.10 BUSUNJU-MITYANA 24hr'!K52,'22.10 MITYANA-BUSUNJU '!K52)</f>
        <v>0</v>
      </c>
      <c r="L52" s="49">
        <f>AVERAGE('17.10 MITYANA-BUSUNJU'!L52,'23.10 MITYANA-BUSUNJU '!L52,'20.10  BUSUNJU-MITYANA'!L52,'21.10 MITYANA-BUSUNJU '!L52,'19.10 MITYANA-BUSUNJU 24hr'!L52,'19.10 BUSUNJU-MITYANA 24hr'!L52,'22.10 MITYANA-BUSUNJU '!L52)</f>
        <v>0</v>
      </c>
      <c r="M52" s="49">
        <f>AVERAGE('17.10 MITYANA-BUSUNJU'!M52,'23.10 MITYANA-BUSUNJU '!M52,'20.10  BUSUNJU-MITYANA'!M52,'21.10 MITYANA-BUSUNJU '!M52,'19.10 MITYANA-BUSUNJU 24hr'!M52,'19.10 BUSUNJU-MITYANA 24hr'!M52,'22.10 MITYANA-BUSUNJU '!M52)</f>
        <v>11.714285714285714</v>
      </c>
      <c r="N52" s="49">
        <f>AVERAGE('17.10 MITYANA-BUSUNJU'!N52,'23.10 MITYANA-BUSUNJU '!N52,'20.10  BUSUNJU-MITYANA'!N52,'21.10 MITYANA-BUSUNJU '!N52,'19.10 MITYANA-BUSUNJU 24hr'!N52,'19.10 BUSUNJU-MITYANA 24hr'!N52,'22.10 MITYANA-BUSUNJU '!N52)</f>
        <v>0</v>
      </c>
      <c r="O52" s="15">
        <f t="shared" si="0"/>
        <v>2.1428571428571423</v>
      </c>
      <c r="P52" s="15">
        <f t="shared" si="1"/>
        <v>13.857142857142856</v>
      </c>
      <c r="R52" s="8"/>
      <c r="T52"/>
    </row>
    <row r="53" spans="2:20" ht="23.1" customHeight="1" x14ac:dyDescent="0.25">
      <c r="B53" s="23" t="s">
        <v>80</v>
      </c>
      <c r="C53" s="49">
        <f>AVERAGE('17.10 MITYANA-BUSUNJU'!C53,'23.10 MITYANA-BUSUNJU '!C53,'20.10  BUSUNJU-MITYANA'!C53,'21.10 MITYANA-BUSUNJU '!C53,'19.10 MITYANA-BUSUNJU 24hr'!C53,'19.10 BUSUNJU-MITYANA 24hr'!C53,'22.10 MITYANA-BUSUNJU '!C53)</f>
        <v>0.8571428571428571</v>
      </c>
      <c r="D53" s="49">
        <f>AVERAGE('17.10 MITYANA-BUSUNJU'!D53,'23.10 MITYANA-BUSUNJU '!D53,'20.10  BUSUNJU-MITYANA'!D53,'21.10 MITYANA-BUSUNJU '!D53,'19.10 MITYANA-BUSUNJU 24hr'!D53,'19.10 BUSUNJU-MITYANA 24hr'!D53,'22.10 MITYANA-BUSUNJU '!D53)</f>
        <v>0.2857142857142857</v>
      </c>
      <c r="E53" s="49">
        <f>AVERAGE('17.10 MITYANA-BUSUNJU'!E53,'23.10 MITYANA-BUSUNJU '!E53,'20.10  BUSUNJU-MITYANA'!E53,'21.10 MITYANA-BUSUNJU '!E53,'19.10 MITYANA-BUSUNJU 24hr'!E53,'19.10 BUSUNJU-MITYANA 24hr'!E53,'22.10 MITYANA-BUSUNJU '!E53)</f>
        <v>0</v>
      </c>
      <c r="F53" s="49">
        <f>AVERAGE('17.10 MITYANA-BUSUNJU'!F53,'23.10 MITYANA-BUSUNJU '!F53,'20.10  BUSUNJU-MITYANA'!F53,'21.10 MITYANA-BUSUNJU '!F53,'19.10 MITYANA-BUSUNJU 24hr'!F53,'19.10 BUSUNJU-MITYANA 24hr'!F53,'22.10 MITYANA-BUSUNJU '!F53)</f>
        <v>0</v>
      </c>
      <c r="G53" s="49">
        <f>AVERAGE('17.10 MITYANA-BUSUNJU'!G53,'23.10 MITYANA-BUSUNJU '!G53,'20.10  BUSUNJU-MITYANA'!G53,'21.10 MITYANA-BUSUNJU '!G53,'19.10 MITYANA-BUSUNJU 24hr'!G53,'19.10 BUSUNJU-MITYANA 24hr'!G53,'22.10 MITYANA-BUSUNJU '!G53)</f>
        <v>0</v>
      </c>
      <c r="H53" s="49">
        <f>AVERAGE('17.10 MITYANA-BUSUNJU'!H53,'23.10 MITYANA-BUSUNJU '!H53,'20.10  BUSUNJU-MITYANA'!H53,'21.10 MITYANA-BUSUNJU '!H53,'19.10 MITYANA-BUSUNJU 24hr'!H53,'19.10 BUSUNJU-MITYANA 24hr'!H53,'22.10 MITYANA-BUSUNJU '!H53)</f>
        <v>0</v>
      </c>
      <c r="I53" s="49">
        <f>AVERAGE('17.10 MITYANA-BUSUNJU'!I53,'23.10 MITYANA-BUSUNJU '!I53,'20.10  BUSUNJU-MITYANA'!I53,'21.10 MITYANA-BUSUNJU '!I53,'19.10 MITYANA-BUSUNJU 24hr'!I53,'19.10 BUSUNJU-MITYANA 24hr'!I53,'22.10 MITYANA-BUSUNJU '!I53)</f>
        <v>0</v>
      </c>
      <c r="J53" s="49">
        <f>AVERAGE('17.10 MITYANA-BUSUNJU'!J53,'23.10 MITYANA-BUSUNJU '!J53,'20.10  BUSUNJU-MITYANA'!J53,'21.10 MITYANA-BUSUNJU '!J53,'19.10 MITYANA-BUSUNJU 24hr'!J53,'19.10 BUSUNJU-MITYANA 24hr'!J53,'22.10 MITYANA-BUSUNJU '!J53)</f>
        <v>0.14285714285714285</v>
      </c>
      <c r="K53" s="49">
        <f>AVERAGE('17.10 MITYANA-BUSUNJU'!K53,'23.10 MITYANA-BUSUNJU '!K53,'20.10  BUSUNJU-MITYANA'!K53,'21.10 MITYANA-BUSUNJU '!K53,'19.10 MITYANA-BUSUNJU 24hr'!K53,'19.10 BUSUNJU-MITYANA 24hr'!K53,'22.10 MITYANA-BUSUNJU '!K53)</f>
        <v>0</v>
      </c>
      <c r="L53" s="49">
        <f>AVERAGE('17.10 MITYANA-BUSUNJU'!L53,'23.10 MITYANA-BUSUNJU '!L53,'20.10  BUSUNJU-MITYANA'!L53,'21.10 MITYANA-BUSUNJU '!L53,'19.10 MITYANA-BUSUNJU 24hr'!L53,'19.10 BUSUNJU-MITYANA 24hr'!L53,'22.10 MITYANA-BUSUNJU '!L53)</f>
        <v>0</v>
      </c>
      <c r="M53" s="49">
        <f>AVERAGE('17.10 MITYANA-BUSUNJU'!M53,'23.10 MITYANA-BUSUNJU '!M53,'20.10  BUSUNJU-MITYANA'!M53,'21.10 MITYANA-BUSUNJU '!M53,'19.10 MITYANA-BUSUNJU 24hr'!M53,'19.10 BUSUNJU-MITYANA 24hr'!M53,'22.10 MITYANA-BUSUNJU '!M53)</f>
        <v>10.571428571428571</v>
      </c>
      <c r="N53" s="49">
        <f>AVERAGE('17.10 MITYANA-BUSUNJU'!N53,'23.10 MITYANA-BUSUNJU '!N53,'20.10  BUSUNJU-MITYANA'!N53,'21.10 MITYANA-BUSUNJU '!N53,'19.10 MITYANA-BUSUNJU 24hr'!N53,'19.10 BUSUNJU-MITYANA 24hr'!N53,'22.10 MITYANA-BUSUNJU '!N53)</f>
        <v>0</v>
      </c>
      <c r="O53" s="15">
        <f t="shared" si="0"/>
        <v>1.2857142857142856</v>
      </c>
      <c r="P53" s="15">
        <f t="shared" si="1"/>
        <v>11.857142857142858</v>
      </c>
      <c r="R53" s="8"/>
      <c r="T53"/>
    </row>
    <row r="54" spans="2:20" ht="23.1" customHeight="1" x14ac:dyDescent="0.25">
      <c r="B54" s="23" t="s">
        <v>81</v>
      </c>
      <c r="C54" s="49">
        <f>AVERAGE('17.10 MITYANA-BUSUNJU'!C54,'23.10 MITYANA-BUSUNJU '!C54,'20.10  BUSUNJU-MITYANA'!C54,'21.10 MITYANA-BUSUNJU '!C54,'19.10 MITYANA-BUSUNJU 24hr'!C54,'19.10 BUSUNJU-MITYANA 24hr'!C54,'22.10 MITYANA-BUSUNJU '!C54)</f>
        <v>0.8571428571428571</v>
      </c>
      <c r="D54" s="49">
        <f>AVERAGE('17.10 MITYANA-BUSUNJU'!D54,'23.10 MITYANA-BUSUNJU '!D54,'20.10  BUSUNJU-MITYANA'!D54,'21.10 MITYANA-BUSUNJU '!D54,'19.10 MITYANA-BUSUNJU 24hr'!D54,'19.10 BUSUNJU-MITYANA 24hr'!D54,'22.10 MITYANA-BUSUNJU '!D54)</f>
        <v>0.14285714285714285</v>
      </c>
      <c r="E54" s="49">
        <f>AVERAGE('17.10 MITYANA-BUSUNJU'!E54,'23.10 MITYANA-BUSUNJU '!E54,'20.10  BUSUNJU-MITYANA'!E54,'21.10 MITYANA-BUSUNJU '!E54,'19.10 MITYANA-BUSUNJU 24hr'!E54,'19.10 BUSUNJU-MITYANA 24hr'!E54,'22.10 MITYANA-BUSUNJU '!E54)</f>
        <v>0.42857142857142855</v>
      </c>
      <c r="F54" s="49">
        <f>AVERAGE('17.10 MITYANA-BUSUNJU'!F54,'23.10 MITYANA-BUSUNJU '!F54,'20.10  BUSUNJU-MITYANA'!F54,'21.10 MITYANA-BUSUNJU '!F54,'19.10 MITYANA-BUSUNJU 24hr'!F54,'19.10 BUSUNJU-MITYANA 24hr'!F54,'22.10 MITYANA-BUSUNJU '!F54)</f>
        <v>0.2857142857142857</v>
      </c>
      <c r="G54" s="49">
        <f>AVERAGE('17.10 MITYANA-BUSUNJU'!G54,'23.10 MITYANA-BUSUNJU '!G54,'20.10  BUSUNJU-MITYANA'!G54,'21.10 MITYANA-BUSUNJU '!G54,'19.10 MITYANA-BUSUNJU 24hr'!G54,'19.10 BUSUNJU-MITYANA 24hr'!G54,'22.10 MITYANA-BUSUNJU '!G54)</f>
        <v>0</v>
      </c>
      <c r="H54" s="49">
        <f>AVERAGE('17.10 MITYANA-BUSUNJU'!H54,'23.10 MITYANA-BUSUNJU '!H54,'20.10  BUSUNJU-MITYANA'!H54,'21.10 MITYANA-BUSUNJU '!H54,'19.10 MITYANA-BUSUNJU 24hr'!H54,'19.10 BUSUNJU-MITYANA 24hr'!H54,'22.10 MITYANA-BUSUNJU '!H54)</f>
        <v>0</v>
      </c>
      <c r="I54" s="49">
        <f>AVERAGE('17.10 MITYANA-BUSUNJU'!I54,'23.10 MITYANA-BUSUNJU '!I54,'20.10  BUSUNJU-MITYANA'!I54,'21.10 MITYANA-BUSUNJU '!I54,'19.10 MITYANA-BUSUNJU 24hr'!I54,'19.10 BUSUNJU-MITYANA 24hr'!I54,'22.10 MITYANA-BUSUNJU '!I54)</f>
        <v>0.7142857142857143</v>
      </c>
      <c r="J54" s="49">
        <f>AVERAGE('17.10 MITYANA-BUSUNJU'!J54,'23.10 MITYANA-BUSUNJU '!J54,'20.10  BUSUNJU-MITYANA'!J54,'21.10 MITYANA-BUSUNJU '!J54,'19.10 MITYANA-BUSUNJU 24hr'!J54,'19.10 BUSUNJU-MITYANA 24hr'!J54,'22.10 MITYANA-BUSUNJU '!J54)</f>
        <v>0.42857142857142855</v>
      </c>
      <c r="K54" s="49">
        <f>AVERAGE('17.10 MITYANA-BUSUNJU'!K54,'23.10 MITYANA-BUSUNJU '!K54,'20.10  BUSUNJU-MITYANA'!K54,'21.10 MITYANA-BUSUNJU '!K54,'19.10 MITYANA-BUSUNJU 24hr'!K54,'19.10 BUSUNJU-MITYANA 24hr'!K54,'22.10 MITYANA-BUSUNJU '!K54)</f>
        <v>0</v>
      </c>
      <c r="L54" s="49">
        <f>AVERAGE('17.10 MITYANA-BUSUNJU'!L54,'23.10 MITYANA-BUSUNJU '!L54,'20.10  BUSUNJU-MITYANA'!L54,'21.10 MITYANA-BUSUNJU '!L54,'19.10 MITYANA-BUSUNJU 24hr'!L54,'19.10 BUSUNJU-MITYANA 24hr'!L54,'22.10 MITYANA-BUSUNJU '!L54)</f>
        <v>0</v>
      </c>
      <c r="M54" s="49">
        <f>AVERAGE('17.10 MITYANA-BUSUNJU'!M54,'23.10 MITYANA-BUSUNJU '!M54,'20.10  BUSUNJU-MITYANA'!M54,'21.10 MITYANA-BUSUNJU '!M54,'19.10 MITYANA-BUSUNJU 24hr'!M54,'19.10 BUSUNJU-MITYANA 24hr'!M54,'22.10 MITYANA-BUSUNJU '!M54)</f>
        <v>10</v>
      </c>
      <c r="N54" s="49">
        <f>AVERAGE('17.10 MITYANA-BUSUNJU'!N54,'23.10 MITYANA-BUSUNJU '!N54,'20.10  BUSUNJU-MITYANA'!N54,'21.10 MITYANA-BUSUNJU '!N54,'19.10 MITYANA-BUSUNJU 24hr'!N54,'19.10 BUSUNJU-MITYANA 24hr'!N54,'22.10 MITYANA-BUSUNJU '!N54)</f>
        <v>0</v>
      </c>
      <c r="O54" s="15">
        <f t="shared" si="0"/>
        <v>2.8571428571428572</v>
      </c>
      <c r="P54" s="15">
        <f t="shared" si="1"/>
        <v>12.857142857142858</v>
      </c>
      <c r="R54" s="8"/>
      <c r="T54"/>
    </row>
    <row r="55" spans="2:20" ht="23.1" customHeight="1" x14ac:dyDescent="0.25">
      <c r="B55" s="23" t="s">
        <v>82</v>
      </c>
      <c r="C55" s="49">
        <f>AVERAGE('17.10 MITYANA-BUSUNJU'!C55,'23.10 MITYANA-BUSUNJU '!C55,'20.10  BUSUNJU-MITYANA'!C55,'21.10 MITYANA-BUSUNJU '!C55,'19.10 MITYANA-BUSUNJU 24hr'!C55,'19.10 BUSUNJU-MITYANA 24hr'!C55,'22.10 MITYANA-BUSUNJU '!C55)</f>
        <v>0.8571428571428571</v>
      </c>
      <c r="D55" s="49">
        <f>AVERAGE('17.10 MITYANA-BUSUNJU'!D55,'23.10 MITYANA-BUSUNJU '!D55,'20.10  BUSUNJU-MITYANA'!D55,'21.10 MITYANA-BUSUNJU '!D55,'19.10 MITYANA-BUSUNJU 24hr'!D55,'19.10 BUSUNJU-MITYANA 24hr'!D55,'22.10 MITYANA-BUSUNJU '!D55)</f>
        <v>0.5714285714285714</v>
      </c>
      <c r="E55" s="49">
        <f>AVERAGE('17.10 MITYANA-BUSUNJU'!E55,'23.10 MITYANA-BUSUNJU '!E55,'20.10  BUSUNJU-MITYANA'!E55,'21.10 MITYANA-BUSUNJU '!E55,'19.10 MITYANA-BUSUNJU 24hr'!E55,'19.10 BUSUNJU-MITYANA 24hr'!E55,'22.10 MITYANA-BUSUNJU '!E55)</f>
        <v>0.2857142857142857</v>
      </c>
      <c r="F55" s="49">
        <f>AVERAGE('17.10 MITYANA-BUSUNJU'!F55,'23.10 MITYANA-BUSUNJU '!F55,'20.10  BUSUNJU-MITYANA'!F55,'21.10 MITYANA-BUSUNJU '!F55,'19.10 MITYANA-BUSUNJU 24hr'!F55,'19.10 BUSUNJU-MITYANA 24hr'!F55,'22.10 MITYANA-BUSUNJU '!F55)</f>
        <v>0.5714285714285714</v>
      </c>
      <c r="G55" s="49">
        <f>AVERAGE('17.10 MITYANA-BUSUNJU'!G55,'23.10 MITYANA-BUSUNJU '!G55,'20.10  BUSUNJU-MITYANA'!G55,'21.10 MITYANA-BUSUNJU '!G55,'19.10 MITYANA-BUSUNJU 24hr'!G55,'19.10 BUSUNJU-MITYANA 24hr'!G55,'22.10 MITYANA-BUSUNJU '!G55)</f>
        <v>0</v>
      </c>
      <c r="H55" s="49">
        <f>AVERAGE('17.10 MITYANA-BUSUNJU'!H55,'23.10 MITYANA-BUSUNJU '!H55,'20.10  BUSUNJU-MITYANA'!H55,'21.10 MITYANA-BUSUNJU '!H55,'19.10 MITYANA-BUSUNJU 24hr'!H55,'19.10 BUSUNJU-MITYANA 24hr'!H55,'22.10 MITYANA-BUSUNJU '!H55)</f>
        <v>0</v>
      </c>
      <c r="I55" s="49">
        <f>AVERAGE('17.10 MITYANA-BUSUNJU'!I55,'23.10 MITYANA-BUSUNJU '!I55,'20.10  BUSUNJU-MITYANA'!I55,'21.10 MITYANA-BUSUNJU '!I55,'19.10 MITYANA-BUSUNJU 24hr'!I55,'19.10 BUSUNJU-MITYANA 24hr'!I55,'22.10 MITYANA-BUSUNJU '!I55)</f>
        <v>0.5714285714285714</v>
      </c>
      <c r="J55" s="49">
        <f>AVERAGE('17.10 MITYANA-BUSUNJU'!J55,'23.10 MITYANA-BUSUNJU '!J55,'20.10  BUSUNJU-MITYANA'!J55,'21.10 MITYANA-BUSUNJU '!J55,'19.10 MITYANA-BUSUNJU 24hr'!J55,'19.10 BUSUNJU-MITYANA 24hr'!J55,'22.10 MITYANA-BUSUNJU '!J55)</f>
        <v>0.2857142857142857</v>
      </c>
      <c r="K55" s="49">
        <f>AVERAGE('17.10 MITYANA-BUSUNJU'!K55,'23.10 MITYANA-BUSUNJU '!K55,'20.10  BUSUNJU-MITYANA'!K55,'21.10 MITYANA-BUSUNJU '!K55,'19.10 MITYANA-BUSUNJU 24hr'!K55,'19.10 BUSUNJU-MITYANA 24hr'!K55,'22.10 MITYANA-BUSUNJU '!K55)</f>
        <v>0</v>
      </c>
      <c r="L55" s="49">
        <f>AVERAGE('17.10 MITYANA-BUSUNJU'!L55,'23.10 MITYANA-BUSUNJU '!L55,'20.10  BUSUNJU-MITYANA'!L55,'21.10 MITYANA-BUSUNJU '!L55,'19.10 MITYANA-BUSUNJU 24hr'!L55,'19.10 BUSUNJU-MITYANA 24hr'!L55,'22.10 MITYANA-BUSUNJU '!L55)</f>
        <v>0</v>
      </c>
      <c r="M55" s="49">
        <f>AVERAGE('17.10 MITYANA-BUSUNJU'!M55,'23.10 MITYANA-BUSUNJU '!M55,'20.10  BUSUNJU-MITYANA'!M55,'21.10 MITYANA-BUSUNJU '!M55,'19.10 MITYANA-BUSUNJU 24hr'!M55,'19.10 BUSUNJU-MITYANA 24hr'!M55,'22.10 MITYANA-BUSUNJU '!M55)</f>
        <v>9.1428571428571423</v>
      </c>
      <c r="N55" s="49">
        <f>AVERAGE('17.10 MITYANA-BUSUNJU'!N55,'23.10 MITYANA-BUSUNJU '!N55,'20.10  BUSUNJU-MITYANA'!N55,'21.10 MITYANA-BUSUNJU '!N55,'19.10 MITYANA-BUSUNJU 24hr'!N55,'19.10 BUSUNJU-MITYANA 24hr'!N55,'22.10 MITYANA-BUSUNJU '!N55)</f>
        <v>0</v>
      </c>
      <c r="O55" s="15">
        <f t="shared" si="0"/>
        <v>3.1428571428571423</v>
      </c>
      <c r="P55" s="15">
        <f t="shared" si="1"/>
        <v>12.285714285714285</v>
      </c>
      <c r="R55" s="8"/>
      <c r="T55"/>
    </row>
    <row r="56" spans="2:20" ht="23.1" customHeight="1" x14ac:dyDescent="0.25">
      <c r="B56" s="23" t="s">
        <v>83</v>
      </c>
      <c r="C56" s="49">
        <f>AVERAGE('17.10 MITYANA-BUSUNJU'!C56,'23.10 MITYANA-BUSUNJU '!C56,'20.10  BUSUNJU-MITYANA'!C56,'21.10 MITYANA-BUSUNJU '!C56,'19.10 MITYANA-BUSUNJU 24hr'!C56,'19.10 BUSUNJU-MITYANA 24hr'!C56,'22.10 MITYANA-BUSUNJU '!C56)</f>
        <v>0.7142857142857143</v>
      </c>
      <c r="D56" s="49">
        <f>AVERAGE('17.10 MITYANA-BUSUNJU'!D56,'23.10 MITYANA-BUSUNJU '!D56,'20.10  BUSUNJU-MITYANA'!D56,'21.10 MITYANA-BUSUNJU '!D56,'19.10 MITYANA-BUSUNJU 24hr'!D56,'19.10 BUSUNJU-MITYANA 24hr'!D56,'22.10 MITYANA-BUSUNJU '!D56)</f>
        <v>0.14285714285714285</v>
      </c>
      <c r="E56" s="49">
        <f>AVERAGE('17.10 MITYANA-BUSUNJU'!E56,'23.10 MITYANA-BUSUNJU '!E56,'20.10  BUSUNJU-MITYANA'!E56,'21.10 MITYANA-BUSUNJU '!E56,'19.10 MITYANA-BUSUNJU 24hr'!E56,'19.10 BUSUNJU-MITYANA 24hr'!E56,'22.10 MITYANA-BUSUNJU '!E56)</f>
        <v>0.7142857142857143</v>
      </c>
      <c r="F56" s="49">
        <f>AVERAGE('17.10 MITYANA-BUSUNJU'!F56,'23.10 MITYANA-BUSUNJU '!F56,'20.10  BUSUNJU-MITYANA'!F56,'21.10 MITYANA-BUSUNJU '!F56,'19.10 MITYANA-BUSUNJU 24hr'!F56,'19.10 BUSUNJU-MITYANA 24hr'!F56,'22.10 MITYANA-BUSUNJU '!F56)</f>
        <v>0.2857142857142857</v>
      </c>
      <c r="G56" s="49">
        <f>AVERAGE('17.10 MITYANA-BUSUNJU'!G56,'23.10 MITYANA-BUSUNJU '!G56,'20.10  BUSUNJU-MITYANA'!G56,'21.10 MITYANA-BUSUNJU '!G56,'19.10 MITYANA-BUSUNJU 24hr'!G56,'19.10 BUSUNJU-MITYANA 24hr'!G56,'22.10 MITYANA-BUSUNJU '!G56)</f>
        <v>0</v>
      </c>
      <c r="H56" s="49">
        <f>AVERAGE('17.10 MITYANA-BUSUNJU'!H56,'23.10 MITYANA-BUSUNJU '!H56,'20.10  BUSUNJU-MITYANA'!H56,'21.10 MITYANA-BUSUNJU '!H56,'19.10 MITYANA-BUSUNJU 24hr'!H56,'19.10 BUSUNJU-MITYANA 24hr'!H56,'22.10 MITYANA-BUSUNJU '!H56)</f>
        <v>0.14285714285714285</v>
      </c>
      <c r="I56" s="49">
        <f>AVERAGE('17.10 MITYANA-BUSUNJU'!I56,'23.10 MITYANA-BUSUNJU '!I56,'20.10  BUSUNJU-MITYANA'!I56,'21.10 MITYANA-BUSUNJU '!I56,'19.10 MITYANA-BUSUNJU 24hr'!I56,'19.10 BUSUNJU-MITYANA 24hr'!I56,'22.10 MITYANA-BUSUNJU '!I56)</f>
        <v>0.7142857142857143</v>
      </c>
      <c r="J56" s="49">
        <f>AVERAGE('17.10 MITYANA-BUSUNJU'!J56,'23.10 MITYANA-BUSUNJU '!J56,'20.10  BUSUNJU-MITYANA'!J56,'21.10 MITYANA-BUSUNJU '!J56,'19.10 MITYANA-BUSUNJU 24hr'!J56,'19.10 BUSUNJU-MITYANA 24hr'!J56,'22.10 MITYANA-BUSUNJU '!J56)</f>
        <v>0.14285714285714285</v>
      </c>
      <c r="K56" s="49">
        <f>AVERAGE('17.10 MITYANA-BUSUNJU'!K56,'23.10 MITYANA-BUSUNJU '!K56,'20.10  BUSUNJU-MITYANA'!K56,'21.10 MITYANA-BUSUNJU '!K56,'19.10 MITYANA-BUSUNJU 24hr'!K56,'19.10 BUSUNJU-MITYANA 24hr'!K56,'22.10 MITYANA-BUSUNJU '!K56)</f>
        <v>0</v>
      </c>
      <c r="L56" s="49">
        <f>AVERAGE('17.10 MITYANA-BUSUNJU'!L56,'23.10 MITYANA-BUSUNJU '!L56,'20.10  BUSUNJU-MITYANA'!L56,'21.10 MITYANA-BUSUNJU '!L56,'19.10 MITYANA-BUSUNJU 24hr'!L56,'19.10 BUSUNJU-MITYANA 24hr'!L56,'22.10 MITYANA-BUSUNJU '!L56)</f>
        <v>0</v>
      </c>
      <c r="M56" s="49">
        <f>AVERAGE('17.10 MITYANA-BUSUNJU'!M56,'23.10 MITYANA-BUSUNJU '!M56,'20.10  BUSUNJU-MITYANA'!M56,'21.10 MITYANA-BUSUNJU '!M56,'19.10 MITYANA-BUSUNJU 24hr'!M56,'19.10 BUSUNJU-MITYANA 24hr'!M56,'22.10 MITYANA-BUSUNJU '!M56)</f>
        <v>10.857142857142858</v>
      </c>
      <c r="N56" s="49">
        <f>AVERAGE('17.10 MITYANA-BUSUNJU'!N56,'23.10 MITYANA-BUSUNJU '!N56,'20.10  BUSUNJU-MITYANA'!N56,'21.10 MITYANA-BUSUNJU '!N56,'19.10 MITYANA-BUSUNJU 24hr'!N56,'19.10 BUSUNJU-MITYANA 24hr'!N56,'22.10 MITYANA-BUSUNJU '!N56)</f>
        <v>0</v>
      </c>
      <c r="O56" s="15">
        <f t="shared" si="0"/>
        <v>2.8571428571428572</v>
      </c>
      <c r="P56" s="15">
        <f t="shared" si="1"/>
        <v>13.714285714285715</v>
      </c>
      <c r="R56" s="8"/>
      <c r="T56"/>
    </row>
    <row r="57" spans="2:20" ht="23.1" customHeight="1" x14ac:dyDescent="0.25">
      <c r="B57" s="23" t="s">
        <v>84</v>
      </c>
      <c r="C57" s="49">
        <f>AVERAGE('17.10 MITYANA-BUSUNJU'!C57,'23.10 MITYANA-BUSUNJU '!C57,'20.10  BUSUNJU-MITYANA'!C57,'21.10 MITYANA-BUSUNJU '!C57,'19.10 MITYANA-BUSUNJU 24hr'!C57,'19.10 BUSUNJU-MITYANA 24hr'!C57,'22.10 MITYANA-BUSUNJU '!C57)</f>
        <v>0.8571428571428571</v>
      </c>
      <c r="D57" s="49">
        <f>AVERAGE('17.10 MITYANA-BUSUNJU'!D57,'23.10 MITYANA-BUSUNJU '!D57,'20.10  BUSUNJU-MITYANA'!D57,'21.10 MITYANA-BUSUNJU '!D57,'19.10 MITYANA-BUSUNJU 24hr'!D57,'19.10 BUSUNJU-MITYANA 24hr'!D57,'22.10 MITYANA-BUSUNJU '!D57)</f>
        <v>0.2857142857142857</v>
      </c>
      <c r="E57" s="49">
        <f>AVERAGE('17.10 MITYANA-BUSUNJU'!E57,'23.10 MITYANA-BUSUNJU '!E57,'20.10  BUSUNJU-MITYANA'!E57,'21.10 MITYANA-BUSUNJU '!E57,'19.10 MITYANA-BUSUNJU 24hr'!E57,'19.10 BUSUNJU-MITYANA 24hr'!E57,'22.10 MITYANA-BUSUNJU '!E57)</f>
        <v>0.7142857142857143</v>
      </c>
      <c r="F57" s="49">
        <f>AVERAGE('17.10 MITYANA-BUSUNJU'!F57,'23.10 MITYANA-BUSUNJU '!F57,'20.10  BUSUNJU-MITYANA'!F57,'21.10 MITYANA-BUSUNJU '!F57,'19.10 MITYANA-BUSUNJU 24hr'!F57,'19.10 BUSUNJU-MITYANA 24hr'!F57,'22.10 MITYANA-BUSUNJU '!F57)</f>
        <v>0.14285714285714285</v>
      </c>
      <c r="G57" s="49">
        <f>AVERAGE('17.10 MITYANA-BUSUNJU'!G57,'23.10 MITYANA-BUSUNJU '!G57,'20.10  BUSUNJU-MITYANA'!G57,'21.10 MITYANA-BUSUNJU '!G57,'19.10 MITYANA-BUSUNJU 24hr'!G57,'19.10 BUSUNJU-MITYANA 24hr'!G57,'22.10 MITYANA-BUSUNJU '!G57)</f>
        <v>0</v>
      </c>
      <c r="H57" s="49">
        <f>AVERAGE('17.10 MITYANA-BUSUNJU'!H57,'23.10 MITYANA-BUSUNJU '!H57,'20.10  BUSUNJU-MITYANA'!H57,'21.10 MITYANA-BUSUNJU '!H57,'19.10 MITYANA-BUSUNJU 24hr'!H57,'19.10 BUSUNJU-MITYANA 24hr'!H57,'22.10 MITYANA-BUSUNJU '!H57)</f>
        <v>0</v>
      </c>
      <c r="I57" s="49">
        <f>AVERAGE('17.10 MITYANA-BUSUNJU'!I57,'23.10 MITYANA-BUSUNJU '!I57,'20.10  BUSUNJU-MITYANA'!I57,'21.10 MITYANA-BUSUNJU '!I57,'19.10 MITYANA-BUSUNJU 24hr'!I57,'19.10 BUSUNJU-MITYANA 24hr'!I57,'22.10 MITYANA-BUSUNJU '!I57)</f>
        <v>0.14285714285714285</v>
      </c>
      <c r="J57" s="49">
        <f>AVERAGE('17.10 MITYANA-BUSUNJU'!J57,'23.10 MITYANA-BUSUNJU '!J57,'20.10  BUSUNJU-MITYANA'!J57,'21.10 MITYANA-BUSUNJU '!J57,'19.10 MITYANA-BUSUNJU 24hr'!J57,'19.10 BUSUNJU-MITYANA 24hr'!J57,'22.10 MITYANA-BUSUNJU '!J57)</f>
        <v>0.42857142857142855</v>
      </c>
      <c r="K57" s="49">
        <f>AVERAGE('17.10 MITYANA-BUSUNJU'!K57,'23.10 MITYANA-BUSUNJU '!K57,'20.10  BUSUNJU-MITYANA'!K57,'21.10 MITYANA-BUSUNJU '!K57,'19.10 MITYANA-BUSUNJU 24hr'!K57,'19.10 BUSUNJU-MITYANA 24hr'!K57,'22.10 MITYANA-BUSUNJU '!K57)</f>
        <v>0</v>
      </c>
      <c r="L57" s="49">
        <f>AVERAGE('17.10 MITYANA-BUSUNJU'!L57,'23.10 MITYANA-BUSUNJU '!L57,'20.10  BUSUNJU-MITYANA'!L57,'21.10 MITYANA-BUSUNJU '!L57,'19.10 MITYANA-BUSUNJU 24hr'!L57,'19.10 BUSUNJU-MITYANA 24hr'!L57,'22.10 MITYANA-BUSUNJU '!L57)</f>
        <v>0</v>
      </c>
      <c r="M57" s="49">
        <f>AVERAGE('17.10 MITYANA-BUSUNJU'!M57,'23.10 MITYANA-BUSUNJU '!M57,'20.10  BUSUNJU-MITYANA'!M57,'21.10 MITYANA-BUSUNJU '!M57,'19.10 MITYANA-BUSUNJU 24hr'!M57,'19.10 BUSUNJU-MITYANA 24hr'!M57,'22.10 MITYANA-BUSUNJU '!M57)</f>
        <v>11.714285714285714</v>
      </c>
      <c r="N57" s="49">
        <f>AVERAGE('17.10 MITYANA-BUSUNJU'!N57,'23.10 MITYANA-BUSUNJU '!N57,'20.10  BUSUNJU-MITYANA'!N57,'21.10 MITYANA-BUSUNJU '!N57,'19.10 MITYANA-BUSUNJU 24hr'!N57,'19.10 BUSUNJU-MITYANA 24hr'!N57,'22.10 MITYANA-BUSUNJU '!N57)</f>
        <v>0</v>
      </c>
      <c r="O57" s="15">
        <f t="shared" si="0"/>
        <v>2.5714285714285712</v>
      </c>
      <c r="P57" s="15">
        <f t="shared" si="1"/>
        <v>14.285714285714285</v>
      </c>
      <c r="R57" s="8"/>
      <c r="T57"/>
    </row>
    <row r="58" spans="2:20" ht="23.1" customHeight="1" x14ac:dyDescent="0.25">
      <c r="B58" s="23" t="s">
        <v>99</v>
      </c>
      <c r="C58" s="49">
        <f>AVERAGE('18.10 BUSUNJU-MITYANA 24hr'!C58,'19.10 BUSUNJU-MITYANA 24hr'!C58)</f>
        <v>3</v>
      </c>
      <c r="D58" s="49">
        <f>AVERAGE('18.10 BUSUNJU-MITYANA 24hr'!D58,'19.10 BUSUNJU-MITYANA 24hr'!D58)</f>
        <v>0</v>
      </c>
      <c r="E58" s="49">
        <f>AVERAGE('18.10 BUSUNJU-MITYANA 24hr'!E58,'19.10 BUSUNJU-MITYANA 24hr'!E58)</f>
        <v>0</v>
      </c>
      <c r="F58" s="49">
        <f>AVERAGE('18.10 BUSUNJU-MITYANA 24hr'!F58,'19.10 BUSUNJU-MITYANA 24hr'!F58)</f>
        <v>0.5</v>
      </c>
      <c r="G58" s="49">
        <f>AVERAGE('18.10 BUSUNJU-MITYANA 24hr'!G58,'19.10 BUSUNJU-MITYANA 24hr'!G58)</f>
        <v>0</v>
      </c>
      <c r="H58" s="49">
        <f>AVERAGE('18.10 BUSUNJU-MITYANA 24hr'!H58,'19.10 BUSUNJU-MITYANA 24hr'!H58)</f>
        <v>0</v>
      </c>
      <c r="I58" s="49">
        <f>AVERAGE('18.10 BUSUNJU-MITYANA 24hr'!I58,'19.10 BUSUNJU-MITYANA 24hr'!I58)</f>
        <v>1.5</v>
      </c>
      <c r="J58" s="49">
        <f>AVERAGE('18.10 BUSUNJU-MITYANA 24hr'!J58,'19.10 BUSUNJU-MITYANA 24hr'!J58)</f>
        <v>0</v>
      </c>
      <c r="K58" s="49">
        <f>AVERAGE('18.10 BUSUNJU-MITYANA 24hr'!K58,'19.10 BUSUNJU-MITYANA 24hr'!K58)</f>
        <v>0.5</v>
      </c>
      <c r="L58" s="49">
        <f>AVERAGE('18.10 BUSUNJU-MITYANA 24hr'!L58,'19.10 BUSUNJU-MITYANA 24hr'!L58)</f>
        <v>0</v>
      </c>
      <c r="M58" s="49">
        <f>AVERAGE('18.10 BUSUNJU-MITYANA 24hr'!M58,'19.10 BUSUNJU-MITYANA 24hr'!M58)</f>
        <v>18</v>
      </c>
      <c r="N58" s="49">
        <f>AVERAGE('18.10 BUSUNJU-MITYANA 24hr'!N58,'19.10 BUSUNJU-MITYANA 24hr'!N58)</f>
        <v>0</v>
      </c>
      <c r="O58" s="15">
        <f t="shared" si="0"/>
        <v>5.5</v>
      </c>
      <c r="P58" s="15">
        <f t="shared" si="1"/>
        <v>23.5</v>
      </c>
      <c r="R58" s="8"/>
      <c r="T58"/>
    </row>
    <row r="59" spans="2:20" ht="23.1" customHeight="1" x14ac:dyDescent="0.25">
      <c r="B59" s="23" t="s">
        <v>100</v>
      </c>
      <c r="C59" s="49">
        <f>AVERAGE('18.10 BUSUNJU-MITYANA 24hr'!C59,'19.10 BUSUNJU-MITYANA 24hr'!C59)</f>
        <v>0.5</v>
      </c>
      <c r="D59" s="49">
        <f>AVERAGE('18.10 BUSUNJU-MITYANA 24hr'!D59,'19.10 BUSUNJU-MITYANA 24hr'!D59)</f>
        <v>0</v>
      </c>
      <c r="E59" s="49">
        <f>AVERAGE('18.10 BUSUNJU-MITYANA 24hr'!E59,'19.10 BUSUNJU-MITYANA 24hr'!E59)</f>
        <v>0.5</v>
      </c>
      <c r="F59" s="49">
        <f>AVERAGE('18.10 BUSUNJU-MITYANA 24hr'!F59,'19.10 BUSUNJU-MITYANA 24hr'!F59)</f>
        <v>0</v>
      </c>
      <c r="G59" s="49">
        <f>AVERAGE('18.10 BUSUNJU-MITYANA 24hr'!G59,'19.10 BUSUNJU-MITYANA 24hr'!G59)</f>
        <v>0</v>
      </c>
      <c r="H59" s="49">
        <f>AVERAGE('18.10 BUSUNJU-MITYANA 24hr'!H59,'19.10 BUSUNJU-MITYANA 24hr'!H59)</f>
        <v>0</v>
      </c>
      <c r="I59" s="49">
        <f>AVERAGE('18.10 BUSUNJU-MITYANA 24hr'!I59,'19.10 BUSUNJU-MITYANA 24hr'!I59)</f>
        <v>0.5</v>
      </c>
      <c r="J59" s="49">
        <f>AVERAGE('18.10 BUSUNJU-MITYANA 24hr'!J59,'19.10 BUSUNJU-MITYANA 24hr'!J59)</f>
        <v>0</v>
      </c>
      <c r="K59" s="49">
        <f>AVERAGE('18.10 BUSUNJU-MITYANA 24hr'!K59,'19.10 BUSUNJU-MITYANA 24hr'!K59)</f>
        <v>0</v>
      </c>
      <c r="L59" s="49">
        <f>AVERAGE('18.10 BUSUNJU-MITYANA 24hr'!L59,'19.10 BUSUNJU-MITYANA 24hr'!L59)</f>
        <v>0</v>
      </c>
      <c r="M59" s="49">
        <f>AVERAGE('18.10 BUSUNJU-MITYANA 24hr'!M59,'19.10 BUSUNJU-MITYANA 24hr'!M59)</f>
        <v>19.5</v>
      </c>
      <c r="N59" s="49">
        <f>AVERAGE('18.10 BUSUNJU-MITYANA 24hr'!N59,'19.10 BUSUNJU-MITYANA 24hr'!N59)</f>
        <v>0</v>
      </c>
      <c r="O59" s="15">
        <f t="shared" si="0"/>
        <v>1.5</v>
      </c>
      <c r="P59" s="15">
        <f t="shared" si="1"/>
        <v>21</v>
      </c>
      <c r="R59" s="8"/>
      <c r="T59"/>
    </row>
    <row r="60" spans="2:20" ht="23.1" customHeight="1" x14ac:dyDescent="0.25">
      <c r="B60" s="23" t="s">
        <v>101</v>
      </c>
      <c r="C60" s="49">
        <f>AVERAGE('18.10 BUSUNJU-MITYANA 24hr'!C60,'19.10 BUSUNJU-MITYANA 24hr'!C60)</f>
        <v>0.5</v>
      </c>
      <c r="D60" s="49">
        <f>AVERAGE('18.10 BUSUNJU-MITYANA 24hr'!D60,'19.10 BUSUNJU-MITYANA 24hr'!D60)</f>
        <v>1</v>
      </c>
      <c r="E60" s="49">
        <f>AVERAGE('18.10 BUSUNJU-MITYANA 24hr'!E60,'19.10 BUSUNJU-MITYANA 24hr'!E60)</f>
        <v>0.5</v>
      </c>
      <c r="F60" s="49">
        <f>AVERAGE('18.10 BUSUNJU-MITYANA 24hr'!F60,'19.10 BUSUNJU-MITYANA 24hr'!F60)</f>
        <v>0.5</v>
      </c>
      <c r="G60" s="49">
        <f>AVERAGE('18.10 BUSUNJU-MITYANA 24hr'!G60,'19.10 BUSUNJU-MITYANA 24hr'!G60)</f>
        <v>0</v>
      </c>
      <c r="H60" s="49">
        <f>AVERAGE('18.10 BUSUNJU-MITYANA 24hr'!H60,'19.10 BUSUNJU-MITYANA 24hr'!H60)</f>
        <v>0</v>
      </c>
      <c r="I60" s="49">
        <f>AVERAGE('18.10 BUSUNJU-MITYANA 24hr'!I60,'19.10 BUSUNJU-MITYANA 24hr'!I60)</f>
        <v>0</v>
      </c>
      <c r="J60" s="49">
        <f>AVERAGE('18.10 BUSUNJU-MITYANA 24hr'!J60,'19.10 BUSUNJU-MITYANA 24hr'!J60)</f>
        <v>0</v>
      </c>
      <c r="K60" s="49">
        <f>AVERAGE('18.10 BUSUNJU-MITYANA 24hr'!K60,'19.10 BUSUNJU-MITYANA 24hr'!K60)</f>
        <v>0</v>
      </c>
      <c r="L60" s="49">
        <f>AVERAGE('18.10 BUSUNJU-MITYANA 24hr'!L60,'19.10 BUSUNJU-MITYANA 24hr'!L60)</f>
        <v>0</v>
      </c>
      <c r="M60" s="49">
        <f>AVERAGE('18.10 BUSUNJU-MITYANA 24hr'!M60,'19.10 BUSUNJU-MITYANA 24hr'!M60)</f>
        <v>21.5</v>
      </c>
      <c r="N60" s="49">
        <f>AVERAGE('18.10 BUSUNJU-MITYANA 24hr'!N60,'19.10 BUSUNJU-MITYANA 24hr'!N60)</f>
        <v>0</v>
      </c>
      <c r="O60" s="15">
        <f t="shared" si="0"/>
        <v>2.5</v>
      </c>
      <c r="P60" s="15">
        <f t="shared" si="1"/>
        <v>24</v>
      </c>
      <c r="R60" s="8"/>
      <c r="T60"/>
    </row>
    <row r="61" spans="2:20" ht="23.1" customHeight="1" x14ac:dyDescent="0.25">
      <c r="B61" s="23" t="s">
        <v>102</v>
      </c>
      <c r="C61" s="49">
        <f>AVERAGE('18.10 BUSUNJU-MITYANA 24hr'!C61,'19.10 BUSUNJU-MITYANA 24hr'!C61)</f>
        <v>1.5</v>
      </c>
      <c r="D61" s="49">
        <f>AVERAGE('18.10 BUSUNJU-MITYANA 24hr'!D61,'19.10 BUSUNJU-MITYANA 24hr'!D61)</f>
        <v>0</v>
      </c>
      <c r="E61" s="49">
        <f>AVERAGE('18.10 BUSUNJU-MITYANA 24hr'!E61,'19.10 BUSUNJU-MITYANA 24hr'!E61)</f>
        <v>1</v>
      </c>
      <c r="F61" s="49">
        <f>AVERAGE('18.10 BUSUNJU-MITYANA 24hr'!F61,'19.10 BUSUNJU-MITYANA 24hr'!F61)</f>
        <v>0.5</v>
      </c>
      <c r="G61" s="49">
        <f>AVERAGE('18.10 BUSUNJU-MITYANA 24hr'!G61,'19.10 BUSUNJU-MITYANA 24hr'!G61)</f>
        <v>0.5</v>
      </c>
      <c r="H61" s="49">
        <f>AVERAGE('18.10 BUSUNJU-MITYANA 24hr'!H61,'19.10 BUSUNJU-MITYANA 24hr'!H61)</f>
        <v>0</v>
      </c>
      <c r="I61" s="49">
        <f>AVERAGE('18.10 BUSUNJU-MITYANA 24hr'!I61,'19.10 BUSUNJU-MITYANA 24hr'!I61)</f>
        <v>1</v>
      </c>
      <c r="J61" s="49">
        <f>AVERAGE('18.10 BUSUNJU-MITYANA 24hr'!J61,'19.10 BUSUNJU-MITYANA 24hr'!J61)</f>
        <v>0</v>
      </c>
      <c r="K61" s="49">
        <f>AVERAGE('18.10 BUSUNJU-MITYANA 24hr'!K61,'19.10 BUSUNJU-MITYANA 24hr'!K61)</f>
        <v>0</v>
      </c>
      <c r="L61" s="49">
        <f>AVERAGE('18.10 BUSUNJU-MITYANA 24hr'!L61,'19.10 BUSUNJU-MITYANA 24hr'!L61)</f>
        <v>0</v>
      </c>
      <c r="M61" s="49">
        <f>AVERAGE('18.10 BUSUNJU-MITYANA 24hr'!M61,'19.10 BUSUNJU-MITYANA 24hr'!M61)</f>
        <v>16</v>
      </c>
      <c r="N61" s="49">
        <f>AVERAGE('18.10 BUSUNJU-MITYANA 24hr'!N61,'19.10 BUSUNJU-MITYANA 24hr'!N61)</f>
        <v>0</v>
      </c>
      <c r="O61" s="15">
        <f t="shared" si="0"/>
        <v>4.5</v>
      </c>
      <c r="P61" s="15">
        <f t="shared" si="1"/>
        <v>20.5</v>
      </c>
      <c r="R61" s="8"/>
      <c r="T61"/>
    </row>
    <row r="62" spans="2:20" ht="23.1" customHeight="1" x14ac:dyDescent="0.25">
      <c r="B62" s="23" t="s">
        <v>107</v>
      </c>
      <c r="C62" s="49">
        <f>AVERAGE('18.10 BUSUNJU-MITYANA 24hr'!C62,'19.10 BUSUNJU-MITYANA 24hr'!C62)</f>
        <v>1.5</v>
      </c>
      <c r="D62" s="49">
        <f>AVERAGE('18.10 BUSUNJU-MITYANA 24hr'!D62,'19.10 BUSUNJU-MITYANA 24hr'!D62)</f>
        <v>0</v>
      </c>
      <c r="E62" s="49">
        <f>AVERAGE('18.10 BUSUNJU-MITYANA 24hr'!E62,'19.10 BUSUNJU-MITYANA 24hr'!E62)</f>
        <v>0</v>
      </c>
      <c r="F62" s="49">
        <f>AVERAGE('18.10 BUSUNJU-MITYANA 24hr'!F62,'19.10 BUSUNJU-MITYANA 24hr'!F62)</f>
        <v>0.5</v>
      </c>
      <c r="G62" s="49">
        <f>AVERAGE('18.10 BUSUNJU-MITYANA 24hr'!G62,'19.10 BUSUNJU-MITYANA 24hr'!G62)</f>
        <v>0</v>
      </c>
      <c r="H62" s="49">
        <f>AVERAGE('18.10 BUSUNJU-MITYANA 24hr'!H62,'19.10 BUSUNJU-MITYANA 24hr'!H62)</f>
        <v>0</v>
      </c>
      <c r="I62" s="49">
        <f>AVERAGE('18.10 BUSUNJU-MITYANA 24hr'!I62,'19.10 BUSUNJU-MITYANA 24hr'!I62)</f>
        <v>0</v>
      </c>
      <c r="J62" s="49">
        <f>AVERAGE('18.10 BUSUNJU-MITYANA 24hr'!J62,'19.10 BUSUNJU-MITYANA 24hr'!J62)</f>
        <v>0</v>
      </c>
      <c r="K62" s="49">
        <f>AVERAGE('18.10 BUSUNJU-MITYANA 24hr'!K62,'19.10 BUSUNJU-MITYANA 24hr'!K62)</f>
        <v>0</v>
      </c>
      <c r="L62" s="49">
        <f>AVERAGE('18.10 BUSUNJU-MITYANA 24hr'!L62,'19.10 BUSUNJU-MITYANA 24hr'!L62)</f>
        <v>0</v>
      </c>
      <c r="M62" s="49">
        <f>AVERAGE('18.10 BUSUNJU-MITYANA 24hr'!M62,'19.10 BUSUNJU-MITYANA 24hr'!M62)</f>
        <v>12.5</v>
      </c>
      <c r="N62" s="49">
        <f>AVERAGE('18.10 BUSUNJU-MITYANA 24hr'!N62,'19.10 BUSUNJU-MITYANA 24hr'!N62)</f>
        <v>0</v>
      </c>
      <c r="O62" s="15">
        <f t="shared" si="0"/>
        <v>2</v>
      </c>
      <c r="P62" s="15">
        <f t="shared" si="1"/>
        <v>14.5</v>
      </c>
      <c r="R62" s="8"/>
      <c r="T62"/>
    </row>
    <row r="63" spans="2:20" ht="23.1" customHeight="1" x14ac:dyDescent="0.25">
      <c r="B63" s="23" t="s">
        <v>108</v>
      </c>
      <c r="C63" s="49">
        <f>AVERAGE('18.10 BUSUNJU-MITYANA 24hr'!C63,'19.10 BUSUNJU-MITYANA 24hr'!C63)</f>
        <v>1</v>
      </c>
      <c r="D63" s="49">
        <f>AVERAGE('18.10 BUSUNJU-MITYANA 24hr'!D63,'19.10 BUSUNJU-MITYANA 24hr'!D63)</f>
        <v>0.5</v>
      </c>
      <c r="E63" s="49">
        <f>AVERAGE('18.10 BUSUNJU-MITYANA 24hr'!E63,'19.10 BUSUNJU-MITYANA 24hr'!E63)</f>
        <v>0</v>
      </c>
      <c r="F63" s="49">
        <f>AVERAGE('18.10 BUSUNJU-MITYANA 24hr'!F63,'19.10 BUSUNJU-MITYANA 24hr'!F63)</f>
        <v>0</v>
      </c>
      <c r="G63" s="49">
        <f>AVERAGE('18.10 BUSUNJU-MITYANA 24hr'!G63,'19.10 BUSUNJU-MITYANA 24hr'!G63)</f>
        <v>0</v>
      </c>
      <c r="H63" s="49">
        <f>AVERAGE('18.10 BUSUNJU-MITYANA 24hr'!H63,'19.10 BUSUNJU-MITYANA 24hr'!H63)</f>
        <v>0</v>
      </c>
      <c r="I63" s="49">
        <f>AVERAGE('18.10 BUSUNJU-MITYANA 24hr'!I63,'19.10 BUSUNJU-MITYANA 24hr'!I63)</f>
        <v>0</v>
      </c>
      <c r="J63" s="49">
        <f>AVERAGE('18.10 BUSUNJU-MITYANA 24hr'!J63,'19.10 BUSUNJU-MITYANA 24hr'!J63)</f>
        <v>0</v>
      </c>
      <c r="K63" s="49">
        <f>AVERAGE('18.10 BUSUNJU-MITYANA 24hr'!K63,'19.10 BUSUNJU-MITYANA 24hr'!K63)</f>
        <v>0</v>
      </c>
      <c r="L63" s="49">
        <f>AVERAGE('18.10 BUSUNJU-MITYANA 24hr'!L63,'19.10 BUSUNJU-MITYANA 24hr'!L63)</f>
        <v>0</v>
      </c>
      <c r="M63" s="49">
        <f>AVERAGE('18.10 BUSUNJU-MITYANA 24hr'!M63,'19.10 BUSUNJU-MITYANA 24hr'!M63)</f>
        <v>11.5</v>
      </c>
      <c r="N63" s="49">
        <f>AVERAGE('18.10 BUSUNJU-MITYANA 24hr'!N63,'19.10 BUSUNJU-MITYANA 24hr'!N63)</f>
        <v>0</v>
      </c>
      <c r="O63" s="15">
        <f t="shared" si="0"/>
        <v>1.5</v>
      </c>
      <c r="P63" s="15">
        <f t="shared" si="1"/>
        <v>13</v>
      </c>
      <c r="R63" s="8"/>
      <c r="T63"/>
    </row>
    <row r="64" spans="2:20" ht="23.1" customHeight="1" x14ac:dyDescent="0.25">
      <c r="B64" s="23" t="s">
        <v>109</v>
      </c>
      <c r="C64" s="49">
        <f>AVERAGE('18.10 BUSUNJU-MITYANA 24hr'!C64,'19.10 BUSUNJU-MITYANA 24hr'!C64)</f>
        <v>0.5</v>
      </c>
      <c r="D64" s="49">
        <f>AVERAGE('18.10 BUSUNJU-MITYANA 24hr'!D64,'19.10 BUSUNJU-MITYANA 24hr'!D64)</f>
        <v>0.5</v>
      </c>
      <c r="E64" s="49">
        <f>AVERAGE('18.10 BUSUNJU-MITYANA 24hr'!E64,'19.10 BUSUNJU-MITYANA 24hr'!E64)</f>
        <v>0</v>
      </c>
      <c r="F64" s="49">
        <f>AVERAGE('18.10 BUSUNJU-MITYANA 24hr'!F64,'19.10 BUSUNJU-MITYANA 24hr'!F64)</f>
        <v>0</v>
      </c>
      <c r="G64" s="49">
        <f>AVERAGE('18.10 BUSUNJU-MITYANA 24hr'!G64,'19.10 BUSUNJU-MITYANA 24hr'!G64)</f>
        <v>0</v>
      </c>
      <c r="H64" s="49">
        <f>AVERAGE('18.10 BUSUNJU-MITYANA 24hr'!H64,'19.10 BUSUNJU-MITYANA 24hr'!H64)</f>
        <v>0</v>
      </c>
      <c r="I64" s="49">
        <f>AVERAGE('18.10 BUSUNJU-MITYANA 24hr'!I64,'19.10 BUSUNJU-MITYANA 24hr'!I64)</f>
        <v>0</v>
      </c>
      <c r="J64" s="49">
        <f>AVERAGE('18.10 BUSUNJU-MITYANA 24hr'!J64,'19.10 BUSUNJU-MITYANA 24hr'!J64)</f>
        <v>1</v>
      </c>
      <c r="K64" s="49">
        <f>AVERAGE('18.10 BUSUNJU-MITYANA 24hr'!K64,'19.10 BUSUNJU-MITYANA 24hr'!K64)</f>
        <v>0</v>
      </c>
      <c r="L64" s="49">
        <f>AVERAGE('18.10 BUSUNJU-MITYANA 24hr'!L64,'19.10 BUSUNJU-MITYANA 24hr'!L64)</f>
        <v>0</v>
      </c>
      <c r="M64" s="49">
        <f>AVERAGE('18.10 BUSUNJU-MITYANA 24hr'!M64,'19.10 BUSUNJU-MITYANA 24hr'!M64)</f>
        <v>10</v>
      </c>
      <c r="N64" s="49">
        <f>AVERAGE('18.10 BUSUNJU-MITYANA 24hr'!N64,'19.10 BUSUNJU-MITYANA 24hr'!N64)</f>
        <v>0</v>
      </c>
      <c r="O64" s="15">
        <f t="shared" si="0"/>
        <v>2</v>
      </c>
      <c r="P64" s="15">
        <f t="shared" si="1"/>
        <v>12</v>
      </c>
      <c r="R64" s="8"/>
      <c r="T64"/>
    </row>
    <row r="65" spans="2:20" ht="23.1" customHeight="1" x14ac:dyDescent="0.25">
      <c r="B65" s="23" t="s">
        <v>158</v>
      </c>
      <c r="C65" s="49">
        <f>AVERAGE('18.10 BUSUNJU-MITYANA 24hr'!C65,'19.10 BUSUNJU-MITYANA 24hr'!C65)</f>
        <v>1</v>
      </c>
      <c r="D65" s="49">
        <f>AVERAGE('18.10 BUSUNJU-MITYANA 24hr'!D65,'19.10 BUSUNJU-MITYANA 24hr'!D65)</f>
        <v>0.5</v>
      </c>
      <c r="E65" s="49">
        <f>AVERAGE('18.10 BUSUNJU-MITYANA 24hr'!E65,'19.10 BUSUNJU-MITYANA 24hr'!E65)</f>
        <v>0</v>
      </c>
      <c r="F65" s="49">
        <f>AVERAGE('18.10 BUSUNJU-MITYANA 24hr'!F65,'19.10 BUSUNJU-MITYANA 24hr'!F65)</f>
        <v>0</v>
      </c>
      <c r="G65" s="49">
        <f>AVERAGE('18.10 BUSUNJU-MITYANA 24hr'!G65,'19.10 BUSUNJU-MITYANA 24hr'!G65)</f>
        <v>0</v>
      </c>
      <c r="H65" s="49">
        <f>AVERAGE('18.10 BUSUNJU-MITYANA 24hr'!H65,'19.10 BUSUNJU-MITYANA 24hr'!H65)</f>
        <v>0</v>
      </c>
      <c r="I65" s="49">
        <f>AVERAGE('18.10 BUSUNJU-MITYANA 24hr'!I65,'19.10 BUSUNJU-MITYANA 24hr'!I65)</f>
        <v>1</v>
      </c>
      <c r="J65" s="49">
        <f>AVERAGE('18.10 BUSUNJU-MITYANA 24hr'!J65,'19.10 BUSUNJU-MITYANA 24hr'!J65)</f>
        <v>0</v>
      </c>
      <c r="K65" s="49">
        <f>AVERAGE('18.10 BUSUNJU-MITYANA 24hr'!K65,'19.10 BUSUNJU-MITYANA 24hr'!K65)</f>
        <v>0</v>
      </c>
      <c r="L65" s="49">
        <f>AVERAGE('18.10 BUSUNJU-MITYANA 24hr'!L65,'19.10 BUSUNJU-MITYANA 24hr'!L65)</f>
        <v>0</v>
      </c>
      <c r="M65" s="49">
        <f>AVERAGE('18.10 BUSUNJU-MITYANA 24hr'!M65,'19.10 BUSUNJU-MITYANA 24hr'!M65)</f>
        <v>6.5</v>
      </c>
      <c r="N65" s="49">
        <f>AVERAGE('18.10 BUSUNJU-MITYANA 24hr'!N65,'19.10 BUSUNJU-MITYANA 24hr'!N65)</f>
        <v>0</v>
      </c>
      <c r="O65" s="15">
        <f t="shared" si="0"/>
        <v>2.5</v>
      </c>
      <c r="P65" s="15">
        <f t="shared" si="1"/>
        <v>9</v>
      </c>
      <c r="R65" s="8"/>
      <c r="T65"/>
    </row>
    <row r="66" spans="2:20" ht="23.1" customHeight="1" x14ac:dyDescent="0.25">
      <c r="B66" s="23" t="s">
        <v>103</v>
      </c>
      <c r="C66" s="49">
        <f>AVERAGE('18.10 BUSUNJU-MITYANA 24hr'!C66,'19.10 BUSUNJU-MITYANA 24hr'!C66)</f>
        <v>0.5</v>
      </c>
      <c r="D66" s="49">
        <f>AVERAGE('18.10 BUSUNJU-MITYANA 24hr'!D66,'19.10 BUSUNJU-MITYANA 24hr'!D66)</f>
        <v>0</v>
      </c>
      <c r="E66" s="49">
        <f>AVERAGE('18.10 BUSUNJU-MITYANA 24hr'!E66,'19.10 BUSUNJU-MITYANA 24hr'!E66)</f>
        <v>0.5</v>
      </c>
      <c r="F66" s="49">
        <f>AVERAGE('18.10 BUSUNJU-MITYANA 24hr'!F66,'19.10 BUSUNJU-MITYANA 24hr'!F66)</f>
        <v>0</v>
      </c>
      <c r="G66" s="49">
        <f>AVERAGE('18.10 BUSUNJU-MITYANA 24hr'!G66,'19.10 BUSUNJU-MITYANA 24hr'!G66)</f>
        <v>0</v>
      </c>
      <c r="H66" s="49">
        <f>AVERAGE('18.10 BUSUNJU-MITYANA 24hr'!H66,'19.10 BUSUNJU-MITYANA 24hr'!H66)</f>
        <v>0</v>
      </c>
      <c r="I66" s="49">
        <f>AVERAGE('18.10 BUSUNJU-MITYANA 24hr'!I66,'19.10 BUSUNJU-MITYANA 24hr'!I66)</f>
        <v>1</v>
      </c>
      <c r="J66" s="49">
        <f>AVERAGE('18.10 BUSUNJU-MITYANA 24hr'!J66,'19.10 BUSUNJU-MITYANA 24hr'!J66)</f>
        <v>0</v>
      </c>
      <c r="K66" s="49">
        <f>AVERAGE('18.10 BUSUNJU-MITYANA 24hr'!K66,'19.10 BUSUNJU-MITYANA 24hr'!K66)</f>
        <v>0</v>
      </c>
      <c r="L66" s="49">
        <f>AVERAGE('18.10 BUSUNJU-MITYANA 24hr'!L66,'19.10 BUSUNJU-MITYANA 24hr'!L66)</f>
        <v>0</v>
      </c>
      <c r="M66" s="49">
        <f>AVERAGE('18.10 BUSUNJU-MITYANA 24hr'!M66,'19.10 BUSUNJU-MITYANA 24hr'!M66)</f>
        <v>6.5</v>
      </c>
      <c r="N66" s="49">
        <f>AVERAGE('18.10 BUSUNJU-MITYANA 24hr'!N66,'19.10 BUSUNJU-MITYANA 24hr'!N66)</f>
        <v>0</v>
      </c>
      <c r="O66" s="15">
        <f t="shared" si="0"/>
        <v>2</v>
      </c>
      <c r="P66" s="15">
        <f t="shared" si="1"/>
        <v>8.5</v>
      </c>
      <c r="R66" s="8"/>
      <c r="T66"/>
    </row>
    <row r="67" spans="2:20" ht="23.1" customHeight="1" x14ac:dyDescent="0.25">
      <c r="B67" s="23" t="s">
        <v>104</v>
      </c>
      <c r="C67" s="49">
        <f>AVERAGE('18.10 BUSUNJU-MITYANA 24hr'!C67,'19.10 BUSUNJU-MITYANA 24hr'!C67)</f>
        <v>0</v>
      </c>
      <c r="D67" s="49">
        <f>AVERAGE('18.10 BUSUNJU-MITYANA 24hr'!D67,'19.10 BUSUNJU-MITYANA 24hr'!D67)</f>
        <v>0</v>
      </c>
      <c r="E67" s="49">
        <f>AVERAGE('18.10 BUSUNJU-MITYANA 24hr'!E67,'19.10 BUSUNJU-MITYANA 24hr'!E67)</f>
        <v>0.5</v>
      </c>
      <c r="F67" s="49">
        <f>AVERAGE('18.10 BUSUNJU-MITYANA 24hr'!F67,'19.10 BUSUNJU-MITYANA 24hr'!F67)</f>
        <v>0</v>
      </c>
      <c r="G67" s="49">
        <f>AVERAGE('18.10 BUSUNJU-MITYANA 24hr'!G67,'19.10 BUSUNJU-MITYANA 24hr'!G67)</f>
        <v>0</v>
      </c>
      <c r="H67" s="49">
        <f>AVERAGE('18.10 BUSUNJU-MITYANA 24hr'!H67,'19.10 BUSUNJU-MITYANA 24hr'!H67)</f>
        <v>0</v>
      </c>
      <c r="I67" s="49">
        <f>AVERAGE('18.10 BUSUNJU-MITYANA 24hr'!I67,'19.10 BUSUNJU-MITYANA 24hr'!I67)</f>
        <v>0</v>
      </c>
      <c r="J67" s="49">
        <f>AVERAGE('18.10 BUSUNJU-MITYANA 24hr'!J67,'19.10 BUSUNJU-MITYANA 24hr'!J67)</f>
        <v>0</v>
      </c>
      <c r="K67" s="49">
        <f>AVERAGE('18.10 BUSUNJU-MITYANA 24hr'!K67,'19.10 BUSUNJU-MITYANA 24hr'!K67)</f>
        <v>0</v>
      </c>
      <c r="L67" s="49">
        <f>AVERAGE('18.10 BUSUNJU-MITYANA 24hr'!L67,'19.10 BUSUNJU-MITYANA 24hr'!L67)</f>
        <v>0</v>
      </c>
      <c r="M67" s="49">
        <f>AVERAGE('18.10 BUSUNJU-MITYANA 24hr'!M67,'19.10 BUSUNJU-MITYANA 24hr'!M67)</f>
        <v>5</v>
      </c>
      <c r="N67" s="49">
        <f>AVERAGE('18.10 BUSUNJU-MITYANA 24hr'!N67,'19.10 BUSUNJU-MITYANA 24hr'!N67)</f>
        <v>0</v>
      </c>
      <c r="O67" s="15">
        <f t="shared" si="0"/>
        <v>0.5</v>
      </c>
      <c r="P67" s="15">
        <f t="shared" si="1"/>
        <v>5.5</v>
      </c>
      <c r="R67" s="8"/>
      <c r="T67"/>
    </row>
    <row r="68" spans="2:20" ht="23.1" customHeight="1" x14ac:dyDescent="0.25">
      <c r="B68" s="23" t="s">
        <v>105</v>
      </c>
      <c r="C68" s="49">
        <f>AVERAGE('18.10 BUSUNJU-MITYANA 24hr'!C68,'19.10 BUSUNJU-MITYANA 24hr'!C68)</f>
        <v>1</v>
      </c>
      <c r="D68" s="49">
        <f>AVERAGE('18.10 BUSUNJU-MITYANA 24hr'!D68,'19.10 BUSUNJU-MITYANA 24hr'!D68)</f>
        <v>0</v>
      </c>
      <c r="E68" s="49">
        <f>AVERAGE('18.10 BUSUNJU-MITYANA 24hr'!E68,'19.10 BUSUNJU-MITYANA 24hr'!E68)</f>
        <v>0.5</v>
      </c>
      <c r="F68" s="49">
        <f>AVERAGE('18.10 BUSUNJU-MITYANA 24hr'!F68,'19.10 BUSUNJU-MITYANA 24hr'!F68)</f>
        <v>0</v>
      </c>
      <c r="G68" s="49">
        <f>AVERAGE('18.10 BUSUNJU-MITYANA 24hr'!G68,'19.10 BUSUNJU-MITYANA 24hr'!G68)</f>
        <v>0</v>
      </c>
      <c r="H68" s="49">
        <f>AVERAGE('18.10 BUSUNJU-MITYANA 24hr'!H68,'19.10 BUSUNJU-MITYANA 24hr'!H68)</f>
        <v>0</v>
      </c>
      <c r="I68" s="49">
        <f>AVERAGE('18.10 BUSUNJU-MITYANA 24hr'!I68,'19.10 BUSUNJU-MITYANA 24hr'!I68)</f>
        <v>0</v>
      </c>
      <c r="J68" s="49">
        <f>AVERAGE('18.10 BUSUNJU-MITYANA 24hr'!J68,'19.10 BUSUNJU-MITYANA 24hr'!J68)</f>
        <v>0</v>
      </c>
      <c r="K68" s="49">
        <f>AVERAGE('18.10 BUSUNJU-MITYANA 24hr'!K68,'19.10 BUSUNJU-MITYANA 24hr'!K68)</f>
        <v>0.5</v>
      </c>
      <c r="L68" s="49">
        <f>AVERAGE('18.10 BUSUNJU-MITYANA 24hr'!L68,'19.10 BUSUNJU-MITYANA 24hr'!L68)</f>
        <v>0</v>
      </c>
      <c r="M68" s="49">
        <f>AVERAGE('18.10 BUSUNJU-MITYANA 24hr'!M68,'19.10 BUSUNJU-MITYANA 24hr'!M68)</f>
        <v>4</v>
      </c>
      <c r="N68" s="49">
        <f>AVERAGE('18.10 BUSUNJU-MITYANA 24hr'!N68,'19.10 BUSUNJU-MITYANA 24hr'!N68)</f>
        <v>0</v>
      </c>
      <c r="O68" s="15">
        <f t="shared" si="0"/>
        <v>2</v>
      </c>
      <c r="P68" s="15">
        <f t="shared" si="1"/>
        <v>6</v>
      </c>
      <c r="R68" s="8"/>
      <c r="T68"/>
    </row>
    <row r="69" spans="2:20" ht="23.1" customHeight="1" x14ac:dyDescent="0.25">
      <c r="B69" s="23" t="s">
        <v>106</v>
      </c>
      <c r="C69" s="49">
        <f>AVERAGE('18.10 BUSUNJU-MITYANA 24hr'!C69,'19.10 BUSUNJU-MITYANA 24hr'!C69)</f>
        <v>1.5</v>
      </c>
      <c r="D69" s="49">
        <f>AVERAGE('18.10 BUSUNJU-MITYANA 24hr'!D69,'19.10 BUSUNJU-MITYANA 24hr'!D69)</f>
        <v>0</v>
      </c>
      <c r="E69" s="49">
        <f>AVERAGE('18.10 BUSUNJU-MITYANA 24hr'!E69,'19.10 BUSUNJU-MITYANA 24hr'!E69)</f>
        <v>0</v>
      </c>
      <c r="F69" s="49">
        <f>AVERAGE('18.10 BUSUNJU-MITYANA 24hr'!F69,'19.10 BUSUNJU-MITYANA 24hr'!F69)</f>
        <v>0</v>
      </c>
      <c r="G69" s="49">
        <f>AVERAGE('18.10 BUSUNJU-MITYANA 24hr'!G69,'19.10 BUSUNJU-MITYANA 24hr'!G69)</f>
        <v>0</v>
      </c>
      <c r="H69" s="49">
        <f>AVERAGE('18.10 BUSUNJU-MITYANA 24hr'!H69,'19.10 BUSUNJU-MITYANA 24hr'!H69)</f>
        <v>0</v>
      </c>
      <c r="I69" s="49">
        <f>AVERAGE('18.10 BUSUNJU-MITYANA 24hr'!I69,'19.10 BUSUNJU-MITYANA 24hr'!I69)</f>
        <v>0</v>
      </c>
      <c r="J69" s="49">
        <f>AVERAGE('18.10 BUSUNJU-MITYANA 24hr'!J69,'19.10 BUSUNJU-MITYANA 24hr'!J69)</f>
        <v>0</v>
      </c>
      <c r="K69" s="49">
        <f>AVERAGE('18.10 BUSUNJU-MITYANA 24hr'!K69,'19.10 BUSUNJU-MITYANA 24hr'!K69)</f>
        <v>0</v>
      </c>
      <c r="L69" s="49">
        <f>AVERAGE('18.10 BUSUNJU-MITYANA 24hr'!L69,'19.10 BUSUNJU-MITYANA 24hr'!L69)</f>
        <v>0</v>
      </c>
      <c r="M69" s="49">
        <f>AVERAGE('18.10 BUSUNJU-MITYANA 24hr'!M69,'19.10 BUSUNJU-MITYANA 24hr'!M69)</f>
        <v>2.5</v>
      </c>
      <c r="N69" s="49">
        <f>AVERAGE('18.10 BUSUNJU-MITYANA 24hr'!N69,'19.10 BUSUNJU-MITYANA 24hr'!N69)</f>
        <v>0</v>
      </c>
      <c r="O69" s="15">
        <f t="shared" si="0"/>
        <v>1.5</v>
      </c>
      <c r="P69" s="15">
        <f t="shared" si="1"/>
        <v>4</v>
      </c>
      <c r="R69" s="8"/>
      <c r="T69"/>
    </row>
    <row r="70" spans="2:20" ht="23.1" customHeight="1" x14ac:dyDescent="0.25">
      <c r="B70" s="23" t="s">
        <v>110</v>
      </c>
      <c r="C70" s="49">
        <f>AVERAGE('18.10 BUSUNJU-MITYANA 24hr'!C70,'19.10 BUSUNJU-MITYANA 24hr'!C70)</f>
        <v>0</v>
      </c>
      <c r="D70" s="49">
        <f>AVERAGE('18.10 BUSUNJU-MITYANA 24hr'!D70,'19.10 BUSUNJU-MITYANA 24hr'!D70)</f>
        <v>1</v>
      </c>
      <c r="E70" s="49">
        <f>AVERAGE('18.10 BUSUNJU-MITYANA 24hr'!E70,'19.10 BUSUNJU-MITYANA 24hr'!E70)</f>
        <v>0</v>
      </c>
      <c r="F70" s="49">
        <f>AVERAGE('18.10 BUSUNJU-MITYANA 24hr'!F70,'19.10 BUSUNJU-MITYANA 24hr'!F70)</f>
        <v>0</v>
      </c>
      <c r="G70" s="49">
        <f>AVERAGE('18.10 BUSUNJU-MITYANA 24hr'!G70,'19.10 BUSUNJU-MITYANA 24hr'!G70)</f>
        <v>0</v>
      </c>
      <c r="H70" s="49">
        <f>AVERAGE('18.10 BUSUNJU-MITYANA 24hr'!H70,'19.10 BUSUNJU-MITYANA 24hr'!H70)</f>
        <v>0</v>
      </c>
      <c r="I70" s="49">
        <f>AVERAGE('18.10 BUSUNJU-MITYANA 24hr'!I70,'19.10 BUSUNJU-MITYANA 24hr'!I70)</f>
        <v>0.5</v>
      </c>
      <c r="J70" s="49">
        <f>AVERAGE('18.10 BUSUNJU-MITYANA 24hr'!J70,'19.10 BUSUNJU-MITYANA 24hr'!J70)</f>
        <v>0</v>
      </c>
      <c r="K70" s="49">
        <f>AVERAGE('18.10 BUSUNJU-MITYANA 24hr'!K70,'19.10 BUSUNJU-MITYANA 24hr'!K70)</f>
        <v>0</v>
      </c>
      <c r="L70" s="49">
        <f>AVERAGE('18.10 BUSUNJU-MITYANA 24hr'!L70,'19.10 BUSUNJU-MITYANA 24hr'!L70)</f>
        <v>0</v>
      </c>
      <c r="M70" s="49">
        <f>AVERAGE('18.10 BUSUNJU-MITYANA 24hr'!M70,'19.10 BUSUNJU-MITYANA 24hr'!M70)</f>
        <v>4</v>
      </c>
      <c r="N70" s="49">
        <f>AVERAGE('18.10 BUSUNJU-MITYANA 24hr'!N70,'19.10 BUSUNJU-MITYANA 24hr'!N70)</f>
        <v>0</v>
      </c>
      <c r="O70" s="15">
        <f t="shared" si="0"/>
        <v>1.5</v>
      </c>
      <c r="P70" s="15">
        <f t="shared" si="1"/>
        <v>5.5</v>
      </c>
      <c r="R70" s="8"/>
      <c r="T70"/>
    </row>
    <row r="71" spans="2:20" ht="23.1" customHeight="1" x14ac:dyDescent="0.25">
      <c r="B71" s="23" t="s">
        <v>111</v>
      </c>
      <c r="C71" s="49">
        <f>AVERAGE('18.10 BUSUNJU-MITYANA 24hr'!C71,'19.10 BUSUNJU-MITYANA 24hr'!C71)</f>
        <v>0</v>
      </c>
      <c r="D71" s="49">
        <f>AVERAGE('18.10 BUSUNJU-MITYANA 24hr'!D71,'19.10 BUSUNJU-MITYANA 24hr'!D71)</f>
        <v>0</v>
      </c>
      <c r="E71" s="49">
        <f>AVERAGE('18.10 BUSUNJU-MITYANA 24hr'!E71,'19.10 BUSUNJU-MITYANA 24hr'!E71)</f>
        <v>0</v>
      </c>
      <c r="F71" s="49">
        <f>AVERAGE('18.10 BUSUNJU-MITYANA 24hr'!F71,'19.10 BUSUNJU-MITYANA 24hr'!F71)</f>
        <v>0</v>
      </c>
      <c r="G71" s="49">
        <f>AVERAGE('18.10 BUSUNJU-MITYANA 24hr'!G71,'19.10 BUSUNJU-MITYANA 24hr'!G71)</f>
        <v>0</v>
      </c>
      <c r="H71" s="49">
        <f>AVERAGE('18.10 BUSUNJU-MITYANA 24hr'!H71,'19.10 BUSUNJU-MITYANA 24hr'!H71)</f>
        <v>0</v>
      </c>
      <c r="I71" s="49">
        <f>AVERAGE('18.10 BUSUNJU-MITYANA 24hr'!I71,'19.10 BUSUNJU-MITYANA 24hr'!I71)</f>
        <v>0.5</v>
      </c>
      <c r="J71" s="49">
        <f>AVERAGE('18.10 BUSUNJU-MITYANA 24hr'!J71,'19.10 BUSUNJU-MITYANA 24hr'!J71)</f>
        <v>0</v>
      </c>
      <c r="K71" s="49">
        <f>AVERAGE('18.10 BUSUNJU-MITYANA 24hr'!K71,'19.10 BUSUNJU-MITYANA 24hr'!K71)</f>
        <v>0</v>
      </c>
      <c r="L71" s="49">
        <f>AVERAGE('18.10 BUSUNJU-MITYANA 24hr'!L71,'19.10 BUSUNJU-MITYANA 24hr'!L71)</f>
        <v>0.5</v>
      </c>
      <c r="M71" s="49">
        <f>AVERAGE('18.10 BUSUNJU-MITYANA 24hr'!M71,'19.10 BUSUNJU-MITYANA 24hr'!M71)</f>
        <v>4</v>
      </c>
      <c r="N71" s="49">
        <f>AVERAGE('18.10 BUSUNJU-MITYANA 24hr'!N71,'19.10 BUSUNJU-MITYANA 24hr'!N71)</f>
        <v>0</v>
      </c>
      <c r="O71" s="15">
        <f t="shared" si="0"/>
        <v>1</v>
      </c>
      <c r="P71" s="15">
        <f t="shared" si="1"/>
        <v>5</v>
      </c>
      <c r="R71" s="8"/>
      <c r="T71"/>
    </row>
    <row r="72" spans="2:20" ht="23.1" customHeight="1" x14ac:dyDescent="0.25">
      <c r="B72" s="23" t="s">
        <v>112</v>
      </c>
      <c r="C72" s="49">
        <f>AVERAGE('18.10 BUSUNJU-MITYANA 24hr'!C72,'19.10 BUSUNJU-MITYANA 24hr'!C72)</f>
        <v>0.5</v>
      </c>
      <c r="D72" s="49">
        <f>AVERAGE('18.10 BUSUNJU-MITYANA 24hr'!D72,'19.10 BUSUNJU-MITYANA 24hr'!D72)</f>
        <v>0.5</v>
      </c>
      <c r="E72" s="49">
        <f>AVERAGE('18.10 BUSUNJU-MITYANA 24hr'!E72,'19.10 BUSUNJU-MITYANA 24hr'!E72)</f>
        <v>0.5</v>
      </c>
      <c r="F72" s="49">
        <f>AVERAGE('18.10 BUSUNJU-MITYANA 24hr'!F72,'19.10 BUSUNJU-MITYANA 24hr'!F72)</f>
        <v>0.5</v>
      </c>
      <c r="G72" s="49">
        <f>AVERAGE('18.10 BUSUNJU-MITYANA 24hr'!G72,'19.10 BUSUNJU-MITYANA 24hr'!G72)</f>
        <v>0</v>
      </c>
      <c r="H72" s="49">
        <f>AVERAGE('18.10 BUSUNJU-MITYANA 24hr'!H72,'19.10 BUSUNJU-MITYANA 24hr'!H72)</f>
        <v>0</v>
      </c>
      <c r="I72" s="49">
        <f>AVERAGE('18.10 BUSUNJU-MITYANA 24hr'!I72,'19.10 BUSUNJU-MITYANA 24hr'!I72)</f>
        <v>0</v>
      </c>
      <c r="J72" s="49">
        <f>AVERAGE('18.10 BUSUNJU-MITYANA 24hr'!J72,'19.10 BUSUNJU-MITYANA 24hr'!J72)</f>
        <v>0</v>
      </c>
      <c r="K72" s="49">
        <f>AVERAGE('18.10 BUSUNJU-MITYANA 24hr'!K72,'19.10 BUSUNJU-MITYANA 24hr'!K72)</f>
        <v>0</v>
      </c>
      <c r="L72" s="49">
        <f>AVERAGE('18.10 BUSUNJU-MITYANA 24hr'!L72,'19.10 BUSUNJU-MITYANA 24hr'!L72)</f>
        <v>0.5</v>
      </c>
      <c r="M72" s="49">
        <f>AVERAGE('18.10 BUSUNJU-MITYANA 24hr'!M72,'19.10 BUSUNJU-MITYANA 24hr'!M72)</f>
        <v>5.5</v>
      </c>
      <c r="N72" s="49">
        <f>AVERAGE('18.10 BUSUNJU-MITYANA 24hr'!N72,'19.10 BUSUNJU-MITYANA 24hr'!N72)</f>
        <v>0</v>
      </c>
      <c r="O72" s="15">
        <f t="shared" si="0"/>
        <v>2.5</v>
      </c>
      <c r="P72" s="15">
        <f t="shared" si="1"/>
        <v>8</v>
      </c>
      <c r="R72" s="8"/>
      <c r="T72"/>
    </row>
    <row r="73" spans="2:20" ht="23.1" customHeight="1" x14ac:dyDescent="0.25">
      <c r="B73" s="23" t="s">
        <v>113</v>
      </c>
      <c r="C73" s="49">
        <f>AVERAGE('18.10 BUSUNJU-MITYANA 24hr'!C73,'19.10 BUSUNJU-MITYANA 24hr'!C73)</f>
        <v>0</v>
      </c>
      <c r="D73" s="49">
        <f>AVERAGE('18.10 BUSUNJU-MITYANA 24hr'!D73,'19.10 BUSUNJU-MITYANA 24hr'!D73)</f>
        <v>0</v>
      </c>
      <c r="E73" s="49">
        <f>AVERAGE('18.10 BUSUNJU-MITYANA 24hr'!E73,'19.10 BUSUNJU-MITYANA 24hr'!E73)</f>
        <v>0</v>
      </c>
      <c r="F73" s="49">
        <f>AVERAGE('18.10 BUSUNJU-MITYANA 24hr'!F73,'19.10 BUSUNJU-MITYANA 24hr'!F73)</f>
        <v>0</v>
      </c>
      <c r="G73" s="49">
        <f>AVERAGE('18.10 BUSUNJU-MITYANA 24hr'!G73,'19.10 BUSUNJU-MITYANA 24hr'!G73)</f>
        <v>0</v>
      </c>
      <c r="H73" s="49">
        <f>AVERAGE('18.10 BUSUNJU-MITYANA 24hr'!H73,'19.10 BUSUNJU-MITYANA 24hr'!H73)</f>
        <v>0</v>
      </c>
      <c r="I73" s="49">
        <f>AVERAGE('18.10 BUSUNJU-MITYANA 24hr'!I73,'19.10 BUSUNJU-MITYANA 24hr'!I73)</f>
        <v>0.5</v>
      </c>
      <c r="J73" s="49">
        <f>AVERAGE('18.10 BUSUNJU-MITYANA 24hr'!J73,'19.10 BUSUNJU-MITYANA 24hr'!J73)</f>
        <v>0</v>
      </c>
      <c r="K73" s="49">
        <f>AVERAGE('18.10 BUSUNJU-MITYANA 24hr'!K73,'19.10 BUSUNJU-MITYANA 24hr'!K73)</f>
        <v>0</v>
      </c>
      <c r="L73" s="49">
        <f>AVERAGE('18.10 BUSUNJU-MITYANA 24hr'!L73,'19.10 BUSUNJU-MITYANA 24hr'!L73)</f>
        <v>0</v>
      </c>
      <c r="M73" s="49">
        <f>AVERAGE('18.10 BUSUNJU-MITYANA 24hr'!M73,'19.10 BUSUNJU-MITYANA 24hr'!M73)</f>
        <v>3</v>
      </c>
      <c r="N73" s="49">
        <f>AVERAGE('18.10 BUSUNJU-MITYANA 24hr'!N73,'19.10 BUSUNJU-MITYANA 24hr'!N73)</f>
        <v>0</v>
      </c>
      <c r="O73" s="15">
        <f t="shared" si="0"/>
        <v>0.5</v>
      </c>
      <c r="P73" s="15">
        <f t="shared" si="1"/>
        <v>3.5</v>
      </c>
      <c r="R73" s="8"/>
      <c r="T73"/>
    </row>
    <row r="74" spans="2:20" ht="23.1" customHeight="1" x14ac:dyDescent="0.25">
      <c r="B74" s="23" t="s">
        <v>114</v>
      </c>
      <c r="C74" s="49">
        <f>AVERAGE('18.10 BUSUNJU-MITYANA 24hr'!C74,'19.10 BUSUNJU-MITYANA 24hr'!C74)</f>
        <v>1</v>
      </c>
      <c r="D74" s="49">
        <f>AVERAGE('18.10 BUSUNJU-MITYANA 24hr'!D74,'19.10 BUSUNJU-MITYANA 24hr'!D74)</f>
        <v>1</v>
      </c>
      <c r="E74" s="49">
        <f>AVERAGE('18.10 BUSUNJU-MITYANA 24hr'!E74,'19.10 BUSUNJU-MITYANA 24hr'!E74)</f>
        <v>0</v>
      </c>
      <c r="F74" s="49">
        <f>AVERAGE('18.10 BUSUNJU-MITYANA 24hr'!F74,'19.10 BUSUNJU-MITYANA 24hr'!F74)</f>
        <v>0</v>
      </c>
      <c r="G74" s="49">
        <f>AVERAGE('18.10 BUSUNJU-MITYANA 24hr'!G74,'19.10 BUSUNJU-MITYANA 24hr'!G74)</f>
        <v>0</v>
      </c>
      <c r="H74" s="49">
        <f>AVERAGE('18.10 BUSUNJU-MITYANA 24hr'!H74,'19.10 BUSUNJU-MITYANA 24hr'!H74)</f>
        <v>0</v>
      </c>
      <c r="I74" s="49">
        <f>AVERAGE('18.10 BUSUNJU-MITYANA 24hr'!I74,'19.10 BUSUNJU-MITYANA 24hr'!I74)</f>
        <v>0.5</v>
      </c>
      <c r="J74" s="49">
        <f>AVERAGE('18.10 BUSUNJU-MITYANA 24hr'!J74,'19.10 BUSUNJU-MITYANA 24hr'!J74)</f>
        <v>0.5</v>
      </c>
      <c r="K74" s="49">
        <f>AVERAGE('18.10 BUSUNJU-MITYANA 24hr'!K74,'19.10 BUSUNJU-MITYANA 24hr'!K74)</f>
        <v>0</v>
      </c>
      <c r="L74" s="49">
        <f>AVERAGE('18.10 BUSUNJU-MITYANA 24hr'!L74,'19.10 BUSUNJU-MITYANA 24hr'!L74)</f>
        <v>0</v>
      </c>
      <c r="M74" s="49">
        <f>AVERAGE('18.10 BUSUNJU-MITYANA 24hr'!M74,'19.10 BUSUNJU-MITYANA 24hr'!M74)</f>
        <v>2.5</v>
      </c>
      <c r="N74" s="49">
        <f>AVERAGE('18.10 BUSUNJU-MITYANA 24hr'!N74,'19.10 BUSUNJU-MITYANA 24hr'!N74)</f>
        <v>0</v>
      </c>
      <c r="O74" s="15">
        <f t="shared" ref="O74:O105" si="35">SUM(C74:L74,N74)</f>
        <v>3</v>
      </c>
      <c r="P74" s="15">
        <f t="shared" ref="P74:P105" si="36">SUM(C74:N74)</f>
        <v>5.5</v>
      </c>
      <c r="R74" s="8"/>
      <c r="T74"/>
    </row>
    <row r="75" spans="2:20" ht="23.1" customHeight="1" x14ac:dyDescent="0.25">
      <c r="B75" s="23" t="s">
        <v>115</v>
      </c>
      <c r="C75" s="49">
        <f>AVERAGE('18.10 BUSUNJU-MITYANA 24hr'!C75,'19.10 BUSUNJU-MITYANA 24hr'!C75)</f>
        <v>0.5</v>
      </c>
      <c r="D75" s="49">
        <f>AVERAGE('18.10 BUSUNJU-MITYANA 24hr'!D75,'19.10 BUSUNJU-MITYANA 24hr'!D75)</f>
        <v>0.5</v>
      </c>
      <c r="E75" s="49">
        <f>AVERAGE('18.10 BUSUNJU-MITYANA 24hr'!E75,'19.10 BUSUNJU-MITYANA 24hr'!E75)</f>
        <v>0</v>
      </c>
      <c r="F75" s="49">
        <f>AVERAGE('18.10 BUSUNJU-MITYANA 24hr'!F75,'19.10 BUSUNJU-MITYANA 24hr'!F75)</f>
        <v>0</v>
      </c>
      <c r="G75" s="49">
        <f>AVERAGE('18.10 BUSUNJU-MITYANA 24hr'!G75,'19.10 BUSUNJU-MITYANA 24hr'!G75)</f>
        <v>0</v>
      </c>
      <c r="H75" s="49">
        <f>AVERAGE('18.10 BUSUNJU-MITYANA 24hr'!H75,'19.10 BUSUNJU-MITYANA 24hr'!H75)</f>
        <v>0</v>
      </c>
      <c r="I75" s="49">
        <f>AVERAGE('18.10 BUSUNJU-MITYANA 24hr'!I75,'19.10 BUSUNJU-MITYANA 24hr'!I75)</f>
        <v>0</v>
      </c>
      <c r="J75" s="49">
        <f>AVERAGE('18.10 BUSUNJU-MITYANA 24hr'!J75,'19.10 BUSUNJU-MITYANA 24hr'!J75)</f>
        <v>0.5</v>
      </c>
      <c r="K75" s="49">
        <f>AVERAGE('18.10 BUSUNJU-MITYANA 24hr'!K75,'19.10 BUSUNJU-MITYANA 24hr'!K75)</f>
        <v>0</v>
      </c>
      <c r="L75" s="49">
        <f>AVERAGE('18.10 BUSUNJU-MITYANA 24hr'!L75,'19.10 BUSUNJU-MITYANA 24hr'!L75)</f>
        <v>0</v>
      </c>
      <c r="M75" s="49">
        <f>AVERAGE('18.10 BUSUNJU-MITYANA 24hr'!M75,'19.10 BUSUNJU-MITYANA 24hr'!M75)</f>
        <v>1</v>
      </c>
      <c r="N75" s="49">
        <f>AVERAGE('18.10 BUSUNJU-MITYANA 24hr'!N75,'19.10 BUSUNJU-MITYANA 24hr'!N75)</f>
        <v>0</v>
      </c>
      <c r="O75" s="15">
        <f t="shared" si="35"/>
        <v>1.5</v>
      </c>
      <c r="P75" s="15">
        <f t="shared" si="36"/>
        <v>2.5</v>
      </c>
      <c r="R75" s="8"/>
      <c r="T75"/>
    </row>
    <row r="76" spans="2:20" ht="23.1" customHeight="1" x14ac:dyDescent="0.25">
      <c r="B76" s="23" t="s">
        <v>116</v>
      </c>
      <c r="C76" s="49">
        <f>AVERAGE('18.10 BUSUNJU-MITYANA 24hr'!C76,'19.10 BUSUNJU-MITYANA 24hr'!C76)</f>
        <v>0.5</v>
      </c>
      <c r="D76" s="49">
        <f>AVERAGE('18.10 BUSUNJU-MITYANA 24hr'!D76,'19.10 BUSUNJU-MITYANA 24hr'!D76)</f>
        <v>0</v>
      </c>
      <c r="E76" s="49">
        <f>AVERAGE('18.10 BUSUNJU-MITYANA 24hr'!E76,'19.10 BUSUNJU-MITYANA 24hr'!E76)</f>
        <v>0</v>
      </c>
      <c r="F76" s="49">
        <f>AVERAGE('18.10 BUSUNJU-MITYANA 24hr'!F76,'19.10 BUSUNJU-MITYANA 24hr'!F76)</f>
        <v>0</v>
      </c>
      <c r="G76" s="49">
        <f>AVERAGE('18.10 BUSUNJU-MITYANA 24hr'!G76,'19.10 BUSUNJU-MITYANA 24hr'!G76)</f>
        <v>0</v>
      </c>
      <c r="H76" s="49">
        <f>AVERAGE('18.10 BUSUNJU-MITYANA 24hr'!H76,'19.10 BUSUNJU-MITYANA 24hr'!H76)</f>
        <v>0</v>
      </c>
      <c r="I76" s="49">
        <f>AVERAGE('18.10 BUSUNJU-MITYANA 24hr'!I76,'19.10 BUSUNJU-MITYANA 24hr'!I76)</f>
        <v>0</v>
      </c>
      <c r="J76" s="49">
        <f>AVERAGE('18.10 BUSUNJU-MITYANA 24hr'!J76,'19.10 BUSUNJU-MITYANA 24hr'!J76)</f>
        <v>0.5</v>
      </c>
      <c r="K76" s="49">
        <f>AVERAGE('18.10 BUSUNJU-MITYANA 24hr'!K76,'19.10 BUSUNJU-MITYANA 24hr'!K76)</f>
        <v>0</v>
      </c>
      <c r="L76" s="49">
        <f>AVERAGE('18.10 BUSUNJU-MITYANA 24hr'!L76,'19.10 BUSUNJU-MITYANA 24hr'!L76)</f>
        <v>0</v>
      </c>
      <c r="M76" s="49">
        <f>AVERAGE('18.10 BUSUNJU-MITYANA 24hr'!M76,'19.10 BUSUNJU-MITYANA 24hr'!M76)</f>
        <v>1</v>
      </c>
      <c r="N76" s="49">
        <f>AVERAGE('18.10 BUSUNJU-MITYANA 24hr'!N76,'19.10 BUSUNJU-MITYANA 24hr'!N76)</f>
        <v>0</v>
      </c>
      <c r="O76" s="15">
        <f t="shared" si="35"/>
        <v>1</v>
      </c>
      <c r="P76" s="15">
        <f t="shared" si="36"/>
        <v>2</v>
      </c>
      <c r="R76" s="8"/>
      <c r="T76"/>
    </row>
    <row r="77" spans="2:20" ht="23.1" customHeight="1" x14ac:dyDescent="0.25">
      <c r="B77" s="23" t="s">
        <v>117</v>
      </c>
      <c r="C77" s="49">
        <f>AVERAGE('18.10 BUSUNJU-MITYANA 24hr'!C77,'19.10 BUSUNJU-MITYANA 24hr'!C77)</f>
        <v>0.5</v>
      </c>
      <c r="D77" s="49">
        <f>AVERAGE('18.10 BUSUNJU-MITYANA 24hr'!D77,'19.10 BUSUNJU-MITYANA 24hr'!D77)</f>
        <v>0</v>
      </c>
      <c r="E77" s="49">
        <f>AVERAGE('18.10 BUSUNJU-MITYANA 24hr'!E77,'19.10 BUSUNJU-MITYANA 24hr'!E77)</f>
        <v>0</v>
      </c>
      <c r="F77" s="49">
        <f>AVERAGE('18.10 BUSUNJU-MITYANA 24hr'!F77,'19.10 BUSUNJU-MITYANA 24hr'!F77)</f>
        <v>0</v>
      </c>
      <c r="G77" s="49">
        <f>AVERAGE('18.10 BUSUNJU-MITYANA 24hr'!G77,'19.10 BUSUNJU-MITYANA 24hr'!G77)</f>
        <v>0</v>
      </c>
      <c r="H77" s="49">
        <f>AVERAGE('18.10 BUSUNJU-MITYANA 24hr'!H77,'19.10 BUSUNJU-MITYANA 24hr'!H77)</f>
        <v>0</v>
      </c>
      <c r="I77" s="49">
        <f>AVERAGE('18.10 BUSUNJU-MITYANA 24hr'!I77,'19.10 BUSUNJU-MITYANA 24hr'!I77)</f>
        <v>0</v>
      </c>
      <c r="J77" s="49">
        <f>AVERAGE('18.10 BUSUNJU-MITYANA 24hr'!J77,'19.10 BUSUNJU-MITYANA 24hr'!J77)</f>
        <v>0</v>
      </c>
      <c r="K77" s="49">
        <f>AVERAGE('18.10 BUSUNJU-MITYANA 24hr'!K77,'19.10 BUSUNJU-MITYANA 24hr'!K77)</f>
        <v>0</v>
      </c>
      <c r="L77" s="49">
        <f>AVERAGE('18.10 BUSUNJU-MITYANA 24hr'!L77,'19.10 BUSUNJU-MITYANA 24hr'!L77)</f>
        <v>0</v>
      </c>
      <c r="M77" s="49">
        <f>AVERAGE('18.10 BUSUNJU-MITYANA 24hr'!M77,'19.10 BUSUNJU-MITYANA 24hr'!M77)</f>
        <v>1.5</v>
      </c>
      <c r="N77" s="49">
        <f>AVERAGE('18.10 BUSUNJU-MITYANA 24hr'!N77,'19.10 BUSUNJU-MITYANA 24hr'!N77)</f>
        <v>0</v>
      </c>
      <c r="O77" s="15">
        <f t="shared" si="35"/>
        <v>0.5</v>
      </c>
      <c r="P77" s="15">
        <f t="shared" si="36"/>
        <v>2</v>
      </c>
      <c r="R77" s="8"/>
      <c r="T77"/>
    </row>
    <row r="78" spans="2:20" ht="23.1" customHeight="1" x14ac:dyDescent="0.25">
      <c r="B78" s="24" t="s">
        <v>118</v>
      </c>
      <c r="C78" s="49">
        <f>AVERAGE('18.10 BUSUNJU-MITYANA 24hr'!C78,'19.10 BUSUNJU-MITYANA 24hr'!C78)</f>
        <v>1</v>
      </c>
      <c r="D78" s="49">
        <f>AVERAGE('18.10 BUSUNJU-MITYANA 24hr'!D78,'19.10 BUSUNJU-MITYANA 24hr'!D78)</f>
        <v>0</v>
      </c>
      <c r="E78" s="49">
        <f>AVERAGE('18.10 BUSUNJU-MITYANA 24hr'!E78,'19.10 BUSUNJU-MITYANA 24hr'!E78)</f>
        <v>0</v>
      </c>
      <c r="F78" s="49">
        <f>AVERAGE('18.10 BUSUNJU-MITYANA 24hr'!F78,'19.10 BUSUNJU-MITYANA 24hr'!F78)</f>
        <v>0</v>
      </c>
      <c r="G78" s="49">
        <f>AVERAGE('18.10 BUSUNJU-MITYANA 24hr'!G78,'19.10 BUSUNJU-MITYANA 24hr'!G78)</f>
        <v>0</v>
      </c>
      <c r="H78" s="49">
        <f>AVERAGE('18.10 BUSUNJU-MITYANA 24hr'!H78,'19.10 BUSUNJU-MITYANA 24hr'!H78)</f>
        <v>0</v>
      </c>
      <c r="I78" s="49">
        <f>AVERAGE('18.10 BUSUNJU-MITYANA 24hr'!I78,'19.10 BUSUNJU-MITYANA 24hr'!I78)</f>
        <v>0</v>
      </c>
      <c r="J78" s="49">
        <f>AVERAGE('18.10 BUSUNJU-MITYANA 24hr'!J78,'19.10 BUSUNJU-MITYANA 24hr'!J78)</f>
        <v>0</v>
      </c>
      <c r="K78" s="49">
        <f>AVERAGE('18.10 BUSUNJU-MITYANA 24hr'!K78,'19.10 BUSUNJU-MITYANA 24hr'!K78)</f>
        <v>0</v>
      </c>
      <c r="L78" s="49">
        <f>AVERAGE('18.10 BUSUNJU-MITYANA 24hr'!L78,'19.10 BUSUNJU-MITYANA 24hr'!L78)</f>
        <v>0.5</v>
      </c>
      <c r="M78" s="49">
        <f>AVERAGE('18.10 BUSUNJU-MITYANA 24hr'!M78,'19.10 BUSUNJU-MITYANA 24hr'!M78)</f>
        <v>1.5</v>
      </c>
      <c r="N78" s="49">
        <f>AVERAGE('18.10 BUSUNJU-MITYANA 24hr'!N78,'19.10 BUSUNJU-MITYANA 24hr'!N78)</f>
        <v>0</v>
      </c>
      <c r="O78" s="15">
        <f t="shared" si="35"/>
        <v>1.5</v>
      </c>
      <c r="P78" s="15">
        <f t="shared" si="36"/>
        <v>3</v>
      </c>
      <c r="R78" s="8"/>
      <c r="T78"/>
    </row>
    <row r="79" spans="2:20" ht="23.1" customHeight="1" x14ac:dyDescent="0.25">
      <c r="B79" s="23" t="s">
        <v>119</v>
      </c>
      <c r="C79" s="49">
        <f>AVERAGE('18.10 BUSUNJU-MITYANA 24hr'!C79,'19.10 BUSUNJU-MITYANA 24hr'!C79)</f>
        <v>0.5</v>
      </c>
      <c r="D79" s="49">
        <f>AVERAGE('18.10 BUSUNJU-MITYANA 24hr'!D79,'19.10 BUSUNJU-MITYANA 24hr'!D79)</f>
        <v>0</v>
      </c>
      <c r="E79" s="49">
        <f>AVERAGE('18.10 BUSUNJU-MITYANA 24hr'!E79,'19.10 BUSUNJU-MITYANA 24hr'!E79)</f>
        <v>0.5</v>
      </c>
      <c r="F79" s="49">
        <f>AVERAGE('18.10 BUSUNJU-MITYANA 24hr'!F79,'19.10 BUSUNJU-MITYANA 24hr'!F79)</f>
        <v>0</v>
      </c>
      <c r="G79" s="49">
        <f>AVERAGE('18.10 BUSUNJU-MITYANA 24hr'!G79,'19.10 BUSUNJU-MITYANA 24hr'!G79)</f>
        <v>0</v>
      </c>
      <c r="H79" s="49">
        <f>AVERAGE('18.10 BUSUNJU-MITYANA 24hr'!H79,'19.10 BUSUNJU-MITYANA 24hr'!H79)</f>
        <v>0</v>
      </c>
      <c r="I79" s="49">
        <f>AVERAGE('18.10 BUSUNJU-MITYANA 24hr'!I79,'19.10 BUSUNJU-MITYANA 24hr'!I79)</f>
        <v>0</v>
      </c>
      <c r="J79" s="49">
        <f>AVERAGE('18.10 BUSUNJU-MITYANA 24hr'!J79,'19.10 BUSUNJU-MITYANA 24hr'!J79)</f>
        <v>0</v>
      </c>
      <c r="K79" s="49">
        <f>AVERAGE('18.10 BUSUNJU-MITYANA 24hr'!K79,'19.10 BUSUNJU-MITYANA 24hr'!K79)</f>
        <v>0</v>
      </c>
      <c r="L79" s="49">
        <f>AVERAGE('18.10 BUSUNJU-MITYANA 24hr'!L79,'19.10 BUSUNJU-MITYANA 24hr'!L79)</f>
        <v>0</v>
      </c>
      <c r="M79" s="49">
        <f>AVERAGE('18.10 BUSUNJU-MITYANA 24hr'!M79,'19.10 BUSUNJU-MITYANA 24hr'!M79)</f>
        <v>0.5</v>
      </c>
      <c r="N79" s="49">
        <f>AVERAGE('18.10 BUSUNJU-MITYANA 24hr'!N79,'19.10 BUSUNJU-MITYANA 24hr'!N79)</f>
        <v>0</v>
      </c>
      <c r="O79" s="15">
        <f t="shared" si="35"/>
        <v>1</v>
      </c>
      <c r="P79" s="15">
        <f t="shared" si="36"/>
        <v>1.5</v>
      </c>
      <c r="R79" s="8"/>
      <c r="T79"/>
    </row>
    <row r="80" spans="2:20" ht="23.1" customHeight="1" x14ac:dyDescent="0.25">
      <c r="B80" s="25" t="s">
        <v>120</v>
      </c>
      <c r="C80" s="49">
        <f>AVERAGE('18.10 BUSUNJU-MITYANA 24hr'!C80,'19.10 BUSUNJU-MITYANA 24hr'!C80)</f>
        <v>0</v>
      </c>
      <c r="D80" s="49">
        <f>AVERAGE('18.10 BUSUNJU-MITYANA 24hr'!D80,'19.10 BUSUNJU-MITYANA 24hr'!D80)</f>
        <v>0</v>
      </c>
      <c r="E80" s="49">
        <f>AVERAGE('18.10 BUSUNJU-MITYANA 24hr'!E80,'19.10 BUSUNJU-MITYANA 24hr'!E80)</f>
        <v>0.5</v>
      </c>
      <c r="F80" s="49">
        <f>AVERAGE('18.10 BUSUNJU-MITYANA 24hr'!F80,'19.10 BUSUNJU-MITYANA 24hr'!F80)</f>
        <v>0</v>
      </c>
      <c r="G80" s="49">
        <f>AVERAGE('18.10 BUSUNJU-MITYANA 24hr'!G80,'19.10 BUSUNJU-MITYANA 24hr'!G80)</f>
        <v>0</v>
      </c>
      <c r="H80" s="49">
        <f>AVERAGE('18.10 BUSUNJU-MITYANA 24hr'!H80,'19.10 BUSUNJU-MITYANA 24hr'!H80)</f>
        <v>0</v>
      </c>
      <c r="I80" s="49">
        <f>AVERAGE('18.10 BUSUNJU-MITYANA 24hr'!I80,'19.10 BUSUNJU-MITYANA 24hr'!I80)</f>
        <v>0</v>
      </c>
      <c r="J80" s="49">
        <f>AVERAGE('18.10 BUSUNJU-MITYANA 24hr'!J80,'19.10 BUSUNJU-MITYANA 24hr'!J80)</f>
        <v>0</v>
      </c>
      <c r="K80" s="49">
        <f>AVERAGE('18.10 BUSUNJU-MITYANA 24hr'!K80,'19.10 BUSUNJU-MITYANA 24hr'!K80)</f>
        <v>0</v>
      </c>
      <c r="L80" s="49">
        <f>AVERAGE('18.10 BUSUNJU-MITYANA 24hr'!L80,'19.10 BUSUNJU-MITYANA 24hr'!L80)</f>
        <v>0</v>
      </c>
      <c r="M80" s="49">
        <f>AVERAGE('18.10 BUSUNJU-MITYANA 24hr'!M80,'19.10 BUSUNJU-MITYANA 24hr'!M80)</f>
        <v>0.5</v>
      </c>
      <c r="N80" s="49">
        <f>AVERAGE('18.10 BUSUNJU-MITYANA 24hr'!N80,'19.10 BUSUNJU-MITYANA 24hr'!N80)</f>
        <v>0</v>
      </c>
      <c r="O80" s="15">
        <f t="shared" si="35"/>
        <v>0.5</v>
      </c>
      <c r="P80" s="15">
        <f t="shared" si="36"/>
        <v>1</v>
      </c>
      <c r="R80" s="8"/>
      <c r="T80"/>
    </row>
    <row r="81" spans="2:20" ht="23.1" customHeight="1" x14ac:dyDescent="0.25">
      <c r="B81" s="23" t="s">
        <v>121</v>
      </c>
      <c r="C81" s="49">
        <f>AVERAGE('18.10 BUSUNJU-MITYANA 24hr'!C81,'19.10 BUSUNJU-MITYANA 24hr'!C81)</f>
        <v>1.5</v>
      </c>
      <c r="D81" s="49">
        <f>AVERAGE('18.10 BUSUNJU-MITYANA 24hr'!D81,'19.10 BUSUNJU-MITYANA 24hr'!D81)</f>
        <v>0</v>
      </c>
      <c r="E81" s="49">
        <f>AVERAGE('18.10 BUSUNJU-MITYANA 24hr'!E81,'19.10 BUSUNJU-MITYANA 24hr'!E81)</f>
        <v>0.5</v>
      </c>
      <c r="F81" s="49">
        <f>AVERAGE('18.10 BUSUNJU-MITYANA 24hr'!F81,'19.10 BUSUNJU-MITYANA 24hr'!F81)</f>
        <v>0</v>
      </c>
      <c r="G81" s="49">
        <f>AVERAGE('18.10 BUSUNJU-MITYANA 24hr'!G81,'19.10 BUSUNJU-MITYANA 24hr'!G81)</f>
        <v>0</v>
      </c>
      <c r="H81" s="49">
        <f>AVERAGE('18.10 BUSUNJU-MITYANA 24hr'!H81,'19.10 BUSUNJU-MITYANA 24hr'!H81)</f>
        <v>0</v>
      </c>
      <c r="I81" s="49">
        <f>AVERAGE('18.10 BUSUNJU-MITYANA 24hr'!I81,'19.10 BUSUNJU-MITYANA 24hr'!I81)</f>
        <v>0</v>
      </c>
      <c r="J81" s="49">
        <f>AVERAGE('18.10 BUSUNJU-MITYANA 24hr'!J81,'19.10 BUSUNJU-MITYANA 24hr'!J81)</f>
        <v>0.5</v>
      </c>
      <c r="K81" s="49">
        <f>AVERAGE('18.10 BUSUNJU-MITYANA 24hr'!K81,'19.10 BUSUNJU-MITYANA 24hr'!K81)</f>
        <v>0</v>
      </c>
      <c r="L81" s="49">
        <f>AVERAGE('18.10 BUSUNJU-MITYANA 24hr'!L81,'19.10 BUSUNJU-MITYANA 24hr'!L81)</f>
        <v>1</v>
      </c>
      <c r="M81" s="49">
        <f>AVERAGE('18.10 BUSUNJU-MITYANA 24hr'!M81,'19.10 BUSUNJU-MITYANA 24hr'!M81)</f>
        <v>0</v>
      </c>
      <c r="N81" s="49">
        <f>AVERAGE('18.10 BUSUNJU-MITYANA 24hr'!N81,'19.10 BUSUNJU-MITYANA 24hr'!N81)</f>
        <v>0</v>
      </c>
      <c r="O81" s="15">
        <f t="shared" si="35"/>
        <v>3.5</v>
      </c>
      <c r="P81" s="15">
        <f t="shared" si="36"/>
        <v>3.5</v>
      </c>
      <c r="R81" s="8"/>
      <c r="T81"/>
    </row>
    <row r="82" spans="2:20" ht="23.1" customHeight="1" x14ac:dyDescent="0.25">
      <c r="B82" s="24" t="s">
        <v>122</v>
      </c>
      <c r="C82" s="49">
        <f>AVERAGE('18.10 BUSUNJU-MITYANA 24hr'!C82,'19.10 BUSUNJU-MITYANA 24hr'!C82)</f>
        <v>1</v>
      </c>
      <c r="D82" s="49">
        <f>AVERAGE('18.10 BUSUNJU-MITYANA 24hr'!D82,'19.10 BUSUNJU-MITYANA 24hr'!D82)</f>
        <v>0.5</v>
      </c>
      <c r="E82" s="49">
        <f>AVERAGE('18.10 BUSUNJU-MITYANA 24hr'!E82,'19.10 BUSUNJU-MITYANA 24hr'!E82)</f>
        <v>0</v>
      </c>
      <c r="F82" s="49">
        <f>AVERAGE('18.10 BUSUNJU-MITYANA 24hr'!F82,'19.10 BUSUNJU-MITYANA 24hr'!F82)</f>
        <v>0</v>
      </c>
      <c r="G82" s="49">
        <f>AVERAGE('18.10 BUSUNJU-MITYANA 24hr'!G82,'19.10 BUSUNJU-MITYANA 24hr'!G82)</f>
        <v>0</v>
      </c>
      <c r="H82" s="49">
        <f>AVERAGE('18.10 BUSUNJU-MITYANA 24hr'!H82,'19.10 BUSUNJU-MITYANA 24hr'!H82)</f>
        <v>0</v>
      </c>
      <c r="I82" s="49">
        <f>AVERAGE('18.10 BUSUNJU-MITYANA 24hr'!I82,'19.10 BUSUNJU-MITYANA 24hr'!I82)</f>
        <v>0.5</v>
      </c>
      <c r="J82" s="49">
        <f>AVERAGE('18.10 BUSUNJU-MITYANA 24hr'!J82,'19.10 BUSUNJU-MITYANA 24hr'!J82)</f>
        <v>0</v>
      </c>
      <c r="K82" s="49">
        <f>AVERAGE('18.10 BUSUNJU-MITYANA 24hr'!K82,'19.10 BUSUNJU-MITYANA 24hr'!K82)</f>
        <v>0</v>
      </c>
      <c r="L82" s="49">
        <f>AVERAGE('18.10 BUSUNJU-MITYANA 24hr'!L82,'19.10 BUSUNJU-MITYANA 24hr'!L82)</f>
        <v>0</v>
      </c>
      <c r="M82" s="49">
        <f>AVERAGE('18.10 BUSUNJU-MITYANA 24hr'!M82,'19.10 BUSUNJU-MITYANA 24hr'!M82)</f>
        <v>0</v>
      </c>
      <c r="N82" s="49">
        <f>AVERAGE('18.10 BUSUNJU-MITYANA 24hr'!N82,'19.10 BUSUNJU-MITYANA 24hr'!N82)</f>
        <v>0</v>
      </c>
      <c r="O82" s="15">
        <f t="shared" si="35"/>
        <v>2</v>
      </c>
      <c r="P82" s="15">
        <f t="shared" si="36"/>
        <v>2</v>
      </c>
      <c r="R82" s="8"/>
      <c r="T82"/>
    </row>
    <row r="83" spans="2:20" ht="23.1" customHeight="1" x14ac:dyDescent="0.25">
      <c r="B83" s="23" t="s">
        <v>123</v>
      </c>
      <c r="C83" s="49">
        <f>AVERAGE('18.10 BUSUNJU-MITYANA 24hr'!C83,'19.10 BUSUNJU-MITYANA 24hr'!C83)</f>
        <v>0</v>
      </c>
      <c r="D83" s="49">
        <f>AVERAGE('18.10 BUSUNJU-MITYANA 24hr'!D83,'19.10 BUSUNJU-MITYANA 24hr'!D83)</f>
        <v>0</v>
      </c>
      <c r="E83" s="49">
        <f>AVERAGE('18.10 BUSUNJU-MITYANA 24hr'!E83,'19.10 BUSUNJU-MITYANA 24hr'!E83)</f>
        <v>0</v>
      </c>
      <c r="F83" s="49">
        <f>AVERAGE('18.10 BUSUNJU-MITYANA 24hr'!F83,'19.10 BUSUNJU-MITYANA 24hr'!F83)</f>
        <v>0</v>
      </c>
      <c r="G83" s="49">
        <f>AVERAGE('18.10 BUSUNJU-MITYANA 24hr'!G83,'19.10 BUSUNJU-MITYANA 24hr'!G83)</f>
        <v>0</v>
      </c>
      <c r="H83" s="49">
        <f>AVERAGE('18.10 BUSUNJU-MITYANA 24hr'!H83,'19.10 BUSUNJU-MITYANA 24hr'!H83)</f>
        <v>0</v>
      </c>
      <c r="I83" s="49">
        <f>AVERAGE('18.10 BUSUNJU-MITYANA 24hr'!I83,'19.10 BUSUNJU-MITYANA 24hr'!I83)</f>
        <v>0</v>
      </c>
      <c r="J83" s="49">
        <f>AVERAGE('18.10 BUSUNJU-MITYANA 24hr'!J83,'19.10 BUSUNJU-MITYANA 24hr'!J83)</f>
        <v>0</v>
      </c>
      <c r="K83" s="49">
        <f>AVERAGE('18.10 BUSUNJU-MITYANA 24hr'!K83,'19.10 BUSUNJU-MITYANA 24hr'!K83)</f>
        <v>0</v>
      </c>
      <c r="L83" s="49">
        <f>AVERAGE('18.10 BUSUNJU-MITYANA 24hr'!L83,'19.10 BUSUNJU-MITYANA 24hr'!L83)</f>
        <v>1</v>
      </c>
      <c r="M83" s="49">
        <f>AVERAGE('18.10 BUSUNJU-MITYANA 24hr'!M83,'19.10 BUSUNJU-MITYANA 24hr'!M83)</f>
        <v>0</v>
      </c>
      <c r="N83" s="49">
        <f>AVERAGE('18.10 BUSUNJU-MITYANA 24hr'!N83,'19.10 BUSUNJU-MITYANA 24hr'!N83)</f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25" t="s">
        <v>124</v>
      </c>
      <c r="C84" s="49">
        <f>AVERAGE('18.10 BUSUNJU-MITYANA 24hr'!C84,'19.10 BUSUNJU-MITYANA 24hr'!C84)</f>
        <v>0</v>
      </c>
      <c r="D84" s="49">
        <f>AVERAGE('18.10 BUSUNJU-MITYANA 24hr'!D84,'19.10 BUSUNJU-MITYANA 24hr'!D84)</f>
        <v>0</v>
      </c>
      <c r="E84" s="49">
        <f>AVERAGE('18.10 BUSUNJU-MITYANA 24hr'!E84,'19.10 BUSUNJU-MITYANA 24hr'!E84)</f>
        <v>0.5</v>
      </c>
      <c r="F84" s="49">
        <f>AVERAGE('18.10 BUSUNJU-MITYANA 24hr'!F84,'19.10 BUSUNJU-MITYANA 24hr'!F84)</f>
        <v>0</v>
      </c>
      <c r="G84" s="49">
        <f>AVERAGE('18.10 BUSUNJU-MITYANA 24hr'!G84,'19.10 BUSUNJU-MITYANA 24hr'!G84)</f>
        <v>0</v>
      </c>
      <c r="H84" s="49">
        <f>AVERAGE('18.10 BUSUNJU-MITYANA 24hr'!H84,'19.10 BUSUNJU-MITYANA 24hr'!H84)</f>
        <v>0</v>
      </c>
      <c r="I84" s="49">
        <f>AVERAGE('18.10 BUSUNJU-MITYANA 24hr'!I84,'19.10 BUSUNJU-MITYANA 24hr'!I84)</f>
        <v>0</v>
      </c>
      <c r="J84" s="49">
        <f>AVERAGE('18.10 BUSUNJU-MITYANA 24hr'!J84,'19.10 BUSUNJU-MITYANA 24hr'!J84)</f>
        <v>0</v>
      </c>
      <c r="K84" s="49">
        <f>AVERAGE('18.10 BUSUNJU-MITYANA 24hr'!K84,'19.10 BUSUNJU-MITYANA 24hr'!K84)</f>
        <v>0</v>
      </c>
      <c r="L84" s="49">
        <f>AVERAGE('18.10 BUSUNJU-MITYANA 24hr'!L84,'19.10 BUSUNJU-MITYANA 24hr'!L84)</f>
        <v>0</v>
      </c>
      <c r="M84" s="49">
        <f>AVERAGE('18.10 BUSUNJU-MITYANA 24hr'!M84,'19.10 BUSUNJU-MITYANA 24hr'!M84)</f>
        <v>0</v>
      </c>
      <c r="N84" s="49">
        <f>AVERAGE('18.10 BUSUNJU-MITYANA 24hr'!N84,'19.10 BUSUNJU-MITYANA 24hr'!N84)</f>
        <v>0</v>
      </c>
      <c r="O84" s="15">
        <f t="shared" si="35"/>
        <v>0.5</v>
      </c>
      <c r="P84" s="15">
        <f t="shared" si="36"/>
        <v>0.5</v>
      </c>
      <c r="R84" s="8"/>
      <c r="T84"/>
    </row>
    <row r="85" spans="2:20" ht="23.1" customHeight="1" x14ac:dyDescent="0.25">
      <c r="B85" s="23" t="s">
        <v>125</v>
      </c>
      <c r="C85" s="49">
        <f>AVERAGE('18.10 BUSUNJU-MITYANA 24hr'!C85,'19.10 BUSUNJU-MITYANA 24hr'!C85)</f>
        <v>0</v>
      </c>
      <c r="D85" s="49">
        <f>AVERAGE('18.10 BUSUNJU-MITYANA 24hr'!D85,'19.10 BUSUNJU-MITYANA 24hr'!D85)</f>
        <v>0</v>
      </c>
      <c r="E85" s="49">
        <f>AVERAGE('18.10 BUSUNJU-MITYANA 24hr'!E85,'19.10 BUSUNJU-MITYANA 24hr'!E85)</f>
        <v>0</v>
      </c>
      <c r="F85" s="49">
        <f>AVERAGE('18.10 BUSUNJU-MITYANA 24hr'!F85,'19.10 BUSUNJU-MITYANA 24hr'!F85)</f>
        <v>0</v>
      </c>
      <c r="G85" s="49">
        <f>AVERAGE('18.10 BUSUNJU-MITYANA 24hr'!G85,'19.10 BUSUNJU-MITYANA 24hr'!G85)</f>
        <v>0</v>
      </c>
      <c r="H85" s="49">
        <f>AVERAGE('18.10 BUSUNJU-MITYANA 24hr'!H85,'19.10 BUSUNJU-MITYANA 24hr'!H85)</f>
        <v>0</v>
      </c>
      <c r="I85" s="49">
        <f>AVERAGE('18.10 BUSUNJU-MITYANA 24hr'!I85,'19.10 BUSUNJU-MITYANA 24hr'!I85)</f>
        <v>0</v>
      </c>
      <c r="J85" s="49">
        <f>AVERAGE('18.10 BUSUNJU-MITYANA 24hr'!J85,'19.10 BUSUNJU-MITYANA 24hr'!J85)</f>
        <v>0</v>
      </c>
      <c r="K85" s="49">
        <f>AVERAGE('18.10 BUSUNJU-MITYANA 24hr'!K85,'19.10 BUSUNJU-MITYANA 24hr'!K85)</f>
        <v>0</v>
      </c>
      <c r="L85" s="49">
        <f>AVERAGE('18.10 BUSUNJU-MITYANA 24hr'!L85,'19.10 BUSUNJU-MITYANA 24hr'!L85)</f>
        <v>0.5</v>
      </c>
      <c r="M85" s="49">
        <f>AVERAGE('18.10 BUSUNJU-MITYANA 24hr'!M85,'19.10 BUSUNJU-MITYANA 24hr'!M85)</f>
        <v>0</v>
      </c>
      <c r="N85" s="49">
        <f>AVERAGE('18.10 BUSUNJU-MITYANA 24hr'!N85,'19.10 BUSUNJU-MITYANA 24hr'!N85)</f>
        <v>0</v>
      </c>
      <c r="O85" s="15">
        <f t="shared" si="35"/>
        <v>0.5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AVERAGE('18.10 BUSUNJU-MITYANA 24hr'!C86,'19.10 BUSUNJU-MITYANA 24hr'!C86)</f>
        <v>0</v>
      </c>
      <c r="D86" s="49">
        <f>AVERAGE('18.10 BUSUNJU-MITYANA 24hr'!D86,'19.10 BUSUNJU-MITYANA 24hr'!D86)</f>
        <v>0</v>
      </c>
      <c r="E86" s="49">
        <f>AVERAGE('18.10 BUSUNJU-MITYANA 24hr'!E86,'19.10 BUSUNJU-MITYANA 24hr'!E86)</f>
        <v>0</v>
      </c>
      <c r="F86" s="49">
        <f>AVERAGE('18.10 BUSUNJU-MITYANA 24hr'!F86,'19.10 BUSUNJU-MITYANA 24hr'!F86)</f>
        <v>0</v>
      </c>
      <c r="G86" s="49">
        <f>AVERAGE('18.10 BUSUNJU-MITYANA 24hr'!G86,'19.10 BUSUNJU-MITYANA 24hr'!G86)</f>
        <v>0</v>
      </c>
      <c r="H86" s="49">
        <f>AVERAGE('18.10 BUSUNJU-MITYANA 24hr'!H86,'19.10 BUSUNJU-MITYANA 24hr'!H86)</f>
        <v>0</v>
      </c>
      <c r="I86" s="49">
        <f>AVERAGE('18.10 BUSUNJU-MITYANA 24hr'!I86,'19.10 BUSUNJU-MITYANA 24hr'!I86)</f>
        <v>0</v>
      </c>
      <c r="J86" s="49">
        <f>AVERAGE('18.10 BUSUNJU-MITYANA 24hr'!J86,'19.10 BUSUNJU-MITYANA 24hr'!J86)</f>
        <v>0</v>
      </c>
      <c r="K86" s="49">
        <f>AVERAGE('18.10 BUSUNJU-MITYANA 24hr'!K86,'19.10 BUSUNJU-MITYANA 24hr'!K86)</f>
        <v>0.5</v>
      </c>
      <c r="L86" s="49">
        <f>AVERAGE('18.10 BUSUNJU-MITYANA 24hr'!L86,'19.10 BUSUNJU-MITYANA 24hr'!L86)</f>
        <v>0.5</v>
      </c>
      <c r="M86" s="49">
        <f>AVERAGE('18.10 BUSUNJU-MITYANA 24hr'!M86,'19.10 BUSUNJU-MITYANA 24hr'!M86)</f>
        <v>0</v>
      </c>
      <c r="N86" s="49">
        <f>AVERAGE('18.10 BUSUNJU-MITYANA 24hr'!N86,'19.10 BUSUNJU-MITYANA 24hr'!N86)</f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AVERAGE('18.10 BUSUNJU-MITYANA 24hr'!C87,'19.10 BUSUNJU-MITYANA 24hr'!C87)</f>
        <v>0</v>
      </c>
      <c r="D87" s="49">
        <f>AVERAGE('18.10 BUSUNJU-MITYANA 24hr'!D87,'19.10 BUSUNJU-MITYANA 24hr'!D87)</f>
        <v>0</v>
      </c>
      <c r="E87" s="49">
        <f>AVERAGE('18.10 BUSUNJU-MITYANA 24hr'!E87,'19.10 BUSUNJU-MITYANA 24hr'!E87)</f>
        <v>0</v>
      </c>
      <c r="F87" s="49">
        <f>AVERAGE('18.10 BUSUNJU-MITYANA 24hr'!F87,'19.10 BUSUNJU-MITYANA 24hr'!F87)</f>
        <v>0</v>
      </c>
      <c r="G87" s="49">
        <f>AVERAGE('18.10 BUSUNJU-MITYANA 24hr'!G87,'19.10 BUSUNJU-MITYANA 24hr'!G87)</f>
        <v>0</v>
      </c>
      <c r="H87" s="49">
        <f>AVERAGE('18.10 BUSUNJU-MITYANA 24hr'!H87,'19.10 BUSUNJU-MITYANA 24hr'!H87)</f>
        <v>0</v>
      </c>
      <c r="I87" s="49">
        <f>AVERAGE('18.10 BUSUNJU-MITYANA 24hr'!I87,'19.10 BUSUNJU-MITYANA 24hr'!I87)</f>
        <v>0</v>
      </c>
      <c r="J87" s="49">
        <f>AVERAGE('18.10 BUSUNJU-MITYANA 24hr'!J87,'19.10 BUSUNJU-MITYANA 24hr'!J87)</f>
        <v>1</v>
      </c>
      <c r="K87" s="49">
        <f>AVERAGE('18.10 BUSUNJU-MITYANA 24hr'!K87,'19.10 BUSUNJU-MITYANA 24hr'!K87)</f>
        <v>0</v>
      </c>
      <c r="L87" s="49">
        <f>AVERAGE('18.10 BUSUNJU-MITYANA 24hr'!L87,'19.10 BUSUNJU-MITYANA 24hr'!L87)</f>
        <v>0.5</v>
      </c>
      <c r="M87" s="49">
        <f>AVERAGE('18.10 BUSUNJU-MITYANA 24hr'!M87,'19.10 BUSUNJU-MITYANA 24hr'!M87)</f>
        <v>0</v>
      </c>
      <c r="N87" s="49">
        <f>AVERAGE('18.10 BUSUNJU-MITYANA 24hr'!N87,'19.10 BUSUNJU-MITYANA 24hr'!N87)</f>
        <v>0</v>
      </c>
      <c r="O87" s="15">
        <f t="shared" si="35"/>
        <v>1.5</v>
      </c>
      <c r="P87" s="15">
        <f t="shared" si="36"/>
        <v>1.5</v>
      </c>
      <c r="R87" s="8"/>
      <c r="T87"/>
    </row>
    <row r="88" spans="2:20" ht="23.1" customHeight="1" x14ac:dyDescent="0.25">
      <c r="B88" s="25" t="s">
        <v>128</v>
      </c>
      <c r="C88" s="49">
        <f>AVERAGE('18.10 BUSUNJU-MITYANA 24hr'!C88,'19.10 BUSUNJU-MITYANA 24hr'!C88)</f>
        <v>0</v>
      </c>
      <c r="D88" s="49">
        <f>AVERAGE('18.10 BUSUNJU-MITYANA 24hr'!D88,'19.10 BUSUNJU-MITYANA 24hr'!D88)</f>
        <v>0</v>
      </c>
      <c r="E88" s="49">
        <f>AVERAGE('18.10 BUSUNJU-MITYANA 24hr'!E88,'19.10 BUSUNJU-MITYANA 24hr'!E88)</f>
        <v>0</v>
      </c>
      <c r="F88" s="49">
        <f>AVERAGE('18.10 BUSUNJU-MITYANA 24hr'!F88,'19.10 BUSUNJU-MITYANA 24hr'!F88)</f>
        <v>0</v>
      </c>
      <c r="G88" s="49">
        <f>AVERAGE('18.10 BUSUNJU-MITYANA 24hr'!G88,'19.10 BUSUNJU-MITYANA 24hr'!G88)</f>
        <v>0</v>
      </c>
      <c r="H88" s="49">
        <f>AVERAGE('18.10 BUSUNJU-MITYANA 24hr'!H88,'19.10 BUSUNJU-MITYANA 24hr'!H88)</f>
        <v>0</v>
      </c>
      <c r="I88" s="49">
        <f>AVERAGE('18.10 BUSUNJU-MITYANA 24hr'!I88,'19.10 BUSUNJU-MITYANA 24hr'!I88)</f>
        <v>0</v>
      </c>
      <c r="J88" s="49">
        <f>AVERAGE('18.10 BUSUNJU-MITYANA 24hr'!J88,'19.10 BUSUNJU-MITYANA 24hr'!J88)</f>
        <v>0</v>
      </c>
      <c r="K88" s="49">
        <f>AVERAGE('18.10 BUSUNJU-MITYANA 24hr'!K88,'19.10 BUSUNJU-MITYANA 24hr'!K88)</f>
        <v>0</v>
      </c>
      <c r="L88" s="49">
        <f>AVERAGE('18.10 BUSUNJU-MITYANA 24hr'!L88,'19.10 BUSUNJU-MITYANA 24hr'!L88)</f>
        <v>0.5</v>
      </c>
      <c r="M88" s="49">
        <f>AVERAGE('18.10 BUSUNJU-MITYANA 24hr'!M88,'19.10 BUSUNJU-MITYANA 24hr'!M88)</f>
        <v>0</v>
      </c>
      <c r="N88" s="49">
        <f>AVERAGE('18.10 BUSUNJU-MITYANA 24hr'!N88,'19.10 BUSUNJU-MITYANA 24hr'!N88)</f>
        <v>0</v>
      </c>
      <c r="O88" s="15">
        <f t="shared" si="35"/>
        <v>0.5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AVERAGE('18.10 BUSUNJU-MITYANA 24hr'!C89,'19.10 BUSUNJU-MITYANA 24hr'!C89)</f>
        <v>0</v>
      </c>
      <c r="D89" s="49">
        <f>AVERAGE('18.10 BUSUNJU-MITYANA 24hr'!D89,'19.10 BUSUNJU-MITYANA 24hr'!D89)</f>
        <v>0</v>
      </c>
      <c r="E89" s="49">
        <f>AVERAGE('18.10 BUSUNJU-MITYANA 24hr'!E89,'19.10 BUSUNJU-MITYANA 24hr'!E89)</f>
        <v>0</v>
      </c>
      <c r="F89" s="49">
        <f>AVERAGE('18.10 BUSUNJU-MITYANA 24hr'!F89,'19.10 BUSUNJU-MITYANA 24hr'!F89)</f>
        <v>0</v>
      </c>
      <c r="G89" s="49">
        <f>AVERAGE('18.10 BUSUNJU-MITYANA 24hr'!G89,'19.10 BUSUNJU-MITYANA 24hr'!G89)</f>
        <v>0</v>
      </c>
      <c r="H89" s="49">
        <f>AVERAGE('18.10 BUSUNJU-MITYANA 24hr'!H89,'19.10 BUSUNJU-MITYANA 24hr'!H89)</f>
        <v>0</v>
      </c>
      <c r="I89" s="49">
        <f>AVERAGE('18.10 BUSUNJU-MITYANA 24hr'!I89,'19.10 BUSUNJU-MITYANA 24hr'!I89)</f>
        <v>0</v>
      </c>
      <c r="J89" s="49">
        <f>AVERAGE('18.10 BUSUNJU-MITYANA 24hr'!J89,'19.10 BUSUNJU-MITYANA 24hr'!J89)</f>
        <v>0.5</v>
      </c>
      <c r="K89" s="49">
        <f>AVERAGE('18.10 BUSUNJU-MITYANA 24hr'!K89,'19.10 BUSUNJU-MITYANA 24hr'!K89)</f>
        <v>0</v>
      </c>
      <c r="L89" s="49">
        <f>AVERAGE('18.10 BUSUNJU-MITYANA 24hr'!L89,'19.10 BUSUNJU-MITYANA 24hr'!L89)</f>
        <v>0</v>
      </c>
      <c r="M89" s="49">
        <f>AVERAGE('18.10 BUSUNJU-MITYANA 24hr'!M89,'19.10 BUSUNJU-MITYANA 24hr'!M89)</f>
        <v>0</v>
      </c>
      <c r="N89" s="49">
        <f>AVERAGE('18.10 BUSUNJU-MITYANA 24hr'!N89,'19.10 BUSUNJU-MITYANA 24hr'!N89)</f>
        <v>0</v>
      </c>
      <c r="O89" s="15">
        <f t="shared" si="35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AVERAGE('18.10 BUSUNJU-MITYANA 24hr'!C90,'19.10 BUSUNJU-MITYANA 24hr'!C90)</f>
        <v>1</v>
      </c>
      <c r="D90" s="49">
        <f>AVERAGE('18.10 BUSUNJU-MITYANA 24hr'!D90,'19.10 BUSUNJU-MITYANA 24hr'!D90)</f>
        <v>0.5</v>
      </c>
      <c r="E90" s="49">
        <f>AVERAGE('18.10 BUSUNJU-MITYANA 24hr'!E90,'19.10 BUSUNJU-MITYANA 24hr'!E90)</f>
        <v>0</v>
      </c>
      <c r="F90" s="49">
        <f>AVERAGE('18.10 BUSUNJU-MITYANA 24hr'!F90,'19.10 BUSUNJU-MITYANA 24hr'!F90)</f>
        <v>0</v>
      </c>
      <c r="G90" s="49">
        <f>AVERAGE('18.10 BUSUNJU-MITYANA 24hr'!G90,'19.10 BUSUNJU-MITYANA 24hr'!G90)</f>
        <v>0</v>
      </c>
      <c r="H90" s="49">
        <f>AVERAGE('18.10 BUSUNJU-MITYANA 24hr'!H90,'19.10 BUSUNJU-MITYANA 24hr'!H90)</f>
        <v>0</v>
      </c>
      <c r="I90" s="49">
        <f>AVERAGE('18.10 BUSUNJU-MITYANA 24hr'!I90,'19.10 BUSUNJU-MITYANA 24hr'!I90)</f>
        <v>0</v>
      </c>
      <c r="J90" s="49">
        <f>AVERAGE('18.10 BUSUNJU-MITYANA 24hr'!J90,'19.10 BUSUNJU-MITYANA 24hr'!J90)</f>
        <v>0.5</v>
      </c>
      <c r="K90" s="49">
        <f>AVERAGE('18.10 BUSUNJU-MITYANA 24hr'!K90,'19.10 BUSUNJU-MITYANA 24hr'!K90)</f>
        <v>0</v>
      </c>
      <c r="L90" s="49">
        <f>AVERAGE('18.10 BUSUNJU-MITYANA 24hr'!L90,'19.10 BUSUNJU-MITYANA 24hr'!L90)</f>
        <v>1</v>
      </c>
      <c r="M90" s="49">
        <f>AVERAGE('18.10 BUSUNJU-MITYANA 24hr'!M90,'19.10 BUSUNJU-MITYANA 24hr'!M90)</f>
        <v>0</v>
      </c>
      <c r="N90" s="49">
        <f>AVERAGE('18.10 BUSUNJU-MITYANA 24hr'!N90,'19.10 BUSUNJU-MITYANA 24hr'!N90)</f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23" t="s">
        <v>131</v>
      </c>
      <c r="C91" s="49">
        <f>AVERAGE('18.10 BUSUNJU-MITYANA 24hr'!C91,'19.10 BUSUNJU-MITYANA 24hr'!C91)</f>
        <v>0</v>
      </c>
      <c r="D91" s="49">
        <f>AVERAGE('18.10 BUSUNJU-MITYANA 24hr'!D91,'19.10 BUSUNJU-MITYANA 24hr'!D91)</f>
        <v>0</v>
      </c>
      <c r="E91" s="49">
        <f>AVERAGE('18.10 BUSUNJU-MITYANA 24hr'!E91,'19.10 BUSUNJU-MITYANA 24hr'!E91)</f>
        <v>0</v>
      </c>
      <c r="F91" s="49">
        <f>AVERAGE('18.10 BUSUNJU-MITYANA 24hr'!F91,'19.10 BUSUNJU-MITYANA 24hr'!F91)</f>
        <v>0</v>
      </c>
      <c r="G91" s="49">
        <f>AVERAGE('18.10 BUSUNJU-MITYANA 24hr'!G91,'19.10 BUSUNJU-MITYANA 24hr'!G91)</f>
        <v>0</v>
      </c>
      <c r="H91" s="49">
        <f>AVERAGE('18.10 BUSUNJU-MITYANA 24hr'!H91,'19.10 BUSUNJU-MITYANA 24hr'!H91)</f>
        <v>0</v>
      </c>
      <c r="I91" s="49">
        <f>AVERAGE('18.10 BUSUNJU-MITYANA 24hr'!I91,'19.10 BUSUNJU-MITYANA 24hr'!I91)</f>
        <v>0</v>
      </c>
      <c r="J91" s="49">
        <f>AVERAGE('18.10 BUSUNJU-MITYANA 24hr'!J91,'19.10 BUSUNJU-MITYANA 24hr'!J91)</f>
        <v>0</v>
      </c>
      <c r="K91" s="49">
        <f>AVERAGE('18.10 BUSUNJU-MITYANA 24hr'!K91,'19.10 BUSUNJU-MITYANA 24hr'!K91)</f>
        <v>0</v>
      </c>
      <c r="L91" s="49">
        <f>AVERAGE('18.10 BUSUNJU-MITYANA 24hr'!L91,'19.10 BUSUNJU-MITYANA 24hr'!L91)</f>
        <v>0</v>
      </c>
      <c r="M91" s="49">
        <f>AVERAGE('18.10 BUSUNJU-MITYANA 24hr'!M91,'19.10 BUSUNJU-MITYANA 24hr'!M91)</f>
        <v>0</v>
      </c>
      <c r="N91" s="49">
        <f>AVERAGE('18.10 BUSUNJU-MITYANA 24hr'!N91,'19.10 BUSUNJU-MITYANA 24hr'!N91)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AVERAGE('18.10 BUSUNJU-MITYANA 24hr'!C92,'19.10 BUSUNJU-MITYANA 24hr'!C92)</f>
        <v>0</v>
      </c>
      <c r="D92" s="49">
        <f>AVERAGE('18.10 BUSUNJU-MITYANA 24hr'!D92,'19.10 BUSUNJU-MITYANA 24hr'!D92)</f>
        <v>0</v>
      </c>
      <c r="E92" s="49">
        <f>AVERAGE('18.10 BUSUNJU-MITYANA 24hr'!E92,'19.10 BUSUNJU-MITYANA 24hr'!E92)</f>
        <v>0</v>
      </c>
      <c r="F92" s="49">
        <f>AVERAGE('18.10 BUSUNJU-MITYANA 24hr'!F92,'19.10 BUSUNJU-MITYANA 24hr'!F92)</f>
        <v>0</v>
      </c>
      <c r="G92" s="49">
        <f>AVERAGE('18.10 BUSUNJU-MITYANA 24hr'!G92,'19.10 BUSUNJU-MITYANA 24hr'!G92)</f>
        <v>0</v>
      </c>
      <c r="H92" s="49">
        <f>AVERAGE('18.10 BUSUNJU-MITYANA 24hr'!H92,'19.10 BUSUNJU-MITYANA 24hr'!H92)</f>
        <v>0</v>
      </c>
      <c r="I92" s="49">
        <f>AVERAGE('18.10 BUSUNJU-MITYANA 24hr'!I92,'19.10 BUSUNJU-MITYANA 24hr'!I92)</f>
        <v>1</v>
      </c>
      <c r="J92" s="49">
        <f>AVERAGE('18.10 BUSUNJU-MITYANA 24hr'!J92,'19.10 BUSUNJU-MITYANA 24hr'!J92)</f>
        <v>0</v>
      </c>
      <c r="K92" s="49">
        <f>AVERAGE('18.10 BUSUNJU-MITYANA 24hr'!K92,'19.10 BUSUNJU-MITYANA 24hr'!K92)</f>
        <v>0</v>
      </c>
      <c r="L92" s="49">
        <f>AVERAGE('18.10 BUSUNJU-MITYANA 24hr'!L92,'19.10 BUSUNJU-MITYANA 24hr'!L92)</f>
        <v>1</v>
      </c>
      <c r="M92" s="49">
        <f>AVERAGE('18.10 BUSUNJU-MITYANA 24hr'!M92,'19.10 BUSUNJU-MITYANA 24hr'!M92)</f>
        <v>0</v>
      </c>
      <c r="N92" s="49">
        <f>AVERAGE('18.10 BUSUNJU-MITYANA 24hr'!N92,'19.10 BUSUNJU-MITYANA 24hr'!N92)</f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 x14ac:dyDescent="0.25">
      <c r="B93" s="23" t="s">
        <v>133</v>
      </c>
      <c r="C93" s="49">
        <f>AVERAGE('18.10 BUSUNJU-MITYANA 24hr'!C93,'19.10 BUSUNJU-MITYANA 24hr'!C93)</f>
        <v>0</v>
      </c>
      <c r="D93" s="49">
        <f>AVERAGE('18.10 BUSUNJU-MITYANA 24hr'!D93,'19.10 BUSUNJU-MITYANA 24hr'!D93)</f>
        <v>1</v>
      </c>
      <c r="E93" s="49">
        <f>AVERAGE('18.10 BUSUNJU-MITYANA 24hr'!E93,'19.10 BUSUNJU-MITYANA 24hr'!E93)</f>
        <v>0.5</v>
      </c>
      <c r="F93" s="49">
        <f>AVERAGE('18.10 BUSUNJU-MITYANA 24hr'!F93,'19.10 BUSUNJU-MITYANA 24hr'!F93)</f>
        <v>0</v>
      </c>
      <c r="G93" s="49">
        <f>AVERAGE('18.10 BUSUNJU-MITYANA 24hr'!G93,'19.10 BUSUNJU-MITYANA 24hr'!G93)</f>
        <v>0</v>
      </c>
      <c r="H93" s="49">
        <f>AVERAGE('18.10 BUSUNJU-MITYANA 24hr'!H93,'19.10 BUSUNJU-MITYANA 24hr'!H93)</f>
        <v>0</v>
      </c>
      <c r="I93" s="49">
        <f>AVERAGE('18.10 BUSUNJU-MITYANA 24hr'!I93,'19.10 BUSUNJU-MITYANA 24hr'!I93)</f>
        <v>0</v>
      </c>
      <c r="J93" s="49">
        <f>AVERAGE('18.10 BUSUNJU-MITYANA 24hr'!J93,'19.10 BUSUNJU-MITYANA 24hr'!J93)</f>
        <v>0.5</v>
      </c>
      <c r="K93" s="49">
        <f>AVERAGE('18.10 BUSUNJU-MITYANA 24hr'!K93,'19.10 BUSUNJU-MITYANA 24hr'!K93)</f>
        <v>0.5</v>
      </c>
      <c r="L93" s="49">
        <f>AVERAGE('18.10 BUSUNJU-MITYANA 24hr'!L93,'19.10 BUSUNJU-MITYANA 24hr'!L93)</f>
        <v>0</v>
      </c>
      <c r="M93" s="49">
        <f>AVERAGE('18.10 BUSUNJU-MITYANA 24hr'!M93,'19.10 BUSUNJU-MITYANA 24hr'!M93)</f>
        <v>0</v>
      </c>
      <c r="N93" s="49">
        <f>AVERAGE('18.10 BUSUNJU-MITYANA 24hr'!N93,'19.10 BUSUNJU-MITYANA 24hr'!N93)</f>
        <v>0</v>
      </c>
      <c r="O93" s="15">
        <f t="shared" si="35"/>
        <v>2.5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AVERAGE('18.10 BUSUNJU-MITYANA 24hr'!C94,'19.10 BUSUNJU-MITYANA 24hr'!C94)</f>
        <v>0</v>
      </c>
      <c r="D94" s="49">
        <f>AVERAGE('18.10 BUSUNJU-MITYANA 24hr'!D94,'19.10 BUSUNJU-MITYANA 24hr'!D94)</f>
        <v>0</v>
      </c>
      <c r="E94" s="49">
        <f>AVERAGE('18.10 BUSUNJU-MITYANA 24hr'!E94,'19.10 BUSUNJU-MITYANA 24hr'!E94)</f>
        <v>0</v>
      </c>
      <c r="F94" s="49">
        <f>AVERAGE('18.10 BUSUNJU-MITYANA 24hr'!F94,'19.10 BUSUNJU-MITYANA 24hr'!F94)</f>
        <v>0</v>
      </c>
      <c r="G94" s="49">
        <f>AVERAGE('18.10 BUSUNJU-MITYANA 24hr'!G94,'19.10 BUSUNJU-MITYANA 24hr'!G94)</f>
        <v>0</v>
      </c>
      <c r="H94" s="49">
        <f>AVERAGE('18.10 BUSUNJU-MITYANA 24hr'!H94,'19.10 BUSUNJU-MITYANA 24hr'!H94)</f>
        <v>0</v>
      </c>
      <c r="I94" s="49">
        <f>AVERAGE('18.10 BUSUNJU-MITYANA 24hr'!I94,'19.10 BUSUNJU-MITYANA 24hr'!I94)</f>
        <v>0</v>
      </c>
      <c r="J94" s="49">
        <f>AVERAGE('18.10 BUSUNJU-MITYANA 24hr'!J94,'19.10 BUSUNJU-MITYANA 24hr'!J94)</f>
        <v>0</v>
      </c>
      <c r="K94" s="49">
        <f>AVERAGE('18.10 BUSUNJU-MITYANA 24hr'!K94,'19.10 BUSUNJU-MITYANA 24hr'!K94)</f>
        <v>0</v>
      </c>
      <c r="L94" s="49">
        <f>AVERAGE('18.10 BUSUNJU-MITYANA 24hr'!L94,'19.10 BUSUNJU-MITYANA 24hr'!L94)</f>
        <v>0</v>
      </c>
      <c r="M94" s="49">
        <f>AVERAGE('18.10 BUSUNJU-MITYANA 24hr'!M94,'19.10 BUSUNJU-MITYANA 24hr'!M94)</f>
        <v>0</v>
      </c>
      <c r="N94" s="49">
        <f>AVERAGE('18.10 BUSUNJU-MITYANA 24hr'!N94,'19.10 BUSUNJU-MITYANA 24hr'!N94)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AVERAGE('18.10 BUSUNJU-MITYANA 24hr'!C95,'19.10 BUSUNJU-MITYANA 24hr'!C95)</f>
        <v>0</v>
      </c>
      <c r="D95" s="49">
        <f>AVERAGE('18.10 BUSUNJU-MITYANA 24hr'!D95,'19.10 BUSUNJU-MITYANA 24hr'!D95)</f>
        <v>0</v>
      </c>
      <c r="E95" s="49">
        <f>AVERAGE('18.10 BUSUNJU-MITYANA 24hr'!E95,'19.10 BUSUNJU-MITYANA 24hr'!E95)</f>
        <v>0</v>
      </c>
      <c r="F95" s="49">
        <f>AVERAGE('18.10 BUSUNJU-MITYANA 24hr'!F95,'19.10 BUSUNJU-MITYANA 24hr'!F95)</f>
        <v>0</v>
      </c>
      <c r="G95" s="49">
        <f>AVERAGE('18.10 BUSUNJU-MITYANA 24hr'!G95,'19.10 BUSUNJU-MITYANA 24hr'!G95)</f>
        <v>0</v>
      </c>
      <c r="H95" s="49">
        <f>AVERAGE('18.10 BUSUNJU-MITYANA 24hr'!H95,'19.10 BUSUNJU-MITYANA 24hr'!H95)</f>
        <v>0</v>
      </c>
      <c r="I95" s="49">
        <f>AVERAGE('18.10 BUSUNJU-MITYANA 24hr'!I95,'19.10 BUSUNJU-MITYANA 24hr'!I95)</f>
        <v>0</v>
      </c>
      <c r="J95" s="49">
        <f>AVERAGE('18.10 BUSUNJU-MITYANA 24hr'!J95,'19.10 BUSUNJU-MITYANA 24hr'!J95)</f>
        <v>0</v>
      </c>
      <c r="K95" s="49">
        <f>AVERAGE('18.10 BUSUNJU-MITYANA 24hr'!K95,'19.10 BUSUNJU-MITYANA 24hr'!K95)</f>
        <v>0</v>
      </c>
      <c r="L95" s="49">
        <f>AVERAGE('18.10 BUSUNJU-MITYANA 24hr'!L95,'19.10 BUSUNJU-MITYANA 24hr'!L95)</f>
        <v>0</v>
      </c>
      <c r="M95" s="49">
        <f>AVERAGE('18.10 BUSUNJU-MITYANA 24hr'!M95,'19.10 BUSUNJU-MITYANA 24hr'!M95)</f>
        <v>0</v>
      </c>
      <c r="N95" s="49">
        <f>AVERAGE('18.10 BUSUNJU-MITYANA 24hr'!N95,'19.10 BUSUNJU-MITYANA 24hr'!N95)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AVERAGE('18.10 BUSUNJU-MITYANA 24hr'!C96,'19.10 BUSUNJU-MITYANA 24hr'!C96)</f>
        <v>0</v>
      </c>
      <c r="D96" s="49">
        <f>AVERAGE('18.10 BUSUNJU-MITYANA 24hr'!D96,'19.10 BUSUNJU-MITYANA 24hr'!D96)</f>
        <v>0</v>
      </c>
      <c r="E96" s="49">
        <f>AVERAGE('18.10 BUSUNJU-MITYANA 24hr'!E96,'19.10 BUSUNJU-MITYANA 24hr'!E96)</f>
        <v>0</v>
      </c>
      <c r="F96" s="49">
        <f>AVERAGE('18.10 BUSUNJU-MITYANA 24hr'!F96,'19.10 BUSUNJU-MITYANA 24hr'!F96)</f>
        <v>0</v>
      </c>
      <c r="G96" s="49">
        <f>AVERAGE('18.10 BUSUNJU-MITYANA 24hr'!G96,'19.10 BUSUNJU-MITYANA 24hr'!G96)</f>
        <v>0</v>
      </c>
      <c r="H96" s="49">
        <f>AVERAGE('18.10 BUSUNJU-MITYANA 24hr'!H96,'19.10 BUSUNJU-MITYANA 24hr'!H96)</f>
        <v>0</v>
      </c>
      <c r="I96" s="49">
        <f>AVERAGE('18.10 BUSUNJU-MITYANA 24hr'!I96,'19.10 BUSUNJU-MITYANA 24hr'!I96)</f>
        <v>0</v>
      </c>
      <c r="J96" s="49">
        <f>AVERAGE('18.10 BUSUNJU-MITYANA 24hr'!J96,'19.10 BUSUNJU-MITYANA 24hr'!J96)</f>
        <v>1.5</v>
      </c>
      <c r="K96" s="49">
        <f>AVERAGE('18.10 BUSUNJU-MITYANA 24hr'!K96,'19.10 BUSUNJU-MITYANA 24hr'!K96)</f>
        <v>0</v>
      </c>
      <c r="L96" s="49">
        <f>AVERAGE('18.10 BUSUNJU-MITYANA 24hr'!L96,'19.10 BUSUNJU-MITYANA 24hr'!L96)</f>
        <v>1</v>
      </c>
      <c r="M96" s="49">
        <f>AVERAGE('18.10 BUSUNJU-MITYANA 24hr'!M96,'19.10 BUSUNJU-MITYANA 24hr'!M96)</f>
        <v>0</v>
      </c>
      <c r="N96" s="49">
        <f>AVERAGE('18.10 BUSUNJU-MITYANA 24hr'!N96,'19.10 BUSUNJU-MITYANA 24hr'!N96)</f>
        <v>0</v>
      </c>
      <c r="O96" s="15">
        <f t="shared" si="35"/>
        <v>2.5</v>
      </c>
      <c r="P96" s="15">
        <f t="shared" si="36"/>
        <v>2.5</v>
      </c>
      <c r="R96" s="8"/>
      <c r="T96"/>
    </row>
    <row r="97" spans="2:20" ht="23.1" customHeight="1" x14ac:dyDescent="0.25">
      <c r="B97" s="23" t="s">
        <v>137</v>
      </c>
      <c r="C97" s="49">
        <f>AVERAGE('18.10 BUSUNJU-MITYANA 24hr'!C97,'19.10 BUSUNJU-MITYANA 24hr'!C97)</f>
        <v>0.5</v>
      </c>
      <c r="D97" s="49">
        <f>AVERAGE('18.10 BUSUNJU-MITYANA 24hr'!D97,'19.10 BUSUNJU-MITYANA 24hr'!D97)</f>
        <v>0.5</v>
      </c>
      <c r="E97" s="49">
        <f>AVERAGE('18.10 BUSUNJU-MITYANA 24hr'!E97,'19.10 BUSUNJU-MITYANA 24hr'!E97)</f>
        <v>0</v>
      </c>
      <c r="F97" s="49">
        <f>AVERAGE('18.10 BUSUNJU-MITYANA 24hr'!F97,'19.10 BUSUNJU-MITYANA 24hr'!F97)</f>
        <v>0</v>
      </c>
      <c r="G97" s="49">
        <f>AVERAGE('18.10 BUSUNJU-MITYANA 24hr'!G97,'19.10 BUSUNJU-MITYANA 24hr'!G97)</f>
        <v>0</v>
      </c>
      <c r="H97" s="49">
        <f>AVERAGE('18.10 BUSUNJU-MITYANA 24hr'!H97,'19.10 BUSUNJU-MITYANA 24hr'!H97)</f>
        <v>0</v>
      </c>
      <c r="I97" s="49">
        <f>AVERAGE('18.10 BUSUNJU-MITYANA 24hr'!I97,'19.10 BUSUNJU-MITYANA 24hr'!I97)</f>
        <v>0</v>
      </c>
      <c r="J97" s="49">
        <f>AVERAGE('18.10 BUSUNJU-MITYANA 24hr'!J97,'19.10 BUSUNJU-MITYANA 24hr'!J97)</f>
        <v>0</v>
      </c>
      <c r="K97" s="49">
        <f>AVERAGE('18.10 BUSUNJU-MITYANA 24hr'!K97,'19.10 BUSUNJU-MITYANA 24hr'!K97)</f>
        <v>0</v>
      </c>
      <c r="L97" s="49">
        <f>AVERAGE('18.10 BUSUNJU-MITYANA 24hr'!L97,'19.10 BUSUNJU-MITYANA 24hr'!L97)</f>
        <v>0</v>
      </c>
      <c r="M97" s="49">
        <f>AVERAGE('18.10 BUSUNJU-MITYANA 24hr'!M97,'19.10 BUSUNJU-MITYANA 24hr'!M97)</f>
        <v>1.5</v>
      </c>
      <c r="N97" s="49">
        <f>AVERAGE('18.10 BUSUNJU-MITYANA 24hr'!N97,'19.10 BUSUNJU-MITYANA 24hr'!N97)</f>
        <v>0</v>
      </c>
      <c r="O97" s="15">
        <f t="shared" si="35"/>
        <v>1</v>
      </c>
      <c r="P97" s="15">
        <f t="shared" si="36"/>
        <v>2.5</v>
      </c>
      <c r="R97" s="8"/>
      <c r="T97"/>
    </row>
    <row r="98" spans="2:20" ht="23.1" customHeight="1" x14ac:dyDescent="0.25">
      <c r="B98" s="24" t="s">
        <v>138</v>
      </c>
      <c r="C98" s="49">
        <f>AVERAGE('18.10 BUSUNJU-MITYANA 24hr'!C98,'19.10 BUSUNJU-MITYANA 24hr'!C98)</f>
        <v>0</v>
      </c>
      <c r="D98" s="49">
        <f>AVERAGE('18.10 BUSUNJU-MITYANA 24hr'!D98,'19.10 BUSUNJU-MITYANA 24hr'!D98)</f>
        <v>0</v>
      </c>
      <c r="E98" s="49">
        <f>AVERAGE('18.10 BUSUNJU-MITYANA 24hr'!E98,'19.10 BUSUNJU-MITYANA 24hr'!E98)</f>
        <v>0</v>
      </c>
      <c r="F98" s="49">
        <f>AVERAGE('18.10 BUSUNJU-MITYANA 24hr'!F98,'19.10 BUSUNJU-MITYANA 24hr'!F98)</f>
        <v>0</v>
      </c>
      <c r="G98" s="49">
        <f>AVERAGE('18.10 BUSUNJU-MITYANA 24hr'!G98,'19.10 BUSUNJU-MITYANA 24hr'!G98)</f>
        <v>0</v>
      </c>
      <c r="H98" s="49">
        <f>AVERAGE('18.10 BUSUNJU-MITYANA 24hr'!H98,'19.10 BUSUNJU-MITYANA 24hr'!H98)</f>
        <v>0</v>
      </c>
      <c r="I98" s="49">
        <f>AVERAGE('18.10 BUSUNJU-MITYANA 24hr'!I98,'19.10 BUSUNJU-MITYANA 24hr'!I98)</f>
        <v>1</v>
      </c>
      <c r="J98" s="49">
        <f>AVERAGE('18.10 BUSUNJU-MITYANA 24hr'!J98,'19.10 BUSUNJU-MITYANA 24hr'!J98)</f>
        <v>0</v>
      </c>
      <c r="K98" s="49">
        <f>AVERAGE('18.10 BUSUNJU-MITYANA 24hr'!K98,'19.10 BUSUNJU-MITYANA 24hr'!K98)</f>
        <v>1</v>
      </c>
      <c r="L98" s="49">
        <f>AVERAGE('18.10 BUSUNJU-MITYANA 24hr'!L98,'19.10 BUSUNJU-MITYANA 24hr'!L98)</f>
        <v>0</v>
      </c>
      <c r="M98" s="49">
        <f>AVERAGE('18.10 BUSUNJU-MITYANA 24hr'!M98,'19.10 BUSUNJU-MITYANA 24hr'!M98)</f>
        <v>0.5</v>
      </c>
      <c r="N98" s="49">
        <f>AVERAGE('18.10 BUSUNJU-MITYANA 24hr'!N98,'19.10 BUSUNJU-MITYANA 24hr'!N98)</f>
        <v>0</v>
      </c>
      <c r="O98" s="15">
        <f t="shared" si="35"/>
        <v>2</v>
      </c>
      <c r="P98" s="15">
        <f t="shared" si="36"/>
        <v>2.5</v>
      </c>
      <c r="R98" s="8"/>
      <c r="T98"/>
    </row>
    <row r="99" spans="2:20" ht="23.1" customHeight="1" x14ac:dyDescent="0.25">
      <c r="B99" s="23" t="s">
        <v>139</v>
      </c>
      <c r="C99" s="49">
        <f>AVERAGE('18.10 BUSUNJU-MITYANA 24hr'!C99,'19.10 BUSUNJU-MITYANA 24hr'!C99)</f>
        <v>0.5</v>
      </c>
      <c r="D99" s="49">
        <f>AVERAGE('18.10 BUSUNJU-MITYANA 24hr'!D99,'19.10 BUSUNJU-MITYANA 24hr'!D99)</f>
        <v>0</v>
      </c>
      <c r="E99" s="49">
        <f>AVERAGE('18.10 BUSUNJU-MITYANA 24hr'!E99,'19.10 BUSUNJU-MITYANA 24hr'!E99)</f>
        <v>0</v>
      </c>
      <c r="F99" s="49">
        <f>AVERAGE('18.10 BUSUNJU-MITYANA 24hr'!F99,'19.10 BUSUNJU-MITYANA 24hr'!F99)</f>
        <v>0</v>
      </c>
      <c r="G99" s="49">
        <f>AVERAGE('18.10 BUSUNJU-MITYANA 24hr'!G99,'19.10 BUSUNJU-MITYANA 24hr'!G99)</f>
        <v>0</v>
      </c>
      <c r="H99" s="49">
        <f>AVERAGE('18.10 BUSUNJU-MITYANA 24hr'!H99,'19.10 BUSUNJU-MITYANA 24hr'!H99)</f>
        <v>0</v>
      </c>
      <c r="I99" s="49">
        <f>AVERAGE('18.10 BUSUNJU-MITYANA 24hr'!I99,'19.10 BUSUNJU-MITYANA 24hr'!I99)</f>
        <v>0</v>
      </c>
      <c r="J99" s="49">
        <f>AVERAGE('18.10 BUSUNJU-MITYANA 24hr'!J99,'19.10 BUSUNJU-MITYANA 24hr'!J99)</f>
        <v>0</v>
      </c>
      <c r="K99" s="49">
        <f>AVERAGE('18.10 BUSUNJU-MITYANA 24hr'!K99,'19.10 BUSUNJU-MITYANA 24hr'!K99)</f>
        <v>0</v>
      </c>
      <c r="L99" s="49">
        <f>AVERAGE('18.10 BUSUNJU-MITYANA 24hr'!L99,'19.10 BUSUNJU-MITYANA 24hr'!L99)</f>
        <v>0</v>
      </c>
      <c r="M99" s="49">
        <f>AVERAGE('18.10 BUSUNJU-MITYANA 24hr'!M99,'19.10 BUSUNJU-MITYANA 24hr'!M99)</f>
        <v>0</v>
      </c>
      <c r="N99" s="49">
        <f>AVERAGE('18.10 BUSUNJU-MITYANA 24hr'!N99,'19.10 BUSUNJU-MITYANA 24hr'!N99)</f>
        <v>0</v>
      </c>
      <c r="O99" s="15">
        <f t="shared" si="35"/>
        <v>0.5</v>
      </c>
      <c r="P99" s="15">
        <f t="shared" si="36"/>
        <v>0.5</v>
      </c>
      <c r="R99" s="8"/>
      <c r="T99"/>
    </row>
    <row r="100" spans="2:20" ht="23.1" customHeight="1" x14ac:dyDescent="0.25">
      <c r="B100" s="25" t="s">
        <v>140</v>
      </c>
      <c r="C100" s="49">
        <f>AVERAGE('18.10 BUSUNJU-MITYANA 24hr'!C100,'19.10 BUSUNJU-MITYANA 24hr'!C100)</f>
        <v>0.5</v>
      </c>
      <c r="D100" s="49">
        <f>AVERAGE('18.10 BUSUNJU-MITYANA 24hr'!D100,'19.10 BUSUNJU-MITYANA 24hr'!D100)</f>
        <v>0</v>
      </c>
      <c r="E100" s="49">
        <f>AVERAGE('18.10 BUSUNJU-MITYANA 24hr'!E100,'19.10 BUSUNJU-MITYANA 24hr'!E100)</f>
        <v>0</v>
      </c>
      <c r="F100" s="49">
        <f>AVERAGE('18.10 BUSUNJU-MITYANA 24hr'!F100,'19.10 BUSUNJU-MITYANA 24hr'!F100)</f>
        <v>0</v>
      </c>
      <c r="G100" s="49">
        <f>AVERAGE('18.10 BUSUNJU-MITYANA 24hr'!G100,'19.10 BUSUNJU-MITYANA 24hr'!G100)</f>
        <v>0</v>
      </c>
      <c r="H100" s="49">
        <f>AVERAGE('18.10 BUSUNJU-MITYANA 24hr'!H100,'19.10 BUSUNJU-MITYANA 24hr'!H100)</f>
        <v>0</v>
      </c>
      <c r="I100" s="49">
        <f>AVERAGE('18.10 BUSUNJU-MITYANA 24hr'!I100,'19.10 BUSUNJU-MITYANA 24hr'!I100)</f>
        <v>0</v>
      </c>
      <c r="J100" s="49">
        <f>AVERAGE('18.10 BUSUNJU-MITYANA 24hr'!J100,'19.10 BUSUNJU-MITYANA 24hr'!J100)</f>
        <v>0.5</v>
      </c>
      <c r="K100" s="49">
        <f>AVERAGE('18.10 BUSUNJU-MITYANA 24hr'!K100,'19.10 BUSUNJU-MITYANA 24hr'!K100)</f>
        <v>0</v>
      </c>
      <c r="L100" s="49">
        <f>AVERAGE('18.10 BUSUNJU-MITYANA 24hr'!L100,'19.10 BUSUNJU-MITYANA 24hr'!L100)</f>
        <v>0</v>
      </c>
      <c r="M100" s="49">
        <f>AVERAGE('18.10 BUSUNJU-MITYANA 24hr'!M100,'19.10 BUSUNJU-MITYANA 24hr'!M100)</f>
        <v>0</v>
      </c>
      <c r="N100" s="49">
        <f>AVERAGE('18.10 BUSUNJU-MITYANA 24hr'!N100,'19.10 BUSUNJU-MITYANA 24hr'!N100)</f>
        <v>0</v>
      </c>
      <c r="O100" s="15">
        <f t="shared" si="35"/>
        <v>1</v>
      </c>
      <c r="P100" s="15">
        <f t="shared" si="36"/>
        <v>1</v>
      </c>
      <c r="R100" s="8"/>
      <c r="T100"/>
    </row>
    <row r="101" spans="2:20" ht="23.1" customHeight="1" x14ac:dyDescent="0.25">
      <c r="B101" s="23" t="s">
        <v>141</v>
      </c>
      <c r="C101" s="49">
        <f>AVERAGE('18.10 BUSUNJU-MITYANA 24hr'!C101,'19.10 BUSUNJU-MITYANA 24hr'!C101)</f>
        <v>0.5</v>
      </c>
      <c r="D101" s="49">
        <f>AVERAGE('18.10 BUSUNJU-MITYANA 24hr'!D101,'19.10 BUSUNJU-MITYANA 24hr'!D101)</f>
        <v>1</v>
      </c>
      <c r="E101" s="49">
        <f>AVERAGE('18.10 BUSUNJU-MITYANA 24hr'!E101,'19.10 BUSUNJU-MITYANA 24hr'!E101)</f>
        <v>0.5</v>
      </c>
      <c r="F101" s="49">
        <f>AVERAGE('18.10 BUSUNJU-MITYANA 24hr'!F101,'19.10 BUSUNJU-MITYANA 24hr'!F101)</f>
        <v>0</v>
      </c>
      <c r="G101" s="49">
        <f>AVERAGE('18.10 BUSUNJU-MITYANA 24hr'!G101,'19.10 BUSUNJU-MITYANA 24hr'!G101)</f>
        <v>0</v>
      </c>
      <c r="H101" s="49">
        <f>AVERAGE('18.10 BUSUNJU-MITYANA 24hr'!H101,'19.10 BUSUNJU-MITYANA 24hr'!H101)</f>
        <v>0</v>
      </c>
      <c r="I101" s="49">
        <f>AVERAGE('18.10 BUSUNJU-MITYANA 24hr'!I101,'19.10 BUSUNJU-MITYANA 24hr'!I101)</f>
        <v>0.5</v>
      </c>
      <c r="J101" s="49">
        <f>AVERAGE('18.10 BUSUNJU-MITYANA 24hr'!J101,'19.10 BUSUNJU-MITYANA 24hr'!J101)</f>
        <v>1</v>
      </c>
      <c r="K101" s="49">
        <f>AVERAGE('18.10 BUSUNJU-MITYANA 24hr'!K101,'19.10 BUSUNJU-MITYANA 24hr'!K101)</f>
        <v>1</v>
      </c>
      <c r="L101" s="49">
        <f>AVERAGE('18.10 BUSUNJU-MITYANA 24hr'!L101,'19.10 BUSUNJU-MITYANA 24hr'!L101)</f>
        <v>0</v>
      </c>
      <c r="M101" s="49">
        <f>AVERAGE('18.10 BUSUNJU-MITYANA 24hr'!M101,'19.10 BUSUNJU-MITYANA 24hr'!M101)</f>
        <v>1</v>
      </c>
      <c r="N101" s="49">
        <f>AVERAGE('18.10 BUSUNJU-MITYANA 24hr'!N101,'19.10 BUSUNJU-MITYANA 24hr'!N101)</f>
        <v>0</v>
      </c>
      <c r="O101" s="15">
        <f t="shared" si="35"/>
        <v>4.5</v>
      </c>
      <c r="P101" s="15">
        <f t="shared" si="36"/>
        <v>5.5</v>
      </c>
      <c r="R101" s="8"/>
      <c r="T101"/>
    </row>
    <row r="102" spans="2:20" ht="23.1" customHeight="1" x14ac:dyDescent="0.25">
      <c r="B102" s="24" t="s">
        <v>142</v>
      </c>
      <c r="C102" s="49">
        <f>AVERAGE('18.10 BUSUNJU-MITYANA 24hr'!C102,'19.10 BUSUNJU-MITYANA 24hr'!C102)</f>
        <v>0</v>
      </c>
      <c r="D102" s="49">
        <f>AVERAGE('18.10 BUSUNJU-MITYANA 24hr'!D102,'19.10 BUSUNJU-MITYANA 24hr'!D102)</f>
        <v>0.5</v>
      </c>
      <c r="E102" s="49">
        <f>AVERAGE('18.10 BUSUNJU-MITYANA 24hr'!E102,'19.10 BUSUNJU-MITYANA 24hr'!E102)</f>
        <v>0.5</v>
      </c>
      <c r="F102" s="49">
        <f>AVERAGE('18.10 BUSUNJU-MITYANA 24hr'!F102,'19.10 BUSUNJU-MITYANA 24hr'!F102)</f>
        <v>0</v>
      </c>
      <c r="G102" s="49">
        <f>AVERAGE('18.10 BUSUNJU-MITYANA 24hr'!G102,'19.10 BUSUNJU-MITYANA 24hr'!G102)</f>
        <v>0</v>
      </c>
      <c r="H102" s="49">
        <f>AVERAGE('18.10 BUSUNJU-MITYANA 24hr'!H102,'19.10 BUSUNJU-MITYANA 24hr'!H102)</f>
        <v>0</v>
      </c>
      <c r="I102" s="49">
        <f>AVERAGE('18.10 BUSUNJU-MITYANA 24hr'!I102,'19.10 BUSUNJU-MITYANA 24hr'!I102)</f>
        <v>0</v>
      </c>
      <c r="J102" s="49">
        <f>AVERAGE('18.10 BUSUNJU-MITYANA 24hr'!J102,'19.10 BUSUNJU-MITYANA 24hr'!J102)</f>
        <v>1</v>
      </c>
      <c r="K102" s="49">
        <f>AVERAGE('18.10 BUSUNJU-MITYANA 24hr'!K102,'19.10 BUSUNJU-MITYANA 24hr'!K102)</f>
        <v>0.5</v>
      </c>
      <c r="L102" s="49">
        <f>AVERAGE('18.10 BUSUNJU-MITYANA 24hr'!L102,'19.10 BUSUNJU-MITYANA 24hr'!L102)</f>
        <v>0</v>
      </c>
      <c r="M102" s="49">
        <f>AVERAGE('18.10 BUSUNJU-MITYANA 24hr'!M102,'19.10 BUSUNJU-MITYANA 24hr'!M102)</f>
        <v>2.5</v>
      </c>
      <c r="N102" s="49">
        <f>AVERAGE('18.10 BUSUNJU-MITYANA 24hr'!N102,'19.10 BUSUNJU-MITYANA 24hr'!N102)</f>
        <v>0</v>
      </c>
      <c r="O102" s="15">
        <f t="shared" si="35"/>
        <v>2.5</v>
      </c>
      <c r="P102" s="15">
        <f t="shared" si="36"/>
        <v>5</v>
      </c>
      <c r="R102" s="8"/>
      <c r="T102"/>
    </row>
    <row r="103" spans="2:20" ht="23.1" customHeight="1" x14ac:dyDescent="0.25">
      <c r="B103" s="23" t="s">
        <v>143</v>
      </c>
      <c r="C103" s="49">
        <f>AVERAGE('18.10 BUSUNJU-MITYANA 24hr'!C103,'19.10 BUSUNJU-MITYANA 24hr'!C103)</f>
        <v>0</v>
      </c>
      <c r="D103" s="49">
        <f>AVERAGE('18.10 BUSUNJU-MITYANA 24hr'!D103,'19.10 BUSUNJU-MITYANA 24hr'!D103)</f>
        <v>0</v>
      </c>
      <c r="E103" s="49">
        <f>AVERAGE('18.10 BUSUNJU-MITYANA 24hr'!E103,'19.10 BUSUNJU-MITYANA 24hr'!E103)</f>
        <v>0</v>
      </c>
      <c r="F103" s="49">
        <f>AVERAGE('18.10 BUSUNJU-MITYANA 24hr'!F103,'19.10 BUSUNJU-MITYANA 24hr'!F103)</f>
        <v>0</v>
      </c>
      <c r="G103" s="49">
        <f>AVERAGE('18.10 BUSUNJU-MITYANA 24hr'!G103,'19.10 BUSUNJU-MITYANA 24hr'!G103)</f>
        <v>0</v>
      </c>
      <c r="H103" s="49">
        <f>AVERAGE('18.10 BUSUNJU-MITYANA 24hr'!H103,'19.10 BUSUNJU-MITYANA 24hr'!H103)</f>
        <v>0</v>
      </c>
      <c r="I103" s="49">
        <f>AVERAGE('18.10 BUSUNJU-MITYANA 24hr'!I103,'19.10 BUSUNJU-MITYANA 24hr'!I103)</f>
        <v>0</v>
      </c>
      <c r="J103" s="49">
        <f>AVERAGE('18.10 BUSUNJU-MITYANA 24hr'!J103,'19.10 BUSUNJU-MITYANA 24hr'!J103)</f>
        <v>0.5</v>
      </c>
      <c r="K103" s="49">
        <f>AVERAGE('18.10 BUSUNJU-MITYANA 24hr'!K103,'19.10 BUSUNJU-MITYANA 24hr'!K103)</f>
        <v>0</v>
      </c>
      <c r="L103" s="49">
        <f>AVERAGE('18.10 BUSUNJU-MITYANA 24hr'!L103,'19.10 BUSUNJU-MITYANA 24hr'!L103)</f>
        <v>0</v>
      </c>
      <c r="M103" s="49">
        <f>AVERAGE('18.10 BUSUNJU-MITYANA 24hr'!M103,'19.10 BUSUNJU-MITYANA 24hr'!M103)</f>
        <v>0.5</v>
      </c>
      <c r="N103" s="49">
        <f>AVERAGE('18.10 BUSUNJU-MITYANA 24hr'!N103,'19.10 BUSUNJU-MITYANA 24hr'!N103)</f>
        <v>0</v>
      </c>
      <c r="O103" s="15">
        <f t="shared" si="35"/>
        <v>0.5</v>
      </c>
      <c r="P103" s="15">
        <f t="shared" si="36"/>
        <v>1</v>
      </c>
      <c r="R103" s="8"/>
      <c r="T103"/>
    </row>
    <row r="104" spans="2:20" ht="23.1" customHeight="1" x14ac:dyDescent="0.25">
      <c r="B104" s="25" t="s">
        <v>144</v>
      </c>
      <c r="C104" s="49">
        <f>AVERAGE('18.10 BUSUNJU-MITYANA 24hr'!C104,'19.10 BUSUNJU-MITYANA 24hr'!C104)</f>
        <v>0</v>
      </c>
      <c r="D104" s="49">
        <f>AVERAGE('18.10 BUSUNJU-MITYANA 24hr'!D104,'19.10 BUSUNJU-MITYANA 24hr'!D104)</f>
        <v>0</v>
      </c>
      <c r="E104" s="49">
        <f>AVERAGE('18.10 BUSUNJU-MITYANA 24hr'!E104,'19.10 BUSUNJU-MITYANA 24hr'!E104)</f>
        <v>0.5</v>
      </c>
      <c r="F104" s="49">
        <f>AVERAGE('18.10 BUSUNJU-MITYANA 24hr'!F104,'19.10 BUSUNJU-MITYANA 24hr'!F104)</f>
        <v>1</v>
      </c>
      <c r="G104" s="49">
        <f>AVERAGE('18.10 BUSUNJU-MITYANA 24hr'!G104,'19.10 BUSUNJU-MITYANA 24hr'!G104)</f>
        <v>1</v>
      </c>
      <c r="H104" s="49">
        <f>AVERAGE('18.10 BUSUNJU-MITYANA 24hr'!H104,'19.10 BUSUNJU-MITYANA 24hr'!H104)</f>
        <v>0</v>
      </c>
      <c r="I104" s="49">
        <f>AVERAGE('18.10 BUSUNJU-MITYANA 24hr'!I104,'19.10 BUSUNJU-MITYANA 24hr'!I104)</f>
        <v>0</v>
      </c>
      <c r="J104" s="49">
        <f>AVERAGE('18.10 BUSUNJU-MITYANA 24hr'!J104,'19.10 BUSUNJU-MITYANA 24hr'!J104)</f>
        <v>0</v>
      </c>
      <c r="K104" s="49">
        <f>AVERAGE('18.10 BUSUNJU-MITYANA 24hr'!K104,'19.10 BUSUNJU-MITYANA 24hr'!K104)</f>
        <v>0.5</v>
      </c>
      <c r="L104" s="49">
        <f>AVERAGE('18.10 BUSUNJU-MITYANA 24hr'!L104,'19.10 BUSUNJU-MITYANA 24hr'!L104)</f>
        <v>0</v>
      </c>
      <c r="M104" s="49">
        <f>AVERAGE('18.10 BUSUNJU-MITYANA 24hr'!M104,'19.10 BUSUNJU-MITYANA 24hr'!M104)</f>
        <v>0</v>
      </c>
      <c r="N104" s="49">
        <f>AVERAGE('18.10 BUSUNJU-MITYANA 24hr'!N104,'19.10 BUSUNJU-MITYANA 24hr'!N104)</f>
        <v>0</v>
      </c>
      <c r="O104" s="15">
        <f t="shared" si="35"/>
        <v>3</v>
      </c>
      <c r="P104" s="15">
        <f t="shared" si="36"/>
        <v>3</v>
      </c>
      <c r="R104" s="8"/>
      <c r="T104"/>
    </row>
    <row r="105" spans="2:20" ht="23.1" customHeight="1" x14ac:dyDescent="0.25">
      <c r="B105" s="23" t="s">
        <v>145</v>
      </c>
      <c r="C105" s="49">
        <f>AVERAGE('18.10 BUSUNJU-MITYANA 24hr'!C105,'19.10 BUSUNJU-MITYANA 24hr'!C105)</f>
        <v>0</v>
      </c>
      <c r="D105" s="49">
        <f>AVERAGE('18.10 BUSUNJU-MITYANA 24hr'!D105,'19.10 BUSUNJU-MITYANA 24hr'!D105)</f>
        <v>0</v>
      </c>
      <c r="E105" s="49">
        <f>AVERAGE('18.10 BUSUNJU-MITYANA 24hr'!E105,'19.10 BUSUNJU-MITYANA 24hr'!E105)</f>
        <v>0</v>
      </c>
      <c r="F105" s="49">
        <f>AVERAGE('18.10 BUSUNJU-MITYANA 24hr'!F105,'19.10 BUSUNJU-MITYANA 24hr'!F105)</f>
        <v>0</v>
      </c>
      <c r="G105" s="49">
        <f>AVERAGE('18.10 BUSUNJU-MITYANA 24hr'!G105,'19.10 BUSUNJU-MITYANA 24hr'!G105)</f>
        <v>0</v>
      </c>
      <c r="H105" s="49">
        <f>AVERAGE('18.10 BUSUNJU-MITYANA 24hr'!H105,'19.10 BUSUNJU-MITYANA 24hr'!H105)</f>
        <v>0</v>
      </c>
      <c r="I105" s="49">
        <f>AVERAGE('18.10 BUSUNJU-MITYANA 24hr'!I105,'19.10 BUSUNJU-MITYANA 24hr'!I105)</f>
        <v>0</v>
      </c>
      <c r="J105" s="49">
        <f>AVERAGE('18.10 BUSUNJU-MITYANA 24hr'!J105,'19.10 BUSUNJU-MITYANA 24hr'!J105)</f>
        <v>0.5</v>
      </c>
      <c r="K105" s="49">
        <f>AVERAGE('18.10 BUSUNJU-MITYANA 24hr'!K105,'19.10 BUSUNJU-MITYANA 24hr'!K105)</f>
        <v>0</v>
      </c>
      <c r="L105" s="49">
        <f>AVERAGE('18.10 BUSUNJU-MITYANA 24hr'!L105,'19.10 BUSUNJU-MITYANA 24hr'!L105)</f>
        <v>0</v>
      </c>
      <c r="M105" s="49">
        <f>AVERAGE('18.10 BUSUNJU-MITYANA 24hr'!M105,'19.10 BUSUNJU-MITYANA 24hr'!M105)</f>
        <v>1</v>
      </c>
      <c r="N105" s="49">
        <f>AVERAGE('18.10 BUSUNJU-MITYANA 24hr'!N105,'19.10 BUSUNJU-MITYANA 24hr'!N105)</f>
        <v>0</v>
      </c>
      <c r="O105" s="15">
        <f t="shared" si="35"/>
        <v>0.5</v>
      </c>
      <c r="P105" s="15">
        <f t="shared" si="36"/>
        <v>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57.5</v>
      </c>
      <c r="D106" s="16">
        <f t="shared" ref="D106:P106" si="37">SUM(D10:D105)</f>
        <v>20.785714285714288</v>
      </c>
      <c r="E106" s="16">
        <f t="shared" si="37"/>
        <v>19.571428571428573</v>
      </c>
      <c r="F106" s="16">
        <f t="shared" si="37"/>
        <v>10.071428571428573</v>
      </c>
      <c r="G106" s="16">
        <f t="shared" si="37"/>
        <v>2.5</v>
      </c>
      <c r="H106" s="16">
        <f t="shared" si="37"/>
        <v>0.71428571428571419</v>
      </c>
      <c r="I106" s="16">
        <f t="shared" si="37"/>
        <v>28.142857142857146</v>
      </c>
      <c r="J106" s="16">
        <f t="shared" si="37"/>
        <v>16.785714285714285</v>
      </c>
      <c r="K106" s="16">
        <f t="shared" si="37"/>
        <v>6.4285714285714288</v>
      </c>
      <c r="L106" s="16">
        <f t="shared" si="37"/>
        <v>8.7857142857142847</v>
      </c>
      <c r="M106" s="16">
        <f t="shared" si="37"/>
        <v>708.78571428571422</v>
      </c>
      <c r="N106" s="16">
        <f t="shared" si="37"/>
        <v>0</v>
      </c>
      <c r="O106" s="16">
        <f t="shared" si="37"/>
        <v>171.28571428571428</v>
      </c>
      <c r="P106" s="16">
        <f t="shared" si="37"/>
        <v>880.07142857142867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6.533560587614641E-2</v>
      </c>
      <c r="D107" s="43">
        <f t="shared" si="38"/>
        <v>2.3618212807401995E-2</v>
      </c>
      <c r="E107" s="43">
        <f t="shared" si="38"/>
        <v>2.2238454670887104E-2</v>
      </c>
      <c r="F107" s="43">
        <f t="shared" si="38"/>
        <v>1.1443876308741174E-2</v>
      </c>
      <c r="G107" s="43">
        <f t="shared" si="38"/>
        <v>2.8406785163541917E-3</v>
      </c>
      <c r="H107" s="43">
        <f t="shared" si="38"/>
        <v>8.1162243324405469E-4</v>
      </c>
      <c r="I107" s="43">
        <f t="shared" si="38"/>
        <v>3.1977923869815759E-2</v>
      </c>
      <c r="J107" s="43">
        <f t="shared" si="38"/>
        <v>1.9073127181235286E-2</v>
      </c>
      <c r="K107" s="43">
        <f t="shared" si="38"/>
        <v>7.3046018991964933E-3</v>
      </c>
      <c r="L107" s="43">
        <f t="shared" si="38"/>
        <v>9.982955928901872E-3</v>
      </c>
      <c r="M107" s="43">
        <f t="shared" si="38"/>
        <v>0.80537294050807551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0.33569641367806508</v>
      </c>
      <c r="D108" s="44">
        <f t="shared" ref="D108:N108" si="39">D106/$O$106</f>
        <v>0.12135112593828193</v>
      </c>
      <c r="E108" s="44">
        <f t="shared" si="39"/>
        <v>0.11426188490408676</v>
      </c>
      <c r="F108" s="44">
        <f t="shared" si="39"/>
        <v>5.8798999165971658E-2</v>
      </c>
      <c r="G108" s="44">
        <f t="shared" si="39"/>
        <v>1.4595496246872394E-2</v>
      </c>
      <c r="H108" s="44">
        <f t="shared" si="39"/>
        <v>4.1701417848206837E-3</v>
      </c>
      <c r="I108" s="44">
        <f t="shared" si="39"/>
        <v>0.16430358632193498</v>
      </c>
      <c r="J108" s="44">
        <f t="shared" si="39"/>
        <v>9.7998331943286068E-2</v>
      </c>
      <c r="K108" s="44">
        <f t="shared" si="39"/>
        <v>3.753127606338616E-2</v>
      </c>
      <c r="L108" s="44">
        <f t="shared" si="39"/>
        <v>5.129274395329441E-2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zoomScale="60" workbookViewId="0">
      <selection activeCell="P99" sqref="P9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6" t="s">
        <v>23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</row>
    <row r="2" spans="2:32" ht="20.100000000000001" customHeight="1" x14ac:dyDescent="0.25">
      <c r="B2" s="67" t="s">
        <v>95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</row>
    <row r="3" spans="2:32" ht="20.100000000000001" customHeight="1" x14ac:dyDescent="0.25">
      <c r="B3" s="22" t="s">
        <v>96</v>
      </c>
      <c r="C3" s="68" t="str">
        <f>'22.10 MITYANA-BUSUNJU '!C3:G3</f>
        <v>MITYANA-BUSUNJU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1" t="s">
        <v>163</v>
      </c>
      <c r="E5" s="72"/>
      <c r="F5" s="41" t="s">
        <v>1</v>
      </c>
      <c r="G5" s="69" t="str">
        <f>'Avg Week BUSUNJU-MITYANA'!G5:H5</f>
        <v>EXCEL&amp;LOOGE</v>
      </c>
      <c r="H5" s="70"/>
      <c r="I5" s="14"/>
      <c r="J5" s="2" t="s">
        <v>5</v>
      </c>
      <c r="K5" s="69" t="s">
        <v>183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3" t="s">
        <v>161</v>
      </c>
      <c r="E6" s="74"/>
      <c r="F6" s="2" t="s">
        <v>2</v>
      </c>
      <c r="G6" s="73" t="s">
        <v>161</v>
      </c>
      <c r="H6" s="74"/>
      <c r="J6" s="2" t="s">
        <v>21</v>
      </c>
      <c r="K6" s="69" t="str">
        <f>'Avg Week BUSUNJU-MITYANA'!K6:L6</f>
        <v>Nusulah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3" t="s">
        <v>88</v>
      </c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MITYANA-BUSUNJU'!C10+'Avg Week BUSUNJU-MITYANA'!C10</f>
        <v>1.2857142857142856</v>
      </c>
      <c r="D10" s="49">
        <f>'Avg Week MITYANA-BUSUNJU'!D10+'Avg Week BUSUNJU-MITYANA'!D10</f>
        <v>0.42857142857142855</v>
      </c>
      <c r="E10" s="49">
        <f>'Avg Week MITYANA-BUSUNJU'!E10+'Avg Week BUSUNJU-MITYANA'!E10</f>
        <v>1.2857142857142856</v>
      </c>
      <c r="F10" s="49">
        <f>'Avg Week MITYANA-BUSUNJU'!F10+'Avg Week BUSUNJU-MITYANA'!F10</f>
        <v>1.1428571428571428</v>
      </c>
      <c r="G10" s="49">
        <f>'Avg Week MITYANA-BUSUNJU'!G10+'Avg Week BUSUNJU-MITYANA'!G10</f>
        <v>0</v>
      </c>
      <c r="H10" s="49">
        <f>'Avg Week MITYANA-BUSUNJU'!H10+'Avg Week BUSUNJU-MITYANA'!H10</f>
        <v>0</v>
      </c>
      <c r="I10" s="49">
        <f>'Avg Week MITYANA-BUSUNJU'!I10+'Avg Week BUSUNJU-MITYANA'!I10</f>
        <v>0.5714285714285714</v>
      </c>
      <c r="J10" s="49">
        <f>'Avg Week MITYANA-BUSUNJU'!J10+'Avg Week BUSUNJU-MITYANA'!J10</f>
        <v>0</v>
      </c>
      <c r="K10" s="49">
        <f>'Avg Week MITYANA-BUSUNJU'!K10+'Avg Week BUSUNJU-MITYANA'!K10</f>
        <v>0</v>
      </c>
      <c r="L10" s="49">
        <f>'Avg Week MITYANA-BUSUNJU'!L10+'Avg Week BUSUNJU-MITYANA'!L10</f>
        <v>0</v>
      </c>
      <c r="M10" s="49">
        <f>'Avg Week MITYANA-BUSUNJU'!M10+'Avg Week BUSUNJU-MITYANA'!M10</f>
        <v>10.285714285714285</v>
      </c>
      <c r="N10" s="49">
        <f>'Avg Week MITYANA-BUSUNJU'!N10+'Avg Week BUSUNJU-MITYANA'!N10</f>
        <v>0</v>
      </c>
      <c r="O10" s="15">
        <f t="shared" ref="O10:O73" si="0">SUM(C10:L10,N10)</f>
        <v>4.7142857142857135</v>
      </c>
      <c r="P10" s="15">
        <f t="shared" ref="P10:P73" si="1">SUM(C10:N10)</f>
        <v>14.999999999999998</v>
      </c>
      <c r="R10" s="1" t="s">
        <v>6</v>
      </c>
      <c r="S10" s="17">
        <f t="shared" ref="S10:AF10" si="2">SUM(C10:C13)</f>
        <v>3.714285714285714</v>
      </c>
      <c r="T10" s="17">
        <f t="shared" si="2"/>
        <v>0.99999999999999989</v>
      </c>
      <c r="U10" s="17">
        <f t="shared" si="2"/>
        <v>1.857142857142857</v>
      </c>
      <c r="V10" s="17">
        <f t="shared" si="2"/>
        <v>1.4285714285714284</v>
      </c>
      <c r="W10" s="17">
        <f t="shared" si="2"/>
        <v>0</v>
      </c>
      <c r="X10" s="17">
        <f t="shared" si="2"/>
        <v>0</v>
      </c>
      <c r="Y10" s="17">
        <f t="shared" si="2"/>
        <v>1.4285714285714286</v>
      </c>
      <c r="Z10" s="17">
        <f t="shared" si="2"/>
        <v>0.42857142857142855</v>
      </c>
      <c r="AA10" s="17">
        <f t="shared" si="2"/>
        <v>0</v>
      </c>
      <c r="AB10" s="17">
        <f t="shared" si="2"/>
        <v>0.5714285714285714</v>
      </c>
      <c r="AC10" s="17">
        <f t="shared" si="2"/>
        <v>62.857142857142854</v>
      </c>
      <c r="AD10" s="17">
        <f t="shared" si="2"/>
        <v>0</v>
      </c>
      <c r="AE10" s="31">
        <f t="shared" si="2"/>
        <v>10.428571428571429</v>
      </c>
      <c r="AF10" s="31">
        <f t="shared" si="2"/>
        <v>73.285714285714278</v>
      </c>
    </row>
    <row r="11" spans="2:32" s="6" customFormat="1" ht="23.1" customHeight="1" x14ac:dyDescent="0.25">
      <c r="B11" s="23" t="s">
        <v>38</v>
      </c>
      <c r="C11" s="49">
        <f>'Avg Week MITYANA-BUSUNJU'!C11+'Avg Week BUSUNJU-MITYANA'!C11</f>
        <v>1</v>
      </c>
      <c r="D11" s="49">
        <f>'Avg Week MITYANA-BUSUNJU'!D11+'Avg Week BUSUNJU-MITYANA'!D11</f>
        <v>0.2857142857142857</v>
      </c>
      <c r="E11" s="49">
        <f>'Avg Week MITYANA-BUSUNJU'!E11+'Avg Week BUSUNJU-MITYANA'!E11</f>
        <v>0.42857142857142855</v>
      </c>
      <c r="F11" s="49">
        <f>'Avg Week MITYANA-BUSUNJU'!F11+'Avg Week BUSUNJU-MITYANA'!F11</f>
        <v>0.2857142857142857</v>
      </c>
      <c r="G11" s="49">
        <f>'Avg Week MITYANA-BUSUNJU'!G11+'Avg Week BUSUNJU-MITYANA'!G11</f>
        <v>0</v>
      </c>
      <c r="H11" s="49">
        <f>'Avg Week MITYANA-BUSUNJU'!H11+'Avg Week BUSUNJU-MITYANA'!H11</f>
        <v>0</v>
      </c>
      <c r="I11" s="49">
        <f>'Avg Week MITYANA-BUSUNJU'!I11+'Avg Week BUSUNJU-MITYANA'!I11</f>
        <v>0</v>
      </c>
      <c r="J11" s="49">
        <f>'Avg Week MITYANA-BUSUNJU'!J11+'Avg Week BUSUNJU-MITYANA'!J11</f>
        <v>0</v>
      </c>
      <c r="K11" s="49">
        <f>'Avg Week MITYANA-BUSUNJU'!K11+'Avg Week BUSUNJU-MITYANA'!K11</f>
        <v>0</v>
      </c>
      <c r="L11" s="49">
        <f>'Avg Week MITYANA-BUSUNJU'!L11+'Avg Week BUSUNJU-MITYANA'!L11</f>
        <v>0.2857142857142857</v>
      </c>
      <c r="M11" s="49">
        <f>'Avg Week MITYANA-BUSUNJU'!M11+'Avg Week BUSUNJU-MITYANA'!M11</f>
        <v>13.857142857142858</v>
      </c>
      <c r="N11" s="49">
        <f>'Avg Week MITYANA-BUSUNJU'!N11+'Avg Week BUSUNJU-MITYANA'!N11</f>
        <v>0</v>
      </c>
      <c r="O11" s="15">
        <f t="shared" si="0"/>
        <v>2.2857142857142856</v>
      </c>
      <c r="P11" s="15">
        <f t="shared" si="1"/>
        <v>16.142857142857142</v>
      </c>
      <c r="R11" s="1" t="s">
        <v>7</v>
      </c>
      <c r="S11" s="17">
        <f t="shared" ref="S11:AF11" si="3">SUM(C14:C17)</f>
        <v>1.7142857142857142</v>
      </c>
      <c r="T11" s="17">
        <f t="shared" si="3"/>
        <v>1.1428571428571428</v>
      </c>
      <c r="U11" s="17">
        <f t="shared" si="3"/>
        <v>1.5714285714285712</v>
      </c>
      <c r="V11" s="17">
        <f t="shared" si="3"/>
        <v>0.2857142857142857</v>
      </c>
      <c r="W11" s="17">
        <f t="shared" si="3"/>
        <v>0</v>
      </c>
      <c r="X11" s="17">
        <f t="shared" si="3"/>
        <v>0</v>
      </c>
      <c r="Y11" s="17">
        <f t="shared" si="3"/>
        <v>5.1428571428571423</v>
      </c>
      <c r="Z11" s="17">
        <f t="shared" si="3"/>
        <v>0.42857142857142855</v>
      </c>
      <c r="AA11" s="17">
        <f t="shared" si="3"/>
        <v>0.99999999999999989</v>
      </c>
      <c r="AB11" s="17">
        <f t="shared" si="3"/>
        <v>0</v>
      </c>
      <c r="AC11" s="17">
        <f t="shared" si="3"/>
        <v>82.714285714285708</v>
      </c>
      <c r="AD11" s="17">
        <f t="shared" si="3"/>
        <v>0</v>
      </c>
      <c r="AE11" s="31">
        <f t="shared" si="3"/>
        <v>11.285714285714283</v>
      </c>
      <c r="AF11" s="31">
        <f t="shared" si="3"/>
        <v>93.999999999999986</v>
      </c>
    </row>
    <row r="12" spans="2:32" ht="23.1" customHeight="1" x14ac:dyDescent="0.25">
      <c r="B12" s="23" t="s">
        <v>39</v>
      </c>
      <c r="C12" s="49">
        <f>'Avg Week MITYANA-BUSUNJU'!C12+'Avg Week BUSUNJU-MITYANA'!C12</f>
        <v>0.42857142857142855</v>
      </c>
      <c r="D12" s="49">
        <f>'Avg Week MITYANA-BUSUNJU'!D12+'Avg Week BUSUNJU-MITYANA'!D12</f>
        <v>0.2857142857142857</v>
      </c>
      <c r="E12" s="49">
        <f>'Avg Week MITYANA-BUSUNJU'!E12+'Avg Week BUSUNJU-MITYANA'!E12</f>
        <v>0.14285714285714285</v>
      </c>
      <c r="F12" s="49">
        <f>'Avg Week MITYANA-BUSUNJU'!F12+'Avg Week BUSUNJU-MITYANA'!F12</f>
        <v>0</v>
      </c>
      <c r="G12" s="49">
        <f>'Avg Week MITYANA-BUSUNJU'!G12+'Avg Week BUSUNJU-MITYANA'!G12</f>
        <v>0</v>
      </c>
      <c r="H12" s="49">
        <f>'Avg Week MITYANA-BUSUNJU'!H12+'Avg Week BUSUNJU-MITYANA'!H12</f>
        <v>0</v>
      </c>
      <c r="I12" s="49">
        <f>'Avg Week MITYANA-BUSUNJU'!I12+'Avg Week BUSUNJU-MITYANA'!I12</f>
        <v>0.42857142857142855</v>
      </c>
      <c r="J12" s="49">
        <f>'Avg Week MITYANA-BUSUNJU'!J12+'Avg Week BUSUNJU-MITYANA'!J12</f>
        <v>0.42857142857142855</v>
      </c>
      <c r="K12" s="49">
        <f>'Avg Week MITYANA-BUSUNJU'!K12+'Avg Week BUSUNJU-MITYANA'!K12</f>
        <v>0</v>
      </c>
      <c r="L12" s="49">
        <f>'Avg Week MITYANA-BUSUNJU'!L12+'Avg Week BUSUNJU-MITYANA'!L12</f>
        <v>0.2857142857142857</v>
      </c>
      <c r="M12" s="49">
        <f>'Avg Week MITYANA-BUSUNJU'!M12+'Avg Week BUSUNJU-MITYANA'!M12</f>
        <v>19.428571428571431</v>
      </c>
      <c r="N12" s="49">
        <f>'Avg Week MITYANA-BUSUNJU'!N12+'Avg Week BUSUNJU-MITYANA'!N12</f>
        <v>0</v>
      </c>
      <c r="O12" s="15">
        <f t="shared" si="0"/>
        <v>2</v>
      </c>
      <c r="P12" s="15">
        <f t="shared" si="1"/>
        <v>21.428571428571431</v>
      </c>
      <c r="R12" s="1" t="s">
        <v>8</v>
      </c>
      <c r="S12" s="17">
        <f t="shared" ref="S12:AF12" si="4">SUM(C18:C21)</f>
        <v>3.7142857142857144</v>
      </c>
      <c r="T12" s="17">
        <f t="shared" si="4"/>
        <v>2.5714285714285712</v>
      </c>
      <c r="U12" s="17">
        <f t="shared" si="4"/>
        <v>1.857142857142857</v>
      </c>
      <c r="V12" s="17">
        <f t="shared" si="4"/>
        <v>1.7142857142857142</v>
      </c>
      <c r="W12" s="17">
        <f t="shared" si="4"/>
        <v>0</v>
      </c>
      <c r="X12" s="17">
        <f t="shared" si="4"/>
        <v>0.5714285714285714</v>
      </c>
      <c r="Y12" s="17">
        <f t="shared" si="4"/>
        <v>3.5714285714285712</v>
      </c>
      <c r="Z12" s="17">
        <f t="shared" si="4"/>
        <v>1.2857142857142856</v>
      </c>
      <c r="AA12" s="17">
        <f t="shared" si="4"/>
        <v>0.2857142857142857</v>
      </c>
      <c r="AB12" s="17">
        <f t="shared" si="4"/>
        <v>0</v>
      </c>
      <c r="AC12" s="17">
        <f t="shared" si="4"/>
        <v>86.428571428571416</v>
      </c>
      <c r="AD12" s="17">
        <f t="shared" si="4"/>
        <v>0</v>
      </c>
      <c r="AE12" s="31">
        <f t="shared" si="4"/>
        <v>15.571428571428569</v>
      </c>
      <c r="AF12" s="31">
        <f t="shared" si="4"/>
        <v>102</v>
      </c>
    </row>
    <row r="13" spans="2:32" ht="23.1" customHeight="1" x14ac:dyDescent="0.25">
      <c r="B13" s="23" t="s">
        <v>40</v>
      </c>
      <c r="C13" s="49">
        <f>'Avg Week MITYANA-BUSUNJU'!C13+'Avg Week BUSUNJU-MITYANA'!C13</f>
        <v>1</v>
      </c>
      <c r="D13" s="49">
        <f>'Avg Week MITYANA-BUSUNJU'!D13+'Avg Week BUSUNJU-MITYANA'!D13</f>
        <v>0</v>
      </c>
      <c r="E13" s="49">
        <f>'Avg Week MITYANA-BUSUNJU'!E13+'Avg Week BUSUNJU-MITYANA'!E13</f>
        <v>0</v>
      </c>
      <c r="F13" s="49">
        <f>'Avg Week MITYANA-BUSUNJU'!F13+'Avg Week BUSUNJU-MITYANA'!F13</f>
        <v>0</v>
      </c>
      <c r="G13" s="49">
        <f>'Avg Week MITYANA-BUSUNJU'!G13+'Avg Week BUSUNJU-MITYANA'!G13</f>
        <v>0</v>
      </c>
      <c r="H13" s="49">
        <f>'Avg Week MITYANA-BUSUNJU'!H13+'Avg Week BUSUNJU-MITYANA'!H13</f>
        <v>0</v>
      </c>
      <c r="I13" s="49">
        <f>'Avg Week MITYANA-BUSUNJU'!I13+'Avg Week BUSUNJU-MITYANA'!I13</f>
        <v>0.42857142857142855</v>
      </c>
      <c r="J13" s="49">
        <f>'Avg Week MITYANA-BUSUNJU'!J13+'Avg Week BUSUNJU-MITYANA'!J13</f>
        <v>0</v>
      </c>
      <c r="K13" s="49">
        <f>'Avg Week MITYANA-BUSUNJU'!K13+'Avg Week BUSUNJU-MITYANA'!K13</f>
        <v>0</v>
      </c>
      <c r="L13" s="49">
        <f>'Avg Week MITYANA-BUSUNJU'!L13+'Avg Week BUSUNJU-MITYANA'!L13</f>
        <v>0</v>
      </c>
      <c r="M13" s="49">
        <f>'Avg Week MITYANA-BUSUNJU'!M13+'Avg Week BUSUNJU-MITYANA'!M13</f>
        <v>19.285714285714285</v>
      </c>
      <c r="N13" s="49">
        <f>'Avg Week MITYANA-BUSUNJU'!N13+'Avg Week BUSUNJU-MITYANA'!N13</f>
        <v>0</v>
      </c>
      <c r="O13" s="15">
        <f t="shared" si="0"/>
        <v>1.4285714285714286</v>
      </c>
      <c r="P13" s="15">
        <f t="shared" si="1"/>
        <v>20.714285714285712</v>
      </c>
      <c r="R13" s="1" t="s">
        <v>9</v>
      </c>
      <c r="S13" s="17">
        <f t="shared" ref="S13:AF13" si="5">SUM(C22:C25)</f>
        <v>4.5714285714285712</v>
      </c>
      <c r="T13" s="17">
        <f t="shared" si="5"/>
        <v>2.1428571428571423</v>
      </c>
      <c r="U13" s="17">
        <f t="shared" si="5"/>
        <v>1.5714285714285712</v>
      </c>
      <c r="V13" s="17">
        <f t="shared" si="5"/>
        <v>1.1428571428571428</v>
      </c>
      <c r="W13" s="17">
        <f t="shared" si="5"/>
        <v>0.14285714285714285</v>
      </c>
      <c r="X13" s="17">
        <f t="shared" si="5"/>
        <v>0.2857142857142857</v>
      </c>
      <c r="Y13" s="17">
        <f t="shared" si="5"/>
        <v>3.2857142857142851</v>
      </c>
      <c r="Z13" s="17">
        <f t="shared" si="5"/>
        <v>1.4285714285714284</v>
      </c>
      <c r="AA13" s="17">
        <f t="shared" si="5"/>
        <v>0.2857142857142857</v>
      </c>
      <c r="AB13" s="17">
        <f t="shared" si="5"/>
        <v>0</v>
      </c>
      <c r="AC13" s="17">
        <f t="shared" si="5"/>
        <v>76.428571428571431</v>
      </c>
      <c r="AD13" s="17">
        <f t="shared" si="5"/>
        <v>0</v>
      </c>
      <c r="AE13" s="31">
        <f t="shared" si="5"/>
        <v>14.857142857142858</v>
      </c>
      <c r="AF13" s="31">
        <f t="shared" si="5"/>
        <v>91.285714285714292</v>
      </c>
    </row>
    <row r="14" spans="2:32" ht="23.1" customHeight="1" x14ac:dyDescent="0.25">
      <c r="B14" s="23" t="s">
        <v>41</v>
      </c>
      <c r="C14" s="49">
        <f>'Avg Week MITYANA-BUSUNJU'!C14+'Avg Week BUSUNJU-MITYANA'!C14</f>
        <v>0.5714285714285714</v>
      </c>
      <c r="D14" s="49">
        <f>'Avg Week MITYANA-BUSUNJU'!D14+'Avg Week BUSUNJU-MITYANA'!D14</f>
        <v>0</v>
      </c>
      <c r="E14" s="49">
        <f>'Avg Week MITYANA-BUSUNJU'!E14+'Avg Week BUSUNJU-MITYANA'!E14</f>
        <v>0.2857142857142857</v>
      </c>
      <c r="F14" s="49">
        <f>'Avg Week MITYANA-BUSUNJU'!F14+'Avg Week BUSUNJU-MITYANA'!F14</f>
        <v>0</v>
      </c>
      <c r="G14" s="49">
        <f>'Avg Week MITYANA-BUSUNJU'!G14+'Avg Week BUSUNJU-MITYANA'!G14</f>
        <v>0</v>
      </c>
      <c r="H14" s="49">
        <f>'Avg Week MITYANA-BUSUNJU'!H14+'Avg Week BUSUNJU-MITYANA'!H14</f>
        <v>0</v>
      </c>
      <c r="I14" s="49">
        <f>'Avg Week MITYANA-BUSUNJU'!I14+'Avg Week BUSUNJU-MITYANA'!I14</f>
        <v>1.4285714285714286</v>
      </c>
      <c r="J14" s="49">
        <f>'Avg Week MITYANA-BUSUNJU'!J14+'Avg Week BUSUNJU-MITYANA'!J14</f>
        <v>0</v>
      </c>
      <c r="K14" s="49">
        <f>'Avg Week MITYANA-BUSUNJU'!K14+'Avg Week BUSUNJU-MITYANA'!K14</f>
        <v>0.5714285714285714</v>
      </c>
      <c r="L14" s="49">
        <f>'Avg Week MITYANA-BUSUNJU'!L14+'Avg Week BUSUNJU-MITYANA'!L14</f>
        <v>0</v>
      </c>
      <c r="M14" s="49">
        <f>'Avg Week MITYANA-BUSUNJU'!M14+'Avg Week BUSUNJU-MITYANA'!M14</f>
        <v>16.857142857142854</v>
      </c>
      <c r="N14" s="49">
        <f>'Avg Week MITYANA-BUSUNJU'!N14+'Avg Week BUSUNJU-MITYANA'!N14</f>
        <v>0</v>
      </c>
      <c r="O14" s="15">
        <f t="shared" si="0"/>
        <v>2.8571428571428568</v>
      </c>
      <c r="P14" s="15">
        <f t="shared" si="1"/>
        <v>19.714285714285712</v>
      </c>
      <c r="R14" s="1" t="s">
        <v>10</v>
      </c>
      <c r="S14" s="17">
        <f t="shared" ref="S14:AF14" si="6">SUM(C26:C29)</f>
        <v>8.4285714285714288</v>
      </c>
      <c r="T14" s="17">
        <f t="shared" si="6"/>
        <v>3</v>
      </c>
      <c r="U14" s="17">
        <f t="shared" si="6"/>
        <v>1.9999999999999998</v>
      </c>
      <c r="V14" s="17">
        <f t="shared" si="6"/>
        <v>0.42857142857142855</v>
      </c>
      <c r="W14" s="17">
        <f t="shared" si="6"/>
        <v>0.5714285714285714</v>
      </c>
      <c r="X14" s="17">
        <f t="shared" si="6"/>
        <v>0</v>
      </c>
      <c r="Y14" s="17">
        <f t="shared" si="6"/>
        <v>2.8571428571428572</v>
      </c>
      <c r="Z14" s="17">
        <f t="shared" si="6"/>
        <v>0.85714285714285698</v>
      </c>
      <c r="AA14" s="17">
        <f t="shared" si="6"/>
        <v>0.5714285714285714</v>
      </c>
      <c r="AB14" s="17">
        <f t="shared" si="6"/>
        <v>0</v>
      </c>
      <c r="AC14" s="17">
        <f t="shared" si="6"/>
        <v>81.857142857142861</v>
      </c>
      <c r="AD14" s="17">
        <f t="shared" si="6"/>
        <v>0</v>
      </c>
      <c r="AE14" s="31">
        <f t="shared" si="6"/>
        <v>18.714285714285715</v>
      </c>
      <c r="AF14" s="31">
        <f t="shared" si="6"/>
        <v>100.57142857142857</v>
      </c>
    </row>
    <row r="15" spans="2:32" ht="23.1" customHeight="1" x14ac:dyDescent="0.25">
      <c r="B15" s="23" t="s">
        <v>42</v>
      </c>
      <c r="C15" s="49">
        <f>'Avg Week MITYANA-BUSUNJU'!C15+'Avg Week BUSUNJU-MITYANA'!C15</f>
        <v>1.1428571428571428</v>
      </c>
      <c r="D15" s="49">
        <f>'Avg Week MITYANA-BUSUNJU'!D15+'Avg Week BUSUNJU-MITYANA'!D15</f>
        <v>0.42857142857142855</v>
      </c>
      <c r="E15" s="49">
        <f>'Avg Week MITYANA-BUSUNJU'!E15+'Avg Week BUSUNJU-MITYANA'!E15</f>
        <v>1</v>
      </c>
      <c r="F15" s="49">
        <f>'Avg Week MITYANA-BUSUNJU'!F15+'Avg Week BUSUNJU-MITYANA'!F15</f>
        <v>0</v>
      </c>
      <c r="G15" s="49">
        <f>'Avg Week MITYANA-BUSUNJU'!G15+'Avg Week BUSUNJU-MITYANA'!G15</f>
        <v>0</v>
      </c>
      <c r="H15" s="49">
        <f>'Avg Week MITYANA-BUSUNJU'!H15+'Avg Week BUSUNJU-MITYANA'!H15</f>
        <v>0</v>
      </c>
      <c r="I15" s="49">
        <f>'Avg Week MITYANA-BUSUNJU'!I15+'Avg Week BUSUNJU-MITYANA'!I15</f>
        <v>1.1428571428571428</v>
      </c>
      <c r="J15" s="49">
        <f>'Avg Week MITYANA-BUSUNJU'!J15+'Avg Week BUSUNJU-MITYANA'!J15</f>
        <v>0.14285714285714285</v>
      </c>
      <c r="K15" s="49">
        <f>'Avg Week MITYANA-BUSUNJU'!K15+'Avg Week BUSUNJU-MITYANA'!K15</f>
        <v>0.14285714285714285</v>
      </c>
      <c r="L15" s="49">
        <f>'Avg Week MITYANA-BUSUNJU'!L15+'Avg Week BUSUNJU-MITYANA'!L15</f>
        <v>0</v>
      </c>
      <c r="M15" s="49">
        <f>'Avg Week MITYANA-BUSUNJU'!M15+'Avg Week BUSUNJU-MITYANA'!M15</f>
        <v>20.571428571428569</v>
      </c>
      <c r="N15" s="49">
        <f>'Avg Week MITYANA-BUSUNJU'!N15+'Avg Week BUSUNJU-MITYANA'!N15</f>
        <v>0</v>
      </c>
      <c r="O15" s="15">
        <f t="shared" si="0"/>
        <v>3.9999999999999996</v>
      </c>
      <c r="P15" s="15">
        <f t="shared" si="1"/>
        <v>24.571428571428569</v>
      </c>
      <c r="R15" s="1" t="s">
        <v>11</v>
      </c>
      <c r="S15" s="17">
        <f t="shared" ref="S15:AF15" si="7">SUM(C30:C33)</f>
        <v>7.5714285714285712</v>
      </c>
      <c r="T15" s="17">
        <f t="shared" si="7"/>
        <v>1.2857142857142856</v>
      </c>
      <c r="U15" s="17">
        <f t="shared" si="7"/>
        <v>3.5714285714285716</v>
      </c>
      <c r="V15" s="17">
        <f t="shared" si="7"/>
        <v>1.5714285714285714</v>
      </c>
      <c r="W15" s="17">
        <f t="shared" si="7"/>
        <v>0.5714285714285714</v>
      </c>
      <c r="X15" s="17">
        <f t="shared" si="7"/>
        <v>0</v>
      </c>
      <c r="Y15" s="17">
        <f t="shared" si="7"/>
        <v>2.4285714285714288</v>
      </c>
      <c r="Z15" s="17">
        <f t="shared" si="7"/>
        <v>0.71428571428571419</v>
      </c>
      <c r="AA15" s="17">
        <f t="shared" si="7"/>
        <v>0.5714285714285714</v>
      </c>
      <c r="AB15" s="17">
        <f t="shared" si="7"/>
        <v>0</v>
      </c>
      <c r="AC15" s="17">
        <f t="shared" si="7"/>
        <v>91.142857142857139</v>
      </c>
      <c r="AD15" s="17">
        <f t="shared" si="7"/>
        <v>0</v>
      </c>
      <c r="AE15" s="31">
        <f t="shared" si="7"/>
        <v>18.285714285714285</v>
      </c>
      <c r="AF15" s="31">
        <f t="shared" si="7"/>
        <v>109.42857142857143</v>
      </c>
    </row>
    <row r="16" spans="2:32" ht="23.1" customHeight="1" x14ac:dyDescent="0.25">
      <c r="B16" s="23" t="s">
        <v>43</v>
      </c>
      <c r="C16" s="49">
        <f>'Avg Week MITYANA-BUSUNJU'!C16+'Avg Week BUSUNJU-MITYANA'!C16</f>
        <v>0</v>
      </c>
      <c r="D16" s="49">
        <f>'Avg Week MITYANA-BUSUNJU'!D16+'Avg Week BUSUNJU-MITYANA'!D16</f>
        <v>0.2857142857142857</v>
      </c>
      <c r="E16" s="49">
        <f>'Avg Week MITYANA-BUSUNJU'!E16+'Avg Week BUSUNJU-MITYANA'!E16</f>
        <v>0</v>
      </c>
      <c r="F16" s="49">
        <f>'Avg Week MITYANA-BUSUNJU'!F16+'Avg Week BUSUNJU-MITYANA'!F16</f>
        <v>0.2857142857142857</v>
      </c>
      <c r="G16" s="49">
        <f>'Avg Week MITYANA-BUSUNJU'!G16+'Avg Week BUSUNJU-MITYANA'!G16</f>
        <v>0</v>
      </c>
      <c r="H16" s="49">
        <f>'Avg Week MITYANA-BUSUNJU'!H16+'Avg Week BUSUNJU-MITYANA'!H16</f>
        <v>0</v>
      </c>
      <c r="I16" s="49">
        <f>'Avg Week MITYANA-BUSUNJU'!I16+'Avg Week BUSUNJU-MITYANA'!I16</f>
        <v>1.1428571428571428</v>
      </c>
      <c r="J16" s="49">
        <f>'Avg Week MITYANA-BUSUNJU'!J16+'Avg Week BUSUNJU-MITYANA'!J16</f>
        <v>0</v>
      </c>
      <c r="K16" s="49">
        <f>'Avg Week MITYANA-BUSUNJU'!K16+'Avg Week BUSUNJU-MITYANA'!K16</f>
        <v>0</v>
      </c>
      <c r="L16" s="49">
        <f>'Avg Week MITYANA-BUSUNJU'!L16+'Avg Week BUSUNJU-MITYANA'!L16</f>
        <v>0</v>
      </c>
      <c r="M16" s="49">
        <f>'Avg Week MITYANA-BUSUNJU'!M16+'Avg Week BUSUNJU-MITYANA'!M16</f>
        <v>24.571428571428569</v>
      </c>
      <c r="N16" s="49">
        <f>'Avg Week MITYANA-BUSUNJU'!N16+'Avg Week BUSUNJU-MITYANA'!N16</f>
        <v>0</v>
      </c>
      <c r="O16" s="15">
        <f t="shared" si="0"/>
        <v>1.7142857142857142</v>
      </c>
      <c r="P16" s="15">
        <f t="shared" si="1"/>
        <v>26.285714285714285</v>
      </c>
      <c r="R16" s="1" t="s">
        <v>12</v>
      </c>
      <c r="S16" s="17">
        <f t="shared" ref="S16:AF16" si="8">SUM(C34:C37)</f>
        <v>7.7142857142857135</v>
      </c>
      <c r="T16" s="17">
        <f t="shared" si="8"/>
        <v>1.1428571428571428</v>
      </c>
      <c r="U16" s="17">
        <f t="shared" si="8"/>
        <v>0.99999999999999989</v>
      </c>
      <c r="V16" s="17">
        <f t="shared" si="8"/>
        <v>0.71428571428571419</v>
      </c>
      <c r="W16" s="17">
        <f t="shared" si="8"/>
        <v>0.14285714285714285</v>
      </c>
      <c r="X16" s="17">
        <f t="shared" si="8"/>
        <v>0</v>
      </c>
      <c r="Y16" s="17">
        <f t="shared" si="8"/>
        <v>3.8571428571428568</v>
      </c>
      <c r="Z16" s="17">
        <f t="shared" si="8"/>
        <v>0.8571428571428571</v>
      </c>
      <c r="AA16" s="17">
        <f t="shared" si="8"/>
        <v>0</v>
      </c>
      <c r="AB16" s="17">
        <f t="shared" si="8"/>
        <v>0</v>
      </c>
      <c r="AC16" s="17">
        <f t="shared" si="8"/>
        <v>108.85714285714286</v>
      </c>
      <c r="AD16" s="17">
        <f t="shared" si="8"/>
        <v>0</v>
      </c>
      <c r="AE16" s="31">
        <f t="shared" si="8"/>
        <v>15.428571428571427</v>
      </c>
      <c r="AF16" s="31">
        <f t="shared" si="8"/>
        <v>124.28571428571429</v>
      </c>
    </row>
    <row r="17" spans="2:32" ht="23.1" customHeight="1" x14ac:dyDescent="0.25">
      <c r="B17" s="23" t="s">
        <v>44</v>
      </c>
      <c r="C17" s="49">
        <f>'Avg Week MITYANA-BUSUNJU'!C17+'Avg Week BUSUNJU-MITYANA'!C17</f>
        <v>0</v>
      </c>
      <c r="D17" s="49">
        <f>'Avg Week MITYANA-BUSUNJU'!D17+'Avg Week BUSUNJU-MITYANA'!D17</f>
        <v>0.42857142857142855</v>
      </c>
      <c r="E17" s="49">
        <f>'Avg Week MITYANA-BUSUNJU'!E17+'Avg Week BUSUNJU-MITYANA'!E17</f>
        <v>0.2857142857142857</v>
      </c>
      <c r="F17" s="49">
        <f>'Avg Week MITYANA-BUSUNJU'!F17+'Avg Week BUSUNJU-MITYANA'!F17</f>
        <v>0</v>
      </c>
      <c r="G17" s="49">
        <f>'Avg Week MITYANA-BUSUNJU'!G17+'Avg Week BUSUNJU-MITYANA'!G17</f>
        <v>0</v>
      </c>
      <c r="H17" s="49">
        <f>'Avg Week MITYANA-BUSUNJU'!H17+'Avg Week BUSUNJU-MITYANA'!H17</f>
        <v>0</v>
      </c>
      <c r="I17" s="49">
        <f>'Avg Week MITYANA-BUSUNJU'!I17+'Avg Week BUSUNJU-MITYANA'!I17</f>
        <v>1.4285714285714286</v>
      </c>
      <c r="J17" s="49">
        <f>'Avg Week MITYANA-BUSUNJU'!J17+'Avg Week BUSUNJU-MITYANA'!J17</f>
        <v>0.2857142857142857</v>
      </c>
      <c r="K17" s="49">
        <f>'Avg Week MITYANA-BUSUNJU'!K17+'Avg Week BUSUNJU-MITYANA'!K17</f>
        <v>0.2857142857142857</v>
      </c>
      <c r="L17" s="49">
        <f>'Avg Week MITYANA-BUSUNJU'!L17+'Avg Week BUSUNJU-MITYANA'!L17</f>
        <v>0</v>
      </c>
      <c r="M17" s="49">
        <f>'Avg Week MITYANA-BUSUNJU'!M17+'Avg Week BUSUNJU-MITYANA'!M17</f>
        <v>20.714285714285715</v>
      </c>
      <c r="N17" s="49">
        <f>'Avg Week MITYANA-BUSUNJU'!N17+'Avg Week BUSUNJU-MITYANA'!N17</f>
        <v>0</v>
      </c>
      <c r="O17" s="15">
        <f t="shared" si="0"/>
        <v>2.714285714285714</v>
      </c>
      <c r="P17" s="15">
        <f t="shared" si="1"/>
        <v>23.428571428571431</v>
      </c>
      <c r="R17" s="1" t="s">
        <v>13</v>
      </c>
      <c r="S17" s="17">
        <f t="shared" ref="S17:AF17" si="9">SUM(C38:C41)</f>
        <v>5.4285714285714288</v>
      </c>
      <c r="T17" s="17">
        <f t="shared" si="9"/>
        <v>0.99999999999999989</v>
      </c>
      <c r="U17" s="17">
        <f t="shared" si="9"/>
        <v>2.2857142857142856</v>
      </c>
      <c r="V17" s="17">
        <f t="shared" si="9"/>
        <v>0.5714285714285714</v>
      </c>
      <c r="W17" s="17">
        <f t="shared" si="9"/>
        <v>0</v>
      </c>
      <c r="X17" s="17">
        <f t="shared" si="9"/>
        <v>0</v>
      </c>
      <c r="Y17" s="17">
        <f t="shared" si="9"/>
        <v>3.4285714285714284</v>
      </c>
      <c r="Z17" s="17">
        <f t="shared" si="9"/>
        <v>1.1428571428571428</v>
      </c>
      <c r="AA17" s="17">
        <f t="shared" si="9"/>
        <v>0.14285714285714285</v>
      </c>
      <c r="AB17" s="17">
        <f t="shared" si="9"/>
        <v>0</v>
      </c>
      <c r="AC17" s="17">
        <f t="shared" si="9"/>
        <v>98.142857142857139</v>
      </c>
      <c r="AD17" s="17">
        <f t="shared" si="9"/>
        <v>0</v>
      </c>
      <c r="AE17" s="31">
        <f t="shared" si="9"/>
        <v>14</v>
      </c>
      <c r="AF17" s="31">
        <f t="shared" si="9"/>
        <v>112.14285714285714</v>
      </c>
    </row>
    <row r="18" spans="2:32" ht="23.1" customHeight="1" x14ac:dyDescent="0.25">
      <c r="B18" s="23" t="s">
        <v>45</v>
      </c>
      <c r="C18" s="49">
        <f>'Avg Week MITYANA-BUSUNJU'!C18+'Avg Week BUSUNJU-MITYANA'!C18</f>
        <v>0.42857142857142855</v>
      </c>
      <c r="D18" s="49">
        <f>'Avg Week MITYANA-BUSUNJU'!D18+'Avg Week BUSUNJU-MITYANA'!D18</f>
        <v>0.8571428571428571</v>
      </c>
      <c r="E18" s="49">
        <f>'Avg Week MITYANA-BUSUNJU'!E18+'Avg Week BUSUNJU-MITYANA'!E18</f>
        <v>0.2857142857142857</v>
      </c>
      <c r="F18" s="49">
        <f>'Avg Week MITYANA-BUSUNJU'!F18+'Avg Week BUSUNJU-MITYANA'!F18</f>
        <v>0.2857142857142857</v>
      </c>
      <c r="G18" s="49">
        <f>'Avg Week MITYANA-BUSUNJU'!G18+'Avg Week BUSUNJU-MITYANA'!G18</f>
        <v>0</v>
      </c>
      <c r="H18" s="49">
        <f>'Avg Week MITYANA-BUSUNJU'!H18+'Avg Week BUSUNJU-MITYANA'!H18</f>
        <v>0</v>
      </c>
      <c r="I18" s="49">
        <f>'Avg Week MITYANA-BUSUNJU'!I18+'Avg Week BUSUNJU-MITYANA'!I18</f>
        <v>1.7142857142857142</v>
      </c>
      <c r="J18" s="49">
        <f>'Avg Week MITYANA-BUSUNJU'!J18+'Avg Week BUSUNJU-MITYANA'!J18</f>
        <v>0</v>
      </c>
      <c r="K18" s="49">
        <f>'Avg Week MITYANA-BUSUNJU'!K18+'Avg Week BUSUNJU-MITYANA'!K18</f>
        <v>0</v>
      </c>
      <c r="L18" s="49">
        <f>'Avg Week MITYANA-BUSUNJU'!L18+'Avg Week BUSUNJU-MITYANA'!L18</f>
        <v>0</v>
      </c>
      <c r="M18" s="49">
        <f>'Avg Week MITYANA-BUSUNJU'!M18+'Avg Week BUSUNJU-MITYANA'!M18</f>
        <v>20.142857142857142</v>
      </c>
      <c r="N18" s="49">
        <f>'Avg Week MITYANA-BUSUNJU'!N18+'Avg Week BUSUNJU-MITYANA'!N18</f>
        <v>0</v>
      </c>
      <c r="O18" s="15">
        <f t="shared" si="0"/>
        <v>3.5714285714285712</v>
      </c>
      <c r="P18" s="15">
        <f t="shared" si="1"/>
        <v>23.714285714285715</v>
      </c>
      <c r="R18" s="1" t="s">
        <v>14</v>
      </c>
      <c r="S18" s="17">
        <f t="shared" ref="S18:AF18" si="10">SUM(C42:C45)</f>
        <v>7.8571428571428577</v>
      </c>
      <c r="T18" s="17">
        <f t="shared" si="10"/>
        <v>1.1428571428571428</v>
      </c>
      <c r="U18" s="17">
        <f t="shared" si="10"/>
        <v>1.714285714285714</v>
      </c>
      <c r="V18" s="17">
        <f t="shared" si="10"/>
        <v>1.4285714285714284</v>
      </c>
      <c r="W18" s="17">
        <f t="shared" si="10"/>
        <v>0</v>
      </c>
      <c r="X18" s="17">
        <f t="shared" si="10"/>
        <v>0.14285714285714285</v>
      </c>
      <c r="Y18" s="17">
        <f t="shared" si="10"/>
        <v>2.714285714285714</v>
      </c>
      <c r="Z18" s="17">
        <f t="shared" si="10"/>
        <v>1</v>
      </c>
      <c r="AA18" s="17">
        <f t="shared" si="10"/>
        <v>0.5714285714285714</v>
      </c>
      <c r="AB18" s="17">
        <f t="shared" si="10"/>
        <v>0</v>
      </c>
      <c r="AC18" s="17">
        <f t="shared" si="10"/>
        <v>107</v>
      </c>
      <c r="AD18" s="17">
        <f t="shared" si="10"/>
        <v>0</v>
      </c>
      <c r="AE18" s="31">
        <f t="shared" si="10"/>
        <v>16.571428571428569</v>
      </c>
      <c r="AF18" s="31">
        <f t="shared" si="10"/>
        <v>123.57142857142857</v>
      </c>
    </row>
    <row r="19" spans="2:32" ht="23.1" customHeight="1" x14ac:dyDescent="0.25">
      <c r="B19" s="23" t="s">
        <v>46</v>
      </c>
      <c r="C19" s="49">
        <f>'Avg Week MITYANA-BUSUNJU'!C19+'Avg Week BUSUNJU-MITYANA'!C19</f>
        <v>0.42857142857142855</v>
      </c>
      <c r="D19" s="49">
        <f>'Avg Week MITYANA-BUSUNJU'!D19+'Avg Week BUSUNJU-MITYANA'!D19</f>
        <v>0</v>
      </c>
      <c r="E19" s="49">
        <f>'Avg Week MITYANA-BUSUNJU'!E19+'Avg Week BUSUNJU-MITYANA'!E19</f>
        <v>0.2857142857142857</v>
      </c>
      <c r="F19" s="49">
        <f>'Avg Week MITYANA-BUSUNJU'!F19+'Avg Week BUSUNJU-MITYANA'!F19</f>
        <v>0.14285714285714285</v>
      </c>
      <c r="G19" s="49">
        <f>'Avg Week MITYANA-BUSUNJU'!G19+'Avg Week BUSUNJU-MITYANA'!G19</f>
        <v>0</v>
      </c>
      <c r="H19" s="49">
        <f>'Avg Week MITYANA-BUSUNJU'!H19+'Avg Week BUSUNJU-MITYANA'!H19</f>
        <v>0</v>
      </c>
      <c r="I19" s="49">
        <f>'Avg Week MITYANA-BUSUNJU'!I19+'Avg Week BUSUNJU-MITYANA'!I19</f>
        <v>0.2857142857142857</v>
      </c>
      <c r="J19" s="49">
        <f>'Avg Week MITYANA-BUSUNJU'!J19+'Avg Week BUSUNJU-MITYANA'!J19</f>
        <v>0</v>
      </c>
      <c r="K19" s="49">
        <f>'Avg Week MITYANA-BUSUNJU'!K19+'Avg Week BUSUNJU-MITYANA'!K19</f>
        <v>0</v>
      </c>
      <c r="L19" s="49">
        <f>'Avg Week MITYANA-BUSUNJU'!L19+'Avg Week BUSUNJU-MITYANA'!L19</f>
        <v>0</v>
      </c>
      <c r="M19" s="49">
        <f>'Avg Week MITYANA-BUSUNJU'!M19+'Avg Week BUSUNJU-MITYANA'!M19</f>
        <v>18.571428571428569</v>
      </c>
      <c r="N19" s="49">
        <f>'Avg Week MITYANA-BUSUNJU'!N19+'Avg Week BUSUNJU-MITYANA'!N19</f>
        <v>0</v>
      </c>
      <c r="O19" s="15">
        <f t="shared" si="0"/>
        <v>1.1428571428571428</v>
      </c>
      <c r="P19" s="15">
        <f t="shared" si="1"/>
        <v>19.714285714285712</v>
      </c>
      <c r="R19" s="1" t="s">
        <v>15</v>
      </c>
      <c r="S19" s="17">
        <f t="shared" ref="S19:AF19" si="11">SUM(C46:C49)</f>
        <v>4.7142857142857135</v>
      </c>
      <c r="T19" s="17">
        <f t="shared" si="11"/>
        <v>2.8571428571428568</v>
      </c>
      <c r="U19" s="17">
        <f t="shared" si="11"/>
        <v>1.2857142857142856</v>
      </c>
      <c r="V19" s="17">
        <f t="shared" si="11"/>
        <v>0.8571428571428571</v>
      </c>
      <c r="W19" s="17">
        <f t="shared" si="11"/>
        <v>0.42857142857142855</v>
      </c>
      <c r="X19" s="17">
        <f t="shared" si="11"/>
        <v>0</v>
      </c>
      <c r="Y19" s="17">
        <f t="shared" si="11"/>
        <v>2.7142857142857144</v>
      </c>
      <c r="Z19" s="17">
        <f t="shared" si="11"/>
        <v>1.5714285714285714</v>
      </c>
      <c r="AA19" s="17">
        <f t="shared" si="11"/>
        <v>0.2857142857142857</v>
      </c>
      <c r="AB19" s="17">
        <f t="shared" si="11"/>
        <v>0</v>
      </c>
      <c r="AC19" s="17">
        <f t="shared" si="11"/>
        <v>102.28571428571428</v>
      </c>
      <c r="AD19" s="17">
        <f t="shared" si="11"/>
        <v>0</v>
      </c>
      <c r="AE19" s="31">
        <f t="shared" si="11"/>
        <v>14.714285714285712</v>
      </c>
      <c r="AF19" s="31">
        <f t="shared" si="11"/>
        <v>117</v>
      </c>
    </row>
    <row r="20" spans="2:32" ht="23.1" customHeight="1" x14ac:dyDescent="0.25">
      <c r="B20" s="23" t="s">
        <v>47</v>
      </c>
      <c r="C20" s="49">
        <f>'Avg Week MITYANA-BUSUNJU'!C20+'Avg Week BUSUNJU-MITYANA'!C20</f>
        <v>1.1428571428571428</v>
      </c>
      <c r="D20" s="49">
        <f>'Avg Week MITYANA-BUSUNJU'!D20+'Avg Week BUSUNJU-MITYANA'!D20</f>
        <v>0.5714285714285714</v>
      </c>
      <c r="E20" s="49">
        <f>'Avg Week MITYANA-BUSUNJU'!E20+'Avg Week BUSUNJU-MITYANA'!E20</f>
        <v>1.2857142857142856</v>
      </c>
      <c r="F20" s="49">
        <f>'Avg Week MITYANA-BUSUNJU'!F20+'Avg Week BUSUNJU-MITYANA'!F20</f>
        <v>0.42857142857142855</v>
      </c>
      <c r="G20" s="49">
        <f>'Avg Week MITYANA-BUSUNJU'!G20+'Avg Week BUSUNJU-MITYANA'!G20</f>
        <v>0</v>
      </c>
      <c r="H20" s="49">
        <f>'Avg Week MITYANA-BUSUNJU'!H20+'Avg Week BUSUNJU-MITYANA'!H20</f>
        <v>0.5714285714285714</v>
      </c>
      <c r="I20" s="49">
        <f>'Avg Week MITYANA-BUSUNJU'!I20+'Avg Week BUSUNJU-MITYANA'!I20</f>
        <v>0.5714285714285714</v>
      </c>
      <c r="J20" s="49">
        <f>'Avg Week MITYANA-BUSUNJU'!J20+'Avg Week BUSUNJU-MITYANA'!J20</f>
        <v>0.14285714285714285</v>
      </c>
      <c r="K20" s="49">
        <f>'Avg Week MITYANA-BUSUNJU'!K20+'Avg Week BUSUNJU-MITYANA'!K20</f>
        <v>0</v>
      </c>
      <c r="L20" s="49">
        <f>'Avg Week MITYANA-BUSUNJU'!L20+'Avg Week BUSUNJU-MITYANA'!L20</f>
        <v>0</v>
      </c>
      <c r="M20" s="49">
        <f>'Avg Week MITYANA-BUSUNJU'!M20+'Avg Week BUSUNJU-MITYANA'!M20</f>
        <v>24.285714285714285</v>
      </c>
      <c r="N20" s="49">
        <f>'Avg Week MITYANA-BUSUNJU'!N20+'Avg Week BUSUNJU-MITYANA'!N20</f>
        <v>0</v>
      </c>
      <c r="O20" s="15">
        <f t="shared" si="0"/>
        <v>4.7142857142857144</v>
      </c>
      <c r="P20" s="15">
        <f t="shared" si="1"/>
        <v>29</v>
      </c>
      <c r="R20" s="1" t="s">
        <v>16</v>
      </c>
      <c r="S20" s="17">
        <f t="shared" ref="S20:AF20" si="12">SUM(C50:C53)</f>
        <v>7.5714285714285721</v>
      </c>
      <c r="T20" s="17">
        <f t="shared" si="12"/>
        <v>2.4285714285714288</v>
      </c>
      <c r="U20" s="17">
        <f t="shared" si="12"/>
        <v>1</v>
      </c>
      <c r="V20" s="17">
        <f t="shared" si="12"/>
        <v>1.1428571428571428</v>
      </c>
      <c r="W20" s="17">
        <f t="shared" si="12"/>
        <v>0.14285714285714285</v>
      </c>
      <c r="X20" s="17">
        <f t="shared" si="12"/>
        <v>0</v>
      </c>
      <c r="Y20" s="17">
        <f t="shared" si="12"/>
        <v>1.2857142857142856</v>
      </c>
      <c r="Z20" s="17">
        <f t="shared" si="12"/>
        <v>1.2857142857142856</v>
      </c>
      <c r="AA20" s="17">
        <f t="shared" si="12"/>
        <v>0.14285714285714285</v>
      </c>
      <c r="AB20" s="17">
        <f t="shared" si="12"/>
        <v>0.14285714285714285</v>
      </c>
      <c r="AC20" s="17">
        <f t="shared" si="12"/>
        <v>96.142857142857139</v>
      </c>
      <c r="AD20" s="17">
        <f t="shared" si="12"/>
        <v>0</v>
      </c>
      <c r="AE20" s="31">
        <f t="shared" si="12"/>
        <v>15.142857142857141</v>
      </c>
      <c r="AF20" s="31">
        <f t="shared" si="12"/>
        <v>111.28571428571428</v>
      </c>
    </row>
    <row r="21" spans="2:32" ht="23.1" customHeight="1" x14ac:dyDescent="0.25">
      <c r="B21" s="23" t="s">
        <v>48</v>
      </c>
      <c r="C21" s="49">
        <f>'Avg Week MITYANA-BUSUNJU'!C21+'Avg Week BUSUNJU-MITYANA'!C21</f>
        <v>1.7142857142857144</v>
      </c>
      <c r="D21" s="49">
        <f>'Avg Week MITYANA-BUSUNJU'!D21+'Avg Week BUSUNJU-MITYANA'!D21</f>
        <v>1.1428571428571428</v>
      </c>
      <c r="E21" s="49">
        <f>'Avg Week MITYANA-BUSUNJU'!E21+'Avg Week BUSUNJU-MITYANA'!E21</f>
        <v>0</v>
      </c>
      <c r="F21" s="49">
        <f>'Avg Week MITYANA-BUSUNJU'!F21+'Avg Week BUSUNJU-MITYANA'!F21</f>
        <v>0.8571428571428571</v>
      </c>
      <c r="G21" s="49">
        <f>'Avg Week MITYANA-BUSUNJU'!G21+'Avg Week BUSUNJU-MITYANA'!G21</f>
        <v>0</v>
      </c>
      <c r="H21" s="49">
        <f>'Avg Week MITYANA-BUSUNJU'!H21+'Avg Week BUSUNJU-MITYANA'!H21</f>
        <v>0</v>
      </c>
      <c r="I21" s="49">
        <f>'Avg Week MITYANA-BUSUNJU'!I21+'Avg Week BUSUNJU-MITYANA'!I21</f>
        <v>1</v>
      </c>
      <c r="J21" s="49">
        <f>'Avg Week MITYANA-BUSUNJU'!J21+'Avg Week BUSUNJU-MITYANA'!J21</f>
        <v>1.1428571428571428</v>
      </c>
      <c r="K21" s="49">
        <f>'Avg Week MITYANA-BUSUNJU'!K21+'Avg Week BUSUNJU-MITYANA'!K21</f>
        <v>0.2857142857142857</v>
      </c>
      <c r="L21" s="49">
        <f>'Avg Week MITYANA-BUSUNJU'!L21+'Avg Week BUSUNJU-MITYANA'!L21</f>
        <v>0</v>
      </c>
      <c r="M21" s="49">
        <f>'Avg Week MITYANA-BUSUNJU'!M21+'Avg Week BUSUNJU-MITYANA'!M21</f>
        <v>23.428571428571431</v>
      </c>
      <c r="N21" s="49">
        <f>'Avg Week MITYANA-BUSUNJU'!N21+'Avg Week BUSUNJU-MITYANA'!N21</f>
        <v>0</v>
      </c>
      <c r="O21" s="15">
        <f t="shared" si="0"/>
        <v>6.1428571428571432</v>
      </c>
      <c r="P21" s="15">
        <f t="shared" si="1"/>
        <v>29.571428571428573</v>
      </c>
      <c r="R21" s="36" t="s">
        <v>20</v>
      </c>
      <c r="S21" s="34">
        <f t="shared" ref="S21:AF21" si="13">SUM(C54:C57)</f>
        <v>6.7142857142857135</v>
      </c>
      <c r="T21" s="17">
        <f t="shared" si="13"/>
        <v>2.2857142857142856</v>
      </c>
      <c r="U21" s="17">
        <f t="shared" si="13"/>
        <v>4.4285714285714288</v>
      </c>
      <c r="V21" s="17">
        <f t="shared" si="13"/>
        <v>2.1428571428571428</v>
      </c>
      <c r="W21" s="17">
        <f t="shared" si="13"/>
        <v>0</v>
      </c>
      <c r="X21" s="17">
        <f t="shared" si="13"/>
        <v>0.2857142857142857</v>
      </c>
      <c r="Y21" s="17">
        <f t="shared" si="13"/>
        <v>4.4285714285714288</v>
      </c>
      <c r="Z21" s="17">
        <f t="shared" si="13"/>
        <v>2.4285714285714284</v>
      </c>
      <c r="AA21" s="17">
        <f t="shared" si="13"/>
        <v>0.14285714285714285</v>
      </c>
      <c r="AB21" s="17">
        <f t="shared" si="13"/>
        <v>0</v>
      </c>
      <c r="AC21" s="17">
        <f t="shared" si="13"/>
        <v>82.714285714285722</v>
      </c>
      <c r="AD21" s="17">
        <f t="shared" si="13"/>
        <v>0</v>
      </c>
      <c r="AE21" s="31">
        <f t="shared" si="13"/>
        <v>22.857142857142854</v>
      </c>
      <c r="AF21" s="31">
        <f t="shared" si="13"/>
        <v>105.57142857142856</v>
      </c>
    </row>
    <row r="22" spans="2:32" ht="23.1" customHeight="1" x14ac:dyDescent="0.25">
      <c r="B22" s="23" t="s">
        <v>49</v>
      </c>
      <c r="C22" s="49">
        <f>'Avg Week MITYANA-BUSUNJU'!C22+'Avg Week BUSUNJU-MITYANA'!C22</f>
        <v>1</v>
      </c>
      <c r="D22" s="49">
        <f>'Avg Week MITYANA-BUSUNJU'!D22+'Avg Week BUSUNJU-MITYANA'!D22</f>
        <v>0.42857142857142855</v>
      </c>
      <c r="E22" s="49">
        <f>'Avg Week MITYANA-BUSUNJU'!E22+'Avg Week BUSUNJU-MITYANA'!E22</f>
        <v>1.2857142857142856</v>
      </c>
      <c r="F22" s="49">
        <f>'Avg Week MITYANA-BUSUNJU'!F22+'Avg Week BUSUNJU-MITYANA'!F22</f>
        <v>0.2857142857142857</v>
      </c>
      <c r="G22" s="49">
        <f>'Avg Week MITYANA-BUSUNJU'!G22+'Avg Week BUSUNJU-MITYANA'!G22</f>
        <v>0</v>
      </c>
      <c r="H22" s="49">
        <f>'Avg Week MITYANA-BUSUNJU'!H22+'Avg Week BUSUNJU-MITYANA'!H22</f>
        <v>0.2857142857142857</v>
      </c>
      <c r="I22" s="49">
        <f>'Avg Week MITYANA-BUSUNJU'!I22+'Avg Week BUSUNJU-MITYANA'!I22</f>
        <v>0.5714285714285714</v>
      </c>
      <c r="J22" s="49">
        <f>'Avg Week MITYANA-BUSUNJU'!J22+'Avg Week BUSUNJU-MITYANA'!J22</f>
        <v>0.2857142857142857</v>
      </c>
      <c r="K22" s="49">
        <f>'Avg Week MITYANA-BUSUNJU'!K22+'Avg Week BUSUNJU-MITYANA'!K22</f>
        <v>0.14285714285714285</v>
      </c>
      <c r="L22" s="49">
        <f>'Avg Week MITYANA-BUSUNJU'!L22+'Avg Week BUSUNJU-MITYANA'!L22</f>
        <v>0</v>
      </c>
      <c r="M22" s="49">
        <f>'Avg Week MITYANA-BUSUNJU'!M22+'Avg Week BUSUNJU-MITYANA'!M22</f>
        <v>18.428571428571431</v>
      </c>
      <c r="N22" s="49">
        <f>'Avg Week MITYANA-BUSUNJU'!N22+'Avg Week BUSUNJU-MITYANA'!N22</f>
        <v>0</v>
      </c>
      <c r="O22" s="15">
        <f t="shared" si="0"/>
        <v>4.2857142857142856</v>
      </c>
      <c r="P22" s="15">
        <f t="shared" si="1"/>
        <v>22.714285714285715</v>
      </c>
      <c r="R22" s="1" t="s">
        <v>146</v>
      </c>
      <c r="S22" s="34">
        <f>SUM(C58:C61)</f>
        <v>11.5</v>
      </c>
      <c r="T22" s="34">
        <f t="shared" ref="T22:AF22" si="14">SUM(D58:D61)</f>
        <v>2</v>
      </c>
      <c r="U22" s="34">
        <f t="shared" si="14"/>
        <v>2.5</v>
      </c>
      <c r="V22" s="34">
        <f t="shared" si="14"/>
        <v>2.5</v>
      </c>
      <c r="W22" s="34">
        <f t="shared" si="14"/>
        <v>0.5</v>
      </c>
      <c r="X22" s="34">
        <f t="shared" si="14"/>
        <v>0</v>
      </c>
      <c r="Y22" s="34">
        <f t="shared" si="14"/>
        <v>3.5</v>
      </c>
      <c r="Z22" s="34">
        <f t="shared" si="14"/>
        <v>0</v>
      </c>
      <c r="AA22" s="34">
        <f t="shared" si="14"/>
        <v>1</v>
      </c>
      <c r="AB22" s="34">
        <f t="shared" si="14"/>
        <v>0</v>
      </c>
      <c r="AC22" s="34">
        <f t="shared" si="14"/>
        <v>131.5</v>
      </c>
      <c r="AD22" s="34">
        <f t="shared" si="14"/>
        <v>0</v>
      </c>
      <c r="AE22" s="31">
        <f t="shared" si="14"/>
        <v>23.5</v>
      </c>
      <c r="AF22" s="31">
        <f t="shared" si="14"/>
        <v>155</v>
      </c>
    </row>
    <row r="23" spans="2:32" ht="23.1" customHeight="1" x14ac:dyDescent="0.25">
      <c r="B23" s="23" t="s">
        <v>50</v>
      </c>
      <c r="C23" s="49">
        <f>'Avg Week MITYANA-BUSUNJU'!C23+'Avg Week BUSUNJU-MITYANA'!C23</f>
        <v>1.7142857142857144</v>
      </c>
      <c r="D23" s="49">
        <f>'Avg Week MITYANA-BUSUNJU'!D23+'Avg Week BUSUNJU-MITYANA'!D23</f>
        <v>0.8571428571428571</v>
      </c>
      <c r="E23" s="49">
        <f>'Avg Week MITYANA-BUSUNJU'!E23+'Avg Week BUSUNJU-MITYANA'!E23</f>
        <v>0.2857142857142857</v>
      </c>
      <c r="F23" s="49">
        <f>'Avg Week MITYANA-BUSUNJU'!F23+'Avg Week BUSUNJU-MITYANA'!F23</f>
        <v>0.2857142857142857</v>
      </c>
      <c r="G23" s="49">
        <f>'Avg Week MITYANA-BUSUNJU'!G23+'Avg Week BUSUNJU-MITYANA'!G23</f>
        <v>0</v>
      </c>
      <c r="H23" s="49">
        <f>'Avg Week MITYANA-BUSUNJU'!H23+'Avg Week BUSUNJU-MITYANA'!H23</f>
        <v>0</v>
      </c>
      <c r="I23" s="49">
        <f>'Avg Week MITYANA-BUSUNJU'!I23+'Avg Week BUSUNJU-MITYANA'!I23</f>
        <v>1.7142857142857144</v>
      </c>
      <c r="J23" s="49">
        <f>'Avg Week MITYANA-BUSUNJU'!J23+'Avg Week BUSUNJU-MITYANA'!J23</f>
        <v>0.2857142857142857</v>
      </c>
      <c r="K23" s="49">
        <f>'Avg Week MITYANA-BUSUNJU'!K23+'Avg Week BUSUNJU-MITYANA'!K23</f>
        <v>0.14285714285714285</v>
      </c>
      <c r="L23" s="49">
        <f>'Avg Week MITYANA-BUSUNJU'!L23+'Avg Week BUSUNJU-MITYANA'!L23</f>
        <v>0</v>
      </c>
      <c r="M23" s="49">
        <f>'Avg Week MITYANA-BUSUNJU'!M23+'Avg Week BUSUNJU-MITYANA'!M23</f>
        <v>20</v>
      </c>
      <c r="N23" s="49">
        <f>'Avg Week MITYANA-BUSUNJU'!N23+'Avg Week BUSUNJU-MITYANA'!N23</f>
        <v>0</v>
      </c>
      <c r="O23" s="15">
        <f t="shared" si="0"/>
        <v>5.2857142857142865</v>
      </c>
      <c r="P23" s="15">
        <f t="shared" si="1"/>
        <v>25.285714285714285</v>
      </c>
      <c r="R23" s="1" t="s">
        <v>147</v>
      </c>
      <c r="S23" s="34">
        <f>SUM(C62:C65)</f>
        <v>5</v>
      </c>
      <c r="T23" s="34">
        <f t="shared" ref="T23:AF23" si="15">SUM(D62:D65)</f>
        <v>5.5</v>
      </c>
      <c r="U23" s="34">
        <f t="shared" si="15"/>
        <v>0.5</v>
      </c>
      <c r="V23" s="34">
        <f t="shared" si="15"/>
        <v>0.5</v>
      </c>
      <c r="W23" s="34">
        <f t="shared" si="15"/>
        <v>0</v>
      </c>
      <c r="X23" s="34">
        <f t="shared" si="15"/>
        <v>0</v>
      </c>
      <c r="Y23" s="34">
        <f t="shared" si="15"/>
        <v>2.5</v>
      </c>
      <c r="Z23" s="34">
        <f t="shared" si="15"/>
        <v>2</v>
      </c>
      <c r="AA23" s="34">
        <f t="shared" si="15"/>
        <v>1</v>
      </c>
      <c r="AB23" s="34">
        <f t="shared" si="15"/>
        <v>0</v>
      </c>
      <c r="AC23" s="34">
        <f t="shared" si="15"/>
        <v>77</v>
      </c>
      <c r="AD23" s="34">
        <f t="shared" si="15"/>
        <v>0</v>
      </c>
      <c r="AE23" s="31">
        <f t="shared" si="15"/>
        <v>17</v>
      </c>
      <c r="AF23" s="31">
        <f t="shared" si="15"/>
        <v>94</v>
      </c>
    </row>
    <row r="24" spans="2:32" ht="23.1" customHeight="1" x14ac:dyDescent="0.25">
      <c r="B24" s="23" t="s">
        <v>51</v>
      </c>
      <c r="C24" s="49">
        <f>'Avg Week MITYANA-BUSUNJU'!C24+'Avg Week BUSUNJU-MITYANA'!C24</f>
        <v>0.5714285714285714</v>
      </c>
      <c r="D24" s="49">
        <f>'Avg Week MITYANA-BUSUNJU'!D24+'Avg Week BUSUNJU-MITYANA'!D24</f>
        <v>0.14285714285714285</v>
      </c>
      <c r="E24" s="49">
        <f>'Avg Week MITYANA-BUSUNJU'!E24+'Avg Week BUSUNJU-MITYANA'!E24</f>
        <v>0</v>
      </c>
      <c r="F24" s="49">
        <f>'Avg Week MITYANA-BUSUNJU'!F24+'Avg Week BUSUNJU-MITYANA'!F24</f>
        <v>0.5714285714285714</v>
      </c>
      <c r="G24" s="49">
        <f>'Avg Week MITYANA-BUSUNJU'!G24+'Avg Week BUSUNJU-MITYANA'!G24</f>
        <v>0</v>
      </c>
      <c r="H24" s="49">
        <f>'Avg Week MITYANA-BUSUNJU'!H24+'Avg Week BUSUNJU-MITYANA'!H24</f>
        <v>0</v>
      </c>
      <c r="I24" s="49">
        <f>'Avg Week MITYANA-BUSUNJU'!I24+'Avg Week BUSUNJU-MITYANA'!I24</f>
        <v>0.5714285714285714</v>
      </c>
      <c r="J24" s="49">
        <f>'Avg Week MITYANA-BUSUNJU'!J24+'Avg Week BUSUNJU-MITYANA'!J24</f>
        <v>0.2857142857142857</v>
      </c>
      <c r="K24" s="49">
        <f>'Avg Week MITYANA-BUSUNJU'!K24+'Avg Week BUSUNJU-MITYANA'!K24</f>
        <v>0</v>
      </c>
      <c r="L24" s="49">
        <f>'Avg Week MITYANA-BUSUNJU'!L24+'Avg Week BUSUNJU-MITYANA'!L24</f>
        <v>0</v>
      </c>
      <c r="M24" s="49">
        <f>'Avg Week MITYANA-BUSUNJU'!M24+'Avg Week BUSUNJU-MITYANA'!M24</f>
        <v>20.285714285714285</v>
      </c>
      <c r="N24" s="49">
        <f>'Avg Week MITYANA-BUSUNJU'!N24+'Avg Week BUSUNJU-MITYANA'!N24</f>
        <v>0</v>
      </c>
      <c r="O24" s="15">
        <f t="shared" si="0"/>
        <v>2.1428571428571428</v>
      </c>
      <c r="P24" s="15">
        <f t="shared" si="1"/>
        <v>22.428571428571427</v>
      </c>
      <c r="R24" s="1" t="s">
        <v>148</v>
      </c>
      <c r="S24" s="34">
        <f>SUM(C66:C69)</f>
        <v>4.5</v>
      </c>
      <c r="T24" s="34">
        <f t="shared" ref="T24:AF24" si="16">SUM(D66:D69)</f>
        <v>1</v>
      </c>
      <c r="U24" s="34">
        <f t="shared" si="16"/>
        <v>1.5</v>
      </c>
      <c r="V24" s="34">
        <f t="shared" si="16"/>
        <v>0.5</v>
      </c>
      <c r="W24" s="34">
        <f t="shared" si="16"/>
        <v>0</v>
      </c>
      <c r="X24" s="34">
        <f t="shared" si="16"/>
        <v>0</v>
      </c>
      <c r="Y24" s="34">
        <f t="shared" si="16"/>
        <v>5</v>
      </c>
      <c r="Z24" s="34">
        <f t="shared" si="16"/>
        <v>2</v>
      </c>
      <c r="AA24" s="34">
        <f t="shared" si="16"/>
        <v>2.5</v>
      </c>
      <c r="AB24" s="34">
        <f t="shared" si="16"/>
        <v>0</v>
      </c>
      <c r="AC24" s="34">
        <f t="shared" si="16"/>
        <v>46</v>
      </c>
      <c r="AD24" s="34">
        <f t="shared" si="16"/>
        <v>0</v>
      </c>
      <c r="AE24" s="31">
        <f t="shared" si="16"/>
        <v>17</v>
      </c>
      <c r="AF24" s="31">
        <f t="shared" si="16"/>
        <v>63</v>
      </c>
    </row>
    <row r="25" spans="2:32" ht="23.1" customHeight="1" x14ac:dyDescent="0.25">
      <c r="B25" s="23" t="s">
        <v>52</v>
      </c>
      <c r="C25" s="49">
        <f>'Avg Week MITYANA-BUSUNJU'!C25+'Avg Week BUSUNJU-MITYANA'!C25</f>
        <v>1.2857142857142856</v>
      </c>
      <c r="D25" s="49">
        <f>'Avg Week MITYANA-BUSUNJU'!D25+'Avg Week BUSUNJU-MITYANA'!D25</f>
        <v>0.71428571428571419</v>
      </c>
      <c r="E25" s="49">
        <f>'Avg Week MITYANA-BUSUNJU'!E25+'Avg Week BUSUNJU-MITYANA'!E25</f>
        <v>0</v>
      </c>
      <c r="F25" s="49">
        <f>'Avg Week MITYANA-BUSUNJU'!F25+'Avg Week BUSUNJU-MITYANA'!F25</f>
        <v>0</v>
      </c>
      <c r="G25" s="49">
        <f>'Avg Week MITYANA-BUSUNJU'!G25+'Avg Week BUSUNJU-MITYANA'!G25</f>
        <v>0.14285714285714285</v>
      </c>
      <c r="H25" s="49">
        <f>'Avg Week MITYANA-BUSUNJU'!H25+'Avg Week BUSUNJU-MITYANA'!H25</f>
        <v>0</v>
      </c>
      <c r="I25" s="49">
        <f>'Avg Week MITYANA-BUSUNJU'!I25+'Avg Week BUSUNJU-MITYANA'!I25</f>
        <v>0.42857142857142855</v>
      </c>
      <c r="J25" s="49">
        <f>'Avg Week MITYANA-BUSUNJU'!J25+'Avg Week BUSUNJU-MITYANA'!J25</f>
        <v>0.5714285714285714</v>
      </c>
      <c r="K25" s="49">
        <f>'Avg Week MITYANA-BUSUNJU'!K25+'Avg Week BUSUNJU-MITYANA'!K25</f>
        <v>0</v>
      </c>
      <c r="L25" s="49">
        <f>'Avg Week MITYANA-BUSUNJU'!L25+'Avg Week BUSUNJU-MITYANA'!L25</f>
        <v>0</v>
      </c>
      <c r="M25" s="49">
        <f>'Avg Week MITYANA-BUSUNJU'!M25+'Avg Week BUSUNJU-MITYANA'!M25</f>
        <v>17.714285714285715</v>
      </c>
      <c r="N25" s="49">
        <f>'Avg Week MITYANA-BUSUNJU'!N25+'Avg Week BUSUNJU-MITYANA'!N25</f>
        <v>0</v>
      </c>
      <c r="O25" s="15">
        <f t="shared" si="0"/>
        <v>3.1428571428571423</v>
      </c>
      <c r="P25" s="15">
        <f t="shared" si="1"/>
        <v>20.857142857142858</v>
      </c>
      <c r="R25" s="1" t="s">
        <v>149</v>
      </c>
      <c r="S25" s="34">
        <f>SUM(C70:C73)</f>
        <v>3.5</v>
      </c>
      <c r="T25" s="34">
        <f t="shared" ref="T25:AF25" si="17">SUM(D70:D73)</f>
        <v>1.5</v>
      </c>
      <c r="U25" s="34">
        <f t="shared" si="17"/>
        <v>1.5</v>
      </c>
      <c r="V25" s="34">
        <f t="shared" si="17"/>
        <v>0.5</v>
      </c>
      <c r="W25" s="34">
        <f t="shared" si="17"/>
        <v>0</v>
      </c>
      <c r="X25" s="34">
        <f t="shared" si="17"/>
        <v>1</v>
      </c>
      <c r="Y25" s="34">
        <f t="shared" si="17"/>
        <v>3.5</v>
      </c>
      <c r="Z25" s="34">
        <f t="shared" si="17"/>
        <v>0.5</v>
      </c>
      <c r="AA25" s="34">
        <f t="shared" si="17"/>
        <v>1.5</v>
      </c>
      <c r="AB25" s="34">
        <f t="shared" si="17"/>
        <v>1</v>
      </c>
      <c r="AC25" s="34">
        <f t="shared" si="17"/>
        <v>37</v>
      </c>
      <c r="AD25" s="34">
        <f t="shared" si="17"/>
        <v>0</v>
      </c>
      <c r="AE25" s="31">
        <f t="shared" si="17"/>
        <v>14.5</v>
      </c>
      <c r="AF25" s="31">
        <f t="shared" si="17"/>
        <v>51.5</v>
      </c>
    </row>
    <row r="26" spans="2:32" ht="23.1" customHeight="1" x14ac:dyDescent="0.25">
      <c r="B26" s="23" t="s">
        <v>53</v>
      </c>
      <c r="C26" s="49">
        <f>'Avg Week MITYANA-BUSUNJU'!C26+'Avg Week BUSUNJU-MITYANA'!C26</f>
        <v>2.1428571428571428</v>
      </c>
      <c r="D26" s="49">
        <f>'Avg Week MITYANA-BUSUNJU'!D26+'Avg Week BUSUNJU-MITYANA'!D26</f>
        <v>1.2857142857142856</v>
      </c>
      <c r="E26" s="49">
        <f>'Avg Week MITYANA-BUSUNJU'!E26+'Avg Week BUSUNJU-MITYANA'!E26</f>
        <v>0.5714285714285714</v>
      </c>
      <c r="F26" s="49">
        <f>'Avg Week MITYANA-BUSUNJU'!F26+'Avg Week BUSUNJU-MITYANA'!F26</f>
        <v>0.14285714285714285</v>
      </c>
      <c r="G26" s="49">
        <f>'Avg Week MITYANA-BUSUNJU'!G26+'Avg Week BUSUNJU-MITYANA'!G26</f>
        <v>0</v>
      </c>
      <c r="H26" s="49">
        <f>'Avg Week MITYANA-BUSUNJU'!H26+'Avg Week BUSUNJU-MITYANA'!H26</f>
        <v>0</v>
      </c>
      <c r="I26" s="49">
        <f>'Avg Week MITYANA-BUSUNJU'!I26+'Avg Week BUSUNJU-MITYANA'!I26</f>
        <v>0.5714285714285714</v>
      </c>
      <c r="J26" s="49">
        <f>'Avg Week MITYANA-BUSUNJU'!J26+'Avg Week BUSUNJU-MITYANA'!J26</f>
        <v>0.2857142857142857</v>
      </c>
      <c r="K26" s="49">
        <f>'Avg Week MITYANA-BUSUNJU'!K26+'Avg Week BUSUNJU-MITYANA'!K26</f>
        <v>0.14285714285714285</v>
      </c>
      <c r="L26" s="49">
        <f>'Avg Week MITYANA-BUSUNJU'!L26+'Avg Week BUSUNJU-MITYANA'!L26</f>
        <v>0</v>
      </c>
      <c r="M26" s="49">
        <f>'Avg Week MITYANA-BUSUNJU'!M26+'Avg Week BUSUNJU-MITYANA'!M26</f>
        <v>20.714285714285715</v>
      </c>
      <c r="N26" s="49">
        <f>'Avg Week MITYANA-BUSUNJU'!N26+'Avg Week BUSUNJU-MITYANA'!N26</f>
        <v>0</v>
      </c>
      <c r="O26" s="15">
        <f t="shared" si="0"/>
        <v>5.1428571428571432</v>
      </c>
      <c r="P26" s="15">
        <f t="shared" si="1"/>
        <v>25.857142857142858</v>
      </c>
      <c r="R26" s="1" t="s">
        <v>150</v>
      </c>
      <c r="S26" s="34">
        <f>SUM(C74:C77)</f>
        <v>5</v>
      </c>
      <c r="T26" s="34">
        <f t="shared" ref="T26:AF26" si="18">SUM(D74:D77)</f>
        <v>2.5</v>
      </c>
      <c r="U26" s="34">
        <f t="shared" si="18"/>
        <v>0.5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2.5</v>
      </c>
      <c r="Z26" s="34">
        <f t="shared" si="18"/>
        <v>3.5</v>
      </c>
      <c r="AA26" s="34">
        <f t="shared" si="18"/>
        <v>0.5</v>
      </c>
      <c r="AB26" s="34">
        <f t="shared" si="18"/>
        <v>0</v>
      </c>
      <c r="AC26" s="34">
        <f t="shared" si="18"/>
        <v>17</v>
      </c>
      <c r="AD26" s="34">
        <f t="shared" si="18"/>
        <v>0</v>
      </c>
      <c r="AE26" s="31">
        <f t="shared" si="18"/>
        <v>14.5</v>
      </c>
      <c r="AF26" s="31">
        <f t="shared" si="18"/>
        <v>31.5</v>
      </c>
    </row>
    <row r="27" spans="2:32" ht="23.1" customHeight="1" x14ac:dyDescent="0.25">
      <c r="B27" s="23" t="s">
        <v>54</v>
      </c>
      <c r="C27" s="49">
        <f>'Avg Week MITYANA-BUSUNJU'!C27+'Avg Week BUSUNJU-MITYANA'!C27</f>
        <v>2.8571428571428572</v>
      </c>
      <c r="D27" s="49">
        <f>'Avg Week MITYANA-BUSUNJU'!D27+'Avg Week BUSUNJU-MITYANA'!D27</f>
        <v>0.8571428571428571</v>
      </c>
      <c r="E27" s="49">
        <f>'Avg Week MITYANA-BUSUNJU'!E27+'Avg Week BUSUNJU-MITYANA'!E27</f>
        <v>0.2857142857142857</v>
      </c>
      <c r="F27" s="49">
        <f>'Avg Week MITYANA-BUSUNJU'!F27+'Avg Week BUSUNJU-MITYANA'!F27</f>
        <v>0</v>
      </c>
      <c r="G27" s="49">
        <f>'Avg Week MITYANA-BUSUNJU'!G27+'Avg Week BUSUNJU-MITYANA'!G27</f>
        <v>0.2857142857142857</v>
      </c>
      <c r="H27" s="49">
        <f>'Avg Week MITYANA-BUSUNJU'!H27+'Avg Week BUSUNJU-MITYANA'!H27</f>
        <v>0</v>
      </c>
      <c r="I27" s="49">
        <f>'Avg Week MITYANA-BUSUNJU'!I27+'Avg Week BUSUNJU-MITYANA'!I27</f>
        <v>1</v>
      </c>
      <c r="J27" s="49">
        <f>'Avg Week MITYANA-BUSUNJU'!J27+'Avg Week BUSUNJU-MITYANA'!J27</f>
        <v>0</v>
      </c>
      <c r="K27" s="49">
        <f>'Avg Week MITYANA-BUSUNJU'!K27+'Avg Week BUSUNJU-MITYANA'!K27</f>
        <v>0.14285714285714285</v>
      </c>
      <c r="L27" s="49">
        <f>'Avg Week MITYANA-BUSUNJU'!L27+'Avg Week BUSUNJU-MITYANA'!L27</f>
        <v>0</v>
      </c>
      <c r="M27" s="49">
        <f>'Avg Week MITYANA-BUSUNJU'!M27+'Avg Week BUSUNJU-MITYANA'!M27</f>
        <v>19.285714285714285</v>
      </c>
      <c r="N27" s="49">
        <f>'Avg Week MITYANA-BUSUNJU'!N27+'Avg Week BUSUNJU-MITYANA'!N27</f>
        <v>0</v>
      </c>
      <c r="O27" s="15">
        <f t="shared" si="0"/>
        <v>5.4285714285714288</v>
      </c>
      <c r="P27" s="15">
        <f t="shared" si="1"/>
        <v>24.714285714285715</v>
      </c>
      <c r="R27" s="1" t="s">
        <v>151</v>
      </c>
      <c r="S27" s="34">
        <f>SUM(C78:C81)</f>
        <v>4.5</v>
      </c>
      <c r="T27" s="34">
        <f t="shared" ref="T27:AF27" si="19">SUM(D78:D81)</f>
        <v>1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3.5</v>
      </c>
      <c r="Z27" s="34">
        <f t="shared" si="19"/>
        <v>3</v>
      </c>
      <c r="AA27" s="34">
        <f t="shared" si="19"/>
        <v>1.5</v>
      </c>
      <c r="AB27" s="34">
        <f t="shared" si="19"/>
        <v>1.5</v>
      </c>
      <c r="AC27" s="34">
        <f t="shared" si="19"/>
        <v>4.5</v>
      </c>
      <c r="AD27" s="34">
        <f t="shared" si="19"/>
        <v>0</v>
      </c>
      <c r="AE27" s="31">
        <f t="shared" si="19"/>
        <v>17</v>
      </c>
      <c r="AF27" s="31">
        <f t="shared" si="19"/>
        <v>21.5</v>
      </c>
    </row>
    <row r="28" spans="2:32" ht="23.1" customHeight="1" x14ac:dyDescent="0.25">
      <c r="B28" s="23" t="s">
        <v>55</v>
      </c>
      <c r="C28" s="49">
        <f>'Avg Week MITYANA-BUSUNJU'!C28+'Avg Week BUSUNJU-MITYANA'!C28</f>
        <v>1.5714285714285714</v>
      </c>
      <c r="D28" s="49">
        <f>'Avg Week MITYANA-BUSUNJU'!D28+'Avg Week BUSUNJU-MITYANA'!D28</f>
        <v>0</v>
      </c>
      <c r="E28" s="49">
        <f>'Avg Week MITYANA-BUSUNJU'!E28+'Avg Week BUSUNJU-MITYANA'!E28</f>
        <v>0.42857142857142855</v>
      </c>
      <c r="F28" s="49">
        <f>'Avg Week MITYANA-BUSUNJU'!F28+'Avg Week BUSUNJU-MITYANA'!F28</f>
        <v>0.2857142857142857</v>
      </c>
      <c r="G28" s="49">
        <f>'Avg Week MITYANA-BUSUNJU'!G28+'Avg Week BUSUNJU-MITYANA'!G28</f>
        <v>0.14285714285714285</v>
      </c>
      <c r="H28" s="49">
        <f>'Avg Week MITYANA-BUSUNJU'!H28+'Avg Week BUSUNJU-MITYANA'!H28</f>
        <v>0</v>
      </c>
      <c r="I28" s="49">
        <f>'Avg Week MITYANA-BUSUNJU'!I28+'Avg Week BUSUNJU-MITYANA'!I28</f>
        <v>0.42857142857142855</v>
      </c>
      <c r="J28" s="49">
        <f>'Avg Week MITYANA-BUSUNJU'!J28+'Avg Week BUSUNJU-MITYANA'!J28</f>
        <v>0.42857142857142855</v>
      </c>
      <c r="K28" s="49">
        <f>'Avg Week MITYANA-BUSUNJU'!K28+'Avg Week BUSUNJU-MITYANA'!K28</f>
        <v>0</v>
      </c>
      <c r="L28" s="49">
        <f>'Avg Week MITYANA-BUSUNJU'!L28+'Avg Week BUSUNJU-MITYANA'!L28</f>
        <v>0</v>
      </c>
      <c r="M28" s="49">
        <f>'Avg Week MITYANA-BUSUNJU'!M28+'Avg Week BUSUNJU-MITYANA'!M28</f>
        <v>20.142857142857142</v>
      </c>
      <c r="N28" s="49">
        <f>'Avg Week MITYANA-BUSUNJU'!N28+'Avg Week BUSUNJU-MITYANA'!N28</f>
        <v>0</v>
      </c>
      <c r="O28" s="15">
        <f t="shared" si="0"/>
        <v>3.2857142857142851</v>
      </c>
      <c r="P28" s="15">
        <f t="shared" si="1"/>
        <v>23.428571428571427</v>
      </c>
      <c r="R28" s="1" t="s">
        <v>152</v>
      </c>
      <c r="S28" s="34">
        <f>SUM(C82:C85)</f>
        <v>2.5</v>
      </c>
      <c r="T28" s="34">
        <f t="shared" ref="T28:AF28" si="20">SUM(D82:D85)</f>
        <v>2.5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3.5</v>
      </c>
      <c r="Z28" s="34">
        <f t="shared" si="20"/>
        <v>2.5</v>
      </c>
      <c r="AA28" s="34">
        <f t="shared" si="20"/>
        <v>0.5</v>
      </c>
      <c r="AB28" s="34">
        <f t="shared" si="20"/>
        <v>2</v>
      </c>
      <c r="AC28" s="34">
        <f t="shared" si="20"/>
        <v>0</v>
      </c>
      <c r="AD28" s="34">
        <f t="shared" si="20"/>
        <v>0</v>
      </c>
      <c r="AE28" s="31">
        <f t="shared" si="20"/>
        <v>14</v>
      </c>
      <c r="AF28" s="31">
        <f t="shared" si="20"/>
        <v>14</v>
      </c>
    </row>
    <row r="29" spans="2:32" ht="23.1" customHeight="1" x14ac:dyDescent="0.25">
      <c r="B29" s="23" t="s">
        <v>56</v>
      </c>
      <c r="C29" s="49">
        <f>'Avg Week MITYANA-BUSUNJU'!C29+'Avg Week BUSUNJU-MITYANA'!C29</f>
        <v>1.8571428571428572</v>
      </c>
      <c r="D29" s="49">
        <f>'Avg Week MITYANA-BUSUNJU'!D29+'Avg Week BUSUNJU-MITYANA'!D29</f>
        <v>0.8571428571428571</v>
      </c>
      <c r="E29" s="49">
        <f>'Avg Week MITYANA-BUSUNJU'!E29+'Avg Week BUSUNJU-MITYANA'!E29</f>
        <v>0.71428571428571419</v>
      </c>
      <c r="F29" s="49">
        <f>'Avg Week MITYANA-BUSUNJU'!F29+'Avg Week BUSUNJU-MITYANA'!F29</f>
        <v>0</v>
      </c>
      <c r="G29" s="49">
        <f>'Avg Week MITYANA-BUSUNJU'!G29+'Avg Week BUSUNJU-MITYANA'!G29</f>
        <v>0.14285714285714285</v>
      </c>
      <c r="H29" s="49">
        <f>'Avg Week MITYANA-BUSUNJU'!H29+'Avg Week BUSUNJU-MITYANA'!H29</f>
        <v>0</v>
      </c>
      <c r="I29" s="49">
        <f>'Avg Week MITYANA-BUSUNJU'!I29+'Avg Week BUSUNJU-MITYANA'!I29</f>
        <v>0.8571428571428571</v>
      </c>
      <c r="J29" s="49">
        <f>'Avg Week MITYANA-BUSUNJU'!J29+'Avg Week BUSUNJU-MITYANA'!J29</f>
        <v>0.14285714285714285</v>
      </c>
      <c r="K29" s="49">
        <f>'Avg Week MITYANA-BUSUNJU'!K29+'Avg Week BUSUNJU-MITYANA'!K29</f>
        <v>0.2857142857142857</v>
      </c>
      <c r="L29" s="49">
        <f>'Avg Week MITYANA-BUSUNJU'!L29+'Avg Week BUSUNJU-MITYANA'!L29</f>
        <v>0</v>
      </c>
      <c r="M29" s="49">
        <f>'Avg Week MITYANA-BUSUNJU'!M29+'Avg Week BUSUNJU-MITYANA'!M29</f>
        <v>21.714285714285715</v>
      </c>
      <c r="N29" s="49">
        <f>'Avg Week MITYANA-BUSUNJU'!N29+'Avg Week BUSUNJU-MITYANA'!N29</f>
        <v>0</v>
      </c>
      <c r="O29" s="15">
        <f t="shared" si="0"/>
        <v>4.8571428571428577</v>
      </c>
      <c r="P29" s="15">
        <f t="shared" si="1"/>
        <v>26.571428571428573</v>
      </c>
      <c r="R29" s="1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1.5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1.5</v>
      </c>
      <c r="Z29" s="34">
        <f t="shared" si="21"/>
        <v>3</v>
      </c>
      <c r="AA29" s="34">
        <f t="shared" si="21"/>
        <v>3</v>
      </c>
      <c r="AB29" s="34">
        <f t="shared" si="21"/>
        <v>3</v>
      </c>
      <c r="AC29" s="34">
        <f t="shared" si="21"/>
        <v>0</v>
      </c>
      <c r="AD29" s="34">
        <f t="shared" si="21"/>
        <v>0</v>
      </c>
      <c r="AE29" s="31">
        <f t="shared" si="21"/>
        <v>14</v>
      </c>
      <c r="AF29" s="31">
        <f t="shared" si="21"/>
        <v>14</v>
      </c>
    </row>
    <row r="30" spans="2:32" ht="23.1" customHeight="1" x14ac:dyDescent="0.25">
      <c r="B30" s="23" t="s">
        <v>57</v>
      </c>
      <c r="C30" s="49">
        <f>'Avg Week MITYANA-BUSUNJU'!C30+'Avg Week BUSUNJU-MITYANA'!C30</f>
        <v>1.4285714285714284</v>
      </c>
      <c r="D30" s="49">
        <f>'Avg Week MITYANA-BUSUNJU'!D30+'Avg Week BUSUNJU-MITYANA'!D30</f>
        <v>0</v>
      </c>
      <c r="E30" s="49">
        <f>'Avg Week MITYANA-BUSUNJU'!E30+'Avg Week BUSUNJU-MITYANA'!E30</f>
        <v>0.2857142857142857</v>
      </c>
      <c r="F30" s="49">
        <f>'Avg Week MITYANA-BUSUNJU'!F30+'Avg Week BUSUNJU-MITYANA'!F30</f>
        <v>0.2857142857142857</v>
      </c>
      <c r="G30" s="49">
        <f>'Avg Week MITYANA-BUSUNJU'!G30+'Avg Week BUSUNJU-MITYANA'!G30</f>
        <v>0.2857142857142857</v>
      </c>
      <c r="H30" s="49">
        <f>'Avg Week MITYANA-BUSUNJU'!H30+'Avg Week BUSUNJU-MITYANA'!H30</f>
        <v>0</v>
      </c>
      <c r="I30" s="49">
        <f>'Avg Week MITYANA-BUSUNJU'!I30+'Avg Week BUSUNJU-MITYANA'!I30</f>
        <v>1</v>
      </c>
      <c r="J30" s="49">
        <f>'Avg Week MITYANA-BUSUNJU'!J30+'Avg Week BUSUNJU-MITYANA'!J30</f>
        <v>0.42857142857142855</v>
      </c>
      <c r="K30" s="49">
        <f>'Avg Week MITYANA-BUSUNJU'!K30+'Avg Week BUSUNJU-MITYANA'!K30</f>
        <v>0</v>
      </c>
      <c r="L30" s="49">
        <f>'Avg Week MITYANA-BUSUNJU'!L30+'Avg Week BUSUNJU-MITYANA'!L30</f>
        <v>0</v>
      </c>
      <c r="M30" s="49">
        <f>'Avg Week MITYANA-BUSUNJU'!M30+'Avg Week BUSUNJU-MITYANA'!M30</f>
        <v>21.285714285714285</v>
      </c>
      <c r="N30" s="49">
        <f>'Avg Week MITYANA-BUSUNJU'!N30+'Avg Week BUSUNJU-MITYANA'!N30</f>
        <v>0</v>
      </c>
      <c r="O30" s="15">
        <f t="shared" si="0"/>
        <v>3.7142857142857135</v>
      </c>
      <c r="P30" s="15">
        <f t="shared" si="1"/>
        <v>25</v>
      </c>
      <c r="R30" s="1" t="s">
        <v>154</v>
      </c>
      <c r="S30" s="34">
        <f>SUM(C90:C93)</f>
        <v>1</v>
      </c>
      <c r="T30" s="34">
        <f t="shared" ref="T30:AF30" si="22">SUM(D90:D93)</f>
        <v>1.5</v>
      </c>
      <c r="U30" s="34">
        <f t="shared" si="22"/>
        <v>1.5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4.5</v>
      </c>
      <c r="Z30" s="34">
        <f t="shared" si="22"/>
        <v>2.5</v>
      </c>
      <c r="AA30" s="34">
        <f t="shared" si="22"/>
        <v>3.5</v>
      </c>
      <c r="AB30" s="34">
        <f t="shared" si="22"/>
        <v>2.5</v>
      </c>
      <c r="AC30" s="34">
        <f t="shared" si="22"/>
        <v>0</v>
      </c>
      <c r="AD30" s="34">
        <f t="shared" si="22"/>
        <v>0</v>
      </c>
      <c r="AE30" s="31">
        <f t="shared" si="22"/>
        <v>17</v>
      </c>
      <c r="AF30" s="31">
        <f t="shared" si="22"/>
        <v>17</v>
      </c>
    </row>
    <row r="31" spans="2:32" ht="23.1" customHeight="1" x14ac:dyDescent="0.25">
      <c r="B31" s="24" t="s">
        <v>58</v>
      </c>
      <c r="C31" s="49">
        <f>'Avg Week MITYANA-BUSUNJU'!C31+'Avg Week BUSUNJU-MITYANA'!C31</f>
        <v>1.2857142857142856</v>
      </c>
      <c r="D31" s="49">
        <f>'Avg Week MITYANA-BUSUNJU'!D31+'Avg Week BUSUNJU-MITYANA'!D31</f>
        <v>0.42857142857142855</v>
      </c>
      <c r="E31" s="49">
        <f>'Avg Week MITYANA-BUSUNJU'!E31+'Avg Week BUSUNJU-MITYANA'!E31</f>
        <v>0.71428571428571419</v>
      </c>
      <c r="F31" s="49">
        <f>'Avg Week MITYANA-BUSUNJU'!F31+'Avg Week BUSUNJU-MITYANA'!F31</f>
        <v>0.14285714285714285</v>
      </c>
      <c r="G31" s="49">
        <f>'Avg Week MITYANA-BUSUNJU'!G31+'Avg Week BUSUNJU-MITYANA'!G31</f>
        <v>0</v>
      </c>
      <c r="H31" s="49">
        <f>'Avg Week MITYANA-BUSUNJU'!H31+'Avg Week BUSUNJU-MITYANA'!H31</f>
        <v>0</v>
      </c>
      <c r="I31" s="49">
        <f>'Avg Week MITYANA-BUSUNJU'!I31+'Avg Week BUSUNJU-MITYANA'!I31</f>
        <v>0</v>
      </c>
      <c r="J31" s="49">
        <f>'Avg Week MITYANA-BUSUNJU'!J31+'Avg Week BUSUNJU-MITYANA'!J31</f>
        <v>0.2857142857142857</v>
      </c>
      <c r="K31" s="49">
        <f>'Avg Week MITYANA-BUSUNJU'!K31+'Avg Week BUSUNJU-MITYANA'!K31</f>
        <v>0.5714285714285714</v>
      </c>
      <c r="L31" s="49">
        <f>'Avg Week MITYANA-BUSUNJU'!L31+'Avg Week BUSUNJU-MITYANA'!L31</f>
        <v>0</v>
      </c>
      <c r="M31" s="49">
        <f>'Avg Week MITYANA-BUSUNJU'!M31+'Avg Week BUSUNJU-MITYANA'!M31</f>
        <v>22.571428571428569</v>
      </c>
      <c r="N31" s="49">
        <f>'Avg Week MITYANA-BUSUNJU'!N31+'Avg Week BUSUNJU-MITYANA'!N31</f>
        <v>0</v>
      </c>
      <c r="O31" s="15">
        <f t="shared" si="0"/>
        <v>3.4285714285714279</v>
      </c>
      <c r="P31" s="15">
        <f t="shared" si="1"/>
        <v>25.999999999999996</v>
      </c>
      <c r="R31" s="1" t="s">
        <v>155</v>
      </c>
      <c r="S31" s="34">
        <f>SUM(C94:C97)</f>
        <v>4</v>
      </c>
      <c r="T31" s="34">
        <f t="shared" ref="T31:AF31" si="23">SUM(D94:D97)</f>
        <v>0.5</v>
      </c>
      <c r="U31" s="34">
        <f t="shared" si="23"/>
        <v>4.5</v>
      </c>
      <c r="V31" s="34">
        <f t="shared" si="23"/>
        <v>1</v>
      </c>
      <c r="W31" s="34">
        <f t="shared" si="23"/>
        <v>0</v>
      </c>
      <c r="X31" s="34">
        <f t="shared" si="23"/>
        <v>0.5</v>
      </c>
      <c r="Y31" s="34">
        <f t="shared" si="23"/>
        <v>3.5</v>
      </c>
      <c r="Z31" s="34">
        <f t="shared" si="23"/>
        <v>1.5</v>
      </c>
      <c r="AA31" s="34">
        <f t="shared" si="23"/>
        <v>2.5</v>
      </c>
      <c r="AB31" s="34">
        <f t="shared" si="23"/>
        <v>1</v>
      </c>
      <c r="AC31" s="34">
        <f t="shared" si="23"/>
        <v>8</v>
      </c>
      <c r="AD31" s="34">
        <f t="shared" si="23"/>
        <v>0</v>
      </c>
      <c r="AE31" s="31">
        <f t="shared" si="23"/>
        <v>19</v>
      </c>
      <c r="AF31" s="31">
        <f t="shared" si="23"/>
        <v>27</v>
      </c>
    </row>
    <row r="32" spans="2:32" ht="23.1" customHeight="1" x14ac:dyDescent="0.25">
      <c r="B32" s="24" t="s">
        <v>59</v>
      </c>
      <c r="C32" s="49">
        <f>'Avg Week MITYANA-BUSUNJU'!C32+'Avg Week BUSUNJU-MITYANA'!C32</f>
        <v>3</v>
      </c>
      <c r="D32" s="49">
        <f>'Avg Week MITYANA-BUSUNJU'!D32+'Avg Week BUSUNJU-MITYANA'!D32</f>
        <v>0.42857142857142855</v>
      </c>
      <c r="E32" s="49">
        <f>'Avg Week MITYANA-BUSUNJU'!E32+'Avg Week BUSUNJU-MITYANA'!E32</f>
        <v>1.7142857142857144</v>
      </c>
      <c r="F32" s="49">
        <f>'Avg Week MITYANA-BUSUNJU'!F32+'Avg Week BUSUNJU-MITYANA'!F32</f>
        <v>0</v>
      </c>
      <c r="G32" s="49">
        <f>'Avg Week MITYANA-BUSUNJU'!G32+'Avg Week BUSUNJU-MITYANA'!G32</f>
        <v>0</v>
      </c>
      <c r="H32" s="49">
        <f>'Avg Week MITYANA-BUSUNJU'!H32+'Avg Week BUSUNJU-MITYANA'!H32</f>
        <v>0</v>
      </c>
      <c r="I32" s="49">
        <f>'Avg Week MITYANA-BUSUNJU'!I32+'Avg Week BUSUNJU-MITYANA'!I32</f>
        <v>0.8571428571428571</v>
      </c>
      <c r="J32" s="49">
        <f>'Avg Week MITYANA-BUSUNJU'!J32+'Avg Week BUSUNJU-MITYANA'!J32</f>
        <v>0</v>
      </c>
      <c r="K32" s="49">
        <f>'Avg Week MITYANA-BUSUNJU'!K32+'Avg Week BUSUNJU-MITYANA'!K32</f>
        <v>0</v>
      </c>
      <c r="L32" s="49">
        <f>'Avg Week MITYANA-BUSUNJU'!L32+'Avg Week BUSUNJU-MITYANA'!L32</f>
        <v>0</v>
      </c>
      <c r="M32" s="49">
        <f>'Avg Week MITYANA-BUSUNJU'!M32+'Avg Week BUSUNJU-MITYANA'!M32</f>
        <v>23.571428571428569</v>
      </c>
      <c r="N32" s="49">
        <f>'Avg Week MITYANA-BUSUNJU'!N32+'Avg Week BUSUNJU-MITYANA'!N32</f>
        <v>0</v>
      </c>
      <c r="O32" s="15">
        <f t="shared" si="0"/>
        <v>5.9999999999999991</v>
      </c>
      <c r="P32" s="15">
        <f t="shared" si="1"/>
        <v>29.571428571428569</v>
      </c>
      <c r="R32" s="1" t="s">
        <v>156</v>
      </c>
      <c r="S32" s="34">
        <f>SUM(C98:C101)</f>
        <v>4</v>
      </c>
      <c r="T32" s="34">
        <f t="shared" ref="T32:AF32" si="24">SUM(D98:D101)</f>
        <v>4.5</v>
      </c>
      <c r="U32" s="34">
        <f t="shared" si="24"/>
        <v>1.5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5.5</v>
      </c>
      <c r="Z32" s="34">
        <f t="shared" si="24"/>
        <v>4.5</v>
      </c>
      <c r="AA32" s="34">
        <f t="shared" si="24"/>
        <v>3</v>
      </c>
      <c r="AB32" s="34">
        <f t="shared" si="24"/>
        <v>0</v>
      </c>
      <c r="AC32" s="34">
        <f t="shared" si="24"/>
        <v>16</v>
      </c>
      <c r="AD32" s="34">
        <f t="shared" si="24"/>
        <v>0</v>
      </c>
      <c r="AE32" s="31">
        <f t="shared" si="24"/>
        <v>23</v>
      </c>
      <c r="AF32" s="31">
        <f t="shared" si="24"/>
        <v>39</v>
      </c>
    </row>
    <row r="33" spans="2:32" ht="23.1" customHeight="1" x14ac:dyDescent="0.25">
      <c r="B33" s="23" t="s">
        <v>60</v>
      </c>
      <c r="C33" s="49">
        <f>'Avg Week MITYANA-BUSUNJU'!C33+'Avg Week BUSUNJU-MITYANA'!C33</f>
        <v>1.8571428571428572</v>
      </c>
      <c r="D33" s="49">
        <f>'Avg Week MITYANA-BUSUNJU'!D33+'Avg Week BUSUNJU-MITYANA'!D33</f>
        <v>0.42857142857142855</v>
      </c>
      <c r="E33" s="49">
        <f>'Avg Week MITYANA-BUSUNJU'!E33+'Avg Week BUSUNJU-MITYANA'!E33</f>
        <v>0.8571428571428571</v>
      </c>
      <c r="F33" s="49">
        <f>'Avg Week MITYANA-BUSUNJU'!F33+'Avg Week BUSUNJU-MITYANA'!F33</f>
        <v>1.1428571428571428</v>
      </c>
      <c r="G33" s="49">
        <f>'Avg Week MITYANA-BUSUNJU'!G33+'Avg Week BUSUNJU-MITYANA'!G33</f>
        <v>0.2857142857142857</v>
      </c>
      <c r="H33" s="49">
        <f>'Avg Week MITYANA-BUSUNJU'!H33+'Avg Week BUSUNJU-MITYANA'!H33</f>
        <v>0</v>
      </c>
      <c r="I33" s="49">
        <f>'Avg Week MITYANA-BUSUNJU'!I33+'Avg Week BUSUNJU-MITYANA'!I33</f>
        <v>0.5714285714285714</v>
      </c>
      <c r="J33" s="49">
        <f>'Avg Week MITYANA-BUSUNJU'!J33+'Avg Week BUSUNJU-MITYANA'!J33</f>
        <v>0</v>
      </c>
      <c r="K33" s="49">
        <f>'Avg Week MITYANA-BUSUNJU'!K33+'Avg Week BUSUNJU-MITYANA'!K33</f>
        <v>0</v>
      </c>
      <c r="L33" s="49">
        <f>'Avg Week MITYANA-BUSUNJU'!L33+'Avg Week BUSUNJU-MITYANA'!L33</f>
        <v>0</v>
      </c>
      <c r="M33" s="49">
        <f>'Avg Week MITYANA-BUSUNJU'!M33+'Avg Week BUSUNJU-MITYANA'!M33</f>
        <v>23.714285714285715</v>
      </c>
      <c r="N33" s="49">
        <f>'Avg Week MITYANA-BUSUNJU'!N33+'Avg Week BUSUNJU-MITYANA'!N33</f>
        <v>0</v>
      </c>
      <c r="O33" s="15">
        <f t="shared" si="0"/>
        <v>5.1428571428571423</v>
      </c>
      <c r="P33" s="15">
        <f t="shared" si="1"/>
        <v>28.857142857142858</v>
      </c>
      <c r="R33" s="1" t="s">
        <v>157</v>
      </c>
      <c r="S33" s="34">
        <f>SUM(C102:C105)</f>
        <v>4.5</v>
      </c>
      <c r="T33" s="34">
        <f t="shared" ref="T33:AF33" si="25">SUM(D102:D105)</f>
        <v>5.5</v>
      </c>
      <c r="U33" s="34">
        <f t="shared" si="25"/>
        <v>3.5</v>
      </c>
      <c r="V33" s="34">
        <f t="shared" si="25"/>
        <v>4</v>
      </c>
      <c r="W33" s="34">
        <f t="shared" si="25"/>
        <v>1</v>
      </c>
      <c r="X33" s="34">
        <f t="shared" si="25"/>
        <v>0</v>
      </c>
      <c r="Y33" s="34">
        <f t="shared" si="25"/>
        <v>2</v>
      </c>
      <c r="Z33" s="34">
        <f t="shared" si="25"/>
        <v>3</v>
      </c>
      <c r="AA33" s="34">
        <f t="shared" si="25"/>
        <v>3.5</v>
      </c>
      <c r="AB33" s="34">
        <f t="shared" si="25"/>
        <v>0.5</v>
      </c>
      <c r="AC33" s="34">
        <f t="shared" si="25"/>
        <v>28</v>
      </c>
      <c r="AD33" s="34">
        <f t="shared" si="25"/>
        <v>0</v>
      </c>
      <c r="AE33" s="31">
        <f t="shared" si="25"/>
        <v>27.5</v>
      </c>
      <c r="AF33" s="31">
        <f t="shared" si="25"/>
        <v>55.5</v>
      </c>
    </row>
    <row r="34" spans="2:32" ht="23.1" customHeight="1" x14ac:dyDescent="0.25">
      <c r="B34" s="24" t="s">
        <v>61</v>
      </c>
      <c r="C34" s="49">
        <f>'Avg Week MITYANA-BUSUNJU'!C34+'Avg Week BUSUNJU-MITYANA'!C34</f>
        <v>2.7142857142857144</v>
      </c>
      <c r="D34" s="49">
        <f>'Avg Week MITYANA-BUSUNJU'!D34+'Avg Week BUSUNJU-MITYANA'!D34</f>
        <v>0.2857142857142857</v>
      </c>
      <c r="E34" s="49">
        <f>'Avg Week MITYANA-BUSUNJU'!E34+'Avg Week BUSUNJU-MITYANA'!E34</f>
        <v>0.14285714285714285</v>
      </c>
      <c r="F34" s="49">
        <f>'Avg Week MITYANA-BUSUNJU'!F34+'Avg Week BUSUNJU-MITYANA'!F34</f>
        <v>0.42857142857142855</v>
      </c>
      <c r="G34" s="49">
        <f>'Avg Week MITYANA-BUSUNJU'!G34+'Avg Week BUSUNJU-MITYANA'!G34</f>
        <v>0</v>
      </c>
      <c r="H34" s="49">
        <f>'Avg Week MITYANA-BUSUNJU'!H34+'Avg Week BUSUNJU-MITYANA'!H34</f>
        <v>0</v>
      </c>
      <c r="I34" s="49">
        <f>'Avg Week MITYANA-BUSUNJU'!I34+'Avg Week BUSUNJU-MITYANA'!I34</f>
        <v>1.1428571428571428</v>
      </c>
      <c r="J34" s="49">
        <f>'Avg Week MITYANA-BUSUNJU'!J34+'Avg Week BUSUNJU-MITYANA'!J34</f>
        <v>0.42857142857142855</v>
      </c>
      <c r="K34" s="49">
        <f>'Avg Week MITYANA-BUSUNJU'!K34+'Avg Week BUSUNJU-MITYANA'!K34</f>
        <v>0</v>
      </c>
      <c r="L34" s="49">
        <f>'Avg Week MITYANA-BUSUNJU'!L34+'Avg Week BUSUNJU-MITYANA'!L34</f>
        <v>0</v>
      </c>
      <c r="M34" s="49">
        <f>'Avg Week MITYANA-BUSUNJU'!M34+'Avg Week BUSUNJU-MITYANA'!M34</f>
        <v>26.714285714285715</v>
      </c>
      <c r="N34" s="49">
        <f>'Avg Week MITYANA-BUSUNJU'!N34+'Avg Week BUSUNJU-MITYANA'!N34</f>
        <v>0</v>
      </c>
      <c r="O34" s="15">
        <f t="shared" si="0"/>
        <v>5.1428571428571423</v>
      </c>
      <c r="P34" s="15">
        <f t="shared" si="1"/>
        <v>31.857142857142858</v>
      </c>
      <c r="R34" s="57" t="s">
        <v>90</v>
      </c>
      <c r="S34" s="58">
        <f t="shared" ref="S34:AF34" si="26">MAX(S10:S12)</f>
        <v>3.7142857142857144</v>
      </c>
      <c r="T34" s="58">
        <f t="shared" si="26"/>
        <v>2.5714285714285712</v>
      </c>
      <c r="U34" s="58">
        <f t="shared" si="26"/>
        <v>1.857142857142857</v>
      </c>
      <c r="V34" s="58">
        <f t="shared" si="26"/>
        <v>1.7142857142857142</v>
      </c>
      <c r="W34" s="58">
        <f t="shared" si="26"/>
        <v>0</v>
      </c>
      <c r="X34" s="58">
        <f t="shared" si="26"/>
        <v>0.5714285714285714</v>
      </c>
      <c r="Y34" s="58">
        <f t="shared" si="26"/>
        <v>5.1428571428571423</v>
      </c>
      <c r="Z34" s="58">
        <f t="shared" si="26"/>
        <v>1.2857142857142856</v>
      </c>
      <c r="AA34" s="58">
        <f t="shared" si="26"/>
        <v>0.99999999999999989</v>
      </c>
      <c r="AB34" s="58">
        <f t="shared" si="26"/>
        <v>0.5714285714285714</v>
      </c>
      <c r="AC34" s="58">
        <f t="shared" si="26"/>
        <v>86.428571428571416</v>
      </c>
      <c r="AD34" s="58">
        <f t="shared" si="26"/>
        <v>0</v>
      </c>
      <c r="AE34" s="40">
        <f t="shared" si="26"/>
        <v>15.571428571428569</v>
      </c>
      <c r="AF34" s="40">
        <f t="shared" si="26"/>
        <v>102</v>
      </c>
    </row>
    <row r="35" spans="2:32" ht="23.1" customHeight="1" x14ac:dyDescent="0.25">
      <c r="B35" s="24" t="s">
        <v>62</v>
      </c>
      <c r="C35" s="49">
        <f>'Avg Week MITYANA-BUSUNJU'!C35+'Avg Week BUSUNJU-MITYANA'!C35</f>
        <v>1.1428571428571428</v>
      </c>
      <c r="D35" s="49">
        <f>'Avg Week MITYANA-BUSUNJU'!D35+'Avg Week BUSUNJU-MITYANA'!D35</f>
        <v>0</v>
      </c>
      <c r="E35" s="49">
        <f>'Avg Week MITYANA-BUSUNJU'!E35+'Avg Week BUSUNJU-MITYANA'!E35</f>
        <v>0.2857142857142857</v>
      </c>
      <c r="F35" s="49">
        <f>'Avg Week MITYANA-BUSUNJU'!F35+'Avg Week BUSUNJU-MITYANA'!F35</f>
        <v>0.2857142857142857</v>
      </c>
      <c r="G35" s="49">
        <f>'Avg Week MITYANA-BUSUNJU'!G35+'Avg Week BUSUNJU-MITYANA'!G35</f>
        <v>0</v>
      </c>
      <c r="H35" s="49">
        <f>'Avg Week MITYANA-BUSUNJU'!H35+'Avg Week BUSUNJU-MITYANA'!H35</f>
        <v>0</v>
      </c>
      <c r="I35" s="49">
        <f>'Avg Week MITYANA-BUSUNJU'!I35+'Avg Week BUSUNJU-MITYANA'!I35</f>
        <v>0.71428571428571419</v>
      </c>
      <c r="J35" s="49">
        <f>'Avg Week MITYANA-BUSUNJU'!J35+'Avg Week BUSUNJU-MITYANA'!J35</f>
        <v>0</v>
      </c>
      <c r="K35" s="49">
        <f>'Avg Week MITYANA-BUSUNJU'!K35+'Avg Week BUSUNJU-MITYANA'!K35</f>
        <v>0</v>
      </c>
      <c r="L35" s="49">
        <f>'Avg Week MITYANA-BUSUNJU'!L35+'Avg Week BUSUNJU-MITYANA'!L35</f>
        <v>0</v>
      </c>
      <c r="M35" s="49">
        <f>'Avg Week MITYANA-BUSUNJU'!M35+'Avg Week BUSUNJU-MITYANA'!M35</f>
        <v>30.285714285714285</v>
      </c>
      <c r="N35" s="49">
        <f>'Avg Week MITYANA-BUSUNJU'!N35+'Avg Week BUSUNJU-MITYANA'!N35</f>
        <v>0</v>
      </c>
      <c r="O35" s="15">
        <f t="shared" si="0"/>
        <v>2.4285714285714279</v>
      </c>
      <c r="P35" s="15">
        <f t="shared" si="1"/>
        <v>32.714285714285715</v>
      </c>
      <c r="R35" s="57" t="s">
        <v>91</v>
      </c>
      <c r="S35" s="58">
        <f t="shared" ref="S35:AF35" si="27">MAX(S13:S18)</f>
        <v>8.4285714285714288</v>
      </c>
      <c r="T35" s="58">
        <f t="shared" si="27"/>
        <v>3</v>
      </c>
      <c r="U35" s="58">
        <f t="shared" si="27"/>
        <v>3.5714285714285716</v>
      </c>
      <c r="V35" s="58">
        <f t="shared" si="27"/>
        <v>1.5714285714285714</v>
      </c>
      <c r="W35" s="58">
        <f t="shared" si="27"/>
        <v>0.5714285714285714</v>
      </c>
      <c r="X35" s="58">
        <f t="shared" si="27"/>
        <v>0.2857142857142857</v>
      </c>
      <c r="Y35" s="58">
        <f t="shared" si="27"/>
        <v>3.8571428571428568</v>
      </c>
      <c r="Z35" s="58">
        <f t="shared" si="27"/>
        <v>1.4285714285714284</v>
      </c>
      <c r="AA35" s="58">
        <f t="shared" si="27"/>
        <v>0.5714285714285714</v>
      </c>
      <c r="AB35" s="58">
        <f t="shared" si="27"/>
        <v>0</v>
      </c>
      <c r="AC35" s="58">
        <f t="shared" si="27"/>
        <v>108.85714285714286</v>
      </c>
      <c r="AD35" s="58">
        <f t="shared" si="27"/>
        <v>0</v>
      </c>
      <c r="AE35" s="40">
        <f t="shared" si="27"/>
        <v>18.714285714285715</v>
      </c>
      <c r="AF35" s="40">
        <f t="shared" si="27"/>
        <v>124.28571428571429</v>
      </c>
    </row>
    <row r="36" spans="2:32" ht="23.1" customHeight="1" x14ac:dyDescent="0.25">
      <c r="B36" s="24" t="s">
        <v>63</v>
      </c>
      <c r="C36" s="49">
        <f>'Avg Week MITYANA-BUSUNJU'!C36+'Avg Week BUSUNJU-MITYANA'!C36</f>
        <v>1.7142857142857144</v>
      </c>
      <c r="D36" s="49">
        <f>'Avg Week MITYANA-BUSUNJU'!D36+'Avg Week BUSUNJU-MITYANA'!D36</f>
        <v>0.2857142857142857</v>
      </c>
      <c r="E36" s="49">
        <f>'Avg Week MITYANA-BUSUNJU'!E36+'Avg Week BUSUNJU-MITYANA'!E36</f>
        <v>0.2857142857142857</v>
      </c>
      <c r="F36" s="49">
        <f>'Avg Week MITYANA-BUSUNJU'!F36+'Avg Week BUSUNJU-MITYANA'!F36</f>
        <v>0</v>
      </c>
      <c r="G36" s="49">
        <f>'Avg Week MITYANA-BUSUNJU'!G36+'Avg Week BUSUNJU-MITYANA'!G36</f>
        <v>0</v>
      </c>
      <c r="H36" s="49">
        <f>'Avg Week MITYANA-BUSUNJU'!H36+'Avg Week BUSUNJU-MITYANA'!H36</f>
        <v>0</v>
      </c>
      <c r="I36" s="49">
        <f>'Avg Week MITYANA-BUSUNJU'!I36+'Avg Week BUSUNJU-MITYANA'!I36</f>
        <v>1.2857142857142856</v>
      </c>
      <c r="J36" s="49">
        <f>'Avg Week MITYANA-BUSUNJU'!J36+'Avg Week BUSUNJU-MITYANA'!J36</f>
        <v>0.14285714285714285</v>
      </c>
      <c r="K36" s="49">
        <f>'Avg Week MITYANA-BUSUNJU'!K36+'Avg Week BUSUNJU-MITYANA'!K36</f>
        <v>0</v>
      </c>
      <c r="L36" s="49">
        <f>'Avg Week MITYANA-BUSUNJU'!L36+'Avg Week BUSUNJU-MITYANA'!L36</f>
        <v>0</v>
      </c>
      <c r="M36" s="49">
        <f>'Avg Week MITYANA-BUSUNJU'!M36+'Avg Week BUSUNJU-MITYANA'!M36</f>
        <v>24.571428571428569</v>
      </c>
      <c r="N36" s="49">
        <f>'Avg Week MITYANA-BUSUNJU'!N36+'Avg Week BUSUNJU-MITYANA'!N36</f>
        <v>0</v>
      </c>
      <c r="O36" s="15">
        <f t="shared" si="0"/>
        <v>3.714285714285714</v>
      </c>
      <c r="P36" s="15">
        <f t="shared" si="1"/>
        <v>28.285714285714285</v>
      </c>
      <c r="R36" s="57" t="s">
        <v>92</v>
      </c>
      <c r="S36" s="58">
        <f t="shared" ref="S36:AF36" si="28">MAX(S19:S21)</f>
        <v>7.5714285714285721</v>
      </c>
      <c r="T36" s="58">
        <f t="shared" si="28"/>
        <v>2.8571428571428568</v>
      </c>
      <c r="U36" s="58">
        <f t="shared" si="28"/>
        <v>4.4285714285714288</v>
      </c>
      <c r="V36" s="58">
        <f t="shared" si="28"/>
        <v>2.1428571428571428</v>
      </c>
      <c r="W36" s="58">
        <f t="shared" si="28"/>
        <v>0.42857142857142855</v>
      </c>
      <c r="X36" s="58">
        <f t="shared" si="28"/>
        <v>0.2857142857142857</v>
      </c>
      <c r="Y36" s="58">
        <f t="shared" si="28"/>
        <v>4.4285714285714288</v>
      </c>
      <c r="Z36" s="58">
        <f t="shared" si="28"/>
        <v>2.4285714285714284</v>
      </c>
      <c r="AA36" s="58">
        <f t="shared" si="28"/>
        <v>0.2857142857142857</v>
      </c>
      <c r="AB36" s="58">
        <f t="shared" si="28"/>
        <v>0.14285714285714285</v>
      </c>
      <c r="AC36" s="58">
        <f t="shared" si="28"/>
        <v>102.28571428571428</v>
      </c>
      <c r="AD36" s="58">
        <f t="shared" si="28"/>
        <v>0</v>
      </c>
      <c r="AE36" s="40">
        <f t="shared" si="28"/>
        <v>22.857142857142854</v>
      </c>
      <c r="AF36" s="40">
        <f t="shared" si="28"/>
        <v>117</v>
      </c>
    </row>
    <row r="37" spans="2:32" ht="23.1" customHeight="1" x14ac:dyDescent="0.25">
      <c r="B37" s="23" t="s">
        <v>64</v>
      </c>
      <c r="C37" s="49">
        <f>'Avg Week MITYANA-BUSUNJU'!C37+'Avg Week BUSUNJU-MITYANA'!C37</f>
        <v>2.1428571428571428</v>
      </c>
      <c r="D37" s="49">
        <f>'Avg Week MITYANA-BUSUNJU'!D37+'Avg Week BUSUNJU-MITYANA'!D37</f>
        <v>0.5714285714285714</v>
      </c>
      <c r="E37" s="49">
        <f>'Avg Week MITYANA-BUSUNJU'!E37+'Avg Week BUSUNJU-MITYANA'!E37</f>
        <v>0.2857142857142857</v>
      </c>
      <c r="F37" s="49">
        <f>'Avg Week MITYANA-BUSUNJU'!F37+'Avg Week BUSUNJU-MITYANA'!F37</f>
        <v>0</v>
      </c>
      <c r="G37" s="49">
        <f>'Avg Week MITYANA-BUSUNJU'!G37+'Avg Week BUSUNJU-MITYANA'!G37</f>
        <v>0.14285714285714285</v>
      </c>
      <c r="H37" s="49">
        <f>'Avg Week MITYANA-BUSUNJU'!H37+'Avg Week BUSUNJU-MITYANA'!H37</f>
        <v>0</v>
      </c>
      <c r="I37" s="49">
        <f>'Avg Week MITYANA-BUSUNJU'!I37+'Avg Week BUSUNJU-MITYANA'!I37</f>
        <v>0.71428571428571419</v>
      </c>
      <c r="J37" s="49">
        <f>'Avg Week MITYANA-BUSUNJU'!J37+'Avg Week BUSUNJU-MITYANA'!J37</f>
        <v>0.2857142857142857</v>
      </c>
      <c r="K37" s="49">
        <f>'Avg Week MITYANA-BUSUNJU'!K37+'Avg Week BUSUNJU-MITYANA'!K37</f>
        <v>0</v>
      </c>
      <c r="L37" s="49">
        <f>'Avg Week MITYANA-BUSUNJU'!L37+'Avg Week BUSUNJU-MITYANA'!L37</f>
        <v>0</v>
      </c>
      <c r="M37" s="49">
        <f>'Avg Week MITYANA-BUSUNJU'!M37+'Avg Week BUSUNJU-MITYANA'!M37</f>
        <v>27.285714285714285</v>
      </c>
      <c r="N37" s="49">
        <f>'Avg Week MITYANA-BUSUNJU'!N37+'Avg Week BUSUNJU-MITYANA'!N37</f>
        <v>0</v>
      </c>
      <c r="O37" s="15">
        <f t="shared" si="0"/>
        <v>4.1428571428571423</v>
      </c>
      <c r="P37" s="15">
        <f t="shared" si="1"/>
        <v>31.428571428571427</v>
      </c>
      <c r="R37" s="37" t="s">
        <v>85</v>
      </c>
      <c r="S37" s="59">
        <f t="shared" ref="S37:AF37" si="29">SUM(S10:S12)</f>
        <v>9.1428571428571423</v>
      </c>
      <c r="T37" s="60">
        <f t="shared" si="29"/>
        <v>4.7142857142857135</v>
      </c>
      <c r="U37" s="60">
        <f t="shared" si="29"/>
        <v>5.2857142857142847</v>
      </c>
      <c r="V37" s="60">
        <f t="shared" si="29"/>
        <v>3.4285714285714279</v>
      </c>
      <c r="W37" s="60">
        <f t="shared" si="29"/>
        <v>0</v>
      </c>
      <c r="X37" s="60">
        <f t="shared" si="29"/>
        <v>0.5714285714285714</v>
      </c>
      <c r="Y37" s="60">
        <f t="shared" si="29"/>
        <v>10.142857142857142</v>
      </c>
      <c r="Z37" s="60">
        <f t="shared" si="29"/>
        <v>2.1428571428571428</v>
      </c>
      <c r="AA37" s="60">
        <f t="shared" si="29"/>
        <v>1.2857142857142856</v>
      </c>
      <c r="AB37" s="60">
        <f t="shared" si="29"/>
        <v>0.5714285714285714</v>
      </c>
      <c r="AC37" s="60">
        <f t="shared" si="29"/>
        <v>231.99999999999997</v>
      </c>
      <c r="AD37" s="60">
        <f t="shared" si="29"/>
        <v>0</v>
      </c>
      <c r="AE37" s="61">
        <f t="shared" si="29"/>
        <v>37.285714285714278</v>
      </c>
      <c r="AF37" s="61">
        <f t="shared" si="29"/>
        <v>269.28571428571428</v>
      </c>
    </row>
    <row r="38" spans="2:32" ht="23.1" customHeight="1" x14ac:dyDescent="0.25">
      <c r="B38" s="24" t="s">
        <v>65</v>
      </c>
      <c r="C38" s="49">
        <f>'Avg Week MITYANA-BUSUNJU'!C38+'Avg Week BUSUNJU-MITYANA'!C38</f>
        <v>1.7142857142857144</v>
      </c>
      <c r="D38" s="49">
        <f>'Avg Week MITYANA-BUSUNJU'!D38+'Avg Week BUSUNJU-MITYANA'!D38</f>
        <v>0.71428571428571419</v>
      </c>
      <c r="E38" s="49">
        <f>'Avg Week MITYANA-BUSUNJU'!E38+'Avg Week BUSUNJU-MITYANA'!E38</f>
        <v>0.14285714285714285</v>
      </c>
      <c r="F38" s="49">
        <f>'Avg Week MITYANA-BUSUNJU'!F38+'Avg Week BUSUNJU-MITYANA'!F38</f>
        <v>0</v>
      </c>
      <c r="G38" s="49">
        <f>'Avg Week MITYANA-BUSUNJU'!G38+'Avg Week BUSUNJU-MITYANA'!G38</f>
        <v>0</v>
      </c>
      <c r="H38" s="49">
        <f>'Avg Week MITYANA-BUSUNJU'!H38+'Avg Week BUSUNJU-MITYANA'!H38</f>
        <v>0</v>
      </c>
      <c r="I38" s="49">
        <f>'Avg Week MITYANA-BUSUNJU'!I38+'Avg Week BUSUNJU-MITYANA'!I38</f>
        <v>1.1428571428571428</v>
      </c>
      <c r="J38" s="49">
        <f>'Avg Week MITYANA-BUSUNJU'!J38+'Avg Week BUSUNJU-MITYANA'!J38</f>
        <v>0</v>
      </c>
      <c r="K38" s="49">
        <f>'Avg Week MITYANA-BUSUNJU'!K38+'Avg Week BUSUNJU-MITYANA'!K38</f>
        <v>0</v>
      </c>
      <c r="L38" s="49">
        <f>'Avg Week MITYANA-BUSUNJU'!L38+'Avg Week BUSUNJU-MITYANA'!L38</f>
        <v>0</v>
      </c>
      <c r="M38" s="49">
        <f>'Avg Week MITYANA-BUSUNJU'!M38+'Avg Week BUSUNJU-MITYANA'!M38</f>
        <v>24.714285714285715</v>
      </c>
      <c r="N38" s="49">
        <f>'Avg Week MITYANA-BUSUNJU'!N38+'Avg Week BUSUNJU-MITYANA'!N38</f>
        <v>0</v>
      </c>
      <c r="O38" s="15">
        <f t="shared" si="0"/>
        <v>3.7142857142857144</v>
      </c>
      <c r="P38" s="15">
        <f t="shared" si="1"/>
        <v>28.428571428571431</v>
      </c>
      <c r="R38" s="28" t="s">
        <v>86</v>
      </c>
      <c r="S38" s="60">
        <f t="shared" ref="S38:AF38" si="30">SUM(S13:S18)</f>
        <v>41.571428571428569</v>
      </c>
      <c r="T38" s="60">
        <f t="shared" si="30"/>
        <v>9.7142857142857135</v>
      </c>
      <c r="U38" s="60">
        <f t="shared" si="30"/>
        <v>12.142857142857141</v>
      </c>
      <c r="V38" s="60">
        <f t="shared" si="30"/>
        <v>5.8571428571428559</v>
      </c>
      <c r="W38" s="60">
        <f t="shared" si="30"/>
        <v>1.4285714285714284</v>
      </c>
      <c r="X38" s="60">
        <f t="shared" si="30"/>
        <v>0.42857142857142855</v>
      </c>
      <c r="Y38" s="60">
        <f t="shared" si="30"/>
        <v>18.571428571428569</v>
      </c>
      <c r="Z38" s="60">
        <f t="shared" si="30"/>
        <v>6</v>
      </c>
      <c r="AA38" s="60">
        <f t="shared" si="30"/>
        <v>2.1428571428571423</v>
      </c>
      <c r="AB38" s="60">
        <f t="shared" si="30"/>
        <v>0</v>
      </c>
      <c r="AC38" s="60">
        <f t="shared" si="30"/>
        <v>563.42857142857144</v>
      </c>
      <c r="AD38" s="60">
        <f t="shared" si="30"/>
        <v>0</v>
      </c>
      <c r="AE38" s="61">
        <f t="shared" si="30"/>
        <v>97.857142857142847</v>
      </c>
      <c r="AF38" s="61">
        <f t="shared" si="30"/>
        <v>661.28571428571422</v>
      </c>
    </row>
    <row r="39" spans="2:32" ht="23.1" customHeight="1" x14ac:dyDescent="0.25">
      <c r="B39" s="24" t="s">
        <v>66</v>
      </c>
      <c r="C39" s="49">
        <f>'Avg Week MITYANA-BUSUNJU'!C39+'Avg Week BUSUNJU-MITYANA'!C39</f>
        <v>1.5714285714285714</v>
      </c>
      <c r="D39" s="49">
        <f>'Avg Week MITYANA-BUSUNJU'!D39+'Avg Week BUSUNJU-MITYANA'!D39</f>
        <v>0</v>
      </c>
      <c r="E39" s="49">
        <f>'Avg Week MITYANA-BUSUNJU'!E39+'Avg Week BUSUNJU-MITYANA'!E39</f>
        <v>0.85714285714285721</v>
      </c>
      <c r="F39" s="49">
        <f>'Avg Week MITYANA-BUSUNJU'!F39+'Avg Week BUSUNJU-MITYANA'!F39</f>
        <v>0.2857142857142857</v>
      </c>
      <c r="G39" s="49">
        <f>'Avg Week MITYANA-BUSUNJU'!G39+'Avg Week BUSUNJU-MITYANA'!G39</f>
        <v>0</v>
      </c>
      <c r="H39" s="49">
        <f>'Avg Week MITYANA-BUSUNJU'!H39+'Avg Week BUSUNJU-MITYANA'!H39</f>
        <v>0</v>
      </c>
      <c r="I39" s="49">
        <f>'Avg Week MITYANA-BUSUNJU'!I39+'Avg Week BUSUNJU-MITYANA'!I39</f>
        <v>0.14285714285714285</v>
      </c>
      <c r="J39" s="49">
        <f>'Avg Week MITYANA-BUSUNJU'!J39+'Avg Week BUSUNJU-MITYANA'!J39</f>
        <v>0.8571428571428571</v>
      </c>
      <c r="K39" s="49">
        <f>'Avg Week MITYANA-BUSUNJU'!K39+'Avg Week BUSUNJU-MITYANA'!K39</f>
        <v>0</v>
      </c>
      <c r="L39" s="49">
        <f>'Avg Week MITYANA-BUSUNJU'!L39+'Avg Week BUSUNJU-MITYANA'!L39</f>
        <v>0</v>
      </c>
      <c r="M39" s="49">
        <f>'Avg Week MITYANA-BUSUNJU'!M39+'Avg Week BUSUNJU-MITYANA'!M39</f>
        <v>24.857142857142858</v>
      </c>
      <c r="N39" s="49">
        <f>'Avg Week MITYANA-BUSUNJU'!N39+'Avg Week BUSUNJU-MITYANA'!N39</f>
        <v>0</v>
      </c>
      <c r="O39" s="15">
        <f t="shared" si="0"/>
        <v>3.7142857142857144</v>
      </c>
      <c r="P39" s="15">
        <f t="shared" si="1"/>
        <v>28.571428571428573</v>
      </c>
      <c r="R39" s="29" t="s">
        <v>87</v>
      </c>
      <c r="S39" s="60">
        <f t="shared" ref="S39:AF39" si="31">SUM(S19:S21)</f>
        <v>19</v>
      </c>
      <c r="T39" s="60">
        <f t="shared" si="31"/>
        <v>7.5714285714285712</v>
      </c>
      <c r="U39" s="60">
        <f t="shared" si="31"/>
        <v>6.7142857142857144</v>
      </c>
      <c r="V39" s="60">
        <f t="shared" si="31"/>
        <v>4.1428571428571423</v>
      </c>
      <c r="W39" s="60">
        <f t="shared" si="31"/>
        <v>0.5714285714285714</v>
      </c>
      <c r="X39" s="60">
        <f t="shared" si="31"/>
        <v>0.2857142857142857</v>
      </c>
      <c r="Y39" s="60">
        <f t="shared" si="31"/>
        <v>8.4285714285714288</v>
      </c>
      <c r="Z39" s="60">
        <f t="shared" si="31"/>
        <v>5.2857142857142847</v>
      </c>
      <c r="AA39" s="60">
        <f t="shared" si="31"/>
        <v>0.5714285714285714</v>
      </c>
      <c r="AB39" s="60">
        <f t="shared" si="31"/>
        <v>0.14285714285714285</v>
      </c>
      <c r="AC39" s="60">
        <f t="shared" si="31"/>
        <v>281.14285714285711</v>
      </c>
      <c r="AD39" s="60">
        <f t="shared" si="31"/>
        <v>0</v>
      </c>
      <c r="AE39" s="61">
        <f t="shared" si="31"/>
        <v>52.714285714285708</v>
      </c>
      <c r="AF39" s="61">
        <f t="shared" si="31"/>
        <v>333.85714285714283</v>
      </c>
    </row>
    <row r="40" spans="2:32" ht="23.1" customHeight="1" x14ac:dyDescent="0.25">
      <c r="B40" s="24" t="s">
        <v>67</v>
      </c>
      <c r="C40" s="49">
        <f>'Avg Week MITYANA-BUSUNJU'!C40+'Avg Week BUSUNJU-MITYANA'!C40</f>
        <v>1</v>
      </c>
      <c r="D40" s="49">
        <f>'Avg Week MITYANA-BUSUNJU'!D40+'Avg Week BUSUNJU-MITYANA'!D40</f>
        <v>0.2857142857142857</v>
      </c>
      <c r="E40" s="49">
        <f>'Avg Week MITYANA-BUSUNJU'!E40+'Avg Week BUSUNJU-MITYANA'!E40</f>
        <v>0.5714285714285714</v>
      </c>
      <c r="F40" s="49">
        <f>'Avg Week MITYANA-BUSUNJU'!F40+'Avg Week BUSUNJU-MITYANA'!F40</f>
        <v>0.2857142857142857</v>
      </c>
      <c r="G40" s="49">
        <f>'Avg Week MITYANA-BUSUNJU'!G40+'Avg Week BUSUNJU-MITYANA'!G40</f>
        <v>0</v>
      </c>
      <c r="H40" s="49">
        <f>'Avg Week MITYANA-BUSUNJU'!H40+'Avg Week BUSUNJU-MITYANA'!H40</f>
        <v>0</v>
      </c>
      <c r="I40" s="49">
        <f>'Avg Week MITYANA-BUSUNJU'!I40+'Avg Week BUSUNJU-MITYANA'!I40</f>
        <v>0.5714285714285714</v>
      </c>
      <c r="J40" s="49">
        <f>'Avg Week MITYANA-BUSUNJU'!J40+'Avg Week BUSUNJU-MITYANA'!J40</f>
        <v>0</v>
      </c>
      <c r="K40" s="49">
        <f>'Avg Week MITYANA-BUSUNJU'!K40+'Avg Week BUSUNJU-MITYANA'!K40</f>
        <v>0</v>
      </c>
      <c r="L40" s="49">
        <f>'Avg Week MITYANA-BUSUNJU'!L40+'Avg Week BUSUNJU-MITYANA'!L40</f>
        <v>0</v>
      </c>
      <c r="M40" s="49">
        <f>'Avg Week MITYANA-BUSUNJU'!M40+'Avg Week BUSUNJU-MITYANA'!M40</f>
        <v>24.714285714285715</v>
      </c>
      <c r="N40" s="49">
        <f>'Avg Week MITYANA-BUSUNJU'!N40+'Avg Week BUSUNJU-MITYANA'!N40</f>
        <v>0</v>
      </c>
      <c r="O40" s="15">
        <f t="shared" si="0"/>
        <v>2.7142857142857144</v>
      </c>
      <c r="P40" s="15">
        <f t="shared" si="1"/>
        <v>27.428571428571431</v>
      </c>
      <c r="R40" s="5" t="s">
        <v>17</v>
      </c>
      <c r="S40" s="60">
        <f t="shared" ref="S40:AF40" si="32">SUM(S10:S21)</f>
        <v>69.714285714285722</v>
      </c>
      <c r="T40" s="60">
        <f t="shared" si="32"/>
        <v>22</v>
      </c>
      <c r="U40" s="60">
        <f t="shared" si="32"/>
        <v>24.142857142857139</v>
      </c>
      <c r="V40" s="60">
        <f t="shared" si="32"/>
        <v>13.428571428571427</v>
      </c>
      <c r="W40" s="60">
        <f t="shared" si="32"/>
        <v>1.9999999999999998</v>
      </c>
      <c r="X40" s="60">
        <f t="shared" si="32"/>
        <v>1.2857142857142856</v>
      </c>
      <c r="Y40" s="60">
        <f t="shared" si="32"/>
        <v>37.142857142857146</v>
      </c>
      <c r="Z40" s="60">
        <f t="shared" si="32"/>
        <v>13.428571428571429</v>
      </c>
      <c r="AA40" s="60">
        <f t="shared" si="32"/>
        <v>3.9999999999999991</v>
      </c>
      <c r="AB40" s="60">
        <f t="shared" si="32"/>
        <v>0.71428571428571419</v>
      </c>
      <c r="AC40" s="60">
        <f t="shared" si="32"/>
        <v>1076.5714285714284</v>
      </c>
      <c r="AD40" s="60">
        <f t="shared" si="32"/>
        <v>0</v>
      </c>
      <c r="AE40" s="61">
        <f t="shared" si="32"/>
        <v>187.85714285714286</v>
      </c>
      <c r="AF40" s="61">
        <f t="shared" si="32"/>
        <v>1264.4285714285711</v>
      </c>
    </row>
    <row r="41" spans="2:32" ht="23.1" customHeight="1" x14ac:dyDescent="0.25">
      <c r="B41" s="23" t="s">
        <v>68</v>
      </c>
      <c r="C41" s="49">
        <f>'Avg Week MITYANA-BUSUNJU'!C41+'Avg Week BUSUNJU-MITYANA'!C41</f>
        <v>1.1428571428571428</v>
      </c>
      <c r="D41" s="49">
        <f>'Avg Week MITYANA-BUSUNJU'!D41+'Avg Week BUSUNJU-MITYANA'!D41</f>
        <v>0</v>
      </c>
      <c r="E41" s="49">
        <f>'Avg Week MITYANA-BUSUNJU'!E41+'Avg Week BUSUNJU-MITYANA'!E41</f>
        <v>0.71428571428571419</v>
      </c>
      <c r="F41" s="49">
        <f>'Avg Week MITYANA-BUSUNJU'!F41+'Avg Week BUSUNJU-MITYANA'!F41</f>
        <v>0</v>
      </c>
      <c r="G41" s="49">
        <f>'Avg Week MITYANA-BUSUNJU'!G41+'Avg Week BUSUNJU-MITYANA'!G41</f>
        <v>0</v>
      </c>
      <c r="H41" s="49">
        <f>'Avg Week MITYANA-BUSUNJU'!H41+'Avg Week BUSUNJU-MITYANA'!H41</f>
        <v>0</v>
      </c>
      <c r="I41" s="49">
        <f>'Avg Week MITYANA-BUSUNJU'!I41+'Avg Week BUSUNJU-MITYANA'!I41</f>
        <v>1.5714285714285714</v>
      </c>
      <c r="J41" s="49">
        <f>'Avg Week MITYANA-BUSUNJU'!J41+'Avg Week BUSUNJU-MITYANA'!J41</f>
        <v>0.2857142857142857</v>
      </c>
      <c r="K41" s="49">
        <f>'Avg Week MITYANA-BUSUNJU'!K41+'Avg Week BUSUNJU-MITYANA'!K41</f>
        <v>0.14285714285714285</v>
      </c>
      <c r="L41" s="49">
        <f>'Avg Week MITYANA-BUSUNJU'!L41+'Avg Week BUSUNJU-MITYANA'!L41</f>
        <v>0</v>
      </c>
      <c r="M41" s="49">
        <f>'Avg Week MITYANA-BUSUNJU'!M41+'Avg Week BUSUNJU-MITYANA'!M41</f>
        <v>23.857142857142858</v>
      </c>
      <c r="N41" s="49">
        <f>'Avg Week MITYANA-BUSUNJU'!N41+'Avg Week BUSUNJU-MITYANA'!N41</f>
        <v>0</v>
      </c>
      <c r="O41" s="15">
        <f t="shared" si="0"/>
        <v>3.8571428571428568</v>
      </c>
      <c r="P41" s="15">
        <f t="shared" si="1"/>
        <v>27.714285714285715</v>
      </c>
      <c r="R41" s="5" t="s">
        <v>184</v>
      </c>
      <c r="S41" s="60">
        <f>SUM(S10:S33)</f>
        <v>121.71428571428572</v>
      </c>
      <c r="T41" s="60">
        <f t="shared" ref="T41:AD41" si="33">SUM(T10:T33)</f>
        <v>50</v>
      </c>
      <c r="U41" s="60">
        <f t="shared" si="33"/>
        <v>45.642857142857139</v>
      </c>
      <c r="V41" s="60">
        <f t="shared" si="33"/>
        <v>22.428571428571427</v>
      </c>
      <c r="W41" s="60">
        <f t="shared" si="33"/>
        <v>3.5</v>
      </c>
      <c r="X41" s="60">
        <f t="shared" si="33"/>
        <v>2.7857142857142856</v>
      </c>
      <c r="Y41" s="60">
        <f t="shared" si="33"/>
        <v>78.142857142857139</v>
      </c>
      <c r="Z41" s="60">
        <f t="shared" si="33"/>
        <v>41.428571428571431</v>
      </c>
      <c r="AA41" s="60">
        <f t="shared" si="33"/>
        <v>28</v>
      </c>
      <c r="AB41" s="60">
        <f t="shared" si="33"/>
        <v>12.214285714285715</v>
      </c>
      <c r="AC41" s="60">
        <f t="shared" si="33"/>
        <v>1441.5714285714284</v>
      </c>
      <c r="AD41" s="60">
        <f t="shared" si="33"/>
        <v>0</v>
      </c>
      <c r="AE41" s="61">
        <f>SUM(AE10:AE33)</f>
        <v>405.85714285714289</v>
      </c>
      <c r="AF41" s="61">
        <f>SUM(AF10:AF33)</f>
        <v>1847.4285714285711</v>
      </c>
    </row>
    <row r="42" spans="2:32" ht="23.1" customHeight="1" x14ac:dyDescent="0.25">
      <c r="B42" s="24" t="s">
        <v>69</v>
      </c>
      <c r="C42" s="49">
        <f>'Avg Week MITYANA-BUSUNJU'!C42+'Avg Week BUSUNJU-MITYANA'!C42</f>
        <v>1.8571428571428572</v>
      </c>
      <c r="D42" s="49">
        <f>'Avg Week MITYANA-BUSUNJU'!D42+'Avg Week BUSUNJU-MITYANA'!D42</f>
        <v>0.71428571428571419</v>
      </c>
      <c r="E42" s="49">
        <f>'Avg Week MITYANA-BUSUNJU'!E42+'Avg Week BUSUNJU-MITYANA'!E42</f>
        <v>0.5714285714285714</v>
      </c>
      <c r="F42" s="49">
        <f>'Avg Week MITYANA-BUSUNJU'!F42+'Avg Week BUSUNJU-MITYANA'!F42</f>
        <v>0.5714285714285714</v>
      </c>
      <c r="G42" s="49">
        <f>'Avg Week MITYANA-BUSUNJU'!G42+'Avg Week BUSUNJU-MITYANA'!G42</f>
        <v>0</v>
      </c>
      <c r="H42" s="49">
        <f>'Avg Week MITYANA-BUSUNJU'!H42+'Avg Week BUSUNJU-MITYANA'!H42</f>
        <v>0.14285714285714285</v>
      </c>
      <c r="I42" s="49">
        <f>'Avg Week MITYANA-BUSUNJU'!I42+'Avg Week BUSUNJU-MITYANA'!I42</f>
        <v>0.8571428571428571</v>
      </c>
      <c r="J42" s="49">
        <f>'Avg Week MITYANA-BUSUNJU'!J42+'Avg Week BUSUNJU-MITYANA'!J42</f>
        <v>0</v>
      </c>
      <c r="K42" s="49">
        <f>'Avg Week MITYANA-BUSUNJU'!K42+'Avg Week BUSUNJU-MITYANA'!K42</f>
        <v>0.2857142857142857</v>
      </c>
      <c r="L42" s="49">
        <f>'Avg Week MITYANA-BUSUNJU'!L42+'Avg Week BUSUNJU-MITYANA'!L42</f>
        <v>0</v>
      </c>
      <c r="M42" s="49">
        <f>'Avg Week MITYANA-BUSUNJU'!M42+'Avg Week BUSUNJU-MITYANA'!M42</f>
        <v>26.857142857142854</v>
      </c>
      <c r="N42" s="49">
        <f>'Avg Week MITYANA-BUSUNJU'!N42+'Avg Week BUSUNJU-MITYANA'!N42</f>
        <v>0</v>
      </c>
      <c r="O42" s="15">
        <f t="shared" si="0"/>
        <v>4.9999999999999991</v>
      </c>
      <c r="P42" s="15">
        <f t="shared" si="1"/>
        <v>31.857142857142854</v>
      </c>
      <c r="R42" s="5" t="s">
        <v>160</v>
      </c>
      <c r="S42" s="48">
        <f>S41/S40</f>
        <v>1.7459016393442621</v>
      </c>
      <c r="T42" s="48">
        <f t="shared" ref="T42:AF42" si="34">T41/T40</f>
        <v>2.2727272727272729</v>
      </c>
      <c r="U42" s="48">
        <f t="shared" si="34"/>
        <v>1.8905325443786984</v>
      </c>
      <c r="V42" s="48">
        <f t="shared" si="34"/>
        <v>1.6702127659574468</v>
      </c>
      <c r="W42" s="48">
        <f t="shared" si="34"/>
        <v>1.7500000000000002</v>
      </c>
      <c r="X42" s="48">
        <f t="shared" si="34"/>
        <v>2.166666666666667</v>
      </c>
      <c r="Y42" s="48">
        <f t="shared" si="34"/>
        <v>2.1038461538461535</v>
      </c>
      <c r="Z42" s="48">
        <f t="shared" si="34"/>
        <v>3.0851063829787235</v>
      </c>
      <c r="AA42" s="48">
        <f t="shared" si="34"/>
        <v>7.0000000000000018</v>
      </c>
      <c r="AB42" s="48">
        <f t="shared" si="34"/>
        <v>17.100000000000005</v>
      </c>
      <c r="AC42" s="48">
        <f t="shared" si="34"/>
        <v>1.3390392781316349</v>
      </c>
      <c r="AD42" s="48" t="e">
        <f t="shared" si="34"/>
        <v>#DIV/0!</v>
      </c>
      <c r="AE42" s="62">
        <f t="shared" si="34"/>
        <v>2.1604562737642587</v>
      </c>
      <c r="AF42" s="62">
        <f t="shared" si="34"/>
        <v>1.4610778443113774</v>
      </c>
    </row>
    <row r="43" spans="2:32" ht="23.1" customHeight="1" x14ac:dyDescent="0.25">
      <c r="B43" s="23" t="s">
        <v>70</v>
      </c>
      <c r="C43" s="49">
        <f>'Avg Week MITYANA-BUSUNJU'!C43+'Avg Week BUSUNJU-MITYANA'!C43</f>
        <v>1.8571428571428572</v>
      </c>
      <c r="D43" s="49">
        <f>'Avg Week MITYANA-BUSUNJU'!D43+'Avg Week BUSUNJU-MITYANA'!D43</f>
        <v>0</v>
      </c>
      <c r="E43" s="49">
        <f>'Avg Week MITYANA-BUSUNJU'!E43+'Avg Week BUSUNJU-MITYANA'!E43</f>
        <v>0.14285714285714285</v>
      </c>
      <c r="F43" s="49">
        <f>'Avg Week MITYANA-BUSUNJU'!F43+'Avg Week BUSUNJU-MITYANA'!F43</f>
        <v>0.2857142857142857</v>
      </c>
      <c r="G43" s="49">
        <f>'Avg Week MITYANA-BUSUNJU'!G43+'Avg Week BUSUNJU-MITYANA'!G43</f>
        <v>0</v>
      </c>
      <c r="H43" s="49">
        <f>'Avg Week MITYANA-BUSUNJU'!H43+'Avg Week BUSUNJU-MITYANA'!H43</f>
        <v>0</v>
      </c>
      <c r="I43" s="49">
        <f>'Avg Week MITYANA-BUSUNJU'!I43+'Avg Week BUSUNJU-MITYANA'!I43</f>
        <v>0.71428571428571419</v>
      </c>
      <c r="J43" s="49">
        <f>'Avg Week MITYANA-BUSUNJU'!J43+'Avg Week BUSUNJU-MITYANA'!J43</f>
        <v>0.2857142857142857</v>
      </c>
      <c r="K43" s="49">
        <f>'Avg Week MITYANA-BUSUNJU'!K43+'Avg Week BUSUNJU-MITYANA'!K43</f>
        <v>0.2857142857142857</v>
      </c>
      <c r="L43" s="49">
        <f>'Avg Week MITYANA-BUSUNJU'!L43+'Avg Week BUSUNJU-MITYANA'!L43</f>
        <v>0</v>
      </c>
      <c r="M43" s="49">
        <f>'Avg Week MITYANA-BUSUNJU'!M43+'Avg Week BUSUNJU-MITYANA'!M43</f>
        <v>26.571428571428569</v>
      </c>
      <c r="N43" s="49">
        <f>'Avg Week MITYANA-BUSUNJU'!N43+'Avg Week BUSUNJU-MITYANA'!N43</f>
        <v>0</v>
      </c>
      <c r="O43" s="15">
        <f t="shared" si="0"/>
        <v>3.5714285714285712</v>
      </c>
      <c r="P43" s="15">
        <f t="shared" si="1"/>
        <v>30.142857142857139</v>
      </c>
    </row>
    <row r="44" spans="2:32" ht="23.1" customHeight="1" x14ac:dyDescent="0.25">
      <c r="B44" s="25" t="s">
        <v>71</v>
      </c>
      <c r="C44" s="49">
        <f>'Avg Week MITYANA-BUSUNJU'!C44+'Avg Week BUSUNJU-MITYANA'!C44</f>
        <v>2.1428571428571428</v>
      </c>
      <c r="D44" s="49">
        <f>'Avg Week MITYANA-BUSUNJU'!D44+'Avg Week BUSUNJU-MITYANA'!D44</f>
        <v>0.42857142857142855</v>
      </c>
      <c r="E44" s="49">
        <f>'Avg Week MITYANA-BUSUNJU'!E44+'Avg Week BUSUNJU-MITYANA'!E44</f>
        <v>0.2857142857142857</v>
      </c>
      <c r="F44" s="49">
        <f>'Avg Week MITYANA-BUSUNJU'!F44+'Avg Week BUSUNJU-MITYANA'!F44</f>
        <v>0.2857142857142857</v>
      </c>
      <c r="G44" s="49">
        <f>'Avg Week MITYANA-BUSUNJU'!G44+'Avg Week BUSUNJU-MITYANA'!G44</f>
        <v>0</v>
      </c>
      <c r="H44" s="49">
        <f>'Avg Week MITYANA-BUSUNJU'!H44+'Avg Week BUSUNJU-MITYANA'!H44</f>
        <v>0</v>
      </c>
      <c r="I44" s="49">
        <f>'Avg Week MITYANA-BUSUNJU'!I44+'Avg Week BUSUNJU-MITYANA'!I44</f>
        <v>0.14285714285714285</v>
      </c>
      <c r="J44" s="49">
        <f>'Avg Week MITYANA-BUSUNJU'!J44+'Avg Week BUSUNJU-MITYANA'!J44</f>
        <v>0.2857142857142857</v>
      </c>
      <c r="K44" s="49">
        <f>'Avg Week MITYANA-BUSUNJU'!K44+'Avg Week BUSUNJU-MITYANA'!K44</f>
        <v>0</v>
      </c>
      <c r="L44" s="49">
        <f>'Avg Week MITYANA-BUSUNJU'!L44+'Avg Week BUSUNJU-MITYANA'!L44</f>
        <v>0</v>
      </c>
      <c r="M44" s="49">
        <f>'Avg Week MITYANA-BUSUNJU'!M44+'Avg Week BUSUNJU-MITYANA'!M44</f>
        <v>23.428571428571431</v>
      </c>
      <c r="N44" s="49">
        <f>'Avg Week MITYANA-BUSUNJU'!N44+'Avg Week BUSUNJU-MITYANA'!N44</f>
        <v>0</v>
      </c>
      <c r="O44" s="15">
        <f t="shared" si="0"/>
        <v>3.5714285714285707</v>
      </c>
      <c r="P44" s="15">
        <f t="shared" si="1"/>
        <v>27</v>
      </c>
    </row>
    <row r="45" spans="2:32" ht="23.1" customHeight="1" x14ac:dyDescent="0.25">
      <c r="B45" s="23" t="s">
        <v>72</v>
      </c>
      <c r="C45" s="49">
        <f>'Avg Week MITYANA-BUSUNJU'!C45+'Avg Week BUSUNJU-MITYANA'!C45</f>
        <v>2</v>
      </c>
      <c r="D45" s="49">
        <f>'Avg Week MITYANA-BUSUNJU'!D45+'Avg Week BUSUNJU-MITYANA'!D45</f>
        <v>0</v>
      </c>
      <c r="E45" s="49">
        <f>'Avg Week MITYANA-BUSUNJU'!E45+'Avg Week BUSUNJU-MITYANA'!E45</f>
        <v>0.71428571428571419</v>
      </c>
      <c r="F45" s="49">
        <f>'Avg Week MITYANA-BUSUNJU'!F45+'Avg Week BUSUNJU-MITYANA'!F45</f>
        <v>0.2857142857142857</v>
      </c>
      <c r="G45" s="49">
        <f>'Avg Week MITYANA-BUSUNJU'!G45+'Avg Week BUSUNJU-MITYANA'!G45</f>
        <v>0</v>
      </c>
      <c r="H45" s="49">
        <f>'Avg Week MITYANA-BUSUNJU'!H45+'Avg Week BUSUNJU-MITYANA'!H45</f>
        <v>0</v>
      </c>
      <c r="I45" s="49">
        <f>'Avg Week MITYANA-BUSUNJU'!I45+'Avg Week BUSUNJU-MITYANA'!I45</f>
        <v>1</v>
      </c>
      <c r="J45" s="49">
        <f>'Avg Week MITYANA-BUSUNJU'!J45+'Avg Week BUSUNJU-MITYANA'!J45</f>
        <v>0.42857142857142855</v>
      </c>
      <c r="K45" s="49">
        <f>'Avg Week MITYANA-BUSUNJU'!K45+'Avg Week BUSUNJU-MITYANA'!K45</f>
        <v>0</v>
      </c>
      <c r="L45" s="49">
        <f>'Avg Week MITYANA-BUSUNJU'!L45+'Avg Week BUSUNJU-MITYANA'!L45</f>
        <v>0</v>
      </c>
      <c r="M45" s="49">
        <f>'Avg Week MITYANA-BUSUNJU'!M45+'Avg Week BUSUNJU-MITYANA'!M45</f>
        <v>30.142857142857142</v>
      </c>
      <c r="N45" s="49">
        <f>'Avg Week MITYANA-BUSUNJU'!N45+'Avg Week BUSUNJU-MITYANA'!N45</f>
        <v>0</v>
      </c>
      <c r="O45" s="15">
        <f t="shared" si="0"/>
        <v>4.4285714285714288</v>
      </c>
      <c r="P45" s="15">
        <f t="shared" si="1"/>
        <v>34.571428571428569</v>
      </c>
    </row>
    <row r="46" spans="2:32" ht="23.1" customHeight="1" x14ac:dyDescent="0.25">
      <c r="B46" s="24" t="s">
        <v>73</v>
      </c>
      <c r="C46" s="49">
        <f>'Avg Week MITYANA-BUSUNJU'!C46+'Avg Week BUSUNJU-MITYANA'!C46</f>
        <v>1.2857142857142856</v>
      </c>
      <c r="D46" s="49">
        <f>'Avg Week MITYANA-BUSUNJU'!D46+'Avg Week BUSUNJU-MITYANA'!D46</f>
        <v>0.2857142857142857</v>
      </c>
      <c r="E46" s="49">
        <f>'Avg Week MITYANA-BUSUNJU'!E46+'Avg Week BUSUNJU-MITYANA'!E46</f>
        <v>0.42857142857142855</v>
      </c>
      <c r="F46" s="49">
        <f>'Avg Week MITYANA-BUSUNJU'!F46+'Avg Week BUSUNJU-MITYANA'!F46</f>
        <v>0</v>
      </c>
      <c r="G46" s="49">
        <f>'Avg Week MITYANA-BUSUNJU'!G46+'Avg Week BUSUNJU-MITYANA'!G46</f>
        <v>0</v>
      </c>
      <c r="H46" s="49">
        <f>'Avg Week MITYANA-BUSUNJU'!H46+'Avg Week BUSUNJU-MITYANA'!H46</f>
        <v>0</v>
      </c>
      <c r="I46" s="49">
        <f>'Avg Week MITYANA-BUSUNJU'!I46+'Avg Week BUSUNJU-MITYANA'!I46</f>
        <v>1</v>
      </c>
      <c r="J46" s="49">
        <f>'Avg Week MITYANA-BUSUNJU'!J46+'Avg Week BUSUNJU-MITYANA'!J46</f>
        <v>0.14285714285714285</v>
      </c>
      <c r="K46" s="49">
        <f>'Avg Week MITYANA-BUSUNJU'!K46+'Avg Week BUSUNJU-MITYANA'!K46</f>
        <v>0</v>
      </c>
      <c r="L46" s="49">
        <f>'Avg Week MITYANA-BUSUNJU'!L46+'Avg Week BUSUNJU-MITYANA'!L46</f>
        <v>0</v>
      </c>
      <c r="M46" s="49">
        <f>'Avg Week MITYANA-BUSUNJU'!M46+'Avg Week BUSUNJU-MITYANA'!M46</f>
        <v>25.714285714285715</v>
      </c>
      <c r="N46" s="49">
        <f>'Avg Week MITYANA-BUSUNJU'!N46+'Avg Week BUSUNJU-MITYANA'!N46</f>
        <v>0</v>
      </c>
      <c r="O46" s="15">
        <f t="shared" si="0"/>
        <v>3.1428571428571428</v>
      </c>
      <c r="P46" s="15">
        <f t="shared" si="1"/>
        <v>28.857142857142858</v>
      </c>
      <c r="R46" s="8"/>
      <c r="T46"/>
    </row>
    <row r="47" spans="2:32" ht="23.1" customHeight="1" x14ac:dyDescent="0.25">
      <c r="B47" s="24" t="s">
        <v>74</v>
      </c>
      <c r="C47" s="49">
        <f>'Avg Week MITYANA-BUSUNJU'!C47+'Avg Week BUSUNJU-MITYANA'!C47</f>
        <v>1.2857142857142856</v>
      </c>
      <c r="D47" s="49">
        <f>'Avg Week MITYANA-BUSUNJU'!D47+'Avg Week BUSUNJU-MITYANA'!D47</f>
        <v>0.42857142857142855</v>
      </c>
      <c r="E47" s="49">
        <f>'Avg Week MITYANA-BUSUNJU'!E47+'Avg Week BUSUNJU-MITYANA'!E47</f>
        <v>0.2857142857142857</v>
      </c>
      <c r="F47" s="49">
        <f>'Avg Week MITYANA-BUSUNJU'!F47+'Avg Week BUSUNJU-MITYANA'!F47</f>
        <v>0.5714285714285714</v>
      </c>
      <c r="G47" s="49">
        <f>'Avg Week MITYANA-BUSUNJU'!G47+'Avg Week BUSUNJU-MITYANA'!G47</f>
        <v>0.42857142857142855</v>
      </c>
      <c r="H47" s="49">
        <f>'Avg Week MITYANA-BUSUNJU'!H47+'Avg Week BUSUNJU-MITYANA'!H47</f>
        <v>0</v>
      </c>
      <c r="I47" s="49">
        <f>'Avg Week MITYANA-BUSUNJU'!I47+'Avg Week BUSUNJU-MITYANA'!I47</f>
        <v>0.5714285714285714</v>
      </c>
      <c r="J47" s="49">
        <f>'Avg Week MITYANA-BUSUNJU'!J47+'Avg Week BUSUNJU-MITYANA'!J47</f>
        <v>0.2857142857142857</v>
      </c>
      <c r="K47" s="49">
        <f>'Avg Week MITYANA-BUSUNJU'!K47+'Avg Week BUSUNJU-MITYANA'!K47</f>
        <v>0</v>
      </c>
      <c r="L47" s="49">
        <f>'Avg Week MITYANA-BUSUNJU'!L47+'Avg Week BUSUNJU-MITYANA'!L47</f>
        <v>0</v>
      </c>
      <c r="M47" s="49">
        <f>'Avg Week MITYANA-BUSUNJU'!M47+'Avg Week BUSUNJU-MITYANA'!M47</f>
        <v>27.428571428571431</v>
      </c>
      <c r="N47" s="49">
        <f>'Avg Week MITYANA-BUSUNJU'!N47+'Avg Week BUSUNJU-MITYANA'!N47</f>
        <v>0</v>
      </c>
      <c r="O47" s="15">
        <f t="shared" si="0"/>
        <v>3.8571428571428568</v>
      </c>
      <c r="P47" s="15">
        <f t="shared" si="1"/>
        <v>31.285714285714288</v>
      </c>
      <c r="R47" s="8"/>
      <c r="T47"/>
    </row>
    <row r="48" spans="2:32" ht="23.1" customHeight="1" x14ac:dyDescent="0.25">
      <c r="B48" s="24" t="s">
        <v>75</v>
      </c>
      <c r="C48" s="49">
        <f>'Avg Week MITYANA-BUSUNJU'!C48+'Avg Week BUSUNJU-MITYANA'!C48</f>
        <v>0.5714285714285714</v>
      </c>
      <c r="D48" s="49">
        <f>'Avg Week MITYANA-BUSUNJU'!D48+'Avg Week BUSUNJU-MITYANA'!D48</f>
        <v>1</v>
      </c>
      <c r="E48" s="49">
        <f>'Avg Week MITYANA-BUSUNJU'!E48+'Avg Week BUSUNJU-MITYANA'!E48</f>
        <v>0</v>
      </c>
      <c r="F48" s="49">
        <f>'Avg Week MITYANA-BUSUNJU'!F48+'Avg Week BUSUNJU-MITYANA'!F48</f>
        <v>0</v>
      </c>
      <c r="G48" s="49">
        <f>'Avg Week MITYANA-BUSUNJU'!G48+'Avg Week BUSUNJU-MITYANA'!G48</f>
        <v>0</v>
      </c>
      <c r="H48" s="49">
        <f>'Avg Week MITYANA-BUSUNJU'!H48+'Avg Week BUSUNJU-MITYANA'!H48</f>
        <v>0</v>
      </c>
      <c r="I48" s="49">
        <f>'Avg Week MITYANA-BUSUNJU'!I48+'Avg Week BUSUNJU-MITYANA'!I48</f>
        <v>0.85714285714285721</v>
      </c>
      <c r="J48" s="49">
        <f>'Avg Week MITYANA-BUSUNJU'!J48+'Avg Week BUSUNJU-MITYANA'!J48</f>
        <v>0.5714285714285714</v>
      </c>
      <c r="K48" s="49">
        <f>'Avg Week MITYANA-BUSUNJU'!K48+'Avg Week BUSUNJU-MITYANA'!K48</f>
        <v>0.2857142857142857</v>
      </c>
      <c r="L48" s="49">
        <f>'Avg Week MITYANA-BUSUNJU'!L48+'Avg Week BUSUNJU-MITYANA'!L48</f>
        <v>0</v>
      </c>
      <c r="M48" s="49">
        <f>'Avg Week MITYANA-BUSUNJU'!M48+'Avg Week BUSUNJU-MITYANA'!M48</f>
        <v>25</v>
      </c>
      <c r="N48" s="49">
        <f>'Avg Week MITYANA-BUSUNJU'!N48+'Avg Week BUSUNJU-MITYANA'!N48</f>
        <v>0</v>
      </c>
      <c r="O48" s="15">
        <f t="shared" si="0"/>
        <v>3.2857142857142856</v>
      </c>
      <c r="P48" s="15">
        <f t="shared" si="1"/>
        <v>28.285714285714285</v>
      </c>
      <c r="R48" s="8"/>
      <c r="T48"/>
    </row>
    <row r="49" spans="2:20" ht="23.1" customHeight="1" x14ac:dyDescent="0.25">
      <c r="B49" s="23" t="s">
        <v>76</v>
      </c>
      <c r="C49" s="49">
        <f>'Avg Week MITYANA-BUSUNJU'!C49+'Avg Week BUSUNJU-MITYANA'!C49</f>
        <v>1.5714285714285714</v>
      </c>
      <c r="D49" s="49">
        <f>'Avg Week MITYANA-BUSUNJU'!D49+'Avg Week BUSUNJU-MITYANA'!D49</f>
        <v>1.1428571428571428</v>
      </c>
      <c r="E49" s="49">
        <f>'Avg Week MITYANA-BUSUNJU'!E49+'Avg Week BUSUNJU-MITYANA'!E49</f>
        <v>0.5714285714285714</v>
      </c>
      <c r="F49" s="49">
        <f>'Avg Week MITYANA-BUSUNJU'!F49+'Avg Week BUSUNJU-MITYANA'!F49</f>
        <v>0.2857142857142857</v>
      </c>
      <c r="G49" s="49">
        <f>'Avg Week MITYANA-BUSUNJU'!G49+'Avg Week BUSUNJU-MITYANA'!G49</f>
        <v>0</v>
      </c>
      <c r="H49" s="49">
        <f>'Avg Week MITYANA-BUSUNJU'!H49+'Avg Week BUSUNJU-MITYANA'!H49</f>
        <v>0</v>
      </c>
      <c r="I49" s="49">
        <f>'Avg Week MITYANA-BUSUNJU'!I49+'Avg Week BUSUNJU-MITYANA'!I49</f>
        <v>0.2857142857142857</v>
      </c>
      <c r="J49" s="49">
        <f>'Avg Week MITYANA-BUSUNJU'!J49+'Avg Week BUSUNJU-MITYANA'!J49</f>
        <v>0.5714285714285714</v>
      </c>
      <c r="K49" s="49">
        <f>'Avg Week MITYANA-BUSUNJU'!K49+'Avg Week BUSUNJU-MITYANA'!K49</f>
        <v>0</v>
      </c>
      <c r="L49" s="49">
        <f>'Avg Week MITYANA-BUSUNJU'!L49+'Avg Week BUSUNJU-MITYANA'!L49</f>
        <v>0</v>
      </c>
      <c r="M49" s="49">
        <f>'Avg Week MITYANA-BUSUNJU'!M49+'Avg Week BUSUNJU-MITYANA'!M49</f>
        <v>24.142857142857142</v>
      </c>
      <c r="N49" s="49">
        <f>'Avg Week MITYANA-BUSUNJU'!N49+'Avg Week BUSUNJU-MITYANA'!N49</f>
        <v>0</v>
      </c>
      <c r="O49" s="15">
        <f t="shared" si="0"/>
        <v>4.4285714285714279</v>
      </c>
      <c r="P49" s="15">
        <f t="shared" si="1"/>
        <v>28.571428571428569</v>
      </c>
      <c r="R49" s="8"/>
      <c r="T49"/>
    </row>
    <row r="50" spans="2:20" ht="23.1" customHeight="1" x14ac:dyDescent="0.25">
      <c r="B50" s="24" t="s">
        <v>77</v>
      </c>
      <c r="C50" s="49">
        <f>'Avg Week MITYANA-BUSUNJU'!C50+'Avg Week BUSUNJU-MITYANA'!C50</f>
        <v>2.7142857142857144</v>
      </c>
      <c r="D50" s="49">
        <f>'Avg Week MITYANA-BUSUNJU'!D50+'Avg Week BUSUNJU-MITYANA'!D50</f>
        <v>0.42857142857142855</v>
      </c>
      <c r="E50" s="49">
        <f>'Avg Week MITYANA-BUSUNJU'!E50+'Avg Week BUSUNJU-MITYANA'!E50</f>
        <v>0.42857142857142855</v>
      </c>
      <c r="F50" s="49">
        <f>'Avg Week MITYANA-BUSUNJU'!F50+'Avg Week BUSUNJU-MITYANA'!F50</f>
        <v>0.2857142857142857</v>
      </c>
      <c r="G50" s="49">
        <f>'Avg Week MITYANA-BUSUNJU'!G50+'Avg Week BUSUNJU-MITYANA'!G50</f>
        <v>0</v>
      </c>
      <c r="H50" s="49">
        <f>'Avg Week MITYANA-BUSUNJU'!H50+'Avg Week BUSUNJU-MITYANA'!H50</f>
        <v>0</v>
      </c>
      <c r="I50" s="49">
        <f>'Avg Week MITYANA-BUSUNJU'!I50+'Avg Week BUSUNJU-MITYANA'!I50</f>
        <v>0.2857142857142857</v>
      </c>
      <c r="J50" s="49">
        <f>'Avg Week MITYANA-BUSUNJU'!J50+'Avg Week BUSUNJU-MITYANA'!J50</f>
        <v>0.2857142857142857</v>
      </c>
      <c r="K50" s="49">
        <f>'Avg Week MITYANA-BUSUNJU'!K50+'Avg Week BUSUNJU-MITYANA'!K50</f>
        <v>0</v>
      </c>
      <c r="L50" s="49">
        <f>'Avg Week MITYANA-BUSUNJU'!L50+'Avg Week BUSUNJU-MITYANA'!L50</f>
        <v>0</v>
      </c>
      <c r="M50" s="49">
        <f>'Avg Week MITYANA-BUSUNJU'!M50+'Avg Week BUSUNJU-MITYANA'!M50</f>
        <v>29</v>
      </c>
      <c r="N50" s="49">
        <f>'Avg Week MITYANA-BUSUNJU'!N50+'Avg Week BUSUNJU-MITYANA'!N50</f>
        <v>0</v>
      </c>
      <c r="O50" s="15">
        <f t="shared" si="0"/>
        <v>4.4285714285714279</v>
      </c>
      <c r="P50" s="15">
        <f t="shared" si="1"/>
        <v>33.428571428571431</v>
      </c>
      <c r="R50" s="8"/>
      <c r="T50"/>
    </row>
    <row r="51" spans="2:20" ht="23.1" customHeight="1" x14ac:dyDescent="0.25">
      <c r="B51" s="24" t="s">
        <v>78</v>
      </c>
      <c r="C51" s="49">
        <f>'Avg Week MITYANA-BUSUNJU'!C51+'Avg Week BUSUNJU-MITYANA'!C51</f>
        <v>2.1428571428571428</v>
      </c>
      <c r="D51" s="49">
        <f>'Avg Week MITYANA-BUSUNJU'!D51+'Avg Week BUSUNJU-MITYANA'!D51</f>
        <v>0.42857142857142855</v>
      </c>
      <c r="E51" s="49">
        <f>'Avg Week MITYANA-BUSUNJU'!E51+'Avg Week BUSUNJU-MITYANA'!E51</f>
        <v>0</v>
      </c>
      <c r="F51" s="49">
        <f>'Avg Week MITYANA-BUSUNJU'!F51+'Avg Week BUSUNJU-MITYANA'!F51</f>
        <v>0.2857142857142857</v>
      </c>
      <c r="G51" s="49">
        <f>'Avg Week MITYANA-BUSUNJU'!G51+'Avg Week BUSUNJU-MITYANA'!G51</f>
        <v>0</v>
      </c>
      <c r="H51" s="49">
        <f>'Avg Week MITYANA-BUSUNJU'!H51+'Avg Week BUSUNJU-MITYANA'!H51</f>
        <v>0</v>
      </c>
      <c r="I51" s="49">
        <f>'Avg Week MITYANA-BUSUNJU'!I51+'Avg Week BUSUNJU-MITYANA'!I51</f>
        <v>0.14285714285714285</v>
      </c>
      <c r="J51" s="49">
        <f>'Avg Week MITYANA-BUSUNJU'!J51+'Avg Week BUSUNJU-MITYANA'!J51</f>
        <v>0.42857142857142855</v>
      </c>
      <c r="K51" s="49">
        <f>'Avg Week MITYANA-BUSUNJU'!K51+'Avg Week BUSUNJU-MITYANA'!K51</f>
        <v>0</v>
      </c>
      <c r="L51" s="49">
        <f>'Avg Week MITYANA-BUSUNJU'!L51+'Avg Week BUSUNJU-MITYANA'!L51</f>
        <v>0</v>
      </c>
      <c r="M51" s="49">
        <f>'Avg Week MITYANA-BUSUNJU'!M51+'Avg Week BUSUNJU-MITYANA'!M51</f>
        <v>25</v>
      </c>
      <c r="N51" s="49">
        <f>'Avg Week MITYANA-BUSUNJU'!N51+'Avg Week BUSUNJU-MITYANA'!N51</f>
        <v>0</v>
      </c>
      <c r="O51" s="15">
        <f t="shared" si="0"/>
        <v>3.4285714285714279</v>
      </c>
      <c r="P51" s="15">
        <f t="shared" si="1"/>
        <v>28.428571428571427</v>
      </c>
      <c r="R51" s="8"/>
      <c r="T51"/>
    </row>
    <row r="52" spans="2:20" ht="23.1" customHeight="1" x14ac:dyDescent="0.25">
      <c r="B52" s="24" t="s">
        <v>79</v>
      </c>
      <c r="C52" s="49">
        <f>'Avg Week MITYANA-BUSUNJU'!C52+'Avg Week BUSUNJU-MITYANA'!C52</f>
        <v>1</v>
      </c>
      <c r="D52" s="49">
        <f>'Avg Week MITYANA-BUSUNJU'!D52+'Avg Week BUSUNJU-MITYANA'!D52</f>
        <v>1</v>
      </c>
      <c r="E52" s="49">
        <f>'Avg Week MITYANA-BUSUNJU'!E52+'Avg Week BUSUNJU-MITYANA'!E52</f>
        <v>0.5714285714285714</v>
      </c>
      <c r="F52" s="49">
        <f>'Avg Week MITYANA-BUSUNJU'!F52+'Avg Week BUSUNJU-MITYANA'!F52</f>
        <v>0.2857142857142857</v>
      </c>
      <c r="G52" s="49">
        <f>'Avg Week MITYANA-BUSUNJU'!G52+'Avg Week BUSUNJU-MITYANA'!G52</f>
        <v>0</v>
      </c>
      <c r="H52" s="49">
        <f>'Avg Week MITYANA-BUSUNJU'!H52+'Avg Week BUSUNJU-MITYANA'!H52</f>
        <v>0</v>
      </c>
      <c r="I52" s="49">
        <f>'Avg Week MITYANA-BUSUNJU'!I52+'Avg Week BUSUNJU-MITYANA'!I52</f>
        <v>0.5714285714285714</v>
      </c>
      <c r="J52" s="49">
        <f>'Avg Week MITYANA-BUSUNJU'!J52+'Avg Week BUSUNJU-MITYANA'!J52</f>
        <v>0.2857142857142857</v>
      </c>
      <c r="K52" s="49">
        <f>'Avg Week MITYANA-BUSUNJU'!K52+'Avg Week BUSUNJU-MITYANA'!K52</f>
        <v>0</v>
      </c>
      <c r="L52" s="49">
        <f>'Avg Week MITYANA-BUSUNJU'!L52+'Avg Week BUSUNJU-MITYANA'!L52</f>
        <v>0</v>
      </c>
      <c r="M52" s="49">
        <f>'Avg Week MITYANA-BUSUNJU'!M52+'Avg Week BUSUNJU-MITYANA'!M52</f>
        <v>22.428571428571427</v>
      </c>
      <c r="N52" s="49">
        <f>'Avg Week MITYANA-BUSUNJU'!N52+'Avg Week BUSUNJU-MITYANA'!N52</f>
        <v>0</v>
      </c>
      <c r="O52" s="15">
        <f t="shared" si="0"/>
        <v>3.7142857142857135</v>
      </c>
      <c r="P52" s="15">
        <f t="shared" si="1"/>
        <v>26.142857142857139</v>
      </c>
      <c r="R52" s="8"/>
      <c r="T52"/>
    </row>
    <row r="53" spans="2:20" ht="23.1" customHeight="1" x14ac:dyDescent="0.25">
      <c r="B53" s="23" t="s">
        <v>80</v>
      </c>
      <c r="C53" s="49">
        <f>'Avg Week MITYANA-BUSUNJU'!C53+'Avg Week BUSUNJU-MITYANA'!C53</f>
        <v>1.7142857142857142</v>
      </c>
      <c r="D53" s="49">
        <f>'Avg Week MITYANA-BUSUNJU'!D53+'Avg Week BUSUNJU-MITYANA'!D53</f>
        <v>0.5714285714285714</v>
      </c>
      <c r="E53" s="49">
        <f>'Avg Week MITYANA-BUSUNJU'!E53+'Avg Week BUSUNJU-MITYANA'!E53</f>
        <v>0</v>
      </c>
      <c r="F53" s="49">
        <f>'Avg Week MITYANA-BUSUNJU'!F53+'Avg Week BUSUNJU-MITYANA'!F53</f>
        <v>0.2857142857142857</v>
      </c>
      <c r="G53" s="49">
        <f>'Avg Week MITYANA-BUSUNJU'!G53+'Avg Week BUSUNJU-MITYANA'!G53</f>
        <v>0.14285714285714285</v>
      </c>
      <c r="H53" s="49">
        <f>'Avg Week MITYANA-BUSUNJU'!H53+'Avg Week BUSUNJU-MITYANA'!H53</f>
        <v>0</v>
      </c>
      <c r="I53" s="49">
        <f>'Avg Week MITYANA-BUSUNJU'!I53+'Avg Week BUSUNJU-MITYANA'!I53</f>
        <v>0.2857142857142857</v>
      </c>
      <c r="J53" s="49">
        <f>'Avg Week MITYANA-BUSUNJU'!J53+'Avg Week BUSUNJU-MITYANA'!J53</f>
        <v>0.2857142857142857</v>
      </c>
      <c r="K53" s="49">
        <f>'Avg Week MITYANA-BUSUNJU'!K53+'Avg Week BUSUNJU-MITYANA'!K53</f>
        <v>0.14285714285714285</v>
      </c>
      <c r="L53" s="49">
        <f>'Avg Week MITYANA-BUSUNJU'!L53+'Avg Week BUSUNJU-MITYANA'!L53</f>
        <v>0.14285714285714285</v>
      </c>
      <c r="M53" s="49">
        <f>'Avg Week MITYANA-BUSUNJU'!M53+'Avg Week BUSUNJU-MITYANA'!M53</f>
        <v>19.714285714285715</v>
      </c>
      <c r="N53" s="49">
        <f>'Avg Week MITYANA-BUSUNJU'!N53+'Avg Week BUSUNJU-MITYANA'!N53</f>
        <v>0</v>
      </c>
      <c r="O53" s="15">
        <f t="shared" si="0"/>
        <v>3.5714285714285707</v>
      </c>
      <c r="P53" s="15">
        <f t="shared" si="1"/>
        <v>23.285714285714285</v>
      </c>
      <c r="R53" s="8"/>
      <c r="T53"/>
    </row>
    <row r="54" spans="2:20" ht="23.1" customHeight="1" x14ac:dyDescent="0.25">
      <c r="B54" s="23" t="s">
        <v>81</v>
      </c>
      <c r="C54" s="49">
        <f>'Avg Week MITYANA-BUSUNJU'!C54+'Avg Week BUSUNJU-MITYANA'!C54</f>
        <v>2</v>
      </c>
      <c r="D54" s="49">
        <f>'Avg Week MITYANA-BUSUNJU'!D54+'Avg Week BUSUNJU-MITYANA'!D54</f>
        <v>0.42857142857142855</v>
      </c>
      <c r="E54" s="49">
        <f>'Avg Week MITYANA-BUSUNJU'!E54+'Avg Week BUSUNJU-MITYANA'!E54</f>
        <v>0.71428571428571419</v>
      </c>
      <c r="F54" s="49">
        <f>'Avg Week MITYANA-BUSUNJU'!F54+'Avg Week BUSUNJU-MITYANA'!F54</f>
        <v>0.5714285714285714</v>
      </c>
      <c r="G54" s="49">
        <f>'Avg Week MITYANA-BUSUNJU'!G54+'Avg Week BUSUNJU-MITYANA'!G54</f>
        <v>0</v>
      </c>
      <c r="H54" s="49">
        <f>'Avg Week MITYANA-BUSUNJU'!H54+'Avg Week BUSUNJU-MITYANA'!H54</f>
        <v>0</v>
      </c>
      <c r="I54" s="49">
        <f>'Avg Week MITYANA-BUSUNJU'!I54+'Avg Week BUSUNJU-MITYANA'!I54</f>
        <v>1.1428571428571428</v>
      </c>
      <c r="J54" s="49">
        <f>'Avg Week MITYANA-BUSUNJU'!J54+'Avg Week BUSUNJU-MITYANA'!J54</f>
        <v>0.71428571428571419</v>
      </c>
      <c r="K54" s="49">
        <f>'Avg Week MITYANA-BUSUNJU'!K54+'Avg Week BUSUNJU-MITYANA'!K54</f>
        <v>0</v>
      </c>
      <c r="L54" s="49">
        <f>'Avg Week MITYANA-BUSUNJU'!L54+'Avg Week BUSUNJU-MITYANA'!L54</f>
        <v>0</v>
      </c>
      <c r="M54" s="49">
        <f>'Avg Week MITYANA-BUSUNJU'!M54+'Avg Week BUSUNJU-MITYANA'!M54</f>
        <v>20.714285714285715</v>
      </c>
      <c r="N54" s="49">
        <f>'Avg Week MITYANA-BUSUNJU'!N54+'Avg Week BUSUNJU-MITYANA'!N54</f>
        <v>0</v>
      </c>
      <c r="O54" s="15">
        <f t="shared" si="0"/>
        <v>5.5714285714285703</v>
      </c>
      <c r="P54" s="15">
        <f t="shared" si="1"/>
        <v>26.285714285714285</v>
      </c>
      <c r="R54" s="8"/>
      <c r="T54"/>
    </row>
    <row r="55" spans="2:20" ht="23.1" customHeight="1" x14ac:dyDescent="0.25">
      <c r="B55" s="23" t="s">
        <v>82</v>
      </c>
      <c r="C55" s="49">
        <f>'Avg Week MITYANA-BUSUNJU'!C55+'Avg Week BUSUNJU-MITYANA'!C55</f>
        <v>1.5714285714285714</v>
      </c>
      <c r="D55" s="49">
        <f>'Avg Week MITYANA-BUSUNJU'!D55+'Avg Week BUSUNJU-MITYANA'!D55</f>
        <v>1</v>
      </c>
      <c r="E55" s="49">
        <f>'Avg Week MITYANA-BUSUNJU'!E55+'Avg Week BUSUNJU-MITYANA'!E55</f>
        <v>0.5714285714285714</v>
      </c>
      <c r="F55" s="49">
        <f>'Avg Week MITYANA-BUSUNJU'!F55+'Avg Week BUSUNJU-MITYANA'!F55</f>
        <v>1</v>
      </c>
      <c r="G55" s="49">
        <f>'Avg Week MITYANA-BUSUNJU'!G55+'Avg Week BUSUNJU-MITYANA'!G55</f>
        <v>0</v>
      </c>
      <c r="H55" s="49">
        <f>'Avg Week MITYANA-BUSUNJU'!H55+'Avg Week BUSUNJU-MITYANA'!H55</f>
        <v>0</v>
      </c>
      <c r="I55" s="49">
        <f>'Avg Week MITYANA-BUSUNJU'!I55+'Avg Week BUSUNJU-MITYANA'!I55</f>
        <v>1.5714285714285714</v>
      </c>
      <c r="J55" s="49">
        <f>'Avg Week MITYANA-BUSUNJU'!J55+'Avg Week BUSUNJU-MITYANA'!J55</f>
        <v>0.5714285714285714</v>
      </c>
      <c r="K55" s="49">
        <f>'Avg Week MITYANA-BUSUNJU'!K55+'Avg Week BUSUNJU-MITYANA'!K55</f>
        <v>0.14285714285714285</v>
      </c>
      <c r="L55" s="49">
        <f>'Avg Week MITYANA-BUSUNJU'!L55+'Avg Week BUSUNJU-MITYANA'!L55</f>
        <v>0</v>
      </c>
      <c r="M55" s="49">
        <f>'Avg Week MITYANA-BUSUNJU'!M55+'Avg Week BUSUNJU-MITYANA'!M55</f>
        <v>18</v>
      </c>
      <c r="N55" s="49">
        <f>'Avg Week MITYANA-BUSUNJU'!N55+'Avg Week BUSUNJU-MITYANA'!N55</f>
        <v>0</v>
      </c>
      <c r="O55" s="15">
        <f t="shared" si="0"/>
        <v>6.4285714285714279</v>
      </c>
      <c r="P55" s="15">
        <f t="shared" si="1"/>
        <v>24.428571428571427</v>
      </c>
      <c r="R55" s="8"/>
      <c r="T55"/>
    </row>
    <row r="56" spans="2:20" ht="23.1" customHeight="1" x14ac:dyDescent="0.25">
      <c r="B56" s="23" t="s">
        <v>83</v>
      </c>
      <c r="C56" s="49">
        <f>'Avg Week MITYANA-BUSUNJU'!C56+'Avg Week BUSUNJU-MITYANA'!C56</f>
        <v>1.1428571428571428</v>
      </c>
      <c r="D56" s="49">
        <f>'Avg Week MITYANA-BUSUNJU'!D56+'Avg Week BUSUNJU-MITYANA'!D56</f>
        <v>0.2857142857142857</v>
      </c>
      <c r="E56" s="49">
        <f>'Avg Week MITYANA-BUSUNJU'!E56+'Avg Week BUSUNJU-MITYANA'!E56</f>
        <v>1.4285714285714286</v>
      </c>
      <c r="F56" s="49">
        <f>'Avg Week MITYANA-BUSUNJU'!F56+'Avg Week BUSUNJU-MITYANA'!F56</f>
        <v>0.2857142857142857</v>
      </c>
      <c r="G56" s="49">
        <f>'Avg Week MITYANA-BUSUNJU'!G56+'Avg Week BUSUNJU-MITYANA'!G56</f>
        <v>0</v>
      </c>
      <c r="H56" s="49">
        <f>'Avg Week MITYANA-BUSUNJU'!H56+'Avg Week BUSUNJU-MITYANA'!H56</f>
        <v>0.2857142857142857</v>
      </c>
      <c r="I56" s="49">
        <f>'Avg Week MITYANA-BUSUNJU'!I56+'Avg Week BUSUNJU-MITYANA'!I56</f>
        <v>1.1428571428571428</v>
      </c>
      <c r="J56" s="49">
        <f>'Avg Week MITYANA-BUSUNJU'!J56+'Avg Week BUSUNJU-MITYANA'!J56</f>
        <v>0.2857142857142857</v>
      </c>
      <c r="K56" s="49">
        <f>'Avg Week MITYANA-BUSUNJU'!K56+'Avg Week BUSUNJU-MITYANA'!K56</f>
        <v>0</v>
      </c>
      <c r="L56" s="49">
        <f>'Avg Week MITYANA-BUSUNJU'!L56+'Avg Week BUSUNJU-MITYANA'!L56</f>
        <v>0</v>
      </c>
      <c r="M56" s="49">
        <f>'Avg Week MITYANA-BUSUNJU'!M56+'Avg Week BUSUNJU-MITYANA'!M56</f>
        <v>21.714285714285715</v>
      </c>
      <c r="N56" s="49">
        <f>'Avg Week MITYANA-BUSUNJU'!N56+'Avg Week BUSUNJU-MITYANA'!N56</f>
        <v>0</v>
      </c>
      <c r="O56" s="15">
        <f t="shared" si="0"/>
        <v>4.8571428571428568</v>
      </c>
      <c r="P56" s="15">
        <f t="shared" si="1"/>
        <v>26.571428571428573</v>
      </c>
      <c r="R56" s="8"/>
      <c r="T56"/>
    </row>
    <row r="57" spans="2:20" ht="23.1" customHeight="1" x14ac:dyDescent="0.25">
      <c r="B57" s="23" t="s">
        <v>84</v>
      </c>
      <c r="C57" s="49">
        <f>'Avg Week MITYANA-BUSUNJU'!C57+'Avg Week BUSUNJU-MITYANA'!C57</f>
        <v>2</v>
      </c>
      <c r="D57" s="49">
        <f>'Avg Week MITYANA-BUSUNJU'!D57+'Avg Week BUSUNJU-MITYANA'!D57</f>
        <v>0.5714285714285714</v>
      </c>
      <c r="E57" s="49">
        <f>'Avg Week MITYANA-BUSUNJU'!E57+'Avg Week BUSUNJU-MITYANA'!E57</f>
        <v>1.7142857142857144</v>
      </c>
      <c r="F57" s="49">
        <f>'Avg Week MITYANA-BUSUNJU'!F57+'Avg Week BUSUNJU-MITYANA'!F57</f>
        <v>0.2857142857142857</v>
      </c>
      <c r="G57" s="49">
        <f>'Avg Week MITYANA-BUSUNJU'!G57+'Avg Week BUSUNJU-MITYANA'!G57</f>
        <v>0</v>
      </c>
      <c r="H57" s="49">
        <f>'Avg Week MITYANA-BUSUNJU'!H57+'Avg Week BUSUNJU-MITYANA'!H57</f>
        <v>0</v>
      </c>
      <c r="I57" s="49">
        <f>'Avg Week MITYANA-BUSUNJU'!I57+'Avg Week BUSUNJU-MITYANA'!I57</f>
        <v>0.5714285714285714</v>
      </c>
      <c r="J57" s="49">
        <f>'Avg Week MITYANA-BUSUNJU'!J57+'Avg Week BUSUNJU-MITYANA'!J57</f>
        <v>0.8571428571428571</v>
      </c>
      <c r="K57" s="49">
        <f>'Avg Week MITYANA-BUSUNJU'!K57+'Avg Week BUSUNJU-MITYANA'!K57</f>
        <v>0</v>
      </c>
      <c r="L57" s="49">
        <f>'Avg Week MITYANA-BUSUNJU'!L57+'Avg Week BUSUNJU-MITYANA'!L57</f>
        <v>0</v>
      </c>
      <c r="M57" s="49">
        <f>'Avg Week MITYANA-BUSUNJU'!M57+'Avg Week BUSUNJU-MITYANA'!M57</f>
        <v>22.285714285714285</v>
      </c>
      <c r="N57" s="49">
        <f>'Avg Week MITYANA-BUSUNJU'!N57+'Avg Week BUSUNJU-MITYANA'!N57</f>
        <v>0</v>
      </c>
      <c r="O57" s="15">
        <f t="shared" si="0"/>
        <v>5.9999999999999991</v>
      </c>
      <c r="P57" s="15">
        <f t="shared" si="1"/>
        <v>28.285714285714285</v>
      </c>
      <c r="R57" s="8"/>
      <c r="T57"/>
    </row>
    <row r="58" spans="2:20" ht="23.1" customHeight="1" x14ac:dyDescent="0.25">
      <c r="B58" s="23" t="s">
        <v>99</v>
      </c>
      <c r="C58" s="49">
        <f>'Avg Week MITYANA-BUSUNJU'!C58+'Avg Week BUSUNJU-MITYANA'!C58</f>
        <v>4</v>
      </c>
      <c r="D58" s="49">
        <f>'Avg Week MITYANA-BUSUNJU'!D58+'Avg Week BUSUNJU-MITYANA'!D58</f>
        <v>1</v>
      </c>
      <c r="E58" s="49">
        <f>'Avg Week MITYANA-BUSUNJU'!E58+'Avg Week BUSUNJU-MITYANA'!E58</f>
        <v>0</v>
      </c>
      <c r="F58" s="49">
        <f>'Avg Week MITYANA-BUSUNJU'!F58+'Avg Week BUSUNJU-MITYANA'!F58</f>
        <v>1</v>
      </c>
      <c r="G58" s="49">
        <f>'Avg Week MITYANA-BUSUNJU'!G58+'Avg Week BUSUNJU-MITYANA'!G58</f>
        <v>0</v>
      </c>
      <c r="H58" s="49">
        <f>'Avg Week MITYANA-BUSUNJU'!H58+'Avg Week BUSUNJU-MITYANA'!H58</f>
        <v>0</v>
      </c>
      <c r="I58" s="49">
        <f>'Avg Week MITYANA-BUSUNJU'!I58+'Avg Week BUSUNJU-MITYANA'!I58</f>
        <v>2</v>
      </c>
      <c r="J58" s="49">
        <f>'Avg Week MITYANA-BUSUNJU'!J58+'Avg Week BUSUNJU-MITYANA'!J58</f>
        <v>0</v>
      </c>
      <c r="K58" s="49">
        <f>'Avg Week MITYANA-BUSUNJU'!K58+'Avg Week BUSUNJU-MITYANA'!K58</f>
        <v>0.5</v>
      </c>
      <c r="L58" s="49">
        <f>'Avg Week MITYANA-BUSUNJU'!L58+'Avg Week BUSUNJU-MITYANA'!L58</f>
        <v>0</v>
      </c>
      <c r="M58" s="49">
        <f>'Avg Week MITYANA-BUSUNJU'!M58+'Avg Week BUSUNJU-MITYANA'!M58</f>
        <v>29</v>
      </c>
      <c r="N58" s="49">
        <f>'Avg Week MITYANA-BUSUNJU'!N58+'Avg Week BUSUNJU-MITYANA'!N58</f>
        <v>0</v>
      </c>
      <c r="O58" s="15">
        <f t="shared" si="0"/>
        <v>8.5</v>
      </c>
      <c r="P58" s="15">
        <f t="shared" si="1"/>
        <v>37.5</v>
      </c>
      <c r="R58" s="8"/>
      <c r="T58"/>
    </row>
    <row r="59" spans="2:20" ht="23.1" customHeight="1" x14ac:dyDescent="0.25">
      <c r="B59" s="23" t="s">
        <v>100</v>
      </c>
      <c r="C59" s="49">
        <f>'Avg Week MITYANA-BUSUNJU'!C59+'Avg Week BUSUNJU-MITYANA'!C59</f>
        <v>1.5</v>
      </c>
      <c r="D59" s="49">
        <f>'Avg Week MITYANA-BUSUNJU'!D59+'Avg Week BUSUNJU-MITYANA'!D59</f>
        <v>0</v>
      </c>
      <c r="E59" s="49">
        <f>'Avg Week MITYANA-BUSUNJU'!E59+'Avg Week BUSUNJU-MITYANA'!E59</f>
        <v>0.5</v>
      </c>
      <c r="F59" s="49">
        <f>'Avg Week MITYANA-BUSUNJU'!F59+'Avg Week BUSUNJU-MITYANA'!F59</f>
        <v>0</v>
      </c>
      <c r="G59" s="49">
        <f>'Avg Week MITYANA-BUSUNJU'!G59+'Avg Week BUSUNJU-MITYANA'!G59</f>
        <v>0</v>
      </c>
      <c r="H59" s="49">
        <f>'Avg Week MITYANA-BUSUNJU'!H59+'Avg Week BUSUNJU-MITYANA'!H59</f>
        <v>0</v>
      </c>
      <c r="I59" s="49">
        <f>'Avg Week MITYANA-BUSUNJU'!I59+'Avg Week BUSUNJU-MITYANA'!I59</f>
        <v>0.5</v>
      </c>
      <c r="J59" s="49">
        <f>'Avg Week MITYANA-BUSUNJU'!J59+'Avg Week BUSUNJU-MITYANA'!J59</f>
        <v>0</v>
      </c>
      <c r="K59" s="49">
        <f>'Avg Week MITYANA-BUSUNJU'!K59+'Avg Week BUSUNJU-MITYANA'!K59</f>
        <v>0.5</v>
      </c>
      <c r="L59" s="49">
        <f>'Avg Week MITYANA-BUSUNJU'!L59+'Avg Week BUSUNJU-MITYANA'!L59</f>
        <v>0</v>
      </c>
      <c r="M59" s="49">
        <f>'Avg Week MITYANA-BUSUNJU'!M59+'Avg Week BUSUNJU-MITYANA'!M59</f>
        <v>34.5</v>
      </c>
      <c r="N59" s="49">
        <f>'Avg Week MITYANA-BUSUNJU'!N59+'Avg Week BUSUNJU-MITYANA'!N59</f>
        <v>0</v>
      </c>
      <c r="O59" s="15">
        <f t="shared" si="0"/>
        <v>3</v>
      </c>
      <c r="P59" s="15">
        <f t="shared" si="1"/>
        <v>37.5</v>
      </c>
      <c r="R59" s="8"/>
      <c r="T59"/>
    </row>
    <row r="60" spans="2:20" ht="23.1" customHeight="1" x14ac:dyDescent="0.25">
      <c r="B60" s="23" t="s">
        <v>101</v>
      </c>
      <c r="C60" s="49">
        <f>'Avg Week MITYANA-BUSUNJU'!C60+'Avg Week BUSUNJU-MITYANA'!C60</f>
        <v>2</v>
      </c>
      <c r="D60" s="49">
        <f>'Avg Week MITYANA-BUSUNJU'!D60+'Avg Week BUSUNJU-MITYANA'!D60</f>
        <v>1</v>
      </c>
      <c r="E60" s="49">
        <f>'Avg Week MITYANA-BUSUNJU'!E60+'Avg Week BUSUNJU-MITYANA'!E60</f>
        <v>1</v>
      </c>
      <c r="F60" s="49">
        <f>'Avg Week MITYANA-BUSUNJU'!F60+'Avg Week BUSUNJU-MITYANA'!F60</f>
        <v>1</v>
      </c>
      <c r="G60" s="49">
        <f>'Avg Week MITYANA-BUSUNJU'!G60+'Avg Week BUSUNJU-MITYANA'!G60</f>
        <v>0</v>
      </c>
      <c r="H60" s="49">
        <f>'Avg Week MITYANA-BUSUNJU'!H60+'Avg Week BUSUNJU-MITYANA'!H60</f>
        <v>0</v>
      </c>
      <c r="I60" s="49">
        <f>'Avg Week MITYANA-BUSUNJU'!I60+'Avg Week BUSUNJU-MITYANA'!I60</f>
        <v>0</v>
      </c>
      <c r="J60" s="49">
        <f>'Avg Week MITYANA-BUSUNJU'!J60+'Avg Week BUSUNJU-MITYANA'!J60</f>
        <v>0</v>
      </c>
      <c r="K60" s="49">
        <f>'Avg Week MITYANA-BUSUNJU'!K60+'Avg Week BUSUNJU-MITYANA'!K60</f>
        <v>0</v>
      </c>
      <c r="L60" s="49">
        <f>'Avg Week MITYANA-BUSUNJU'!L60+'Avg Week BUSUNJU-MITYANA'!L60</f>
        <v>0</v>
      </c>
      <c r="M60" s="49">
        <f>'Avg Week MITYANA-BUSUNJU'!M60+'Avg Week BUSUNJU-MITYANA'!M60</f>
        <v>36.5</v>
      </c>
      <c r="N60" s="49">
        <f>'Avg Week MITYANA-BUSUNJU'!N60+'Avg Week BUSUNJU-MITYANA'!N60</f>
        <v>0</v>
      </c>
      <c r="O60" s="15">
        <f t="shared" si="0"/>
        <v>5</v>
      </c>
      <c r="P60" s="15">
        <f t="shared" si="1"/>
        <v>41.5</v>
      </c>
      <c r="R60" s="8"/>
      <c r="T60"/>
    </row>
    <row r="61" spans="2:20" ht="23.1" customHeight="1" x14ac:dyDescent="0.25">
      <c r="B61" s="23" t="s">
        <v>102</v>
      </c>
      <c r="C61" s="49">
        <f>'Avg Week MITYANA-BUSUNJU'!C61+'Avg Week BUSUNJU-MITYANA'!C61</f>
        <v>4</v>
      </c>
      <c r="D61" s="49">
        <f>'Avg Week MITYANA-BUSUNJU'!D61+'Avg Week BUSUNJU-MITYANA'!D61</f>
        <v>0</v>
      </c>
      <c r="E61" s="49">
        <f>'Avg Week MITYANA-BUSUNJU'!E61+'Avg Week BUSUNJU-MITYANA'!E61</f>
        <v>1</v>
      </c>
      <c r="F61" s="49">
        <f>'Avg Week MITYANA-BUSUNJU'!F61+'Avg Week BUSUNJU-MITYANA'!F61</f>
        <v>0.5</v>
      </c>
      <c r="G61" s="49">
        <f>'Avg Week MITYANA-BUSUNJU'!G61+'Avg Week BUSUNJU-MITYANA'!G61</f>
        <v>0.5</v>
      </c>
      <c r="H61" s="49">
        <f>'Avg Week MITYANA-BUSUNJU'!H61+'Avg Week BUSUNJU-MITYANA'!H61</f>
        <v>0</v>
      </c>
      <c r="I61" s="49">
        <f>'Avg Week MITYANA-BUSUNJU'!I61+'Avg Week BUSUNJU-MITYANA'!I61</f>
        <v>1</v>
      </c>
      <c r="J61" s="49">
        <f>'Avg Week MITYANA-BUSUNJU'!J61+'Avg Week BUSUNJU-MITYANA'!J61</f>
        <v>0</v>
      </c>
      <c r="K61" s="49">
        <f>'Avg Week MITYANA-BUSUNJU'!K61+'Avg Week BUSUNJU-MITYANA'!K61</f>
        <v>0</v>
      </c>
      <c r="L61" s="49">
        <f>'Avg Week MITYANA-BUSUNJU'!L61+'Avg Week BUSUNJU-MITYANA'!L61</f>
        <v>0</v>
      </c>
      <c r="M61" s="49">
        <f>'Avg Week MITYANA-BUSUNJU'!M61+'Avg Week BUSUNJU-MITYANA'!M61</f>
        <v>31.5</v>
      </c>
      <c r="N61" s="49">
        <f>'Avg Week MITYANA-BUSUNJU'!N61+'Avg Week BUSUNJU-MITYANA'!N61</f>
        <v>0</v>
      </c>
      <c r="O61" s="15">
        <f t="shared" si="0"/>
        <v>7</v>
      </c>
      <c r="P61" s="15">
        <f t="shared" si="1"/>
        <v>38.5</v>
      </c>
      <c r="R61" s="8"/>
      <c r="T61"/>
    </row>
    <row r="62" spans="2:20" ht="23.1" customHeight="1" x14ac:dyDescent="0.25">
      <c r="B62" s="23" t="s">
        <v>107</v>
      </c>
      <c r="C62" s="49">
        <f>'Avg Week MITYANA-BUSUNJU'!C62+'Avg Week BUSUNJU-MITYANA'!C62</f>
        <v>2.5</v>
      </c>
      <c r="D62" s="49">
        <f>'Avg Week MITYANA-BUSUNJU'!D62+'Avg Week BUSUNJU-MITYANA'!D62</f>
        <v>1</v>
      </c>
      <c r="E62" s="49">
        <f>'Avg Week MITYANA-BUSUNJU'!E62+'Avg Week BUSUNJU-MITYANA'!E62</f>
        <v>0.5</v>
      </c>
      <c r="F62" s="49">
        <f>'Avg Week MITYANA-BUSUNJU'!F62+'Avg Week BUSUNJU-MITYANA'!F62</f>
        <v>0.5</v>
      </c>
      <c r="G62" s="49">
        <f>'Avg Week MITYANA-BUSUNJU'!G62+'Avg Week BUSUNJU-MITYANA'!G62</f>
        <v>0</v>
      </c>
      <c r="H62" s="49">
        <f>'Avg Week MITYANA-BUSUNJU'!H62+'Avg Week BUSUNJU-MITYANA'!H62</f>
        <v>0</v>
      </c>
      <c r="I62" s="49">
        <f>'Avg Week MITYANA-BUSUNJU'!I62+'Avg Week BUSUNJU-MITYANA'!I62</f>
        <v>0</v>
      </c>
      <c r="J62" s="49">
        <f>'Avg Week MITYANA-BUSUNJU'!J62+'Avg Week BUSUNJU-MITYANA'!J62</f>
        <v>0</v>
      </c>
      <c r="K62" s="49">
        <f>'Avg Week MITYANA-BUSUNJU'!K62+'Avg Week BUSUNJU-MITYANA'!K62</f>
        <v>0</v>
      </c>
      <c r="L62" s="49">
        <f>'Avg Week MITYANA-BUSUNJU'!L62+'Avg Week BUSUNJU-MITYANA'!L62</f>
        <v>0</v>
      </c>
      <c r="M62" s="49">
        <f>'Avg Week MITYANA-BUSUNJU'!M62+'Avg Week BUSUNJU-MITYANA'!M62</f>
        <v>23</v>
      </c>
      <c r="N62" s="49">
        <f>'Avg Week MITYANA-BUSUNJU'!N62+'Avg Week BUSUNJU-MITYANA'!N62</f>
        <v>0</v>
      </c>
      <c r="O62" s="15">
        <f t="shared" si="0"/>
        <v>4.5</v>
      </c>
      <c r="P62" s="15">
        <f t="shared" si="1"/>
        <v>27.5</v>
      </c>
      <c r="R62" s="8"/>
      <c r="T62"/>
    </row>
    <row r="63" spans="2:20" ht="23.1" customHeight="1" x14ac:dyDescent="0.25">
      <c r="B63" s="23" t="s">
        <v>108</v>
      </c>
      <c r="C63" s="49">
        <f>'Avg Week MITYANA-BUSUNJU'!C63+'Avg Week BUSUNJU-MITYANA'!C63</f>
        <v>1</v>
      </c>
      <c r="D63" s="49">
        <f>'Avg Week MITYANA-BUSUNJU'!D63+'Avg Week BUSUNJU-MITYANA'!D63</f>
        <v>1</v>
      </c>
      <c r="E63" s="49">
        <f>'Avg Week MITYANA-BUSUNJU'!E63+'Avg Week BUSUNJU-MITYANA'!E63</f>
        <v>0</v>
      </c>
      <c r="F63" s="49">
        <f>'Avg Week MITYANA-BUSUNJU'!F63+'Avg Week BUSUNJU-MITYANA'!F63</f>
        <v>0</v>
      </c>
      <c r="G63" s="49">
        <f>'Avg Week MITYANA-BUSUNJU'!G63+'Avg Week BUSUNJU-MITYANA'!G63</f>
        <v>0</v>
      </c>
      <c r="H63" s="49">
        <f>'Avg Week MITYANA-BUSUNJU'!H63+'Avg Week BUSUNJU-MITYANA'!H63</f>
        <v>0</v>
      </c>
      <c r="I63" s="49">
        <f>'Avg Week MITYANA-BUSUNJU'!I63+'Avg Week BUSUNJU-MITYANA'!I63</f>
        <v>0.5</v>
      </c>
      <c r="J63" s="49">
        <f>'Avg Week MITYANA-BUSUNJU'!J63+'Avg Week BUSUNJU-MITYANA'!J63</f>
        <v>1</v>
      </c>
      <c r="K63" s="49">
        <f>'Avg Week MITYANA-BUSUNJU'!K63+'Avg Week BUSUNJU-MITYANA'!K63</f>
        <v>0</v>
      </c>
      <c r="L63" s="49">
        <f>'Avg Week MITYANA-BUSUNJU'!L63+'Avg Week BUSUNJU-MITYANA'!L63</f>
        <v>0</v>
      </c>
      <c r="M63" s="49">
        <f>'Avg Week MITYANA-BUSUNJU'!M63+'Avg Week BUSUNJU-MITYANA'!M63</f>
        <v>21</v>
      </c>
      <c r="N63" s="49">
        <f>'Avg Week MITYANA-BUSUNJU'!N63+'Avg Week BUSUNJU-MITYANA'!N63</f>
        <v>0</v>
      </c>
      <c r="O63" s="15">
        <f t="shared" si="0"/>
        <v>3.5</v>
      </c>
      <c r="P63" s="15">
        <f t="shared" si="1"/>
        <v>24.5</v>
      </c>
      <c r="R63" s="8"/>
      <c r="T63"/>
    </row>
    <row r="64" spans="2:20" ht="23.1" customHeight="1" x14ac:dyDescent="0.25">
      <c r="B64" s="23" t="s">
        <v>109</v>
      </c>
      <c r="C64" s="49">
        <f>'Avg Week MITYANA-BUSUNJU'!C64+'Avg Week BUSUNJU-MITYANA'!C64</f>
        <v>0.5</v>
      </c>
      <c r="D64" s="49">
        <f>'Avg Week MITYANA-BUSUNJU'!D64+'Avg Week BUSUNJU-MITYANA'!D64</f>
        <v>1</v>
      </c>
      <c r="E64" s="49">
        <f>'Avg Week MITYANA-BUSUNJU'!E64+'Avg Week BUSUNJU-MITYANA'!E64</f>
        <v>0</v>
      </c>
      <c r="F64" s="49">
        <f>'Avg Week MITYANA-BUSUNJU'!F64+'Avg Week BUSUNJU-MITYANA'!F64</f>
        <v>0</v>
      </c>
      <c r="G64" s="49">
        <f>'Avg Week MITYANA-BUSUNJU'!G64+'Avg Week BUSUNJU-MITYANA'!G64</f>
        <v>0</v>
      </c>
      <c r="H64" s="49">
        <f>'Avg Week MITYANA-BUSUNJU'!H64+'Avg Week BUSUNJU-MITYANA'!H64</f>
        <v>0</v>
      </c>
      <c r="I64" s="49">
        <f>'Avg Week MITYANA-BUSUNJU'!I64+'Avg Week BUSUNJU-MITYANA'!I64</f>
        <v>0.5</v>
      </c>
      <c r="J64" s="49">
        <f>'Avg Week MITYANA-BUSUNJU'!J64+'Avg Week BUSUNJU-MITYANA'!J64</f>
        <v>1</v>
      </c>
      <c r="K64" s="49">
        <f>'Avg Week MITYANA-BUSUNJU'!K64+'Avg Week BUSUNJU-MITYANA'!K64</f>
        <v>0</v>
      </c>
      <c r="L64" s="49">
        <f>'Avg Week MITYANA-BUSUNJU'!L64+'Avg Week BUSUNJU-MITYANA'!L64</f>
        <v>0</v>
      </c>
      <c r="M64" s="49">
        <f>'Avg Week MITYANA-BUSUNJU'!M64+'Avg Week BUSUNJU-MITYANA'!M64</f>
        <v>19</v>
      </c>
      <c r="N64" s="49">
        <f>'Avg Week MITYANA-BUSUNJU'!N64+'Avg Week BUSUNJU-MITYANA'!N64</f>
        <v>0</v>
      </c>
      <c r="O64" s="15">
        <f t="shared" si="0"/>
        <v>3</v>
      </c>
      <c r="P64" s="15">
        <f t="shared" si="1"/>
        <v>22</v>
      </c>
      <c r="R64" s="8"/>
      <c r="T64"/>
    </row>
    <row r="65" spans="2:20" ht="23.1" customHeight="1" x14ac:dyDescent="0.25">
      <c r="B65" s="23" t="s">
        <v>158</v>
      </c>
      <c r="C65" s="49">
        <f>'Avg Week MITYANA-BUSUNJU'!C65+'Avg Week BUSUNJU-MITYANA'!C65</f>
        <v>1</v>
      </c>
      <c r="D65" s="49">
        <f>'Avg Week MITYANA-BUSUNJU'!D65+'Avg Week BUSUNJU-MITYANA'!D65</f>
        <v>2.5</v>
      </c>
      <c r="E65" s="49">
        <f>'Avg Week MITYANA-BUSUNJU'!E65+'Avg Week BUSUNJU-MITYANA'!E65</f>
        <v>0</v>
      </c>
      <c r="F65" s="49">
        <f>'Avg Week MITYANA-BUSUNJU'!F65+'Avg Week BUSUNJU-MITYANA'!F65</f>
        <v>0</v>
      </c>
      <c r="G65" s="49">
        <f>'Avg Week MITYANA-BUSUNJU'!G65+'Avg Week BUSUNJU-MITYANA'!G65</f>
        <v>0</v>
      </c>
      <c r="H65" s="49">
        <f>'Avg Week MITYANA-BUSUNJU'!H65+'Avg Week BUSUNJU-MITYANA'!H65</f>
        <v>0</v>
      </c>
      <c r="I65" s="49">
        <f>'Avg Week MITYANA-BUSUNJU'!I65+'Avg Week BUSUNJU-MITYANA'!I65</f>
        <v>1.5</v>
      </c>
      <c r="J65" s="49">
        <f>'Avg Week MITYANA-BUSUNJU'!J65+'Avg Week BUSUNJU-MITYANA'!J65</f>
        <v>0</v>
      </c>
      <c r="K65" s="49">
        <f>'Avg Week MITYANA-BUSUNJU'!K65+'Avg Week BUSUNJU-MITYANA'!K65</f>
        <v>1</v>
      </c>
      <c r="L65" s="49">
        <f>'Avg Week MITYANA-BUSUNJU'!L65+'Avg Week BUSUNJU-MITYANA'!L65</f>
        <v>0</v>
      </c>
      <c r="M65" s="49">
        <f>'Avg Week MITYANA-BUSUNJU'!M65+'Avg Week BUSUNJU-MITYANA'!M65</f>
        <v>14</v>
      </c>
      <c r="N65" s="49">
        <f>'Avg Week MITYANA-BUSUNJU'!N65+'Avg Week BUSUNJU-MITYANA'!N65</f>
        <v>0</v>
      </c>
      <c r="O65" s="15">
        <f t="shared" si="0"/>
        <v>6</v>
      </c>
      <c r="P65" s="15">
        <f t="shared" si="1"/>
        <v>20</v>
      </c>
      <c r="R65" s="8"/>
      <c r="T65"/>
    </row>
    <row r="66" spans="2:20" ht="23.1" customHeight="1" x14ac:dyDescent="0.25">
      <c r="B66" s="23" t="s">
        <v>103</v>
      </c>
      <c r="C66" s="49">
        <f>'Avg Week MITYANA-BUSUNJU'!C66+'Avg Week BUSUNJU-MITYANA'!C66</f>
        <v>1</v>
      </c>
      <c r="D66" s="49">
        <f>'Avg Week MITYANA-BUSUNJU'!D66+'Avg Week BUSUNJU-MITYANA'!D66</f>
        <v>0</v>
      </c>
      <c r="E66" s="49">
        <f>'Avg Week MITYANA-BUSUNJU'!E66+'Avg Week BUSUNJU-MITYANA'!E66</f>
        <v>0.5</v>
      </c>
      <c r="F66" s="49">
        <f>'Avg Week MITYANA-BUSUNJU'!F66+'Avg Week BUSUNJU-MITYANA'!F66</f>
        <v>0.5</v>
      </c>
      <c r="G66" s="49">
        <f>'Avg Week MITYANA-BUSUNJU'!G66+'Avg Week BUSUNJU-MITYANA'!G66</f>
        <v>0</v>
      </c>
      <c r="H66" s="49">
        <f>'Avg Week MITYANA-BUSUNJU'!H66+'Avg Week BUSUNJU-MITYANA'!H66</f>
        <v>0</v>
      </c>
      <c r="I66" s="49">
        <f>'Avg Week MITYANA-BUSUNJU'!I66+'Avg Week BUSUNJU-MITYANA'!I66</f>
        <v>2</v>
      </c>
      <c r="J66" s="49">
        <f>'Avg Week MITYANA-BUSUNJU'!J66+'Avg Week BUSUNJU-MITYANA'!J66</f>
        <v>0.5</v>
      </c>
      <c r="K66" s="49">
        <f>'Avg Week MITYANA-BUSUNJU'!K66+'Avg Week BUSUNJU-MITYANA'!K66</f>
        <v>0</v>
      </c>
      <c r="L66" s="49">
        <f>'Avg Week MITYANA-BUSUNJU'!L66+'Avg Week BUSUNJU-MITYANA'!L66</f>
        <v>0</v>
      </c>
      <c r="M66" s="49">
        <f>'Avg Week MITYANA-BUSUNJU'!M66+'Avg Week BUSUNJU-MITYANA'!M66</f>
        <v>12</v>
      </c>
      <c r="N66" s="49">
        <f>'Avg Week MITYANA-BUSUNJU'!N66+'Avg Week BUSUNJU-MITYANA'!N66</f>
        <v>0</v>
      </c>
      <c r="O66" s="15">
        <f t="shared" si="0"/>
        <v>4.5</v>
      </c>
      <c r="P66" s="15">
        <f t="shared" si="1"/>
        <v>16.5</v>
      </c>
      <c r="R66" s="8"/>
      <c r="T66"/>
    </row>
    <row r="67" spans="2:20" ht="23.1" customHeight="1" x14ac:dyDescent="0.25">
      <c r="B67" s="23" t="s">
        <v>104</v>
      </c>
      <c r="C67" s="49">
        <f>'Avg Week MITYANA-BUSUNJU'!C67+'Avg Week BUSUNJU-MITYANA'!C67</f>
        <v>0.5</v>
      </c>
      <c r="D67" s="49">
        <f>'Avg Week MITYANA-BUSUNJU'!D67+'Avg Week BUSUNJU-MITYANA'!D67</f>
        <v>1</v>
      </c>
      <c r="E67" s="49">
        <f>'Avg Week MITYANA-BUSUNJU'!E67+'Avg Week BUSUNJU-MITYANA'!E67</f>
        <v>0.5</v>
      </c>
      <c r="F67" s="49">
        <f>'Avg Week MITYANA-BUSUNJU'!F67+'Avg Week BUSUNJU-MITYANA'!F67</f>
        <v>0</v>
      </c>
      <c r="G67" s="49">
        <f>'Avg Week MITYANA-BUSUNJU'!G67+'Avg Week BUSUNJU-MITYANA'!G67</f>
        <v>0</v>
      </c>
      <c r="H67" s="49">
        <f>'Avg Week MITYANA-BUSUNJU'!H67+'Avg Week BUSUNJU-MITYANA'!H67</f>
        <v>0</v>
      </c>
      <c r="I67" s="49">
        <f>'Avg Week MITYANA-BUSUNJU'!I67+'Avg Week BUSUNJU-MITYANA'!I67</f>
        <v>1</v>
      </c>
      <c r="J67" s="49">
        <f>'Avg Week MITYANA-BUSUNJU'!J67+'Avg Week BUSUNJU-MITYANA'!J67</f>
        <v>0.5</v>
      </c>
      <c r="K67" s="49">
        <f>'Avg Week MITYANA-BUSUNJU'!K67+'Avg Week BUSUNJU-MITYANA'!K67</f>
        <v>0.5</v>
      </c>
      <c r="L67" s="49">
        <f>'Avg Week MITYANA-BUSUNJU'!L67+'Avg Week BUSUNJU-MITYANA'!L67</f>
        <v>0</v>
      </c>
      <c r="M67" s="49">
        <f>'Avg Week MITYANA-BUSUNJU'!M67+'Avg Week BUSUNJU-MITYANA'!M67</f>
        <v>14</v>
      </c>
      <c r="N67" s="49">
        <f>'Avg Week MITYANA-BUSUNJU'!N67+'Avg Week BUSUNJU-MITYANA'!N67</f>
        <v>0</v>
      </c>
      <c r="O67" s="15">
        <f t="shared" si="0"/>
        <v>4</v>
      </c>
      <c r="P67" s="15">
        <f t="shared" si="1"/>
        <v>18</v>
      </c>
      <c r="R67" s="8"/>
      <c r="T67"/>
    </row>
    <row r="68" spans="2:20" ht="23.1" customHeight="1" x14ac:dyDescent="0.25">
      <c r="B68" s="23" t="s">
        <v>105</v>
      </c>
      <c r="C68" s="49">
        <f>'Avg Week MITYANA-BUSUNJU'!C68+'Avg Week BUSUNJU-MITYANA'!C68</f>
        <v>1.5</v>
      </c>
      <c r="D68" s="49">
        <f>'Avg Week MITYANA-BUSUNJU'!D68+'Avg Week BUSUNJU-MITYANA'!D68</f>
        <v>0</v>
      </c>
      <c r="E68" s="49">
        <f>'Avg Week MITYANA-BUSUNJU'!E68+'Avg Week BUSUNJU-MITYANA'!E68</f>
        <v>0.5</v>
      </c>
      <c r="F68" s="49">
        <f>'Avg Week MITYANA-BUSUNJU'!F68+'Avg Week BUSUNJU-MITYANA'!F68</f>
        <v>0</v>
      </c>
      <c r="G68" s="49">
        <f>'Avg Week MITYANA-BUSUNJU'!G68+'Avg Week BUSUNJU-MITYANA'!G68</f>
        <v>0</v>
      </c>
      <c r="H68" s="49">
        <f>'Avg Week MITYANA-BUSUNJU'!H68+'Avg Week BUSUNJU-MITYANA'!H68</f>
        <v>0</v>
      </c>
      <c r="I68" s="49">
        <f>'Avg Week MITYANA-BUSUNJU'!I68+'Avg Week BUSUNJU-MITYANA'!I68</f>
        <v>1</v>
      </c>
      <c r="J68" s="49">
        <f>'Avg Week MITYANA-BUSUNJU'!J68+'Avg Week BUSUNJU-MITYANA'!J68</f>
        <v>0</v>
      </c>
      <c r="K68" s="49">
        <f>'Avg Week MITYANA-BUSUNJU'!K68+'Avg Week BUSUNJU-MITYANA'!K68</f>
        <v>1.5</v>
      </c>
      <c r="L68" s="49">
        <f>'Avg Week MITYANA-BUSUNJU'!L68+'Avg Week BUSUNJU-MITYANA'!L68</f>
        <v>0</v>
      </c>
      <c r="M68" s="49">
        <f>'Avg Week MITYANA-BUSUNJU'!M68+'Avg Week BUSUNJU-MITYANA'!M68</f>
        <v>12</v>
      </c>
      <c r="N68" s="49">
        <f>'Avg Week MITYANA-BUSUNJU'!N68+'Avg Week BUSUNJU-MITYANA'!N68</f>
        <v>0</v>
      </c>
      <c r="O68" s="15">
        <f t="shared" si="0"/>
        <v>4.5</v>
      </c>
      <c r="P68" s="15">
        <f t="shared" si="1"/>
        <v>16.5</v>
      </c>
      <c r="R68" s="8"/>
      <c r="T68"/>
    </row>
    <row r="69" spans="2:20" ht="23.1" customHeight="1" x14ac:dyDescent="0.25">
      <c r="B69" s="23" t="s">
        <v>106</v>
      </c>
      <c r="C69" s="49">
        <f>'Avg Week MITYANA-BUSUNJU'!C69+'Avg Week BUSUNJU-MITYANA'!C69</f>
        <v>1.5</v>
      </c>
      <c r="D69" s="49">
        <f>'Avg Week MITYANA-BUSUNJU'!D69+'Avg Week BUSUNJU-MITYANA'!D69</f>
        <v>0</v>
      </c>
      <c r="E69" s="49">
        <f>'Avg Week MITYANA-BUSUNJU'!E69+'Avg Week BUSUNJU-MITYANA'!E69</f>
        <v>0</v>
      </c>
      <c r="F69" s="49">
        <f>'Avg Week MITYANA-BUSUNJU'!F69+'Avg Week BUSUNJU-MITYANA'!F69</f>
        <v>0</v>
      </c>
      <c r="G69" s="49">
        <f>'Avg Week MITYANA-BUSUNJU'!G69+'Avg Week BUSUNJU-MITYANA'!G69</f>
        <v>0</v>
      </c>
      <c r="H69" s="49">
        <f>'Avg Week MITYANA-BUSUNJU'!H69+'Avg Week BUSUNJU-MITYANA'!H69</f>
        <v>0</v>
      </c>
      <c r="I69" s="49">
        <f>'Avg Week MITYANA-BUSUNJU'!I69+'Avg Week BUSUNJU-MITYANA'!I69</f>
        <v>1</v>
      </c>
      <c r="J69" s="49">
        <f>'Avg Week MITYANA-BUSUNJU'!J69+'Avg Week BUSUNJU-MITYANA'!J69</f>
        <v>1</v>
      </c>
      <c r="K69" s="49">
        <f>'Avg Week MITYANA-BUSUNJU'!K69+'Avg Week BUSUNJU-MITYANA'!K69</f>
        <v>0.5</v>
      </c>
      <c r="L69" s="49">
        <f>'Avg Week MITYANA-BUSUNJU'!L69+'Avg Week BUSUNJU-MITYANA'!L69</f>
        <v>0</v>
      </c>
      <c r="M69" s="49">
        <f>'Avg Week MITYANA-BUSUNJU'!M69+'Avg Week BUSUNJU-MITYANA'!M69</f>
        <v>8</v>
      </c>
      <c r="N69" s="49">
        <f>'Avg Week MITYANA-BUSUNJU'!N69+'Avg Week BUSUNJU-MITYANA'!N69</f>
        <v>0</v>
      </c>
      <c r="O69" s="15">
        <f t="shared" si="0"/>
        <v>4</v>
      </c>
      <c r="P69" s="15">
        <f t="shared" si="1"/>
        <v>12</v>
      </c>
      <c r="R69" s="8"/>
      <c r="T69"/>
    </row>
    <row r="70" spans="2:20" ht="23.1" customHeight="1" x14ac:dyDescent="0.25">
      <c r="B70" s="23" t="s">
        <v>110</v>
      </c>
      <c r="C70" s="49">
        <f>'Avg Week MITYANA-BUSUNJU'!C70+'Avg Week BUSUNJU-MITYANA'!C70</f>
        <v>0</v>
      </c>
      <c r="D70" s="49">
        <f>'Avg Week MITYANA-BUSUNJU'!D70+'Avg Week BUSUNJU-MITYANA'!D70</f>
        <v>1</v>
      </c>
      <c r="E70" s="49">
        <f>'Avg Week MITYANA-BUSUNJU'!E70+'Avg Week BUSUNJU-MITYANA'!E70</f>
        <v>0</v>
      </c>
      <c r="F70" s="49">
        <f>'Avg Week MITYANA-BUSUNJU'!F70+'Avg Week BUSUNJU-MITYANA'!F70</f>
        <v>0</v>
      </c>
      <c r="G70" s="49">
        <f>'Avg Week MITYANA-BUSUNJU'!G70+'Avg Week BUSUNJU-MITYANA'!G70</f>
        <v>0</v>
      </c>
      <c r="H70" s="49">
        <f>'Avg Week MITYANA-BUSUNJU'!H70+'Avg Week BUSUNJU-MITYANA'!H70</f>
        <v>1</v>
      </c>
      <c r="I70" s="49">
        <f>'Avg Week MITYANA-BUSUNJU'!I70+'Avg Week BUSUNJU-MITYANA'!I70</f>
        <v>1.5</v>
      </c>
      <c r="J70" s="49">
        <f>'Avg Week MITYANA-BUSUNJU'!J70+'Avg Week BUSUNJU-MITYANA'!J70</f>
        <v>0.5</v>
      </c>
      <c r="K70" s="49">
        <f>'Avg Week MITYANA-BUSUNJU'!K70+'Avg Week BUSUNJU-MITYANA'!K70</f>
        <v>0</v>
      </c>
      <c r="L70" s="49">
        <f>'Avg Week MITYANA-BUSUNJU'!L70+'Avg Week BUSUNJU-MITYANA'!L70</f>
        <v>0</v>
      </c>
      <c r="M70" s="49">
        <f>'Avg Week MITYANA-BUSUNJU'!M70+'Avg Week BUSUNJU-MITYANA'!M70</f>
        <v>8.5</v>
      </c>
      <c r="N70" s="49">
        <f>'Avg Week MITYANA-BUSUNJU'!N70+'Avg Week BUSUNJU-MITYANA'!N70</f>
        <v>0</v>
      </c>
      <c r="O70" s="15">
        <f t="shared" si="0"/>
        <v>4</v>
      </c>
      <c r="P70" s="15">
        <f t="shared" si="1"/>
        <v>12.5</v>
      </c>
      <c r="R70" s="8"/>
      <c r="T70"/>
    </row>
    <row r="71" spans="2:20" ht="23.1" customHeight="1" x14ac:dyDescent="0.25">
      <c r="B71" s="23" t="s">
        <v>111</v>
      </c>
      <c r="C71" s="49">
        <f>'Avg Week MITYANA-BUSUNJU'!C71+'Avg Week BUSUNJU-MITYANA'!C71</f>
        <v>0</v>
      </c>
      <c r="D71" s="49">
        <f>'Avg Week MITYANA-BUSUNJU'!D71+'Avg Week BUSUNJU-MITYANA'!D71</f>
        <v>0</v>
      </c>
      <c r="E71" s="49">
        <f>'Avg Week MITYANA-BUSUNJU'!E71+'Avg Week BUSUNJU-MITYANA'!E71</f>
        <v>0</v>
      </c>
      <c r="F71" s="49">
        <f>'Avg Week MITYANA-BUSUNJU'!F71+'Avg Week BUSUNJU-MITYANA'!F71</f>
        <v>0</v>
      </c>
      <c r="G71" s="49">
        <f>'Avg Week MITYANA-BUSUNJU'!G71+'Avg Week BUSUNJU-MITYANA'!G71</f>
        <v>0</v>
      </c>
      <c r="H71" s="49">
        <f>'Avg Week MITYANA-BUSUNJU'!H71+'Avg Week BUSUNJU-MITYANA'!H71</f>
        <v>0</v>
      </c>
      <c r="I71" s="49">
        <f>'Avg Week MITYANA-BUSUNJU'!I71+'Avg Week BUSUNJU-MITYANA'!I71</f>
        <v>1.5</v>
      </c>
      <c r="J71" s="49">
        <f>'Avg Week MITYANA-BUSUNJU'!J71+'Avg Week BUSUNJU-MITYANA'!J71</f>
        <v>0</v>
      </c>
      <c r="K71" s="49">
        <f>'Avg Week MITYANA-BUSUNJU'!K71+'Avg Week BUSUNJU-MITYANA'!K71</f>
        <v>0</v>
      </c>
      <c r="L71" s="49">
        <f>'Avg Week MITYANA-BUSUNJU'!L71+'Avg Week BUSUNJU-MITYANA'!L71</f>
        <v>0.5</v>
      </c>
      <c r="M71" s="49">
        <f>'Avg Week MITYANA-BUSUNJU'!M71+'Avg Week BUSUNJU-MITYANA'!M71</f>
        <v>9</v>
      </c>
      <c r="N71" s="49">
        <f>'Avg Week MITYANA-BUSUNJU'!N71+'Avg Week BUSUNJU-MITYANA'!N71</f>
        <v>0</v>
      </c>
      <c r="O71" s="15">
        <f t="shared" si="0"/>
        <v>2</v>
      </c>
      <c r="P71" s="15">
        <f t="shared" si="1"/>
        <v>11</v>
      </c>
      <c r="R71" s="8"/>
      <c r="T71"/>
    </row>
    <row r="72" spans="2:20" ht="23.1" customHeight="1" x14ac:dyDescent="0.25">
      <c r="B72" s="23" t="s">
        <v>112</v>
      </c>
      <c r="C72" s="49">
        <f>'Avg Week MITYANA-BUSUNJU'!C72+'Avg Week BUSUNJU-MITYANA'!C72</f>
        <v>0.5</v>
      </c>
      <c r="D72" s="49">
        <f>'Avg Week MITYANA-BUSUNJU'!D72+'Avg Week BUSUNJU-MITYANA'!D72</f>
        <v>0.5</v>
      </c>
      <c r="E72" s="49">
        <f>'Avg Week MITYANA-BUSUNJU'!E72+'Avg Week BUSUNJU-MITYANA'!E72</f>
        <v>1.5</v>
      </c>
      <c r="F72" s="49">
        <f>'Avg Week MITYANA-BUSUNJU'!F72+'Avg Week BUSUNJU-MITYANA'!F72</f>
        <v>0.5</v>
      </c>
      <c r="G72" s="49">
        <f>'Avg Week MITYANA-BUSUNJU'!G72+'Avg Week BUSUNJU-MITYANA'!G72</f>
        <v>0</v>
      </c>
      <c r="H72" s="49">
        <f>'Avg Week MITYANA-BUSUNJU'!H72+'Avg Week BUSUNJU-MITYANA'!H72</f>
        <v>0</v>
      </c>
      <c r="I72" s="49">
        <f>'Avg Week MITYANA-BUSUNJU'!I72+'Avg Week BUSUNJU-MITYANA'!I72</f>
        <v>0</v>
      </c>
      <c r="J72" s="49">
        <f>'Avg Week MITYANA-BUSUNJU'!J72+'Avg Week BUSUNJU-MITYANA'!J72</f>
        <v>0</v>
      </c>
      <c r="K72" s="49">
        <f>'Avg Week MITYANA-BUSUNJU'!K72+'Avg Week BUSUNJU-MITYANA'!K72</f>
        <v>0</v>
      </c>
      <c r="L72" s="49">
        <f>'Avg Week MITYANA-BUSUNJU'!L72+'Avg Week BUSUNJU-MITYANA'!L72</f>
        <v>0.5</v>
      </c>
      <c r="M72" s="49">
        <f>'Avg Week MITYANA-BUSUNJU'!M72+'Avg Week BUSUNJU-MITYANA'!M72</f>
        <v>12.5</v>
      </c>
      <c r="N72" s="49">
        <f>'Avg Week MITYANA-BUSUNJU'!N72+'Avg Week BUSUNJU-MITYANA'!N72</f>
        <v>0</v>
      </c>
      <c r="O72" s="15">
        <f t="shared" si="0"/>
        <v>3.5</v>
      </c>
      <c r="P72" s="15">
        <f t="shared" si="1"/>
        <v>16</v>
      </c>
      <c r="R72" s="8"/>
      <c r="T72"/>
    </row>
    <row r="73" spans="2:20" ht="23.1" customHeight="1" x14ac:dyDescent="0.25">
      <c r="B73" s="23" t="s">
        <v>113</v>
      </c>
      <c r="C73" s="49">
        <f>'Avg Week MITYANA-BUSUNJU'!C73+'Avg Week BUSUNJU-MITYANA'!C73</f>
        <v>3</v>
      </c>
      <c r="D73" s="49">
        <f>'Avg Week MITYANA-BUSUNJU'!D73+'Avg Week BUSUNJU-MITYANA'!D73</f>
        <v>0</v>
      </c>
      <c r="E73" s="49">
        <f>'Avg Week MITYANA-BUSUNJU'!E73+'Avg Week BUSUNJU-MITYANA'!E73</f>
        <v>0</v>
      </c>
      <c r="F73" s="49">
        <f>'Avg Week MITYANA-BUSUNJU'!F73+'Avg Week BUSUNJU-MITYANA'!F73</f>
        <v>0</v>
      </c>
      <c r="G73" s="49">
        <f>'Avg Week MITYANA-BUSUNJU'!G73+'Avg Week BUSUNJU-MITYANA'!G73</f>
        <v>0</v>
      </c>
      <c r="H73" s="49">
        <f>'Avg Week MITYANA-BUSUNJU'!H73+'Avg Week BUSUNJU-MITYANA'!H73</f>
        <v>0</v>
      </c>
      <c r="I73" s="49">
        <f>'Avg Week MITYANA-BUSUNJU'!I73+'Avg Week BUSUNJU-MITYANA'!I73</f>
        <v>0.5</v>
      </c>
      <c r="J73" s="49">
        <f>'Avg Week MITYANA-BUSUNJU'!J73+'Avg Week BUSUNJU-MITYANA'!J73</f>
        <v>0</v>
      </c>
      <c r="K73" s="49">
        <f>'Avg Week MITYANA-BUSUNJU'!K73+'Avg Week BUSUNJU-MITYANA'!K73</f>
        <v>1.5</v>
      </c>
      <c r="L73" s="49">
        <f>'Avg Week MITYANA-BUSUNJU'!L73+'Avg Week BUSUNJU-MITYANA'!L73</f>
        <v>0</v>
      </c>
      <c r="M73" s="49">
        <f>'Avg Week MITYANA-BUSUNJU'!M73+'Avg Week BUSUNJU-MITYANA'!M73</f>
        <v>7</v>
      </c>
      <c r="N73" s="49">
        <f>'Avg Week MITYANA-BUSUNJU'!N73+'Avg Week BUSUNJU-MITYANA'!N73</f>
        <v>0</v>
      </c>
      <c r="O73" s="15">
        <f t="shared" si="0"/>
        <v>5</v>
      </c>
      <c r="P73" s="15">
        <f t="shared" si="1"/>
        <v>12</v>
      </c>
      <c r="R73" s="8"/>
      <c r="T73"/>
    </row>
    <row r="74" spans="2:20" ht="23.1" customHeight="1" x14ac:dyDescent="0.25">
      <c r="B74" s="23" t="s">
        <v>114</v>
      </c>
      <c r="C74" s="49">
        <f>'Avg Week MITYANA-BUSUNJU'!C74+'Avg Week BUSUNJU-MITYANA'!C74</f>
        <v>2.5</v>
      </c>
      <c r="D74" s="49">
        <f>'Avg Week MITYANA-BUSUNJU'!D74+'Avg Week BUSUNJU-MITYANA'!D74</f>
        <v>2</v>
      </c>
      <c r="E74" s="49">
        <f>'Avg Week MITYANA-BUSUNJU'!E74+'Avg Week BUSUNJU-MITYANA'!E74</f>
        <v>0</v>
      </c>
      <c r="F74" s="49">
        <f>'Avg Week MITYANA-BUSUNJU'!F74+'Avg Week BUSUNJU-MITYANA'!F74</f>
        <v>0</v>
      </c>
      <c r="G74" s="49">
        <f>'Avg Week MITYANA-BUSUNJU'!G74+'Avg Week BUSUNJU-MITYANA'!G74</f>
        <v>0</v>
      </c>
      <c r="H74" s="49">
        <f>'Avg Week MITYANA-BUSUNJU'!H74+'Avg Week BUSUNJU-MITYANA'!H74</f>
        <v>0</v>
      </c>
      <c r="I74" s="49">
        <f>'Avg Week MITYANA-BUSUNJU'!I74+'Avg Week BUSUNJU-MITYANA'!I74</f>
        <v>0.5</v>
      </c>
      <c r="J74" s="49">
        <f>'Avg Week MITYANA-BUSUNJU'!J74+'Avg Week BUSUNJU-MITYANA'!J74</f>
        <v>0.5</v>
      </c>
      <c r="K74" s="49">
        <f>'Avg Week MITYANA-BUSUNJU'!K74+'Avg Week BUSUNJU-MITYANA'!K74</f>
        <v>0</v>
      </c>
      <c r="L74" s="49">
        <f>'Avg Week MITYANA-BUSUNJU'!L74+'Avg Week BUSUNJU-MITYANA'!L74</f>
        <v>0</v>
      </c>
      <c r="M74" s="49">
        <f>'Avg Week MITYANA-BUSUNJU'!M74+'Avg Week BUSUNJU-MITYANA'!M74</f>
        <v>5.5</v>
      </c>
      <c r="N74" s="49">
        <f>'Avg Week MITYANA-BUSUNJU'!N74+'Avg Week BUSUNJU-MITYANA'!N74</f>
        <v>0</v>
      </c>
      <c r="O74" s="15">
        <f t="shared" ref="O74:O105" si="35">SUM(C74:L74,N74)</f>
        <v>5.5</v>
      </c>
      <c r="P74" s="15">
        <f t="shared" ref="P74:P105" si="36">SUM(C74:N74)</f>
        <v>11</v>
      </c>
      <c r="R74" s="8"/>
      <c r="T74"/>
    </row>
    <row r="75" spans="2:20" ht="23.1" customHeight="1" x14ac:dyDescent="0.25">
      <c r="B75" s="23" t="s">
        <v>115</v>
      </c>
      <c r="C75" s="49">
        <f>'Avg Week MITYANA-BUSUNJU'!C75+'Avg Week BUSUNJU-MITYANA'!C75</f>
        <v>0.5</v>
      </c>
      <c r="D75" s="49">
        <f>'Avg Week MITYANA-BUSUNJU'!D75+'Avg Week BUSUNJU-MITYANA'!D75</f>
        <v>0.5</v>
      </c>
      <c r="E75" s="49">
        <f>'Avg Week MITYANA-BUSUNJU'!E75+'Avg Week BUSUNJU-MITYANA'!E75</f>
        <v>0.5</v>
      </c>
      <c r="F75" s="49">
        <f>'Avg Week MITYANA-BUSUNJU'!F75+'Avg Week BUSUNJU-MITYANA'!F75</f>
        <v>0</v>
      </c>
      <c r="G75" s="49">
        <f>'Avg Week MITYANA-BUSUNJU'!G75+'Avg Week BUSUNJU-MITYANA'!G75</f>
        <v>0</v>
      </c>
      <c r="H75" s="49">
        <f>'Avg Week MITYANA-BUSUNJU'!H75+'Avg Week BUSUNJU-MITYANA'!H75</f>
        <v>0</v>
      </c>
      <c r="I75" s="49">
        <f>'Avg Week MITYANA-BUSUNJU'!I75+'Avg Week BUSUNJU-MITYANA'!I75</f>
        <v>0.5</v>
      </c>
      <c r="J75" s="49">
        <f>'Avg Week MITYANA-BUSUNJU'!J75+'Avg Week BUSUNJU-MITYANA'!J75</f>
        <v>1</v>
      </c>
      <c r="K75" s="49">
        <f>'Avg Week MITYANA-BUSUNJU'!K75+'Avg Week BUSUNJU-MITYANA'!K75</f>
        <v>0.5</v>
      </c>
      <c r="L75" s="49">
        <f>'Avg Week MITYANA-BUSUNJU'!L75+'Avg Week BUSUNJU-MITYANA'!L75</f>
        <v>0</v>
      </c>
      <c r="M75" s="49">
        <f>'Avg Week MITYANA-BUSUNJU'!M75+'Avg Week BUSUNJU-MITYANA'!M75</f>
        <v>4.5</v>
      </c>
      <c r="N75" s="49">
        <f>'Avg Week MITYANA-BUSUNJU'!N75+'Avg Week BUSUNJU-MITYANA'!N75</f>
        <v>0</v>
      </c>
      <c r="O75" s="15">
        <f t="shared" si="35"/>
        <v>3.5</v>
      </c>
      <c r="P75" s="15">
        <f t="shared" si="36"/>
        <v>8</v>
      </c>
      <c r="R75" s="8"/>
      <c r="T75"/>
    </row>
    <row r="76" spans="2:20" ht="23.1" customHeight="1" x14ac:dyDescent="0.25">
      <c r="B76" s="23" t="s">
        <v>116</v>
      </c>
      <c r="C76" s="49">
        <f>'Avg Week MITYANA-BUSUNJU'!C76+'Avg Week BUSUNJU-MITYANA'!C76</f>
        <v>1.5</v>
      </c>
      <c r="D76" s="49">
        <f>'Avg Week MITYANA-BUSUNJU'!D76+'Avg Week BUSUNJU-MITYANA'!D76</f>
        <v>0</v>
      </c>
      <c r="E76" s="49">
        <f>'Avg Week MITYANA-BUSUNJU'!E76+'Avg Week BUSUNJU-MITYANA'!E76</f>
        <v>0</v>
      </c>
      <c r="F76" s="49">
        <f>'Avg Week MITYANA-BUSUNJU'!F76+'Avg Week BUSUNJU-MITYANA'!F76</f>
        <v>0</v>
      </c>
      <c r="G76" s="49">
        <f>'Avg Week MITYANA-BUSUNJU'!G76+'Avg Week BUSUNJU-MITYANA'!G76</f>
        <v>0</v>
      </c>
      <c r="H76" s="49">
        <f>'Avg Week MITYANA-BUSUNJU'!H76+'Avg Week BUSUNJU-MITYANA'!H76</f>
        <v>0</v>
      </c>
      <c r="I76" s="49">
        <f>'Avg Week MITYANA-BUSUNJU'!I76+'Avg Week BUSUNJU-MITYANA'!I76</f>
        <v>1</v>
      </c>
      <c r="J76" s="49">
        <f>'Avg Week MITYANA-BUSUNJU'!J76+'Avg Week BUSUNJU-MITYANA'!J76</f>
        <v>0.5</v>
      </c>
      <c r="K76" s="49">
        <f>'Avg Week MITYANA-BUSUNJU'!K76+'Avg Week BUSUNJU-MITYANA'!K76</f>
        <v>0</v>
      </c>
      <c r="L76" s="49">
        <f>'Avg Week MITYANA-BUSUNJU'!L76+'Avg Week BUSUNJU-MITYANA'!L76</f>
        <v>0</v>
      </c>
      <c r="M76" s="49">
        <f>'Avg Week MITYANA-BUSUNJU'!M76+'Avg Week BUSUNJU-MITYANA'!M76</f>
        <v>4</v>
      </c>
      <c r="N76" s="49">
        <f>'Avg Week MITYANA-BUSUNJU'!N76+'Avg Week BUSUNJU-MITYANA'!N76</f>
        <v>0</v>
      </c>
      <c r="O76" s="15">
        <f t="shared" si="35"/>
        <v>3</v>
      </c>
      <c r="P76" s="15">
        <f t="shared" si="36"/>
        <v>7</v>
      </c>
      <c r="R76" s="8"/>
      <c r="T76"/>
    </row>
    <row r="77" spans="2:20" ht="23.1" customHeight="1" x14ac:dyDescent="0.25">
      <c r="B77" s="23" t="s">
        <v>117</v>
      </c>
      <c r="C77" s="49">
        <f>'Avg Week MITYANA-BUSUNJU'!C77+'Avg Week BUSUNJU-MITYANA'!C77</f>
        <v>0.5</v>
      </c>
      <c r="D77" s="49">
        <f>'Avg Week MITYANA-BUSUNJU'!D77+'Avg Week BUSUNJU-MITYANA'!D77</f>
        <v>0</v>
      </c>
      <c r="E77" s="49">
        <f>'Avg Week MITYANA-BUSUNJU'!E77+'Avg Week BUSUNJU-MITYANA'!E77</f>
        <v>0</v>
      </c>
      <c r="F77" s="49">
        <f>'Avg Week MITYANA-BUSUNJU'!F77+'Avg Week BUSUNJU-MITYANA'!F77</f>
        <v>0</v>
      </c>
      <c r="G77" s="49">
        <f>'Avg Week MITYANA-BUSUNJU'!G77+'Avg Week BUSUNJU-MITYANA'!G77</f>
        <v>0</v>
      </c>
      <c r="H77" s="49">
        <f>'Avg Week MITYANA-BUSUNJU'!H77+'Avg Week BUSUNJU-MITYANA'!H77</f>
        <v>0</v>
      </c>
      <c r="I77" s="49">
        <f>'Avg Week MITYANA-BUSUNJU'!I77+'Avg Week BUSUNJU-MITYANA'!I77</f>
        <v>0.5</v>
      </c>
      <c r="J77" s="49">
        <f>'Avg Week MITYANA-BUSUNJU'!J77+'Avg Week BUSUNJU-MITYANA'!J77</f>
        <v>1.5</v>
      </c>
      <c r="K77" s="49">
        <f>'Avg Week MITYANA-BUSUNJU'!K77+'Avg Week BUSUNJU-MITYANA'!K77</f>
        <v>0</v>
      </c>
      <c r="L77" s="49">
        <f>'Avg Week MITYANA-BUSUNJU'!L77+'Avg Week BUSUNJU-MITYANA'!L77</f>
        <v>0</v>
      </c>
      <c r="M77" s="49">
        <f>'Avg Week MITYANA-BUSUNJU'!M77+'Avg Week BUSUNJU-MITYANA'!M77</f>
        <v>3</v>
      </c>
      <c r="N77" s="49">
        <f>'Avg Week MITYANA-BUSUNJU'!N77+'Avg Week BUSUNJU-MITYANA'!N77</f>
        <v>0</v>
      </c>
      <c r="O77" s="15">
        <f t="shared" si="35"/>
        <v>2.5</v>
      </c>
      <c r="P77" s="15">
        <f t="shared" si="36"/>
        <v>5.5</v>
      </c>
      <c r="R77" s="8"/>
      <c r="T77"/>
    </row>
    <row r="78" spans="2:20" ht="23.1" customHeight="1" x14ac:dyDescent="0.25">
      <c r="B78" s="24" t="s">
        <v>118</v>
      </c>
      <c r="C78" s="49">
        <f>'Avg Week MITYANA-BUSUNJU'!C78+'Avg Week BUSUNJU-MITYANA'!C78</f>
        <v>2</v>
      </c>
      <c r="D78" s="49">
        <f>'Avg Week MITYANA-BUSUNJU'!D78+'Avg Week BUSUNJU-MITYANA'!D78</f>
        <v>0</v>
      </c>
      <c r="E78" s="49">
        <f>'Avg Week MITYANA-BUSUNJU'!E78+'Avg Week BUSUNJU-MITYANA'!E78</f>
        <v>0</v>
      </c>
      <c r="F78" s="49">
        <f>'Avg Week MITYANA-BUSUNJU'!F78+'Avg Week BUSUNJU-MITYANA'!F78</f>
        <v>0</v>
      </c>
      <c r="G78" s="49">
        <f>'Avg Week MITYANA-BUSUNJU'!G78+'Avg Week BUSUNJU-MITYANA'!G78</f>
        <v>0</v>
      </c>
      <c r="H78" s="49">
        <f>'Avg Week MITYANA-BUSUNJU'!H78+'Avg Week BUSUNJU-MITYANA'!H78</f>
        <v>0</v>
      </c>
      <c r="I78" s="49">
        <f>'Avg Week MITYANA-BUSUNJU'!I78+'Avg Week BUSUNJU-MITYANA'!I78</f>
        <v>0</v>
      </c>
      <c r="J78" s="49">
        <f>'Avg Week MITYANA-BUSUNJU'!J78+'Avg Week BUSUNJU-MITYANA'!J78</f>
        <v>1</v>
      </c>
      <c r="K78" s="49">
        <f>'Avg Week MITYANA-BUSUNJU'!K78+'Avg Week BUSUNJU-MITYANA'!K78</f>
        <v>1.5</v>
      </c>
      <c r="L78" s="49">
        <f>'Avg Week MITYANA-BUSUNJU'!L78+'Avg Week BUSUNJU-MITYANA'!L78</f>
        <v>0.5</v>
      </c>
      <c r="M78" s="49">
        <f>'Avg Week MITYANA-BUSUNJU'!M78+'Avg Week BUSUNJU-MITYANA'!M78</f>
        <v>2.5</v>
      </c>
      <c r="N78" s="49">
        <f>'Avg Week MITYANA-BUSUNJU'!N78+'Avg Week BUSUNJU-MITYANA'!N78</f>
        <v>0</v>
      </c>
      <c r="O78" s="15">
        <f t="shared" si="35"/>
        <v>5</v>
      </c>
      <c r="P78" s="15">
        <f t="shared" si="36"/>
        <v>7.5</v>
      </c>
      <c r="R78" s="8"/>
      <c r="T78"/>
    </row>
    <row r="79" spans="2:20" ht="23.1" customHeight="1" x14ac:dyDescent="0.25">
      <c r="B79" s="23" t="s">
        <v>119</v>
      </c>
      <c r="C79" s="49">
        <f>'Avg Week MITYANA-BUSUNJU'!C79+'Avg Week BUSUNJU-MITYANA'!C79</f>
        <v>0.5</v>
      </c>
      <c r="D79" s="49">
        <f>'Avg Week MITYANA-BUSUNJU'!D79+'Avg Week BUSUNJU-MITYANA'!D79</f>
        <v>0</v>
      </c>
      <c r="E79" s="49">
        <f>'Avg Week MITYANA-BUSUNJU'!E79+'Avg Week BUSUNJU-MITYANA'!E79</f>
        <v>0.5</v>
      </c>
      <c r="F79" s="49">
        <f>'Avg Week MITYANA-BUSUNJU'!F79+'Avg Week BUSUNJU-MITYANA'!F79</f>
        <v>0</v>
      </c>
      <c r="G79" s="49">
        <f>'Avg Week MITYANA-BUSUNJU'!G79+'Avg Week BUSUNJU-MITYANA'!G79</f>
        <v>0</v>
      </c>
      <c r="H79" s="49">
        <f>'Avg Week MITYANA-BUSUNJU'!H79+'Avg Week BUSUNJU-MITYANA'!H79</f>
        <v>0</v>
      </c>
      <c r="I79" s="49">
        <f>'Avg Week MITYANA-BUSUNJU'!I79+'Avg Week BUSUNJU-MITYANA'!I79</f>
        <v>1.5</v>
      </c>
      <c r="J79" s="49">
        <f>'Avg Week MITYANA-BUSUNJU'!J79+'Avg Week BUSUNJU-MITYANA'!J79</f>
        <v>0</v>
      </c>
      <c r="K79" s="49">
        <f>'Avg Week MITYANA-BUSUNJU'!K79+'Avg Week BUSUNJU-MITYANA'!K79</f>
        <v>0</v>
      </c>
      <c r="L79" s="49">
        <f>'Avg Week MITYANA-BUSUNJU'!L79+'Avg Week BUSUNJU-MITYANA'!L79</f>
        <v>0</v>
      </c>
      <c r="M79" s="49">
        <f>'Avg Week MITYANA-BUSUNJU'!M79+'Avg Week BUSUNJU-MITYANA'!M79</f>
        <v>1.5</v>
      </c>
      <c r="N79" s="49">
        <f>'Avg Week MITYANA-BUSUNJU'!N79+'Avg Week BUSUNJU-MITYANA'!N79</f>
        <v>0</v>
      </c>
      <c r="O79" s="15">
        <f t="shared" si="35"/>
        <v>2.5</v>
      </c>
      <c r="P79" s="15">
        <f t="shared" si="36"/>
        <v>4</v>
      </c>
      <c r="R79" s="8"/>
      <c r="T79"/>
    </row>
    <row r="80" spans="2:20" ht="23.1" customHeight="1" x14ac:dyDescent="0.25">
      <c r="B80" s="25" t="s">
        <v>120</v>
      </c>
      <c r="C80" s="49">
        <f>'Avg Week MITYANA-BUSUNJU'!C80+'Avg Week BUSUNJU-MITYANA'!C80</f>
        <v>0.5</v>
      </c>
      <c r="D80" s="49">
        <f>'Avg Week MITYANA-BUSUNJU'!D80+'Avg Week BUSUNJU-MITYANA'!D80</f>
        <v>0</v>
      </c>
      <c r="E80" s="49">
        <f>'Avg Week MITYANA-BUSUNJU'!E80+'Avg Week BUSUNJU-MITYANA'!E80</f>
        <v>1</v>
      </c>
      <c r="F80" s="49">
        <f>'Avg Week MITYANA-BUSUNJU'!F80+'Avg Week BUSUNJU-MITYANA'!F80</f>
        <v>0</v>
      </c>
      <c r="G80" s="49">
        <f>'Avg Week MITYANA-BUSUNJU'!G80+'Avg Week BUSUNJU-MITYANA'!G80</f>
        <v>0</v>
      </c>
      <c r="H80" s="49">
        <f>'Avg Week MITYANA-BUSUNJU'!H80+'Avg Week BUSUNJU-MITYANA'!H80</f>
        <v>0</v>
      </c>
      <c r="I80" s="49">
        <f>'Avg Week MITYANA-BUSUNJU'!I80+'Avg Week BUSUNJU-MITYANA'!I80</f>
        <v>0</v>
      </c>
      <c r="J80" s="49">
        <f>'Avg Week MITYANA-BUSUNJU'!J80+'Avg Week BUSUNJU-MITYANA'!J80</f>
        <v>1.5</v>
      </c>
      <c r="K80" s="49">
        <f>'Avg Week MITYANA-BUSUNJU'!K80+'Avg Week BUSUNJU-MITYANA'!K80</f>
        <v>0</v>
      </c>
      <c r="L80" s="49">
        <f>'Avg Week MITYANA-BUSUNJU'!L80+'Avg Week BUSUNJU-MITYANA'!L80</f>
        <v>0</v>
      </c>
      <c r="M80" s="49">
        <f>'Avg Week MITYANA-BUSUNJU'!M80+'Avg Week BUSUNJU-MITYANA'!M80</f>
        <v>0.5</v>
      </c>
      <c r="N80" s="49">
        <f>'Avg Week MITYANA-BUSUNJU'!N80+'Avg Week BUSUNJU-MITYANA'!N80</f>
        <v>0</v>
      </c>
      <c r="O80" s="15">
        <f t="shared" si="35"/>
        <v>3</v>
      </c>
      <c r="P80" s="15">
        <f t="shared" si="36"/>
        <v>3.5</v>
      </c>
      <c r="R80" s="8"/>
      <c r="T80"/>
    </row>
    <row r="81" spans="2:20" ht="23.1" customHeight="1" x14ac:dyDescent="0.25">
      <c r="B81" s="23" t="s">
        <v>121</v>
      </c>
      <c r="C81" s="49">
        <f>'Avg Week MITYANA-BUSUNJU'!C81+'Avg Week BUSUNJU-MITYANA'!C81</f>
        <v>1.5</v>
      </c>
      <c r="D81" s="49">
        <f>'Avg Week MITYANA-BUSUNJU'!D81+'Avg Week BUSUNJU-MITYANA'!D81</f>
        <v>1</v>
      </c>
      <c r="E81" s="49">
        <f>'Avg Week MITYANA-BUSUNJU'!E81+'Avg Week BUSUNJU-MITYANA'!E81</f>
        <v>0.5</v>
      </c>
      <c r="F81" s="49">
        <f>'Avg Week MITYANA-BUSUNJU'!F81+'Avg Week BUSUNJU-MITYANA'!F81</f>
        <v>0</v>
      </c>
      <c r="G81" s="49">
        <f>'Avg Week MITYANA-BUSUNJU'!G81+'Avg Week BUSUNJU-MITYANA'!G81</f>
        <v>0</v>
      </c>
      <c r="H81" s="49">
        <f>'Avg Week MITYANA-BUSUNJU'!H81+'Avg Week BUSUNJU-MITYANA'!H81</f>
        <v>0</v>
      </c>
      <c r="I81" s="49">
        <f>'Avg Week MITYANA-BUSUNJU'!I81+'Avg Week BUSUNJU-MITYANA'!I81</f>
        <v>2</v>
      </c>
      <c r="J81" s="49">
        <f>'Avg Week MITYANA-BUSUNJU'!J81+'Avg Week BUSUNJU-MITYANA'!J81</f>
        <v>0.5</v>
      </c>
      <c r="K81" s="49">
        <f>'Avg Week MITYANA-BUSUNJU'!K81+'Avg Week BUSUNJU-MITYANA'!K81</f>
        <v>0</v>
      </c>
      <c r="L81" s="49">
        <f>'Avg Week MITYANA-BUSUNJU'!L81+'Avg Week BUSUNJU-MITYANA'!L81</f>
        <v>1</v>
      </c>
      <c r="M81" s="49">
        <f>'Avg Week MITYANA-BUSUNJU'!M81+'Avg Week BUSUNJU-MITYANA'!M81</f>
        <v>0</v>
      </c>
      <c r="N81" s="49">
        <f>'Avg Week MITYANA-BUSUNJU'!N81+'Avg Week BUSUNJU-MITYANA'!N81</f>
        <v>0</v>
      </c>
      <c r="O81" s="15">
        <f t="shared" si="35"/>
        <v>6.5</v>
      </c>
      <c r="P81" s="15">
        <f t="shared" si="36"/>
        <v>6.5</v>
      </c>
      <c r="R81" s="8"/>
      <c r="T81"/>
    </row>
    <row r="82" spans="2:20" ht="23.1" customHeight="1" x14ac:dyDescent="0.25">
      <c r="B82" s="24" t="s">
        <v>122</v>
      </c>
      <c r="C82" s="49">
        <f>'Avg Week MITYANA-BUSUNJU'!C82+'Avg Week BUSUNJU-MITYANA'!C82</f>
        <v>1.5</v>
      </c>
      <c r="D82" s="49">
        <f>'Avg Week MITYANA-BUSUNJU'!D82+'Avg Week BUSUNJU-MITYANA'!D82</f>
        <v>0.5</v>
      </c>
      <c r="E82" s="49">
        <f>'Avg Week MITYANA-BUSUNJU'!E82+'Avg Week BUSUNJU-MITYANA'!E82</f>
        <v>0</v>
      </c>
      <c r="F82" s="49">
        <f>'Avg Week MITYANA-BUSUNJU'!F82+'Avg Week BUSUNJU-MITYANA'!F82</f>
        <v>0</v>
      </c>
      <c r="G82" s="49">
        <f>'Avg Week MITYANA-BUSUNJU'!G82+'Avg Week BUSUNJU-MITYANA'!G82</f>
        <v>0</v>
      </c>
      <c r="H82" s="49">
        <f>'Avg Week MITYANA-BUSUNJU'!H82+'Avg Week BUSUNJU-MITYANA'!H82</f>
        <v>0</v>
      </c>
      <c r="I82" s="49">
        <f>'Avg Week MITYANA-BUSUNJU'!I82+'Avg Week BUSUNJU-MITYANA'!I82</f>
        <v>1.5</v>
      </c>
      <c r="J82" s="49">
        <f>'Avg Week MITYANA-BUSUNJU'!J82+'Avg Week BUSUNJU-MITYANA'!J82</f>
        <v>0.5</v>
      </c>
      <c r="K82" s="49">
        <f>'Avg Week MITYANA-BUSUNJU'!K82+'Avg Week BUSUNJU-MITYANA'!K82</f>
        <v>0</v>
      </c>
      <c r="L82" s="49">
        <f>'Avg Week MITYANA-BUSUNJU'!L82+'Avg Week BUSUNJU-MITYANA'!L82</f>
        <v>0.5</v>
      </c>
      <c r="M82" s="49">
        <f>'Avg Week MITYANA-BUSUNJU'!M82+'Avg Week BUSUNJU-MITYANA'!M82</f>
        <v>0</v>
      </c>
      <c r="N82" s="49">
        <f>'Avg Week MITYANA-BUSUNJU'!N82+'Avg Week BUSUNJU-MITYANA'!N82</f>
        <v>0</v>
      </c>
      <c r="O82" s="15">
        <f t="shared" si="35"/>
        <v>4.5</v>
      </c>
      <c r="P82" s="15">
        <f t="shared" si="36"/>
        <v>4.5</v>
      </c>
      <c r="R82" s="8"/>
      <c r="T82"/>
    </row>
    <row r="83" spans="2:20" ht="23.1" customHeight="1" x14ac:dyDescent="0.25">
      <c r="B83" s="23" t="s">
        <v>123</v>
      </c>
      <c r="C83" s="49">
        <f>'Avg Week MITYANA-BUSUNJU'!C83+'Avg Week BUSUNJU-MITYANA'!C83</f>
        <v>0</v>
      </c>
      <c r="D83" s="49">
        <f>'Avg Week MITYANA-BUSUNJU'!D83+'Avg Week BUSUNJU-MITYANA'!D83</f>
        <v>0</v>
      </c>
      <c r="E83" s="49">
        <f>'Avg Week MITYANA-BUSUNJU'!E83+'Avg Week BUSUNJU-MITYANA'!E83</f>
        <v>0</v>
      </c>
      <c r="F83" s="49">
        <f>'Avg Week MITYANA-BUSUNJU'!F83+'Avg Week BUSUNJU-MITYANA'!F83</f>
        <v>0</v>
      </c>
      <c r="G83" s="49">
        <f>'Avg Week MITYANA-BUSUNJU'!G83+'Avg Week BUSUNJU-MITYANA'!G83</f>
        <v>0</v>
      </c>
      <c r="H83" s="49">
        <f>'Avg Week MITYANA-BUSUNJU'!H83+'Avg Week BUSUNJU-MITYANA'!H83</f>
        <v>0</v>
      </c>
      <c r="I83" s="49">
        <f>'Avg Week MITYANA-BUSUNJU'!I83+'Avg Week BUSUNJU-MITYANA'!I83</f>
        <v>0</v>
      </c>
      <c r="J83" s="49">
        <f>'Avg Week MITYANA-BUSUNJU'!J83+'Avg Week BUSUNJU-MITYANA'!J83</f>
        <v>0.5</v>
      </c>
      <c r="K83" s="49">
        <f>'Avg Week MITYANA-BUSUNJU'!K83+'Avg Week BUSUNJU-MITYANA'!K83</f>
        <v>0.5</v>
      </c>
      <c r="L83" s="49">
        <f>'Avg Week MITYANA-BUSUNJU'!L83+'Avg Week BUSUNJU-MITYANA'!L83</f>
        <v>1</v>
      </c>
      <c r="M83" s="49">
        <f>'Avg Week MITYANA-BUSUNJU'!M83+'Avg Week BUSUNJU-MITYANA'!M83</f>
        <v>0</v>
      </c>
      <c r="N83" s="49">
        <f>'Avg Week MITYANA-BUSUNJU'!N83+'Avg Week BUSUNJU-MITYANA'!N83</f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25" t="s">
        <v>124</v>
      </c>
      <c r="C84" s="49">
        <f>'Avg Week MITYANA-BUSUNJU'!C84+'Avg Week BUSUNJU-MITYANA'!C84</f>
        <v>0</v>
      </c>
      <c r="D84" s="49">
        <f>'Avg Week MITYANA-BUSUNJU'!D84+'Avg Week BUSUNJU-MITYANA'!D84</f>
        <v>2</v>
      </c>
      <c r="E84" s="49">
        <f>'Avg Week MITYANA-BUSUNJU'!E84+'Avg Week BUSUNJU-MITYANA'!E84</f>
        <v>0.5</v>
      </c>
      <c r="F84" s="49">
        <f>'Avg Week MITYANA-BUSUNJU'!F84+'Avg Week BUSUNJU-MITYANA'!F84</f>
        <v>0</v>
      </c>
      <c r="G84" s="49">
        <f>'Avg Week MITYANA-BUSUNJU'!G84+'Avg Week BUSUNJU-MITYANA'!G84</f>
        <v>0</v>
      </c>
      <c r="H84" s="49">
        <f>'Avg Week MITYANA-BUSUNJU'!H84+'Avg Week BUSUNJU-MITYANA'!H84</f>
        <v>0</v>
      </c>
      <c r="I84" s="49">
        <f>'Avg Week MITYANA-BUSUNJU'!I84+'Avg Week BUSUNJU-MITYANA'!I84</f>
        <v>1.5</v>
      </c>
      <c r="J84" s="49">
        <f>'Avg Week MITYANA-BUSUNJU'!J84+'Avg Week BUSUNJU-MITYANA'!J84</f>
        <v>1</v>
      </c>
      <c r="K84" s="49">
        <f>'Avg Week MITYANA-BUSUNJU'!K84+'Avg Week BUSUNJU-MITYANA'!K84</f>
        <v>0</v>
      </c>
      <c r="L84" s="49">
        <f>'Avg Week MITYANA-BUSUNJU'!L84+'Avg Week BUSUNJU-MITYANA'!L84</f>
        <v>0</v>
      </c>
      <c r="M84" s="49">
        <f>'Avg Week MITYANA-BUSUNJU'!M84+'Avg Week BUSUNJU-MITYANA'!M84</f>
        <v>0</v>
      </c>
      <c r="N84" s="49">
        <f>'Avg Week MITYANA-BUSUNJU'!N84+'Avg Week BUSUNJU-MITYANA'!N84</f>
        <v>0</v>
      </c>
      <c r="O84" s="15">
        <f t="shared" si="35"/>
        <v>5</v>
      </c>
      <c r="P84" s="15">
        <f t="shared" si="36"/>
        <v>5</v>
      </c>
      <c r="R84" s="8"/>
      <c r="T84"/>
    </row>
    <row r="85" spans="2:20" ht="23.1" customHeight="1" x14ac:dyDescent="0.25">
      <c r="B85" s="23" t="s">
        <v>125</v>
      </c>
      <c r="C85" s="49">
        <f>'Avg Week MITYANA-BUSUNJU'!C85+'Avg Week BUSUNJU-MITYANA'!C85</f>
        <v>1</v>
      </c>
      <c r="D85" s="49">
        <f>'Avg Week MITYANA-BUSUNJU'!D85+'Avg Week BUSUNJU-MITYANA'!D85</f>
        <v>0</v>
      </c>
      <c r="E85" s="49">
        <f>'Avg Week MITYANA-BUSUNJU'!E85+'Avg Week BUSUNJU-MITYANA'!E85</f>
        <v>0</v>
      </c>
      <c r="F85" s="49">
        <f>'Avg Week MITYANA-BUSUNJU'!F85+'Avg Week BUSUNJU-MITYANA'!F85</f>
        <v>0</v>
      </c>
      <c r="G85" s="49">
        <f>'Avg Week MITYANA-BUSUNJU'!G85+'Avg Week BUSUNJU-MITYANA'!G85</f>
        <v>0</v>
      </c>
      <c r="H85" s="49">
        <f>'Avg Week MITYANA-BUSUNJU'!H85+'Avg Week BUSUNJU-MITYANA'!H85</f>
        <v>0</v>
      </c>
      <c r="I85" s="49">
        <f>'Avg Week MITYANA-BUSUNJU'!I85+'Avg Week BUSUNJU-MITYANA'!I85</f>
        <v>0.5</v>
      </c>
      <c r="J85" s="49">
        <f>'Avg Week MITYANA-BUSUNJU'!J85+'Avg Week BUSUNJU-MITYANA'!J85</f>
        <v>0.5</v>
      </c>
      <c r="K85" s="49">
        <f>'Avg Week MITYANA-BUSUNJU'!K85+'Avg Week BUSUNJU-MITYANA'!K85</f>
        <v>0</v>
      </c>
      <c r="L85" s="49">
        <f>'Avg Week MITYANA-BUSUNJU'!L85+'Avg Week BUSUNJU-MITYANA'!L85</f>
        <v>0.5</v>
      </c>
      <c r="M85" s="49">
        <f>'Avg Week MITYANA-BUSUNJU'!M85+'Avg Week BUSUNJU-MITYANA'!M85</f>
        <v>0</v>
      </c>
      <c r="N85" s="49">
        <f>'Avg Week MITYANA-BUSUNJU'!N85+'Avg Week BUSUNJU-MITYANA'!N85</f>
        <v>0</v>
      </c>
      <c r="O85" s="15">
        <f t="shared" si="35"/>
        <v>2.5</v>
      </c>
      <c r="P85" s="15">
        <f t="shared" si="36"/>
        <v>2.5</v>
      </c>
      <c r="R85" s="8"/>
      <c r="T85"/>
    </row>
    <row r="86" spans="2:20" ht="23.1" customHeight="1" x14ac:dyDescent="0.25">
      <c r="B86" s="24" t="s">
        <v>126</v>
      </c>
      <c r="C86" s="49">
        <f>'Avg Week MITYANA-BUSUNJU'!C86+'Avg Week BUSUNJU-MITYANA'!C86</f>
        <v>0</v>
      </c>
      <c r="D86" s="49">
        <f>'Avg Week MITYANA-BUSUNJU'!D86+'Avg Week BUSUNJU-MITYANA'!D86</f>
        <v>0</v>
      </c>
      <c r="E86" s="49">
        <f>'Avg Week MITYANA-BUSUNJU'!E86+'Avg Week BUSUNJU-MITYANA'!E86</f>
        <v>0</v>
      </c>
      <c r="F86" s="49">
        <f>'Avg Week MITYANA-BUSUNJU'!F86+'Avg Week BUSUNJU-MITYANA'!F86</f>
        <v>0</v>
      </c>
      <c r="G86" s="49">
        <f>'Avg Week MITYANA-BUSUNJU'!G86+'Avg Week BUSUNJU-MITYANA'!G86</f>
        <v>0</v>
      </c>
      <c r="H86" s="49">
        <f>'Avg Week MITYANA-BUSUNJU'!H86+'Avg Week BUSUNJU-MITYANA'!H86</f>
        <v>0</v>
      </c>
      <c r="I86" s="49">
        <f>'Avg Week MITYANA-BUSUNJU'!I86+'Avg Week BUSUNJU-MITYANA'!I86</f>
        <v>1</v>
      </c>
      <c r="J86" s="49">
        <f>'Avg Week MITYANA-BUSUNJU'!J86+'Avg Week BUSUNJU-MITYANA'!J86</f>
        <v>0</v>
      </c>
      <c r="K86" s="49">
        <f>'Avg Week MITYANA-BUSUNJU'!K86+'Avg Week BUSUNJU-MITYANA'!K86</f>
        <v>1.5</v>
      </c>
      <c r="L86" s="49">
        <f>'Avg Week MITYANA-BUSUNJU'!L86+'Avg Week BUSUNJU-MITYANA'!L86</f>
        <v>0.5</v>
      </c>
      <c r="M86" s="49">
        <f>'Avg Week MITYANA-BUSUNJU'!M86+'Avg Week BUSUNJU-MITYANA'!M86</f>
        <v>0</v>
      </c>
      <c r="N86" s="49">
        <f>'Avg Week MITYANA-BUSUNJU'!N86+'Avg Week BUSUNJU-MITYANA'!N86</f>
        <v>0</v>
      </c>
      <c r="O86" s="15">
        <f t="shared" si="35"/>
        <v>3</v>
      </c>
      <c r="P86" s="15">
        <f t="shared" si="36"/>
        <v>3</v>
      </c>
      <c r="R86" s="8"/>
      <c r="T86"/>
    </row>
    <row r="87" spans="2:20" ht="23.1" customHeight="1" x14ac:dyDescent="0.25">
      <c r="B87" s="23" t="s">
        <v>127</v>
      </c>
      <c r="C87" s="49">
        <f>'Avg Week MITYANA-BUSUNJU'!C87+'Avg Week BUSUNJU-MITYANA'!C87</f>
        <v>1</v>
      </c>
      <c r="D87" s="49">
        <f>'Avg Week MITYANA-BUSUNJU'!D87+'Avg Week BUSUNJU-MITYANA'!D87</f>
        <v>0</v>
      </c>
      <c r="E87" s="49">
        <f>'Avg Week MITYANA-BUSUNJU'!E87+'Avg Week BUSUNJU-MITYANA'!E87</f>
        <v>1</v>
      </c>
      <c r="F87" s="49">
        <f>'Avg Week MITYANA-BUSUNJU'!F87+'Avg Week BUSUNJU-MITYANA'!F87</f>
        <v>0</v>
      </c>
      <c r="G87" s="49">
        <f>'Avg Week MITYANA-BUSUNJU'!G87+'Avg Week BUSUNJU-MITYANA'!G87</f>
        <v>0</v>
      </c>
      <c r="H87" s="49">
        <f>'Avg Week MITYANA-BUSUNJU'!H87+'Avg Week BUSUNJU-MITYANA'!H87</f>
        <v>0</v>
      </c>
      <c r="I87" s="49">
        <f>'Avg Week MITYANA-BUSUNJU'!I87+'Avg Week BUSUNJU-MITYANA'!I87</f>
        <v>0</v>
      </c>
      <c r="J87" s="49">
        <f>'Avg Week MITYANA-BUSUNJU'!J87+'Avg Week BUSUNJU-MITYANA'!J87</f>
        <v>2</v>
      </c>
      <c r="K87" s="49">
        <f>'Avg Week MITYANA-BUSUNJU'!K87+'Avg Week BUSUNJU-MITYANA'!K87</f>
        <v>0.5</v>
      </c>
      <c r="L87" s="49">
        <f>'Avg Week MITYANA-BUSUNJU'!L87+'Avg Week BUSUNJU-MITYANA'!L87</f>
        <v>0.5</v>
      </c>
      <c r="M87" s="49">
        <f>'Avg Week MITYANA-BUSUNJU'!M87+'Avg Week BUSUNJU-MITYANA'!M87</f>
        <v>0</v>
      </c>
      <c r="N87" s="49">
        <f>'Avg Week MITYANA-BUSUNJU'!N87+'Avg Week BUSUNJU-MITYANA'!N87</f>
        <v>0</v>
      </c>
      <c r="O87" s="15">
        <f t="shared" si="35"/>
        <v>5</v>
      </c>
      <c r="P87" s="15">
        <f t="shared" si="36"/>
        <v>5</v>
      </c>
      <c r="R87" s="8"/>
      <c r="T87"/>
    </row>
    <row r="88" spans="2:20" ht="23.1" customHeight="1" x14ac:dyDescent="0.25">
      <c r="B88" s="25" t="s">
        <v>128</v>
      </c>
      <c r="C88" s="49">
        <f>'Avg Week MITYANA-BUSUNJU'!C88+'Avg Week BUSUNJU-MITYANA'!C88</f>
        <v>0</v>
      </c>
      <c r="D88" s="49">
        <f>'Avg Week MITYANA-BUSUNJU'!D88+'Avg Week BUSUNJU-MITYANA'!D88</f>
        <v>0</v>
      </c>
      <c r="E88" s="49">
        <f>'Avg Week MITYANA-BUSUNJU'!E88+'Avg Week BUSUNJU-MITYANA'!E88</f>
        <v>0.5</v>
      </c>
      <c r="F88" s="49">
        <f>'Avg Week MITYANA-BUSUNJU'!F88+'Avg Week BUSUNJU-MITYANA'!F88</f>
        <v>0</v>
      </c>
      <c r="G88" s="49">
        <f>'Avg Week MITYANA-BUSUNJU'!G88+'Avg Week BUSUNJU-MITYANA'!G88</f>
        <v>0</v>
      </c>
      <c r="H88" s="49">
        <f>'Avg Week MITYANA-BUSUNJU'!H88+'Avg Week BUSUNJU-MITYANA'!H88</f>
        <v>0</v>
      </c>
      <c r="I88" s="49">
        <f>'Avg Week MITYANA-BUSUNJU'!I88+'Avg Week BUSUNJU-MITYANA'!I88</f>
        <v>0.5</v>
      </c>
      <c r="J88" s="49">
        <f>'Avg Week MITYANA-BUSUNJU'!J88+'Avg Week BUSUNJU-MITYANA'!J88</f>
        <v>0.5</v>
      </c>
      <c r="K88" s="49">
        <f>'Avg Week MITYANA-BUSUNJU'!K88+'Avg Week BUSUNJU-MITYANA'!K88</f>
        <v>0</v>
      </c>
      <c r="L88" s="49">
        <f>'Avg Week MITYANA-BUSUNJU'!L88+'Avg Week BUSUNJU-MITYANA'!L88</f>
        <v>1.5</v>
      </c>
      <c r="M88" s="49">
        <f>'Avg Week MITYANA-BUSUNJU'!M88+'Avg Week BUSUNJU-MITYANA'!M88</f>
        <v>0</v>
      </c>
      <c r="N88" s="49">
        <f>'Avg Week MITYANA-BUSUNJU'!N88+'Avg Week BUSUNJU-MITYANA'!N88</f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23" t="s">
        <v>129</v>
      </c>
      <c r="C89" s="49">
        <f>'Avg Week MITYANA-BUSUNJU'!C89+'Avg Week BUSUNJU-MITYANA'!C89</f>
        <v>1</v>
      </c>
      <c r="D89" s="49">
        <f>'Avg Week MITYANA-BUSUNJU'!D89+'Avg Week BUSUNJU-MITYANA'!D89</f>
        <v>0</v>
      </c>
      <c r="E89" s="49">
        <f>'Avg Week MITYANA-BUSUNJU'!E89+'Avg Week BUSUNJU-MITYANA'!E89</f>
        <v>0</v>
      </c>
      <c r="F89" s="49">
        <f>'Avg Week MITYANA-BUSUNJU'!F89+'Avg Week BUSUNJU-MITYANA'!F89</f>
        <v>0</v>
      </c>
      <c r="G89" s="49">
        <f>'Avg Week MITYANA-BUSUNJU'!G89+'Avg Week BUSUNJU-MITYANA'!G89</f>
        <v>0</v>
      </c>
      <c r="H89" s="49">
        <f>'Avg Week MITYANA-BUSUNJU'!H89+'Avg Week BUSUNJU-MITYANA'!H89</f>
        <v>0</v>
      </c>
      <c r="I89" s="49">
        <f>'Avg Week MITYANA-BUSUNJU'!I89+'Avg Week BUSUNJU-MITYANA'!I89</f>
        <v>0</v>
      </c>
      <c r="J89" s="49">
        <f>'Avg Week MITYANA-BUSUNJU'!J89+'Avg Week BUSUNJU-MITYANA'!J89</f>
        <v>0.5</v>
      </c>
      <c r="K89" s="49">
        <f>'Avg Week MITYANA-BUSUNJU'!K89+'Avg Week BUSUNJU-MITYANA'!K89</f>
        <v>1</v>
      </c>
      <c r="L89" s="49">
        <f>'Avg Week MITYANA-BUSUNJU'!L89+'Avg Week BUSUNJU-MITYANA'!L89</f>
        <v>0.5</v>
      </c>
      <c r="M89" s="49">
        <f>'Avg Week MITYANA-BUSUNJU'!M89+'Avg Week BUSUNJU-MITYANA'!M89</f>
        <v>0</v>
      </c>
      <c r="N89" s="49">
        <f>'Avg Week MITYANA-BUSUNJU'!N89+'Avg Week BUSUNJU-MITYANA'!N89</f>
        <v>0</v>
      </c>
      <c r="O89" s="15">
        <f t="shared" si="35"/>
        <v>3</v>
      </c>
      <c r="P89" s="15">
        <f t="shared" si="36"/>
        <v>3</v>
      </c>
      <c r="R89" s="8"/>
      <c r="T89"/>
    </row>
    <row r="90" spans="2:20" ht="23.1" customHeight="1" x14ac:dyDescent="0.25">
      <c r="B90" s="24" t="s">
        <v>130</v>
      </c>
      <c r="C90" s="49">
        <f>'Avg Week MITYANA-BUSUNJU'!C90+'Avg Week BUSUNJU-MITYANA'!C90</f>
        <v>1</v>
      </c>
      <c r="D90" s="49">
        <f>'Avg Week MITYANA-BUSUNJU'!D90+'Avg Week BUSUNJU-MITYANA'!D90</f>
        <v>0.5</v>
      </c>
      <c r="E90" s="49">
        <f>'Avg Week MITYANA-BUSUNJU'!E90+'Avg Week BUSUNJU-MITYANA'!E90</f>
        <v>0.5</v>
      </c>
      <c r="F90" s="49">
        <f>'Avg Week MITYANA-BUSUNJU'!F90+'Avg Week BUSUNJU-MITYANA'!F90</f>
        <v>0</v>
      </c>
      <c r="G90" s="49">
        <f>'Avg Week MITYANA-BUSUNJU'!G90+'Avg Week BUSUNJU-MITYANA'!G90</f>
        <v>0</v>
      </c>
      <c r="H90" s="49">
        <f>'Avg Week MITYANA-BUSUNJU'!H90+'Avg Week BUSUNJU-MITYANA'!H90</f>
        <v>0</v>
      </c>
      <c r="I90" s="49">
        <f>'Avg Week MITYANA-BUSUNJU'!I90+'Avg Week BUSUNJU-MITYANA'!I90</f>
        <v>0.5</v>
      </c>
      <c r="J90" s="49">
        <f>'Avg Week MITYANA-BUSUNJU'!J90+'Avg Week BUSUNJU-MITYANA'!J90</f>
        <v>0.5</v>
      </c>
      <c r="K90" s="49">
        <f>'Avg Week MITYANA-BUSUNJU'!K90+'Avg Week BUSUNJU-MITYANA'!K90</f>
        <v>1.5</v>
      </c>
      <c r="L90" s="49">
        <f>'Avg Week MITYANA-BUSUNJU'!L90+'Avg Week BUSUNJU-MITYANA'!L90</f>
        <v>1</v>
      </c>
      <c r="M90" s="49">
        <f>'Avg Week MITYANA-BUSUNJU'!M90+'Avg Week BUSUNJU-MITYANA'!M90</f>
        <v>0</v>
      </c>
      <c r="N90" s="49">
        <f>'Avg Week MITYANA-BUSUNJU'!N90+'Avg Week BUSUNJU-MITYANA'!N90</f>
        <v>0</v>
      </c>
      <c r="O90" s="15">
        <f t="shared" si="35"/>
        <v>5.5</v>
      </c>
      <c r="P90" s="15">
        <f t="shared" si="36"/>
        <v>5.5</v>
      </c>
      <c r="R90" s="8"/>
      <c r="T90"/>
    </row>
    <row r="91" spans="2:20" ht="23.1" customHeight="1" x14ac:dyDescent="0.25">
      <c r="B91" s="23" t="s">
        <v>131</v>
      </c>
      <c r="C91" s="49">
        <f>'Avg Week MITYANA-BUSUNJU'!C91+'Avg Week BUSUNJU-MITYANA'!C91</f>
        <v>0</v>
      </c>
      <c r="D91" s="49">
        <f>'Avg Week MITYANA-BUSUNJU'!D91+'Avg Week BUSUNJU-MITYANA'!D91</f>
        <v>0</v>
      </c>
      <c r="E91" s="49">
        <f>'Avg Week MITYANA-BUSUNJU'!E91+'Avg Week BUSUNJU-MITYANA'!E91</f>
        <v>0</v>
      </c>
      <c r="F91" s="49">
        <f>'Avg Week MITYANA-BUSUNJU'!F91+'Avg Week BUSUNJU-MITYANA'!F91</f>
        <v>0</v>
      </c>
      <c r="G91" s="49">
        <f>'Avg Week MITYANA-BUSUNJU'!G91+'Avg Week BUSUNJU-MITYANA'!G91</f>
        <v>0</v>
      </c>
      <c r="H91" s="49">
        <f>'Avg Week MITYANA-BUSUNJU'!H91+'Avg Week BUSUNJU-MITYANA'!H91</f>
        <v>0</v>
      </c>
      <c r="I91" s="49">
        <f>'Avg Week MITYANA-BUSUNJU'!I91+'Avg Week BUSUNJU-MITYANA'!I91</f>
        <v>1</v>
      </c>
      <c r="J91" s="49">
        <f>'Avg Week MITYANA-BUSUNJU'!J91+'Avg Week BUSUNJU-MITYANA'!J91</f>
        <v>0.5</v>
      </c>
      <c r="K91" s="49">
        <f>'Avg Week MITYANA-BUSUNJU'!K91+'Avg Week BUSUNJU-MITYANA'!K91</f>
        <v>0</v>
      </c>
      <c r="L91" s="49">
        <f>'Avg Week MITYANA-BUSUNJU'!L91+'Avg Week BUSUNJU-MITYANA'!L91</f>
        <v>0</v>
      </c>
      <c r="M91" s="49">
        <f>'Avg Week MITYANA-BUSUNJU'!M91+'Avg Week BUSUNJU-MITYANA'!M91</f>
        <v>0</v>
      </c>
      <c r="N91" s="49">
        <f>'Avg Week MITYANA-BUSUNJU'!N91+'Avg Week BUSUNJU-MITYANA'!N91</f>
        <v>0</v>
      </c>
      <c r="O91" s="15">
        <f t="shared" si="35"/>
        <v>1.5</v>
      </c>
      <c r="P91" s="15">
        <f t="shared" si="36"/>
        <v>1.5</v>
      </c>
      <c r="R91" s="8"/>
      <c r="T91"/>
    </row>
    <row r="92" spans="2:20" ht="23.1" customHeight="1" x14ac:dyDescent="0.25">
      <c r="B92" s="25" t="s">
        <v>132</v>
      </c>
      <c r="C92" s="49">
        <f>'Avg Week MITYANA-BUSUNJU'!C92+'Avg Week BUSUNJU-MITYANA'!C92</f>
        <v>0</v>
      </c>
      <c r="D92" s="49">
        <f>'Avg Week MITYANA-BUSUNJU'!D92+'Avg Week BUSUNJU-MITYANA'!D92</f>
        <v>0</v>
      </c>
      <c r="E92" s="49">
        <f>'Avg Week MITYANA-BUSUNJU'!E92+'Avg Week BUSUNJU-MITYANA'!E92</f>
        <v>0</v>
      </c>
      <c r="F92" s="49">
        <f>'Avg Week MITYANA-BUSUNJU'!F92+'Avg Week BUSUNJU-MITYANA'!F92</f>
        <v>0</v>
      </c>
      <c r="G92" s="49">
        <f>'Avg Week MITYANA-BUSUNJU'!G92+'Avg Week BUSUNJU-MITYANA'!G92</f>
        <v>0</v>
      </c>
      <c r="H92" s="49">
        <f>'Avg Week MITYANA-BUSUNJU'!H92+'Avg Week BUSUNJU-MITYANA'!H92</f>
        <v>0</v>
      </c>
      <c r="I92" s="49">
        <f>'Avg Week MITYANA-BUSUNJU'!I92+'Avg Week BUSUNJU-MITYANA'!I92</f>
        <v>2</v>
      </c>
      <c r="J92" s="49">
        <f>'Avg Week MITYANA-BUSUNJU'!J92+'Avg Week BUSUNJU-MITYANA'!J92</f>
        <v>0.5</v>
      </c>
      <c r="K92" s="49">
        <f>'Avg Week MITYANA-BUSUNJU'!K92+'Avg Week BUSUNJU-MITYANA'!K92</f>
        <v>1</v>
      </c>
      <c r="L92" s="49">
        <f>'Avg Week MITYANA-BUSUNJU'!L92+'Avg Week BUSUNJU-MITYANA'!L92</f>
        <v>1</v>
      </c>
      <c r="M92" s="49">
        <f>'Avg Week MITYANA-BUSUNJU'!M92+'Avg Week BUSUNJU-MITYANA'!M92</f>
        <v>0</v>
      </c>
      <c r="N92" s="49">
        <f>'Avg Week MITYANA-BUSUNJU'!N92+'Avg Week BUSUNJU-MITYANA'!N92</f>
        <v>0</v>
      </c>
      <c r="O92" s="15">
        <f t="shared" si="35"/>
        <v>4.5</v>
      </c>
      <c r="P92" s="15">
        <f t="shared" si="36"/>
        <v>4.5</v>
      </c>
      <c r="R92" s="8"/>
      <c r="T92"/>
    </row>
    <row r="93" spans="2:20" ht="23.1" customHeight="1" x14ac:dyDescent="0.25">
      <c r="B93" s="23" t="s">
        <v>133</v>
      </c>
      <c r="C93" s="49">
        <f>'Avg Week MITYANA-BUSUNJU'!C93+'Avg Week BUSUNJU-MITYANA'!C93</f>
        <v>0</v>
      </c>
      <c r="D93" s="49">
        <f>'Avg Week MITYANA-BUSUNJU'!D93+'Avg Week BUSUNJU-MITYANA'!D93</f>
        <v>1</v>
      </c>
      <c r="E93" s="49">
        <f>'Avg Week MITYANA-BUSUNJU'!E93+'Avg Week BUSUNJU-MITYANA'!E93</f>
        <v>1</v>
      </c>
      <c r="F93" s="49">
        <f>'Avg Week MITYANA-BUSUNJU'!F93+'Avg Week BUSUNJU-MITYANA'!F93</f>
        <v>0</v>
      </c>
      <c r="G93" s="49">
        <f>'Avg Week MITYANA-BUSUNJU'!G93+'Avg Week BUSUNJU-MITYANA'!G93</f>
        <v>0</v>
      </c>
      <c r="H93" s="49">
        <f>'Avg Week MITYANA-BUSUNJU'!H93+'Avg Week BUSUNJU-MITYANA'!H93</f>
        <v>0</v>
      </c>
      <c r="I93" s="49">
        <f>'Avg Week MITYANA-BUSUNJU'!I93+'Avg Week BUSUNJU-MITYANA'!I93</f>
        <v>1</v>
      </c>
      <c r="J93" s="49">
        <f>'Avg Week MITYANA-BUSUNJU'!J93+'Avg Week BUSUNJU-MITYANA'!J93</f>
        <v>1</v>
      </c>
      <c r="K93" s="49">
        <f>'Avg Week MITYANA-BUSUNJU'!K93+'Avg Week BUSUNJU-MITYANA'!K93</f>
        <v>1</v>
      </c>
      <c r="L93" s="49">
        <f>'Avg Week MITYANA-BUSUNJU'!L93+'Avg Week BUSUNJU-MITYANA'!L93</f>
        <v>0.5</v>
      </c>
      <c r="M93" s="49">
        <f>'Avg Week MITYANA-BUSUNJU'!M93+'Avg Week BUSUNJU-MITYANA'!M93</f>
        <v>0</v>
      </c>
      <c r="N93" s="49">
        <f>'Avg Week MITYANA-BUSUNJU'!N93+'Avg Week BUSUNJU-MITYANA'!N93</f>
        <v>0</v>
      </c>
      <c r="O93" s="15">
        <f t="shared" si="35"/>
        <v>5.5</v>
      </c>
      <c r="P93" s="15">
        <f t="shared" si="36"/>
        <v>5.5</v>
      </c>
      <c r="R93" s="8"/>
      <c r="T93"/>
    </row>
    <row r="94" spans="2:20" ht="23.1" customHeight="1" x14ac:dyDescent="0.25">
      <c r="B94" s="24" t="s">
        <v>134</v>
      </c>
      <c r="C94" s="49">
        <f>'Avg Week MITYANA-BUSUNJU'!C94+'Avg Week BUSUNJU-MITYANA'!C94</f>
        <v>2</v>
      </c>
      <c r="D94" s="49">
        <f>'Avg Week MITYANA-BUSUNJU'!D94+'Avg Week BUSUNJU-MITYANA'!D94</f>
        <v>0</v>
      </c>
      <c r="E94" s="49">
        <f>'Avg Week MITYANA-BUSUNJU'!E94+'Avg Week BUSUNJU-MITYANA'!E94</f>
        <v>1</v>
      </c>
      <c r="F94" s="49">
        <f>'Avg Week MITYANA-BUSUNJU'!F94+'Avg Week BUSUNJU-MITYANA'!F94</f>
        <v>0</v>
      </c>
      <c r="G94" s="49">
        <f>'Avg Week MITYANA-BUSUNJU'!G94+'Avg Week BUSUNJU-MITYANA'!G94</f>
        <v>0</v>
      </c>
      <c r="H94" s="49">
        <f>'Avg Week MITYANA-BUSUNJU'!H94+'Avg Week BUSUNJU-MITYANA'!H94</f>
        <v>0</v>
      </c>
      <c r="I94" s="49">
        <f>'Avg Week MITYANA-BUSUNJU'!I94+'Avg Week BUSUNJU-MITYANA'!I94</f>
        <v>0</v>
      </c>
      <c r="J94" s="49">
        <f>'Avg Week MITYANA-BUSUNJU'!J94+'Avg Week BUSUNJU-MITYANA'!J94</f>
        <v>0</v>
      </c>
      <c r="K94" s="49">
        <f>'Avg Week MITYANA-BUSUNJU'!K94+'Avg Week BUSUNJU-MITYANA'!K94</f>
        <v>1.5</v>
      </c>
      <c r="L94" s="49">
        <f>'Avg Week MITYANA-BUSUNJU'!L94+'Avg Week BUSUNJU-MITYANA'!L94</f>
        <v>0</v>
      </c>
      <c r="M94" s="49">
        <f>'Avg Week MITYANA-BUSUNJU'!M94+'Avg Week BUSUNJU-MITYANA'!M94</f>
        <v>1</v>
      </c>
      <c r="N94" s="49">
        <f>'Avg Week MITYANA-BUSUNJU'!N94+'Avg Week BUSUNJU-MITYANA'!N94</f>
        <v>0</v>
      </c>
      <c r="O94" s="15">
        <f t="shared" si="35"/>
        <v>4.5</v>
      </c>
      <c r="P94" s="15">
        <f t="shared" si="36"/>
        <v>5.5</v>
      </c>
      <c r="R94" s="8"/>
      <c r="T94"/>
    </row>
    <row r="95" spans="2:20" ht="23.1" customHeight="1" x14ac:dyDescent="0.25">
      <c r="B95" s="23" t="s">
        <v>135</v>
      </c>
      <c r="C95" s="49">
        <f>'Avg Week MITYANA-BUSUNJU'!C95+'Avg Week BUSUNJU-MITYANA'!C95</f>
        <v>0.5</v>
      </c>
      <c r="D95" s="49">
        <f>'Avg Week MITYANA-BUSUNJU'!D95+'Avg Week BUSUNJU-MITYANA'!D95</f>
        <v>0</v>
      </c>
      <c r="E95" s="49">
        <f>'Avg Week MITYANA-BUSUNJU'!E95+'Avg Week BUSUNJU-MITYANA'!E95</f>
        <v>1.5</v>
      </c>
      <c r="F95" s="49">
        <f>'Avg Week MITYANA-BUSUNJU'!F95+'Avg Week BUSUNJU-MITYANA'!F95</f>
        <v>0</v>
      </c>
      <c r="G95" s="49">
        <f>'Avg Week MITYANA-BUSUNJU'!G95+'Avg Week BUSUNJU-MITYANA'!G95</f>
        <v>0</v>
      </c>
      <c r="H95" s="49">
        <f>'Avg Week MITYANA-BUSUNJU'!H95+'Avg Week BUSUNJU-MITYANA'!H95</f>
        <v>0</v>
      </c>
      <c r="I95" s="49">
        <f>'Avg Week MITYANA-BUSUNJU'!I95+'Avg Week BUSUNJU-MITYANA'!I95</f>
        <v>1</v>
      </c>
      <c r="J95" s="49">
        <f>'Avg Week MITYANA-BUSUNJU'!J95+'Avg Week BUSUNJU-MITYANA'!J95</f>
        <v>0</v>
      </c>
      <c r="K95" s="49">
        <f>'Avg Week MITYANA-BUSUNJU'!K95+'Avg Week BUSUNJU-MITYANA'!K95</f>
        <v>0.5</v>
      </c>
      <c r="L95" s="49">
        <f>'Avg Week MITYANA-BUSUNJU'!L95+'Avg Week BUSUNJU-MITYANA'!L95</f>
        <v>0</v>
      </c>
      <c r="M95" s="49">
        <f>'Avg Week MITYANA-BUSUNJU'!M95+'Avg Week BUSUNJU-MITYANA'!M95</f>
        <v>1.5</v>
      </c>
      <c r="N95" s="49">
        <f>'Avg Week MITYANA-BUSUNJU'!N95+'Avg Week BUSUNJU-MITYANA'!N95</f>
        <v>0</v>
      </c>
      <c r="O95" s="15">
        <f t="shared" si="35"/>
        <v>3.5</v>
      </c>
      <c r="P95" s="15">
        <f t="shared" si="36"/>
        <v>5</v>
      </c>
      <c r="R95" s="8"/>
      <c r="T95"/>
    </row>
    <row r="96" spans="2:20" ht="23.1" customHeight="1" x14ac:dyDescent="0.25">
      <c r="B96" s="25" t="s">
        <v>136</v>
      </c>
      <c r="C96" s="49">
        <f>'Avg Week MITYANA-BUSUNJU'!C96+'Avg Week BUSUNJU-MITYANA'!C96</f>
        <v>1</v>
      </c>
      <c r="D96" s="49">
        <f>'Avg Week MITYANA-BUSUNJU'!D96+'Avg Week BUSUNJU-MITYANA'!D96</f>
        <v>0</v>
      </c>
      <c r="E96" s="49">
        <f>'Avg Week MITYANA-BUSUNJU'!E96+'Avg Week BUSUNJU-MITYANA'!E96</f>
        <v>0.5</v>
      </c>
      <c r="F96" s="49">
        <f>'Avg Week MITYANA-BUSUNJU'!F96+'Avg Week BUSUNJU-MITYANA'!F96</f>
        <v>1</v>
      </c>
      <c r="G96" s="49">
        <f>'Avg Week MITYANA-BUSUNJU'!G96+'Avg Week BUSUNJU-MITYANA'!G96</f>
        <v>0</v>
      </c>
      <c r="H96" s="49">
        <f>'Avg Week MITYANA-BUSUNJU'!H96+'Avg Week BUSUNJU-MITYANA'!H96</f>
        <v>0.5</v>
      </c>
      <c r="I96" s="49">
        <f>'Avg Week MITYANA-BUSUNJU'!I96+'Avg Week BUSUNJU-MITYANA'!I96</f>
        <v>1</v>
      </c>
      <c r="J96" s="49">
        <f>'Avg Week MITYANA-BUSUNJU'!J96+'Avg Week BUSUNJU-MITYANA'!J96</f>
        <v>1.5</v>
      </c>
      <c r="K96" s="49">
        <f>'Avg Week MITYANA-BUSUNJU'!K96+'Avg Week BUSUNJU-MITYANA'!K96</f>
        <v>0</v>
      </c>
      <c r="L96" s="49">
        <f>'Avg Week MITYANA-BUSUNJU'!L96+'Avg Week BUSUNJU-MITYANA'!L96</f>
        <v>1</v>
      </c>
      <c r="M96" s="49">
        <f>'Avg Week MITYANA-BUSUNJU'!M96+'Avg Week BUSUNJU-MITYANA'!M96</f>
        <v>1</v>
      </c>
      <c r="N96" s="49">
        <f>'Avg Week MITYANA-BUSUNJU'!N96+'Avg Week BUSUNJU-MITYANA'!N96</f>
        <v>0</v>
      </c>
      <c r="O96" s="15">
        <f t="shared" si="35"/>
        <v>6.5</v>
      </c>
      <c r="P96" s="15">
        <f t="shared" si="36"/>
        <v>7.5</v>
      </c>
      <c r="R96" s="8"/>
      <c r="T96"/>
    </row>
    <row r="97" spans="2:20" ht="23.1" customHeight="1" x14ac:dyDescent="0.25">
      <c r="B97" s="23" t="s">
        <v>137</v>
      </c>
      <c r="C97" s="49">
        <f>'Avg Week MITYANA-BUSUNJU'!C97+'Avg Week BUSUNJU-MITYANA'!C97</f>
        <v>0.5</v>
      </c>
      <c r="D97" s="49">
        <f>'Avg Week MITYANA-BUSUNJU'!D97+'Avg Week BUSUNJU-MITYANA'!D97</f>
        <v>0.5</v>
      </c>
      <c r="E97" s="49">
        <f>'Avg Week MITYANA-BUSUNJU'!E97+'Avg Week BUSUNJU-MITYANA'!E97</f>
        <v>1.5</v>
      </c>
      <c r="F97" s="49">
        <f>'Avg Week MITYANA-BUSUNJU'!F97+'Avg Week BUSUNJU-MITYANA'!F97</f>
        <v>0</v>
      </c>
      <c r="G97" s="49">
        <f>'Avg Week MITYANA-BUSUNJU'!G97+'Avg Week BUSUNJU-MITYANA'!G97</f>
        <v>0</v>
      </c>
      <c r="H97" s="49">
        <f>'Avg Week MITYANA-BUSUNJU'!H97+'Avg Week BUSUNJU-MITYANA'!H97</f>
        <v>0</v>
      </c>
      <c r="I97" s="49">
        <f>'Avg Week MITYANA-BUSUNJU'!I97+'Avg Week BUSUNJU-MITYANA'!I97</f>
        <v>1.5</v>
      </c>
      <c r="J97" s="49">
        <f>'Avg Week MITYANA-BUSUNJU'!J97+'Avg Week BUSUNJU-MITYANA'!J97</f>
        <v>0</v>
      </c>
      <c r="K97" s="49">
        <f>'Avg Week MITYANA-BUSUNJU'!K97+'Avg Week BUSUNJU-MITYANA'!K97</f>
        <v>0.5</v>
      </c>
      <c r="L97" s="49">
        <f>'Avg Week MITYANA-BUSUNJU'!L97+'Avg Week BUSUNJU-MITYANA'!L97</f>
        <v>0</v>
      </c>
      <c r="M97" s="49">
        <f>'Avg Week MITYANA-BUSUNJU'!M97+'Avg Week BUSUNJU-MITYANA'!M97</f>
        <v>4.5</v>
      </c>
      <c r="N97" s="49">
        <f>'Avg Week MITYANA-BUSUNJU'!N97+'Avg Week BUSUNJU-MITYANA'!N97</f>
        <v>0</v>
      </c>
      <c r="O97" s="15">
        <f t="shared" si="35"/>
        <v>4.5</v>
      </c>
      <c r="P97" s="15">
        <f t="shared" si="36"/>
        <v>9</v>
      </c>
      <c r="R97" s="8"/>
      <c r="T97"/>
    </row>
    <row r="98" spans="2:20" ht="23.1" customHeight="1" x14ac:dyDescent="0.25">
      <c r="B98" s="24" t="s">
        <v>138</v>
      </c>
      <c r="C98" s="49">
        <f>'Avg Week MITYANA-BUSUNJU'!C98+'Avg Week BUSUNJU-MITYANA'!C98</f>
        <v>1.5</v>
      </c>
      <c r="D98" s="49">
        <f>'Avg Week MITYANA-BUSUNJU'!D98+'Avg Week BUSUNJU-MITYANA'!D98</f>
        <v>0.5</v>
      </c>
      <c r="E98" s="49">
        <f>'Avg Week MITYANA-BUSUNJU'!E98+'Avg Week BUSUNJU-MITYANA'!E98</f>
        <v>1</v>
      </c>
      <c r="F98" s="49">
        <f>'Avg Week MITYANA-BUSUNJU'!F98+'Avg Week BUSUNJU-MITYANA'!F98</f>
        <v>0</v>
      </c>
      <c r="G98" s="49">
        <f>'Avg Week MITYANA-BUSUNJU'!G98+'Avg Week BUSUNJU-MITYANA'!G98</f>
        <v>0</v>
      </c>
      <c r="H98" s="49">
        <f>'Avg Week MITYANA-BUSUNJU'!H98+'Avg Week BUSUNJU-MITYANA'!H98</f>
        <v>0</v>
      </c>
      <c r="I98" s="49">
        <f>'Avg Week MITYANA-BUSUNJU'!I98+'Avg Week BUSUNJU-MITYANA'!I98</f>
        <v>3.5</v>
      </c>
      <c r="J98" s="49">
        <f>'Avg Week MITYANA-BUSUNJU'!J98+'Avg Week BUSUNJU-MITYANA'!J98</f>
        <v>0</v>
      </c>
      <c r="K98" s="49">
        <f>'Avg Week MITYANA-BUSUNJU'!K98+'Avg Week BUSUNJU-MITYANA'!K98</f>
        <v>2</v>
      </c>
      <c r="L98" s="49">
        <f>'Avg Week MITYANA-BUSUNJU'!L98+'Avg Week BUSUNJU-MITYANA'!L98</f>
        <v>0</v>
      </c>
      <c r="M98" s="49">
        <f>'Avg Week MITYANA-BUSUNJU'!M98+'Avg Week BUSUNJU-MITYANA'!M98</f>
        <v>3</v>
      </c>
      <c r="N98" s="49">
        <f>'Avg Week MITYANA-BUSUNJU'!N98+'Avg Week BUSUNJU-MITYANA'!N98</f>
        <v>0</v>
      </c>
      <c r="O98" s="15">
        <f t="shared" si="35"/>
        <v>8.5</v>
      </c>
      <c r="P98" s="15">
        <f t="shared" si="36"/>
        <v>11.5</v>
      </c>
      <c r="R98" s="8"/>
      <c r="T98"/>
    </row>
    <row r="99" spans="2:20" ht="23.1" customHeight="1" x14ac:dyDescent="0.25">
      <c r="B99" s="23" t="s">
        <v>139</v>
      </c>
      <c r="C99" s="49">
        <f>'Avg Week MITYANA-BUSUNJU'!C99+'Avg Week BUSUNJU-MITYANA'!C99</f>
        <v>0.5</v>
      </c>
      <c r="D99" s="49">
        <f>'Avg Week MITYANA-BUSUNJU'!D99+'Avg Week BUSUNJU-MITYANA'!D99</f>
        <v>1.5</v>
      </c>
      <c r="E99" s="49">
        <f>'Avg Week MITYANA-BUSUNJU'!E99+'Avg Week BUSUNJU-MITYANA'!E99</f>
        <v>0</v>
      </c>
      <c r="F99" s="49">
        <f>'Avg Week MITYANA-BUSUNJU'!F99+'Avg Week BUSUNJU-MITYANA'!F99</f>
        <v>0</v>
      </c>
      <c r="G99" s="49">
        <f>'Avg Week MITYANA-BUSUNJU'!G99+'Avg Week BUSUNJU-MITYANA'!G99</f>
        <v>0</v>
      </c>
      <c r="H99" s="49">
        <f>'Avg Week MITYANA-BUSUNJU'!H99+'Avg Week BUSUNJU-MITYANA'!H99</f>
        <v>0</v>
      </c>
      <c r="I99" s="49">
        <f>'Avg Week MITYANA-BUSUNJU'!I99+'Avg Week BUSUNJU-MITYANA'!I99</f>
        <v>0.5</v>
      </c>
      <c r="J99" s="49">
        <f>'Avg Week MITYANA-BUSUNJU'!J99+'Avg Week BUSUNJU-MITYANA'!J99</f>
        <v>1</v>
      </c>
      <c r="K99" s="49">
        <f>'Avg Week MITYANA-BUSUNJU'!K99+'Avg Week BUSUNJU-MITYANA'!K99</f>
        <v>0</v>
      </c>
      <c r="L99" s="49">
        <f>'Avg Week MITYANA-BUSUNJU'!L99+'Avg Week BUSUNJU-MITYANA'!L99</f>
        <v>0</v>
      </c>
      <c r="M99" s="49">
        <f>'Avg Week MITYANA-BUSUNJU'!M99+'Avg Week BUSUNJU-MITYANA'!M99</f>
        <v>3</v>
      </c>
      <c r="N99" s="49">
        <f>'Avg Week MITYANA-BUSUNJU'!N99+'Avg Week BUSUNJU-MITYANA'!N99</f>
        <v>0</v>
      </c>
      <c r="O99" s="15">
        <f t="shared" si="35"/>
        <v>3.5</v>
      </c>
      <c r="P99" s="15">
        <f t="shared" si="36"/>
        <v>6.5</v>
      </c>
      <c r="R99" s="8"/>
      <c r="T99"/>
    </row>
    <row r="100" spans="2:20" ht="23.1" customHeight="1" x14ac:dyDescent="0.25">
      <c r="B100" s="25" t="s">
        <v>140</v>
      </c>
      <c r="C100" s="49">
        <f>'Avg Week MITYANA-BUSUNJU'!C100+'Avg Week BUSUNJU-MITYANA'!C100</f>
        <v>0.5</v>
      </c>
      <c r="D100" s="49">
        <f>'Avg Week MITYANA-BUSUNJU'!D100+'Avg Week BUSUNJU-MITYANA'!D100</f>
        <v>0</v>
      </c>
      <c r="E100" s="49">
        <f>'Avg Week MITYANA-BUSUNJU'!E100+'Avg Week BUSUNJU-MITYANA'!E100</f>
        <v>0</v>
      </c>
      <c r="F100" s="49">
        <f>'Avg Week MITYANA-BUSUNJU'!F100+'Avg Week BUSUNJU-MITYANA'!F100</f>
        <v>0</v>
      </c>
      <c r="G100" s="49">
        <f>'Avg Week MITYANA-BUSUNJU'!G100+'Avg Week BUSUNJU-MITYANA'!G100</f>
        <v>0</v>
      </c>
      <c r="H100" s="49">
        <f>'Avg Week MITYANA-BUSUNJU'!H100+'Avg Week BUSUNJU-MITYANA'!H100</f>
        <v>0</v>
      </c>
      <c r="I100" s="49">
        <f>'Avg Week MITYANA-BUSUNJU'!I100+'Avg Week BUSUNJU-MITYANA'!I100</f>
        <v>0</v>
      </c>
      <c r="J100" s="49">
        <f>'Avg Week MITYANA-BUSUNJU'!J100+'Avg Week BUSUNJU-MITYANA'!J100</f>
        <v>2</v>
      </c>
      <c r="K100" s="49">
        <f>'Avg Week MITYANA-BUSUNJU'!K100+'Avg Week BUSUNJU-MITYANA'!K100</f>
        <v>0</v>
      </c>
      <c r="L100" s="49">
        <f>'Avg Week MITYANA-BUSUNJU'!L100+'Avg Week BUSUNJU-MITYANA'!L100</f>
        <v>0</v>
      </c>
      <c r="M100" s="49">
        <f>'Avg Week MITYANA-BUSUNJU'!M100+'Avg Week BUSUNJU-MITYANA'!M100</f>
        <v>4</v>
      </c>
      <c r="N100" s="49">
        <f>'Avg Week MITYANA-BUSUNJU'!N100+'Avg Week BUSUNJU-MITYANA'!N100</f>
        <v>0</v>
      </c>
      <c r="O100" s="15">
        <f t="shared" si="35"/>
        <v>2.5</v>
      </c>
      <c r="P100" s="15">
        <f t="shared" si="36"/>
        <v>6.5</v>
      </c>
      <c r="R100" s="8"/>
      <c r="T100"/>
    </row>
    <row r="101" spans="2:20" ht="23.1" customHeight="1" x14ac:dyDescent="0.25">
      <c r="B101" s="23" t="s">
        <v>141</v>
      </c>
      <c r="C101" s="49">
        <f>'Avg Week MITYANA-BUSUNJU'!C101+'Avg Week BUSUNJU-MITYANA'!C101</f>
        <v>1.5</v>
      </c>
      <c r="D101" s="49">
        <f>'Avg Week MITYANA-BUSUNJU'!D101+'Avg Week BUSUNJU-MITYANA'!D101</f>
        <v>2.5</v>
      </c>
      <c r="E101" s="49">
        <f>'Avg Week MITYANA-BUSUNJU'!E101+'Avg Week BUSUNJU-MITYANA'!E101</f>
        <v>0.5</v>
      </c>
      <c r="F101" s="49">
        <f>'Avg Week MITYANA-BUSUNJU'!F101+'Avg Week BUSUNJU-MITYANA'!F101</f>
        <v>0</v>
      </c>
      <c r="G101" s="49">
        <f>'Avg Week MITYANA-BUSUNJU'!G101+'Avg Week BUSUNJU-MITYANA'!G101</f>
        <v>0</v>
      </c>
      <c r="H101" s="49">
        <f>'Avg Week MITYANA-BUSUNJU'!H101+'Avg Week BUSUNJU-MITYANA'!H101</f>
        <v>0</v>
      </c>
      <c r="I101" s="49">
        <f>'Avg Week MITYANA-BUSUNJU'!I101+'Avg Week BUSUNJU-MITYANA'!I101</f>
        <v>1.5</v>
      </c>
      <c r="J101" s="49">
        <f>'Avg Week MITYANA-BUSUNJU'!J101+'Avg Week BUSUNJU-MITYANA'!J101</f>
        <v>1.5</v>
      </c>
      <c r="K101" s="49">
        <f>'Avg Week MITYANA-BUSUNJU'!K101+'Avg Week BUSUNJU-MITYANA'!K101</f>
        <v>1</v>
      </c>
      <c r="L101" s="49">
        <f>'Avg Week MITYANA-BUSUNJU'!L101+'Avg Week BUSUNJU-MITYANA'!L101</f>
        <v>0</v>
      </c>
      <c r="M101" s="49">
        <f>'Avg Week MITYANA-BUSUNJU'!M101+'Avg Week BUSUNJU-MITYANA'!M101</f>
        <v>6</v>
      </c>
      <c r="N101" s="49">
        <f>'Avg Week MITYANA-BUSUNJU'!N101+'Avg Week BUSUNJU-MITYANA'!N101</f>
        <v>0</v>
      </c>
      <c r="O101" s="15">
        <f t="shared" si="35"/>
        <v>8.5</v>
      </c>
      <c r="P101" s="15">
        <f t="shared" si="36"/>
        <v>14.5</v>
      </c>
      <c r="R101" s="8"/>
      <c r="T101"/>
    </row>
    <row r="102" spans="2:20" ht="23.1" customHeight="1" x14ac:dyDescent="0.25">
      <c r="B102" s="24" t="s">
        <v>142</v>
      </c>
      <c r="C102" s="49">
        <f>'Avg Week MITYANA-BUSUNJU'!C102+'Avg Week BUSUNJU-MITYANA'!C102</f>
        <v>2.5</v>
      </c>
      <c r="D102" s="49">
        <f>'Avg Week MITYANA-BUSUNJU'!D102+'Avg Week BUSUNJU-MITYANA'!D102</f>
        <v>2</v>
      </c>
      <c r="E102" s="49">
        <f>'Avg Week MITYANA-BUSUNJU'!E102+'Avg Week BUSUNJU-MITYANA'!E102</f>
        <v>1.5</v>
      </c>
      <c r="F102" s="49">
        <f>'Avg Week MITYANA-BUSUNJU'!F102+'Avg Week BUSUNJU-MITYANA'!F102</f>
        <v>1</v>
      </c>
      <c r="G102" s="49">
        <f>'Avg Week MITYANA-BUSUNJU'!G102+'Avg Week BUSUNJU-MITYANA'!G102</f>
        <v>0</v>
      </c>
      <c r="H102" s="49">
        <f>'Avg Week MITYANA-BUSUNJU'!H102+'Avg Week BUSUNJU-MITYANA'!H102</f>
        <v>0</v>
      </c>
      <c r="I102" s="49">
        <f>'Avg Week MITYANA-BUSUNJU'!I102+'Avg Week BUSUNJU-MITYANA'!I102</f>
        <v>1.5</v>
      </c>
      <c r="J102" s="49">
        <f>'Avg Week MITYANA-BUSUNJU'!J102+'Avg Week BUSUNJU-MITYANA'!J102</f>
        <v>1</v>
      </c>
      <c r="K102" s="49">
        <f>'Avg Week MITYANA-BUSUNJU'!K102+'Avg Week BUSUNJU-MITYANA'!K102</f>
        <v>0.5</v>
      </c>
      <c r="L102" s="49">
        <f>'Avg Week MITYANA-BUSUNJU'!L102+'Avg Week BUSUNJU-MITYANA'!L102</f>
        <v>0</v>
      </c>
      <c r="M102" s="49">
        <f>'Avg Week MITYANA-BUSUNJU'!M102+'Avg Week BUSUNJU-MITYANA'!M102</f>
        <v>7.5</v>
      </c>
      <c r="N102" s="49">
        <f>'Avg Week MITYANA-BUSUNJU'!N102+'Avg Week BUSUNJU-MITYANA'!N102</f>
        <v>0</v>
      </c>
      <c r="O102" s="15">
        <f t="shared" si="35"/>
        <v>10</v>
      </c>
      <c r="P102" s="15">
        <f t="shared" si="36"/>
        <v>17.5</v>
      </c>
      <c r="R102" s="8"/>
      <c r="T102"/>
    </row>
    <row r="103" spans="2:20" ht="23.1" customHeight="1" x14ac:dyDescent="0.25">
      <c r="B103" s="23" t="s">
        <v>143</v>
      </c>
      <c r="C103" s="49">
        <f>'Avg Week MITYANA-BUSUNJU'!C103+'Avg Week BUSUNJU-MITYANA'!C103</f>
        <v>0</v>
      </c>
      <c r="D103" s="49">
        <f>'Avg Week MITYANA-BUSUNJU'!D103+'Avg Week BUSUNJU-MITYANA'!D103</f>
        <v>2</v>
      </c>
      <c r="E103" s="49">
        <f>'Avg Week MITYANA-BUSUNJU'!E103+'Avg Week BUSUNJU-MITYANA'!E103</f>
        <v>0</v>
      </c>
      <c r="F103" s="49">
        <f>'Avg Week MITYANA-BUSUNJU'!F103+'Avg Week BUSUNJU-MITYANA'!F103</f>
        <v>0</v>
      </c>
      <c r="G103" s="49">
        <f>'Avg Week MITYANA-BUSUNJU'!G103+'Avg Week BUSUNJU-MITYANA'!G103</f>
        <v>0</v>
      </c>
      <c r="H103" s="49">
        <f>'Avg Week MITYANA-BUSUNJU'!H103+'Avg Week BUSUNJU-MITYANA'!H103</f>
        <v>0</v>
      </c>
      <c r="I103" s="49">
        <f>'Avg Week MITYANA-BUSUNJU'!I103+'Avg Week BUSUNJU-MITYANA'!I103</f>
        <v>0.5</v>
      </c>
      <c r="J103" s="49">
        <f>'Avg Week MITYANA-BUSUNJU'!J103+'Avg Week BUSUNJU-MITYANA'!J103</f>
        <v>0.5</v>
      </c>
      <c r="K103" s="49">
        <f>'Avg Week MITYANA-BUSUNJU'!K103+'Avg Week BUSUNJU-MITYANA'!K103</f>
        <v>1</v>
      </c>
      <c r="L103" s="49">
        <f>'Avg Week MITYANA-BUSUNJU'!L103+'Avg Week BUSUNJU-MITYANA'!L103</f>
        <v>0.5</v>
      </c>
      <c r="M103" s="49">
        <f>'Avg Week MITYANA-BUSUNJU'!M103+'Avg Week BUSUNJU-MITYANA'!M103</f>
        <v>6</v>
      </c>
      <c r="N103" s="49">
        <f>'Avg Week MITYANA-BUSUNJU'!N103+'Avg Week BUSUNJU-MITYANA'!N103</f>
        <v>0</v>
      </c>
      <c r="O103" s="15">
        <f t="shared" si="35"/>
        <v>4.5</v>
      </c>
      <c r="P103" s="15">
        <f t="shared" si="36"/>
        <v>10.5</v>
      </c>
      <c r="R103" s="8"/>
      <c r="T103"/>
    </row>
    <row r="104" spans="2:20" ht="23.1" customHeight="1" x14ac:dyDescent="0.25">
      <c r="B104" s="25" t="s">
        <v>144</v>
      </c>
      <c r="C104" s="49">
        <f>'Avg Week MITYANA-BUSUNJU'!C104+'Avg Week BUSUNJU-MITYANA'!C104</f>
        <v>0.5</v>
      </c>
      <c r="D104" s="49">
        <f>'Avg Week MITYANA-BUSUNJU'!D104+'Avg Week BUSUNJU-MITYANA'!D104</f>
        <v>0</v>
      </c>
      <c r="E104" s="49">
        <f>'Avg Week MITYANA-BUSUNJU'!E104+'Avg Week BUSUNJU-MITYANA'!E104</f>
        <v>2</v>
      </c>
      <c r="F104" s="49">
        <f>'Avg Week MITYANA-BUSUNJU'!F104+'Avg Week BUSUNJU-MITYANA'!F104</f>
        <v>2</v>
      </c>
      <c r="G104" s="49">
        <f>'Avg Week MITYANA-BUSUNJU'!G104+'Avg Week BUSUNJU-MITYANA'!G104</f>
        <v>1</v>
      </c>
      <c r="H104" s="49">
        <f>'Avg Week MITYANA-BUSUNJU'!H104+'Avg Week BUSUNJU-MITYANA'!H104</f>
        <v>0</v>
      </c>
      <c r="I104" s="49">
        <f>'Avg Week MITYANA-BUSUNJU'!I104+'Avg Week BUSUNJU-MITYANA'!I104</f>
        <v>0</v>
      </c>
      <c r="J104" s="49">
        <f>'Avg Week MITYANA-BUSUNJU'!J104+'Avg Week BUSUNJU-MITYANA'!J104</f>
        <v>1</v>
      </c>
      <c r="K104" s="49">
        <f>'Avg Week MITYANA-BUSUNJU'!K104+'Avg Week BUSUNJU-MITYANA'!K104</f>
        <v>1.5</v>
      </c>
      <c r="L104" s="49">
        <f>'Avg Week MITYANA-BUSUNJU'!L104+'Avg Week BUSUNJU-MITYANA'!L104</f>
        <v>0</v>
      </c>
      <c r="M104" s="49">
        <f>'Avg Week MITYANA-BUSUNJU'!M104+'Avg Week BUSUNJU-MITYANA'!M104</f>
        <v>7.5</v>
      </c>
      <c r="N104" s="49">
        <f>'Avg Week MITYANA-BUSUNJU'!N104+'Avg Week BUSUNJU-MITYANA'!N104</f>
        <v>0</v>
      </c>
      <c r="O104" s="15">
        <f t="shared" si="35"/>
        <v>8</v>
      </c>
      <c r="P104" s="15">
        <f t="shared" si="36"/>
        <v>15.5</v>
      </c>
      <c r="R104" s="8"/>
      <c r="T104"/>
    </row>
    <row r="105" spans="2:20" ht="23.1" customHeight="1" x14ac:dyDescent="0.25">
      <c r="B105" s="23" t="s">
        <v>145</v>
      </c>
      <c r="C105" s="49">
        <f>'Avg Week MITYANA-BUSUNJU'!C105+'Avg Week BUSUNJU-MITYANA'!C105</f>
        <v>1.5</v>
      </c>
      <c r="D105" s="49">
        <f>'Avg Week MITYANA-BUSUNJU'!D105+'Avg Week BUSUNJU-MITYANA'!D105</f>
        <v>1.5</v>
      </c>
      <c r="E105" s="49">
        <f>'Avg Week MITYANA-BUSUNJU'!E105+'Avg Week BUSUNJU-MITYANA'!E105</f>
        <v>0</v>
      </c>
      <c r="F105" s="49">
        <f>'Avg Week MITYANA-BUSUNJU'!F105+'Avg Week BUSUNJU-MITYANA'!F105</f>
        <v>1</v>
      </c>
      <c r="G105" s="49">
        <f>'Avg Week MITYANA-BUSUNJU'!G105+'Avg Week BUSUNJU-MITYANA'!G105</f>
        <v>0</v>
      </c>
      <c r="H105" s="49">
        <f>'Avg Week MITYANA-BUSUNJU'!H105+'Avg Week BUSUNJU-MITYANA'!H105</f>
        <v>0</v>
      </c>
      <c r="I105" s="49">
        <f>'Avg Week MITYANA-BUSUNJU'!I105+'Avg Week BUSUNJU-MITYANA'!I105</f>
        <v>0</v>
      </c>
      <c r="J105" s="49">
        <f>'Avg Week MITYANA-BUSUNJU'!J105+'Avg Week BUSUNJU-MITYANA'!J105</f>
        <v>0.5</v>
      </c>
      <c r="K105" s="49">
        <f>'Avg Week MITYANA-BUSUNJU'!K105+'Avg Week BUSUNJU-MITYANA'!K105</f>
        <v>0.5</v>
      </c>
      <c r="L105" s="49">
        <f>'Avg Week MITYANA-BUSUNJU'!L105+'Avg Week BUSUNJU-MITYANA'!L105</f>
        <v>0</v>
      </c>
      <c r="M105" s="49">
        <f>'Avg Week MITYANA-BUSUNJU'!M105+'Avg Week BUSUNJU-MITYANA'!M105</f>
        <v>7</v>
      </c>
      <c r="N105" s="49">
        <f>'Avg Week MITYANA-BUSUNJU'!N105+'Avg Week BUSUNJU-MITYANA'!N105</f>
        <v>0</v>
      </c>
      <c r="O105" s="15">
        <f t="shared" si="35"/>
        <v>5</v>
      </c>
      <c r="P105" s="15">
        <f t="shared" si="36"/>
        <v>12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121.71428571428571</v>
      </c>
      <c r="D106" s="16">
        <f t="shared" ref="D106:P106" si="37">SUM(D10:D105)</f>
        <v>50</v>
      </c>
      <c r="E106" s="16">
        <f t="shared" si="37"/>
        <v>45.642857142857139</v>
      </c>
      <c r="F106" s="16">
        <f t="shared" si="37"/>
        <v>22.428571428571438</v>
      </c>
      <c r="G106" s="16">
        <f t="shared" si="37"/>
        <v>3.5</v>
      </c>
      <c r="H106" s="16">
        <f t="shared" si="37"/>
        <v>2.7857142857142856</v>
      </c>
      <c r="I106" s="16">
        <f t="shared" si="37"/>
        <v>78.142857142857139</v>
      </c>
      <c r="J106" s="16">
        <f t="shared" si="37"/>
        <v>41.428571428571431</v>
      </c>
      <c r="K106" s="16">
        <f t="shared" si="37"/>
        <v>28</v>
      </c>
      <c r="L106" s="16">
        <f t="shared" si="37"/>
        <v>12.214285714285715</v>
      </c>
      <c r="M106" s="16">
        <f t="shared" si="37"/>
        <v>1441.5714285714284</v>
      </c>
      <c r="N106" s="16">
        <f t="shared" si="37"/>
        <v>0</v>
      </c>
      <c r="O106" s="16">
        <f t="shared" si="37"/>
        <v>405.85714285714278</v>
      </c>
      <c r="P106" s="16">
        <f t="shared" si="37"/>
        <v>1847.4285714285711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6.5883080729972177E-2</v>
      </c>
      <c r="D107" s="43">
        <f t="shared" si="38"/>
        <v>2.7064645839777302E-2</v>
      </c>
      <c r="E107" s="43">
        <f t="shared" si="38"/>
        <v>2.4706155273739563E-2</v>
      </c>
      <c r="F107" s="43">
        <f t="shared" si="38"/>
        <v>1.2140426848128679E-2</v>
      </c>
      <c r="G107" s="43">
        <f t="shared" si="38"/>
        <v>1.8945252087844112E-3</v>
      </c>
      <c r="H107" s="43">
        <f t="shared" si="38"/>
        <v>1.5078874110733068E-3</v>
      </c>
      <c r="I107" s="43">
        <f t="shared" si="38"/>
        <v>4.2298175069594809E-2</v>
      </c>
      <c r="J107" s="43">
        <f t="shared" si="38"/>
        <v>2.2424992267244051E-2</v>
      </c>
      <c r="K107" s="43">
        <f t="shared" si="38"/>
        <v>1.5156201670275289E-2</v>
      </c>
      <c r="L107" s="43">
        <f t="shared" si="38"/>
        <v>6.6115063408598842E-3</v>
      </c>
      <c r="M107" s="43">
        <f t="shared" si="38"/>
        <v>0.78031240334055063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0.2998944033790919</v>
      </c>
      <c r="D108" s="44">
        <f t="shared" ref="D108:N108" si="39">D106/$O$106</f>
        <v>0.12319605772615279</v>
      </c>
      <c r="E108" s="44">
        <f t="shared" si="39"/>
        <v>0.11246040126715946</v>
      </c>
      <c r="F108" s="44">
        <f t="shared" si="39"/>
        <v>5.5262231608588556E-2</v>
      </c>
      <c r="G108" s="44">
        <f t="shared" si="39"/>
        <v>8.6237240408306957E-3</v>
      </c>
      <c r="H108" s="44">
        <f t="shared" si="39"/>
        <v>6.8637803590285125E-3</v>
      </c>
      <c r="I108" s="44">
        <f t="shared" si="39"/>
        <v>0.19253783878915878</v>
      </c>
      <c r="J108" s="44">
        <f t="shared" si="39"/>
        <v>0.10207673354452661</v>
      </c>
      <c r="K108" s="44">
        <f t="shared" si="39"/>
        <v>6.8989792326645566E-2</v>
      </c>
      <c r="L108" s="44">
        <f t="shared" si="39"/>
        <v>3.0095036958817326E-2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17.10 MITYANA-BUSUNJU</vt:lpstr>
      <vt:lpstr>17.10 BUSUNGU-MITYANA</vt:lpstr>
      <vt:lpstr>18.10 MITYANA-BUSUNJU 24hr</vt:lpstr>
      <vt:lpstr>18.10 BUSUNJU-MITYANA 24hr</vt:lpstr>
      <vt:lpstr>19.10 MITYANA-BUSUNJU 24hr</vt:lpstr>
      <vt:lpstr>19.10 BUSUNJU-MITYANA 24hr</vt:lpstr>
      <vt:lpstr>20.10  MITYANA-BUSUNJU</vt:lpstr>
      <vt:lpstr>20.10  BUSUNJU-MITYANA</vt:lpstr>
      <vt:lpstr>21.10 MITYANA-BUSUNJU </vt:lpstr>
      <vt:lpstr>21.10 BUSUNJU-MITYANA </vt:lpstr>
      <vt:lpstr>22.10 MITYANA-BUSUNJU </vt:lpstr>
      <vt:lpstr>22.10 BUSUNJU-MITYANA </vt:lpstr>
      <vt:lpstr>23.10 MITYANA-BUSUNJU </vt:lpstr>
      <vt:lpstr>23.10 BUSUNJU-MITYANA </vt:lpstr>
      <vt:lpstr>Avg Week MITYANA-BUSUNJU</vt:lpstr>
      <vt:lpstr>Avg Week BUSUNJU-MITYANA</vt:lpstr>
      <vt:lpstr>Avg Week MITYANA-BUSUNJU-2Dirc </vt:lpstr>
      <vt:lpstr>'17.10 BUSUNGU-MITYANA'!Print_Area</vt:lpstr>
      <vt:lpstr>'17.10 MITYANA-BUSUNJU'!Print_Area</vt:lpstr>
      <vt:lpstr>'18.10 BUSUNJU-MITYANA 24hr'!Print_Area</vt:lpstr>
      <vt:lpstr>'18.10 MITYANA-BUSUNJU 24hr'!Print_Area</vt:lpstr>
      <vt:lpstr>'19.10 BUSUNJU-MITYANA 24hr'!Print_Area</vt:lpstr>
      <vt:lpstr>'19.10 MITYANA-BUSUNJU 24hr'!Print_Area</vt:lpstr>
      <vt:lpstr>'20.10  BUSUNJU-MITYANA'!Print_Area</vt:lpstr>
      <vt:lpstr>'20.10  MITYANA-BUSUNJU'!Print_Area</vt:lpstr>
      <vt:lpstr>'21.10 BUSUNJU-MITYANA '!Print_Area</vt:lpstr>
      <vt:lpstr>'21.10 MITYANA-BUSUNJU '!Print_Area</vt:lpstr>
      <vt:lpstr>'22.10 BUSUNJU-MITYANA '!Print_Area</vt:lpstr>
      <vt:lpstr>'22.10 MITYANA-BUSUNJU '!Print_Area</vt:lpstr>
      <vt:lpstr>'23.10 BUSUNJU-MITYANA '!Print_Area</vt:lpstr>
      <vt:lpstr>'23.10 MITYANA-BUSUNJU '!Print_Area</vt:lpstr>
      <vt:lpstr>'Avg Week BUSUNJU-MITYANA'!Print_Area</vt:lpstr>
      <vt:lpstr>'Avg Week MITYANA-BUSUNJU'!Print_Area</vt:lpstr>
      <vt:lpstr>'Avg Week MITYANA-BUSUNJU-2Dirc '!Print_Area</vt:lpstr>
      <vt:lpstr>'17.10 BUSUNGU-MITYANA'!Print_Titles</vt:lpstr>
      <vt:lpstr>'17.10 MITYANA-BUSUNJU'!Print_Titles</vt:lpstr>
      <vt:lpstr>'18.10 BUSUNJU-MITYANA 24hr'!Print_Titles</vt:lpstr>
      <vt:lpstr>'18.10 MITYANA-BUSUNJU 24hr'!Print_Titles</vt:lpstr>
      <vt:lpstr>'19.10 BUSUNJU-MITYANA 24hr'!Print_Titles</vt:lpstr>
      <vt:lpstr>'19.10 MITYANA-BUSUNJU 24hr'!Print_Titles</vt:lpstr>
      <vt:lpstr>'20.10  BUSUNJU-MITYANA'!Print_Titles</vt:lpstr>
      <vt:lpstr>'20.10  MITYANA-BUSUNJU'!Print_Titles</vt:lpstr>
      <vt:lpstr>'21.10 BUSUNJU-MITYANA '!Print_Titles</vt:lpstr>
      <vt:lpstr>'21.10 MITYANA-BUSUNJU '!Print_Titles</vt:lpstr>
      <vt:lpstr>'22.10 BUSUNJU-MITYANA '!Print_Titles</vt:lpstr>
      <vt:lpstr>'22.10 MITYANA-BUSUNJU '!Print_Titles</vt:lpstr>
      <vt:lpstr>'23.10 BUSUNJU-MITYANA '!Print_Titles</vt:lpstr>
      <vt:lpstr>'23.10 MITYANA-BUSUNJU '!Print_Titles</vt:lpstr>
      <vt:lpstr>'Avg Week BUSUNJU-MITYANA'!Print_Titles</vt:lpstr>
      <vt:lpstr>'Avg Week MITYANA-BUSUNJU'!Print_Titles</vt:lpstr>
      <vt:lpstr>'Avg Week MITYANA-BUSUNJU-2Dirc 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</cp:lastModifiedBy>
  <cp:lastPrinted>2019-07-25T18:18:41Z</cp:lastPrinted>
  <dcterms:created xsi:type="dcterms:W3CDTF">2010-07-06T07:39:49Z</dcterms:created>
  <dcterms:modified xsi:type="dcterms:W3CDTF">2019-11-29T06:29:06Z</dcterms:modified>
</cp:coreProperties>
</file>