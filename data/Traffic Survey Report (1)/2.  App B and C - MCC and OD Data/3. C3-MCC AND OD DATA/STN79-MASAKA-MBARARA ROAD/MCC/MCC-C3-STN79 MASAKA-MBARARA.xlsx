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12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drawings/drawing13.xml" ContentType="application/vnd.openxmlformats-officedocument.drawing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drawings/drawing14.xml" ContentType="application/vnd.openxmlformats-officedocument.drawing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\Desktop\C-3 Analysis   Complete-Steve\STN79-MASAKA-MBARARA ROAD\MCC\"/>
    </mc:Choice>
  </mc:AlternateContent>
  <bookViews>
    <workbookView xWindow="-120" yWindow="-120" windowWidth="20730" windowHeight="11160" tabRatio="892" firstSheet="14" activeTab="16"/>
  </bookViews>
  <sheets>
    <sheet name="17.10 MASAKA-MBARARA" sheetId="103" r:id="rId1"/>
    <sheet name="17.10 MBARARA-MASAKA" sheetId="104" r:id="rId2"/>
    <sheet name="18.10 MASAKA-MBARARA-24H" sheetId="105" r:id="rId3"/>
    <sheet name="18.10 MBARARA-MASAKA-24H" sheetId="110" r:id="rId4"/>
    <sheet name="19.10 MASAKA-MBARARA-24H" sheetId="109" r:id="rId5"/>
    <sheet name="19.10 MBARARA-MASAKA-24H" sheetId="101" r:id="rId6"/>
    <sheet name="20.10 MASAKA-MBARARA" sheetId="99" r:id="rId7"/>
    <sheet name="20.10 MBARARA-MASAKA" sheetId="100" r:id="rId8"/>
    <sheet name="21.10 MASAKA-MBARARA" sheetId="97" r:id="rId9"/>
    <sheet name="21.10 MBARARA- MASAKA" sheetId="95" r:id="rId10"/>
    <sheet name="22.10 MASAKA-MBARARA" sheetId="96" r:id="rId11"/>
    <sheet name="22.10 MBARARA-MASAKA" sheetId="98" r:id="rId12"/>
    <sheet name="23.10 MASAKA-MBARARA" sheetId="94" r:id="rId13"/>
    <sheet name="23.10 MBARARA-MASAKA" sheetId="93" r:id="rId14"/>
    <sheet name="Avg Week Masaka-Mbarara" sheetId="107" r:id="rId15"/>
    <sheet name="Avg Week Mbarara-Masaka" sheetId="108" r:id="rId16"/>
    <sheet name="Avg Week Masaka-Mbarara-2Dir" sheetId="111" r:id="rId17"/>
  </sheets>
  <definedNames>
    <definedName name="_xlnm.Print_Area" localSheetId="0">'17.10 MASAKA-MBARARA'!$A$1:$AF$60</definedName>
    <definedName name="_xlnm.Print_Area" localSheetId="1">'17.10 MBARARA-MASAKA'!$A$1:$AF$60</definedName>
    <definedName name="_xlnm.Print_Area" localSheetId="2">'18.10 MASAKA-MBARARA-24H'!$A$1:$AF$108</definedName>
    <definedName name="_xlnm.Print_Area" localSheetId="3">'18.10 MBARARA-MASAKA-24H'!$A$1:$AF$108</definedName>
    <definedName name="_xlnm.Print_Area" localSheetId="4">'19.10 MASAKA-MBARARA-24H'!$A$1:$AF$108</definedName>
    <definedName name="_xlnm.Print_Area" localSheetId="5">'19.10 MBARARA-MASAKA-24H'!$A$1:$AF$108</definedName>
    <definedName name="_xlnm.Print_Area" localSheetId="6">'20.10 MASAKA-MBARARA'!$A$1:$AF$60</definedName>
    <definedName name="_xlnm.Print_Area" localSheetId="7">'20.10 MBARARA-MASAKA'!$A$1:$AF$60</definedName>
    <definedName name="_xlnm.Print_Area" localSheetId="8">'21.10 MASAKA-MBARARA'!$A$1:$AF$60</definedName>
    <definedName name="_xlnm.Print_Area" localSheetId="9">'21.10 MBARARA- MASAKA'!$A$1:$AF$60</definedName>
    <definedName name="_xlnm.Print_Area" localSheetId="10">'22.10 MASAKA-MBARARA'!$A$1:$AF$60</definedName>
    <definedName name="_xlnm.Print_Area" localSheetId="11">'22.10 MBARARA-MASAKA'!$A$1:$AF$60</definedName>
    <definedName name="_xlnm.Print_Area" localSheetId="12">'23.10 MASAKA-MBARARA'!$A$1:$AF$60</definedName>
    <definedName name="_xlnm.Print_Area" localSheetId="13">'23.10 MBARARA-MASAKA'!$A$1:$AF$60</definedName>
    <definedName name="_xlnm.Print_Area" localSheetId="14">'Avg Week Masaka-Mbarara'!$A$1:$AF$108</definedName>
    <definedName name="_xlnm.Print_Area" localSheetId="16">'Avg Week Masaka-Mbarara-2Dir'!$A$1:$AF$108</definedName>
    <definedName name="_xlnm.Print_Area" localSheetId="15">'Avg Week Mbarara-Masaka'!$A$1:$AF$108</definedName>
    <definedName name="_xlnm.Print_Titles" localSheetId="0">'17.10 MASAKA-MBARARA'!$1:$8</definedName>
    <definedName name="_xlnm.Print_Titles" localSheetId="1">'17.10 MBARARA-MASAKA'!$1:$8</definedName>
    <definedName name="_xlnm.Print_Titles" localSheetId="2">'18.10 MASAKA-MBARARA-24H'!$1:$8</definedName>
    <definedName name="_xlnm.Print_Titles" localSheetId="3">'18.10 MBARARA-MASAKA-24H'!$1:$8</definedName>
    <definedName name="_xlnm.Print_Titles" localSheetId="4">'19.10 MASAKA-MBARARA-24H'!$1:$8</definedName>
    <definedName name="_xlnm.Print_Titles" localSheetId="5">'19.10 MBARARA-MASAKA-24H'!$1:$8</definedName>
    <definedName name="_xlnm.Print_Titles" localSheetId="6">'20.10 MASAKA-MBARARA'!$1:$8</definedName>
    <definedName name="_xlnm.Print_Titles" localSheetId="7">'20.10 MBARARA-MASAKA'!$1:$8</definedName>
    <definedName name="_xlnm.Print_Titles" localSheetId="8">'21.10 MASAKA-MBARARA'!$1:$8</definedName>
    <definedName name="_xlnm.Print_Titles" localSheetId="9">'21.10 MBARARA- MASAKA'!$1:$8</definedName>
    <definedName name="_xlnm.Print_Titles" localSheetId="10">'22.10 MASAKA-MBARARA'!$1:$8</definedName>
    <definedName name="_xlnm.Print_Titles" localSheetId="11">'22.10 MBARARA-MASAKA'!$1:$8</definedName>
    <definedName name="_xlnm.Print_Titles" localSheetId="12">'23.10 MASAKA-MBARARA'!$1:$8</definedName>
    <definedName name="_xlnm.Print_Titles" localSheetId="13">'23.10 MBARARA-MASAKA'!$1:$8</definedName>
    <definedName name="_xlnm.Print_Titles" localSheetId="14">'Avg Week Masaka-Mbarara'!$1:$8</definedName>
    <definedName name="_xlnm.Print_Titles" localSheetId="16">'Avg Week Masaka-Mbarara-2Dir'!$1:$8</definedName>
    <definedName name="_xlnm.Print_Titles" localSheetId="15">'Avg Week Mbarara-Masaka'!$1:$8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6" i="107" l="1"/>
  <c r="E106" i="107"/>
  <c r="F106" i="107"/>
  <c r="G106" i="107"/>
  <c r="H106" i="107"/>
  <c r="I106" i="107"/>
  <c r="J106" i="107"/>
  <c r="K106" i="107"/>
  <c r="L106" i="107"/>
  <c r="M106" i="107"/>
  <c r="N106" i="107"/>
  <c r="O106" i="107"/>
  <c r="P106" i="107"/>
  <c r="C106" i="107"/>
  <c r="D106" i="108"/>
  <c r="E106" i="108"/>
  <c r="F106" i="108"/>
  <c r="G106" i="108"/>
  <c r="H106" i="108"/>
  <c r="I106" i="108"/>
  <c r="J106" i="108"/>
  <c r="K106" i="108"/>
  <c r="L106" i="108"/>
  <c r="M106" i="108"/>
  <c r="N106" i="108"/>
  <c r="O106" i="108"/>
  <c r="P106" i="108"/>
  <c r="C106" i="108"/>
  <c r="D106" i="111"/>
  <c r="E106" i="111"/>
  <c r="F106" i="111"/>
  <c r="G106" i="111"/>
  <c r="H106" i="111"/>
  <c r="I106" i="111"/>
  <c r="J106" i="111"/>
  <c r="K106" i="111"/>
  <c r="L106" i="111"/>
  <c r="M106" i="111"/>
  <c r="N106" i="111"/>
  <c r="O106" i="111"/>
  <c r="P106" i="111"/>
  <c r="C106" i="111"/>
  <c r="P58" i="111" l="1"/>
  <c r="P59" i="111"/>
  <c r="P60" i="111"/>
  <c r="AF22" i="111" s="1"/>
  <c r="P61" i="111"/>
  <c r="P62" i="111"/>
  <c r="P63" i="111"/>
  <c r="P64" i="111"/>
  <c r="P65" i="111"/>
  <c r="AF23" i="111" s="1"/>
  <c r="P66" i="111"/>
  <c r="P67" i="111"/>
  <c r="P68" i="111"/>
  <c r="P69" i="111"/>
  <c r="AF24" i="111" s="1"/>
  <c r="P70" i="111"/>
  <c r="P71" i="111"/>
  <c r="P72" i="111"/>
  <c r="P73" i="111"/>
  <c r="P74" i="111"/>
  <c r="P75" i="111"/>
  <c r="AF26" i="111" s="1"/>
  <c r="P76" i="111"/>
  <c r="P77" i="111"/>
  <c r="P78" i="111"/>
  <c r="P79" i="111"/>
  <c r="AF27" i="111" s="1"/>
  <c r="P80" i="111"/>
  <c r="P81" i="111"/>
  <c r="P82" i="111"/>
  <c r="P83" i="111"/>
  <c r="P84" i="111"/>
  <c r="P85" i="111"/>
  <c r="AF28" i="111" s="1"/>
  <c r="P86" i="111"/>
  <c r="P87" i="111"/>
  <c r="P88" i="111"/>
  <c r="P89" i="111"/>
  <c r="AF29" i="111" s="1"/>
  <c r="P90" i="111"/>
  <c r="P91" i="111"/>
  <c r="P92" i="111"/>
  <c r="AF30" i="111" s="1"/>
  <c r="P93" i="111"/>
  <c r="P94" i="111"/>
  <c r="P95" i="111"/>
  <c r="P96" i="111"/>
  <c r="AF31" i="111" s="1"/>
  <c r="P97" i="111"/>
  <c r="P98" i="111"/>
  <c r="P99" i="111"/>
  <c r="AF32" i="111" s="1"/>
  <c r="P100" i="111"/>
  <c r="P101" i="111"/>
  <c r="P102" i="111"/>
  <c r="P103" i="111"/>
  <c r="AF33" i="111" s="1"/>
  <c r="P104" i="111"/>
  <c r="P105" i="111"/>
  <c r="O58" i="111"/>
  <c r="O59" i="111"/>
  <c r="O60" i="111"/>
  <c r="O61" i="111"/>
  <c r="AE22" i="111" s="1"/>
  <c r="O62" i="111"/>
  <c r="O63" i="111"/>
  <c r="O64" i="111"/>
  <c r="O65" i="111"/>
  <c r="O66" i="111"/>
  <c r="O67" i="111"/>
  <c r="O68" i="111"/>
  <c r="O69" i="111"/>
  <c r="AE24" i="111" s="1"/>
  <c r="O70" i="111"/>
  <c r="O71" i="111"/>
  <c r="O72" i="111"/>
  <c r="O73" i="111"/>
  <c r="AE25" i="111" s="1"/>
  <c r="O74" i="111"/>
  <c r="O75" i="111"/>
  <c r="O76" i="111"/>
  <c r="O77" i="111"/>
  <c r="AE26" i="111" s="1"/>
  <c r="O78" i="111"/>
  <c r="O79" i="111"/>
  <c r="O80" i="111"/>
  <c r="AE27" i="111" s="1"/>
  <c r="O81" i="111"/>
  <c r="O82" i="111"/>
  <c r="O83" i="111"/>
  <c r="O84" i="111"/>
  <c r="O85" i="111"/>
  <c r="O86" i="111"/>
  <c r="O87" i="111"/>
  <c r="O88" i="111"/>
  <c r="O89" i="111"/>
  <c r="O90" i="111"/>
  <c r="O91" i="111"/>
  <c r="O92" i="111"/>
  <c r="AE30" i="111" s="1"/>
  <c r="O93" i="111"/>
  <c r="O94" i="111"/>
  <c r="O95" i="111"/>
  <c r="O96" i="111"/>
  <c r="AE31" i="111" s="1"/>
  <c r="O97" i="111"/>
  <c r="O98" i="111"/>
  <c r="O99" i="111"/>
  <c r="O100" i="111"/>
  <c r="O101" i="111"/>
  <c r="AE32" i="111" s="1"/>
  <c r="O102" i="111"/>
  <c r="O103" i="111"/>
  <c r="O104" i="111"/>
  <c r="AE33" i="111" s="1"/>
  <c r="O105" i="111"/>
  <c r="D58" i="111"/>
  <c r="E58" i="111"/>
  <c r="F58" i="111"/>
  <c r="G58" i="111"/>
  <c r="W22" i="111" s="1"/>
  <c r="H58" i="111"/>
  <c r="I58" i="111"/>
  <c r="J58" i="111"/>
  <c r="K58" i="111"/>
  <c r="AA22" i="111" s="1"/>
  <c r="L58" i="111"/>
  <c r="M58" i="111"/>
  <c r="N58" i="111"/>
  <c r="D59" i="111"/>
  <c r="E59" i="111"/>
  <c r="F59" i="111"/>
  <c r="G59" i="111"/>
  <c r="H59" i="111"/>
  <c r="I59" i="111"/>
  <c r="J59" i="111"/>
  <c r="K59" i="111"/>
  <c r="L59" i="111"/>
  <c r="M59" i="111"/>
  <c r="N59" i="111"/>
  <c r="D60" i="111"/>
  <c r="E60" i="111"/>
  <c r="F60" i="111"/>
  <c r="G60" i="111"/>
  <c r="H60" i="111"/>
  <c r="I60" i="111"/>
  <c r="J60" i="111"/>
  <c r="K60" i="111"/>
  <c r="L60" i="111"/>
  <c r="M60" i="111"/>
  <c r="N60" i="111"/>
  <c r="D61" i="111"/>
  <c r="E61" i="111"/>
  <c r="F61" i="111"/>
  <c r="V22" i="111" s="1"/>
  <c r="G61" i="111"/>
  <c r="H61" i="111"/>
  <c r="I61" i="111"/>
  <c r="J61" i="111"/>
  <c r="Z22" i="111" s="1"/>
  <c r="K61" i="111"/>
  <c r="L61" i="111"/>
  <c r="M61" i="111"/>
  <c r="N61" i="111"/>
  <c r="AD22" i="111" s="1"/>
  <c r="D62" i="111"/>
  <c r="E62" i="111"/>
  <c r="F62" i="111"/>
  <c r="V23" i="111" s="1"/>
  <c r="G62" i="111"/>
  <c r="H62" i="111"/>
  <c r="I62" i="111"/>
  <c r="J62" i="111"/>
  <c r="Z23" i="111" s="1"/>
  <c r="K62" i="111"/>
  <c r="L62" i="111"/>
  <c r="M62" i="111"/>
  <c r="N62" i="111"/>
  <c r="AD23" i="111" s="1"/>
  <c r="D63" i="111"/>
  <c r="E63" i="111"/>
  <c r="F63" i="111"/>
  <c r="G63" i="111"/>
  <c r="H63" i="111"/>
  <c r="I63" i="111"/>
  <c r="J63" i="111"/>
  <c r="K63" i="111"/>
  <c r="L63" i="111"/>
  <c r="M63" i="111"/>
  <c r="N63" i="111"/>
  <c r="D64" i="111"/>
  <c r="E64" i="111"/>
  <c r="U23" i="111" s="1"/>
  <c r="F64" i="111"/>
  <c r="G64" i="111"/>
  <c r="H64" i="111"/>
  <c r="I64" i="111"/>
  <c r="Y23" i="111" s="1"/>
  <c r="J64" i="111"/>
  <c r="K64" i="111"/>
  <c r="L64" i="111"/>
  <c r="M64" i="111"/>
  <c r="AC23" i="111" s="1"/>
  <c r="N64" i="111"/>
  <c r="D65" i="111"/>
  <c r="E65" i="111"/>
  <c r="F65" i="111"/>
  <c r="G65" i="111"/>
  <c r="H65" i="111"/>
  <c r="I65" i="111"/>
  <c r="J65" i="111"/>
  <c r="K65" i="111"/>
  <c r="L65" i="111"/>
  <c r="M65" i="111"/>
  <c r="N65" i="111"/>
  <c r="D66" i="111"/>
  <c r="E66" i="111"/>
  <c r="F66" i="111"/>
  <c r="G66" i="111"/>
  <c r="W24" i="111" s="1"/>
  <c r="H66" i="111"/>
  <c r="I66" i="111"/>
  <c r="J66" i="111"/>
  <c r="K66" i="111"/>
  <c r="AA24" i="111" s="1"/>
  <c r="L66" i="111"/>
  <c r="M66" i="111"/>
  <c r="N66" i="111"/>
  <c r="D67" i="111"/>
  <c r="T24" i="111" s="1"/>
  <c r="E67" i="111"/>
  <c r="F67" i="111"/>
  <c r="G67" i="111"/>
  <c r="H67" i="111"/>
  <c r="X24" i="111" s="1"/>
  <c r="I67" i="111"/>
  <c r="J67" i="111"/>
  <c r="K67" i="111"/>
  <c r="L67" i="111"/>
  <c r="AB24" i="111" s="1"/>
  <c r="M67" i="111"/>
  <c r="N67" i="111"/>
  <c r="D68" i="111"/>
  <c r="E68" i="111"/>
  <c r="F68" i="111"/>
  <c r="G68" i="111"/>
  <c r="H68" i="111"/>
  <c r="I68" i="111"/>
  <c r="J68" i="111"/>
  <c r="K68" i="111"/>
  <c r="L68" i="111"/>
  <c r="M68" i="111"/>
  <c r="N68" i="111"/>
  <c r="D69" i="111"/>
  <c r="E69" i="111"/>
  <c r="F69" i="111"/>
  <c r="G69" i="111"/>
  <c r="H69" i="111"/>
  <c r="I69" i="111"/>
  <c r="J69" i="111"/>
  <c r="K69" i="111"/>
  <c r="L69" i="111"/>
  <c r="M69" i="111"/>
  <c r="N69" i="111"/>
  <c r="D70" i="111"/>
  <c r="E70" i="111"/>
  <c r="F70" i="111"/>
  <c r="G70" i="111"/>
  <c r="W25" i="111" s="1"/>
  <c r="H70" i="111"/>
  <c r="I70" i="111"/>
  <c r="J70" i="111"/>
  <c r="K70" i="111"/>
  <c r="AA25" i="111" s="1"/>
  <c r="L70" i="111"/>
  <c r="M70" i="111"/>
  <c r="N70" i="111"/>
  <c r="D71" i="111"/>
  <c r="E71" i="111"/>
  <c r="F71" i="111"/>
  <c r="G71" i="111"/>
  <c r="H71" i="111"/>
  <c r="I71" i="111"/>
  <c r="J71" i="111"/>
  <c r="K71" i="111"/>
  <c r="L71" i="111"/>
  <c r="M71" i="111"/>
  <c r="N71" i="111"/>
  <c r="D72" i="111"/>
  <c r="E72" i="111"/>
  <c r="F72" i="111"/>
  <c r="G72" i="111"/>
  <c r="H72" i="111"/>
  <c r="I72" i="111"/>
  <c r="J72" i="111"/>
  <c r="K72" i="111"/>
  <c r="L72" i="111"/>
  <c r="M72" i="111"/>
  <c r="N72" i="111"/>
  <c r="D73" i="111"/>
  <c r="E73" i="111"/>
  <c r="F73" i="111"/>
  <c r="V25" i="111" s="1"/>
  <c r="G73" i="111"/>
  <c r="H73" i="111"/>
  <c r="I73" i="111"/>
  <c r="J73" i="111"/>
  <c r="Z25" i="111" s="1"/>
  <c r="K73" i="111"/>
  <c r="L73" i="111"/>
  <c r="M73" i="111"/>
  <c r="N73" i="111"/>
  <c r="AD25" i="111" s="1"/>
  <c r="D74" i="111"/>
  <c r="E74" i="111"/>
  <c r="F74" i="111"/>
  <c r="G74" i="111"/>
  <c r="H74" i="111"/>
  <c r="I74" i="111"/>
  <c r="J74" i="111"/>
  <c r="K74" i="111"/>
  <c r="L74" i="111"/>
  <c r="M74" i="111"/>
  <c r="N74" i="111"/>
  <c r="D75" i="111"/>
  <c r="T26" i="111" s="1"/>
  <c r="E75" i="111"/>
  <c r="F75" i="111"/>
  <c r="G75" i="111"/>
  <c r="H75" i="111"/>
  <c r="X26" i="111" s="1"/>
  <c r="I75" i="111"/>
  <c r="J75" i="111"/>
  <c r="K75" i="111"/>
  <c r="L75" i="111"/>
  <c r="AB26" i="111" s="1"/>
  <c r="M75" i="111"/>
  <c r="N75" i="111"/>
  <c r="D76" i="111"/>
  <c r="E76" i="111"/>
  <c r="U26" i="111" s="1"/>
  <c r="F76" i="111"/>
  <c r="G76" i="111"/>
  <c r="H76" i="111"/>
  <c r="I76" i="111"/>
  <c r="Y26" i="111" s="1"/>
  <c r="J76" i="111"/>
  <c r="K76" i="111"/>
  <c r="L76" i="111"/>
  <c r="M76" i="111"/>
  <c r="AC26" i="111" s="1"/>
  <c r="N76" i="111"/>
  <c r="D77" i="111"/>
  <c r="E77" i="111"/>
  <c r="F77" i="111"/>
  <c r="G77" i="111"/>
  <c r="H77" i="111"/>
  <c r="I77" i="111"/>
  <c r="J77" i="111"/>
  <c r="K77" i="111"/>
  <c r="L77" i="111"/>
  <c r="M77" i="111"/>
  <c r="N77" i="111"/>
  <c r="D78" i="111"/>
  <c r="E78" i="111"/>
  <c r="F78" i="111"/>
  <c r="G78" i="111"/>
  <c r="W27" i="111" s="1"/>
  <c r="H78" i="111"/>
  <c r="I78" i="111"/>
  <c r="J78" i="111"/>
  <c r="K78" i="111"/>
  <c r="AA27" i="111" s="1"/>
  <c r="L78" i="111"/>
  <c r="M78" i="111"/>
  <c r="N78" i="111"/>
  <c r="D79" i="111"/>
  <c r="T27" i="111" s="1"/>
  <c r="E79" i="111"/>
  <c r="F79" i="111"/>
  <c r="G79" i="111"/>
  <c r="H79" i="111"/>
  <c r="X27" i="111" s="1"/>
  <c r="I79" i="111"/>
  <c r="J79" i="111"/>
  <c r="K79" i="111"/>
  <c r="L79" i="111"/>
  <c r="AB27" i="111" s="1"/>
  <c r="M79" i="111"/>
  <c r="N79" i="111"/>
  <c r="D80" i="111"/>
  <c r="E80" i="111"/>
  <c r="U27" i="111" s="1"/>
  <c r="F80" i="111"/>
  <c r="G80" i="111"/>
  <c r="H80" i="111"/>
  <c r="I80" i="111"/>
  <c r="Y27" i="111" s="1"/>
  <c r="J80" i="111"/>
  <c r="K80" i="111"/>
  <c r="L80" i="111"/>
  <c r="M80" i="111"/>
  <c r="AC27" i="111" s="1"/>
  <c r="N80" i="111"/>
  <c r="D81" i="111"/>
  <c r="E81" i="111"/>
  <c r="F81" i="111"/>
  <c r="G81" i="111"/>
  <c r="H81" i="111"/>
  <c r="I81" i="111"/>
  <c r="J81" i="111"/>
  <c r="K81" i="111"/>
  <c r="L81" i="111"/>
  <c r="M81" i="111"/>
  <c r="N81" i="111"/>
  <c r="D82" i="111"/>
  <c r="E82" i="111"/>
  <c r="F82" i="111"/>
  <c r="V28" i="111" s="1"/>
  <c r="G82" i="111"/>
  <c r="W28" i="111" s="1"/>
  <c r="H82" i="111"/>
  <c r="I82" i="111"/>
  <c r="J82" i="111"/>
  <c r="Z28" i="111" s="1"/>
  <c r="K82" i="111"/>
  <c r="AA28" i="111" s="1"/>
  <c r="L82" i="111"/>
  <c r="M82" i="111"/>
  <c r="N82" i="111"/>
  <c r="AD28" i="111" s="1"/>
  <c r="D83" i="111"/>
  <c r="E83" i="111"/>
  <c r="F83" i="111"/>
  <c r="G83" i="111"/>
  <c r="H83" i="111"/>
  <c r="I83" i="111"/>
  <c r="J83" i="111"/>
  <c r="K83" i="111"/>
  <c r="L83" i="111"/>
  <c r="M83" i="111"/>
  <c r="N83" i="111"/>
  <c r="D84" i="111"/>
  <c r="E84" i="111"/>
  <c r="U28" i="111" s="1"/>
  <c r="F84" i="111"/>
  <c r="G84" i="111"/>
  <c r="H84" i="111"/>
  <c r="I84" i="111"/>
  <c r="Y28" i="111" s="1"/>
  <c r="J84" i="111"/>
  <c r="K84" i="111"/>
  <c r="L84" i="111"/>
  <c r="M84" i="111"/>
  <c r="AC28" i="111" s="1"/>
  <c r="N84" i="111"/>
  <c r="D85" i="111"/>
  <c r="E85" i="111"/>
  <c r="F85" i="111"/>
  <c r="G85" i="111"/>
  <c r="H85" i="111"/>
  <c r="I85" i="111"/>
  <c r="J85" i="111"/>
  <c r="K85" i="111"/>
  <c r="L85" i="111"/>
  <c r="M85" i="111"/>
  <c r="N85" i="111"/>
  <c r="D86" i="111"/>
  <c r="E86" i="111"/>
  <c r="F86" i="111"/>
  <c r="G86" i="111"/>
  <c r="H86" i="111"/>
  <c r="I86" i="111"/>
  <c r="J86" i="111"/>
  <c r="K86" i="111"/>
  <c r="L86" i="111"/>
  <c r="M86" i="111"/>
  <c r="N86" i="111"/>
  <c r="D87" i="111"/>
  <c r="T29" i="111" s="1"/>
  <c r="E87" i="111"/>
  <c r="U29" i="111" s="1"/>
  <c r="F87" i="111"/>
  <c r="G87" i="111"/>
  <c r="H87" i="111"/>
  <c r="X29" i="111" s="1"/>
  <c r="I87" i="111"/>
  <c r="Y29" i="111" s="1"/>
  <c r="J87" i="111"/>
  <c r="K87" i="111"/>
  <c r="L87" i="111"/>
  <c r="AB29" i="111" s="1"/>
  <c r="M87" i="111"/>
  <c r="AC29" i="111" s="1"/>
  <c r="N87" i="111"/>
  <c r="D88" i="111"/>
  <c r="E88" i="111"/>
  <c r="F88" i="111"/>
  <c r="G88" i="111"/>
  <c r="H88" i="111"/>
  <c r="I88" i="111"/>
  <c r="J88" i="111"/>
  <c r="K88" i="111"/>
  <c r="L88" i="111"/>
  <c r="M88" i="111"/>
  <c r="N88" i="111"/>
  <c r="D89" i="111"/>
  <c r="E89" i="111"/>
  <c r="F89" i="111"/>
  <c r="V29" i="111" s="1"/>
  <c r="G89" i="111"/>
  <c r="H89" i="111"/>
  <c r="I89" i="111"/>
  <c r="J89" i="111"/>
  <c r="Z29" i="111" s="1"/>
  <c r="K89" i="111"/>
  <c r="L89" i="111"/>
  <c r="M89" i="111"/>
  <c r="N89" i="111"/>
  <c r="AD29" i="111" s="1"/>
  <c r="D90" i="111"/>
  <c r="E90" i="111"/>
  <c r="F90" i="111"/>
  <c r="G90" i="111"/>
  <c r="W30" i="111" s="1"/>
  <c r="H90" i="111"/>
  <c r="I90" i="111"/>
  <c r="J90" i="111"/>
  <c r="K90" i="111"/>
  <c r="AA30" i="111" s="1"/>
  <c r="L90" i="111"/>
  <c r="M90" i="111"/>
  <c r="N90" i="111"/>
  <c r="D91" i="111"/>
  <c r="T30" i="111" s="1"/>
  <c r="E91" i="111"/>
  <c r="F91" i="111"/>
  <c r="G91" i="111"/>
  <c r="H91" i="111"/>
  <c r="X30" i="111" s="1"/>
  <c r="I91" i="111"/>
  <c r="J91" i="111"/>
  <c r="K91" i="111"/>
  <c r="L91" i="111"/>
  <c r="AB30" i="111" s="1"/>
  <c r="M91" i="111"/>
  <c r="N91" i="111"/>
  <c r="D92" i="111"/>
  <c r="E92" i="111"/>
  <c r="F92" i="111"/>
  <c r="G92" i="111"/>
  <c r="H92" i="111"/>
  <c r="I92" i="111"/>
  <c r="J92" i="111"/>
  <c r="K92" i="111"/>
  <c r="L92" i="111"/>
  <c r="M92" i="111"/>
  <c r="N92" i="111"/>
  <c r="D93" i="111"/>
  <c r="E93" i="111"/>
  <c r="F93" i="111"/>
  <c r="V30" i="111" s="1"/>
  <c r="G93" i="111"/>
  <c r="H93" i="111"/>
  <c r="I93" i="111"/>
  <c r="J93" i="111"/>
  <c r="Z30" i="111" s="1"/>
  <c r="K93" i="111"/>
  <c r="L93" i="111"/>
  <c r="M93" i="111"/>
  <c r="N93" i="111"/>
  <c r="AD30" i="111" s="1"/>
  <c r="D94" i="111"/>
  <c r="E94" i="111"/>
  <c r="F94" i="111"/>
  <c r="V31" i="111" s="1"/>
  <c r="G94" i="111"/>
  <c r="W31" i="111" s="1"/>
  <c r="H94" i="111"/>
  <c r="I94" i="111"/>
  <c r="J94" i="111"/>
  <c r="Z31" i="111" s="1"/>
  <c r="K94" i="111"/>
  <c r="AA31" i="111" s="1"/>
  <c r="L94" i="111"/>
  <c r="M94" i="111"/>
  <c r="N94" i="111"/>
  <c r="AD31" i="111" s="1"/>
  <c r="D95" i="111"/>
  <c r="E95" i="111"/>
  <c r="F95" i="111"/>
  <c r="G95" i="111"/>
  <c r="H95" i="111"/>
  <c r="I95" i="111"/>
  <c r="J95" i="111"/>
  <c r="K95" i="111"/>
  <c r="L95" i="111"/>
  <c r="M95" i="111"/>
  <c r="N95" i="111"/>
  <c r="D96" i="111"/>
  <c r="E96" i="111"/>
  <c r="U31" i="111" s="1"/>
  <c r="F96" i="111"/>
  <c r="G96" i="111"/>
  <c r="H96" i="111"/>
  <c r="I96" i="111"/>
  <c r="Y31" i="111" s="1"/>
  <c r="J96" i="111"/>
  <c r="K96" i="111"/>
  <c r="L96" i="111"/>
  <c r="M96" i="111"/>
  <c r="AC31" i="111" s="1"/>
  <c r="N96" i="111"/>
  <c r="D97" i="111"/>
  <c r="E97" i="111"/>
  <c r="F97" i="111"/>
  <c r="G97" i="111"/>
  <c r="H97" i="111"/>
  <c r="I97" i="111"/>
  <c r="J97" i="111"/>
  <c r="K97" i="111"/>
  <c r="L97" i="111"/>
  <c r="M97" i="111"/>
  <c r="N97" i="111"/>
  <c r="D98" i="111"/>
  <c r="T32" i="111" s="1"/>
  <c r="E98" i="111"/>
  <c r="F98" i="111"/>
  <c r="G98" i="111"/>
  <c r="W32" i="111" s="1"/>
  <c r="H98" i="111"/>
  <c r="X32" i="111" s="1"/>
  <c r="I98" i="111"/>
  <c r="J98" i="111"/>
  <c r="K98" i="111"/>
  <c r="AA32" i="111" s="1"/>
  <c r="L98" i="111"/>
  <c r="AB32" i="111" s="1"/>
  <c r="M98" i="111"/>
  <c r="N98" i="111"/>
  <c r="D99" i="111"/>
  <c r="E99" i="111"/>
  <c r="F99" i="111"/>
  <c r="G99" i="111"/>
  <c r="H99" i="111"/>
  <c r="I99" i="111"/>
  <c r="J99" i="111"/>
  <c r="K99" i="111"/>
  <c r="L99" i="111"/>
  <c r="M99" i="111"/>
  <c r="N99" i="111"/>
  <c r="D100" i="111"/>
  <c r="E100" i="111"/>
  <c r="U32" i="111" s="1"/>
  <c r="F100" i="111"/>
  <c r="G100" i="111"/>
  <c r="H100" i="111"/>
  <c r="I100" i="111"/>
  <c r="Y32" i="111" s="1"/>
  <c r="J100" i="111"/>
  <c r="K100" i="111"/>
  <c r="L100" i="111"/>
  <c r="M100" i="111"/>
  <c r="AC32" i="111" s="1"/>
  <c r="N100" i="111"/>
  <c r="D101" i="111"/>
  <c r="E101" i="111"/>
  <c r="F101" i="111"/>
  <c r="G101" i="111"/>
  <c r="H101" i="111"/>
  <c r="I101" i="111"/>
  <c r="J101" i="111"/>
  <c r="K101" i="111"/>
  <c r="L101" i="111"/>
  <c r="M101" i="111"/>
  <c r="N101" i="111"/>
  <c r="D102" i="111"/>
  <c r="E102" i="111"/>
  <c r="F102" i="111"/>
  <c r="G102" i="111"/>
  <c r="W33" i="111" s="1"/>
  <c r="H102" i="111"/>
  <c r="I102" i="111"/>
  <c r="J102" i="111"/>
  <c r="K102" i="111"/>
  <c r="AA33" i="111" s="1"/>
  <c r="L102" i="111"/>
  <c r="M102" i="111"/>
  <c r="N102" i="111"/>
  <c r="D103" i="111"/>
  <c r="T33" i="111" s="1"/>
  <c r="E103" i="111"/>
  <c r="F103" i="111"/>
  <c r="G103" i="111"/>
  <c r="H103" i="111"/>
  <c r="X33" i="111" s="1"/>
  <c r="I103" i="111"/>
  <c r="J103" i="111"/>
  <c r="K103" i="111"/>
  <c r="L103" i="111"/>
  <c r="AB33" i="111" s="1"/>
  <c r="M103" i="111"/>
  <c r="N103" i="111"/>
  <c r="D104" i="111"/>
  <c r="E104" i="111"/>
  <c r="F104" i="111"/>
  <c r="G104" i="111"/>
  <c r="H104" i="111"/>
  <c r="I104" i="111"/>
  <c r="J104" i="111"/>
  <c r="K104" i="111"/>
  <c r="L104" i="111"/>
  <c r="M104" i="111"/>
  <c r="N104" i="111"/>
  <c r="D105" i="111"/>
  <c r="E105" i="111"/>
  <c r="F105" i="111"/>
  <c r="V33" i="111" s="1"/>
  <c r="G105" i="111"/>
  <c r="H105" i="111"/>
  <c r="I105" i="111"/>
  <c r="J105" i="111"/>
  <c r="Z33" i="111" s="1"/>
  <c r="K105" i="111"/>
  <c r="L105" i="111"/>
  <c r="M105" i="111"/>
  <c r="N105" i="111"/>
  <c r="AD33" i="111" s="1"/>
  <c r="C59" i="111"/>
  <c r="C60" i="111"/>
  <c r="C61" i="111"/>
  <c r="C62" i="111"/>
  <c r="S23" i="111" s="1"/>
  <c r="C63" i="111"/>
  <c r="C64" i="111"/>
  <c r="C65" i="111"/>
  <c r="C66" i="111"/>
  <c r="C67" i="111"/>
  <c r="C68" i="111"/>
  <c r="C69" i="111"/>
  <c r="C70" i="111"/>
  <c r="S25" i="111" s="1"/>
  <c r="C71" i="111"/>
  <c r="C72" i="111"/>
  <c r="C73" i="111"/>
  <c r="C74" i="111"/>
  <c r="C75" i="111"/>
  <c r="C76" i="111"/>
  <c r="C77" i="111"/>
  <c r="C78" i="111"/>
  <c r="S27" i="111" s="1"/>
  <c r="C79" i="111"/>
  <c r="C80" i="111"/>
  <c r="C81" i="111"/>
  <c r="C82" i="111"/>
  <c r="C83" i="111"/>
  <c r="C84" i="111"/>
  <c r="C85" i="111"/>
  <c r="C86" i="111"/>
  <c r="S29" i="111" s="1"/>
  <c r="C87" i="111"/>
  <c r="C88" i="111"/>
  <c r="C89" i="111"/>
  <c r="C90" i="111"/>
  <c r="C91" i="111"/>
  <c r="C92" i="111"/>
  <c r="C93" i="111"/>
  <c r="C94" i="111"/>
  <c r="S31" i="111" s="1"/>
  <c r="C95" i="111"/>
  <c r="C96" i="111"/>
  <c r="C97" i="111"/>
  <c r="C98" i="111"/>
  <c r="C99" i="111"/>
  <c r="C100" i="111"/>
  <c r="C101" i="111"/>
  <c r="C102" i="111"/>
  <c r="S33" i="111" s="1"/>
  <c r="C103" i="111"/>
  <c r="C104" i="111"/>
  <c r="C105" i="111"/>
  <c r="C58" i="111"/>
  <c r="P58" i="108"/>
  <c r="P59" i="108"/>
  <c r="P60" i="108"/>
  <c r="AF22" i="108" s="1"/>
  <c r="P61" i="108"/>
  <c r="P62" i="108"/>
  <c r="P63" i="108"/>
  <c r="P64" i="108"/>
  <c r="AF23" i="108" s="1"/>
  <c r="P65" i="108"/>
  <c r="P66" i="108"/>
  <c r="P67" i="108"/>
  <c r="P68" i="108"/>
  <c r="AF24" i="108" s="1"/>
  <c r="P69" i="108"/>
  <c r="P70" i="108"/>
  <c r="P71" i="108"/>
  <c r="P72" i="108"/>
  <c r="AF25" i="108" s="1"/>
  <c r="P73" i="108"/>
  <c r="P74" i="108"/>
  <c r="P75" i="108"/>
  <c r="P76" i="108"/>
  <c r="AF26" i="108" s="1"/>
  <c r="P77" i="108"/>
  <c r="P78" i="108"/>
  <c r="P79" i="108"/>
  <c r="P80" i="108"/>
  <c r="AF27" i="108" s="1"/>
  <c r="P81" i="108"/>
  <c r="P82" i="108"/>
  <c r="P83" i="108"/>
  <c r="P84" i="108"/>
  <c r="AF28" i="108" s="1"/>
  <c r="P85" i="108"/>
  <c r="P86" i="108"/>
  <c r="P87" i="108"/>
  <c r="P88" i="108"/>
  <c r="AF29" i="108" s="1"/>
  <c r="P89" i="108"/>
  <c r="P90" i="108"/>
  <c r="P91" i="108"/>
  <c r="P92" i="108"/>
  <c r="AF30" i="108" s="1"/>
  <c r="P93" i="108"/>
  <c r="P94" i="108"/>
  <c r="P95" i="108"/>
  <c r="P96" i="108"/>
  <c r="AF31" i="108" s="1"/>
  <c r="P97" i="108"/>
  <c r="P98" i="108"/>
  <c r="P99" i="108"/>
  <c r="P100" i="108"/>
  <c r="AF32" i="108" s="1"/>
  <c r="P101" i="108"/>
  <c r="P102" i="108"/>
  <c r="P103" i="108"/>
  <c r="P104" i="108"/>
  <c r="AF33" i="108" s="1"/>
  <c r="P105" i="108"/>
  <c r="O105" i="108"/>
  <c r="O58" i="108"/>
  <c r="O59" i="108"/>
  <c r="O60" i="108"/>
  <c r="AE22" i="108" s="1"/>
  <c r="O61" i="108"/>
  <c r="O62" i="108"/>
  <c r="O63" i="108"/>
  <c r="O64" i="108"/>
  <c r="AE23" i="108" s="1"/>
  <c r="O65" i="108"/>
  <c r="O66" i="108"/>
  <c r="O67" i="108"/>
  <c r="O68" i="108"/>
  <c r="AE24" i="108" s="1"/>
  <c r="O69" i="108"/>
  <c r="O70" i="108"/>
  <c r="O71" i="108"/>
  <c r="O72" i="108"/>
  <c r="O73" i="108"/>
  <c r="O74" i="108"/>
  <c r="O75" i="108"/>
  <c r="O76" i="108"/>
  <c r="O77" i="108"/>
  <c r="AE26" i="108" s="1"/>
  <c r="O78" i="108"/>
  <c r="O79" i="108"/>
  <c r="O80" i="108"/>
  <c r="AE27" i="108" s="1"/>
  <c r="O81" i="108"/>
  <c r="O82" i="108"/>
  <c r="O83" i="108"/>
  <c r="O84" i="108"/>
  <c r="AE28" i="108" s="1"/>
  <c r="O85" i="108"/>
  <c r="O86" i="108"/>
  <c r="O87" i="108"/>
  <c r="O88" i="108"/>
  <c r="AE29" i="108" s="1"/>
  <c r="O89" i="108"/>
  <c r="O90" i="108"/>
  <c r="O91" i="108"/>
  <c r="O92" i="108"/>
  <c r="O93" i="108"/>
  <c r="O94" i="108"/>
  <c r="O95" i="108"/>
  <c r="O96" i="108"/>
  <c r="O97" i="108"/>
  <c r="AE31" i="108" s="1"/>
  <c r="O98" i="108"/>
  <c r="O99" i="108"/>
  <c r="O100" i="108"/>
  <c r="O101" i="108"/>
  <c r="AE32" i="108" s="1"/>
  <c r="O102" i="108"/>
  <c r="O103" i="108"/>
  <c r="O104" i="108"/>
  <c r="AE33" i="108" s="1"/>
  <c r="D58" i="108"/>
  <c r="E58" i="108"/>
  <c r="F58" i="108"/>
  <c r="G58" i="108"/>
  <c r="W22" i="108" s="1"/>
  <c r="H58" i="108"/>
  <c r="I58" i="108"/>
  <c r="J58" i="108"/>
  <c r="K58" i="108"/>
  <c r="AA22" i="108" s="1"/>
  <c r="L58" i="108"/>
  <c r="M58" i="108"/>
  <c r="N58" i="108"/>
  <c r="D59" i="108"/>
  <c r="T22" i="108" s="1"/>
  <c r="E59" i="108"/>
  <c r="F59" i="108"/>
  <c r="G59" i="108"/>
  <c r="H59" i="108"/>
  <c r="X22" i="108" s="1"/>
  <c r="I59" i="108"/>
  <c r="J59" i="108"/>
  <c r="K59" i="108"/>
  <c r="L59" i="108"/>
  <c r="AB22" i="108" s="1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V22" i="108" s="1"/>
  <c r="G61" i="108"/>
  <c r="H61" i="108"/>
  <c r="I61" i="108"/>
  <c r="J61" i="108"/>
  <c r="Z22" i="108" s="1"/>
  <c r="K61" i="108"/>
  <c r="L61" i="108"/>
  <c r="M61" i="108"/>
  <c r="N61" i="108"/>
  <c r="AD22" i="108" s="1"/>
  <c r="D62" i="108"/>
  <c r="E62" i="108"/>
  <c r="F62" i="108"/>
  <c r="G62" i="108"/>
  <c r="W23" i="108" s="1"/>
  <c r="H62" i="108"/>
  <c r="I62" i="108"/>
  <c r="J62" i="108"/>
  <c r="K62" i="108"/>
  <c r="AA23" i="108" s="1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U23" i="108" s="1"/>
  <c r="F64" i="108"/>
  <c r="G64" i="108"/>
  <c r="H64" i="108"/>
  <c r="I64" i="108"/>
  <c r="Y23" i="108" s="1"/>
  <c r="J64" i="108"/>
  <c r="K64" i="108"/>
  <c r="L64" i="108"/>
  <c r="M64" i="108"/>
  <c r="AC23" i="108" s="1"/>
  <c r="N64" i="108"/>
  <c r="D65" i="108"/>
  <c r="E65" i="108"/>
  <c r="F65" i="108"/>
  <c r="V23" i="108" s="1"/>
  <c r="G65" i="108"/>
  <c r="H65" i="108"/>
  <c r="I65" i="108"/>
  <c r="J65" i="108"/>
  <c r="Z23" i="108" s="1"/>
  <c r="K65" i="108"/>
  <c r="L65" i="108"/>
  <c r="M65" i="108"/>
  <c r="N65" i="108"/>
  <c r="AD23" i="108" s="1"/>
  <c r="D66" i="108"/>
  <c r="E66" i="108"/>
  <c r="F66" i="108"/>
  <c r="G66" i="108"/>
  <c r="H66" i="108"/>
  <c r="I66" i="108"/>
  <c r="J66" i="108"/>
  <c r="K66" i="108"/>
  <c r="L66" i="108"/>
  <c r="M66" i="108"/>
  <c r="N66" i="108"/>
  <c r="D67" i="108"/>
  <c r="T24" i="108" s="1"/>
  <c r="E67" i="108"/>
  <c r="F67" i="108"/>
  <c r="G67" i="108"/>
  <c r="H67" i="108"/>
  <c r="X24" i="108" s="1"/>
  <c r="I67" i="108"/>
  <c r="J67" i="108"/>
  <c r="K67" i="108"/>
  <c r="L67" i="108"/>
  <c r="AB24" i="108" s="1"/>
  <c r="M67" i="108"/>
  <c r="N67" i="108"/>
  <c r="D68" i="108"/>
  <c r="E68" i="108"/>
  <c r="U24" i="108" s="1"/>
  <c r="F68" i="108"/>
  <c r="G68" i="108"/>
  <c r="H68" i="108"/>
  <c r="I68" i="108"/>
  <c r="Y24" i="108" s="1"/>
  <c r="J68" i="108"/>
  <c r="K68" i="108"/>
  <c r="L68" i="108"/>
  <c r="M68" i="108"/>
  <c r="AC24" i="108" s="1"/>
  <c r="N68" i="108"/>
  <c r="D69" i="108"/>
  <c r="E69" i="108"/>
  <c r="F69" i="108"/>
  <c r="V24" i="108" s="1"/>
  <c r="G69" i="108"/>
  <c r="H69" i="108"/>
  <c r="I69" i="108"/>
  <c r="J69" i="108"/>
  <c r="Z24" i="108" s="1"/>
  <c r="K69" i="108"/>
  <c r="L69" i="108"/>
  <c r="M69" i="108"/>
  <c r="N69" i="108"/>
  <c r="AD24" i="108" s="1"/>
  <c r="D70" i="108"/>
  <c r="E70" i="108"/>
  <c r="F70" i="108"/>
  <c r="G70" i="108"/>
  <c r="W25" i="108" s="1"/>
  <c r="H70" i="108"/>
  <c r="I70" i="108"/>
  <c r="J70" i="108"/>
  <c r="K70" i="108"/>
  <c r="AA25" i="108" s="1"/>
  <c r="L70" i="108"/>
  <c r="M70" i="108"/>
  <c r="N70" i="108"/>
  <c r="D71" i="108"/>
  <c r="T25" i="108" s="1"/>
  <c r="E71" i="108"/>
  <c r="F71" i="108"/>
  <c r="G71" i="108"/>
  <c r="H71" i="108"/>
  <c r="X25" i="108" s="1"/>
  <c r="I71" i="108"/>
  <c r="J71" i="108"/>
  <c r="K71" i="108"/>
  <c r="L71" i="108"/>
  <c r="AB25" i="108" s="1"/>
  <c r="M71" i="108"/>
  <c r="N71" i="108"/>
  <c r="D72" i="108"/>
  <c r="E72" i="108"/>
  <c r="U25" i="108" s="1"/>
  <c r="F72" i="108"/>
  <c r="G72" i="108"/>
  <c r="H72" i="108"/>
  <c r="I72" i="108"/>
  <c r="Y25" i="108" s="1"/>
  <c r="J72" i="108"/>
  <c r="K72" i="108"/>
  <c r="L72" i="108"/>
  <c r="M72" i="108"/>
  <c r="AC25" i="108" s="1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W26" i="108" s="1"/>
  <c r="H74" i="108"/>
  <c r="I74" i="108"/>
  <c r="J74" i="108"/>
  <c r="K74" i="108"/>
  <c r="AA26" i="108" s="1"/>
  <c r="L74" i="108"/>
  <c r="M74" i="108"/>
  <c r="N74" i="108"/>
  <c r="D75" i="108"/>
  <c r="T26" i="108" s="1"/>
  <c r="E75" i="108"/>
  <c r="F75" i="108"/>
  <c r="G75" i="108"/>
  <c r="H75" i="108"/>
  <c r="X26" i="108" s="1"/>
  <c r="I75" i="108"/>
  <c r="J75" i="108"/>
  <c r="K75" i="108"/>
  <c r="L75" i="108"/>
  <c r="AB26" i="108" s="1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V26" i="108" s="1"/>
  <c r="G77" i="108"/>
  <c r="H77" i="108"/>
  <c r="I77" i="108"/>
  <c r="J77" i="108"/>
  <c r="Z26" i="108" s="1"/>
  <c r="K77" i="108"/>
  <c r="L77" i="108"/>
  <c r="M77" i="108"/>
  <c r="N77" i="108"/>
  <c r="AD26" i="108" s="1"/>
  <c r="D78" i="108"/>
  <c r="E78" i="108"/>
  <c r="F78" i="108"/>
  <c r="G78" i="108"/>
  <c r="W27" i="108" s="1"/>
  <c r="H78" i="108"/>
  <c r="I78" i="108"/>
  <c r="J78" i="108"/>
  <c r="K78" i="108"/>
  <c r="AA27" i="108" s="1"/>
  <c r="L78" i="108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U27" i="108" s="1"/>
  <c r="F80" i="108"/>
  <c r="G80" i="108"/>
  <c r="H80" i="108"/>
  <c r="I80" i="108"/>
  <c r="Y27" i="108" s="1"/>
  <c r="J80" i="108"/>
  <c r="K80" i="108"/>
  <c r="L80" i="108"/>
  <c r="M80" i="108"/>
  <c r="AC27" i="108" s="1"/>
  <c r="N80" i="108"/>
  <c r="D81" i="108"/>
  <c r="E81" i="108"/>
  <c r="F81" i="108"/>
  <c r="V27" i="108" s="1"/>
  <c r="G81" i="108"/>
  <c r="H81" i="108"/>
  <c r="I81" i="108"/>
  <c r="J81" i="108"/>
  <c r="Z27" i="108" s="1"/>
  <c r="K81" i="108"/>
  <c r="L81" i="108"/>
  <c r="M81" i="108"/>
  <c r="N81" i="108"/>
  <c r="AD27" i="108" s="1"/>
  <c r="D82" i="108"/>
  <c r="E82" i="108"/>
  <c r="F82" i="108"/>
  <c r="G82" i="108"/>
  <c r="H82" i="108"/>
  <c r="I82" i="108"/>
  <c r="J82" i="108"/>
  <c r="K82" i="108"/>
  <c r="L82" i="108"/>
  <c r="M82" i="108"/>
  <c r="N82" i="108"/>
  <c r="D83" i="108"/>
  <c r="T28" i="108" s="1"/>
  <c r="E83" i="108"/>
  <c r="F83" i="108"/>
  <c r="G83" i="108"/>
  <c r="H83" i="108"/>
  <c r="X28" i="108" s="1"/>
  <c r="I83" i="108"/>
  <c r="J83" i="108"/>
  <c r="K83" i="108"/>
  <c r="L83" i="108"/>
  <c r="AB28" i="108" s="1"/>
  <c r="M83" i="108"/>
  <c r="N83" i="108"/>
  <c r="D84" i="108"/>
  <c r="E84" i="108"/>
  <c r="U28" i="108" s="1"/>
  <c r="F84" i="108"/>
  <c r="G84" i="108"/>
  <c r="H84" i="108"/>
  <c r="I84" i="108"/>
  <c r="Y28" i="108" s="1"/>
  <c r="J84" i="108"/>
  <c r="K84" i="108"/>
  <c r="L84" i="108"/>
  <c r="M84" i="108"/>
  <c r="AC28" i="108" s="1"/>
  <c r="N84" i="108"/>
  <c r="D85" i="108"/>
  <c r="E85" i="108"/>
  <c r="F85" i="108"/>
  <c r="V28" i="108" s="1"/>
  <c r="G85" i="108"/>
  <c r="H85" i="108"/>
  <c r="I85" i="108"/>
  <c r="J85" i="108"/>
  <c r="Z28" i="108" s="1"/>
  <c r="K85" i="108"/>
  <c r="L85" i="108"/>
  <c r="M85" i="108"/>
  <c r="N85" i="108"/>
  <c r="AD28" i="108" s="1"/>
  <c r="D86" i="108"/>
  <c r="E86" i="108"/>
  <c r="F86" i="108"/>
  <c r="G86" i="108"/>
  <c r="W29" i="108" s="1"/>
  <c r="H86" i="108"/>
  <c r="I86" i="108"/>
  <c r="J86" i="108"/>
  <c r="K86" i="108"/>
  <c r="AA29" i="108" s="1"/>
  <c r="L86" i="108"/>
  <c r="M86" i="108"/>
  <c r="N86" i="108"/>
  <c r="D87" i="108"/>
  <c r="T29" i="108" s="1"/>
  <c r="E87" i="108"/>
  <c r="F87" i="108"/>
  <c r="G87" i="108"/>
  <c r="H87" i="108"/>
  <c r="X29" i="108" s="1"/>
  <c r="I87" i="108"/>
  <c r="J87" i="108"/>
  <c r="K87" i="108"/>
  <c r="L87" i="108"/>
  <c r="AB29" i="108" s="1"/>
  <c r="M87" i="108"/>
  <c r="N87" i="108"/>
  <c r="D88" i="108"/>
  <c r="E88" i="108"/>
  <c r="U29" i="108" s="1"/>
  <c r="F88" i="108"/>
  <c r="G88" i="108"/>
  <c r="H88" i="108"/>
  <c r="I88" i="108"/>
  <c r="Y29" i="108" s="1"/>
  <c r="J88" i="108"/>
  <c r="K88" i="108"/>
  <c r="L88" i="108"/>
  <c r="M88" i="108"/>
  <c r="AC29" i="108" s="1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W30" i="108" s="1"/>
  <c r="H90" i="108"/>
  <c r="I90" i="108"/>
  <c r="J90" i="108"/>
  <c r="K90" i="108"/>
  <c r="AA30" i="108" s="1"/>
  <c r="L90" i="108"/>
  <c r="M90" i="108"/>
  <c r="N90" i="108"/>
  <c r="D91" i="108"/>
  <c r="T30" i="108" s="1"/>
  <c r="E91" i="108"/>
  <c r="F91" i="108"/>
  <c r="G91" i="108"/>
  <c r="H91" i="108"/>
  <c r="X30" i="108" s="1"/>
  <c r="I91" i="108"/>
  <c r="J91" i="108"/>
  <c r="K91" i="108"/>
  <c r="L91" i="108"/>
  <c r="AB30" i="108" s="1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V30" i="108" s="1"/>
  <c r="G93" i="108"/>
  <c r="H93" i="108"/>
  <c r="I93" i="108"/>
  <c r="J93" i="108"/>
  <c r="Z30" i="108" s="1"/>
  <c r="K93" i="108"/>
  <c r="L93" i="108"/>
  <c r="M93" i="108"/>
  <c r="N93" i="108"/>
  <c r="AD30" i="108" s="1"/>
  <c r="D94" i="108"/>
  <c r="E94" i="108"/>
  <c r="F94" i="108"/>
  <c r="G94" i="108"/>
  <c r="W31" i="108" s="1"/>
  <c r="H94" i="108"/>
  <c r="I94" i="108"/>
  <c r="J94" i="108"/>
  <c r="K94" i="108"/>
  <c r="AA31" i="108" s="1"/>
  <c r="L94" i="108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U31" i="108" s="1"/>
  <c r="F96" i="108"/>
  <c r="G96" i="108"/>
  <c r="H96" i="108"/>
  <c r="I96" i="108"/>
  <c r="Y31" i="108" s="1"/>
  <c r="J96" i="108"/>
  <c r="K96" i="108"/>
  <c r="L96" i="108"/>
  <c r="M96" i="108"/>
  <c r="AC31" i="108" s="1"/>
  <c r="N96" i="108"/>
  <c r="D97" i="108"/>
  <c r="E97" i="108"/>
  <c r="F97" i="108"/>
  <c r="V31" i="108" s="1"/>
  <c r="G97" i="108"/>
  <c r="H97" i="108"/>
  <c r="I97" i="108"/>
  <c r="J97" i="108"/>
  <c r="Z31" i="108" s="1"/>
  <c r="K97" i="108"/>
  <c r="L97" i="108"/>
  <c r="M97" i="108"/>
  <c r="N97" i="108"/>
  <c r="AD31" i="108" s="1"/>
  <c r="D98" i="108"/>
  <c r="E98" i="108"/>
  <c r="F98" i="108"/>
  <c r="G98" i="108"/>
  <c r="H98" i="108"/>
  <c r="I98" i="108"/>
  <c r="J98" i="108"/>
  <c r="K98" i="108"/>
  <c r="L98" i="108"/>
  <c r="M98" i="108"/>
  <c r="N98" i="108"/>
  <c r="D99" i="108"/>
  <c r="T32" i="108" s="1"/>
  <c r="E99" i="108"/>
  <c r="F99" i="108"/>
  <c r="G99" i="108"/>
  <c r="H99" i="108"/>
  <c r="X32" i="108" s="1"/>
  <c r="I99" i="108"/>
  <c r="J99" i="108"/>
  <c r="K99" i="108"/>
  <c r="L99" i="108"/>
  <c r="AB32" i="108" s="1"/>
  <c r="M99" i="108"/>
  <c r="N99" i="108"/>
  <c r="D100" i="108"/>
  <c r="E100" i="108"/>
  <c r="U32" i="108" s="1"/>
  <c r="F100" i="108"/>
  <c r="G100" i="108"/>
  <c r="H100" i="108"/>
  <c r="I100" i="108"/>
  <c r="Y32" i="108" s="1"/>
  <c r="J100" i="108"/>
  <c r="K100" i="108"/>
  <c r="L100" i="108"/>
  <c r="M100" i="108"/>
  <c r="AC32" i="108" s="1"/>
  <c r="N100" i="108"/>
  <c r="D101" i="108"/>
  <c r="E101" i="108"/>
  <c r="F101" i="108"/>
  <c r="V32" i="108" s="1"/>
  <c r="G101" i="108"/>
  <c r="H101" i="108"/>
  <c r="I101" i="108"/>
  <c r="J101" i="108"/>
  <c r="Z32" i="108" s="1"/>
  <c r="K101" i="108"/>
  <c r="L101" i="108"/>
  <c r="M101" i="108"/>
  <c r="N101" i="108"/>
  <c r="AD32" i="108" s="1"/>
  <c r="D102" i="108"/>
  <c r="E102" i="108"/>
  <c r="F102" i="108"/>
  <c r="G102" i="108"/>
  <c r="W33" i="108" s="1"/>
  <c r="H102" i="108"/>
  <c r="I102" i="108"/>
  <c r="J102" i="108"/>
  <c r="K102" i="108"/>
  <c r="AA33" i="108" s="1"/>
  <c r="L102" i="108"/>
  <c r="M102" i="108"/>
  <c r="N102" i="108"/>
  <c r="D103" i="108"/>
  <c r="T33" i="108" s="1"/>
  <c r="E103" i="108"/>
  <c r="F103" i="108"/>
  <c r="G103" i="108"/>
  <c r="H103" i="108"/>
  <c r="X33" i="108" s="1"/>
  <c r="I103" i="108"/>
  <c r="J103" i="108"/>
  <c r="K103" i="108"/>
  <c r="L103" i="108"/>
  <c r="AB33" i="108" s="1"/>
  <c r="M103" i="108"/>
  <c r="N103" i="108"/>
  <c r="D104" i="108"/>
  <c r="E104" i="108"/>
  <c r="U33" i="108" s="1"/>
  <c r="F104" i="108"/>
  <c r="G104" i="108"/>
  <c r="H104" i="108"/>
  <c r="I104" i="108"/>
  <c r="Y33" i="108" s="1"/>
  <c r="J104" i="108"/>
  <c r="K104" i="108"/>
  <c r="L104" i="108"/>
  <c r="M104" i="108"/>
  <c r="AC33" i="108" s="1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S22" i="108" s="1"/>
  <c r="C61" i="108"/>
  <c r="C62" i="108"/>
  <c r="S23" i="108" s="1"/>
  <c r="C63" i="108"/>
  <c r="C64" i="108"/>
  <c r="C65" i="108"/>
  <c r="C66" i="108"/>
  <c r="S24" i="108" s="1"/>
  <c r="C67" i="108"/>
  <c r="C68" i="108"/>
  <c r="C69" i="108"/>
  <c r="C70" i="108"/>
  <c r="S25" i="108" s="1"/>
  <c r="C71" i="108"/>
  <c r="C72" i="108"/>
  <c r="C73" i="108"/>
  <c r="C74" i="108"/>
  <c r="S26" i="108" s="1"/>
  <c r="C75" i="108"/>
  <c r="C76" i="108"/>
  <c r="C77" i="108"/>
  <c r="C78" i="108"/>
  <c r="S27" i="108" s="1"/>
  <c r="C79" i="108"/>
  <c r="C80" i="108"/>
  <c r="C81" i="108"/>
  <c r="C82" i="108"/>
  <c r="S28" i="108" s="1"/>
  <c r="C83" i="108"/>
  <c r="C84" i="108"/>
  <c r="C85" i="108"/>
  <c r="C86" i="108"/>
  <c r="S29" i="108" s="1"/>
  <c r="C87" i="108"/>
  <c r="C88" i="108"/>
  <c r="C89" i="108"/>
  <c r="C90" i="108"/>
  <c r="S30" i="108" s="1"/>
  <c r="C91" i="108"/>
  <c r="C92" i="108"/>
  <c r="C93" i="108"/>
  <c r="C94" i="108"/>
  <c r="S31" i="108" s="1"/>
  <c r="C95" i="108"/>
  <c r="C96" i="108"/>
  <c r="C97" i="108"/>
  <c r="C98" i="108"/>
  <c r="S32" i="108" s="1"/>
  <c r="C99" i="108"/>
  <c r="C100" i="108"/>
  <c r="C101" i="108"/>
  <c r="C102" i="108"/>
  <c r="S33" i="108" s="1"/>
  <c r="C103" i="108"/>
  <c r="C104" i="108"/>
  <c r="C105" i="108"/>
  <c r="C58" i="108"/>
  <c r="P58" i="107"/>
  <c r="P59" i="107"/>
  <c r="P60" i="107"/>
  <c r="P61" i="107"/>
  <c r="AF22" i="107" s="1"/>
  <c r="P62" i="107"/>
  <c r="P63" i="107"/>
  <c r="P64" i="107"/>
  <c r="P65" i="107"/>
  <c r="P66" i="107"/>
  <c r="P67" i="107"/>
  <c r="P68" i="107"/>
  <c r="AF24" i="107" s="1"/>
  <c r="P69" i="107"/>
  <c r="P70" i="107"/>
  <c r="P71" i="107"/>
  <c r="P72" i="107"/>
  <c r="P73" i="107"/>
  <c r="AF25" i="107" s="1"/>
  <c r="P74" i="107"/>
  <c r="P75" i="107"/>
  <c r="P76" i="107"/>
  <c r="P77" i="107"/>
  <c r="AF26" i="107" s="1"/>
  <c r="P78" i="107"/>
  <c r="P79" i="107"/>
  <c r="P80" i="107"/>
  <c r="AF27" i="107" s="1"/>
  <c r="P81" i="107"/>
  <c r="P82" i="107"/>
  <c r="P83" i="107"/>
  <c r="P84" i="107"/>
  <c r="P85" i="107"/>
  <c r="P86" i="107"/>
  <c r="P87" i="107"/>
  <c r="P88" i="107"/>
  <c r="P89" i="107"/>
  <c r="AF29" i="107" s="1"/>
  <c r="P90" i="107"/>
  <c r="P91" i="107"/>
  <c r="P92" i="107"/>
  <c r="P93" i="107"/>
  <c r="AF30" i="107" s="1"/>
  <c r="P94" i="107"/>
  <c r="P95" i="107"/>
  <c r="P96" i="107"/>
  <c r="P97" i="107"/>
  <c r="P98" i="107"/>
  <c r="AF32" i="107" s="1"/>
  <c r="P99" i="107"/>
  <c r="P100" i="107"/>
  <c r="P101" i="107"/>
  <c r="P102" i="107"/>
  <c r="P103" i="107"/>
  <c r="P104" i="107"/>
  <c r="P105" i="107"/>
  <c r="AF33" i="107" s="1"/>
  <c r="O58" i="107"/>
  <c r="O59" i="107"/>
  <c r="O60" i="107"/>
  <c r="O61" i="107"/>
  <c r="O62" i="107"/>
  <c r="O63" i="107"/>
  <c r="O64" i="107"/>
  <c r="AE23" i="107" s="1"/>
  <c r="O65" i="107"/>
  <c r="O66" i="107"/>
  <c r="O67" i="107"/>
  <c r="O68" i="107"/>
  <c r="O69" i="107"/>
  <c r="O70" i="107"/>
  <c r="O71" i="107"/>
  <c r="O72" i="107"/>
  <c r="AE25" i="107" s="1"/>
  <c r="O73" i="107"/>
  <c r="O74" i="107"/>
  <c r="O75" i="107"/>
  <c r="O76" i="107"/>
  <c r="O77" i="107"/>
  <c r="O78" i="107"/>
  <c r="O79" i="107"/>
  <c r="O80" i="107"/>
  <c r="AE27" i="107" s="1"/>
  <c r="O81" i="107"/>
  <c r="O82" i="107"/>
  <c r="O83" i="107"/>
  <c r="O84" i="107"/>
  <c r="O85" i="107"/>
  <c r="O86" i="107"/>
  <c r="O87" i="107"/>
  <c r="O88" i="107"/>
  <c r="AE29" i="107" s="1"/>
  <c r="O89" i="107"/>
  <c r="O90" i="107"/>
  <c r="O91" i="107"/>
  <c r="O92" i="107"/>
  <c r="O93" i="107"/>
  <c r="O94" i="107"/>
  <c r="O95" i="107"/>
  <c r="O96" i="107"/>
  <c r="AE31" i="107" s="1"/>
  <c r="O97" i="107"/>
  <c r="O98" i="107"/>
  <c r="O99" i="107"/>
  <c r="O100" i="107"/>
  <c r="O101" i="107"/>
  <c r="O102" i="107"/>
  <c r="O103" i="107"/>
  <c r="O104" i="107"/>
  <c r="AE33" i="107" s="1"/>
  <c r="O105" i="107"/>
  <c r="D58" i="107"/>
  <c r="E58" i="107"/>
  <c r="F58" i="107"/>
  <c r="G58" i="107"/>
  <c r="W22" i="107" s="1"/>
  <c r="H58" i="107"/>
  <c r="I58" i="107"/>
  <c r="J58" i="107"/>
  <c r="K58" i="107"/>
  <c r="AA22" i="107" s="1"/>
  <c r="L58" i="107"/>
  <c r="M58" i="107"/>
  <c r="N58" i="107"/>
  <c r="D59" i="107"/>
  <c r="T22" i="107" s="1"/>
  <c r="E59" i="107"/>
  <c r="F59" i="107"/>
  <c r="G59" i="107"/>
  <c r="H59" i="107"/>
  <c r="X22" i="107" s="1"/>
  <c r="I59" i="107"/>
  <c r="J59" i="107"/>
  <c r="K59" i="107"/>
  <c r="L59" i="107"/>
  <c r="AB22" i="107" s="1"/>
  <c r="M59" i="107"/>
  <c r="N59" i="107"/>
  <c r="D60" i="107"/>
  <c r="E60" i="107"/>
  <c r="U22" i="107" s="1"/>
  <c r="F60" i="107"/>
  <c r="G60" i="107"/>
  <c r="H60" i="107"/>
  <c r="I60" i="107"/>
  <c r="Y22" i="107" s="1"/>
  <c r="J60" i="107"/>
  <c r="K60" i="107"/>
  <c r="L60" i="107"/>
  <c r="M60" i="107"/>
  <c r="AC22" i="107" s="1"/>
  <c r="N60" i="107"/>
  <c r="D61" i="107"/>
  <c r="E61" i="107"/>
  <c r="F61" i="107"/>
  <c r="V22" i="107" s="1"/>
  <c r="G61" i="107"/>
  <c r="H61" i="107"/>
  <c r="I61" i="107"/>
  <c r="J61" i="107"/>
  <c r="Z22" i="107" s="1"/>
  <c r="K61" i="107"/>
  <c r="L61" i="107"/>
  <c r="M61" i="107"/>
  <c r="N61" i="107"/>
  <c r="AD22" i="107" s="1"/>
  <c r="D62" i="107"/>
  <c r="E62" i="107"/>
  <c r="F62" i="107"/>
  <c r="G62" i="107"/>
  <c r="W23" i="107" s="1"/>
  <c r="H62" i="107"/>
  <c r="I62" i="107"/>
  <c r="J62" i="107"/>
  <c r="K62" i="107"/>
  <c r="AA23" i="107" s="1"/>
  <c r="L62" i="107"/>
  <c r="M62" i="107"/>
  <c r="N62" i="107"/>
  <c r="D63" i="107"/>
  <c r="T23" i="107" s="1"/>
  <c r="E63" i="107"/>
  <c r="F63" i="107"/>
  <c r="G63" i="107"/>
  <c r="H63" i="107"/>
  <c r="X23" i="107" s="1"/>
  <c r="I63" i="107"/>
  <c r="J63" i="107"/>
  <c r="K63" i="107"/>
  <c r="L63" i="107"/>
  <c r="AB23" i="107" s="1"/>
  <c r="M63" i="107"/>
  <c r="N63" i="107"/>
  <c r="D64" i="107"/>
  <c r="E64" i="107"/>
  <c r="U23" i="107" s="1"/>
  <c r="F64" i="107"/>
  <c r="G64" i="107"/>
  <c r="H64" i="107"/>
  <c r="I64" i="107"/>
  <c r="Y23" i="107" s="1"/>
  <c r="J64" i="107"/>
  <c r="K64" i="107"/>
  <c r="L64" i="107"/>
  <c r="M64" i="107"/>
  <c r="AC23" i="107" s="1"/>
  <c r="N64" i="107"/>
  <c r="D65" i="107"/>
  <c r="E65" i="107"/>
  <c r="F65" i="107"/>
  <c r="V23" i="107" s="1"/>
  <c r="G65" i="107"/>
  <c r="H65" i="107"/>
  <c r="I65" i="107"/>
  <c r="J65" i="107"/>
  <c r="Z23" i="107" s="1"/>
  <c r="K65" i="107"/>
  <c r="L65" i="107"/>
  <c r="M65" i="107"/>
  <c r="N65" i="107"/>
  <c r="AD23" i="107" s="1"/>
  <c r="D66" i="107"/>
  <c r="E66" i="107"/>
  <c r="F66" i="107"/>
  <c r="G66" i="107"/>
  <c r="W24" i="107" s="1"/>
  <c r="H66" i="107"/>
  <c r="I66" i="107"/>
  <c r="J66" i="107"/>
  <c r="K66" i="107"/>
  <c r="AA24" i="107" s="1"/>
  <c r="L66" i="107"/>
  <c r="M66" i="107"/>
  <c r="N66" i="107"/>
  <c r="D67" i="107"/>
  <c r="T24" i="107" s="1"/>
  <c r="E67" i="107"/>
  <c r="F67" i="107"/>
  <c r="G67" i="107"/>
  <c r="H67" i="107"/>
  <c r="X24" i="107" s="1"/>
  <c r="I67" i="107"/>
  <c r="J67" i="107"/>
  <c r="K67" i="107"/>
  <c r="L67" i="107"/>
  <c r="AB24" i="107" s="1"/>
  <c r="M67" i="107"/>
  <c r="N67" i="107"/>
  <c r="D68" i="107"/>
  <c r="E68" i="107"/>
  <c r="U24" i="107" s="1"/>
  <c r="F68" i="107"/>
  <c r="G68" i="107"/>
  <c r="H68" i="107"/>
  <c r="I68" i="107"/>
  <c r="Y24" i="107" s="1"/>
  <c r="J68" i="107"/>
  <c r="K68" i="107"/>
  <c r="L68" i="107"/>
  <c r="M68" i="107"/>
  <c r="AC24" i="107" s="1"/>
  <c r="N68" i="107"/>
  <c r="D69" i="107"/>
  <c r="E69" i="107"/>
  <c r="F69" i="107"/>
  <c r="V24" i="107" s="1"/>
  <c r="G69" i="107"/>
  <c r="H69" i="107"/>
  <c r="I69" i="107"/>
  <c r="J69" i="107"/>
  <c r="Z24" i="107" s="1"/>
  <c r="K69" i="107"/>
  <c r="L69" i="107"/>
  <c r="M69" i="107"/>
  <c r="N69" i="107"/>
  <c r="AD24" i="107" s="1"/>
  <c r="D70" i="107"/>
  <c r="E70" i="107"/>
  <c r="F70" i="107"/>
  <c r="G70" i="107"/>
  <c r="W25" i="107" s="1"/>
  <c r="H70" i="107"/>
  <c r="I70" i="107"/>
  <c r="J70" i="107"/>
  <c r="K70" i="107"/>
  <c r="AA25" i="107" s="1"/>
  <c r="L70" i="107"/>
  <c r="M70" i="107"/>
  <c r="N70" i="107"/>
  <c r="D71" i="107"/>
  <c r="T25" i="107" s="1"/>
  <c r="E71" i="107"/>
  <c r="F71" i="107"/>
  <c r="G71" i="107"/>
  <c r="H71" i="107"/>
  <c r="X25" i="107" s="1"/>
  <c r="I71" i="107"/>
  <c r="J71" i="107"/>
  <c r="K71" i="107"/>
  <c r="L71" i="107"/>
  <c r="AB25" i="107" s="1"/>
  <c r="M71" i="107"/>
  <c r="N71" i="107"/>
  <c r="D72" i="107"/>
  <c r="E72" i="107"/>
  <c r="U25" i="107" s="1"/>
  <c r="F72" i="107"/>
  <c r="G72" i="107"/>
  <c r="H72" i="107"/>
  <c r="I72" i="107"/>
  <c r="Y25" i="107" s="1"/>
  <c r="J72" i="107"/>
  <c r="K72" i="107"/>
  <c r="L72" i="107"/>
  <c r="M72" i="107"/>
  <c r="AC25" i="107" s="1"/>
  <c r="N72" i="107"/>
  <c r="D73" i="107"/>
  <c r="E73" i="107"/>
  <c r="F73" i="107"/>
  <c r="V25" i="107" s="1"/>
  <c r="G73" i="107"/>
  <c r="H73" i="107"/>
  <c r="I73" i="107"/>
  <c r="J73" i="107"/>
  <c r="Z25" i="107" s="1"/>
  <c r="K73" i="107"/>
  <c r="L73" i="107"/>
  <c r="M73" i="107"/>
  <c r="N73" i="107"/>
  <c r="AD25" i="107" s="1"/>
  <c r="D74" i="107"/>
  <c r="E74" i="107"/>
  <c r="F74" i="107"/>
  <c r="G74" i="107"/>
  <c r="W26" i="107" s="1"/>
  <c r="H74" i="107"/>
  <c r="I74" i="107"/>
  <c r="J74" i="107"/>
  <c r="K74" i="107"/>
  <c r="AA26" i="107" s="1"/>
  <c r="L74" i="107"/>
  <c r="M74" i="107"/>
  <c r="N74" i="107"/>
  <c r="D75" i="107"/>
  <c r="T26" i="107" s="1"/>
  <c r="E75" i="107"/>
  <c r="F75" i="107"/>
  <c r="G75" i="107"/>
  <c r="H75" i="107"/>
  <c r="X26" i="107" s="1"/>
  <c r="I75" i="107"/>
  <c r="J75" i="107"/>
  <c r="K75" i="107"/>
  <c r="L75" i="107"/>
  <c r="AB26" i="107" s="1"/>
  <c r="M75" i="107"/>
  <c r="N75" i="107"/>
  <c r="D76" i="107"/>
  <c r="E76" i="107"/>
  <c r="U26" i="107" s="1"/>
  <c r="F76" i="107"/>
  <c r="G76" i="107"/>
  <c r="H76" i="107"/>
  <c r="I76" i="107"/>
  <c r="Y26" i="107" s="1"/>
  <c r="J76" i="107"/>
  <c r="K76" i="107"/>
  <c r="L76" i="107"/>
  <c r="M76" i="107"/>
  <c r="AC26" i="107" s="1"/>
  <c r="N76" i="107"/>
  <c r="D77" i="107"/>
  <c r="E77" i="107"/>
  <c r="F77" i="107"/>
  <c r="V26" i="107" s="1"/>
  <c r="G77" i="107"/>
  <c r="H77" i="107"/>
  <c r="I77" i="107"/>
  <c r="J77" i="107"/>
  <c r="Z26" i="107" s="1"/>
  <c r="K77" i="107"/>
  <c r="L77" i="107"/>
  <c r="M77" i="107"/>
  <c r="N77" i="107"/>
  <c r="AD26" i="107" s="1"/>
  <c r="D78" i="107"/>
  <c r="E78" i="107"/>
  <c r="F78" i="107"/>
  <c r="G78" i="107"/>
  <c r="W27" i="107" s="1"/>
  <c r="H78" i="107"/>
  <c r="I78" i="107"/>
  <c r="J78" i="107"/>
  <c r="K78" i="107"/>
  <c r="AA27" i="107" s="1"/>
  <c r="L78" i="107"/>
  <c r="M78" i="107"/>
  <c r="N78" i="107"/>
  <c r="D79" i="107"/>
  <c r="T27" i="107" s="1"/>
  <c r="E79" i="107"/>
  <c r="F79" i="107"/>
  <c r="G79" i="107"/>
  <c r="H79" i="107"/>
  <c r="X27" i="107" s="1"/>
  <c r="I79" i="107"/>
  <c r="J79" i="107"/>
  <c r="K79" i="107"/>
  <c r="L79" i="107"/>
  <c r="AB27" i="107" s="1"/>
  <c r="M79" i="107"/>
  <c r="N79" i="107"/>
  <c r="D80" i="107"/>
  <c r="E80" i="107"/>
  <c r="U27" i="107" s="1"/>
  <c r="F80" i="107"/>
  <c r="G80" i="107"/>
  <c r="H80" i="107"/>
  <c r="I80" i="107"/>
  <c r="Y27" i="107" s="1"/>
  <c r="J80" i="107"/>
  <c r="K80" i="107"/>
  <c r="L80" i="107"/>
  <c r="M80" i="107"/>
  <c r="AC27" i="107" s="1"/>
  <c r="N80" i="107"/>
  <c r="D81" i="107"/>
  <c r="E81" i="107"/>
  <c r="F81" i="107"/>
  <c r="V27" i="107" s="1"/>
  <c r="G81" i="107"/>
  <c r="H81" i="107"/>
  <c r="I81" i="107"/>
  <c r="J81" i="107"/>
  <c r="Z27" i="107" s="1"/>
  <c r="K81" i="107"/>
  <c r="L81" i="107"/>
  <c r="M81" i="107"/>
  <c r="N81" i="107"/>
  <c r="AD27" i="107" s="1"/>
  <c r="D82" i="107"/>
  <c r="E82" i="107"/>
  <c r="F82" i="107"/>
  <c r="G82" i="107"/>
  <c r="W28" i="107" s="1"/>
  <c r="H82" i="107"/>
  <c r="I82" i="107"/>
  <c r="J82" i="107"/>
  <c r="K82" i="107"/>
  <c r="AA28" i="107" s="1"/>
  <c r="L82" i="107"/>
  <c r="M82" i="107"/>
  <c r="N82" i="107"/>
  <c r="D83" i="107"/>
  <c r="T28" i="107" s="1"/>
  <c r="E83" i="107"/>
  <c r="F83" i="107"/>
  <c r="G83" i="107"/>
  <c r="H83" i="107"/>
  <c r="X28" i="107" s="1"/>
  <c r="I83" i="107"/>
  <c r="J83" i="107"/>
  <c r="K83" i="107"/>
  <c r="L83" i="107"/>
  <c r="AB28" i="107" s="1"/>
  <c r="M83" i="107"/>
  <c r="N83" i="107"/>
  <c r="D84" i="107"/>
  <c r="E84" i="107"/>
  <c r="U28" i="107" s="1"/>
  <c r="F84" i="107"/>
  <c r="G84" i="107"/>
  <c r="H84" i="107"/>
  <c r="I84" i="107"/>
  <c r="Y28" i="107" s="1"/>
  <c r="J84" i="107"/>
  <c r="K84" i="107"/>
  <c r="L84" i="107"/>
  <c r="M84" i="107"/>
  <c r="AC28" i="107" s="1"/>
  <c r="N84" i="107"/>
  <c r="D85" i="107"/>
  <c r="E85" i="107"/>
  <c r="F85" i="107"/>
  <c r="V28" i="107" s="1"/>
  <c r="G85" i="107"/>
  <c r="H85" i="107"/>
  <c r="I85" i="107"/>
  <c r="J85" i="107"/>
  <c r="Z28" i="107" s="1"/>
  <c r="K85" i="107"/>
  <c r="L85" i="107"/>
  <c r="M85" i="107"/>
  <c r="N85" i="107"/>
  <c r="AD28" i="107" s="1"/>
  <c r="D86" i="107"/>
  <c r="E86" i="107"/>
  <c r="F86" i="107"/>
  <c r="G86" i="107"/>
  <c r="W29" i="107" s="1"/>
  <c r="H86" i="107"/>
  <c r="I86" i="107"/>
  <c r="J86" i="107"/>
  <c r="K86" i="107"/>
  <c r="AA29" i="107" s="1"/>
  <c r="L86" i="107"/>
  <c r="M86" i="107"/>
  <c r="N86" i="107"/>
  <c r="D87" i="107"/>
  <c r="T29" i="107" s="1"/>
  <c r="E87" i="107"/>
  <c r="F87" i="107"/>
  <c r="G87" i="107"/>
  <c r="H87" i="107"/>
  <c r="X29" i="107" s="1"/>
  <c r="I87" i="107"/>
  <c r="J87" i="107"/>
  <c r="K87" i="107"/>
  <c r="L87" i="107"/>
  <c r="AB29" i="107" s="1"/>
  <c r="M87" i="107"/>
  <c r="N87" i="107"/>
  <c r="D88" i="107"/>
  <c r="E88" i="107"/>
  <c r="U29" i="107" s="1"/>
  <c r="F88" i="107"/>
  <c r="G88" i="107"/>
  <c r="H88" i="107"/>
  <c r="I88" i="107"/>
  <c r="Y29" i="107" s="1"/>
  <c r="J88" i="107"/>
  <c r="K88" i="107"/>
  <c r="L88" i="107"/>
  <c r="M88" i="107"/>
  <c r="AC29" i="107" s="1"/>
  <c r="N88" i="107"/>
  <c r="D89" i="107"/>
  <c r="E89" i="107"/>
  <c r="F89" i="107"/>
  <c r="V29" i="107" s="1"/>
  <c r="G89" i="107"/>
  <c r="H89" i="107"/>
  <c r="I89" i="107"/>
  <c r="J89" i="107"/>
  <c r="Z29" i="107" s="1"/>
  <c r="K89" i="107"/>
  <c r="L89" i="107"/>
  <c r="M89" i="107"/>
  <c r="N89" i="107"/>
  <c r="AD29" i="107" s="1"/>
  <c r="D90" i="107"/>
  <c r="E90" i="107"/>
  <c r="F90" i="107"/>
  <c r="G90" i="107"/>
  <c r="W30" i="107" s="1"/>
  <c r="H90" i="107"/>
  <c r="I90" i="107"/>
  <c r="J90" i="107"/>
  <c r="K90" i="107"/>
  <c r="AA30" i="107" s="1"/>
  <c r="L90" i="107"/>
  <c r="M90" i="107"/>
  <c r="N90" i="107"/>
  <c r="D91" i="107"/>
  <c r="T30" i="107" s="1"/>
  <c r="E91" i="107"/>
  <c r="F91" i="107"/>
  <c r="G91" i="107"/>
  <c r="H91" i="107"/>
  <c r="X30" i="107" s="1"/>
  <c r="I91" i="107"/>
  <c r="J91" i="107"/>
  <c r="K91" i="107"/>
  <c r="L91" i="107"/>
  <c r="AB30" i="107" s="1"/>
  <c r="M91" i="107"/>
  <c r="N91" i="107"/>
  <c r="D92" i="107"/>
  <c r="E92" i="107"/>
  <c r="U30" i="107" s="1"/>
  <c r="F92" i="107"/>
  <c r="G92" i="107"/>
  <c r="H92" i="107"/>
  <c r="I92" i="107"/>
  <c r="Y30" i="107" s="1"/>
  <c r="J92" i="107"/>
  <c r="K92" i="107"/>
  <c r="L92" i="107"/>
  <c r="M92" i="107"/>
  <c r="AC30" i="107" s="1"/>
  <c r="N92" i="107"/>
  <c r="D93" i="107"/>
  <c r="E93" i="107"/>
  <c r="F93" i="107"/>
  <c r="V30" i="107" s="1"/>
  <c r="G93" i="107"/>
  <c r="H93" i="107"/>
  <c r="I93" i="107"/>
  <c r="J93" i="107"/>
  <c r="Z30" i="107" s="1"/>
  <c r="K93" i="107"/>
  <c r="L93" i="107"/>
  <c r="M93" i="107"/>
  <c r="N93" i="107"/>
  <c r="AD30" i="107" s="1"/>
  <c r="D94" i="107"/>
  <c r="E94" i="107"/>
  <c r="F94" i="107"/>
  <c r="G94" i="107"/>
  <c r="W31" i="107" s="1"/>
  <c r="H94" i="107"/>
  <c r="I94" i="107"/>
  <c r="J94" i="107"/>
  <c r="K94" i="107"/>
  <c r="AA31" i="107" s="1"/>
  <c r="L94" i="107"/>
  <c r="M94" i="107"/>
  <c r="N94" i="107"/>
  <c r="D95" i="107"/>
  <c r="T31" i="107" s="1"/>
  <c r="E95" i="107"/>
  <c r="F95" i="107"/>
  <c r="G95" i="107"/>
  <c r="H95" i="107"/>
  <c r="X31" i="107" s="1"/>
  <c r="I95" i="107"/>
  <c r="J95" i="107"/>
  <c r="K95" i="107"/>
  <c r="L95" i="107"/>
  <c r="AB31" i="107" s="1"/>
  <c r="M95" i="107"/>
  <c r="N95" i="107"/>
  <c r="D96" i="107"/>
  <c r="E96" i="107"/>
  <c r="U31" i="107" s="1"/>
  <c r="F96" i="107"/>
  <c r="G96" i="107"/>
  <c r="H96" i="107"/>
  <c r="I96" i="107"/>
  <c r="Y31" i="107" s="1"/>
  <c r="J96" i="107"/>
  <c r="K96" i="107"/>
  <c r="L96" i="107"/>
  <c r="M96" i="107"/>
  <c r="AC31" i="107" s="1"/>
  <c r="N96" i="107"/>
  <c r="D97" i="107"/>
  <c r="E97" i="107"/>
  <c r="F97" i="107"/>
  <c r="V31" i="107" s="1"/>
  <c r="G97" i="107"/>
  <c r="H97" i="107"/>
  <c r="I97" i="107"/>
  <c r="J97" i="107"/>
  <c r="Z31" i="107" s="1"/>
  <c r="K97" i="107"/>
  <c r="L97" i="107"/>
  <c r="M97" i="107"/>
  <c r="N97" i="107"/>
  <c r="AD31" i="107" s="1"/>
  <c r="D98" i="107"/>
  <c r="E98" i="107"/>
  <c r="F98" i="107"/>
  <c r="G98" i="107"/>
  <c r="W32" i="107" s="1"/>
  <c r="H98" i="107"/>
  <c r="I98" i="107"/>
  <c r="J98" i="107"/>
  <c r="K98" i="107"/>
  <c r="AA32" i="107" s="1"/>
  <c r="L98" i="107"/>
  <c r="M98" i="107"/>
  <c r="N98" i="107"/>
  <c r="D99" i="107"/>
  <c r="T32" i="107" s="1"/>
  <c r="E99" i="107"/>
  <c r="F99" i="107"/>
  <c r="G99" i="107"/>
  <c r="H99" i="107"/>
  <c r="X32" i="107" s="1"/>
  <c r="I99" i="107"/>
  <c r="J99" i="107"/>
  <c r="K99" i="107"/>
  <c r="L99" i="107"/>
  <c r="AB32" i="107" s="1"/>
  <c r="M99" i="107"/>
  <c r="N99" i="107"/>
  <c r="D100" i="107"/>
  <c r="E100" i="107"/>
  <c r="U32" i="107" s="1"/>
  <c r="F100" i="107"/>
  <c r="G100" i="107"/>
  <c r="H100" i="107"/>
  <c r="I100" i="107"/>
  <c r="Y32" i="107" s="1"/>
  <c r="J100" i="107"/>
  <c r="K100" i="107"/>
  <c r="L100" i="107"/>
  <c r="M100" i="107"/>
  <c r="AC32" i="107" s="1"/>
  <c r="N100" i="107"/>
  <c r="D101" i="107"/>
  <c r="E101" i="107"/>
  <c r="F101" i="107"/>
  <c r="V32" i="107" s="1"/>
  <c r="G101" i="107"/>
  <c r="H101" i="107"/>
  <c r="I101" i="107"/>
  <c r="J101" i="107"/>
  <c r="Z32" i="107" s="1"/>
  <c r="K101" i="107"/>
  <c r="L101" i="107"/>
  <c r="M101" i="107"/>
  <c r="N101" i="107"/>
  <c r="AD32" i="107" s="1"/>
  <c r="D102" i="107"/>
  <c r="E102" i="107"/>
  <c r="F102" i="107"/>
  <c r="G102" i="107"/>
  <c r="W33" i="107" s="1"/>
  <c r="H102" i="107"/>
  <c r="I102" i="107"/>
  <c r="J102" i="107"/>
  <c r="K102" i="107"/>
  <c r="AA33" i="107" s="1"/>
  <c r="L102" i="107"/>
  <c r="M102" i="107"/>
  <c r="N102" i="107"/>
  <c r="D103" i="107"/>
  <c r="T33" i="107" s="1"/>
  <c r="E103" i="107"/>
  <c r="F103" i="107"/>
  <c r="G103" i="107"/>
  <c r="H103" i="107"/>
  <c r="X33" i="107" s="1"/>
  <c r="I103" i="107"/>
  <c r="J103" i="107"/>
  <c r="K103" i="107"/>
  <c r="L103" i="107"/>
  <c r="AB33" i="107" s="1"/>
  <c r="M103" i="107"/>
  <c r="N103" i="107"/>
  <c r="D104" i="107"/>
  <c r="E104" i="107"/>
  <c r="U33" i="107" s="1"/>
  <c r="F104" i="107"/>
  <c r="G104" i="107"/>
  <c r="H104" i="107"/>
  <c r="I104" i="107"/>
  <c r="Y33" i="107" s="1"/>
  <c r="J104" i="107"/>
  <c r="K104" i="107"/>
  <c r="L104" i="107"/>
  <c r="M104" i="107"/>
  <c r="AC33" i="107" s="1"/>
  <c r="N104" i="107"/>
  <c r="D105" i="107"/>
  <c r="E105" i="107"/>
  <c r="F105" i="107"/>
  <c r="V33" i="107" s="1"/>
  <c r="G105" i="107"/>
  <c r="H105" i="107"/>
  <c r="I105" i="107"/>
  <c r="J105" i="107"/>
  <c r="Z33" i="107" s="1"/>
  <c r="K105" i="107"/>
  <c r="L105" i="107"/>
  <c r="M105" i="107"/>
  <c r="N105" i="107"/>
  <c r="AD33" i="107" s="1"/>
  <c r="C59" i="107"/>
  <c r="C60" i="107"/>
  <c r="C61" i="107"/>
  <c r="C62" i="107"/>
  <c r="S23" i="107" s="1"/>
  <c r="C63" i="107"/>
  <c r="C64" i="107"/>
  <c r="C65" i="107"/>
  <c r="C66" i="107"/>
  <c r="S24" i="107" s="1"/>
  <c r="C67" i="107"/>
  <c r="C68" i="107"/>
  <c r="C69" i="107"/>
  <c r="C70" i="107"/>
  <c r="S25" i="107" s="1"/>
  <c r="C71" i="107"/>
  <c r="C72" i="107"/>
  <c r="C73" i="107"/>
  <c r="C74" i="107"/>
  <c r="S26" i="107" s="1"/>
  <c r="C75" i="107"/>
  <c r="C76" i="107"/>
  <c r="C77" i="107"/>
  <c r="C78" i="107"/>
  <c r="S27" i="107" s="1"/>
  <c r="C79" i="107"/>
  <c r="C80" i="107"/>
  <c r="C81" i="107"/>
  <c r="C82" i="107"/>
  <c r="S28" i="107" s="1"/>
  <c r="C83" i="107"/>
  <c r="C84" i="107"/>
  <c r="C85" i="107"/>
  <c r="C86" i="107"/>
  <c r="S29" i="107" s="1"/>
  <c r="C87" i="107"/>
  <c r="C88" i="107"/>
  <c r="C89" i="107"/>
  <c r="C90" i="107"/>
  <c r="S30" i="107" s="1"/>
  <c r="C91" i="107"/>
  <c r="C92" i="107"/>
  <c r="C93" i="107"/>
  <c r="C94" i="107"/>
  <c r="S31" i="107" s="1"/>
  <c r="C95" i="107"/>
  <c r="C96" i="107"/>
  <c r="C97" i="107"/>
  <c r="C98" i="107"/>
  <c r="S32" i="107" s="1"/>
  <c r="C99" i="107"/>
  <c r="C100" i="107"/>
  <c r="C101" i="107"/>
  <c r="C102" i="107"/>
  <c r="S33" i="107" s="1"/>
  <c r="C103" i="107"/>
  <c r="C104" i="107"/>
  <c r="C105" i="107"/>
  <c r="C58" i="107"/>
  <c r="S22" i="107" s="1"/>
  <c r="AE32" i="107"/>
  <c r="AF31" i="107"/>
  <c r="AE30" i="107"/>
  <c r="AF28" i="107"/>
  <c r="AE28" i="107"/>
  <c r="AE26" i="107"/>
  <c r="AE24" i="107"/>
  <c r="AF23" i="107"/>
  <c r="AE22" i="107"/>
  <c r="AD33" i="108"/>
  <c r="Z33" i="108"/>
  <c r="V33" i="108"/>
  <c r="AA32" i="108"/>
  <c r="W32" i="108"/>
  <c r="AB31" i="108"/>
  <c r="X31" i="108"/>
  <c r="T31" i="108"/>
  <c r="AE30" i="108"/>
  <c r="AC30" i="108"/>
  <c r="Y30" i="108"/>
  <c r="U30" i="108"/>
  <c r="AD29" i="108"/>
  <c r="Z29" i="108"/>
  <c r="V29" i="108"/>
  <c r="AA28" i="108"/>
  <c r="W28" i="108"/>
  <c r="AB27" i="108"/>
  <c r="X27" i="108"/>
  <c r="T27" i="108"/>
  <c r="AC26" i="108"/>
  <c r="Y26" i="108"/>
  <c r="U26" i="108"/>
  <c r="AE25" i="108"/>
  <c r="AD25" i="108"/>
  <c r="Z25" i="108"/>
  <c r="V25" i="108"/>
  <c r="AA24" i="108"/>
  <c r="W24" i="108"/>
  <c r="AB23" i="108"/>
  <c r="X23" i="108"/>
  <c r="T23" i="108"/>
  <c r="AC22" i="108"/>
  <c r="Y22" i="108"/>
  <c r="U22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AF20" i="108"/>
  <c r="AE20" i="108"/>
  <c r="AD20" i="108"/>
  <c r="AD36" i="108" s="1"/>
  <c r="AC20" i="108"/>
  <c r="AC36" i="108" s="1"/>
  <c r="AB20" i="108"/>
  <c r="AA20" i="108"/>
  <c r="Z20" i="108"/>
  <c r="Z36" i="108" s="1"/>
  <c r="Y20" i="108"/>
  <c r="Y36" i="108" s="1"/>
  <c r="X20" i="108"/>
  <c r="W20" i="108"/>
  <c r="V20" i="108"/>
  <c r="V36" i="108" s="1"/>
  <c r="U20" i="108"/>
  <c r="U36" i="108" s="1"/>
  <c r="T20" i="108"/>
  <c r="S20" i="108"/>
  <c r="AF19" i="108"/>
  <c r="AF36" i="108" s="1"/>
  <c r="AE19" i="108"/>
  <c r="AE36" i="108" s="1"/>
  <c r="AD19" i="108"/>
  <c r="AD39" i="108" s="1"/>
  <c r="AC19" i="108"/>
  <c r="AC39" i="108" s="1"/>
  <c r="AB19" i="108"/>
  <c r="AB36" i="108" s="1"/>
  <c r="AA19" i="108"/>
  <c r="AA39" i="108" s="1"/>
  <c r="Z19" i="108"/>
  <c r="Z39" i="108" s="1"/>
  <c r="Y19" i="108"/>
  <c r="Y39" i="108" s="1"/>
  <c r="X19" i="108"/>
  <c r="X36" i="108" s="1"/>
  <c r="W19" i="108"/>
  <c r="W36" i="108" s="1"/>
  <c r="V19" i="108"/>
  <c r="V39" i="108" s="1"/>
  <c r="U19" i="108"/>
  <c r="U39" i="108" s="1"/>
  <c r="T19" i="108"/>
  <c r="T36" i="108" s="1"/>
  <c r="S19" i="108"/>
  <c r="S39" i="108" s="1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AF14" i="108"/>
  <c r="AE14" i="108"/>
  <c r="AD14" i="108"/>
  <c r="AD38" i="108" s="1"/>
  <c r="AC14" i="108"/>
  <c r="AC38" i="108" s="1"/>
  <c r="AB14" i="108"/>
  <c r="AA14" i="108"/>
  <c r="Z14" i="108"/>
  <c r="Z38" i="108" s="1"/>
  <c r="Y14" i="108"/>
  <c r="Y38" i="108" s="1"/>
  <c r="X14" i="108"/>
  <c r="W14" i="108"/>
  <c r="V14" i="108"/>
  <c r="V38" i="108" s="1"/>
  <c r="U14" i="108"/>
  <c r="U38" i="108" s="1"/>
  <c r="T14" i="108"/>
  <c r="S14" i="108"/>
  <c r="AF13" i="108"/>
  <c r="AF38" i="108" s="1"/>
  <c r="AE13" i="108"/>
  <c r="AE38" i="108" s="1"/>
  <c r="AD13" i="108"/>
  <c r="AD35" i="108" s="1"/>
  <c r="AC13" i="108"/>
  <c r="AC35" i="108" s="1"/>
  <c r="AB13" i="108"/>
  <c r="AB38" i="108" s="1"/>
  <c r="AA13" i="108"/>
  <c r="AA35" i="108" s="1"/>
  <c r="Z13" i="108"/>
  <c r="Z35" i="108" s="1"/>
  <c r="Y13" i="108"/>
  <c r="Y35" i="108" s="1"/>
  <c r="X13" i="108"/>
  <c r="X38" i="108" s="1"/>
  <c r="W13" i="108"/>
  <c r="W38" i="108" s="1"/>
  <c r="V13" i="108"/>
  <c r="V35" i="108" s="1"/>
  <c r="U13" i="108"/>
  <c r="U35" i="108" s="1"/>
  <c r="T13" i="108"/>
  <c r="T38" i="108" s="1"/>
  <c r="S13" i="108"/>
  <c r="S38" i="108" s="1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AF11" i="108"/>
  <c r="AE11" i="108"/>
  <c r="AD11" i="108"/>
  <c r="AC11" i="108"/>
  <c r="AB11" i="108"/>
  <c r="AB37" i="108" s="1"/>
  <c r="AA11" i="108"/>
  <c r="Z11" i="108"/>
  <c r="Y11" i="108"/>
  <c r="X11" i="108"/>
  <c r="W11" i="108"/>
  <c r="V11" i="108"/>
  <c r="U11" i="108"/>
  <c r="T11" i="108"/>
  <c r="T37" i="108" s="1"/>
  <c r="S11" i="108"/>
  <c r="AF10" i="108"/>
  <c r="AF40" i="108" s="1"/>
  <c r="AE10" i="108"/>
  <c r="AE40" i="108" s="1"/>
  <c r="AD10" i="108"/>
  <c r="AC10" i="108"/>
  <c r="AC40" i="108" s="1"/>
  <c r="AB10" i="108"/>
  <c r="AB40" i="108" s="1"/>
  <c r="AA10" i="108"/>
  <c r="AA40" i="108" s="1"/>
  <c r="Z10" i="108"/>
  <c r="Y10" i="108"/>
  <c r="X10" i="108"/>
  <c r="X40" i="108" s="1"/>
  <c r="W10" i="108"/>
  <c r="W40" i="108" s="1"/>
  <c r="V10" i="108"/>
  <c r="U10" i="108"/>
  <c r="U40" i="108" s="1"/>
  <c r="T10" i="108"/>
  <c r="T40" i="108" s="1"/>
  <c r="S10" i="108"/>
  <c r="S40" i="108" s="1"/>
  <c r="AC33" i="111"/>
  <c r="Y33" i="111"/>
  <c r="U33" i="111"/>
  <c r="AD32" i="111"/>
  <c r="Z32" i="111"/>
  <c r="V32" i="111"/>
  <c r="S32" i="111"/>
  <c r="AB31" i="111"/>
  <c r="X31" i="111"/>
  <c r="T31" i="111"/>
  <c r="AC30" i="111"/>
  <c r="Y30" i="111"/>
  <c r="U30" i="111"/>
  <c r="S30" i="111"/>
  <c r="AE29" i="111"/>
  <c r="AA29" i="111"/>
  <c r="W29" i="111"/>
  <c r="AE28" i="111"/>
  <c r="AB28" i="111"/>
  <c r="X28" i="111"/>
  <c r="T28" i="111"/>
  <c r="S28" i="111"/>
  <c r="AD27" i="111"/>
  <c r="Z27" i="111"/>
  <c r="V27" i="111"/>
  <c r="AD26" i="111"/>
  <c r="AA26" i="111"/>
  <c r="Z26" i="111"/>
  <c r="W26" i="111"/>
  <c r="V26" i="111"/>
  <c r="S26" i="111"/>
  <c r="AF25" i="111"/>
  <c r="AC25" i="111"/>
  <c r="AB25" i="111"/>
  <c r="Y25" i="111"/>
  <c r="X25" i="111"/>
  <c r="U25" i="111"/>
  <c r="T25" i="111"/>
  <c r="AD24" i="111"/>
  <c r="AC24" i="111"/>
  <c r="Z24" i="111"/>
  <c r="Y24" i="111"/>
  <c r="V24" i="111"/>
  <c r="U24" i="111"/>
  <c r="S24" i="111"/>
  <c r="AE23" i="111"/>
  <c r="AB23" i="111"/>
  <c r="AA23" i="111"/>
  <c r="X23" i="111"/>
  <c r="W23" i="111"/>
  <c r="T23" i="111"/>
  <c r="AC22" i="111"/>
  <c r="AB22" i="111"/>
  <c r="Y22" i="111"/>
  <c r="X22" i="111"/>
  <c r="U22" i="111"/>
  <c r="T22" i="111"/>
  <c r="S22" i="111"/>
  <c r="AF41" i="108" l="1"/>
  <c r="AE41" i="108"/>
  <c r="Y41" i="108"/>
  <c r="W41" i="108"/>
  <c r="AA41" i="108"/>
  <c r="V41" i="108"/>
  <c r="AD41" i="108"/>
  <c r="X41" i="108"/>
  <c r="Z41" i="108"/>
  <c r="S41" i="108"/>
  <c r="S42" i="108"/>
  <c r="W42" i="108"/>
  <c r="AA42" i="108"/>
  <c r="AE42" i="108"/>
  <c r="AD42" i="108"/>
  <c r="X42" i="108"/>
  <c r="AF42" i="108"/>
  <c r="Y34" i="108"/>
  <c r="S35" i="108"/>
  <c r="W35" i="108"/>
  <c r="AE35" i="108"/>
  <c r="S37" i="108"/>
  <c r="AA37" i="108"/>
  <c r="W39" i="108"/>
  <c r="AE39" i="108"/>
  <c r="Y40" i="108"/>
  <c r="Y42" i="108" s="1"/>
  <c r="V34" i="108"/>
  <c r="AD34" i="108"/>
  <c r="X35" i="108"/>
  <c r="X37" i="108"/>
  <c r="AF37" i="108"/>
  <c r="X39" i="108"/>
  <c r="AF39" i="108"/>
  <c r="Z40" i="108"/>
  <c r="Z42" i="108" s="1"/>
  <c r="T41" i="108"/>
  <c r="T42" i="108" s="1"/>
  <c r="AB41" i="108"/>
  <c r="AB42" i="108" s="1"/>
  <c r="S34" i="108"/>
  <c r="W34" i="108"/>
  <c r="AA34" i="108"/>
  <c r="AE34" i="108"/>
  <c r="S36" i="108"/>
  <c r="AA36" i="108"/>
  <c r="U37" i="108"/>
  <c r="Y37" i="108"/>
  <c r="AC37" i="108"/>
  <c r="AA38" i="108"/>
  <c r="U41" i="108"/>
  <c r="U42" i="108" s="1"/>
  <c r="AC41" i="108"/>
  <c r="AC42" i="108" s="1"/>
  <c r="U34" i="108"/>
  <c r="AC34" i="108"/>
  <c r="W37" i="108"/>
  <c r="AE37" i="108"/>
  <c r="Z34" i="108"/>
  <c r="T35" i="108"/>
  <c r="AB35" i="108"/>
  <c r="AF35" i="108"/>
  <c r="T39" i="108"/>
  <c r="AB39" i="108"/>
  <c r="V40" i="108"/>
  <c r="AD40" i="108"/>
  <c r="T34" i="108"/>
  <c r="X34" i="108"/>
  <c r="AB34" i="108"/>
  <c r="AF34" i="108"/>
  <c r="V37" i="108"/>
  <c r="Z37" i="108"/>
  <c r="AD37" i="108"/>
  <c r="V42" i="108" l="1"/>
  <c r="C11" i="108" l="1"/>
  <c r="D11" i="108"/>
  <c r="E11" i="108"/>
  <c r="F11" i="108"/>
  <c r="G11" i="108"/>
  <c r="H11" i="108"/>
  <c r="I11" i="108"/>
  <c r="J11" i="108"/>
  <c r="K11" i="108"/>
  <c r="L11" i="108"/>
  <c r="M11" i="108"/>
  <c r="N11" i="108"/>
  <c r="C12" i="108"/>
  <c r="D12" i="108"/>
  <c r="E12" i="108"/>
  <c r="F12" i="108"/>
  <c r="G12" i="108"/>
  <c r="H12" i="108"/>
  <c r="I12" i="108"/>
  <c r="J12" i="108"/>
  <c r="K12" i="108"/>
  <c r="L12" i="108"/>
  <c r="M12" i="108"/>
  <c r="N12" i="108"/>
  <c r="C13" i="108"/>
  <c r="D13" i="108"/>
  <c r="E13" i="108"/>
  <c r="F13" i="108"/>
  <c r="G13" i="108"/>
  <c r="H13" i="108"/>
  <c r="I13" i="108"/>
  <c r="J13" i="108"/>
  <c r="K13" i="108"/>
  <c r="L13" i="108"/>
  <c r="M13" i="108"/>
  <c r="N13" i="108"/>
  <c r="C14" i="108"/>
  <c r="D14" i="108"/>
  <c r="E14" i="108"/>
  <c r="F14" i="108"/>
  <c r="G14" i="108"/>
  <c r="H14" i="108"/>
  <c r="I14" i="108"/>
  <c r="J14" i="108"/>
  <c r="K14" i="108"/>
  <c r="L14" i="108"/>
  <c r="M14" i="108"/>
  <c r="N14" i="108"/>
  <c r="C15" i="108"/>
  <c r="D15" i="108"/>
  <c r="E15" i="108"/>
  <c r="F15" i="108"/>
  <c r="G15" i="108"/>
  <c r="H15" i="108"/>
  <c r="I15" i="108"/>
  <c r="J15" i="108"/>
  <c r="K15" i="108"/>
  <c r="L15" i="108"/>
  <c r="M15" i="108"/>
  <c r="N15" i="108"/>
  <c r="C16" i="108"/>
  <c r="D16" i="108"/>
  <c r="E16" i="108"/>
  <c r="F16" i="108"/>
  <c r="G16" i="108"/>
  <c r="H16" i="108"/>
  <c r="I16" i="108"/>
  <c r="J16" i="108"/>
  <c r="K16" i="108"/>
  <c r="L16" i="108"/>
  <c r="M16" i="108"/>
  <c r="N16" i="108"/>
  <c r="C17" i="108"/>
  <c r="D17" i="108"/>
  <c r="E17" i="108"/>
  <c r="F17" i="108"/>
  <c r="G17" i="108"/>
  <c r="H17" i="108"/>
  <c r="I17" i="108"/>
  <c r="J17" i="108"/>
  <c r="K17" i="108"/>
  <c r="L17" i="108"/>
  <c r="M17" i="108"/>
  <c r="N17" i="108"/>
  <c r="C18" i="108"/>
  <c r="D18" i="108"/>
  <c r="E18" i="108"/>
  <c r="F18" i="108"/>
  <c r="G18" i="108"/>
  <c r="H18" i="108"/>
  <c r="I18" i="108"/>
  <c r="J18" i="108"/>
  <c r="K18" i="108"/>
  <c r="L18" i="108"/>
  <c r="M18" i="108"/>
  <c r="N18" i="108"/>
  <c r="C19" i="108"/>
  <c r="D19" i="108"/>
  <c r="E19" i="108"/>
  <c r="F19" i="108"/>
  <c r="G19" i="108"/>
  <c r="H19" i="108"/>
  <c r="I19" i="108"/>
  <c r="J19" i="108"/>
  <c r="K19" i="108"/>
  <c r="L19" i="108"/>
  <c r="M19" i="108"/>
  <c r="N19" i="108"/>
  <c r="C20" i="108"/>
  <c r="D20" i="108"/>
  <c r="E20" i="108"/>
  <c r="F20" i="108"/>
  <c r="G20" i="108"/>
  <c r="H20" i="108"/>
  <c r="I20" i="108"/>
  <c r="J20" i="108"/>
  <c r="K20" i="108"/>
  <c r="L20" i="108"/>
  <c r="M20" i="108"/>
  <c r="N20" i="108"/>
  <c r="C21" i="108"/>
  <c r="D21" i="108"/>
  <c r="E21" i="108"/>
  <c r="F21" i="108"/>
  <c r="G21" i="108"/>
  <c r="H21" i="108"/>
  <c r="I21" i="108"/>
  <c r="J21" i="108"/>
  <c r="K21" i="108"/>
  <c r="L21" i="108"/>
  <c r="M21" i="108"/>
  <c r="N21" i="108"/>
  <c r="C22" i="108"/>
  <c r="D22" i="108"/>
  <c r="E22" i="108"/>
  <c r="F22" i="108"/>
  <c r="G22" i="108"/>
  <c r="H22" i="108"/>
  <c r="I22" i="108"/>
  <c r="J22" i="108"/>
  <c r="K22" i="108"/>
  <c r="L22" i="108"/>
  <c r="M22" i="108"/>
  <c r="N22" i="108"/>
  <c r="C23" i="108"/>
  <c r="D23" i="108"/>
  <c r="E23" i="108"/>
  <c r="F23" i="108"/>
  <c r="G23" i="108"/>
  <c r="H23" i="108"/>
  <c r="I23" i="108"/>
  <c r="J23" i="108"/>
  <c r="K23" i="108"/>
  <c r="L23" i="108"/>
  <c r="M23" i="108"/>
  <c r="N23" i="108"/>
  <c r="C24" i="108"/>
  <c r="D24" i="108"/>
  <c r="E24" i="108"/>
  <c r="F24" i="108"/>
  <c r="G24" i="108"/>
  <c r="H24" i="108"/>
  <c r="I24" i="108"/>
  <c r="J24" i="108"/>
  <c r="K24" i="108"/>
  <c r="L24" i="108"/>
  <c r="M24" i="108"/>
  <c r="N24" i="108"/>
  <c r="C25" i="108"/>
  <c r="D25" i="108"/>
  <c r="E25" i="108"/>
  <c r="F25" i="108"/>
  <c r="G25" i="108"/>
  <c r="H25" i="108"/>
  <c r="I25" i="108"/>
  <c r="J25" i="108"/>
  <c r="K25" i="108"/>
  <c r="L25" i="108"/>
  <c r="M25" i="108"/>
  <c r="N25" i="108"/>
  <c r="C26" i="108"/>
  <c r="D26" i="108"/>
  <c r="E26" i="108"/>
  <c r="F26" i="108"/>
  <c r="G26" i="108"/>
  <c r="H26" i="108"/>
  <c r="I26" i="108"/>
  <c r="J26" i="108"/>
  <c r="K26" i="108"/>
  <c r="L26" i="108"/>
  <c r="M26" i="108"/>
  <c r="N26" i="108"/>
  <c r="C27" i="108"/>
  <c r="D27" i="108"/>
  <c r="E27" i="108"/>
  <c r="F27" i="108"/>
  <c r="G27" i="108"/>
  <c r="H27" i="108"/>
  <c r="I27" i="108"/>
  <c r="J27" i="108"/>
  <c r="K27" i="108"/>
  <c r="L27" i="108"/>
  <c r="M27" i="108"/>
  <c r="N27" i="108"/>
  <c r="C28" i="108"/>
  <c r="D28" i="108"/>
  <c r="E28" i="108"/>
  <c r="F28" i="108"/>
  <c r="G28" i="108"/>
  <c r="H28" i="108"/>
  <c r="I28" i="108"/>
  <c r="J28" i="108"/>
  <c r="K28" i="108"/>
  <c r="L28" i="108"/>
  <c r="M28" i="108"/>
  <c r="N28" i="108"/>
  <c r="C29" i="108"/>
  <c r="D29" i="108"/>
  <c r="E29" i="108"/>
  <c r="F29" i="108"/>
  <c r="G29" i="108"/>
  <c r="H29" i="108"/>
  <c r="I29" i="108"/>
  <c r="J29" i="108"/>
  <c r="K29" i="108"/>
  <c r="L29" i="108"/>
  <c r="M29" i="108"/>
  <c r="N29" i="108"/>
  <c r="C30" i="108"/>
  <c r="D30" i="108"/>
  <c r="E30" i="108"/>
  <c r="F30" i="108"/>
  <c r="G30" i="108"/>
  <c r="H30" i="108"/>
  <c r="I30" i="108"/>
  <c r="J30" i="108"/>
  <c r="K30" i="108"/>
  <c r="L30" i="108"/>
  <c r="M30" i="108"/>
  <c r="N30" i="108"/>
  <c r="C31" i="108"/>
  <c r="D31" i="108"/>
  <c r="E31" i="108"/>
  <c r="F31" i="108"/>
  <c r="G31" i="108"/>
  <c r="H31" i="108"/>
  <c r="I31" i="108"/>
  <c r="J31" i="108"/>
  <c r="K31" i="108"/>
  <c r="L31" i="108"/>
  <c r="M31" i="108"/>
  <c r="N31" i="108"/>
  <c r="C32" i="108"/>
  <c r="D32" i="108"/>
  <c r="E32" i="108"/>
  <c r="F32" i="108"/>
  <c r="G32" i="108"/>
  <c r="H32" i="108"/>
  <c r="I32" i="108"/>
  <c r="J32" i="108"/>
  <c r="K32" i="108"/>
  <c r="L32" i="108"/>
  <c r="M32" i="108"/>
  <c r="N32" i="108"/>
  <c r="C33" i="108"/>
  <c r="D33" i="108"/>
  <c r="E33" i="108"/>
  <c r="F33" i="108"/>
  <c r="G33" i="108"/>
  <c r="H33" i="108"/>
  <c r="I33" i="108"/>
  <c r="J33" i="108"/>
  <c r="K33" i="108"/>
  <c r="L33" i="108"/>
  <c r="M33" i="108"/>
  <c r="N33" i="108"/>
  <c r="C34" i="108"/>
  <c r="D34" i="108"/>
  <c r="E34" i="108"/>
  <c r="F34" i="108"/>
  <c r="G34" i="108"/>
  <c r="H34" i="108"/>
  <c r="I34" i="108"/>
  <c r="J34" i="108"/>
  <c r="K34" i="108"/>
  <c r="L34" i="108"/>
  <c r="M34" i="108"/>
  <c r="N34" i="108"/>
  <c r="C35" i="108"/>
  <c r="D35" i="108"/>
  <c r="E35" i="108"/>
  <c r="F35" i="108"/>
  <c r="G35" i="108"/>
  <c r="H35" i="108"/>
  <c r="I35" i="108"/>
  <c r="J35" i="108"/>
  <c r="K35" i="108"/>
  <c r="L35" i="108"/>
  <c r="M35" i="108"/>
  <c r="N35" i="108"/>
  <c r="C36" i="108"/>
  <c r="D36" i="108"/>
  <c r="E36" i="108"/>
  <c r="F36" i="108"/>
  <c r="G36" i="108"/>
  <c r="H36" i="108"/>
  <c r="I36" i="108"/>
  <c r="J36" i="108"/>
  <c r="K36" i="108"/>
  <c r="L36" i="108"/>
  <c r="M36" i="108"/>
  <c r="N36" i="108"/>
  <c r="C37" i="108"/>
  <c r="D37" i="108"/>
  <c r="E37" i="108"/>
  <c r="F37" i="108"/>
  <c r="G37" i="108"/>
  <c r="H37" i="108"/>
  <c r="I37" i="108"/>
  <c r="J37" i="108"/>
  <c r="K37" i="108"/>
  <c r="L37" i="108"/>
  <c r="M37" i="108"/>
  <c r="N37" i="108"/>
  <c r="C38" i="108"/>
  <c r="D38" i="108"/>
  <c r="E38" i="108"/>
  <c r="F38" i="108"/>
  <c r="G38" i="108"/>
  <c r="H38" i="108"/>
  <c r="I38" i="108"/>
  <c r="J38" i="108"/>
  <c r="K38" i="108"/>
  <c r="L38" i="108"/>
  <c r="M38" i="108"/>
  <c r="N38" i="108"/>
  <c r="C39" i="108"/>
  <c r="D39" i="108"/>
  <c r="E39" i="108"/>
  <c r="F39" i="108"/>
  <c r="G39" i="108"/>
  <c r="H39" i="108"/>
  <c r="I39" i="108"/>
  <c r="J39" i="108"/>
  <c r="K39" i="108"/>
  <c r="L39" i="108"/>
  <c r="M39" i="108"/>
  <c r="N39" i="108"/>
  <c r="C40" i="108"/>
  <c r="D40" i="108"/>
  <c r="E40" i="108"/>
  <c r="F40" i="108"/>
  <c r="G40" i="108"/>
  <c r="H40" i="108"/>
  <c r="I40" i="108"/>
  <c r="J40" i="108"/>
  <c r="K40" i="108"/>
  <c r="L40" i="108"/>
  <c r="M40" i="108"/>
  <c r="N40" i="108"/>
  <c r="C41" i="108"/>
  <c r="D41" i="108"/>
  <c r="E41" i="108"/>
  <c r="F41" i="108"/>
  <c r="G41" i="108"/>
  <c r="H41" i="108"/>
  <c r="I41" i="108"/>
  <c r="J41" i="108"/>
  <c r="K41" i="108"/>
  <c r="L41" i="108"/>
  <c r="M41" i="108"/>
  <c r="N41" i="108"/>
  <c r="C42" i="108"/>
  <c r="D42" i="108"/>
  <c r="E42" i="108"/>
  <c r="F42" i="108"/>
  <c r="G42" i="108"/>
  <c r="H42" i="108"/>
  <c r="I42" i="108"/>
  <c r="J42" i="108"/>
  <c r="K42" i="108"/>
  <c r="L42" i="108"/>
  <c r="M42" i="108"/>
  <c r="N42" i="108"/>
  <c r="C43" i="108"/>
  <c r="D43" i="108"/>
  <c r="E43" i="108"/>
  <c r="F43" i="108"/>
  <c r="G43" i="108"/>
  <c r="H43" i="108"/>
  <c r="I43" i="108"/>
  <c r="J43" i="108"/>
  <c r="K43" i="108"/>
  <c r="L43" i="108"/>
  <c r="M43" i="108"/>
  <c r="N43" i="108"/>
  <c r="C44" i="108"/>
  <c r="D44" i="108"/>
  <c r="E44" i="108"/>
  <c r="F44" i="108"/>
  <c r="G44" i="108"/>
  <c r="H44" i="108"/>
  <c r="I44" i="108"/>
  <c r="J44" i="108"/>
  <c r="K44" i="108"/>
  <c r="L44" i="108"/>
  <c r="M44" i="108"/>
  <c r="N44" i="108"/>
  <c r="C45" i="108"/>
  <c r="D45" i="108"/>
  <c r="E45" i="108"/>
  <c r="F45" i="108"/>
  <c r="G45" i="108"/>
  <c r="H45" i="108"/>
  <c r="I45" i="108"/>
  <c r="J45" i="108"/>
  <c r="K45" i="108"/>
  <c r="L45" i="108"/>
  <c r="M45" i="108"/>
  <c r="N45" i="108"/>
  <c r="C46" i="108"/>
  <c r="D46" i="108"/>
  <c r="E46" i="108"/>
  <c r="F46" i="108"/>
  <c r="G46" i="108"/>
  <c r="H46" i="108"/>
  <c r="I46" i="108"/>
  <c r="J46" i="108"/>
  <c r="K46" i="108"/>
  <c r="L46" i="108"/>
  <c r="M46" i="108"/>
  <c r="N46" i="108"/>
  <c r="C47" i="108"/>
  <c r="D47" i="108"/>
  <c r="E47" i="108"/>
  <c r="F47" i="108"/>
  <c r="G47" i="108"/>
  <c r="H47" i="108"/>
  <c r="I47" i="108"/>
  <c r="J47" i="108"/>
  <c r="K47" i="108"/>
  <c r="L47" i="108"/>
  <c r="M47" i="108"/>
  <c r="N47" i="108"/>
  <c r="C48" i="108"/>
  <c r="D48" i="108"/>
  <c r="E48" i="108"/>
  <c r="F48" i="108"/>
  <c r="G48" i="108"/>
  <c r="H48" i="108"/>
  <c r="I48" i="108"/>
  <c r="J48" i="108"/>
  <c r="K48" i="108"/>
  <c r="L48" i="108"/>
  <c r="M48" i="108"/>
  <c r="N48" i="108"/>
  <c r="C49" i="108"/>
  <c r="D49" i="108"/>
  <c r="E49" i="108"/>
  <c r="F49" i="108"/>
  <c r="G49" i="108"/>
  <c r="H49" i="108"/>
  <c r="I49" i="108"/>
  <c r="J49" i="108"/>
  <c r="K49" i="108"/>
  <c r="L49" i="108"/>
  <c r="M49" i="108"/>
  <c r="N49" i="108"/>
  <c r="C50" i="108"/>
  <c r="D50" i="108"/>
  <c r="E50" i="108"/>
  <c r="F50" i="108"/>
  <c r="G50" i="108"/>
  <c r="H50" i="108"/>
  <c r="I50" i="108"/>
  <c r="J50" i="108"/>
  <c r="K50" i="108"/>
  <c r="L50" i="108"/>
  <c r="M50" i="108"/>
  <c r="N50" i="108"/>
  <c r="C51" i="108"/>
  <c r="D51" i="108"/>
  <c r="E51" i="108"/>
  <c r="F51" i="108"/>
  <c r="G51" i="108"/>
  <c r="H51" i="108"/>
  <c r="I51" i="108"/>
  <c r="J51" i="108"/>
  <c r="K51" i="108"/>
  <c r="L51" i="108"/>
  <c r="M51" i="108"/>
  <c r="N51" i="108"/>
  <c r="C52" i="108"/>
  <c r="D52" i="108"/>
  <c r="E52" i="108"/>
  <c r="F52" i="108"/>
  <c r="G52" i="108"/>
  <c r="H52" i="108"/>
  <c r="I52" i="108"/>
  <c r="J52" i="108"/>
  <c r="K52" i="108"/>
  <c r="L52" i="108"/>
  <c r="M52" i="108"/>
  <c r="N52" i="108"/>
  <c r="C53" i="108"/>
  <c r="D53" i="108"/>
  <c r="E53" i="108"/>
  <c r="F53" i="108"/>
  <c r="G53" i="108"/>
  <c r="H53" i="108"/>
  <c r="I53" i="108"/>
  <c r="J53" i="108"/>
  <c r="K53" i="108"/>
  <c r="L53" i="108"/>
  <c r="M53" i="108"/>
  <c r="N53" i="108"/>
  <c r="C54" i="108"/>
  <c r="D54" i="108"/>
  <c r="E54" i="108"/>
  <c r="F54" i="108"/>
  <c r="G54" i="108"/>
  <c r="H54" i="108"/>
  <c r="I54" i="108"/>
  <c r="J54" i="108"/>
  <c r="K54" i="108"/>
  <c r="L54" i="108"/>
  <c r="M54" i="108"/>
  <c r="N54" i="108"/>
  <c r="C55" i="108"/>
  <c r="D55" i="108"/>
  <c r="E55" i="108"/>
  <c r="F55" i="108"/>
  <c r="G55" i="108"/>
  <c r="H55" i="108"/>
  <c r="I55" i="108"/>
  <c r="J55" i="108"/>
  <c r="K55" i="108"/>
  <c r="L55" i="108"/>
  <c r="M55" i="108"/>
  <c r="N55" i="108"/>
  <c r="C56" i="108"/>
  <c r="D56" i="108"/>
  <c r="E56" i="108"/>
  <c r="F56" i="108"/>
  <c r="G56" i="108"/>
  <c r="H56" i="108"/>
  <c r="I56" i="108"/>
  <c r="J56" i="108"/>
  <c r="K56" i="108"/>
  <c r="L56" i="108"/>
  <c r="M56" i="108"/>
  <c r="N56" i="108"/>
  <c r="C57" i="108"/>
  <c r="D57" i="108"/>
  <c r="E57" i="108"/>
  <c r="F57" i="108"/>
  <c r="G57" i="108"/>
  <c r="H57" i="108"/>
  <c r="I57" i="108"/>
  <c r="J57" i="108"/>
  <c r="K57" i="108"/>
  <c r="L57" i="108"/>
  <c r="M57" i="108"/>
  <c r="N57" i="108"/>
  <c r="D10" i="108"/>
  <c r="E10" i="108"/>
  <c r="F10" i="108"/>
  <c r="G10" i="108"/>
  <c r="H10" i="108"/>
  <c r="I10" i="108"/>
  <c r="J10" i="108"/>
  <c r="K10" i="108"/>
  <c r="L10" i="108"/>
  <c r="M10" i="108"/>
  <c r="N10" i="108"/>
  <c r="C10" i="108"/>
  <c r="C11" i="107"/>
  <c r="C11" i="111" s="1"/>
  <c r="D11" i="107"/>
  <c r="D11" i="111" s="1"/>
  <c r="E11" i="107"/>
  <c r="E11" i="111" s="1"/>
  <c r="F11" i="107"/>
  <c r="F11" i="111" s="1"/>
  <c r="G11" i="107"/>
  <c r="G11" i="111" s="1"/>
  <c r="H11" i="107"/>
  <c r="H11" i="111" s="1"/>
  <c r="I11" i="107"/>
  <c r="I11" i="111" s="1"/>
  <c r="J11" i="107"/>
  <c r="J11" i="111" s="1"/>
  <c r="K11" i="107"/>
  <c r="K11" i="111" s="1"/>
  <c r="L11" i="107"/>
  <c r="L11" i="111" s="1"/>
  <c r="M11" i="107"/>
  <c r="M11" i="111" s="1"/>
  <c r="N11" i="107"/>
  <c r="N11" i="111" s="1"/>
  <c r="C12" i="107"/>
  <c r="C12" i="111" s="1"/>
  <c r="D12" i="107"/>
  <c r="D12" i="111" s="1"/>
  <c r="E12" i="107"/>
  <c r="E12" i="111" s="1"/>
  <c r="F12" i="107"/>
  <c r="F12" i="111" s="1"/>
  <c r="G12" i="107"/>
  <c r="G12" i="111" s="1"/>
  <c r="H12" i="107"/>
  <c r="H12" i="111" s="1"/>
  <c r="I12" i="107"/>
  <c r="I12" i="111" s="1"/>
  <c r="J12" i="107"/>
  <c r="J12" i="111" s="1"/>
  <c r="K12" i="107"/>
  <c r="K12" i="111" s="1"/>
  <c r="L12" i="107"/>
  <c r="L12" i="111" s="1"/>
  <c r="M12" i="107"/>
  <c r="M12" i="111" s="1"/>
  <c r="N12" i="107"/>
  <c r="N12" i="111" s="1"/>
  <c r="C13" i="107"/>
  <c r="C13" i="111" s="1"/>
  <c r="D13" i="107"/>
  <c r="D13" i="111" s="1"/>
  <c r="E13" i="107"/>
  <c r="E13" i="111" s="1"/>
  <c r="F13" i="107"/>
  <c r="F13" i="111" s="1"/>
  <c r="G13" i="107"/>
  <c r="G13" i="111" s="1"/>
  <c r="H13" i="107"/>
  <c r="H13" i="111" s="1"/>
  <c r="I13" i="107"/>
  <c r="I13" i="111" s="1"/>
  <c r="J13" i="107"/>
  <c r="J13" i="111" s="1"/>
  <c r="K13" i="107"/>
  <c r="K13" i="111" s="1"/>
  <c r="L13" i="107"/>
  <c r="L13" i="111" s="1"/>
  <c r="M13" i="107"/>
  <c r="M13" i="111" s="1"/>
  <c r="N13" i="107"/>
  <c r="N13" i="111" s="1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C15" i="111" s="1"/>
  <c r="D15" i="107"/>
  <c r="D15" i="111" s="1"/>
  <c r="E15" i="107"/>
  <c r="E15" i="111" s="1"/>
  <c r="F15" i="107"/>
  <c r="F15" i="111" s="1"/>
  <c r="G15" i="107"/>
  <c r="G15" i="111" s="1"/>
  <c r="H15" i="107"/>
  <c r="H15" i="111" s="1"/>
  <c r="I15" i="107"/>
  <c r="I15" i="111" s="1"/>
  <c r="J15" i="107"/>
  <c r="J15" i="111" s="1"/>
  <c r="K15" i="107"/>
  <c r="K15" i="111" s="1"/>
  <c r="L15" i="107"/>
  <c r="L15" i="111" s="1"/>
  <c r="M15" i="107"/>
  <c r="M15" i="111" s="1"/>
  <c r="N15" i="107"/>
  <c r="N15" i="111" s="1"/>
  <c r="C16" i="107"/>
  <c r="C16" i="111" s="1"/>
  <c r="D16" i="107"/>
  <c r="D16" i="111" s="1"/>
  <c r="E16" i="107"/>
  <c r="E16" i="111" s="1"/>
  <c r="F16" i="107"/>
  <c r="F16" i="111" s="1"/>
  <c r="G16" i="107"/>
  <c r="G16" i="111" s="1"/>
  <c r="H16" i="107"/>
  <c r="H16" i="111" s="1"/>
  <c r="I16" i="107"/>
  <c r="I16" i="111" s="1"/>
  <c r="J16" i="107"/>
  <c r="J16" i="111" s="1"/>
  <c r="K16" i="107"/>
  <c r="K16" i="111" s="1"/>
  <c r="L16" i="107"/>
  <c r="L16" i="111" s="1"/>
  <c r="M16" i="107"/>
  <c r="M16" i="111" s="1"/>
  <c r="N16" i="107"/>
  <c r="N16" i="111" s="1"/>
  <c r="C17" i="107"/>
  <c r="C17" i="111" s="1"/>
  <c r="D17" i="107"/>
  <c r="D17" i="111" s="1"/>
  <c r="E17" i="107"/>
  <c r="E17" i="111" s="1"/>
  <c r="F17" i="107"/>
  <c r="F17" i="111" s="1"/>
  <c r="G17" i="107"/>
  <c r="G17" i="111" s="1"/>
  <c r="H17" i="107"/>
  <c r="H17" i="111" s="1"/>
  <c r="I17" i="107"/>
  <c r="I17" i="111" s="1"/>
  <c r="J17" i="107"/>
  <c r="J17" i="111" s="1"/>
  <c r="K17" i="107"/>
  <c r="K17" i="111" s="1"/>
  <c r="L17" i="107"/>
  <c r="L17" i="111" s="1"/>
  <c r="M17" i="107"/>
  <c r="M17" i="111" s="1"/>
  <c r="N17" i="107"/>
  <c r="N17" i="111" s="1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C19" i="111" s="1"/>
  <c r="D19" i="107"/>
  <c r="D19" i="111" s="1"/>
  <c r="E19" i="107"/>
  <c r="E19" i="111" s="1"/>
  <c r="F19" i="107"/>
  <c r="F19" i="111" s="1"/>
  <c r="G19" i="107"/>
  <c r="G19" i="111" s="1"/>
  <c r="H19" i="107"/>
  <c r="H19" i="111" s="1"/>
  <c r="I19" i="107"/>
  <c r="I19" i="111" s="1"/>
  <c r="J19" i="107"/>
  <c r="J19" i="111" s="1"/>
  <c r="K19" i="107"/>
  <c r="K19" i="111" s="1"/>
  <c r="L19" i="107"/>
  <c r="L19" i="111" s="1"/>
  <c r="M19" i="107"/>
  <c r="M19" i="111" s="1"/>
  <c r="N19" i="107"/>
  <c r="N19" i="111" s="1"/>
  <c r="C20" i="107"/>
  <c r="C20" i="111" s="1"/>
  <c r="D20" i="107"/>
  <c r="D20" i="111" s="1"/>
  <c r="E20" i="107"/>
  <c r="E20" i="111" s="1"/>
  <c r="F20" i="107"/>
  <c r="F20" i="111" s="1"/>
  <c r="G20" i="107"/>
  <c r="G20" i="111" s="1"/>
  <c r="H20" i="107"/>
  <c r="H20" i="111" s="1"/>
  <c r="I20" i="107"/>
  <c r="I20" i="111" s="1"/>
  <c r="J20" i="107"/>
  <c r="J20" i="111" s="1"/>
  <c r="K20" i="107"/>
  <c r="K20" i="111" s="1"/>
  <c r="L20" i="107"/>
  <c r="L20" i="111" s="1"/>
  <c r="M20" i="107"/>
  <c r="M20" i="111" s="1"/>
  <c r="N20" i="107"/>
  <c r="N20" i="111" s="1"/>
  <c r="C21" i="107"/>
  <c r="C21" i="111" s="1"/>
  <c r="D21" i="107"/>
  <c r="D21" i="111" s="1"/>
  <c r="E21" i="107"/>
  <c r="E21" i="111" s="1"/>
  <c r="F21" i="107"/>
  <c r="F21" i="111" s="1"/>
  <c r="G21" i="107"/>
  <c r="G21" i="111" s="1"/>
  <c r="H21" i="107"/>
  <c r="H21" i="111" s="1"/>
  <c r="I21" i="107"/>
  <c r="I21" i="111" s="1"/>
  <c r="J21" i="107"/>
  <c r="J21" i="111" s="1"/>
  <c r="K21" i="107"/>
  <c r="K21" i="111" s="1"/>
  <c r="L21" i="107"/>
  <c r="L21" i="111" s="1"/>
  <c r="M21" i="107"/>
  <c r="M21" i="111" s="1"/>
  <c r="N21" i="107"/>
  <c r="N21" i="111" s="1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C23" i="111" s="1"/>
  <c r="D23" i="107"/>
  <c r="D23" i="111" s="1"/>
  <c r="E23" i="107"/>
  <c r="E23" i="111" s="1"/>
  <c r="F23" i="107"/>
  <c r="F23" i="111" s="1"/>
  <c r="G23" i="107"/>
  <c r="G23" i="111" s="1"/>
  <c r="H23" i="107"/>
  <c r="H23" i="111" s="1"/>
  <c r="I23" i="107"/>
  <c r="I23" i="111" s="1"/>
  <c r="J23" i="107"/>
  <c r="J23" i="111" s="1"/>
  <c r="K23" i="107"/>
  <c r="K23" i="111" s="1"/>
  <c r="L23" i="107"/>
  <c r="L23" i="111" s="1"/>
  <c r="M23" i="107"/>
  <c r="M23" i="111" s="1"/>
  <c r="N23" i="107"/>
  <c r="N23" i="111" s="1"/>
  <c r="C24" i="107"/>
  <c r="C24" i="111" s="1"/>
  <c r="D24" i="107"/>
  <c r="D24" i="111" s="1"/>
  <c r="E24" i="107"/>
  <c r="E24" i="111" s="1"/>
  <c r="F24" i="107"/>
  <c r="F24" i="111" s="1"/>
  <c r="G24" i="107"/>
  <c r="G24" i="111" s="1"/>
  <c r="H24" i="107"/>
  <c r="H24" i="111" s="1"/>
  <c r="I24" i="107"/>
  <c r="I24" i="111" s="1"/>
  <c r="J24" i="107"/>
  <c r="J24" i="111" s="1"/>
  <c r="K24" i="107"/>
  <c r="K24" i="111" s="1"/>
  <c r="L24" i="107"/>
  <c r="L24" i="111" s="1"/>
  <c r="M24" i="107"/>
  <c r="M24" i="111" s="1"/>
  <c r="N24" i="107"/>
  <c r="N24" i="111" s="1"/>
  <c r="C25" i="107"/>
  <c r="C25" i="111" s="1"/>
  <c r="D25" i="107"/>
  <c r="D25" i="111" s="1"/>
  <c r="E25" i="107"/>
  <c r="E25" i="111" s="1"/>
  <c r="F25" i="107"/>
  <c r="F25" i="111" s="1"/>
  <c r="G25" i="107"/>
  <c r="G25" i="111" s="1"/>
  <c r="H25" i="107"/>
  <c r="H25" i="111" s="1"/>
  <c r="I25" i="107"/>
  <c r="I25" i="111" s="1"/>
  <c r="J25" i="107"/>
  <c r="J25" i="111" s="1"/>
  <c r="K25" i="107"/>
  <c r="K25" i="111" s="1"/>
  <c r="L25" i="107"/>
  <c r="L25" i="111" s="1"/>
  <c r="M25" i="107"/>
  <c r="M25" i="111" s="1"/>
  <c r="N25" i="107"/>
  <c r="N25" i="111" s="1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C27" i="111" s="1"/>
  <c r="D27" i="107"/>
  <c r="D27" i="111" s="1"/>
  <c r="E27" i="107"/>
  <c r="E27" i="111" s="1"/>
  <c r="F27" i="107"/>
  <c r="F27" i="111" s="1"/>
  <c r="G27" i="107"/>
  <c r="G27" i="111" s="1"/>
  <c r="H27" i="107"/>
  <c r="H27" i="111" s="1"/>
  <c r="I27" i="107"/>
  <c r="I27" i="111" s="1"/>
  <c r="J27" i="107"/>
  <c r="J27" i="111" s="1"/>
  <c r="K27" i="107"/>
  <c r="K27" i="111" s="1"/>
  <c r="L27" i="107"/>
  <c r="L27" i="111" s="1"/>
  <c r="M27" i="107"/>
  <c r="M27" i="111" s="1"/>
  <c r="N27" i="107"/>
  <c r="N27" i="111" s="1"/>
  <c r="C28" i="107"/>
  <c r="C28" i="111" s="1"/>
  <c r="D28" i="107"/>
  <c r="D28" i="111" s="1"/>
  <c r="E28" i="107"/>
  <c r="E28" i="111" s="1"/>
  <c r="F28" i="107"/>
  <c r="F28" i="111" s="1"/>
  <c r="G28" i="107"/>
  <c r="G28" i="111" s="1"/>
  <c r="H28" i="107"/>
  <c r="H28" i="111" s="1"/>
  <c r="I28" i="107"/>
  <c r="I28" i="111" s="1"/>
  <c r="J28" i="107"/>
  <c r="J28" i="111" s="1"/>
  <c r="K28" i="107"/>
  <c r="K28" i="111" s="1"/>
  <c r="L28" i="107"/>
  <c r="L28" i="111" s="1"/>
  <c r="M28" i="107"/>
  <c r="M28" i="111" s="1"/>
  <c r="N28" i="107"/>
  <c r="N28" i="111" s="1"/>
  <c r="C29" i="107"/>
  <c r="C29" i="111" s="1"/>
  <c r="D29" i="107"/>
  <c r="D29" i="111" s="1"/>
  <c r="E29" i="107"/>
  <c r="E29" i="111" s="1"/>
  <c r="F29" i="107"/>
  <c r="F29" i="111" s="1"/>
  <c r="G29" i="107"/>
  <c r="G29" i="111" s="1"/>
  <c r="H29" i="107"/>
  <c r="H29" i="111" s="1"/>
  <c r="I29" i="107"/>
  <c r="I29" i="111" s="1"/>
  <c r="J29" i="107"/>
  <c r="J29" i="111" s="1"/>
  <c r="K29" i="107"/>
  <c r="K29" i="111" s="1"/>
  <c r="L29" i="107"/>
  <c r="L29" i="111" s="1"/>
  <c r="M29" i="107"/>
  <c r="M29" i="111" s="1"/>
  <c r="N29" i="107"/>
  <c r="N29" i="111" s="1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C31" i="111" s="1"/>
  <c r="D31" i="107"/>
  <c r="D31" i="111" s="1"/>
  <c r="E31" i="107"/>
  <c r="E31" i="111" s="1"/>
  <c r="F31" i="107"/>
  <c r="F31" i="111" s="1"/>
  <c r="G31" i="107"/>
  <c r="G31" i="111" s="1"/>
  <c r="H31" i="107"/>
  <c r="H31" i="111" s="1"/>
  <c r="I31" i="107"/>
  <c r="I31" i="111" s="1"/>
  <c r="J31" i="107"/>
  <c r="J31" i="111" s="1"/>
  <c r="K31" i="107"/>
  <c r="K31" i="111" s="1"/>
  <c r="L31" i="107"/>
  <c r="L31" i="111" s="1"/>
  <c r="M31" i="107"/>
  <c r="M31" i="111" s="1"/>
  <c r="N31" i="107"/>
  <c r="N31" i="111" s="1"/>
  <c r="C32" i="107"/>
  <c r="C32" i="111" s="1"/>
  <c r="D32" i="107"/>
  <c r="D32" i="111" s="1"/>
  <c r="E32" i="107"/>
  <c r="E32" i="111" s="1"/>
  <c r="F32" i="107"/>
  <c r="F32" i="111" s="1"/>
  <c r="G32" i="107"/>
  <c r="G32" i="111" s="1"/>
  <c r="H32" i="107"/>
  <c r="H32" i="111" s="1"/>
  <c r="I32" i="107"/>
  <c r="I32" i="111" s="1"/>
  <c r="J32" i="107"/>
  <c r="J32" i="111" s="1"/>
  <c r="K32" i="107"/>
  <c r="K32" i="111" s="1"/>
  <c r="L32" i="107"/>
  <c r="L32" i="111" s="1"/>
  <c r="M32" i="107"/>
  <c r="M32" i="111" s="1"/>
  <c r="N32" i="107"/>
  <c r="N32" i="111" s="1"/>
  <c r="C33" i="107"/>
  <c r="C33" i="111" s="1"/>
  <c r="D33" i="107"/>
  <c r="D33" i="111" s="1"/>
  <c r="E33" i="107"/>
  <c r="E33" i="111" s="1"/>
  <c r="F33" i="107"/>
  <c r="F33" i="111" s="1"/>
  <c r="G33" i="107"/>
  <c r="G33" i="111" s="1"/>
  <c r="H33" i="107"/>
  <c r="H33" i="111" s="1"/>
  <c r="I33" i="107"/>
  <c r="I33" i="111" s="1"/>
  <c r="J33" i="107"/>
  <c r="J33" i="111" s="1"/>
  <c r="K33" i="107"/>
  <c r="K33" i="111" s="1"/>
  <c r="L33" i="107"/>
  <c r="L33" i="111" s="1"/>
  <c r="M33" i="107"/>
  <c r="M33" i="111" s="1"/>
  <c r="N33" i="107"/>
  <c r="N33" i="111" s="1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C35" i="111" s="1"/>
  <c r="D35" i="107"/>
  <c r="D35" i="111" s="1"/>
  <c r="E35" i="107"/>
  <c r="E35" i="111" s="1"/>
  <c r="F35" i="107"/>
  <c r="G35" i="107"/>
  <c r="G35" i="111" s="1"/>
  <c r="H35" i="107"/>
  <c r="H35" i="111" s="1"/>
  <c r="I35" i="107"/>
  <c r="I35" i="111" s="1"/>
  <c r="J35" i="107"/>
  <c r="J35" i="111" s="1"/>
  <c r="K35" i="107"/>
  <c r="K35" i="111" s="1"/>
  <c r="L35" i="107"/>
  <c r="L35" i="111" s="1"/>
  <c r="M35" i="107"/>
  <c r="M35" i="111" s="1"/>
  <c r="N35" i="107"/>
  <c r="N35" i="111" s="1"/>
  <c r="C36" i="107"/>
  <c r="C36" i="111" s="1"/>
  <c r="D36" i="107"/>
  <c r="D36" i="111" s="1"/>
  <c r="E36" i="107"/>
  <c r="E36" i="111" s="1"/>
  <c r="F36" i="107"/>
  <c r="F36" i="111" s="1"/>
  <c r="G36" i="107"/>
  <c r="G36" i="111" s="1"/>
  <c r="H36" i="107"/>
  <c r="H36" i="111" s="1"/>
  <c r="I36" i="107"/>
  <c r="I36" i="111" s="1"/>
  <c r="J36" i="107"/>
  <c r="J36" i="111" s="1"/>
  <c r="K36" i="107"/>
  <c r="K36" i="111" s="1"/>
  <c r="L36" i="107"/>
  <c r="L36" i="111" s="1"/>
  <c r="M36" i="107"/>
  <c r="M36" i="111" s="1"/>
  <c r="N36" i="107"/>
  <c r="N36" i="111" s="1"/>
  <c r="C37" i="107"/>
  <c r="C37" i="111" s="1"/>
  <c r="D37" i="107"/>
  <c r="D37" i="111" s="1"/>
  <c r="E37" i="107"/>
  <c r="E37" i="111" s="1"/>
  <c r="F37" i="107"/>
  <c r="F37" i="111" s="1"/>
  <c r="G37" i="107"/>
  <c r="G37" i="111" s="1"/>
  <c r="H37" i="107"/>
  <c r="H37" i="111" s="1"/>
  <c r="I37" i="107"/>
  <c r="I37" i="111" s="1"/>
  <c r="J37" i="107"/>
  <c r="J37" i="111" s="1"/>
  <c r="K37" i="107"/>
  <c r="K37" i="111" s="1"/>
  <c r="L37" i="107"/>
  <c r="L37" i="111" s="1"/>
  <c r="M37" i="107"/>
  <c r="M37" i="111" s="1"/>
  <c r="N37" i="107"/>
  <c r="N37" i="111" s="1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C39" i="111" s="1"/>
  <c r="D39" i="107"/>
  <c r="D39" i="111" s="1"/>
  <c r="E39" i="107"/>
  <c r="E39" i="111" s="1"/>
  <c r="F39" i="107"/>
  <c r="F39" i="111" s="1"/>
  <c r="G39" i="107"/>
  <c r="G39" i="111" s="1"/>
  <c r="H39" i="107"/>
  <c r="H39" i="111" s="1"/>
  <c r="I39" i="107"/>
  <c r="I39" i="111" s="1"/>
  <c r="J39" i="107"/>
  <c r="J39" i="111" s="1"/>
  <c r="K39" i="107"/>
  <c r="K39" i="111" s="1"/>
  <c r="L39" i="107"/>
  <c r="L39" i="111" s="1"/>
  <c r="M39" i="107"/>
  <c r="M39" i="111" s="1"/>
  <c r="N39" i="107"/>
  <c r="N39" i="111" s="1"/>
  <c r="C40" i="107"/>
  <c r="C40" i="111" s="1"/>
  <c r="D40" i="107"/>
  <c r="D40" i="111" s="1"/>
  <c r="E40" i="107"/>
  <c r="E40" i="111" s="1"/>
  <c r="F40" i="107"/>
  <c r="F40" i="111" s="1"/>
  <c r="G40" i="107"/>
  <c r="G40" i="111" s="1"/>
  <c r="H40" i="107"/>
  <c r="H40" i="111" s="1"/>
  <c r="I40" i="107"/>
  <c r="I40" i="111" s="1"/>
  <c r="J40" i="107"/>
  <c r="J40" i="111" s="1"/>
  <c r="K40" i="107"/>
  <c r="K40" i="111" s="1"/>
  <c r="L40" i="107"/>
  <c r="L40" i="111" s="1"/>
  <c r="M40" i="107"/>
  <c r="M40" i="111" s="1"/>
  <c r="N40" i="107"/>
  <c r="N40" i="111" s="1"/>
  <c r="C41" i="107"/>
  <c r="C41" i="111" s="1"/>
  <c r="D41" i="107"/>
  <c r="D41" i="111" s="1"/>
  <c r="E41" i="107"/>
  <c r="E41" i="111" s="1"/>
  <c r="F41" i="107"/>
  <c r="F41" i="111" s="1"/>
  <c r="G41" i="107"/>
  <c r="G41" i="111" s="1"/>
  <c r="H41" i="107"/>
  <c r="H41" i="111" s="1"/>
  <c r="I41" i="107"/>
  <c r="I41" i="111" s="1"/>
  <c r="J41" i="107"/>
  <c r="J41" i="111" s="1"/>
  <c r="K41" i="107"/>
  <c r="K41" i="111" s="1"/>
  <c r="L41" i="107"/>
  <c r="L41" i="111" s="1"/>
  <c r="M41" i="107"/>
  <c r="M41" i="111" s="1"/>
  <c r="N41" i="107"/>
  <c r="N41" i="111" s="1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C43" i="111" s="1"/>
  <c r="D43" i="107"/>
  <c r="D43" i="111" s="1"/>
  <c r="E43" i="107"/>
  <c r="E43" i="111" s="1"/>
  <c r="F43" i="107"/>
  <c r="F43" i="111" s="1"/>
  <c r="G43" i="107"/>
  <c r="G43" i="111" s="1"/>
  <c r="H43" i="107"/>
  <c r="H43" i="111" s="1"/>
  <c r="I43" i="107"/>
  <c r="I43" i="111" s="1"/>
  <c r="J43" i="107"/>
  <c r="J43" i="111" s="1"/>
  <c r="K43" i="107"/>
  <c r="K43" i="111" s="1"/>
  <c r="L43" i="107"/>
  <c r="L43" i="111" s="1"/>
  <c r="M43" i="107"/>
  <c r="M43" i="111" s="1"/>
  <c r="N43" i="107"/>
  <c r="N43" i="111" s="1"/>
  <c r="C44" i="107"/>
  <c r="C44" i="111" s="1"/>
  <c r="D44" i="107"/>
  <c r="D44" i="111" s="1"/>
  <c r="E44" i="107"/>
  <c r="E44" i="111" s="1"/>
  <c r="F44" i="107"/>
  <c r="F44" i="111" s="1"/>
  <c r="G44" i="107"/>
  <c r="G44" i="111" s="1"/>
  <c r="H44" i="107"/>
  <c r="H44" i="111" s="1"/>
  <c r="I44" i="107"/>
  <c r="I44" i="111" s="1"/>
  <c r="J44" i="107"/>
  <c r="J44" i="111" s="1"/>
  <c r="K44" i="107"/>
  <c r="K44" i="111" s="1"/>
  <c r="L44" i="107"/>
  <c r="L44" i="111" s="1"/>
  <c r="M44" i="107"/>
  <c r="M44" i="111" s="1"/>
  <c r="N44" i="107"/>
  <c r="N44" i="111" s="1"/>
  <c r="C45" i="107"/>
  <c r="C45" i="111" s="1"/>
  <c r="D45" i="107"/>
  <c r="D45" i="111" s="1"/>
  <c r="E45" i="107"/>
  <c r="E45" i="111" s="1"/>
  <c r="F45" i="107"/>
  <c r="F45" i="111" s="1"/>
  <c r="G45" i="107"/>
  <c r="G45" i="111" s="1"/>
  <c r="H45" i="107"/>
  <c r="H45" i="111" s="1"/>
  <c r="I45" i="107"/>
  <c r="I45" i="111" s="1"/>
  <c r="J45" i="107"/>
  <c r="J45" i="111" s="1"/>
  <c r="K45" i="107"/>
  <c r="K45" i="111" s="1"/>
  <c r="L45" i="107"/>
  <c r="L45" i="111" s="1"/>
  <c r="M45" i="107"/>
  <c r="M45" i="111" s="1"/>
  <c r="N45" i="107"/>
  <c r="N45" i="111" s="1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C47" i="111" s="1"/>
  <c r="D47" i="107"/>
  <c r="D47" i="111" s="1"/>
  <c r="E47" i="107"/>
  <c r="E47" i="111" s="1"/>
  <c r="F47" i="107"/>
  <c r="F47" i="111" s="1"/>
  <c r="G47" i="107"/>
  <c r="G47" i="111" s="1"/>
  <c r="H47" i="107"/>
  <c r="H47" i="111" s="1"/>
  <c r="I47" i="107"/>
  <c r="I47" i="111" s="1"/>
  <c r="J47" i="107"/>
  <c r="J47" i="111" s="1"/>
  <c r="K47" i="107"/>
  <c r="K47" i="111" s="1"/>
  <c r="L47" i="107"/>
  <c r="L47" i="111" s="1"/>
  <c r="M47" i="107"/>
  <c r="M47" i="111" s="1"/>
  <c r="N47" i="107"/>
  <c r="N47" i="111" s="1"/>
  <c r="C48" i="107"/>
  <c r="C48" i="111" s="1"/>
  <c r="D48" i="107"/>
  <c r="D48" i="111" s="1"/>
  <c r="E48" i="107"/>
  <c r="E48" i="111" s="1"/>
  <c r="F48" i="107"/>
  <c r="F48" i="111" s="1"/>
  <c r="G48" i="107"/>
  <c r="G48" i="111" s="1"/>
  <c r="H48" i="107"/>
  <c r="H48" i="111" s="1"/>
  <c r="I48" i="107"/>
  <c r="I48" i="111" s="1"/>
  <c r="J48" i="107"/>
  <c r="J48" i="111" s="1"/>
  <c r="K48" i="107"/>
  <c r="K48" i="111" s="1"/>
  <c r="L48" i="107"/>
  <c r="L48" i="111" s="1"/>
  <c r="M48" i="107"/>
  <c r="M48" i="111" s="1"/>
  <c r="N48" i="107"/>
  <c r="N48" i="111" s="1"/>
  <c r="C49" i="107"/>
  <c r="C49" i="111" s="1"/>
  <c r="D49" i="107"/>
  <c r="D49" i="111" s="1"/>
  <c r="E49" i="107"/>
  <c r="E49" i="111" s="1"/>
  <c r="F49" i="107"/>
  <c r="F49" i="111" s="1"/>
  <c r="G49" i="107"/>
  <c r="G49" i="111" s="1"/>
  <c r="H49" i="107"/>
  <c r="H49" i="111" s="1"/>
  <c r="I49" i="107"/>
  <c r="I49" i="111" s="1"/>
  <c r="J49" i="107"/>
  <c r="J49" i="111" s="1"/>
  <c r="K49" i="107"/>
  <c r="K49" i="111" s="1"/>
  <c r="L49" i="107"/>
  <c r="L49" i="111" s="1"/>
  <c r="M49" i="107"/>
  <c r="M49" i="111" s="1"/>
  <c r="N49" i="107"/>
  <c r="N49" i="111" s="1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C51" i="111" s="1"/>
  <c r="D51" i="107"/>
  <c r="D51" i="111" s="1"/>
  <c r="E51" i="107"/>
  <c r="E51" i="111" s="1"/>
  <c r="F51" i="107"/>
  <c r="F51" i="111" s="1"/>
  <c r="G51" i="107"/>
  <c r="G51" i="111" s="1"/>
  <c r="H51" i="107"/>
  <c r="H51" i="111" s="1"/>
  <c r="I51" i="107"/>
  <c r="I51" i="111" s="1"/>
  <c r="J51" i="107"/>
  <c r="J51" i="111" s="1"/>
  <c r="K51" i="107"/>
  <c r="K51" i="111" s="1"/>
  <c r="L51" i="107"/>
  <c r="L51" i="111" s="1"/>
  <c r="M51" i="107"/>
  <c r="M51" i="111" s="1"/>
  <c r="N51" i="107"/>
  <c r="N51" i="111" s="1"/>
  <c r="C52" i="107"/>
  <c r="C52" i="111" s="1"/>
  <c r="D52" i="107"/>
  <c r="D52" i="111" s="1"/>
  <c r="E52" i="107"/>
  <c r="E52" i="111" s="1"/>
  <c r="F52" i="107"/>
  <c r="F52" i="111" s="1"/>
  <c r="G52" i="107"/>
  <c r="G52" i="111" s="1"/>
  <c r="H52" i="107"/>
  <c r="H52" i="111" s="1"/>
  <c r="I52" i="107"/>
  <c r="I52" i="111" s="1"/>
  <c r="J52" i="107"/>
  <c r="J52" i="111" s="1"/>
  <c r="K52" i="107"/>
  <c r="K52" i="111" s="1"/>
  <c r="L52" i="107"/>
  <c r="L52" i="111" s="1"/>
  <c r="M52" i="107"/>
  <c r="M52" i="111" s="1"/>
  <c r="N52" i="107"/>
  <c r="N52" i="111" s="1"/>
  <c r="C53" i="107"/>
  <c r="C53" i="111" s="1"/>
  <c r="D53" i="107"/>
  <c r="D53" i="111" s="1"/>
  <c r="E53" i="107"/>
  <c r="E53" i="111" s="1"/>
  <c r="F53" i="107"/>
  <c r="F53" i="111" s="1"/>
  <c r="G53" i="107"/>
  <c r="G53" i="111" s="1"/>
  <c r="H53" i="107"/>
  <c r="H53" i="111" s="1"/>
  <c r="I53" i="107"/>
  <c r="I53" i="111" s="1"/>
  <c r="J53" i="107"/>
  <c r="J53" i="111" s="1"/>
  <c r="K53" i="107"/>
  <c r="K53" i="111" s="1"/>
  <c r="L53" i="107"/>
  <c r="L53" i="111" s="1"/>
  <c r="M53" i="107"/>
  <c r="M53" i="111" s="1"/>
  <c r="N53" i="107"/>
  <c r="N53" i="111" s="1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C55" i="111" s="1"/>
  <c r="D55" i="107"/>
  <c r="D55" i="111" s="1"/>
  <c r="E55" i="107"/>
  <c r="E55" i="111" s="1"/>
  <c r="F55" i="107"/>
  <c r="F55" i="111" s="1"/>
  <c r="G55" i="107"/>
  <c r="G55" i="111" s="1"/>
  <c r="H55" i="107"/>
  <c r="H55" i="111" s="1"/>
  <c r="I55" i="107"/>
  <c r="I55" i="111" s="1"/>
  <c r="J55" i="107"/>
  <c r="J55" i="111" s="1"/>
  <c r="K55" i="107"/>
  <c r="K55" i="111" s="1"/>
  <c r="L55" i="107"/>
  <c r="L55" i="111" s="1"/>
  <c r="M55" i="107"/>
  <c r="M55" i="111" s="1"/>
  <c r="N55" i="107"/>
  <c r="N55" i="111" s="1"/>
  <c r="C56" i="107"/>
  <c r="C56" i="111" s="1"/>
  <c r="D56" i="107"/>
  <c r="D56" i="111" s="1"/>
  <c r="E56" i="107"/>
  <c r="E56" i="111" s="1"/>
  <c r="F56" i="107"/>
  <c r="F56" i="111" s="1"/>
  <c r="G56" i="107"/>
  <c r="G56" i="111" s="1"/>
  <c r="H56" i="107"/>
  <c r="H56" i="111" s="1"/>
  <c r="I56" i="107"/>
  <c r="I56" i="111" s="1"/>
  <c r="J56" i="107"/>
  <c r="J56" i="111" s="1"/>
  <c r="K56" i="107"/>
  <c r="K56" i="111" s="1"/>
  <c r="L56" i="107"/>
  <c r="L56" i="111" s="1"/>
  <c r="M56" i="107"/>
  <c r="M56" i="111" s="1"/>
  <c r="N56" i="107"/>
  <c r="N56" i="111" s="1"/>
  <c r="C57" i="107"/>
  <c r="C57" i="111" s="1"/>
  <c r="D57" i="107"/>
  <c r="D57" i="111" s="1"/>
  <c r="E57" i="107"/>
  <c r="E57" i="111" s="1"/>
  <c r="F57" i="107"/>
  <c r="F57" i="111" s="1"/>
  <c r="G57" i="107"/>
  <c r="G57" i="111" s="1"/>
  <c r="H57" i="107"/>
  <c r="H57" i="111" s="1"/>
  <c r="I57" i="107"/>
  <c r="I57" i="111" s="1"/>
  <c r="J57" i="107"/>
  <c r="J57" i="111" s="1"/>
  <c r="K57" i="107"/>
  <c r="K57" i="111" s="1"/>
  <c r="L57" i="107"/>
  <c r="L57" i="111" s="1"/>
  <c r="M57" i="107"/>
  <c r="M57" i="111" s="1"/>
  <c r="N57" i="107"/>
  <c r="N57" i="111" s="1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H10" i="111" l="1"/>
  <c r="X10" i="111" s="1"/>
  <c r="X10" i="107"/>
  <c r="G54" i="111"/>
  <c r="W21" i="111" s="1"/>
  <c r="W21" i="107"/>
  <c r="G50" i="111"/>
  <c r="W20" i="111" s="1"/>
  <c r="W20" i="107"/>
  <c r="C10" i="111"/>
  <c r="S10" i="111" s="1"/>
  <c r="S10" i="107"/>
  <c r="J54" i="111"/>
  <c r="Z21" i="111" s="1"/>
  <c r="Z21" i="107"/>
  <c r="J50" i="111"/>
  <c r="Z20" i="111" s="1"/>
  <c r="Z20" i="107"/>
  <c r="F50" i="111"/>
  <c r="V20" i="111" s="1"/>
  <c r="V20" i="107"/>
  <c r="N46" i="111"/>
  <c r="AD19" i="111" s="1"/>
  <c r="AD19" i="107"/>
  <c r="N42" i="111"/>
  <c r="AD18" i="111" s="1"/>
  <c r="AD18" i="107"/>
  <c r="F42" i="111"/>
  <c r="V18" i="111" s="1"/>
  <c r="V18" i="107"/>
  <c r="N38" i="111"/>
  <c r="AD17" i="111" s="1"/>
  <c r="AD17" i="107"/>
  <c r="F38" i="111"/>
  <c r="V17" i="111" s="1"/>
  <c r="V17" i="107"/>
  <c r="N34" i="111"/>
  <c r="AD16" i="111" s="1"/>
  <c r="AD16" i="107"/>
  <c r="J30" i="111"/>
  <c r="Z15" i="111" s="1"/>
  <c r="Z15" i="107"/>
  <c r="F30" i="111"/>
  <c r="V15" i="111" s="1"/>
  <c r="V15" i="107"/>
  <c r="N26" i="111"/>
  <c r="AD14" i="111" s="1"/>
  <c r="AD14" i="107"/>
  <c r="J22" i="111"/>
  <c r="Z13" i="111" s="1"/>
  <c r="Z13" i="107"/>
  <c r="F22" i="111"/>
  <c r="V13" i="111" s="1"/>
  <c r="V13" i="107"/>
  <c r="J18" i="111"/>
  <c r="Z12" i="111" s="1"/>
  <c r="Z12" i="107"/>
  <c r="J14" i="111"/>
  <c r="Z11" i="111" s="1"/>
  <c r="Z11" i="107"/>
  <c r="F14" i="111"/>
  <c r="V11" i="111" s="1"/>
  <c r="V11" i="107"/>
  <c r="J10" i="111"/>
  <c r="Z10" i="111" s="1"/>
  <c r="Z10" i="107"/>
  <c r="F10" i="111"/>
  <c r="V10" i="111" s="1"/>
  <c r="V10" i="107"/>
  <c r="M54" i="111"/>
  <c r="AC21" i="111" s="1"/>
  <c r="AC21" i="107"/>
  <c r="I54" i="111"/>
  <c r="Y21" i="111" s="1"/>
  <c r="Y21" i="107"/>
  <c r="E54" i="111"/>
  <c r="U21" i="111" s="1"/>
  <c r="U21" i="107"/>
  <c r="M50" i="111"/>
  <c r="AC20" i="111" s="1"/>
  <c r="AC20" i="107"/>
  <c r="I50" i="111"/>
  <c r="Y20" i="111" s="1"/>
  <c r="Y20" i="107"/>
  <c r="E50" i="111"/>
  <c r="U20" i="111" s="1"/>
  <c r="U20" i="107"/>
  <c r="M46" i="111"/>
  <c r="AC19" i="111" s="1"/>
  <c r="AC39" i="111" s="1"/>
  <c r="AC19" i="107"/>
  <c r="I46" i="111"/>
  <c r="Y19" i="111" s="1"/>
  <c r="Y39" i="111" s="1"/>
  <c r="Y19" i="107"/>
  <c r="E46" i="111"/>
  <c r="U19" i="111" s="1"/>
  <c r="U39" i="111" s="1"/>
  <c r="U19" i="107"/>
  <c r="M42" i="111"/>
  <c r="AC18" i="111" s="1"/>
  <c r="AC18" i="107"/>
  <c r="I42" i="111"/>
  <c r="Y18" i="111" s="1"/>
  <c r="Y18" i="107"/>
  <c r="E42" i="111"/>
  <c r="U18" i="111" s="1"/>
  <c r="U18" i="107"/>
  <c r="M38" i="111"/>
  <c r="AC17" i="111" s="1"/>
  <c r="AC17" i="107"/>
  <c r="I38" i="111"/>
  <c r="Y17" i="111" s="1"/>
  <c r="Y17" i="107"/>
  <c r="E38" i="111"/>
  <c r="U17" i="111" s="1"/>
  <c r="U17" i="107"/>
  <c r="M34" i="111"/>
  <c r="AC16" i="111" s="1"/>
  <c r="AC16" i="107"/>
  <c r="I34" i="111"/>
  <c r="Y16" i="111" s="1"/>
  <c r="Y16" i="107"/>
  <c r="E34" i="111"/>
  <c r="U16" i="111" s="1"/>
  <c r="U16" i="107"/>
  <c r="M30" i="111"/>
  <c r="AC15" i="111" s="1"/>
  <c r="AC15" i="107"/>
  <c r="I30" i="111"/>
  <c r="Y15" i="111" s="1"/>
  <c r="Y15" i="107"/>
  <c r="E30" i="111"/>
  <c r="U15" i="111" s="1"/>
  <c r="U15" i="107"/>
  <c r="M26" i="111"/>
  <c r="AC14" i="111" s="1"/>
  <c r="AC14" i="107"/>
  <c r="I26" i="111"/>
  <c r="Y14" i="111" s="1"/>
  <c r="Y14" i="107"/>
  <c r="E26" i="111"/>
  <c r="U14" i="111" s="1"/>
  <c r="U14" i="107"/>
  <c r="M22" i="111"/>
  <c r="AC13" i="111" s="1"/>
  <c r="AC35" i="111" s="1"/>
  <c r="AC13" i="107"/>
  <c r="I22" i="111"/>
  <c r="Y13" i="111" s="1"/>
  <c r="Y13" i="107"/>
  <c r="E22" i="111"/>
  <c r="U13" i="111" s="1"/>
  <c r="U13" i="107"/>
  <c r="M18" i="111"/>
  <c r="AC12" i="111" s="1"/>
  <c r="AC12" i="107"/>
  <c r="I18" i="111"/>
  <c r="Y12" i="111" s="1"/>
  <c r="Y12" i="107"/>
  <c r="E18" i="111"/>
  <c r="U12" i="111" s="1"/>
  <c r="U12" i="107"/>
  <c r="M14" i="111"/>
  <c r="AC11" i="111" s="1"/>
  <c r="AC11" i="107"/>
  <c r="I14" i="111"/>
  <c r="Y11" i="111" s="1"/>
  <c r="Y11" i="107"/>
  <c r="E14" i="111"/>
  <c r="U11" i="111" s="1"/>
  <c r="U11" i="107"/>
  <c r="L10" i="111"/>
  <c r="AB10" i="111" s="1"/>
  <c r="AB10" i="107"/>
  <c r="D10" i="111"/>
  <c r="T10" i="111" s="1"/>
  <c r="T10" i="107"/>
  <c r="C54" i="111"/>
  <c r="S21" i="111" s="1"/>
  <c r="S21" i="107"/>
  <c r="C50" i="111"/>
  <c r="S20" i="111" s="1"/>
  <c r="S20" i="107"/>
  <c r="K10" i="111"/>
  <c r="AA10" i="111" s="1"/>
  <c r="AA10" i="107"/>
  <c r="G10" i="111"/>
  <c r="W10" i="111" s="1"/>
  <c r="W10" i="107"/>
  <c r="N54" i="111"/>
  <c r="AD21" i="111" s="1"/>
  <c r="AD21" i="107"/>
  <c r="F54" i="111"/>
  <c r="V21" i="111" s="1"/>
  <c r="V21" i="107"/>
  <c r="N50" i="111"/>
  <c r="AD20" i="111" s="1"/>
  <c r="AD36" i="111" s="1"/>
  <c r="AD20" i="107"/>
  <c r="J46" i="111"/>
  <c r="Z19" i="111" s="1"/>
  <c r="Z39" i="111" s="1"/>
  <c r="Z19" i="107"/>
  <c r="F46" i="111"/>
  <c r="V19" i="111" s="1"/>
  <c r="V39" i="111" s="1"/>
  <c r="V19" i="107"/>
  <c r="J42" i="111"/>
  <c r="Z18" i="111" s="1"/>
  <c r="Z18" i="107"/>
  <c r="J38" i="111"/>
  <c r="Z17" i="111" s="1"/>
  <c r="Z17" i="107"/>
  <c r="J34" i="111"/>
  <c r="Z16" i="111" s="1"/>
  <c r="Z16" i="107"/>
  <c r="F34" i="111"/>
  <c r="V16" i="107"/>
  <c r="N30" i="111"/>
  <c r="AD15" i="111" s="1"/>
  <c r="AD15" i="107"/>
  <c r="J26" i="111"/>
  <c r="Z14" i="111" s="1"/>
  <c r="Z38" i="111" s="1"/>
  <c r="Z14" i="107"/>
  <c r="F26" i="111"/>
  <c r="V14" i="111" s="1"/>
  <c r="V14" i="107"/>
  <c r="N22" i="111"/>
  <c r="AD13" i="111" s="1"/>
  <c r="AD35" i="111" s="1"/>
  <c r="AD13" i="107"/>
  <c r="N18" i="111"/>
  <c r="AD12" i="111" s="1"/>
  <c r="AD12" i="107"/>
  <c r="F18" i="111"/>
  <c r="V12" i="111" s="1"/>
  <c r="V12" i="107"/>
  <c r="N14" i="111"/>
  <c r="AD11" i="111" s="1"/>
  <c r="AD11" i="107"/>
  <c r="N10" i="111"/>
  <c r="AD10" i="111" s="1"/>
  <c r="AD10" i="107"/>
  <c r="M10" i="111"/>
  <c r="AC10" i="111" s="1"/>
  <c r="AC10" i="107"/>
  <c r="I10" i="111"/>
  <c r="Y10" i="111" s="1"/>
  <c r="Y10" i="107"/>
  <c r="E10" i="111"/>
  <c r="U10" i="111" s="1"/>
  <c r="U10" i="107"/>
  <c r="L54" i="111"/>
  <c r="AB21" i="111" s="1"/>
  <c r="AB21" i="107"/>
  <c r="H54" i="111"/>
  <c r="X21" i="111" s="1"/>
  <c r="X21" i="107"/>
  <c r="D54" i="111"/>
  <c r="T21" i="111" s="1"/>
  <c r="T21" i="107"/>
  <c r="L50" i="111"/>
  <c r="AB20" i="111" s="1"/>
  <c r="AB20" i="107"/>
  <c r="H50" i="111"/>
  <c r="X20" i="111" s="1"/>
  <c r="X20" i="107"/>
  <c r="D50" i="111"/>
  <c r="T20" i="111" s="1"/>
  <c r="T20" i="107"/>
  <c r="L46" i="111"/>
  <c r="AB19" i="111" s="1"/>
  <c r="AB19" i="107"/>
  <c r="H46" i="111"/>
  <c r="X19" i="111" s="1"/>
  <c r="X19" i="107"/>
  <c r="D46" i="111"/>
  <c r="T19" i="111" s="1"/>
  <c r="T19" i="107"/>
  <c r="L42" i="111"/>
  <c r="AB18" i="111" s="1"/>
  <c r="AB18" i="107"/>
  <c r="H42" i="111"/>
  <c r="X18" i="111" s="1"/>
  <c r="X18" i="107"/>
  <c r="D42" i="111"/>
  <c r="T18" i="111" s="1"/>
  <c r="T18" i="107"/>
  <c r="L38" i="111"/>
  <c r="AB17" i="111" s="1"/>
  <c r="AB17" i="107"/>
  <c r="H38" i="111"/>
  <c r="X17" i="111" s="1"/>
  <c r="X17" i="107"/>
  <c r="D38" i="111"/>
  <c r="T17" i="111" s="1"/>
  <c r="T17" i="107"/>
  <c r="L34" i="111"/>
  <c r="AB16" i="111" s="1"/>
  <c r="AB16" i="107"/>
  <c r="H34" i="111"/>
  <c r="X16" i="111" s="1"/>
  <c r="X16" i="107"/>
  <c r="D34" i="111"/>
  <c r="T16" i="111" s="1"/>
  <c r="T16" i="107"/>
  <c r="L30" i="111"/>
  <c r="AB15" i="111" s="1"/>
  <c r="AB15" i="107"/>
  <c r="H30" i="111"/>
  <c r="X15" i="111" s="1"/>
  <c r="X15" i="107"/>
  <c r="D30" i="111"/>
  <c r="T15" i="111" s="1"/>
  <c r="T15" i="107"/>
  <c r="L26" i="111"/>
  <c r="AB14" i="111" s="1"/>
  <c r="AB14" i="107"/>
  <c r="H26" i="111"/>
  <c r="X14" i="111" s="1"/>
  <c r="X14" i="107"/>
  <c r="D26" i="111"/>
  <c r="T14" i="111" s="1"/>
  <c r="T14" i="107"/>
  <c r="L22" i="111"/>
  <c r="AB13" i="111" s="1"/>
  <c r="AB13" i="107"/>
  <c r="H22" i="111"/>
  <c r="X13" i="111" s="1"/>
  <c r="X13" i="107"/>
  <c r="D22" i="111"/>
  <c r="T13" i="111" s="1"/>
  <c r="T13" i="107"/>
  <c r="L18" i="111"/>
  <c r="AB12" i="111" s="1"/>
  <c r="AB12" i="107"/>
  <c r="H18" i="111"/>
  <c r="X12" i="111" s="1"/>
  <c r="X12" i="107"/>
  <c r="D18" i="111"/>
  <c r="T12" i="111" s="1"/>
  <c r="T12" i="107"/>
  <c r="L14" i="111"/>
  <c r="AB11" i="111" s="1"/>
  <c r="AB41" i="111" s="1"/>
  <c r="AB11" i="107"/>
  <c r="H14" i="111"/>
  <c r="X11" i="111" s="1"/>
  <c r="X11" i="107"/>
  <c r="D14" i="111"/>
  <c r="T11" i="111" s="1"/>
  <c r="T41" i="111" s="1"/>
  <c r="T11" i="107"/>
  <c r="K54" i="111"/>
  <c r="AA21" i="111" s="1"/>
  <c r="AA21" i="107"/>
  <c r="K50" i="111"/>
  <c r="AA20" i="111" s="1"/>
  <c r="AA20" i="107"/>
  <c r="K46" i="111"/>
  <c r="AA19" i="111" s="1"/>
  <c r="AA19" i="107"/>
  <c r="G46" i="111"/>
  <c r="W19" i="111" s="1"/>
  <c r="W19" i="107"/>
  <c r="C46" i="111"/>
  <c r="S19" i="111" s="1"/>
  <c r="S19" i="107"/>
  <c r="K42" i="111"/>
  <c r="AA18" i="111" s="1"/>
  <c r="AA18" i="107"/>
  <c r="G42" i="111"/>
  <c r="W18" i="111" s="1"/>
  <c r="W18" i="107"/>
  <c r="C42" i="111"/>
  <c r="S18" i="111" s="1"/>
  <c r="S18" i="107"/>
  <c r="K38" i="111"/>
  <c r="AA17" i="111" s="1"/>
  <c r="AA17" i="107"/>
  <c r="G38" i="111"/>
  <c r="W17" i="111" s="1"/>
  <c r="W17" i="107"/>
  <c r="C38" i="111"/>
  <c r="S17" i="111" s="1"/>
  <c r="S17" i="107"/>
  <c r="K34" i="111"/>
  <c r="AA16" i="111" s="1"/>
  <c r="AA16" i="107"/>
  <c r="G34" i="111"/>
  <c r="W16" i="111" s="1"/>
  <c r="W16" i="107"/>
  <c r="C34" i="111"/>
  <c r="S16" i="111" s="1"/>
  <c r="S16" i="107"/>
  <c r="K30" i="111"/>
  <c r="AA15" i="111" s="1"/>
  <c r="AA15" i="107"/>
  <c r="G30" i="111"/>
  <c r="W15" i="111" s="1"/>
  <c r="W15" i="107"/>
  <c r="C30" i="111"/>
  <c r="S15" i="111" s="1"/>
  <c r="S15" i="107"/>
  <c r="K26" i="111"/>
  <c r="AA14" i="111" s="1"/>
  <c r="AA14" i="107"/>
  <c r="G26" i="111"/>
  <c r="W14" i="111" s="1"/>
  <c r="W14" i="107"/>
  <c r="C26" i="111"/>
  <c r="S14" i="111" s="1"/>
  <c r="S14" i="107"/>
  <c r="K22" i="111"/>
  <c r="AA13" i="111" s="1"/>
  <c r="AA13" i="107"/>
  <c r="G22" i="111"/>
  <c r="W13" i="111" s="1"/>
  <c r="W13" i="107"/>
  <c r="C22" i="111"/>
  <c r="S13" i="111" s="1"/>
  <c r="S13" i="107"/>
  <c r="K18" i="111"/>
  <c r="AA12" i="111" s="1"/>
  <c r="AA12" i="107"/>
  <c r="G18" i="111"/>
  <c r="W12" i="111" s="1"/>
  <c r="W12" i="107"/>
  <c r="C18" i="111"/>
  <c r="S12" i="111" s="1"/>
  <c r="S12" i="107"/>
  <c r="K14" i="111"/>
  <c r="AA11" i="111" s="1"/>
  <c r="AA11" i="107"/>
  <c r="G14" i="111"/>
  <c r="W11" i="111" s="1"/>
  <c r="W41" i="111" s="1"/>
  <c r="W11" i="107"/>
  <c r="C14" i="111"/>
  <c r="S11" i="111" s="1"/>
  <c r="S11" i="107"/>
  <c r="F35" i="111"/>
  <c r="O48" i="101"/>
  <c r="P48" i="101"/>
  <c r="Y35" i="111" l="1"/>
  <c r="U35" i="111"/>
  <c r="S38" i="107"/>
  <c r="S35" i="107"/>
  <c r="S36" i="107"/>
  <c r="S39" i="107"/>
  <c r="X36" i="107"/>
  <c r="X39" i="107"/>
  <c r="U41" i="107"/>
  <c r="U34" i="107"/>
  <c r="U37" i="107"/>
  <c r="U40" i="107"/>
  <c r="AC35" i="107"/>
  <c r="AC38" i="107"/>
  <c r="U39" i="107"/>
  <c r="U36" i="107"/>
  <c r="V35" i="107"/>
  <c r="V38" i="107"/>
  <c r="AD39" i="107"/>
  <c r="AD36" i="107"/>
  <c r="AA41" i="111"/>
  <c r="S35" i="111"/>
  <c r="S38" i="111"/>
  <c r="S39" i="111"/>
  <c r="S36" i="111"/>
  <c r="X38" i="111"/>
  <c r="X35" i="111"/>
  <c r="X36" i="111"/>
  <c r="X39" i="111"/>
  <c r="U40" i="111"/>
  <c r="U34" i="111"/>
  <c r="U41" i="111"/>
  <c r="U37" i="111"/>
  <c r="W40" i="111"/>
  <c r="W34" i="111"/>
  <c r="W37" i="111"/>
  <c r="T40" i="111"/>
  <c r="T34" i="111"/>
  <c r="T37" i="111"/>
  <c r="Y38" i="111"/>
  <c r="Y36" i="111"/>
  <c r="Z41" i="111"/>
  <c r="Z34" i="111"/>
  <c r="Z37" i="111"/>
  <c r="Z40" i="111"/>
  <c r="AD38" i="111"/>
  <c r="AD39" i="111"/>
  <c r="Z36" i="111"/>
  <c r="S40" i="111"/>
  <c r="S34" i="111"/>
  <c r="S37" i="111"/>
  <c r="AA38" i="107"/>
  <c r="AA35" i="107"/>
  <c r="AA36" i="107"/>
  <c r="AA39" i="107"/>
  <c r="X38" i="107"/>
  <c r="X35" i="107"/>
  <c r="AC41" i="107"/>
  <c r="AC34" i="107"/>
  <c r="AC37" i="107"/>
  <c r="AC40" i="107"/>
  <c r="Z39" i="107"/>
  <c r="Z36" i="107"/>
  <c r="W40" i="107"/>
  <c r="W37" i="107"/>
  <c r="W34" i="107"/>
  <c r="W41" i="107"/>
  <c r="T40" i="107"/>
  <c r="T37" i="107"/>
  <c r="T34" i="107"/>
  <c r="T41" i="107"/>
  <c r="U35" i="107"/>
  <c r="U38" i="107"/>
  <c r="AC39" i="107"/>
  <c r="AC36" i="107"/>
  <c r="Z40" i="107"/>
  <c r="Z34" i="107"/>
  <c r="Z41" i="107"/>
  <c r="Z37" i="107"/>
  <c r="S40" i="107"/>
  <c r="S37" i="107"/>
  <c r="S41" i="107"/>
  <c r="S34" i="107"/>
  <c r="S41" i="111"/>
  <c r="AA35" i="111"/>
  <c r="AA38" i="111"/>
  <c r="AA39" i="111"/>
  <c r="AA36" i="111"/>
  <c r="X41" i="111"/>
  <c r="AC40" i="111"/>
  <c r="AC37" i="111"/>
  <c r="AC41" i="111"/>
  <c r="AC42" i="111" s="1"/>
  <c r="AC34" i="111"/>
  <c r="W38" i="107"/>
  <c r="W35" i="107"/>
  <c r="W36" i="107"/>
  <c r="W39" i="107"/>
  <c r="T38" i="107"/>
  <c r="T35" i="107"/>
  <c r="AB38" i="107"/>
  <c r="AB35" i="107"/>
  <c r="T36" i="107"/>
  <c r="T39" i="107"/>
  <c r="AB36" i="107"/>
  <c r="AB39" i="107"/>
  <c r="Y40" i="107"/>
  <c r="Y37" i="107"/>
  <c r="Y41" i="107"/>
  <c r="Y34" i="107"/>
  <c r="AD34" i="107"/>
  <c r="AD41" i="107"/>
  <c r="AD37" i="107"/>
  <c r="AD40" i="107"/>
  <c r="AD35" i="107"/>
  <c r="AD38" i="107"/>
  <c r="V39" i="107"/>
  <c r="V36" i="107"/>
  <c r="AA40" i="107"/>
  <c r="AA41" i="107"/>
  <c r="AA34" i="107"/>
  <c r="AA37" i="107"/>
  <c r="AB40" i="107"/>
  <c r="AB41" i="107"/>
  <c r="AB37" i="107"/>
  <c r="AB34" i="107"/>
  <c r="Y35" i="107"/>
  <c r="Y38" i="107"/>
  <c r="Y39" i="107"/>
  <c r="Y36" i="107"/>
  <c r="V40" i="107"/>
  <c r="V41" i="107"/>
  <c r="V37" i="107"/>
  <c r="V34" i="107"/>
  <c r="Z35" i="107"/>
  <c r="Z38" i="107"/>
  <c r="X40" i="107"/>
  <c r="X37" i="107"/>
  <c r="X34" i="107"/>
  <c r="X41" i="107"/>
  <c r="W42" i="111"/>
  <c r="W38" i="111"/>
  <c r="W35" i="111"/>
  <c r="W36" i="111"/>
  <c r="W39" i="111"/>
  <c r="T42" i="111"/>
  <c r="T38" i="111"/>
  <c r="T35" i="111"/>
  <c r="AB38" i="111"/>
  <c r="AB35" i="111"/>
  <c r="T36" i="111"/>
  <c r="T39" i="111"/>
  <c r="AB36" i="111"/>
  <c r="AB39" i="111"/>
  <c r="Y34" i="111"/>
  <c r="Y41" i="111"/>
  <c r="Y40" i="111"/>
  <c r="Y37" i="111"/>
  <c r="AD41" i="111"/>
  <c r="AD34" i="111"/>
  <c r="AD40" i="111"/>
  <c r="AD37" i="111"/>
  <c r="V16" i="111"/>
  <c r="V38" i="111" s="1"/>
  <c r="AA40" i="111"/>
  <c r="AA37" i="111"/>
  <c r="AA34" i="111"/>
  <c r="AB40" i="111"/>
  <c r="AB42" i="111" s="1"/>
  <c r="AB37" i="111"/>
  <c r="AB34" i="111"/>
  <c r="U38" i="111"/>
  <c r="AC38" i="111"/>
  <c r="U36" i="111"/>
  <c r="AC36" i="111"/>
  <c r="V37" i="111"/>
  <c r="V34" i="111"/>
  <c r="Z35" i="111"/>
  <c r="V36" i="111"/>
  <c r="X40" i="111"/>
  <c r="X34" i="111"/>
  <c r="X37" i="111"/>
  <c r="K6" i="99"/>
  <c r="K6" i="100" s="1"/>
  <c r="K6" i="105" s="1"/>
  <c r="K6" i="110" s="1"/>
  <c r="G5" i="99"/>
  <c r="G5" i="100" s="1"/>
  <c r="G5" i="105" s="1"/>
  <c r="G5" i="110" s="1"/>
  <c r="K6" i="94"/>
  <c r="G5" i="94"/>
  <c r="G6" i="108"/>
  <c r="G6" i="107"/>
  <c r="D6" i="108"/>
  <c r="D6" i="107"/>
  <c r="D5" i="104"/>
  <c r="D5" i="110"/>
  <c r="D5" i="109"/>
  <c r="D5" i="100"/>
  <c r="D5" i="94"/>
  <c r="Y42" i="111" l="1"/>
  <c r="T42" i="107"/>
  <c r="W42" i="107"/>
  <c r="V41" i="111"/>
  <c r="AC42" i="107"/>
  <c r="Z42" i="107"/>
  <c r="U42" i="107"/>
  <c r="AD42" i="107"/>
  <c r="V42" i="107"/>
  <c r="V35" i="111"/>
  <c r="X42" i="107"/>
  <c r="AB42" i="107"/>
  <c r="AA42" i="107"/>
  <c r="S42" i="111"/>
  <c r="Z42" i="111"/>
  <c r="AA42" i="111"/>
  <c r="Y42" i="107"/>
  <c r="U42" i="111"/>
  <c r="X42" i="111"/>
  <c r="V40" i="111"/>
  <c r="AD42" i="111"/>
  <c r="S42" i="107"/>
  <c r="K6" i="107"/>
  <c r="K6" i="108"/>
  <c r="K6" i="111" s="1"/>
  <c r="K5" i="11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Y39" i="109" s="1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4"/>
  <c r="C3" i="100"/>
  <c r="C3" i="98"/>
  <c r="C3" i="96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AA39" i="105" s="1"/>
  <c r="Z19" i="105"/>
  <c r="Z39" i="105" s="1"/>
  <c r="Y19" i="105"/>
  <c r="X19" i="105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V42" i="111" l="1"/>
  <c r="AA27" i="99"/>
  <c r="X39" i="105"/>
  <c r="U39" i="109"/>
  <c r="AC39" i="109"/>
  <c r="AD38" i="101"/>
  <c r="Y27" i="103"/>
  <c r="S27" i="99"/>
  <c r="AA26" i="95"/>
  <c r="AA39" i="101"/>
  <c r="X26" i="98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AB15" i="95"/>
  <c r="U17" i="97"/>
  <c r="U26" i="97" s="1"/>
  <c r="P23" i="110"/>
  <c r="S13" i="110"/>
  <c r="P31" i="110"/>
  <c r="S15" i="110"/>
  <c r="X10" i="110"/>
  <c r="P13" i="110"/>
  <c r="P15" i="110"/>
  <c r="W11" i="110"/>
  <c r="AA14" i="94"/>
  <c r="AA15" i="94"/>
  <c r="AA16" i="94"/>
  <c r="AA18" i="94"/>
  <c r="P19" i="110"/>
  <c r="S12" i="110"/>
  <c r="Z13" i="109"/>
  <c r="P12" i="110"/>
  <c r="D106" i="110"/>
  <c r="L106" i="110"/>
  <c r="P27" i="110"/>
  <c r="S14" i="110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V13" i="109"/>
  <c r="AD13" i="109"/>
  <c r="V15" i="109"/>
  <c r="AD15" i="109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AF33" i="101" s="1"/>
  <c r="O101" i="101"/>
  <c r="P100" i="101"/>
  <c r="O99" i="101"/>
  <c r="P98" i="101"/>
  <c r="AF32" i="101" s="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AF28" i="101" s="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AF25" i="101" s="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Y38" i="105" l="1"/>
  <c r="U38" i="109"/>
  <c r="AD26" i="97"/>
  <c r="Z26" i="95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S24" i="94"/>
  <c r="W27" i="95"/>
  <c r="W24" i="95"/>
  <c r="AB24" i="98"/>
  <c r="W26" i="96"/>
  <c r="AC26" i="97"/>
  <c r="AC23" i="97"/>
  <c r="AC24" i="94"/>
  <c r="Y24" i="94"/>
  <c r="S27" i="94"/>
  <c r="AA38" i="110"/>
  <c r="W24" i="94"/>
  <c r="W27" i="94"/>
  <c r="S26" i="94"/>
  <c r="U23" i="97"/>
  <c r="AA27" i="94"/>
  <c r="U27" i="95"/>
  <c r="U24" i="95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AA42" i="110" s="1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P34" i="108"/>
  <c r="O54" i="108"/>
  <c r="O42" i="108"/>
  <c r="O34" i="108"/>
  <c r="P18" i="108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AF17" i="107" s="1"/>
  <c r="P30" i="107"/>
  <c r="AF15" i="107" s="1"/>
  <c r="P34" i="107"/>
  <c r="O30" i="107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E11" i="107" l="1"/>
  <c r="AF11" i="107"/>
  <c r="AE10" i="107"/>
  <c r="AE37" i="107" s="1"/>
  <c r="AF19" i="107"/>
  <c r="AE14" i="107"/>
  <c r="AE16" i="107"/>
  <c r="AE17" i="107"/>
  <c r="AE13" i="107"/>
  <c r="AE15" i="107"/>
  <c r="AF14" i="107"/>
  <c r="AE12" i="107"/>
  <c r="AF18" i="107"/>
  <c r="AF20" i="107"/>
  <c r="AE21" i="107"/>
  <c r="AF13" i="107"/>
  <c r="AF10" i="107"/>
  <c r="AF16" i="107"/>
  <c r="AE18" i="107"/>
  <c r="AE19" i="107"/>
  <c r="AE20" i="107"/>
  <c r="AF21" i="107"/>
  <c r="AF12" i="107"/>
  <c r="V22" i="93"/>
  <c r="AE24" i="98"/>
  <c r="S42" i="110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AE12" i="111" s="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H108" i="108"/>
  <c r="C107" i="107"/>
  <c r="F107" i="105"/>
  <c r="H107" i="108"/>
  <c r="E107" i="105"/>
  <c r="D107" i="105"/>
  <c r="C107" i="105"/>
  <c r="AF35" i="105"/>
  <c r="H108" i="107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F13" i="111" l="1"/>
  <c r="AF16" i="111"/>
  <c r="AE20" i="111"/>
  <c r="AE40" i="107"/>
  <c r="AF18" i="111"/>
  <c r="AE15" i="111"/>
  <c r="AF21" i="111"/>
  <c r="AE14" i="111"/>
  <c r="AE13" i="111"/>
  <c r="AF36" i="107"/>
  <c r="AE38" i="107"/>
  <c r="AE35" i="107"/>
  <c r="AF11" i="111"/>
  <c r="AF10" i="111"/>
  <c r="AE34" i="107"/>
  <c r="AE19" i="111"/>
  <c r="AE17" i="111"/>
  <c r="AF20" i="111"/>
  <c r="AF15" i="111"/>
  <c r="AE11" i="111"/>
  <c r="AE18" i="111"/>
  <c r="AF19" i="111"/>
  <c r="AF40" i="107"/>
  <c r="AF34" i="107"/>
  <c r="AF41" i="107"/>
  <c r="AF37" i="107"/>
  <c r="AF39" i="107"/>
  <c r="AE41" i="107"/>
  <c r="AE42" i="107" s="1"/>
  <c r="AE16" i="111"/>
  <c r="AF12" i="111"/>
  <c r="AE21" i="111"/>
  <c r="AE10" i="111"/>
  <c r="AF17" i="111"/>
  <c r="AF14" i="111"/>
  <c r="AE36" i="107"/>
  <c r="AE39" i="107"/>
  <c r="AF38" i="107"/>
  <c r="AF35" i="107"/>
  <c r="K108" i="111"/>
  <c r="N107" i="111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F35" i="111" l="1"/>
  <c r="AE38" i="111"/>
  <c r="AF42" i="107"/>
  <c r="AF38" i="111"/>
  <c r="AE40" i="111"/>
  <c r="AE34" i="111"/>
  <c r="AE37" i="111"/>
  <c r="AE41" i="111"/>
  <c r="AE36" i="111"/>
  <c r="AE39" i="111"/>
  <c r="AF40" i="111"/>
  <c r="AF37" i="111"/>
  <c r="AF34" i="111"/>
  <c r="AE35" i="111"/>
  <c r="AF36" i="111"/>
  <c r="AF39" i="111"/>
  <c r="AF41" i="111"/>
  <c r="K107" i="11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  <c r="AF42" i="111" l="1"/>
  <c r="AE42" i="111"/>
</calcChain>
</file>

<file path=xl/sharedStrings.xml><?xml version="1.0" encoding="utf-8"?>
<sst xmlns="http://schemas.openxmlformats.org/spreadsheetml/2006/main" count="2389" uniqueCount="187">
  <si>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</si>
  <si>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</si>
  <si>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</si>
  <si>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</si>
  <si>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</si>
  <si>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</si>
  <si>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</si>
  <si>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</si>
  <si>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</si>
  <si>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</si>
  <si>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</si>
  <si>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</si>
  <si>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</si>
  <si>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</si>
  <si>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</si>
  <si>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</si>
  <si>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</si>
  <si>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</si>
  <si>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</si>
  <si>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</si>
  <si>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</si>
  <si>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</si>
  <si>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</si>
  <si>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</si>
  <si>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</si>
  <si>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</si>
  <si>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</si>
  <si>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</si>
  <si>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</si>
  <si>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</si>
  <si>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</si>
  <si>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</si>
  <si>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</si>
  <si>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</si>
  <si>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</si>
  <si>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</si>
  <si>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</si>
  <si>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</si>
  <si>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</si>
  <si>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</si>
  <si>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</si>
  <si>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</si>
  <si>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</si>
  <si>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</si>
  <si>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</si>
  <si>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</si>
  <si>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</si>
  <si>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</si>
  <si>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</si>
  <si>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</si>
  <si>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</si>
  <si>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</si>
  <si>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</si>
  <si>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</si>
  <si>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</si>
  <si>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</si>
  <si>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</si>
  <si>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</si>
  <si>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</si>
  <si>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</si>
  <si>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</si>
  <si>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</si>
  <si>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</si>
  <si>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</si>
  <si>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</si>
  <si>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</si>
  <si>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</si>
  <si>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</si>
  <si>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</si>
  <si>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</si>
  <si>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</si>
  <si>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</si>
  <si>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</si>
  <si>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</si>
  <si>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</si>
  <si>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</si>
  <si>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</si>
  <si>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</si>
  <si>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</si>
  <si>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</si>
  <si>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</si>
  <si>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</si>
  <si>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</si>
  <si>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</si>
  <si>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</si>
  <si>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</si>
  <si>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</si>
  <si>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</si>
  <si>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</si>
  <si>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</si>
  <si>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</si>
  <si>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</si>
  <si>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</si>
  <si>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</si>
  <si>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</si>
  <si>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</si>
  <si>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</si>
  <si>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</si>
  <si>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</si>
  <si>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</si>
  <si>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</si>
  <si>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</si>
  <si>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</si>
  <si>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</si>
  <si>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</si>
  <si>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</si>
  <si>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</si>
  <si>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</si>
  <si>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</si>
  <si>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</si>
  <si>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</si>
  <si>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</si>
  <si>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</si>
  <si>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</si>
  <si>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</si>
  <si>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</si>
  <si>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</si>
  <si>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</si>
  <si>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</si>
  <si>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</si>
  <si>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</si>
  <si>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</si>
  <si>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</si>
  <si>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</si>
  <si>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</si>
  <si>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</si>
  <si>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</si>
  <si>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</si>
  <si>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</si>
  <si>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</si>
  <si>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</si>
  <si>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</si>
  <si>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</si>
  <si>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</si>
  <si>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</si>
  <si>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</si>
  <si>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</si>
  <si>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</si>
  <si>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</si>
  <si>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</si>
  <si>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</si>
  <si>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</si>
  <si>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</si>
  <si>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</si>
  <si>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</si>
  <si>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</si>
  <si>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</si>
  <si>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</si>
  <si>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</si>
  <si>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</si>
  <si>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</si>
  <si>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</si>
  <si>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</si>
  <si>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</si>
  <si>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</si>
  <si>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</si>
  <si>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</si>
  <si>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</si>
  <si>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</si>
  <si>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</si>
  <si>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</si>
  <si>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</si>
  <si>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</si>
  <si>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MASAKA-MBARARA</t>
  </si>
  <si>
    <t>20.10.19</t>
  </si>
  <si>
    <t>MBARARA</t>
  </si>
  <si>
    <t>MASAKA</t>
  </si>
  <si>
    <t>19.10.19</t>
  </si>
  <si>
    <t>01:00-01:15</t>
  </si>
  <si>
    <t>01:15-01:30</t>
  </si>
  <si>
    <t>18.10.19</t>
  </si>
  <si>
    <t>KETRA</t>
  </si>
  <si>
    <t>17.10.19</t>
  </si>
  <si>
    <t>KINONI</t>
  </si>
  <si>
    <t>SANDRA</t>
  </si>
  <si>
    <t>MASAKA- MBARARA ROAD</t>
  </si>
  <si>
    <t>MASAKA-MBARARA ROAD</t>
  </si>
  <si>
    <t>21.10.19</t>
  </si>
  <si>
    <t>KINONO</t>
  </si>
  <si>
    <t>SANDRA MUKISA</t>
  </si>
  <si>
    <t>NALWADDA</t>
  </si>
  <si>
    <t>22.10.19</t>
  </si>
  <si>
    <t>23.10.19</t>
  </si>
  <si>
    <t>DAVIS</t>
  </si>
  <si>
    <t>BABIRYE</t>
  </si>
  <si>
    <t>XXXX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</si>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</sst>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0.000"/>
    <numFmt numFmtId="166" formatCode="_-* #,##0_-;\-* #,##0_-;_-* &quot;-&quot;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4" xfId="0" applyBorder="1"/>
    <xf numFmtId="0" fontId="1" fillId="0" borderId="1" xfId="0" applyFon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8" xfId="0" applyFont="1" applyBorder="1" applyAlignment="1">
      <alignment wrapText="1"/>
    </xf>
    <xf numFmtId="1" fontId="11" fillId="3" borderId="1" xfId="0" applyNumberFormat="1" applyFont="1" applyFill="1" applyBorder="1" applyAlignment="1">
      <alignment horizont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166" fontId="1" fillId="0" borderId="8" xfId="2" applyFont="1" applyBorder="1" applyAlignment="1">
      <alignment horizontal="center"/>
    </xf>
    <xf numFmtId="166" fontId="1" fillId="0" borderId="1" xfId="2" applyFont="1" applyBorder="1" applyAlignment="1">
      <alignment horizontal="center"/>
    </xf>
    <xf numFmtId="166" fontId="1" fillId="3" borderId="1" xfId="2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 2" xfId="2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MASAKA-MBARARA'!$AE$9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'17.10 MASAKA-MBARARA'!$R$10:$R$21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MASAKA-MBARARA'!$AE$10:$AE$21</c:f>
              <c:numCache>
                <c:formatCode>0</c:formatCode>
                <c:ptCount val="12"/>
                <c:pt idx="0">
                  <c:v>59</c:v>
                </c:pt>
                <c:pt idx="1">
                  <c:v>63</c:v>
                </c:pt>
                <c:pt idx="2">
                  <c:v>91</c:v>
                </c:pt>
                <c:pt idx="3">
                  <c:v>117</c:v>
                </c:pt>
                <c:pt idx="4">
                  <c:v>82</c:v>
                </c:pt>
                <c:pt idx="5">
                  <c:v>97</c:v>
                </c:pt>
                <c:pt idx="6">
                  <c:v>83</c:v>
                </c:pt>
                <c:pt idx="7">
                  <c:v>74</c:v>
                </c:pt>
                <c:pt idx="8">
                  <c:v>96</c:v>
                </c:pt>
                <c:pt idx="9">
                  <c:v>97</c:v>
                </c:pt>
                <c:pt idx="10">
                  <c:v>101</c:v>
                </c:pt>
                <c:pt idx="11">
                  <c:v>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'17.10 MASAKA-MBARARA'!$AF$9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'17.10 MASAKA-MBARARA'!$R$10:$R$21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MASAKA-MBARARA'!$AF$10:$AF$21</c:f>
              <c:numCache>
                <c:formatCode>0</c:formatCode>
                <c:ptCount val="12"/>
                <c:pt idx="0">
                  <c:v>77</c:v>
                </c:pt>
                <c:pt idx="1">
                  <c:v>84</c:v>
                </c:pt>
                <c:pt idx="2">
                  <c:v>111</c:v>
                </c:pt>
                <c:pt idx="3">
                  <c:v>143</c:v>
                </c:pt>
                <c:pt idx="4">
                  <c:v>103</c:v>
                </c:pt>
                <c:pt idx="5">
                  <c:v>133</c:v>
                </c:pt>
                <c:pt idx="6">
                  <c:v>105</c:v>
                </c:pt>
                <c:pt idx="7">
                  <c:v>91</c:v>
                </c:pt>
                <c:pt idx="8">
                  <c:v>122</c:v>
                </c:pt>
                <c:pt idx="9">
                  <c:v>125</c:v>
                </c:pt>
                <c:pt idx="10">
                  <c:v>136</c:v>
                </c:pt>
                <c:pt idx="11">
                  <c:v>129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52835232"/>
        <c:axId val="-1252834688"/>
      </c:lineChart>
      <c:catAx>
        <c:axId val="-12528352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52834688"/>
        <c:crosses val="autoZero"/>
        <c:auto val="1"/>
        <c:lblAlgn val="ctr"/>
        <c:lblOffset val="100"/>
        <c:noMultiLvlLbl val="0"/>
      </c:catAx>
      <c:valAx>
        <c:axId val="-1252834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5283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MASAKA-MBARARA'!$C$9:$N$9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MASAKA-MBARARA'!$C$59:$N$59</c:f>
              <c:numCache>
                <c:formatCode>0.0%</c:formatCode>
                <c:ptCount val="12"/>
                <c:pt idx="0">
                  <c:v>0.235467255334805</c:v>
                </c:pt>
                <c:pt idx="1">
                  <c:v>9.2715231788079472E-2</c:v>
                </c:pt>
                <c:pt idx="2">
                  <c:v>6.7696835908756442E-2</c:v>
                </c:pt>
                <c:pt idx="3">
                  <c:v>0.14054451802796172</c:v>
                </c:pt>
                <c:pt idx="4">
                  <c:v>4.4150110375275938E-3</c:v>
                </c:pt>
                <c:pt idx="5">
                  <c:v>4.4150110375275942E-2</c:v>
                </c:pt>
                <c:pt idx="6">
                  <c:v>7.505518763796909E-2</c:v>
                </c:pt>
                <c:pt idx="7">
                  <c:v>3.3112582781456956E-2</c:v>
                </c:pt>
                <c:pt idx="8">
                  <c:v>7.505518763796909E-2</c:v>
                </c:pt>
                <c:pt idx="9">
                  <c:v>5.1508462104488595E-3</c:v>
                </c:pt>
                <c:pt idx="10">
                  <c:v>0.22663723325974983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MASAKA-MBARARA'!$S$9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'17.10 MASAKA-MBARARA'!$R$10:$R$21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MASAKA-MBARARA'!$S$10:$S$21</c:f>
              <c:numCache>
                <c:formatCode>0</c:formatCode>
                <c:ptCount val="12"/>
                <c:pt idx="0">
                  <c:v>22</c:v>
                </c:pt>
                <c:pt idx="1">
                  <c:v>25</c:v>
                </c:pt>
                <c:pt idx="2">
                  <c:v>24</c:v>
                </c:pt>
                <c:pt idx="3">
                  <c:v>37</c:v>
                </c:pt>
                <c:pt idx="4">
                  <c:v>25</c:v>
                </c:pt>
                <c:pt idx="5">
                  <c:v>28</c:v>
                </c:pt>
                <c:pt idx="6">
                  <c:v>21</c:v>
                </c:pt>
                <c:pt idx="7">
                  <c:v>24</c:v>
                </c:pt>
                <c:pt idx="8">
                  <c:v>30</c:v>
                </c:pt>
                <c:pt idx="9">
                  <c:v>27</c:v>
                </c:pt>
                <c:pt idx="10">
                  <c:v>34</c:v>
                </c:pt>
                <c:pt idx="11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'17.10 MASAKA-MBARARA'!$T$9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'17.10 MASAKA-MBARARA'!$R$10:$R$21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MASAKA-MBARARA'!$T$10:$T$21</c:f>
              <c:numCache>
                <c:formatCode>0</c:formatCode>
                <c:ptCount val="12"/>
                <c:pt idx="0">
                  <c:v>6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8</c:v>
                </c:pt>
                <c:pt idx="5">
                  <c:v>14</c:v>
                </c:pt>
                <c:pt idx="6">
                  <c:v>11</c:v>
                </c:pt>
                <c:pt idx="7">
                  <c:v>13</c:v>
                </c:pt>
                <c:pt idx="8">
                  <c:v>11</c:v>
                </c:pt>
                <c:pt idx="9">
                  <c:v>14</c:v>
                </c:pt>
                <c:pt idx="10">
                  <c:v>12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'17.10 MASAKA-MBARARA'!$U$9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'17.10 MASAKA-MBARARA'!$U$10:$U$21</c:f>
              <c:numCache>
                <c:formatCode>0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12</c:v>
                </c:pt>
                <c:pt idx="3">
                  <c:v>12</c:v>
                </c:pt>
                <c:pt idx="4">
                  <c:v>8</c:v>
                </c:pt>
                <c:pt idx="5">
                  <c:v>5</c:v>
                </c:pt>
                <c:pt idx="6">
                  <c:v>7</c:v>
                </c:pt>
                <c:pt idx="7">
                  <c:v>1</c:v>
                </c:pt>
                <c:pt idx="8">
                  <c:v>6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'17.10 MASAKA-MBARARA'!$V$9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'17.10 MASAKA-MBARARA'!$V$10:$V$21</c:f>
              <c:numCache>
                <c:formatCode>0</c:formatCode>
                <c:ptCount val="12"/>
                <c:pt idx="0">
                  <c:v>11</c:v>
                </c:pt>
                <c:pt idx="1">
                  <c:v>10</c:v>
                </c:pt>
                <c:pt idx="2">
                  <c:v>11</c:v>
                </c:pt>
                <c:pt idx="3">
                  <c:v>21</c:v>
                </c:pt>
                <c:pt idx="4">
                  <c:v>19</c:v>
                </c:pt>
                <c:pt idx="5">
                  <c:v>19</c:v>
                </c:pt>
                <c:pt idx="6">
                  <c:v>21</c:v>
                </c:pt>
                <c:pt idx="7">
                  <c:v>10</c:v>
                </c:pt>
                <c:pt idx="8">
                  <c:v>18</c:v>
                </c:pt>
                <c:pt idx="9">
                  <c:v>17</c:v>
                </c:pt>
                <c:pt idx="10">
                  <c:v>16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'17.10 MASAKA-MBARARA'!$W$9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'17.10 MASAKA-MBARARA'!$W$10:$W$21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'17.10 MASAKA-MBARARA'!$X$9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'17.10 MASAKA-MBARARA'!$X$10:$X$21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3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'17.10 MASAKA-MBARARA'!$Y$9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MASAKA-MBARARA'!$Y$10:$Y$21</c:f>
              <c:numCache>
                <c:formatCode>0</c:formatCode>
                <c:ptCount val="12"/>
                <c:pt idx="0">
                  <c:v>9</c:v>
                </c:pt>
                <c:pt idx="1">
                  <c:v>4</c:v>
                </c:pt>
                <c:pt idx="2">
                  <c:v>10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6</c:v>
                </c:pt>
                <c:pt idx="7">
                  <c:v>5</c:v>
                </c:pt>
                <c:pt idx="8">
                  <c:v>13</c:v>
                </c:pt>
                <c:pt idx="9">
                  <c:v>7</c:v>
                </c:pt>
                <c:pt idx="10">
                  <c:v>14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'17.10 MASAKA-MBARARA'!$Z$9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MASAKA-MBARARA'!$Z$10:$Z$21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5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'17.10 MASAKA-MBARARA'!$AA$9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MASAKA-MBARARA'!$AA$10:$AA$21</c:f>
              <c:numCache>
                <c:formatCode>0</c:formatCode>
                <c:ptCount val="12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14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6</c:v>
                </c:pt>
                <c:pt idx="10">
                  <c:v>9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'17.10 MASAKA-MBARARA'!$AB$9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MASAKA-MBARARA'!$AB$10:$AB$21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'17.10 MASAKA-MBARARA'!$AC$9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MASAKA-MBARARA'!$AC$10:$AC$21</c:f>
              <c:numCache>
                <c:formatCode>0</c:formatCode>
                <c:ptCount val="12"/>
                <c:pt idx="0">
                  <c:v>18</c:v>
                </c:pt>
                <c:pt idx="1">
                  <c:v>21</c:v>
                </c:pt>
                <c:pt idx="2">
                  <c:v>20</c:v>
                </c:pt>
                <c:pt idx="3">
                  <c:v>26</c:v>
                </c:pt>
                <c:pt idx="4">
                  <c:v>21</c:v>
                </c:pt>
                <c:pt idx="5">
                  <c:v>36</c:v>
                </c:pt>
                <c:pt idx="6">
                  <c:v>22</c:v>
                </c:pt>
                <c:pt idx="7">
                  <c:v>17</c:v>
                </c:pt>
                <c:pt idx="8">
                  <c:v>26</c:v>
                </c:pt>
                <c:pt idx="9">
                  <c:v>28</c:v>
                </c:pt>
                <c:pt idx="10">
                  <c:v>35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'17.10 MASAKA-MBARARA'!$AD$9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MASAKA-MBARARA'!$AD$10:$AD$21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52832512"/>
        <c:axId val="-1252831968"/>
      </c:lineChart>
      <c:catAx>
        <c:axId val="-125283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52831968"/>
        <c:crosses val="autoZero"/>
        <c:auto val="1"/>
        <c:lblAlgn val="ctr"/>
        <c:lblOffset val="100"/>
        <c:noMultiLvlLbl val="0"/>
      </c:catAx>
      <c:valAx>
        <c:axId val="-125283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5283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MASAKA-MBARARA'!$C$9:$N$9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MASAKA-MBARARA'!$C$60:$N$60</c:f>
              <c:numCache>
                <c:formatCode>0.00%</c:formatCode>
                <c:ptCount val="12"/>
                <c:pt idx="0">
                  <c:v>0.30447193149381541</c:v>
                </c:pt>
                <c:pt idx="1">
                  <c:v>0.11988582302568981</c:v>
                </c:pt>
                <c:pt idx="2">
                  <c:v>8.7535680304471938E-2</c:v>
                </c:pt>
                <c:pt idx="3">
                  <c:v>0.18173168411037108</c:v>
                </c:pt>
                <c:pt idx="4">
                  <c:v>5.708848715509039E-3</c:v>
                </c:pt>
                <c:pt idx="5">
                  <c:v>5.7088487155090392E-2</c:v>
                </c:pt>
                <c:pt idx="6">
                  <c:v>9.7050428163653668E-2</c:v>
                </c:pt>
                <c:pt idx="7">
                  <c:v>4.2816365366317791E-2</c:v>
                </c:pt>
                <c:pt idx="8">
                  <c:v>9.7050428163653668E-2</c:v>
                </c:pt>
                <c:pt idx="9">
                  <c:v>6.6603235014272124E-3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MBARARA-MASAKA'!$AE$9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'17.10 MBARARA-MASAKA'!$R$10:$R$21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MBARARA-MASAKA'!$AE$10:$AE$21</c:f>
              <c:numCache>
                <c:formatCode>0</c:formatCode>
                <c:ptCount val="12"/>
                <c:pt idx="0">
                  <c:v>47</c:v>
                </c:pt>
                <c:pt idx="1">
                  <c:v>55</c:v>
                </c:pt>
                <c:pt idx="2">
                  <c:v>65</c:v>
                </c:pt>
                <c:pt idx="3">
                  <c:v>70</c:v>
                </c:pt>
                <c:pt idx="4">
                  <c:v>85</c:v>
                </c:pt>
                <c:pt idx="5">
                  <c:v>95</c:v>
                </c:pt>
                <c:pt idx="6">
                  <c:v>97</c:v>
                </c:pt>
                <c:pt idx="7">
                  <c:v>95</c:v>
                </c:pt>
                <c:pt idx="8">
                  <c:v>111</c:v>
                </c:pt>
                <c:pt idx="9">
                  <c:v>102</c:v>
                </c:pt>
                <c:pt idx="10">
                  <c:v>112</c:v>
                </c:pt>
                <c:pt idx="11">
                  <c:v>138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'17.10 MBARARA-MASAKA'!$AF$9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'17.10 MBARARA-MASAKA'!$R$10:$R$21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MBARARA-MASAKA'!$AF$10:$AF$21</c:f>
              <c:numCache>
                <c:formatCode>0</c:formatCode>
                <c:ptCount val="12"/>
                <c:pt idx="0">
                  <c:v>82</c:v>
                </c:pt>
                <c:pt idx="1">
                  <c:v>82</c:v>
                </c:pt>
                <c:pt idx="2">
                  <c:v>103</c:v>
                </c:pt>
                <c:pt idx="3">
                  <c:v>108</c:v>
                </c:pt>
                <c:pt idx="4">
                  <c:v>110</c:v>
                </c:pt>
                <c:pt idx="5">
                  <c:v>123</c:v>
                </c:pt>
                <c:pt idx="6">
                  <c:v>127</c:v>
                </c:pt>
                <c:pt idx="7">
                  <c:v>126</c:v>
                </c:pt>
                <c:pt idx="8">
                  <c:v>155</c:v>
                </c:pt>
                <c:pt idx="9">
                  <c:v>145</c:v>
                </c:pt>
                <c:pt idx="10">
                  <c:v>183</c:v>
                </c:pt>
                <c:pt idx="11">
                  <c:v>191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48840112"/>
        <c:axId val="-1248835216"/>
      </c:lineChart>
      <c:catAx>
        <c:axId val="-1248840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48835216"/>
        <c:crosses val="autoZero"/>
        <c:auto val="1"/>
        <c:lblAlgn val="ctr"/>
        <c:lblOffset val="100"/>
        <c:noMultiLvlLbl val="0"/>
      </c:catAx>
      <c:valAx>
        <c:axId val="-1248835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4884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MBARARA-MASAKA'!$C$9:$N$9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MBARARA-MASAKA'!$C$59:$N$59</c:f>
              <c:numCache>
                <c:formatCode>0.0%</c:formatCode>
                <c:ptCount val="12"/>
                <c:pt idx="0">
                  <c:v>0.21824104234527689</c:v>
                </c:pt>
                <c:pt idx="1">
                  <c:v>8.0781758957654728E-2</c:v>
                </c:pt>
                <c:pt idx="2">
                  <c:v>7.1661237785016291E-2</c:v>
                </c:pt>
                <c:pt idx="3">
                  <c:v>0.14201954397394137</c:v>
                </c:pt>
                <c:pt idx="4">
                  <c:v>1.9543973941368079E-3</c:v>
                </c:pt>
                <c:pt idx="5">
                  <c:v>3.9739413680781759E-2</c:v>
                </c:pt>
                <c:pt idx="6">
                  <c:v>3.322475570032573E-2</c:v>
                </c:pt>
                <c:pt idx="7">
                  <c:v>2.9315960912052116E-2</c:v>
                </c:pt>
                <c:pt idx="8">
                  <c:v>7.8827361563517911E-2</c:v>
                </c:pt>
                <c:pt idx="9">
                  <c:v>2.6058631921824105E-3</c:v>
                </c:pt>
                <c:pt idx="10">
                  <c:v>0.301628664495114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MBARARA-MASAKA'!$S$9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'17.10 MBARARA-MASAKA'!$R$10:$R$21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MBARARA-MASAKA'!$S$10:$S$21</c:f>
              <c:numCache>
                <c:formatCode>0</c:formatCode>
                <c:ptCount val="12"/>
                <c:pt idx="0">
                  <c:v>19</c:v>
                </c:pt>
                <c:pt idx="1">
                  <c:v>13</c:v>
                </c:pt>
                <c:pt idx="2">
                  <c:v>20</c:v>
                </c:pt>
                <c:pt idx="3">
                  <c:v>29</c:v>
                </c:pt>
                <c:pt idx="4">
                  <c:v>18</c:v>
                </c:pt>
                <c:pt idx="5">
                  <c:v>29</c:v>
                </c:pt>
                <c:pt idx="6">
                  <c:v>29</c:v>
                </c:pt>
                <c:pt idx="7">
                  <c:v>21</c:v>
                </c:pt>
                <c:pt idx="8">
                  <c:v>36</c:v>
                </c:pt>
                <c:pt idx="9">
                  <c:v>42</c:v>
                </c:pt>
                <c:pt idx="10">
                  <c:v>33</c:v>
                </c:pt>
                <c:pt idx="11">
                  <c:v>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'17.10 MBARARA-MASAKA'!$T$9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'17.10 MBARARA-MASAKA'!$R$10:$R$21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MBARARA-MASAKA'!$T$10:$T$21</c:f>
              <c:numCache>
                <c:formatCode>0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3</c:v>
                </c:pt>
                <c:pt idx="4">
                  <c:v>13</c:v>
                </c:pt>
                <c:pt idx="5">
                  <c:v>16</c:v>
                </c:pt>
                <c:pt idx="6">
                  <c:v>18</c:v>
                </c:pt>
                <c:pt idx="7">
                  <c:v>7</c:v>
                </c:pt>
                <c:pt idx="8">
                  <c:v>16</c:v>
                </c:pt>
                <c:pt idx="9">
                  <c:v>10</c:v>
                </c:pt>
                <c:pt idx="10">
                  <c:v>14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'17.10 MBARARA-MASAKA'!$U$9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'17.10 MBARARA-MASAKA'!$U$10:$U$21</c:f>
              <c:numCache>
                <c:formatCode>0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6</c:v>
                </c:pt>
                <c:pt idx="3">
                  <c:v>8</c:v>
                </c:pt>
                <c:pt idx="4">
                  <c:v>14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11</c:v>
                </c:pt>
                <c:pt idx="9">
                  <c:v>13</c:v>
                </c:pt>
                <c:pt idx="10">
                  <c:v>12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'17.10 MBARARA-MASAKA'!$V$9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'17.10 MBARARA-MASAKA'!$V$10:$V$21</c:f>
              <c:numCache>
                <c:formatCode>0</c:formatCode>
                <c:ptCount val="12"/>
                <c:pt idx="0">
                  <c:v>13</c:v>
                </c:pt>
                <c:pt idx="1">
                  <c:v>17</c:v>
                </c:pt>
                <c:pt idx="2">
                  <c:v>16</c:v>
                </c:pt>
                <c:pt idx="3">
                  <c:v>16</c:v>
                </c:pt>
                <c:pt idx="4">
                  <c:v>21</c:v>
                </c:pt>
                <c:pt idx="5">
                  <c:v>19</c:v>
                </c:pt>
                <c:pt idx="6">
                  <c:v>13</c:v>
                </c:pt>
                <c:pt idx="7">
                  <c:v>18</c:v>
                </c:pt>
                <c:pt idx="8">
                  <c:v>20</c:v>
                </c:pt>
                <c:pt idx="9">
                  <c:v>17</c:v>
                </c:pt>
                <c:pt idx="10">
                  <c:v>21</c:v>
                </c:pt>
                <c:pt idx="1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'17.10 MBARARA-MASAKA'!$W$9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'17.10 MBARARA-MASAKA'!$W$10:$W$21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'17.10 MBARARA-MASAKA'!$X$9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'17.10 MBARARA-MASAKA'!$X$10:$X$21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6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'17.10 MBARARA-MASAKA'!$Y$9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MBARARA-MASAKA'!$Y$10:$Y$21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5</c:v>
                </c:pt>
                <c:pt idx="8">
                  <c:v>1</c:v>
                </c:pt>
                <c:pt idx="9">
                  <c:v>1</c:v>
                </c:pt>
                <c:pt idx="10">
                  <c:v>7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'17.10 MBARARA-MASAKA'!$Z$9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MBARARA-MASAKA'!$Z$10:$Z$21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0</c:v>
                </c:pt>
                <c:pt idx="10">
                  <c:v>7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'17.10 MBARARA-MASAKA'!$AA$9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MBARARA-MASAKA'!$AA$10:$AA$21</c:f>
              <c:numCache>
                <c:formatCode>0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6</c:v>
                </c:pt>
                <c:pt idx="7">
                  <c:v>21</c:v>
                </c:pt>
                <c:pt idx="8">
                  <c:v>15</c:v>
                </c:pt>
                <c:pt idx="9">
                  <c:v>15</c:v>
                </c:pt>
                <c:pt idx="10">
                  <c:v>13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'17.10 MBARARA-MASAKA'!$AB$9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MBARARA-MASAKA'!$AB$10:$AB$21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'17.10 MBARARA-MASAKA'!$AC$9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MBARARA-MASAKA'!$AC$10:$AC$21</c:f>
              <c:numCache>
                <c:formatCode>0</c:formatCode>
                <c:ptCount val="12"/>
                <c:pt idx="0">
                  <c:v>35</c:v>
                </c:pt>
                <c:pt idx="1">
                  <c:v>27</c:v>
                </c:pt>
                <c:pt idx="2">
                  <c:v>38</c:v>
                </c:pt>
                <c:pt idx="3">
                  <c:v>38</c:v>
                </c:pt>
                <c:pt idx="4">
                  <c:v>25</c:v>
                </c:pt>
                <c:pt idx="5">
                  <c:v>28</c:v>
                </c:pt>
                <c:pt idx="6">
                  <c:v>30</c:v>
                </c:pt>
                <c:pt idx="7">
                  <c:v>31</c:v>
                </c:pt>
                <c:pt idx="8">
                  <c:v>44</c:v>
                </c:pt>
                <c:pt idx="9">
                  <c:v>43</c:v>
                </c:pt>
                <c:pt idx="10">
                  <c:v>71</c:v>
                </c:pt>
                <c:pt idx="11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'17.10 MBARARA-MASAKA'!$AD$9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MBARARA-MASAKA'!$AD$10:$AD$21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48835760"/>
        <c:axId val="-1248840656"/>
      </c:lineChart>
      <c:catAx>
        <c:axId val="-124883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48840656"/>
        <c:crosses val="autoZero"/>
        <c:auto val="1"/>
        <c:lblAlgn val="ctr"/>
        <c:lblOffset val="100"/>
        <c:noMultiLvlLbl val="0"/>
      </c:catAx>
      <c:valAx>
        <c:axId val="-124884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4883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MBARARA-MASAKA'!$C$9:$N$9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MBARARA-MASAKA'!$C$60:$N$60</c:f>
              <c:numCache>
                <c:formatCode>0.00%</c:formatCode>
                <c:ptCount val="12"/>
                <c:pt idx="0">
                  <c:v>0.3125</c:v>
                </c:pt>
                <c:pt idx="1">
                  <c:v>0.11567164179104478</c:v>
                </c:pt>
                <c:pt idx="2">
                  <c:v>0.10261194029850747</c:v>
                </c:pt>
                <c:pt idx="3">
                  <c:v>0.20335820895522388</c:v>
                </c:pt>
                <c:pt idx="4">
                  <c:v>2.798507462686567E-3</c:v>
                </c:pt>
                <c:pt idx="5">
                  <c:v>5.6902985074626863E-2</c:v>
                </c:pt>
                <c:pt idx="6">
                  <c:v>4.757462686567164E-2</c:v>
                </c:pt>
                <c:pt idx="7">
                  <c:v>4.1977611940298511E-2</c:v>
                </c:pt>
                <c:pt idx="8">
                  <c:v>0.11287313432835822</c:v>
                </c:pt>
                <c:pt idx="9">
                  <c:v>3.7313432835820895E-3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MASAKA-MBARARA-24H'!$AE$9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'18.10 MASAKA-MBARARA-24H'!$R$10:$R$33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'18.10 MASAKA-MBARARA-24H'!$AE$10:$AE$33</c:f>
              <c:numCache>
                <c:formatCode>0</c:formatCode>
                <c:ptCount val="24"/>
                <c:pt idx="0">
                  <c:v>94</c:v>
                </c:pt>
                <c:pt idx="1">
                  <c:v>105</c:v>
                </c:pt>
                <c:pt idx="2">
                  <c:v>107</c:v>
                </c:pt>
                <c:pt idx="3">
                  <c:v>90</c:v>
                </c:pt>
                <c:pt idx="4">
                  <c:v>85</c:v>
                </c:pt>
                <c:pt idx="5">
                  <c:v>118</c:v>
                </c:pt>
                <c:pt idx="6">
                  <c:v>71</c:v>
                </c:pt>
                <c:pt idx="7">
                  <c:v>63</c:v>
                </c:pt>
                <c:pt idx="8">
                  <c:v>124</c:v>
                </c:pt>
                <c:pt idx="9">
                  <c:v>137</c:v>
                </c:pt>
                <c:pt idx="10">
                  <c:v>159</c:v>
                </c:pt>
                <c:pt idx="11">
                  <c:v>112</c:v>
                </c:pt>
                <c:pt idx="12">
                  <c:v>93</c:v>
                </c:pt>
                <c:pt idx="13">
                  <c:v>88</c:v>
                </c:pt>
                <c:pt idx="14">
                  <c:v>86</c:v>
                </c:pt>
                <c:pt idx="15">
                  <c:v>85</c:v>
                </c:pt>
                <c:pt idx="16">
                  <c:v>66</c:v>
                </c:pt>
                <c:pt idx="17">
                  <c:v>53</c:v>
                </c:pt>
                <c:pt idx="18">
                  <c:v>89</c:v>
                </c:pt>
                <c:pt idx="19">
                  <c:v>57</c:v>
                </c:pt>
                <c:pt idx="20">
                  <c:v>55</c:v>
                </c:pt>
                <c:pt idx="21">
                  <c:v>30</c:v>
                </c:pt>
                <c:pt idx="22">
                  <c:v>18</c:v>
                </c:pt>
                <c:pt idx="23">
                  <c:v>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'18.10 MASAKA-MBARARA-24H'!$AF$9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'18.10 MASAKA-MBARARA-24H'!$R$10:$R$33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'18.10 MASAKA-MBARARA-24H'!$AF$10:$AF$33</c:f>
              <c:numCache>
                <c:formatCode>0</c:formatCode>
                <c:ptCount val="24"/>
                <c:pt idx="0">
                  <c:v>133</c:v>
                </c:pt>
                <c:pt idx="1">
                  <c:v>140</c:v>
                </c:pt>
                <c:pt idx="2">
                  <c:v>155</c:v>
                </c:pt>
                <c:pt idx="3">
                  <c:v>144</c:v>
                </c:pt>
                <c:pt idx="4">
                  <c:v>131</c:v>
                </c:pt>
                <c:pt idx="5">
                  <c:v>161</c:v>
                </c:pt>
                <c:pt idx="6">
                  <c:v>108</c:v>
                </c:pt>
                <c:pt idx="7">
                  <c:v>98</c:v>
                </c:pt>
                <c:pt idx="8">
                  <c:v>173</c:v>
                </c:pt>
                <c:pt idx="9">
                  <c:v>185</c:v>
                </c:pt>
                <c:pt idx="10">
                  <c:v>204</c:v>
                </c:pt>
                <c:pt idx="11">
                  <c:v>146</c:v>
                </c:pt>
                <c:pt idx="12">
                  <c:v>115</c:v>
                </c:pt>
                <c:pt idx="13">
                  <c:v>102</c:v>
                </c:pt>
                <c:pt idx="14">
                  <c:v>94</c:v>
                </c:pt>
                <c:pt idx="15">
                  <c:v>88</c:v>
                </c:pt>
                <c:pt idx="16">
                  <c:v>74</c:v>
                </c:pt>
                <c:pt idx="17">
                  <c:v>54</c:v>
                </c:pt>
                <c:pt idx="18">
                  <c:v>90</c:v>
                </c:pt>
                <c:pt idx="19">
                  <c:v>58</c:v>
                </c:pt>
                <c:pt idx="20">
                  <c:v>56</c:v>
                </c:pt>
                <c:pt idx="21">
                  <c:v>31</c:v>
                </c:pt>
                <c:pt idx="22">
                  <c:v>19</c:v>
                </c:pt>
                <c:pt idx="23">
                  <c:v>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53707968"/>
        <c:axId val="-1253709056"/>
      </c:lineChart>
      <c:catAx>
        <c:axId val="-12537079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53709056"/>
        <c:crosses val="autoZero"/>
        <c:auto val="1"/>
        <c:lblAlgn val="ctr"/>
        <c:lblOffset val="100"/>
        <c:noMultiLvlLbl val="0"/>
      </c:catAx>
      <c:valAx>
        <c:axId val="-1253709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5370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MASAKA-MBARARA-24H'!$C$9:$N$9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MASAKA-MBARARA-24H'!$C$107:$N$107</c:f>
              <c:numCache>
                <c:formatCode>0.0%</c:formatCode>
                <c:ptCount val="12"/>
                <c:pt idx="0">
                  <c:v>0.24789594491201225</c:v>
                </c:pt>
                <c:pt idx="1">
                  <c:v>9.4873756694720729E-2</c:v>
                </c:pt>
                <c:pt idx="2">
                  <c:v>4.0168324407039019E-2</c:v>
                </c:pt>
                <c:pt idx="3">
                  <c:v>0.10596786534047437</c:v>
                </c:pt>
                <c:pt idx="4">
                  <c:v>8.4162203519510329E-3</c:v>
                </c:pt>
                <c:pt idx="5">
                  <c:v>4.5906656465187455E-2</c:v>
                </c:pt>
                <c:pt idx="6">
                  <c:v>6.7712318286151499E-2</c:v>
                </c:pt>
                <c:pt idx="7">
                  <c:v>7.2302983932670234E-2</c:v>
                </c:pt>
                <c:pt idx="8">
                  <c:v>8.7605202754399383E-2</c:v>
                </c:pt>
                <c:pt idx="9">
                  <c:v>6.5034429992348892E-3</c:v>
                </c:pt>
                <c:pt idx="10">
                  <c:v>0.22264728385615914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MASAKA-MBARARA-24H'!$C$9:$N$9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MASAKA-MBARARA-24H'!$C$108:$N$108</c:f>
              <c:numCache>
                <c:formatCode>0.00%</c:formatCode>
                <c:ptCount val="12"/>
                <c:pt idx="0">
                  <c:v>0.31889763779527558</c:v>
                </c:pt>
                <c:pt idx="1">
                  <c:v>0.12204724409448819</c:v>
                </c:pt>
                <c:pt idx="2">
                  <c:v>5.1673228346456691E-2</c:v>
                </c:pt>
                <c:pt idx="3">
                  <c:v>0.13631889763779528</c:v>
                </c:pt>
                <c:pt idx="4">
                  <c:v>1.0826771653543307E-2</c:v>
                </c:pt>
                <c:pt idx="5">
                  <c:v>5.905511811023622E-2</c:v>
                </c:pt>
                <c:pt idx="6">
                  <c:v>8.7106299212598423E-2</c:v>
                </c:pt>
                <c:pt idx="7">
                  <c:v>9.3011811023622049E-2</c:v>
                </c:pt>
                <c:pt idx="8">
                  <c:v>0.11269685039370078</c:v>
                </c:pt>
                <c:pt idx="9">
                  <c:v>8.3661417322834653E-3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MBARARA-MASAKA-24H'!$AE$9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'18.10 MBARARA-MASAKA-24H'!$R$10:$R$33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'18.10 MBARARA-MASAKA-24H'!$AE$10:$AE$33</c:f>
              <c:numCache>
                <c:formatCode>0</c:formatCode>
                <c:ptCount val="24"/>
                <c:pt idx="0">
                  <c:v>47</c:v>
                </c:pt>
                <c:pt idx="1">
                  <c:v>47</c:v>
                </c:pt>
                <c:pt idx="2">
                  <c:v>44</c:v>
                </c:pt>
                <c:pt idx="3">
                  <c:v>63</c:v>
                </c:pt>
                <c:pt idx="4">
                  <c:v>77</c:v>
                </c:pt>
                <c:pt idx="5">
                  <c:v>88</c:v>
                </c:pt>
                <c:pt idx="6">
                  <c:v>103</c:v>
                </c:pt>
                <c:pt idx="7">
                  <c:v>104</c:v>
                </c:pt>
                <c:pt idx="8">
                  <c:v>130</c:v>
                </c:pt>
                <c:pt idx="9">
                  <c:v>119</c:v>
                </c:pt>
                <c:pt idx="10">
                  <c:v>146</c:v>
                </c:pt>
                <c:pt idx="11">
                  <c:v>130</c:v>
                </c:pt>
                <c:pt idx="12">
                  <c:v>115</c:v>
                </c:pt>
                <c:pt idx="13">
                  <c:v>110</c:v>
                </c:pt>
                <c:pt idx="14">
                  <c:v>122</c:v>
                </c:pt>
                <c:pt idx="15">
                  <c:v>80</c:v>
                </c:pt>
                <c:pt idx="16">
                  <c:v>79</c:v>
                </c:pt>
                <c:pt idx="17">
                  <c:v>66</c:v>
                </c:pt>
                <c:pt idx="18">
                  <c:v>42</c:v>
                </c:pt>
                <c:pt idx="19">
                  <c:v>45</c:v>
                </c:pt>
                <c:pt idx="20">
                  <c:v>22</c:v>
                </c:pt>
                <c:pt idx="21">
                  <c:v>22</c:v>
                </c:pt>
                <c:pt idx="22">
                  <c:v>25</c:v>
                </c:pt>
                <c:pt idx="23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'18.10 MBARARA-MASAKA-24H'!$AF$9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'18.10 MBARARA-MASAKA-24H'!$R$10:$R$33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'18.10 MBARARA-MASAKA-24H'!$AF$10:$AF$33</c:f>
              <c:numCache>
                <c:formatCode>0</c:formatCode>
                <c:ptCount val="24"/>
                <c:pt idx="0">
                  <c:v>92</c:v>
                </c:pt>
                <c:pt idx="1">
                  <c:v>124</c:v>
                </c:pt>
                <c:pt idx="2">
                  <c:v>87</c:v>
                </c:pt>
                <c:pt idx="3">
                  <c:v>92</c:v>
                </c:pt>
                <c:pt idx="4">
                  <c:v>116</c:v>
                </c:pt>
                <c:pt idx="5">
                  <c:v>114</c:v>
                </c:pt>
                <c:pt idx="6">
                  <c:v>130</c:v>
                </c:pt>
                <c:pt idx="7">
                  <c:v>144</c:v>
                </c:pt>
                <c:pt idx="8">
                  <c:v>165</c:v>
                </c:pt>
                <c:pt idx="9">
                  <c:v>161</c:v>
                </c:pt>
                <c:pt idx="10">
                  <c:v>200</c:v>
                </c:pt>
                <c:pt idx="11">
                  <c:v>163</c:v>
                </c:pt>
                <c:pt idx="12">
                  <c:v>141</c:v>
                </c:pt>
                <c:pt idx="13">
                  <c:v>128</c:v>
                </c:pt>
                <c:pt idx="14">
                  <c:v>130</c:v>
                </c:pt>
                <c:pt idx="15">
                  <c:v>86</c:v>
                </c:pt>
                <c:pt idx="16">
                  <c:v>86</c:v>
                </c:pt>
                <c:pt idx="17">
                  <c:v>66</c:v>
                </c:pt>
                <c:pt idx="18">
                  <c:v>44</c:v>
                </c:pt>
                <c:pt idx="19">
                  <c:v>45</c:v>
                </c:pt>
                <c:pt idx="20">
                  <c:v>22</c:v>
                </c:pt>
                <c:pt idx="21">
                  <c:v>25</c:v>
                </c:pt>
                <c:pt idx="22">
                  <c:v>27</c:v>
                </c:pt>
                <c:pt idx="23">
                  <c:v>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53705248"/>
        <c:axId val="-1253704704"/>
      </c:lineChart>
      <c:catAx>
        <c:axId val="-12537052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53704704"/>
        <c:crosses val="autoZero"/>
        <c:auto val="1"/>
        <c:lblAlgn val="ctr"/>
        <c:lblOffset val="100"/>
        <c:noMultiLvlLbl val="0"/>
      </c:catAx>
      <c:valAx>
        <c:axId val="-12537047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5370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MBARARA-MASAKA-24H'!$C$9:$N$9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MBARARA-MASAKA-24H'!$C$107:$N$107</c:f>
              <c:numCache>
                <c:formatCode>0.0%</c:formatCode>
                <c:ptCount val="12"/>
                <c:pt idx="0">
                  <c:v>0.20164271047227927</c:v>
                </c:pt>
                <c:pt idx="1">
                  <c:v>7.8850102669404523E-2</c:v>
                </c:pt>
                <c:pt idx="2">
                  <c:v>4.8459958932238194E-2</c:v>
                </c:pt>
                <c:pt idx="3">
                  <c:v>0.1162217659137577</c:v>
                </c:pt>
                <c:pt idx="4">
                  <c:v>5.3388090349075976E-3</c:v>
                </c:pt>
                <c:pt idx="5">
                  <c:v>4.6817248459958931E-2</c:v>
                </c:pt>
                <c:pt idx="6">
                  <c:v>5.0102669404517457E-2</c:v>
                </c:pt>
                <c:pt idx="7">
                  <c:v>0.12114989733059549</c:v>
                </c:pt>
                <c:pt idx="8">
                  <c:v>8.9117043121149903E-2</c:v>
                </c:pt>
                <c:pt idx="9">
                  <c:v>6.1601642710472282E-3</c:v>
                </c:pt>
                <c:pt idx="10">
                  <c:v>0.23613963039014374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MBARARA-MASAKA-24H'!$C$9:$N$9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MBARARA-MASAKA-24H'!$C$108:$N$108</c:f>
              <c:numCache>
                <c:formatCode>0.00%</c:formatCode>
                <c:ptCount val="12"/>
                <c:pt idx="0">
                  <c:v>0.26397849462365591</c:v>
                </c:pt>
                <c:pt idx="1">
                  <c:v>0.1032258064516129</c:v>
                </c:pt>
                <c:pt idx="2">
                  <c:v>6.3440860215053768E-2</c:v>
                </c:pt>
                <c:pt idx="3">
                  <c:v>0.15215053763440861</c:v>
                </c:pt>
                <c:pt idx="4">
                  <c:v>6.9892473118279572E-3</c:v>
                </c:pt>
                <c:pt idx="5">
                  <c:v>6.1290322580645158E-2</c:v>
                </c:pt>
                <c:pt idx="6">
                  <c:v>6.5591397849462371E-2</c:v>
                </c:pt>
                <c:pt idx="7">
                  <c:v>0.15860215053763441</c:v>
                </c:pt>
                <c:pt idx="8">
                  <c:v>0.11666666666666667</c:v>
                </c:pt>
                <c:pt idx="9">
                  <c:v>8.0645161290322578E-3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'19.10 MASAKA-MBARARA-24H'!$AE$9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'19.10 MASAKA-MBARARA-24H'!$R$10:$R$33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MASAKA-MBARARA-24H'!$AE$10:$AE$33</c:f>
              <c:numCache>
                <c:formatCode>0</c:formatCode>
                <c:ptCount val="24"/>
                <c:pt idx="0">
                  <c:v>60</c:v>
                </c:pt>
                <c:pt idx="1">
                  <c:v>140</c:v>
                </c:pt>
                <c:pt idx="2">
                  <c:v>133</c:v>
                </c:pt>
                <c:pt idx="3">
                  <c:v>155</c:v>
                </c:pt>
                <c:pt idx="4">
                  <c:v>119</c:v>
                </c:pt>
                <c:pt idx="5">
                  <c:v>95</c:v>
                </c:pt>
                <c:pt idx="6">
                  <c:v>93</c:v>
                </c:pt>
                <c:pt idx="7">
                  <c:v>87</c:v>
                </c:pt>
                <c:pt idx="8">
                  <c:v>117</c:v>
                </c:pt>
                <c:pt idx="9">
                  <c:v>124</c:v>
                </c:pt>
                <c:pt idx="10">
                  <c:v>143</c:v>
                </c:pt>
                <c:pt idx="11">
                  <c:v>112</c:v>
                </c:pt>
                <c:pt idx="12">
                  <c:v>117</c:v>
                </c:pt>
                <c:pt idx="13">
                  <c:v>90</c:v>
                </c:pt>
                <c:pt idx="14">
                  <c:v>76</c:v>
                </c:pt>
                <c:pt idx="15">
                  <c:v>66</c:v>
                </c:pt>
                <c:pt idx="16">
                  <c:v>68</c:v>
                </c:pt>
                <c:pt idx="17">
                  <c:v>68</c:v>
                </c:pt>
                <c:pt idx="18">
                  <c:v>76</c:v>
                </c:pt>
                <c:pt idx="19">
                  <c:v>52</c:v>
                </c:pt>
                <c:pt idx="20">
                  <c:v>60</c:v>
                </c:pt>
                <c:pt idx="21">
                  <c:v>54</c:v>
                </c:pt>
                <c:pt idx="22">
                  <c:v>43</c:v>
                </c:pt>
                <c:pt idx="23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'19.10 MASAKA-MBARARA-24H'!$AF$9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'19.10 MASAKA-MBARARA-24H'!$R$10:$R$33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MASAKA-MBARARA-24H'!$AF$10:$AF$33</c:f>
              <c:numCache>
                <c:formatCode>0</c:formatCode>
                <c:ptCount val="24"/>
                <c:pt idx="0">
                  <c:v>81</c:v>
                </c:pt>
                <c:pt idx="1">
                  <c:v>159</c:v>
                </c:pt>
                <c:pt idx="2">
                  <c:v>170</c:v>
                </c:pt>
                <c:pt idx="3">
                  <c:v>196</c:v>
                </c:pt>
                <c:pt idx="4">
                  <c:v>158</c:v>
                </c:pt>
                <c:pt idx="5">
                  <c:v>151</c:v>
                </c:pt>
                <c:pt idx="6">
                  <c:v>128</c:v>
                </c:pt>
                <c:pt idx="7">
                  <c:v>117</c:v>
                </c:pt>
                <c:pt idx="8">
                  <c:v>152</c:v>
                </c:pt>
                <c:pt idx="9">
                  <c:v>152</c:v>
                </c:pt>
                <c:pt idx="10">
                  <c:v>202</c:v>
                </c:pt>
                <c:pt idx="11">
                  <c:v>155</c:v>
                </c:pt>
                <c:pt idx="12">
                  <c:v>149</c:v>
                </c:pt>
                <c:pt idx="13">
                  <c:v>111</c:v>
                </c:pt>
                <c:pt idx="14">
                  <c:v>90</c:v>
                </c:pt>
                <c:pt idx="15">
                  <c:v>78</c:v>
                </c:pt>
                <c:pt idx="16">
                  <c:v>73</c:v>
                </c:pt>
                <c:pt idx="17">
                  <c:v>73</c:v>
                </c:pt>
                <c:pt idx="18">
                  <c:v>77</c:v>
                </c:pt>
                <c:pt idx="19">
                  <c:v>53</c:v>
                </c:pt>
                <c:pt idx="20">
                  <c:v>64</c:v>
                </c:pt>
                <c:pt idx="21">
                  <c:v>58</c:v>
                </c:pt>
                <c:pt idx="22">
                  <c:v>51</c:v>
                </c:pt>
                <c:pt idx="23">
                  <c:v>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38914800"/>
        <c:axId val="-1238906640"/>
      </c:lineChart>
      <c:catAx>
        <c:axId val="-123891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38906640"/>
        <c:crosses val="autoZero"/>
        <c:auto val="1"/>
        <c:lblAlgn val="ctr"/>
        <c:lblOffset val="100"/>
        <c:noMultiLvlLbl val="0"/>
      </c:catAx>
      <c:valAx>
        <c:axId val="-1238906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3891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MASAKA-MBARARA-24H'!$C$9:$N$9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MASAKA-MBARARA-24H'!$C$107:$N$107</c:f>
              <c:numCache>
                <c:formatCode>0.0%</c:formatCode>
                <c:ptCount val="12"/>
                <c:pt idx="0">
                  <c:v>0.24033249006143839</c:v>
                </c:pt>
                <c:pt idx="1">
                  <c:v>0.10046982291290206</c:v>
                </c:pt>
                <c:pt idx="2">
                  <c:v>6.5413805565594507E-2</c:v>
                </c:pt>
                <c:pt idx="3">
                  <c:v>0.1123960968558005</c:v>
                </c:pt>
                <c:pt idx="4">
                  <c:v>7.5894470545717387E-3</c:v>
                </c:pt>
                <c:pt idx="5">
                  <c:v>4.4813877846042648E-2</c:v>
                </c:pt>
                <c:pt idx="6">
                  <c:v>5.2041922659920491E-2</c:v>
                </c:pt>
                <c:pt idx="7">
                  <c:v>8.1676906396819654E-2</c:v>
                </c:pt>
                <c:pt idx="8">
                  <c:v>7.5533068305023487E-2</c:v>
                </c:pt>
                <c:pt idx="9">
                  <c:v>1.2287676183592338E-2</c:v>
                </c:pt>
                <c:pt idx="10">
                  <c:v>0.20744488615829418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MASAKA-MBARARA-24H'!$C$9:$N$9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MASAKA-MBARARA-24H'!$C$108:$N$108</c:f>
              <c:numCache>
                <c:formatCode>0.00%</c:formatCode>
                <c:ptCount val="12"/>
                <c:pt idx="0">
                  <c:v>0.30323757409940721</c:v>
                </c:pt>
                <c:pt idx="1">
                  <c:v>0.12676698586411309</c:v>
                </c:pt>
                <c:pt idx="2">
                  <c:v>8.2535339717282261E-2</c:v>
                </c:pt>
                <c:pt idx="3">
                  <c:v>0.14181486548107616</c:v>
                </c:pt>
                <c:pt idx="4">
                  <c:v>9.575923392612859E-3</c:v>
                </c:pt>
                <c:pt idx="5">
                  <c:v>5.6543547651618786E-2</c:v>
                </c:pt>
                <c:pt idx="6">
                  <c:v>6.5663474692202461E-2</c:v>
                </c:pt>
                <c:pt idx="7">
                  <c:v>0.10305517555859553</c:v>
                </c:pt>
                <c:pt idx="8">
                  <c:v>9.5303237574099406E-2</c:v>
                </c:pt>
                <c:pt idx="9">
                  <c:v>1.5503875968992248E-2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'19.10 MBARARA-MASAKA-24H'!$AE$9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'19.10 MBARARA-MASAKA-24H'!$R$10:$R$33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MBARARA-MASAKA-24H'!$AE$10:$AE$33</c:f>
              <c:numCache>
                <c:formatCode>0</c:formatCode>
                <c:ptCount val="24"/>
                <c:pt idx="0">
                  <c:v>40</c:v>
                </c:pt>
                <c:pt idx="1">
                  <c:v>42</c:v>
                </c:pt>
                <c:pt idx="2">
                  <c:v>92</c:v>
                </c:pt>
                <c:pt idx="3">
                  <c:v>125</c:v>
                </c:pt>
                <c:pt idx="4">
                  <c:v>112</c:v>
                </c:pt>
                <c:pt idx="5">
                  <c:v>126</c:v>
                </c:pt>
                <c:pt idx="6">
                  <c:v>106</c:v>
                </c:pt>
                <c:pt idx="7">
                  <c:v>82</c:v>
                </c:pt>
                <c:pt idx="8">
                  <c:v>96</c:v>
                </c:pt>
                <c:pt idx="9">
                  <c:v>121</c:v>
                </c:pt>
                <c:pt idx="10">
                  <c:v>122</c:v>
                </c:pt>
                <c:pt idx="11">
                  <c:v>125</c:v>
                </c:pt>
                <c:pt idx="12">
                  <c:v>124</c:v>
                </c:pt>
                <c:pt idx="13">
                  <c:v>123</c:v>
                </c:pt>
                <c:pt idx="14">
                  <c:v>116</c:v>
                </c:pt>
                <c:pt idx="15">
                  <c:v>80</c:v>
                </c:pt>
                <c:pt idx="16">
                  <c:v>62</c:v>
                </c:pt>
                <c:pt idx="17">
                  <c:v>57</c:v>
                </c:pt>
                <c:pt idx="18">
                  <c:v>53</c:v>
                </c:pt>
                <c:pt idx="19">
                  <c:v>51</c:v>
                </c:pt>
                <c:pt idx="20">
                  <c:v>51</c:v>
                </c:pt>
                <c:pt idx="21">
                  <c:v>58</c:v>
                </c:pt>
                <c:pt idx="22">
                  <c:v>39</c:v>
                </c:pt>
                <c:pt idx="23">
                  <c:v>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'19.10 MBARARA-MASAKA-24H'!$AF$9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'19.10 MBARARA-MASAKA-24H'!$R$10:$R$33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MBARARA-MASAKA-24H'!$AF$10:$AF$33</c:f>
              <c:numCache>
                <c:formatCode>0</c:formatCode>
                <c:ptCount val="24"/>
                <c:pt idx="0">
                  <c:v>63</c:v>
                </c:pt>
                <c:pt idx="1">
                  <c:v>65</c:v>
                </c:pt>
                <c:pt idx="2">
                  <c:v>130</c:v>
                </c:pt>
                <c:pt idx="3">
                  <c:v>157</c:v>
                </c:pt>
                <c:pt idx="4">
                  <c:v>152</c:v>
                </c:pt>
                <c:pt idx="5">
                  <c:v>172</c:v>
                </c:pt>
                <c:pt idx="6">
                  <c:v>158</c:v>
                </c:pt>
                <c:pt idx="7">
                  <c:v>116</c:v>
                </c:pt>
                <c:pt idx="8">
                  <c:v>132</c:v>
                </c:pt>
                <c:pt idx="9">
                  <c:v>165</c:v>
                </c:pt>
                <c:pt idx="10">
                  <c:v>168</c:v>
                </c:pt>
                <c:pt idx="11">
                  <c:v>165</c:v>
                </c:pt>
                <c:pt idx="12">
                  <c:v>180</c:v>
                </c:pt>
                <c:pt idx="13">
                  <c:v>162</c:v>
                </c:pt>
                <c:pt idx="14">
                  <c:v>138</c:v>
                </c:pt>
                <c:pt idx="15">
                  <c:v>104</c:v>
                </c:pt>
                <c:pt idx="16">
                  <c:v>68</c:v>
                </c:pt>
                <c:pt idx="17">
                  <c:v>57</c:v>
                </c:pt>
                <c:pt idx="18">
                  <c:v>56</c:v>
                </c:pt>
                <c:pt idx="19">
                  <c:v>54</c:v>
                </c:pt>
                <c:pt idx="20">
                  <c:v>51</c:v>
                </c:pt>
                <c:pt idx="21">
                  <c:v>69</c:v>
                </c:pt>
                <c:pt idx="22">
                  <c:v>50</c:v>
                </c:pt>
                <c:pt idx="23">
                  <c:v>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38920240"/>
        <c:axId val="-1238917520"/>
      </c:lineChart>
      <c:catAx>
        <c:axId val="-1238920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38917520"/>
        <c:crosses val="autoZero"/>
        <c:auto val="1"/>
        <c:lblAlgn val="ctr"/>
        <c:lblOffset val="100"/>
        <c:noMultiLvlLbl val="0"/>
      </c:catAx>
      <c:valAx>
        <c:axId val="-12389175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3892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MBARARA-MASAKA-24H'!$C$9:$N$9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MBARARA-MASAKA-24H'!$C$107:$N$107</c:f>
              <c:numCache>
                <c:formatCode>0.0%</c:formatCode>
                <c:ptCount val="12"/>
                <c:pt idx="0">
                  <c:v>0.23187869822485208</c:v>
                </c:pt>
                <c:pt idx="1">
                  <c:v>9.3565088757396456E-2</c:v>
                </c:pt>
                <c:pt idx="2">
                  <c:v>5.7322485207100593E-2</c:v>
                </c:pt>
                <c:pt idx="3">
                  <c:v>0.11168639053254438</c:v>
                </c:pt>
                <c:pt idx="4">
                  <c:v>1.1834319526627219E-2</c:v>
                </c:pt>
                <c:pt idx="5">
                  <c:v>3.8091715976331361E-2</c:v>
                </c:pt>
                <c:pt idx="6">
                  <c:v>4.9926035502958578E-2</c:v>
                </c:pt>
                <c:pt idx="7">
                  <c:v>8.6168639053254434E-2</c:v>
                </c:pt>
                <c:pt idx="8">
                  <c:v>7.2485207100591711E-2</c:v>
                </c:pt>
                <c:pt idx="9">
                  <c:v>5.9171597633136093E-3</c:v>
                </c:pt>
                <c:pt idx="10">
                  <c:v>0.2411242603550296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MBARARA-MASAKA-24H'!$C$9:$N$9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MBARARA-MASAKA-24H'!$C$108:$N$108</c:f>
              <c:numCache>
                <c:formatCode>0.00%</c:formatCode>
                <c:ptCount val="12"/>
                <c:pt idx="0">
                  <c:v>0.30555555555555558</c:v>
                </c:pt>
                <c:pt idx="1">
                  <c:v>0.1232943469785575</c:v>
                </c:pt>
                <c:pt idx="2">
                  <c:v>7.5536062378167637E-2</c:v>
                </c:pt>
                <c:pt idx="3">
                  <c:v>0.14717348927875243</c:v>
                </c:pt>
                <c:pt idx="4">
                  <c:v>1.5594541910331383E-2</c:v>
                </c:pt>
                <c:pt idx="5">
                  <c:v>5.019493177387914E-2</c:v>
                </c:pt>
                <c:pt idx="6">
                  <c:v>6.5789473684210523E-2</c:v>
                </c:pt>
                <c:pt idx="7">
                  <c:v>0.11354775828460038</c:v>
                </c:pt>
                <c:pt idx="8">
                  <c:v>9.5516569200779722E-2</c:v>
                </c:pt>
                <c:pt idx="9">
                  <c:v>7.7972709551656916E-3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MASAKA-MBARARA'!$AE$9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'20.10 MASAKA-MBARARA'!$R$10:$R$21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MASAKA-MBARARA'!$AE$10:$AE$21</c:f>
              <c:numCache>
                <c:formatCode>0</c:formatCode>
                <c:ptCount val="12"/>
                <c:pt idx="0">
                  <c:v>63</c:v>
                </c:pt>
                <c:pt idx="1">
                  <c:v>89</c:v>
                </c:pt>
                <c:pt idx="2">
                  <c:v>94</c:v>
                </c:pt>
                <c:pt idx="3">
                  <c:v>103</c:v>
                </c:pt>
                <c:pt idx="4">
                  <c:v>101</c:v>
                </c:pt>
                <c:pt idx="5">
                  <c:v>86</c:v>
                </c:pt>
                <c:pt idx="6">
                  <c:v>96</c:v>
                </c:pt>
                <c:pt idx="7">
                  <c:v>103</c:v>
                </c:pt>
                <c:pt idx="8">
                  <c:v>104</c:v>
                </c:pt>
                <c:pt idx="9">
                  <c:v>105</c:v>
                </c:pt>
                <c:pt idx="10">
                  <c:v>141</c:v>
                </c:pt>
                <c:pt idx="11">
                  <c:v>151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'20.10 MASAKA-MBARARA'!$AF$9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'20.10 MASAKA-MBARARA'!$R$10:$R$21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MASAKA-MBARARA'!$AF$10:$AF$21</c:f>
              <c:numCache>
                <c:formatCode>0</c:formatCode>
                <c:ptCount val="12"/>
                <c:pt idx="0">
                  <c:v>94</c:v>
                </c:pt>
                <c:pt idx="1">
                  <c:v>127</c:v>
                </c:pt>
                <c:pt idx="2">
                  <c:v>139</c:v>
                </c:pt>
                <c:pt idx="3">
                  <c:v>137</c:v>
                </c:pt>
                <c:pt idx="4">
                  <c:v>125</c:v>
                </c:pt>
                <c:pt idx="5">
                  <c:v>126</c:v>
                </c:pt>
                <c:pt idx="6">
                  <c:v>142</c:v>
                </c:pt>
                <c:pt idx="7">
                  <c:v>150</c:v>
                </c:pt>
                <c:pt idx="8">
                  <c:v>132</c:v>
                </c:pt>
                <c:pt idx="9">
                  <c:v>174</c:v>
                </c:pt>
                <c:pt idx="10">
                  <c:v>214</c:v>
                </c:pt>
                <c:pt idx="11">
                  <c:v>230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02100480"/>
        <c:axId val="-1302090144"/>
      </c:lineChart>
      <c:catAx>
        <c:axId val="-13021004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302090144"/>
        <c:crosses val="autoZero"/>
        <c:auto val="1"/>
        <c:lblAlgn val="ctr"/>
        <c:lblOffset val="100"/>
        <c:noMultiLvlLbl val="0"/>
      </c:catAx>
      <c:valAx>
        <c:axId val="-13020901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30210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MASAKA-MBARARA'!$C$9:$N$9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MASAKA-MBARARA'!$C$59:$N$59</c:f>
              <c:numCache>
                <c:formatCode>0.0%</c:formatCode>
                <c:ptCount val="12"/>
                <c:pt idx="0">
                  <c:v>0.2240223463687151</c:v>
                </c:pt>
                <c:pt idx="1">
                  <c:v>0.11787709497206704</c:v>
                </c:pt>
                <c:pt idx="2">
                  <c:v>5.9776536312849161E-2</c:v>
                </c:pt>
                <c:pt idx="3">
                  <c:v>0.11675977653631285</c:v>
                </c:pt>
                <c:pt idx="4">
                  <c:v>3.3519553072625698E-3</c:v>
                </c:pt>
                <c:pt idx="5">
                  <c:v>3.0167597765363128E-2</c:v>
                </c:pt>
                <c:pt idx="6">
                  <c:v>3.7430167597765365E-2</c:v>
                </c:pt>
                <c:pt idx="7">
                  <c:v>3.5195530726256981E-2</c:v>
                </c:pt>
                <c:pt idx="8">
                  <c:v>2.1229050279329607E-2</c:v>
                </c:pt>
                <c:pt idx="9">
                  <c:v>4.4134078212290505E-2</c:v>
                </c:pt>
                <c:pt idx="10">
                  <c:v>0.30949720670391062</c:v>
                </c:pt>
                <c:pt idx="11">
                  <c:v>5.5865921787709492E-4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MASAKA-MBARARA'!$S$9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'20.10 MASAKA-MBARARA'!$R$10:$R$21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MASAKA-MBARARA'!$S$10:$S$21</c:f>
              <c:numCache>
                <c:formatCode>0</c:formatCode>
                <c:ptCount val="12"/>
                <c:pt idx="0">
                  <c:v>16</c:v>
                </c:pt>
                <c:pt idx="1">
                  <c:v>24</c:v>
                </c:pt>
                <c:pt idx="2">
                  <c:v>28</c:v>
                </c:pt>
                <c:pt idx="3">
                  <c:v>27</c:v>
                </c:pt>
                <c:pt idx="4">
                  <c:v>37</c:v>
                </c:pt>
                <c:pt idx="5">
                  <c:v>18</c:v>
                </c:pt>
                <c:pt idx="6">
                  <c:v>38</c:v>
                </c:pt>
                <c:pt idx="7">
                  <c:v>37</c:v>
                </c:pt>
                <c:pt idx="8">
                  <c:v>35</c:v>
                </c:pt>
                <c:pt idx="9">
                  <c:v>30</c:v>
                </c:pt>
                <c:pt idx="10">
                  <c:v>48</c:v>
                </c:pt>
                <c:pt idx="11">
                  <c:v>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'20.10 MASAKA-MBARARA'!$T$9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'20.10 MASAKA-MBARARA'!$R$10:$R$21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MASAKA-MBARARA'!$T$10:$T$21</c:f>
              <c:numCache>
                <c:formatCode>0</c:formatCode>
                <c:ptCount val="12"/>
                <c:pt idx="0">
                  <c:v>11</c:v>
                </c:pt>
                <c:pt idx="1">
                  <c:v>25</c:v>
                </c:pt>
                <c:pt idx="2">
                  <c:v>23</c:v>
                </c:pt>
                <c:pt idx="3">
                  <c:v>7</c:v>
                </c:pt>
                <c:pt idx="4">
                  <c:v>11</c:v>
                </c:pt>
                <c:pt idx="5">
                  <c:v>14</c:v>
                </c:pt>
                <c:pt idx="6">
                  <c:v>13</c:v>
                </c:pt>
                <c:pt idx="7">
                  <c:v>14</c:v>
                </c:pt>
                <c:pt idx="8">
                  <c:v>17</c:v>
                </c:pt>
                <c:pt idx="9">
                  <c:v>25</c:v>
                </c:pt>
                <c:pt idx="10">
                  <c:v>32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'20.10 MASAKA-MBARARA'!$U$9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'20.10 MASAKA-MBARARA'!$U$10:$U$21</c:f>
              <c:numCache>
                <c:formatCode>0</c:formatCode>
                <c:ptCount val="12"/>
                <c:pt idx="0">
                  <c:v>6</c:v>
                </c:pt>
                <c:pt idx="1">
                  <c:v>10</c:v>
                </c:pt>
                <c:pt idx="2">
                  <c:v>7</c:v>
                </c:pt>
                <c:pt idx="3">
                  <c:v>18</c:v>
                </c:pt>
                <c:pt idx="4">
                  <c:v>9</c:v>
                </c:pt>
                <c:pt idx="5">
                  <c:v>7</c:v>
                </c:pt>
                <c:pt idx="6">
                  <c:v>6</c:v>
                </c:pt>
                <c:pt idx="7">
                  <c:v>7</c:v>
                </c:pt>
                <c:pt idx="8">
                  <c:v>6</c:v>
                </c:pt>
                <c:pt idx="9">
                  <c:v>8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'20.10 MASAKA-MBARARA'!$V$9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'20.10 MASAKA-MBARARA'!$V$10:$V$21</c:f>
              <c:numCache>
                <c:formatCode>0</c:formatCode>
                <c:ptCount val="12"/>
                <c:pt idx="0">
                  <c:v>8</c:v>
                </c:pt>
                <c:pt idx="1">
                  <c:v>15</c:v>
                </c:pt>
                <c:pt idx="2">
                  <c:v>11</c:v>
                </c:pt>
                <c:pt idx="3">
                  <c:v>22</c:v>
                </c:pt>
                <c:pt idx="4">
                  <c:v>18</c:v>
                </c:pt>
                <c:pt idx="5">
                  <c:v>17</c:v>
                </c:pt>
                <c:pt idx="6">
                  <c:v>16</c:v>
                </c:pt>
                <c:pt idx="7">
                  <c:v>20</c:v>
                </c:pt>
                <c:pt idx="8">
                  <c:v>19</c:v>
                </c:pt>
                <c:pt idx="9">
                  <c:v>15</c:v>
                </c:pt>
                <c:pt idx="10">
                  <c:v>22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'20.10 MASAKA-MBARARA'!$W$9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'20.10 MASAKA-MBARARA'!$W$10:$W$21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'20.10 MASAKA-MBARARA'!$X$9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'20.10 MASAKA-MBARARA'!$X$10:$X$21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6</c:v>
                </c:pt>
                <c:pt idx="6">
                  <c:v>3</c:v>
                </c:pt>
                <c:pt idx="7">
                  <c:v>3</c:v>
                </c:pt>
                <c:pt idx="8">
                  <c:v>7</c:v>
                </c:pt>
                <c:pt idx="9">
                  <c:v>8</c:v>
                </c:pt>
                <c:pt idx="10">
                  <c:v>6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'20.10 MASAKA-MBARARA'!$Y$9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MASAKA-MBARARA'!$Y$10:$Y$21</c:f>
              <c:numCache>
                <c:formatCode>0</c:formatCode>
                <c:ptCount val="12"/>
                <c:pt idx="0">
                  <c:v>7</c:v>
                </c:pt>
                <c:pt idx="1">
                  <c:v>5</c:v>
                </c:pt>
                <c:pt idx="2">
                  <c:v>8</c:v>
                </c:pt>
                <c:pt idx="3">
                  <c:v>4</c:v>
                </c:pt>
                <c:pt idx="4">
                  <c:v>0</c:v>
                </c:pt>
                <c:pt idx="5">
                  <c:v>7</c:v>
                </c:pt>
                <c:pt idx="6">
                  <c:v>7</c:v>
                </c:pt>
                <c:pt idx="7">
                  <c:v>5</c:v>
                </c:pt>
                <c:pt idx="8">
                  <c:v>9</c:v>
                </c:pt>
                <c:pt idx="9">
                  <c:v>4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'20.10 MASAKA-MBARARA'!$Z$9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MASAKA-MBARARA'!$Z$10:$Z$21</c:f>
              <c:numCache>
                <c:formatCode>0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5</c:v>
                </c:pt>
                <c:pt idx="8">
                  <c:v>7</c:v>
                </c:pt>
                <c:pt idx="9">
                  <c:v>7</c:v>
                </c:pt>
                <c:pt idx="10">
                  <c:v>11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'20.10 MASAKA-MBARARA'!$AA$9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MASAKA-MBARARA'!$AA$10:$AA$21</c:f>
              <c:numCache>
                <c:formatCode>0</c:formatCode>
                <c:ptCount val="12"/>
                <c:pt idx="0">
                  <c:v>5</c:v>
                </c:pt>
                <c:pt idx="1">
                  <c:v>1</c:v>
                </c:pt>
                <c:pt idx="2">
                  <c:v>0</c:v>
                </c:pt>
                <c:pt idx="3">
                  <c:v>7</c:v>
                </c:pt>
                <c:pt idx="4">
                  <c:v>13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'20.10 MASAKA-MBARARA'!$AB$9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MASAKA-MBARARA'!$AB$10:$AB$21</c:f>
              <c:numCache>
                <c:formatCode>0</c:formatCode>
                <c:ptCount val="12"/>
                <c:pt idx="0">
                  <c:v>6</c:v>
                </c:pt>
                <c:pt idx="1">
                  <c:v>1</c:v>
                </c:pt>
                <c:pt idx="2">
                  <c:v>10</c:v>
                </c:pt>
                <c:pt idx="3">
                  <c:v>9</c:v>
                </c:pt>
                <c:pt idx="4">
                  <c:v>6</c:v>
                </c:pt>
                <c:pt idx="5">
                  <c:v>12</c:v>
                </c:pt>
                <c:pt idx="6">
                  <c:v>7</c:v>
                </c:pt>
                <c:pt idx="7">
                  <c:v>9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'20.10 MASAKA-MBARARA'!$AC$9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MASAKA-MBARARA'!$AC$10:$AC$21</c:f>
              <c:numCache>
                <c:formatCode>0</c:formatCode>
                <c:ptCount val="12"/>
                <c:pt idx="0">
                  <c:v>31</c:v>
                </c:pt>
                <c:pt idx="1">
                  <c:v>38</c:v>
                </c:pt>
                <c:pt idx="2">
                  <c:v>45</c:v>
                </c:pt>
                <c:pt idx="3">
                  <c:v>34</c:v>
                </c:pt>
                <c:pt idx="4">
                  <c:v>24</c:v>
                </c:pt>
                <c:pt idx="5">
                  <c:v>40</c:v>
                </c:pt>
                <c:pt idx="6">
                  <c:v>46</c:v>
                </c:pt>
                <c:pt idx="7">
                  <c:v>47</c:v>
                </c:pt>
                <c:pt idx="8">
                  <c:v>28</c:v>
                </c:pt>
                <c:pt idx="9">
                  <c:v>69</c:v>
                </c:pt>
                <c:pt idx="10">
                  <c:v>73</c:v>
                </c:pt>
                <c:pt idx="11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'20.10 MASAKA-MBARARA'!$AD$9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MASAKA-MBARARA'!$AD$10:$AD$21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02095040"/>
        <c:axId val="-1238909904"/>
      </c:lineChart>
      <c:catAx>
        <c:axId val="-130209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38909904"/>
        <c:crosses val="autoZero"/>
        <c:auto val="1"/>
        <c:lblAlgn val="ctr"/>
        <c:lblOffset val="100"/>
        <c:noMultiLvlLbl val="0"/>
      </c:catAx>
      <c:valAx>
        <c:axId val="-123890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30209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MASAKA-MBARARA'!$C$9:$N$9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MASAKA-MBARARA'!$C$60:$N$60</c:f>
              <c:numCache>
                <c:formatCode>0.00%</c:formatCode>
                <c:ptCount val="12"/>
                <c:pt idx="0">
                  <c:v>0.32443365695792881</c:v>
                </c:pt>
                <c:pt idx="1">
                  <c:v>0.17071197411003236</c:v>
                </c:pt>
                <c:pt idx="2">
                  <c:v>8.6569579288025889E-2</c:v>
                </c:pt>
                <c:pt idx="3">
                  <c:v>0.16909385113268607</c:v>
                </c:pt>
                <c:pt idx="4">
                  <c:v>4.8543689320388345E-3</c:v>
                </c:pt>
                <c:pt idx="5">
                  <c:v>4.3689320388349516E-2</c:v>
                </c:pt>
                <c:pt idx="6">
                  <c:v>5.4207119741100325E-2</c:v>
                </c:pt>
                <c:pt idx="7">
                  <c:v>5.0970873786407765E-2</c:v>
                </c:pt>
                <c:pt idx="8">
                  <c:v>3.0744336569579287E-2</c:v>
                </c:pt>
                <c:pt idx="9">
                  <c:v>6.3915857605177998E-2</c:v>
                </c:pt>
                <c:pt idx="11">
                  <c:v>8.090614886731392E-4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MBARARA-MASAKA'!$AE$9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'20.10 MBARARA-MASAKA'!$R$10:$R$21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MBARARA-MASAKA'!$AE$10:$AE$21</c:f>
              <c:numCache>
                <c:formatCode>0</c:formatCode>
                <c:ptCount val="12"/>
                <c:pt idx="0">
                  <c:v>50</c:v>
                </c:pt>
                <c:pt idx="1">
                  <c:v>68</c:v>
                </c:pt>
                <c:pt idx="2">
                  <c:v>70</c:v>
                </c:pt>
                <c:pt idx="3">
                  <c:v>97</c:v>
                </c:pt>
                <c:pt idx="4">
                  <c:v>153</c:v>
                </c:pt>
                <c:pt idx="5">
                  <c:v>168</c:v>
                </c:pt>
                <c:pt idx="6">
                  <c:v>197</c:v>
                </c:pt>
                <c:pt idx="7">
                  <c:v>188</c:v>
                </c:pt>
                <c:pt idx="8">
                  <c:v>167</c:v>
                </c:pt>
                <c:pt idx="9">
                  <c:v>157</c:v>
                </c:pt>
                <c:pt idx="10">
                  <c:v>200</c:v>
                </c:pt>
                <c:pt idx="11">
                  <c:v>205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'20.10 MBARARA-MASAKA'!$AF$9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'20.10 MBARARA-MASAKA'!$R$10:$R$21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MBARARA-MASAKA'!$AF$10:$AF$21</c:f>
              <c:numCache>
                <c:formatCode>0</c:formatCode>
                <c:ptCount val="12"/>
                <c:pt idx="0">
                  <c:v>102</c:v>
                </c:pt>
                <c:pt idx="1">
                  <c:v>108</c:v>
                </c:pt>
                <c:pt idx="2">
                  <c:v>121</c:v>
                </c:pt>
                <c:pt idx="3">
                  <c:v>162</c:v>
                </c:pt>
                <c:pt idx="4">
                  <c:v>187</c:v>
                </c:pt>
                <c:pt idx="5">
                  <c:v>231</c:v>
                </c:pt>
                <c:pt idx="6">
                  <c:v>265</c:v>
                </c:pt>
                <c:pt idx="7">
                  <c:v>254</c:v>
                </c:pt>
                <c:pt idx="8">
                  <c:v>205</c:v>
                </c:pt>
                <c:pt idx="9">
                  <c:v>220</c:v>
                </c:pt>
                <c:pt idx="10">
                  <c:v>298</c:v>
                </c:pt>
                <c:pt idx="11">
                  <c:v>319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38918064"/>
        <c:axId val="-1238913712"/>
      </c:lineChart>
      <c:catAx>
        <c:axId val="-12389180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38913712"/>
        <c:crosses val="autoZero"/>
        <c:auto val="1"/>
        <c:lblAlgn val="ctr"/>
        <c:lblOffset val="100"/>
        <c:noMultiLvlLbl val="0"/>
      </c:catAx>
      <c:valAx>
        <c:axId val="-1238913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3891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MBARARA-MASAKA'!$C$9:$N$9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MBARARA-MASAKA'!$C$59:$N$59</c:f>
              <c:numCache>
                <c:formatCode>0.0%</c:formatCode>
                <c:ptCount val="12"/>
                <c:pt idx="0">
                  <c:v>0.26537216828478966</c:v>
                </c:pt>
                <c:pt idx="1">
                  <c:v>0.12216828478964402</c:v>
                </c:pt>
                <c:pt idx="2">
                  <c:v>7.1601941747572811E-2</c:v>
                </c:pt>
                <c:pt idx="3">
                  <c:v>0.10477346278317153</c:v>
                </c:pt>
                <c:pt idx="4">
                  <c:v>4.4498381877022654E-3</c:v>
                </c:pt>
                <c:pt idx="5">
                  <c:v>2.4271844660194174E-2</c:v>
                </c:pt>
                <c:pt idx="6">
                  <c:v>2.4676375404530743E-2</c:v>
                </c:pt>
                <c:pt idx="7">
                  <c:v>3.5194174757281552E-2</c:v>
                </c:pt>
                <c:pt idx="8">
                  <c:v>3.1553398058252427E-2</c:v>
                </c:pt>
                <c:pt idx="9">
                  <c:v>1.1731391585760517E-2</c:v>
                </c:pt>
                <c:pt idx="10">
                  <c:v>0.30420711974110032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MBARARA-MASAKA'!$S$9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'20.10 MBARARA-MASAKA'!$R$10:$R$21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MBARARA-MASAKA'!$S$10:$S$21</c:f>
              <c:numCache>
                <c:formatCode>0</c:formatCode>
                <c:ptCount val="12"/>
                <c:pt idx="0">
                  <c:v>22</c:v>
                </c:pt>
                <c:pt idx="1">
                  <c:v>26</c:v>
                </c:pt>
                <c:pt idx="2">
                  <c:v>23</c:v>
                </c:pt>
                <c:pt idx="3">
                  <c:v>45</c:v>
                </c:pt>
                <c:pt idx="4">
                  <c:v>55</c:v>
                </c:pt>
                <c:pt idx="5">
                  <c:v>63</c:v>
                </c:pt>
                <c:pt idx="6">
                  <c:v>77</c:v>
                </c:pt>
                <c:pt idx="7">
                  <c:v>75</c:v>
                </c:pt>
                <c:pt idx="8">
                  <c:v>53</c:v>
                </c:pt>
                <c:pt idx="9">
                  <c:v>62</c:v>
                </c:pt>
                <c:pt idx="10">
                  <c:v>65</c:v>
                </c:pt>
                <c:pt idx="11">
                  <c:v>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'20.10 MBARARA-MASAKA'!$T$9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'20.10 MBARARA-MASAKA'!$R$10:$R$21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MBARARA-MASAKA'!$T$10:$T$21</c:f>
              <c:numCache>
                <c:formatCode>0</c:formatCode>
                <c:ptCount val="12"/>
                <c:pt idx="0">
                  <c:v>8</c:v>
                </c:pt>
                <c:pt idx="1">
                  <c:v>7</c:v>
                </c:pt>
                <c:pt idx="2">
                  <c:v>12</c:v>
                </c:pt>
                <c:pt idx="3">
                  <c:v>16</c:v>
                </c:pt>
                <c:pt idx="4">
                  <c:v>29</c:v>
                </c:pt>
                <c:pt idx="5">
                  <c:v>35</c:v>
                </c:pt>
                <c:pt idx="6">
                  <c:v>37</c:v>
                </c:pt>
                <c:pt idx="7">
                  <c:v>46</c:v>
                </c:pt>
                <c:pt idx="8">
                  <c:v>30</c:v>
                </c:pt>
                <c:pt idx="9">
                  <c:v>28</c:v>
                </c:pt>
                <c:pt idx="10">
                  <c:v>33</c:v>
                </c:pt>
                <c:pt idx="11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'20.10 MBARARA-MASAKA'!$U$9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'20.10 MBARARA-MASAKA'!$U$10:$U$21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3</c:v>
                </c:pt>
                <c:pt idx="4">
                  <c:v>14</c:v>
                </c:pt>
                <c:pt idx="5">
                  <c:v>15</c:v>
                </c:pt>
                <c:pt idx="6">
                  <c:v>20</c:v>
                </c:pt>
                <c:pt idx="7">
                  <c:v>18</c:v>
                </c:pt>
                <c:pt idx="8">
                  <c:v>21</c:v>
                </c:pt>
                <c:pt idx="9">
                  <c:v>16</c:v>
                </c:pt>
                <c:pt idx="10">
                  <c:v>38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'20.10 MBARARA-MASAKA'!$V$9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'20.10 MBARARA-MASAKA'!$V$10:$V$21</c:f>
              <c:numCache>
                <c:formatCode>0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17</c:v>
                </c:pt>
                <c:pt idx="3">
                  <c:v>16</c:v>
                </c:pt>
                <c:pt idx="4">
                  <c:v>23</c:v>
                </c:pt>
                <c:pt idx="5">
                  <c:v>26</c:v>
                </c:pt>
                <c:pt idx="6">
                  <c:v>26</c:v>
                </c:pt>
                <c:pt idx="7">
                  <c:v>22</c:v>
                </c:pt>
                <c:pt idx="8">
                  <c:v>26</c:v>
                </c:pt>
                <c:pt idx="9">
                  <c:v>22</c:v>
                </c:pt>
                <c:pt idx="10">
                  <c:v>24</c:v>
                </c:pt>
                <c:pt idx="1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'20.10 MBARARA-MASAKA'!$W$9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'20.10 MBARARA-MASAKA'!$W$10:$W$21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4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'20.10 MBARARA-MASAKA'!$X$9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'20.10 MBARARA-MASAKA'!$X$10:$X$21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4</c:v>
                </c:pt>
                <c:pt idx="6">
                  <c:v>11</c:v>
                </c:pt>
                <c:pt idx="7">
                  <c:v>10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'20.10 MBARARA-MASAKA'!$Y$9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MBARARA-MASAKA'!$Y$10:$Y$21</c:f>
              <c:numCache>
                <c:formatCode>0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7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8</c:v>
                </c:pt>
                <c:pt idx="9">
                  <c:v>2</c:v>
                </c:pt>
                <c:pt idx="10">
                  <c:v>6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'20.10 MBARARA-MASAKA'!$Z$9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MBARARA-MASAKA'!$Z$10:$Z$21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7</c:v>
                </c:pt>
                <c:pt idx="5">
                  <c:v>12</c:v>
                </c:pt>
                <c:pt idx="6">
                  <c:v>12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11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'20.10 MBARARA-MASAKA'!$AA$9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MBARARA-MASAKA'!$AA$10:$AA$21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9</c:v>
                </c:pt>
                <c:pt idx="4">
                  <c:v>1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9</c:v>
                </c:pt>
                <c:pt idx="9">
                  <c:v>11</c:v>
                </c:pt>
                <c:pt idx="10">
                  <c:v>13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'20.10 MBARARA-MASAKA'!$AB$9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MBARARA-MASAKA'!$AB$10:$AB$21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9</c:v>
                </c:pt>
                <c:pt idx="5">
                  <c:v>5</c:v>
                </c:pt>
                <c:pt idx="6">
                  <c:v>0</c:v>
                </c:pt>
                <c:pt idx="7">
                  <c:v>2</c:v>
                </c:pt>
                <c:pt idx="8">
                  <c:v>6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'20.10 MBARARA-MASAKA'!$AC$9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MBARARA-MASAKA'!$AC$10:$AC$21</c:f>
              <c:numCache>
                <c:formatCode>0</c:formatCode>
                <c:ptCount val="12"/>
                <c:pt idx="0">
                  <c:v>52</c:v>
                </c:pt>
                <c:pt idx="1">
                  <c:v>40</c:v>
                </c:pt>
                <c:pt idx="2">
                  <c:v>51</c:v>
                </c:pt>
                <c:pt idx="3">
                  <c:v>65</c:v>
                </c:pt>
                <c:pt idx="4">
                  <c:v>34</c:v>
                </c:pt>
                <c:pt idx="5">
                  <c:v>63</c:v>
                </c:pt>
                <c:pt idx="6">
                  <c:v>68</c:v>
                </c:pt>
                <c:pt idx="7">
                  <c:v>66</c:v>
                </c:pt>
                <c:pt idx="8">
                  <c:v>38</c:v>
                </c:pt>
                <c:pt idx="9">
                  <c:v>63</c:v>
                </c:pt>
                <c:pt idx="10">
                  <c:v>98</c:v>
                </c:pt>
                <c:pt idx="11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'20.10 MBARARA-MASAKA'!$AD$9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MBARARA-MASAKA'!$AD$10:$AD$21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38914256"/>
        <c:axId val="-1238912624"/>
      </c:lineChart>
      <c:catAx>
        <c:axId val="-12389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38912624"/>
        <c:crosses val="autoZero"/>
        <c:auto val="1"/>
        <c:lblAlgn val="ctr"/>
        <c:lblOffset val="100"/>
        <c:noMultiLvlLbl val="0"/>
      </c:catAx>
      <c:valAx>
        <c:axId val="-123891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3891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MBARARA-MASAKA'!$C$9:$N$9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MBARARA-MASAKA'!$C$60:$N$60</c:f>
              <c:numCache>
                <c:formatCode>0.00%</c:formatCode>
                <c:ptCount val="12"/>
                <c:pt idx="0">
                  <c:v>0.38139534883720932</c:v>
                </c:pt>
                <c:pt idx="1">
                  <c:v>0.17558139534883721</c:v>
                </c:pt>
                <c:pt idx="2">
                  <c:v>0.10290697674418604</c:v>
                </c:pt>
                <c:pt idx="3">
                  <c:v>0.15058139534883722</c:v>
                </c:pt>
                <c:pt idx="4">
                  <c:v>6.3953488372093022E-3</c:v>
                </c:pt>
                <c:pt idx="5">
                  <c:v>3.4883720930232558E-2</c:v>
                </c:pt>
                <c:pt idx="6">
                  <c:v>3.5465116279069765E-2</c:v>
                </c:pt>
                <c:pt idx="7">
                  <c:v>5.058139534883721E-2</c:v>
                </c:pt>
                <c:pt idx="8">
                  <c:v>4.5348837209302328E-2</c:v>
                </c:pt>
                <c:pt idx="9">
                  <c:v>1.6860465116279071E-2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'21.10 MASAKA-MBARARA'!$AE$9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'21.10 MASAKA-MBARARA'!$R$10:$R$21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MASAKA-MBARARA'!$AE$10:$AE$21</c:f>
              <c:numCache>
                <c:formatCode>0</c:formatCode>
                <c:ptCount val="12"/>
                <c:pt idx="0">
                  <c:v>75</c:v>
                </c:pt>
                <c:pt idx="1">
                  <c:v>95</c:v>
                </c:pt>
                <c:pt idx="2">
                  <c:v>81</c:v>
                </c:pt>
                <c:pt idx="3">
                  <c:v>115</c:v>
                </c:pt>
                <c:pt idx="4">
                  <c:v>86</c:v>
                </c:pt>
                <c:pt idx="5">
                  <c:v>91</c:v>
                </c:pt>
                <c:pt idx="6">
                  <c:v>110</c:v>
                </c:pt>
                <c:pt idx="7">
                  <c:v>131</c:v>
                </c:pt>
                <c:pt idx="8">
                  <c:v>118</c:v>
                </c:pt>
                <c:pt idx="9">
                  <c:v>108</c:v>
                </c:pt>
                <c:pt idx="10">
                  <c:v>111</c:v>
                </c:pt>
                <c:pt idx="11">
                  <c:v>130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'21.10 MASAKA-MBARARA'!$AF$9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'21.10 MASAKA-MBARARA'!$R$10:$R$21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MASAKA-MBARARA'!$AF$10:$AF$21</c:f>
              <c:numCache>
                <c:formatCode>0</c:formatCode>
                <c:ptCount val="12"/>
                <c:pt idx="0">
                  <c:v>149</c:v>
                </c:pt>
                <c:pt idx="1">
                  <c:v>167</c:v>
                </c:pt>
                <c:pt idx="2">
                  <c:v>143</c:v>
                </c:pt>
                <c:pt idx="3">
                  <c:v>203</c:v>
                </c:pt>
                <c:pt idx="4">
                  <c:v>139</c:v>
                </c:pt>
                <c:pt idx="5">
                  <c:v>158</c:v>
                </c:pt>
                <c:pt idx="6">
                  <c:v>215</c:v>
                </c:pt>
                <c:pt idx="7">
                  <c:v>220</c:v>
                </c:pt>
                <c:pt idx="8">
                  <c:v>223</c:v>
                </c:pt>
                <c:pt idx="9">
                  <c:v>204</c:v>
                </c:pt>
                <c:pt idx="10">
                  <c:v>179</c:v>
                </c:pt>
                <c:pt idx="11">
                  <c:v>223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02104288"/>
        <c:axId val="-1302104832"/>
      </c:lineChart>
      <c:catAx>
        <c:axId val="-1302104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302104832"/>
        <c:crosses val="autoZero"/>
        <c:auto val="1"/>
        <c:lblAlgn val="ctr"/>
        <c:lblOffset val="100"/>
        <c:noMultiLvlLbl val="0"/>
      </c:catAx>
      <c:valAx>
        <c:axId val="-13021048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30210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MASAKA-MBARARA'!$C$9:$N$9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MASAKA-MBARARA'!$C$59:$N$59</c:f>
              <c:numCache>
                <c:formatCode>0.0%</c:formatCode>
                <c:ptCount val="12"/>
                <c:pt idx="0">
                  <c:v>0.1938821412505623</c:v>
                </c:pt>
                <c:pt idx="1">
                  <c:v>7.1524966261808362E-2</c:v>
                </c:pt>
                <c:pt idx="2">
                  <c:v>5.6680161943319839E-2</c:v>
                </c:pt>
                <c:pt idx="3">
                  <c:v>0.10166441745389114</c:v>
                </c:pt>
                <c:pt idx="4">
                  <c:v>4.9482681061628429E-3</c:v>
                </c:pt>
                <c:pt idx="5">
                  <c:v>2.7890238416554206E-2</c:v>
                </c:pt>
                <c:pt idx="6">
                  <c:v>3.7786774628879895E-2</c:v>
                </c:pt>
                <c:pt idx="7">
                  <c:v>3.5087719298245612E-2</c:v>
                </c:pt>
                <c:pt idx="8">
                  <c:v>3.1938821412505626E-2</c:v>
                </c:pt>
                <c:pt idx="9">
                  <c:v>1.3495276653171389E-3</c:v>
                </c:pt>
                <c:pt idx="10">
                  <c:v>0.43724696356275305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'21.10 MASAKA-MBARARA'!$S$9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'21.10 MASAKA-MBARARA'!$R$10:$R$21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MASAKA-MBARARA'!$S$10:$S$21</c:f>
              <c:numCache>
                <c:formatCode>0</c:formatCode>
                <c:ptCount val="12"/>
                <c:pt idx="0">
                  <c:v>30</c:v>
                </c:pt>
                <c:pt idx="1">
                  <c:v>27</c:v>
                </c:pt>
                <c:pt idx="2">
                  <c:v>32</c:v>
                </c:pt>
                <c:pt idx="3">
                  <c:v>29</c:v>
                </c:pt>
                <c:pt idx="4">
                  <c:v>34</c:v>
                </c:pt>
                <c:pt idx="5">
                  <c:v>20</c:v>
                </c:pt>
                <c:pt idx="6">
                  <c:v>50</c:v>
                </c:pt>
                <c:pt idx="7">
                  <c:v>42</c:v>
                </c:pt>
                <c:pt idx="8">
                  <c:v>37</c:v>
                </c:pt>
                <c:pt idx="9">
                  <c:v>39</c:v>
                </c:pt>
                <c:pt idx="10">
                  <c:v>45</c:v>
                </c:pt>
                <c:pt idx="11">
                  <c:v>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'21.10 MASAKA-MBARARA'!$T$9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'21.10 MASAKA-MBARARA'!$R$10:$R$21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MASAKA-MBARARA'!$T$10:$T$21</c:f>
              <c:numCache>
                <c:formatCode>0</c:formatCode>
                <c:ptCount val="12"/>
                <c:pt idx="0">
                  <c:v>12</c:v>
                </c:pt>
                <c:pt idx="1">
                  <c:v>9</c:v>
                </c:pt>
                <c:pt idx="2">
                  <c:v>14</c:v>
                </c:pt>
                <c:pt idx="3">
                  <c:v>22</c:v>
                </c:pt>
                <c:pt idx="4">
                  <c:v>8</c:v>
                </c:pt>
                <c:pt idx="5">
                  <c:v>16</c:v>
                </c:pt>
                <c:pt idx="6">
                  <c:v>12</c:v>
                </c:pt>
                <c:pt idx="7">
                  <c:v>21</c:v>
                </c:pt>
                <c:pt idx="8">
                  <c:v>17</c:v>
                </c:pt>
                <c:pt idx="9">
                  <c:v>8</c:v>
                </c:pt>
                <c:pt idx="10">
                  <c:v>8</c:v>
                </c:pt>
                <c:pt idx="11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'21.10 MASAKA-MBARARA'!$U$9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'21.10 MASAKA-MBARARA'!$U$10:$U$21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6</c:v>
                </c:pt>
                <c:pt idx="3">
                  <c:v>15</c:v>
                </c:pt>
                <c:pt idx="4">
                  <c:v>10</c:v>
                </c:pt>
                <c:pt idx="5">
                  <c:v>14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13</c:v>
                </c:pt>
                <c:pt idx="10">
                  <c:v>8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'21.10 MASAKA-MBARARA'!$V$9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'21.10 MASAKA-MBARARA'!$V$10:$V$21</c:f>
              <c:numCache>
                <c:formatCode>0</c:formatCode>
                <c:ptCount val="12"/>
                <c:pt idx="0">
                  <c:v>11</c:v>
                </c:pt>
                <c:pt idx="1">
                  <c:v>16</c:v>
                </c:pt>
                <c:pt idx="2">
                  <c:v>15</c:v>
                </c:pt>
                <c:pt idx="3">
                  <c:v>18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26</c:v>
                </c:pt>
                <c:pt idx="8">
                  <c:v>21</c:v>
                </c:pt>
                <c:pt idx="9">
                  <c:v>21</c:v>
                </c:pt>
                <c:pt idx="10">
                  <c:v>16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'21.10 MASAKA-MBARARA'!$W$9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'21.10 MASAKA-MBARARA'!$W$10:$W$21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'21.10 MASAKA-MBARARA'!$X$9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'21.10 MASAKA-MBARARA'!$X$10:$X$21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7</c:v>
                </c:pt>
                <c:pt idx="8">
                  <c:v>9</c:v>
                </c:pt>
                <c:pt idx="9">
                  <c:v>10</c:v>
                </c:pt>
                <c:pt idx="10">
                  <c:v>4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'21.10 MASAKA-MBARARA'!$Y$9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MASAKA-MBARARA'!$Y$10:$Y$21</c:f>
              <c:numCache>
                <c:formatCode>0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3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9</c:v>
                </c:pt>
                <c:pt idx="8">
                  <c:v>7</c:v>
                </c:pt>
                <c:pt idx="9">
                  <c:v>4</c:v>
                </c:pt>
                <c:pt idx="10">
                  <c:v>11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'21.10 MASAKA-MBARARA'!$Z$9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MASAKA-MBARARA'!$Z$10:$Z$21</c:f>
              <c:numCache>
                <c:formatCode>0</c:formatCode>
                <c:ptCount val="12"/>
                <c:pt idx="0">
                  <c:v>3</c:v>
                </c:pt>
                <c:pt idx="1">
                  <c:v>13</c:v>
                </c:pt>
                <c:pt idx="2">
                  <c:v>4</c:v>
                </c:pt>
                <c:pt idx="3">
                  <c:v>13</c:v>
                </c:pt>
                <c:pt idx="4">
                  <c:v>1</c:v>
                </c:pt>
                <c:pt idx="5">
                  <c:v>4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  <c:pt idx="9">
                  <c:v>7</c:v>
                </c:pt>
                <c:pt idx="10">
                  <c:v>9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'21.10 MASAKA-MBARARA'!$AA$9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MASAKA-MBARARA'!$AA$10:$AA$21</c:f>
              <c:numCache>
                <c:formatCode>0</c:formatCode>
                <c:ptCount val="12"/>
                <c:pt idx="0">
                  <c:v>3</c:v>
                </c:pt>
                <c:pt idx="1">
                  <c:v>10</c:v>
                </c:pt>
                <c:pt idx="2">
                  <c:v>3</c:v>
                </c:pt>
                <c:pt idx="3">
                  <c:v>9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9</c:v>
                </c:pt>
                <c:pt idx="8">
                  <c:v>7</c:v>
                </c:pt>
                <c:pt idx="9">
                  <c:v>5</c:v>
                </c:pt>
                <c:pt idx="10">
                  <c:v>10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'21.10 MASAKA-MBARARA'!$AB$9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MASAKA-MBARARA'!$AB$10:$AB$21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'21.10 MASAKA-MBARARA'!$AC$9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MASAKA-MBARARA'!$AC$10:$AC$21</c:f>
              <c:numCache>
                <c:formatCode>0</c:formatCode>
                <c:ptCount val="12"/>
                <c:pt idx="0">
                  <c:v>74</c:v>
                </c:pt>
                <c:pt idx="1">
                  <c:v>72</c:v>
                </c:pt>
                <c:pt idx="2">
                  <c:v>62</c:v>
                </c:pt>
                <c:pt idx="3">
                  <c:v>88</c:v>
                </c:pt>
                <c:pt idx="4">
                  <c:v>53</c:v>
                </c:pt>
                <c:pt idx="5">
                  <c:v>67</c:v>
                </c:pt>
                <c:pt idx="6">
                  <c:v>105</c:v>
                </c:pt>
                <c:pt idx="7">
                  <c:v>89</c:v>
                </c:pt>
                <c:pt idx="8">
                  <c:v>105</c:v>
                </c:pt>
                <c:pt idx="9">
                  <c:v>96</c:v>
                </c:pt>
                <c:pt idx="10">
                  <c:v>68</c:v>
                </c:pt>
                <c:pt idx="11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'21.10 MASAKA-MBARARA'!$AD$9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MASAKA-MBARARA'!$AD$10:$AD$21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02094496"/>
        <c:axId val="-1302099936"/>
      </c:lineChart>
      <c:catAx>
        <c:axId val="-130209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302099936"/>
        <c:crosses val="autoZero"/>
        <c:auto val="1"/>
        <c:lblAlgn val="ctr"/>
        <c:lblOffset val="100"/>
        <c:noMultiLvlLbl val="0"/>
      </c:catAx>
      <c:valAx>
        <c:axId val="-130209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30209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MASAKA-MBARARA'!$C$9:$N$9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MASAKA-MBARARA'!$C$60:$N$60</c:f>
              <c:numCache>
                <c:formatCode>0.00%</c:formatCode>
                <c:ptCount val="12"/>
                <c:pt idx="0">
                  <c:v>0.34452438049560352</c:v>
                </c:pt>
                <c:pt idx="1">
                  <c:v>0.12709832134292565</c:v>
                </c:pt>
                <c:pt idx="2">
                  <c:v>0.10071942446043165</c:v>
                </c:pt>
                <c:pt idx="3">
                  <c:v>0.1806554756195044</c:v>
                </c:pt>
                <c:pt idx="4">
                  <c:v>8.7929656274980013E-3</c:v>
                </c:pt>
                <c:pt idx="5">
                  <c:v>4.9560351718625099E-2</c:v>
                </c:pt>
                <c:pt idx="6">
                  <c:v>6.7146282973621102E-2</c:v>
                </c:pt>
                <c:pt idx="7">
                  <c:v>6.235011990407674E-2</c:v>
                </c:pt>
                <c:pt idx="8">
                  <c:v>5.675459632294165E-2</c:v>
                </c:pt>
                <c:pt idx="9">
                  <c:v>2.3980815347721821E-3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'21.10 MBARARA- MASAKA'!$AE$9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'21.10 MBARARA- 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MBARARA- MASAKA'!$AE$10:$AE$21</c:f>
              <c:numCache>
                <c:formatCode>0</c:formatCode>
                <c:ptCount val="12"/>
                <c:pt idx="0">
                  <c:v>62</c:v>
                </c:pt>
                <c:pt idx="1">
                  <c:v>66</c:v>
                </c:pt>
                <c:pt idx="2">
                  <c:v>90</c:v>
                </c:pt>
                <c:pt idx="3">
                  <c:v>91</c:v>
                </c:pt>
                <c:pt idx="4">
                  <c:v>99</c:v>
                </c:pt>
                <c:pt idx="5">
                  <c:v>114</c:v>
                </c:pt>
                <c:pt idx="6">
                  <c:v>99</c:v>
                </c:pt>
                <c:pt idx="7">
                  <c:v>107</c:v>
                </c:pt>
                <c:pt idx="8">
                  <c:v>124</c:v>
                </c:pt>
                <c:pt idx="9">
                  <c:v>119</c:v>
                </c:pt>
                <c:pt idx="10">
                  <c:v>158</c:v>
                </c:pt>
                <c:pt idx="11">
                  <c:v>173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'21.10 MBARARA- MASAKA'!$AF$9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'21.10 MBARARA- 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MBARARA- MASAKA'!$AF$10:$AF$21</c:f>
              <c:numCache>
                <c:formatCode>0</c:formatCode>
                <c:ptCount val="12"/>
                <c:pt idx="0">
                  <c:v>159</c:v>
                </c:pt>
                <c:pt idx="1">
                  <c:v>153</c:v>
                </c:pt>
                <c:pt idx="2">
                  <c:v>191</c:v>
                </c:pt>
                <c:pt idx="3">
                  <c:v>184</c:v>
                </c:pt>
                <c:pt idx="4">
                  <c:v>169</c:v>
                </c:pt>
                <c:pt idx="5">
                  <c:v>174</c:v>
                </c:pt>
                <c:pt idx="6">
                  <c:v>216</c:v>
                </c:pt>
                <c:pt idx="7">
                  <c:v>206</c:v>
                </c:pt>
                <c:pt idx="8">
                  <c:v>233</c:v>
                </c:pt>
                <c:pt idx="9">
                  <c:v>237</c:v>
                </c:pt>
                <c:pt idx="10">
                  <c:v>253</c:v>
                </c:pt>
                <c:pt idx="11">
                  <c:v>290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00276352"/>
        <c:axId val="-1400288320"/>
      </c:lineChart>
      <c:catAx>
        <c:axId val="-14002763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400288320"/>
        <c:crosses val="autoZero"/>
        <c:auto val="1"/>
        <c:lblAlgn val="ctr"/>
        <c:lblOffset val="100"/>
        <c:noMultiLvlLbl val="0"/>
      </c:catAx>
      <c:valAx>
        <c:axId val="-14002883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40027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MBARARA- 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MBARARA- MASAKA'!$C$59:$N$59</c:f>
              <c:numCache>
                <c:formatCode>0.0%</c:formatCode>
                <c:ptCount val="12"/>
                <c:pt idx="0">
                  <c:v>0.18620689655172415</c:v>
                </c:pt>
                <c:pt idx="1">
                  <c:v>7.1399594320486814E-2</c:v>
                </c:pt>
                <c:pt idx="2">
                  <c:v>4.9492900608519269E-2</c:v>
                </c:pt>
                <c:pt idx="3">
                  <c:v>0.10020283975659229</c:v>
                </c:pt>
                <c:pt idx="4">
                  <c:v>2.434077079107505E-3</c:v>
                </c:pt>
                <c:pt idx="5">
                  <c:v>2.5557809330628803E-2</c:v>
                </c:pt>
                <c:pt idx="6">
                  <c:v>3.204868154158215E-2</c:v>
                </c:pt>
                <c:pt idx="7">
                  <c:v>3.0831643002028397E-2</c:v>
                </c:pt>
                <c:pt idx="8">
                  <c:v>2.7586206896551724E-2</c:v>
                </c:pt>
                <c:pt idx="9">
                  <c:v>2.434077079107505E-3</c:v>
                </c:pt>
                <c:pt idx="10">
                  <c:v>0.47180527383367138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'21.10 MBARARA- MASAKA'!$S$9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'21.10 MBARARA- 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MBARARA- MASAKA'!$S$10:$S$21</c:f>
              <c:numCache>
                <c:formatCode>0</c:formatCode>
                <c:ptCount val="12"/>
                <c:pt idx="0">
                  <c:v>21</c:v>
                </c:pt>
                <c:pt idx="1">
                  <c:v>21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37</c:v>
                </c:pt>
                <c:pt idx="6">
                  <c:v>43</c:v>
                </c:pt>
                <c:pt idx="7">
                  <c:v>36</c:v>
                </c:pt>
                <c:pt idx="8">
                  <c:v>46</c:v>
                </c:pt>
                <c:pt idx="9">
                  <c:v>49</c:v>
                </c:pt>
                <c:pt idx="10">
                  <c:v>61</c:v>
                </c:pt>
                <c:pt idx="11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'21.10 MBARARA- MASAKA'!$T$9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'21.10 MBARARA- 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'21.10 MBARARA- MASAKA'!$T$10:$T$21</c:f>
              <c:numCache>
                <c:formatCode>0</c:formatCode>
                <c:ptCount val="12"/>
                <c:pt idx="0">
                  <c:v>7</c:v>
                </c:pt>
                <c:pt idx="1">
                  <c:v>6</c:v>
                </c:pt>
                <c:pt idx="2">
                  <c:v>10</c:v>
                </c:pt>
                <c:pt idx="3">
                  <c:v>13</c:v>
                </c:pt>
                <c:pt idx="4">
                  <c:v>21</c:v>
                </c:pt>
                <c:pt idx="5">
                  <c:v>22</c:v>
                </c:pt>
                <c:pt idx="6">
                  <c:v>6</c:v>
                </c:pt>
                <c:pt idx="7">
                  <c:v>15</c:v>
                </c:pt>
                <c:pt idx="8">
                  <c:v>26</c:v>
                </c:pt>
                <c:pt idx="9">
                  <c:v>16</c:v>
                </c:pt>
                <c:pt idx="10">
                  <c:v>13</c:v>
                </c:pt>
                <c:pt idx="11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'21.10 MBARARA- MASAKA'!$U$9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'21.10 MBARARA- MASAKA'!$U$10:$U$21</c:f>
              <c:numCache>
                <c:formatCode>0</c:formatCode>
                <c:ptCount val="12"/>
                <c:pt idx="0">
                  <c:v>5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7</c:v>
                </c:pt>
                <c:pt idx="5">
                  <c:v>12</c:v>
                </c:pt>
                <c:pt idx="6">
                  <c:v>8</c:v>
                </c:pt>
                <c:pt idx="7">
                  <c:v>9</c:v>
                </c:pt>
                <c:pt idx="8">
                  <c:v>11</c:v>
                </c:pt>
                <c:pt idx="9">
                  <c:v>13</c:v>
                </c:pt>
                <c:pt idx="10">
                  <c:v>15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'21.10 MBARARA- MASAKA'!$V$9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'21.10 MBARARA- MASAKA'!$V$10:$V$21</c:f>
              <c:numCache>
                <c:formatCode>0</c:formatCode>
                <c:ptCount val="12"/>
                <c:pt idx="0">
                  <c:v>13</c:v>
                </c:pt>
                <c:pt idx="1">
                  <c:v>15</c:v>
                </c:pt>
                <c:pt idx="2">
                  <c:v>25</c:v>
                </c:pt>
                <c:pt idx="3">
                  <c:v>20</c:v>
                </c:pt>
                <c:pt idx="4">
                  <c:v>17</c:v>
                </c:pt>
                <c:pt idx="5">
                  <c:v>33</c:v>
                </c:pt>
                <c:pt idx="6">
                  <c:v>22</c:v>
                </c:pt>
                <c:pt idx="7">
                  <c:v>23</c:v>
                </c:pt>
                <c:pt idx="8">
                  <c:v>14</c:v>
                </c:pt>
                <c:pt idx="9">
                  <c:v>16</c:v>
                </c:pt>
                <c:pt idx="10">
                  <c:v>23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'21.10 MBARARA- MASAKA'!$W$9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'21.10 MBARARA- MASAKA'!$W$10:$W$21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'21.10 MBARARA- MASAKA'!$X$9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'21.10 MBARARA- MASAKA'!$X$10:$X$21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5</c:v>
                </c:pt>
                <c:pt idx="6">
                  <c:v>9</c:v>
                </c:pt>
                <c:pt idx="7">
                  <c:v>7</c:v>
                </c:pt>
                <c:pt idx="8">
                  <c:v>5</c:v>
                </c:pt>
                <c:pt idx="9">
                  <c:v>4</c:v>
                </c:pt>
                <c:pt idx="10">
                  <c:v>8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'21.10 MBARARA- MASAKA'!$Y$9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MBARARA- MASAKA'!$Y$10:$Y$21</c:f>
              <c:numCache>
                <c:formatCode>0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4</c:v>
                </c:pt>
                <c:pt idx="3">
                  <c:v>5</c:v>
                </c:pt>
                <c:pt idx="4">
                  <c:v>9</c:v>
                </c:pt>
                <c:pt idx="5">
                  <c:v>1</c:v>
                </c:pt>
                <c:pt idx="6">
                  <c:v>8</c:v>
                </c:pt>
                <c:pt idx="7">
                  <c:v>9</c:v>
                </c:pt>
                <c:pt idx="8">
                  <c:v>5</c:v>
                </c:pt>
                <c:pt idx="9">
                  <c:v>5</c:v>
                </c:pt>
                <c:pt idx="10">
                  <c:v>12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'21.10 MBARARA- MASAKA'!$Z$9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MBARARA- MASAKA'!$Z$10:$Z$21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16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'21.10 MBARARA- MASAKA'!$AA$9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MBARARA- MASAKA'!$AA$10:$AA$21</c:f>
              <c:numCache>
                <c:formatCode>0</c:formatCode>
                <c:ptCount val="12"/>
                <c:pt idx="0">
                  <c:v>8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3</c:v>
                </c:pt>
                <c:pt idx="8">
                  <c:v>9</c:v>
                </c:pt>
                <c:pt idx="9">
                  <c:v>7</c:v>
                </c:pt>
                <c:pt idx="10">
                  <c:v>9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'21.10 MBARARA- MASAKA'!$AB$9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MBARARA- MASAKA'!$AB$10:$AB$21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'21.10 MBARARA- MASAKA'!$AC$9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MBARARA- MASAKA'!$AC$10:$AC$21</c:f>
              <c:numCache>
                <c:formatCode>0</c:formatCode>
                <c:ptCount val="12"/>
                <c:pt idx="0">
                  <c:v>97</c:v>
                </c:pt>
                <c:pt idx="1">
                  <c:v>87</c:v>
                </c:pt>
                <c:pt idx="2">
                  <c:v>101</c:v>
                </c:pt>
                <c:pt idx="3">
                  <c:v>93</c:v>
                </c:pt>
                <c:pt idx="4">
                  <c:v>70</c:v>
                </c:pt>
                <c:pt idx="5">
                  <c:v>60</c:v>
                </c:pt>
                <c:pt idx="6">
                  <c:v>117</c:v>
                </c:pt>
                <c:pt idx="7">
                  <c:v>99</c:v>
                </c:pt>
                <c:pt idx="8">
                  <c:v>109</c:v>
                </c:pt>
                <c:pt idx="9">
                  <c:v>118</c:v>
                </c:pt>
                <c:pt idx="10">
                  <c:v>95</c:v>
                </c:pt>
                <c:pt idx="11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'21.10 MBARARA- MASAKA'!$AD$9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'21.10 MBARARA- MASAKA'!$AD$10:$AD$21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00282880"/>
        <c:axId val="-1400290496"/>
      </c:lineChart>
      <c:catAx>
        <c:axId val="-140028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400290496"/>
        <c:crosses val="autoZero"/>
        <c:auto val="1"/>
        <c:lblAlgn val="ctr"/>
        <c:lblOffset val="100"/>
        <c:noMultiLvlLbl val="0"/>
      </c:catAx>
      <c:valAx>
        <c:axId val="-140029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40028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MBARARA- 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MBARARA- MASAKA'!$C$60:$N$60</c:f>
              <c:numCache>
                <c:formatCode>0.00%</c:formatCode>
                <c:ptCount val="12"/>
                <c:pt idx="0">
                  <c:v>0.35253456221198154</c:v>
                </c:pt>
                <c:pt idx="1">
                  <c:v>0.13517665130568357</c:v>
                </c:pt>
                <c:pt idx="2">
                  <c:v>9.3701996927803385E-2</c:v>
                </c:pt>
                <c:pt idx="3">
                  <c:v>0.18970814132104455</c:v>
                </c:pt>
                <c:pt idx="4">
                  <c:v>4.608294930875576E-3</c:v>
                </c:pt>
                <c:pt idx="5">
                  <c:v>4.8387096774193547E-2</c:v>
                </c:pt>
                <c:pt idx="6">
                  <c:v>6.0675883256528416E-2</c:v>
                </c:pt>
                <c:pt idx="7">
                  <c:v>5.8371735791090631E-2</c:v>
                </c:pt>
                <c:pt idx="8">
                  <c:v>5.2227342549923193E-2</c:v>
                </c:pt>
                <c:pt idx="9">
                  <c:v>4.608294930875576E-3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MASAKA-MBARARA'!$AE$9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'22.10 MASAKA-MBARARA'!$R$10:$R$21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MASAKA-MBARARA'!$AE$10:$AE$21</c:f>
              <c:numCache>
                <c:formatCode>0</c:formatCode>
                <c:ptCount val="12"/>
                <c:pt idx="0">
                  <c:v>77</c:v>
                </c:pt>
                <c:pt idx="1">
                  <c:v>87</c:v>
                </c:pt>
                <c:pt idx="2">
                  <c:v>119</c:v>
                </c:pt>
                <c:pt idx="3">
                  <c:v>104</c:v>
                </c:pt>
                <c:pt idx="4">
                  <c:v>103</c:v>
                </c:pt>
                <c:pt idx="5">
                  <c:v>124</c:v>
                </c:pt>
                <c:pt idx="6">
                  <c:v>118</c:v>
                </c:pt>
                <c:pt idx="7">
                  <c:v>82</c:v>
                </c:pt>
                <c:pt idx="8">
                  <c:v>123</c:v>
                </c:pt>
                <c:pt idx="9">
                  <c:v>133</c:v>
                </c:pt>
                <c:pt idx="10">
                  <c:v>116</c:v>
                </c:pt>
                <c:pt idx="11">
                  <c:v>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'22.10 MASAKA-MBARARA'!$AF$9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'22.10 MASAKA-MBARARA'!$R$10:$R$21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MASAKA-MBARARA'!$AF$10:$AF$21</c:f>
              <c:numCache>
                <c:formatCode>0</c:formatCode>
                <c:ptCount val="12"/>
                <c:pt idx="0">
                  <c:v>137</c:v>
                </c:pt>
                <c:pt idx="1">
                  <c:v>145</c:v>
                </c:pt>
                <c:pt idx="2">
                  <c:v>188</c:v>
                </c:pt>
                <c:pt idx="3">
                  <c:v>164</c:v>
                </c:pt>
                <c:pt idx="4">
                  <c:v>167</c:v>
                </c:pt>
                <c:pt idx="5">
                  <c:v>222</c:v>
                </c:pt>
                <c:pt idx="6">
                  <c:v>190</c:v>
                </c:pt>
                <c:pt idx="7">
                  <c:v>156</c:v>
                </c:pt>
                <c:pt idx="8">
                  <c:v>190</c:v>
                </c:pt>
                <c:pt idx="9">
                  <c:v>215</c:v>
                </c:pt>
                <c:pt idx="10">
                  <c:v>186</c:v>
                </c:pt>
                <c:pt idx="11">
                  <c:v>155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00276896"/>
        <c:axId val="-1400278528"/>
      </c:lineChart>
      <c:catAx>
        <c:axId val="-14002768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400278528"/>
        <c:crosses val="autoZero"/>
        <c:auto val="1"/>
        <c:lblAlgn val="ctr"/>
        <c:lblOffset val="100"/>
        <c:noMultiLvlLbl val="0"/>
      </c:catAx>
      <c:valAx>
        <c:axId val="-1400278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40027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MASAKA-MBARARA'!$C$9:$N$9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MASAKA-MBARARA'!$C$59:$N$59</c:f>
              <c:numCache>
                <c:formatCode>0.0%</c:formatCode>
                <c:ptCount val="12"/>
                <c:pt idx="0">
                  <c:v>0.18581560283687942</c:v>
                </c:pt>
                <c:pt idx="1">
                  <c:v>8.3687943262411343E-2</c:v>
                </c:pt>
                <c:pt idx="2">
                  <c:v>6.0047281323877072E-2</c:v>
                </c:pt>
                <c:pt idx="3">
                  <c:v>0.10354609929078014</c:v>
                </c:pt>
                <c:pt idx="4">
                  <c:v>5.6737588652482273E-3</c:v>
                </c:pt>
                <c:pt idx="5">
                  <c:v>2.7895981087470448E-2</c:v>
                </c:pt>
                <c:pt idx="6">
                  <c:v>4.9172576832151302E-2</c:v>
                </c:pt>
                <c:pt idx="7">
                  <c:v>3.4515366430260049E-2</c:v>
                </c:pt>
                <c:pt idx="8">
                  <c:v>4.9645390070921988E-2</c:v>
                </c:pt>
                <c:pt idx="9">
                  <c:v>3.7825059101654845E-3</c:v>
                </c:pt>
                <c:pt idx="10">
                  <c:v>0.39621749408983453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MASAKA-MBARARA'!$S$9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'22.10 MASAKA-MBARARA'!$R$10:$R$21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MASAKA-MBARARA'!$S$10:$S$21</c:f>
              <c:numCache>
                <c:formatCode>0</c:formatCode>
                <c:ptCount val="12"/>
                <c:pt idx="0">
                  <c:v>25</c:v>
                </c:pt>
                <c:pt idx="1">
                  <c:v>25</c:v>
                </c:pt>
                <c:pt idx="2">
                  <c:v>39</c:v>
                </c:pt>
                <c:pt idx="3">
                  <c:v>29</c:v>
                </c:pt>
                <c:pt idx="4">
                  <c:v>32</c:v>
                </c:pt>
                <c:pt idx="5">
                  <c:v>45</c:v>
                </c:pt>
                <c:pt idx="6">
                  <c:v>41</c:v>
                </c:pt>
                <c:pt idx="7">
                  <c:v>30</c:v>
                </c:pt>
                <c:pt idx="8">
                  <c:v>32</c:v>
                </c:pt>
                <c:pt idx="9">
                  <c:v>38</c:v>
                </c:pt>
                <c:pt idx="10">
                  <c:v>32</c:v>
                </c:pt>
                <c:pt idx="11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'22.10 MASAKA-MBARARA'!$T$9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'22.10 MASAKA-MBARARA'!$R$10:$R$21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MASAKA-MBARARA'!$T$10:$T$21</c:f>
              <c:numCache>
                <c:formatCode>0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24</c:v>
                </c:pt>
                <c:pt idx="3">
                  <c:v>21</c:v>
                </c:pt>
                <c:pt idx="4">
                  <c:v>14</c:v>
                </c:pt>
                <c:pt idx="5">
                  <c:v>14</c:v>
                </c:pt>
                <c:pt idx="6">
                  <c:v>8</c:v>
                </c:pt>
                <c:pt idx="7">
                  <c:v>10</c:v>
                </c:pt>
                <c:pt idx="8">
                  <c:v>19</c:v>
                </c:pt>
                <c:pt idx="9">
                  <c:v>19</c:v>
                </c:pt>
                <c:pt idx="10">
                  <c:v>13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'22.10 MASAKA-MBARARA'!$U$9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'22.10 MASAKA-MBARARA'!$U$10:$U$21</c:f>
              <c:numCache>
                <c:formatCode>0</c:formatCode>
                <c:ptCount val="12"/>
                <c:pt idx="0">
                  <c:v>10</c:v>
                </c:pt>
                <c:pt idx="1">
                  <c:v>8</c:v>
                </c:pt>
                <c:pt idx="2">
                  <c:v>13</c:v>
                </c:pt>
                <c:pt idx="3">
                  <c:v>12</c:v>
                </c:pt>
                <c:pt idx="4">
                  <c:v>14</c:v>
                </c:pt>
                <c:pt idx="5">
                  <c:v>14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'22.10 MASAKA-MBARARA'!$V$9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'22.10 MASAKA-MBARARA'!$V$10:$V$21</c:f>
              <c:numCache>
                <c:formatCode>0</c:formatCode>
                <c:ptCount val="12"/>
                <c:pt idx="0">
                  <c:v>9</c:v>
                </c:pt>
                <c:pt idx="1">
                  <c:v>19</c:v>
                </c:pt>
                <c:pt idx="2">
                  <c:v>15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22</c:v>
                </c:pt>
                <c:pt idx="7">
                  <c:v>10</c:v>
                </c:pt>
                <c:pt idx="8">
                  <c:v>23</c:v>
                </c:pt>
                <c:pt idx="9">
                  <c:v>20</c:v>
                </c:pt>
                <c:pt idx="10">
                  <c:v>16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'22.10 MASAKA-MBARARA'!$W$9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'22.10 MASAKA-MBARARA'!$W$10:$W$21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'22.10 MASAKA-MBARARA'!$X$9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'22.10 MASAKA-MBARARA'!$X$10:$X$21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8</c:v>
                </c:pt>
                <c:pt idx="8">
                  <c:v>8</c:v>
                </c:pt>
                <c:pt idx="9">
                  <c:v>5</c:v>
                </c:pt>
                <c:pt idx="10">
                  <c:v>9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'22.10 MASAKA-MBARARA'!$Y$9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MASAKA-MBARARA'!$Y$10:$Y$21</c:f>
              <c:numCache>
                <c:formatCode>0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3</c:v>
                </c:pt>
                <c:pt idx="5">
                  <c:v>6</c:v>
                </c:pt>
                <c:pt idx="6">
                  <c:v>16</c:v>
                </c:pt>
                <c:pt idx="7">
                  <c:v>7</c:v>
                </c:pt>
                <c:pt idx="8">
                  <c:v>13</c:v>
                </c:pt>
                <c:pt idx="9">
                  <c:v>13</c:v>
                </c:pt>
                <c:pt idx="10">
                  <c:v>12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'22.10 MASAKA-MBARARA'!$Z$9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MASAKA-MBARARA'!$Z$10:$Z$21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8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9</c:v>
                </c:pt>
                <c:pt idx="8">
                  <c:v>6</c:v>
                </c:pt>
                <c:pt idx="9">
                  <c:v>10</c:v>
                </c:pt>
                <c:pt idx="10">
                  <c:v>8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'22.10 MASAKA-MBARARA'!$AA$9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MASAKA-MBARARA'!$AA$10:$AA$21</c:f>
              <c:numCache>
                <c:formatCode>0</c:formatCode>
                <c:ptCount val="12"/>
                <c:pt idx="0">
                  <c:v>13</c:v>
                </c:pt>
                <c:pt idx="1">
                  <c:v>7</c:v>
                </c:pt>
                <c:pt idx="2">
                  <c:v>7</c:v>
                </c:pt>
                <c:pt idx="3">
                  <c:v>4</c:v>
                </c:pt>
                <c:pt idx="4">
                  <c:v>8</c:v>
                </c:pt>
                <c:pt idx="5">
                  <c:v>6</c:v>
                </c:pt>
                <c:pt idx="6">
                  <c:v>10</c:v>
                </c:pt>
                <c:pt idx="7">
                  <c:v>3</c:v>
                </c:pt>
                <c:pt idx="8">
                  <c:v>10</c:v>
                </c:pt>
                <c:pt idx="9">
                  <c:v>14</c:v>
                </c:pt>
                <c:pt idx="10">
                  <c:v>12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'22.10 MASAKA-MBARARA'!$AB$9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MASAKA-MBARARA'!$AB$10:$AB$21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'22.10 MASAKA-MBARARA'!$AC$9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MASAKA-MBARARA'!$AC$10:$AC$21</c:f>
              <c:numCache>
                <c:formatCode>0</c:formatCode>
                <c:ptCount val="12"/>
                <c:pt idx="0">
                  <c:v>60</c:v>
                </c:pt>
                <c:pt idx="1">
                  <c:v>58</c:v>
                </c:pt>
                <c:pt idx="2">
                  <c:v>69</c:v>
                </c:pt>
                <c:pt idx="3">
                  <c:v>60</c:v>
                </c:pt>
                <c:pt idx="4">
                  <c:v>64</c:v>
                </c:pt>
                <c:pt idx="5">
                  <c:v>98</c:v>
                </c:pt>
                <c:pt idx="6">
                  <c:v>72</c:v>
                </c:pt>
                <c:pt idx="7">
                  <c:v>74</c:v>
                </c:pt>
                <c:pt idx="8">
                  <c:v>67</c:v>
                </c:pt>
                <c:pt idx="9">
                  <c:v>82</c:v>
                </c:pt>
                <c:pt idx="10">
                  <c:v>70</c:v>
                </c:pt>
                <c:pt idx="11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'22.10 MASAKA-MBARARA'!$AD$9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MASAKA-MBARARA'!$AD$10:$AD$21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00411280"/>
        <c:axId val="-1400417808"/>
      </c:lineChart>
      <c:catAx>
        <c:axId val="-140041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400417808"/>
        <c:crosses val="autoZero"/>
        <c:auto val="1"/>
        <c:lblAlgn val="ctr"/>
        <c:lblOffset val="100"/>
        <c:noMultiLvlLbl val="0"/>
      </c:catAx>
      <c:valAx>
        <c:axId val="-140041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40041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MASAKA-MBARARA'!$C$9:$N$9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MASAKA-MBARARA'!$C$60:$N$60</c:f>
              <c:numCache>
                <c:formatCode>0.00%</c:formatCode>
                <c:ptCount val="12"/>
                <c:pt idx="0">
                  <c:v>0.30775254502740801</c:v>
                </c:pt>
                <c:pt idx="1">
                  <c:v>0.13860610806577917</c:v>
                </c:pt>
                <c:pt idx="2">
                  <c:v>9.9451840250587314E-2</c:v>
                </c:pt>
                <c:pt idx="3">
                  <c:v>0.17149569303054032</c:v>
                </c:pt>
                <c:pt idx="4">
                  <c:v>9.3970242756460463E-3</c:v>
                </c:pt>
                <c:pt idx="5">
                  <c:v>4.6202036021926393E-2</c:v>
                </c:pt>
                <c:pt idx="6">
                  <c:v>8.1440877055599062E-2</c:v>
                </c:pt>
                <c:pt idx="7">
                  <c:v>5.7165231010180111E-2</c:v>
                </c:pt>
                <c:pt idx="8">
                  <c:v>8.2223962411902898E-2</c:v>
                </c:pt>
                <c:pt idx="9">
                  <c:v>6.2646828504306969E-3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MBARARA-MASAKA'!$AE$9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'22.10 MBARARA-MASAKA'!$R$10:$R$21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MBARARA-MASAKA'!$AE$10:$AE$21</c:f>
              <c:numCache>
                <c:formatCode>0</c:formatCode>
                <c:ptCount val="12"/>
                <c:pt idx="0">
                  <c:v>52</c:v>
                </c:pt>
                <c:pt idx="1">
                  <c:v>66</c:v>
                </c:pt>
                <c:pt idx="2">
                  <c:v>76</c:v>
                </c:pt>
                <c:pt idx="3">
                  <c:v>70</c:v>
                </c:pt>
                <c:pt idx="4">
                  <c:v>115</c:v>
                </c:pt>
                <c:pt idx="5">
                  <c:v>106</c:v>
                </c:pt>
                <c:pt idx="6">
                  <c:v>101</c:v>
                </c:pt>
                <c:pt idx="7">
                  <c:v>99</c:v>
                </c:pt>
                <c:pt idx="8">
                  <c:v>87</c:v>
                </c:pt>
                <c:pt idx="9">
                  <c:v>132</c:v>
                </c:pt>
                <c:pt idx="10">
                  <c:v>194</c:v>
                </c:pt>
                <c:pt idx="11">
                  <c:v>154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'22.10 MBARARA-MASAKA'!$AF$9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'22.10 MBARARA-MASAKA'!$R$10:$R$21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MBARARA-MASAKA'!$AF$10:$AF$21</c:f>
              <c:numCache>
                <c:formatCode>0</c:formatCode>
                <c:ptCount val="12"/>
                <c:pt idx="0">
                  <c:v>133</c:v>
                </c:pt>
                <c:pt idx="1">
                  <c:v>144</c:v>
                </c:pt>
                <c:pt idx="2">
                  <c:v>135</c:v>
                </c:pt>
                <c:pt idx="3">
                  <c:v>116</c:v>
                </c:pt>
                <c:pt idx="4">
                  <c:v>194</c:v>
                </c:pt>
                <c:pt idx="5">
                  <c:v>187</c:v>
                </c:pt>
                <c:pt idx="6">
                  <c:v>165</c:v>
                </c:pt>
                <c:pt idx="7">
                  <c:v>161</c:v>
                </c:pt>
                <c:pt idx="8">
                  <c:v>151</c:v>
                </c:pt>
                <c:pt idx="9">
                  <c:v>212</c:v>
                </c:pt>
                <c:pt idx="10">
                  <c:v>290</c:v>
                </c:pt>
                <c:pt idx="11">
                  <c:v>238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02095584"/>
        <c:axId val="-1302098304"/>
      </c:lineChart>
      <c:catAx>
        <c:axId val="-13020955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302098304"/>
        <c:crosses val="autoZero"/>
        <c:auto val="1"/>
        <c:lblAlgn val="ctr"/>
        <c:lblOffset val="100"/>
        <c:noMultiLvlLbl val="0"/>
      </c:catAx>
      <c:valAx>
        <c:axId val="-13020983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30209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MBARARA-MASAKA'!$C$9:$N$9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MBARARA-MASAKA'!$C$59:$N$59</c:f>
              <c:numCache>
                <c:formatCode>0.0%</c:formatCode>
                <c:ptCount val="12"/>
                <c:pt idx="0">
                  <c:v>0.16086547507055504</c:v>
                </c:pt>
                <c:pt idx="1">
                  <c:v>0.10489181561618062</c:v>
                </c:pt>
                <c:pt idx="2">
                  <c:v>6.1618062088428974E-2</c:v>
                </c:pt>
                <c:pt idx="3">
                  <c:v>0.10395108184383819</c:v>
                </c:pt>
                <c:pt idx="4">
                  <c:v>6.58513640639699E-3</c:v>
                </c:pt>
                <c:pt idx="5">
                  <c:v>2.7751646284101598E-2</c:v>
                </c:pt>
                <c:pt idx="6">
                  <c:v>3.7629350893697081E-2</c:v>
                </c:pt>
                <c:pt idx="7">
                  <c:v>3.5277516462841017E-2</c:v>
                </c:pt>
                <c:pt idx="8">
                  <c:v>4.4684854186265284E-2</c:v>
                </c:pt>
                <c:pt idx="9">
                  <c:v>5.6444026340545629E-3</c:v>
                </c:pt>
                <c:pt idx="10">
                  <c:v>0.41110065851364064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MBARARA-MASAKA'!$C$9:$N$9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MBARARA-MASAKA'!$C$60:$N$60</c:f>
              <c:numCache>
                <c:formatCode>0.00%</c:formatCode>
                <c:ptCount val="12"/>
                <c:pt idx="0">
                  <c:v>0.2731629392971246</c:v>
                </c:pt>
                <c:pt idx="1">
                  <c:v>0.1781150159744409</c:v>
                </c:pt>
                <c:pt idx="2">
                  <c:v>0.10463258785942492</c:v>
                </c:pt>
                <c:pt idx="3">
                  <c:v>0.17651757188498401</c:v>
                </c:pt>
                <c:pt idx="4">
                  <c:v>1.1182108626198083E-2</c:v>
                </c:pt>
                <c:pt idx="5">
                  <c:v>4.7124600638977637E-2</c:v>
                </c:pt>
                <c:pt idx="6">
                  <c:v>6.3897763578274758E-2</c:v>
                </c:pt>
                <c:pt idx="7">
                  <c:v>5.9904153354632589E-2</c:v>
                </c:pt>
                <c:pt idx="8">
                  <c:v>7.5878594249201278E-2</c:v>
                </c:pt>
                <c:pt idx="9">
                  <c:v>9.5846645367412137E-3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MASAKA-MBARARA'!$AE$9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'23.10 MASAKA-MBARARA'!$R$10:$R$21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MASAKA-MBARARA'!$AE$10:$AE$21</c:f>
              <c:numCache>
                <c:formatCode>0</c:formatCode>
                <c:ptCount val="12"/>
                <c:pt idx="0">
                  <c:v>77</c:v>
                </c:pt>
                <c:pt idx="1">
                  <c:v>69</c:v>
                </c:pt>
                <c:pt idx="2">
                  <c:v>97</c:v>
                </c:pt>
                <c:pt idx="3">
                  <c:v>102</c:v>
                </c:pt>
                <c:pt idx="4">
                  <c:v>124</c:v>
                </c:pt>
                <c:pt idx="5">
                  <c:v>95</c:v>
                </c:pt>
                <c:pt idx="6">
                  <c:v>82</c:v>
                </c:pt>
                <c:pt idx="7">
                  <c:v>103</c:v>
                </c:pt>
                <c:pt idx="8">
                  <c:v>97</c:v>
                </c:pt>
                <c:pt idx="9">
                  <c:v>101</c:v>
                </c:pt>
                <c:pt idx="10">
                  <c:v>99</c:v>
                </c:pt>
                <c:pt idx="11">
                  <c:v>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'23.10 MASAKA-MBARARA'!$AF$9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'23.10 MASAKA-MBARARA'!$R$10:$R$21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MASAKA-MBARARA'!$AF$10:$AF$21</c:f>
              <c:numCache>
                <c:formatCode>0</c:formatCode>
                <c:ptCount val="12"/>
                <c:pt idx="0">
                  <c:v>146</c:v>
                </c:pt>
                <c:pt idx="1">
                  <c:v>150</c:v>
                </c:pt>
                <c:pt idx="2">
                  <c:v>156</c:v>
                </c:pt>
                <c:pt idx="3">
                  <c:v>188</c:v>
                </c:pt>
                <c:pt idx="4">
                  <c:v>192</c:v>
                </c:pt>
                <c:pt idx="5">
                  <c:v>182</c:v>
                </c:pt>
                <c:pt idx="6">
                  <c:v>145</c:v>
                </c:pt>
                <c:pt idx="7">
                  <c:v>179</c:v>
                </c:pt>
                <c:pt idx="8">
                  <c:v>169</c:v>
                </c:pt>
                <c:pt idx="9">
                  <c:v>187</c:v>
                </c:pt>
                <c:pt idx="10">
                  <c:v>172</c:v>
                </c:pt>
                <c:pt idx="11">
                  <c:v>181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43656576"/>
        <c:axId val="-1243647328"/>
      </c:lineChart>
      <c:catAx>
        <c:axId val="-12436565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43647328"/>
        <c:crosses val="autoZero"/>
        <c:auto val="1"/>
        <c:lblAlgn val="ctr"/>
        <c:lblOffset val="100"/>
        <c:noMultiLvlLbl val="0"/>
      </c:catAx>
      <c:valAx>
        <c:axId val="-12436473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4365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MASAKA-MBARARA'!$C$9:$N$9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MASAKA-MBARARA'!$C$59:$N$59</c:f>
              <c:numCache>
                <c:formatCode>0.0%</c:formatCode>
                <c:ptCount val="12"/>
                <c:pt idx="0">
                  <c:v>0.17244748412310698</c:v>
                </c:pt>
                <c:pt idx="1">
                  <c:v>6.5461651196873472E-2</c:v>
                </c:pt>
                <c:pt idx="2">
                  <c:v>5.2760136785539813E-2</c:v>
                </c:pt>
                <c:pt idx="3">
                  <c:v>9.6238397655105029E-2</c:v>
                </c:pt>
                <c:pt idx="4">
                  <c:v>7.3277967757694185E-3</c:v>
                </c:pt>
                <c:pt idx="5">
                  <c:v>2.6380068392769906E-2</c:v>
                </c:pt>
                <c:pt idx="6">
                  <c:v>4.9829018075232046E-2</c:v>
                </c:pt>
                <c:pt idx="7">
                  <c:v>4.4455300439667805E-2</c:v>
                </c:pt>
                <c:pt idx="8">
                  <c:v>3.7616023448949681E-2</c:v>
                </c:pt>
                <c:pt idx="9">
                  <c:v>5.8622374206155348E-3</c:v>
                </c:pt>
                <c:pt idx="10">
                  <c:v>0.44162188568637029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MASAKA-MBARARA'!$S$9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'23.10 MASAKA-MBARARA'!$R$10:$R$21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MASAKA-MBARARA'!$S$10:$S$21</c:f>
              <c:numCache>
                <c:formatCode>0</c:formatCode>
                <c:ptCount val="12"/>
                <c:pt idx="0">
                  <c:v>30</c:v>
                </c:pt>
                <c:pt idx="1">
                  <c:v>20</c:v>
                </c:pt>
                <c:pt idx="2">
                  <c:v>24</c:v>
                </c:pt>
                <c:pt idx="3">
                  <c:v>29</c:v>
                </c:pt>
                <c:pt idx="4">
                  <c:v>42</c:v>
                </c:pt>
                <c:pt idx="5">
                  <c:v>36</c:v>
                </c:pt>
                <c:pt idx="6">
                  <c:v>26</c:v>
                </c:pt>
                <c:pt idx="7">
                  <c:v>34</c:v>
                </c:pt>
                <c:pt idx="8">
                  <c:v>26</c:v>
                </c:pt>
                <c:pt idx="9">
                  <c:v>34</c:v>
                </c:pt>
                <c:pt idx="10">
                  <c:v>27</c:v>
                </c:pt>
                <c:pt idx="11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'23.10 MASAKA-MBARARA'!$T$9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'23.10 MASAKA-MBARARA'!$R$10:$R$21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MASAKA-MBARARA'!$T$10:$T$21</c:f>
              <c:numCache>
                <c:formatCode>0</c:formatCode>
                <c:ptCount val="12"/>
                <c:pt idx="0">
                  <c:v>8</c:v>
                </c:pt>
                <c:pt idx="1">
                  <c:v>11</c:v>
                </c:pt>
                <c:pt idx="2">
                  <c:v>15</c:v>
                </c:pt>
                <c:pt idx="3">
                  <c:v>11</c:v>
                </c:pt>
                <c:pt idx="4">
                  <c:v>20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11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'23.10 MASAKA-MBARARA'!$U$9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'23.10 MASAKA-MBARARA'!$U$10:$U$21</c:f>
              <c:numCache>
                <c:formatCode>0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11</c:v>
                </c:pt>
                <c:pt idx="3">
                  <c:v>10</c:v>
                </c:pt>
                <c:pt idx="4">
                  <c:v>17</c:v>
                </c:pt>
                <c:pt idx="5">
                  <c:v>9</c:v>
                </c:pt>
                <c:pt idx="6">
                  <c:v>7</c:v>
                </c:pt>
                <c:pt idx="7">
                  <c:v>9</c:v>
                </c:pt>
                <c:pt idx="8">
                  <c:v>11</c:v>
                </c:pt>
                <c:pt idx="9">
                  <c:v>4</c:v>
                </c:pt>
                <c:pt idx="10">
                  <c:v>11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'23.10 MASAKA-MBARARA'!$V$9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'23.10 MASAKA-MBARARA'!$V$10:$V$21</c:f>
              <c:numCache>
                <c:formatCode>0</c:formatCode>
                <c:ptCount val="12"/>
                <c:pt idx="0">
                  <c:v>12</c:v>
                </c:pt>
                <c:pt idx="1">
                  <c:v>11</c:v>
                </c:pt>
                <c:pt idx="2">
                  <c:v>21</c:v>
                </c:pt>
                <c:pt idx="3">
                  <c:v>16</c:v>
                </c:pt>
                <c:pt idx="4">
                  <c:v>16</c:v>
                </c:pt>
                <c:pt idx="5">
                  <c:v>22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11</c:v>
                </c:pt>
                <c:pt idx="10">
                  <c:v>12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'23.10 MASAKA-MBARARA'!$W$9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'23.10 MASAKA-MBARARA'!$W$10:$W$21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'23.10 MASAKA-MBARARA'!$X$9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'23.10 MASAKA-MBARARA'!$X$10:$X$21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6</c:v>
                </c:pt>
                <c:pt idx="8">
                  <c:v>8</c:v>
                </c:pt>
                <c:pt idx="9">
                  <c:v>6</c:v>
                </c:pt>
                <c:pt idx="10">
                  <c:v>5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'23.10 MASAKA-MBARARA'!$Y$9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MASAKA-MBARARA'!$Y$10:$Y$21</c:f>
              <c:numCache>
                <c:formatCode>0</c:formatCode>
                <c:ptCount val="12"/>
                <c:pt idx="0">
                  <c:v>5</c:v>
                </c:pt>
                <c:pt idx="1">
                  <c:v>9</c:v>
                </c:pt>
                <c:pt idx="2">
                  <c:v>8</c:v>
                </c:pt>
                <c:pt idx="3">
                  <c:v>14</c:v>
                </c:pt>
                <c:pt idx="4">
                  <c:v>5</c:v>
                </c:pt>
                <c:pt idx="5">
                  <c:v>11</c:v>
                </c:pt>
                <c:pt idx="6">
                  <c:v>7</c:v>
                </c:pt>
                <c:pt idx="7">
                  <c:v>5</c:v>
                </c:pt>
                <c:pt idx="8">
                  <c:v>4</c:v>
                </c:pt>
                <c:pt idx="9">
                  <c:v>15</c:v>
                </c:pt>
                <c:pt idx="10">
                  <c:v>9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'23.10 MASAKA-MBARARA'!$Z$9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MASAKA-MBARARA'!$Z$10:$Z$21</c:f>
              <c:numCache>
                <c:formatCode>0</c:formatCode>
                <c:ptCount val="12"/>
                <c:pt idx="0">
                  <c:v>6</c:v>
                </c:pt>
                <c:pt idx="1">
                  <c:v>4</c:v>
                </c:pt>
                <c:pt idx="2">
                  <c:v>7</c:v>
                </c:pt>
                <c:pt idx="3">
                  <c:v>9</c:v>
                </c:pt>
                <c:pt idx="4">
                  <c:v>9</c:v>
                </c:pt>
                <c:pt idx="5">
                  <c:v>0</c:v>
                </c:pt>
                <c:pt idx="6">
                  <c:v>6</c:v>
                </c:pt>
                <c:pt idx="7">
                  <c:v>9</c:v>
                </c:pt>
                <c:pt idx="8">
                  <c:v>6</c:v>
                </c:pt>
                <c:pt idx="9">
                  <c:v>12</c:v>
                </c:pt>
                <c:pt idx="10">
                  <c:v>9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'23.10 MASAKA-MBARARA'!$AA$9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MASAKA-MBARARA'!$AA$10:$AA$21</c:f>
              <c:numCache>
                <c:formatCode>0</c:formatCode>
                <c:ptCount val="12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8</c:v>
                </c:pt>
                <c:pt idx="4">
                  <c:v>8</c:v>
                </c:pt>
                <c:pt idx="5">
                  <c:v>3</c:v>
                </c:pt>
                <c:pt idx="6">
                  <c:v>4</c:v>
                </c:pt>
                <c:pt idx="7">
                  <c:v>8</c:v>
                </c:pt>
                <c:pt idx="8">
                  <c:v>6</c:v>
                </c:pt>
                <c:pt idx="9">
                  <c:v>8</c:v>
                </c:pt>
                <c:pt idx="10">
                  <c:v>9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'23.10 MASAKA-MBARARA'!$AB$9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MASAKA-MBARARA'!$AB$10:$AB$21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'23.10 MASAKA-MBARARA'!$AC$9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MASAKA-MBARARA'!$AC$10:$AC$21</c:f>
              <c:numCache>
                <c:formatCode>0</c:formatCode>
                <c:ptCount val="12"/>
                <c:pt idx="0">
                  <c:v>69</c:v>
                </c:pt>
                <c:pt idx="1">
                  <c:v>81</c:v>
                </c:pt>
                <c:pt idx="2">
                  <c:v>59</c:v>
                </c:pt>
                <c:pt idx="3">
                  <c:v>86</c:v>
                </c:pt>
                <c:pt idx="4">
                  <c:v>68</c:v>
                </c:pt>
                <c:pt idx="5">
                  <c:v>87</c:v>
                </c:pt>
                <c:pt idx="6">
                  <c:v>63</c:v>
                </c:pt>
                <c:pt idx="7">
                  <c:v>76</c:v>
                </c:pt>
                <c:pt idx="8">
                  <c:v>72</c:v>
                </c:pt>
                <c:pt idx="9">
                  <c:v>86</c:v>
                </c:pt>
                <c:pt idx="10">
                  <c:v>73</c:v>
                </c:pt>
                <c:pt idx="11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'23.10 MASAKA-MBARARA'!$AD$9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MASAKA-MBARARA'!$AD$10:$AD$21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43659296"/>
        <c:axId val="-1243654400"/>
      </c:lineChart>
      <c:catAx>
        <c:axId val="-124365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43654400"/>
        <c:crosses val="autoZero"/>
        <c:auto val="1"/>
        <c:lblAlgn val="ctr"/>
        <c:lblOffset val="100"/>
        <c:noMultiLvlLbl val="0"/>
      </c:catAx>
      <c:valAx>
        <c:axId val="-124365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4365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MASAKA-MBARARA'!$C$9:$N$9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MASAKA-MBARARA'!$C$60:$N$60</c:f>
              <c:numCache>
                <c:formatCode>0.00%</c:formatCode>
                <c:ptCount val="12"/>
                <c:pt idx="0">
                  <c:v>0.30883639545056868</c:v>
                </c:pt>
                <c:pt idx="1">
                  <c:v>0.11723534558180228</c:v>
                </c:pt>
                <c:pt idx="2">
                  <c:v>9.4488188976377951E-2</c:v>
                </c:pt>
                <c:pt idx="3">
                  <c:v>0.17235345581802275</c:v>
                </c:pt>
                <c:pt idx="4">
                  <c:v>1.3123359580052493E-2</c:v>
                </c:pt>
                <c:pt idx="5">
                  <c:v>4.7244094488188976E-2</c:v>
                </c:pt>
                <c:pt idx="6">
                  <c:v>8.9238845144356954E-2</c:v>
                </c:pt>
                <c:pt idx="7">
                  <c:v>7.9615048118985121E-2</c:v>
                </c:pt>
                <c:pt idx="8">
                  <c:v>6.7366579177602803E-2</c:v>
                </c:pt>
                <c:pt idx="9">
                  <c:v>1.0498687664041995E-2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MBARARA-MASAKA'!$AE$9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'23.10 MBARARA-MASAKA'!$R$10:$R$21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MBARARA-MASAKA'!$AE$10:$AE$21</c:f>
              <c:numCache>
                <c:formatCode>0</c:formatCode>
                <c:ptCount val="12"/>
                <c:pt idx="0">
                  <c:v>52</c:v>
                </c:pt>
                <c:pt idx="1">
                  <c:v>80</c:v>
                </c:pt>
                <c:pt idx="2">
                  <c:v>58</c:v>
                </c:pt>
                <c:pt idx="3">
                  <c:v>66</c:v>
                </c:pt>
                <c:pt idx="4">
                  <c:v>95</c:v>
                </c:pt>
                <c:pt idx="5">
                  <c:v>92</c:v>
                </c:pt>
                <c:pt idx="6">
                  <c:v>105</c:v>
                </c:pt>
                <c:pt idx="7">
                  <c:v>99</c:v>
                </c:pt>
                <c:pt idx="8">
                  <c:v>101</c:v>
                </c:pt>
                <c:pt idx="9">
                  <c:v>80</c:v>
                </c:pt>
                <c:pt idx="10">
                  <c:v>137</c:v>
                </c:pt>
                <c:pt idx="11">
                  <c:v>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'23.10 MBARARA-MASAKA'!$AF$9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'23.10 MBARARA-MASAKA'!$R$10:$R$21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MBARARA-MASAKA'!$AF$10:$AF$21</c:f>
              <c:numCache>
                <c:formatCode>0</c:formatCode>
                <c:ptCount val="12"/>
                <c:pt idx="0">
                  <c:v>135</c:v>
                </c:pt>
                <c:pt idx="1">
                  <c:v>164</c:v>
                </c:pt>
                <c:pt idx="2">
                  <c:v>112</c:v>
                </c:pt>
                <c:pt idx="3">
                  <c:v>135</c:v>
                </c:pt>
                <c:pt idx="4">
                  <c:v>173</c:v>
                </c:pt>
                <c:pt idx="5">
                  <c:v>171</c:v>
                </c:pt>
                <c:pt idx="6">
                  <c:v>146</c:v>
                </c:pt>
                <c:pt idx="7">
                  <c:v>151</c:v>
                </c:pt>
                <c:pt idx="8">
                  <c:v>187</c:v>
                </c:pt>
                <c:pt idx="9">
                  <c:v>155</c:v>
                </c:pt>
                <c:pt idx="10">
                  <c:v>219</c:v>
                </c:pt>
                <c:pt idx="11">
                  <c:v>237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43648960"/>
        <c:axId val="-1243658208"/>
      </c:lineChart>
      <c:catAx>
        <c:axId val="-12436489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43658208"/>
        <c:crosses val="autoZero"/>
        <c:auto val="1"/>
        <c:lblAlgn val="ctr"/>
        <c:lblOffset val="100"/>
        <c:noMultiLvlLbl val="0"/>
      </c:catAx>
      <c:valAx>
        <c:axId val="-12436582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24364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MBARARA-MASAKA'!$C$9:$N$9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MBARARA-MASAKA'!$C$59:$N$59</c:f>
              <c:numCache>
                <c:formatCode>0.0%</c:formatCode>
                <c:ptCount val="12"/>
                <c:pt idx="0">
                  <c:v>0.15365239294710328</c:v>
                </c:pt>
                <c:pt idx="1">
                  <c:v>9.9748110831234263E-2</c:v>
                </c:pt>
                <c:pt idx="2">
                  <c:v>5.1385390428211587E-2</c:v>
                </c:pt>
                <c:pt idx="3">
                  <c:v>0.10277078085642317</c:v>
                </c:pt>
                <c:pt idx="4">
                  <c:v>4.5340050377833752E-3</c:v>
                </c:pt>
                <c:pt idx="5">
                  <c:v>2.6196473551637279E-2</c:v>
                </c:pt>
                <c:pt idx="6">
                  <c:v>3.9798488664987405E-2</c:v>
                </c:pt>
                <c:pt idx="7">
                  <c:v>3.2241813602015112E-2</c:v>
                </c:pt>
                <c:pt idx="8">
                  <c:v>3.929471032745592E-2</c:v>
                </c:pt>
                <c:pt idx="9">
                  <c:v>9.0680100755667504E-3</c:v>
                </c:pt>
                <c:pt idx="10">
                  <c:v>0.44130982367758187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MBARARA-MASAKA'!$C$9:$N$9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MBARARA-MASAKA'!$C$60:$N$60</c:f>
              <c:numCache>
                <c:formatCode>0.00%</c:formatCode>
                <c:ptCount val="12"/>
                <c:pt idx="0">
                  <c:v>0.27502254283137961</c:v>
                </c:pt>
                <c:pt idx="1">
                  <c:v>0.17853922452660054</c:v>
                </c:pt>
                <c:pt idx="2">
                  <c:v>9.1974752028854828E-2</c:v>
                </c:pt>
                <c:pt idx="3">
                  <c:v>0.18394950405770966</c:v>
                </c:pt>
                <c:pt idx="4">
                  <c:v>8.1154192966636611E-3</c:v>
                </c:pt>
                <c:pt idx="5">
                  <c:v>4.6889089269612265E-2</c:v>
                </c:pt>
                <c:pt idx="6">
                  <c:v>7.1235347159603252E-2</c:v>
                </c:pt>
                <c:pt idx="7">
                  <c:v>5.7709648331830475E-2</c:v>
                </c:pt>
                <c:pt idx="8">
                  <c:v>7.0333633904418394E-2</c:v>
                </c:pt>
                <c:pt idx="9">
                  <c:v>1.6230838593327322E-2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Masaka-Mbarara'!$AE$9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Masaka-Mbarara'!$R$10:$R$33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Masaka-Mbarara'!$AE$10:$AE$33</c:f>
              <c:numCache>
                <c:formatCode>0</c:formatCode>
                <c:ptCount val="24"/>
                <c:pt idx="0">
                  <c:v>72.142857142857139</c:v>
                </c:pt>
                <c:pt idx="1">
                  <c:v>92.571428571428584</c:v>
                </c:pt>
                <c:pt idx="2">
                  <c:v>103.14285714285714</c:v>
                </c:pt>
                <c:pt idx="3">
                  <c:v>112.28571428571428</c:v>
                </c:pt>
                <c:pt idx="4">
                  <c:v>100</c:v>
                </c:pt>
                <c:pt idx="5">
                  <c:v>100.85714285714286</c:v>
                </c:pt>
                <c:pt idx="6">
                  <c:v>93.285714285714292</c:v>
                </c:pt>
                <c:pt idx="7">
                  <c:v>91.857142857142833</c:v>
                </c:pt>
                <c:pt idx="8">
                  <c:v>111.28571428571428</c:v>
                </c:pt>
                <c:pt idx="9">
                  <c:v>115</c:v>
                </c:pt>
                <c:pt idx="10">
                  <c:v>124.28571428571428</c:v>
                </c:pt>
                <c:pt idx="11">
                  <c:v>111.99999999999999</c:v>
                </c:pt>
                <c:pt idx="12">
                  <c:v>105</c:v>
                </c:pt>
                <c:pt idx="13">
                  <c:v>89</c:v>
                </c:pt>
                <c:pt idx="14">
                  <c:v>81</c:v>
                </c:pt>
                <c:pt idx="15">
                  <c:v>75.5</c:v>
                </c:pt>
                <c:pt idx="16">
                  <c:v>67</c:v>
                </c:pt>
                <c:pt idx="17">
                  <c:v>60.5</c:v>
                </c:pt>
                <c:pt idx="18">
                  <c:v>82.5</c:v>
                </c:pt>
                <c:pt idx="19">
                  <c:v>54.5</c:v>
                </c:pt>
                <c:pt idx="20">
                  <c:v>57.5</c:v>
                </c:pt>
                <c:pt idx="21">
                  <c:v>42</c:v>
                </c:pt>
                <c:pt idx="22">
                  <c:v>30.5</c:v>
                </c:pt>
                <c:pt idx="23">
                  <c:v>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Masaka-Mbarara'!$AF$9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Masaka-Mbarara'!$R$10:$R$33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Masaka-Mbarara'!$AF$10:$AF$33</c:f>
              <c:numCache>
                <c:formatCode>0</c:formatCode>
                <c:ptCount val="24"/>
                <c:pt idx="0">
                  <c:v>116.71428571428572</c:v>
                </c:pt>
                <c:pt idx="1">
                  <c:v>138.85714285714286</c:v>
                </c:pt>
                <c:pt idx="2">
                  <c:v>151.71428571428569</c:v>
                </c:pt>
                <c:pt idx="3">
                  <c:v>167.85714285714286</c:v>
                </c:pt>
                <c:pt idx="4">
                  <c:v>145</c:v>
                </c:pt>
                <c:pt idx="5">
                  <c:v>161.85714285714286</c:v>
                </c:pt>
                <c:pt idx="6">
                  <c:v>147.57142857142858</c:v>
                </c:pt>
                <c:pt idx="7">
                  <c:v>144.42857142857142</c:v>
                </c:pt>
                <c:pt idx="8">
                  <c:v>165.85714285714286</c:v>
                </c:pt>
                <c:pt idx="9">
                  <c:v>177.42857142857144</c:v>
                </c:pt>
                <c:pt idx="10">
                  <c:v>184.71428571428572</c:v>
                </c:pt>
                <c:pt idx="11">
                  <c:v>174.14285714285714</c:v>
                </c:pt>
                <c:pt idx="12">
                  <c:v>132</c:v>
                </c:pt>
                <c:pt idx="13">
                  <c:v>106.5</c:v>
                </c:pt>
                <c:pt idx="14">
                  <c:v>92</c:v>
                </c:pt>
                <c:pt idx="15">
                  <c:v>83</c:v>
                </c:pt>
                <c:pt idx="16">
                  <c:v>73.5</c:v>
                </c:pt>
                <c:pt idx="17">
                  <c:v>63.5</c:v>
                </c:pt>
                <c:pt idx="18">
                  <c:v>83.5</c:v>
                </c:pt>
                <c:pt idx="19">
                  <c:v>55.5</c:v>
                </c:pt>
                <c:pt idx="20">
                  <c:v>60</c:v>
                </c:pt>
                <c:pt idx="21">
                  <c:v>44.5</c:v>
                </c:pt>
                <c:pt idx="22">
                  <c:v>35</c:v>
                </c:pt>
                <c:pt idx="23">
                  <c:v>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181851008"/>
        <c:axId val="-1181841216"/>
      </c:lineChart>
      <c:catAx>
        <c:axId val="-11818510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181841216"/>
        <c:crosses val="autoZero"/>
        <c:auto val="1"/>
        <c:lblAlgn val="ctr"/>
        <c:lblOffset val="100"/>
        <c:noMultiLvlLbl val="0"/>
      </c:catAx>
      <c:valAx>
        <c:axId val="-1181841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18185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Masaka-Mbarara'!$C$9:$N$9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Masaka-Mbarara'!$C$107:$N$107</c:f>
              <c:numCache>
                <c:formatCode>0.0%</c:formatCode>
                <c:ptCount val="12"/>
                <c:pt idx="0">
                  <c:v>0.2186886938564791</c:v>
                </c:pt>
                <c:pt idx="1">
                  <c:v>8.3014971605575624E-2</c:v>
                </c:pt>
                <c:pt idx="2">
                  <c:v>5.5162622612287035E-2</c:v>
                </c:pt>
                <c:pt idx="3">
                  <c:v>0.10325245224574083</c:v>
                </c:pt>
                <c:pt idx="4">
                  <c:v>6.8662880743417679E-3</c:v>
                </c:pt>
                <c:pt idx="5">
                  <c:v>4.4037170882808466E-2</c:v>
                </c:pt>
                <c:pt idx="6">
                  <c:v>6.2080536912751678E-2</c:v>
                </c:pt>
                <c:pt idx="7">
                  <c:v>6.7888487351574614E-2</c:v>
                </c:pt>
                <c:pt idx="8">
                  <c:v>7.6974703149199797E-2</c:v>
                </c:pt>
                <c:pt idx="9">
                  <c:v>1.1874032008260199E-2</c:v>
                </c:pt>
                <c:pt idx="10">
                  <c:v>0.270108415074858</c:v>
                </c:pt>
                <c:pt idx="11">
                  <c:v>5.1626226122870418E-5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Masaka-Mbarara'!$C$9:$N$9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Masaka-Mbarara'!$C$108:$N$108</c:f>
              <c:numCache>
                <c:formatCode>0.00%</c:formatCode>
                <c:ptCount val="12"/>
                <c:pt idx="0">
                  <c:v>0.29961805064365532</c:v>
                </c:pt>
                <c:pt idx="1">
                  <c:v>0.11373603055594847</c:v>
                </c:pt>
                <c:pt idx="2">
                  <c:v>7.5576460602631179E-2</c:v>
                </c:pt>
                <c:pt idx="3">
                  <c:v>0.1414627245720752</c:v>
                </c:pt>
                <c:pt idx="4">
                  <c:v>9.4072711840430048E-3</c:v>
                </c:pt>
                <c:pt idx="5">
                  <c:v>6.0333852029990087E-2</c:v>
                </c:pt>
                <c:pt idx="6">
                  <c:v>8.505446314896023E-2</c:v>
                </c:pt>
                <c:pt idx="7">
                  <c:v>9.3011741406139478E-2</c:v>
                </c:pt>
                <c:pt idx="8">
                  <c:v>0.10546046116848209</c:v>
                </c:pt>
                <c:pt idx="9">
                  <c:v>1.6268213325788653E-2</c:v>
                </c:pt>
                <c:pt idx="11">
                  <c:v>7.073136228603762E-5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Mbarara-Masaka'!$AE$9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Mbarara-Masaka'!$R$10:$R$33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Mbarara-Masaka'!$AE$10:$AE$33</c:f>
              <c:numCache>
                <c:formatCode>0</c:formatCode>
                <c:ptCount val="24"/>
                <c:pt idx="0">
                  <c:v>50</c:v>
                </c:pt>
                <c:pt idx="1">
                  <c:v>60.571428571428569</c:v>
                </c:pt>
                <c:pt idx="2">
                  <c:v>70.714285714285708</c:v>
                </c:pt>
                <c:pt idx="3">
                  <c:v>83.142857142857153</c:v>
                </c:pt>
                <c:pt idx="4">
                  <c:v>105.14285714285712</c:v>
                </c:pt>
                <c:pt idx="5">
                  <c:v>112.71428571428571</c:v>
                </c:pt>
                <c:pt idx="6">
                  <c:v>115.42857142857144</c:v>
                </c:pt>
                <c:pt idx="7">
                  <c:v>110.57142857142856</c:v>
                </c:pt>
                <c:pt idx="8">
                  <c:v>116.57142857142856</c:v>
                </c:pt>
                <c:pt idx="9">
                  <c:v>118.57142857142857</c:v>
                </c:pt>
                <c:pt idx="10">
                  <c:v>152.71428571428572</c:v>
                </c:pt>
                <c:pt idx="11">
                  <c:v>152.71428571428572</c:v>
                </c:pt>
                <c:pt idx="12">
                  <c:v>119.5</c:v>
                </c:pt>
                <c:pt idx="13">
                  <c:v>116.5</c:v>
                </c:pt>
                <c:pt idx="14">
                  <c:v>119</c:v>
                </c:pt>
                <c:pt idx="15">
                  <c:v>80</c:v>
                </c:pt>
                <c:pt idx="16">
                  <c:v>70.5</c:v>
                </c:pt>
                <c:pt idx="17">
                  <c:v>61.5</c:v>
                </c:pt>
                <c:pt idx="18">
                  <c:v>47.5</c:v>
                </c:pt>
                <c:pt idx="19">
                  <c:v>48</c:v>
                </c:pt>
                <c:pt idx="20">
                  <c:v>36.5</c:v>
                </c:pt>
                <c:pt idx="21">
                  <c:v>40</c:v>
                </c:pt>
                <c:pt idx="22">
                  <c:v>32</c:v>
                </c:pt>
                <c:pt idx="23">
                  <c:v>41.5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Mbarara-Masaka'!$AF$9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Mbarara-Masaka'!$R$10:$R$33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Mbarara-Masaka'!$AF$10:$AF$33</c:f>
              <c:numCache>
                <c:formatCode>0</c:formatCode>
                <c:ptCount val="24"/>
                <c:pt idx="0">
                  <c:v>109.42857142857144</c:v>
                </c:pt>
                <c:pt idx="1">
                  <c:v>120</c:v>
                </c:pt>
                <c:pt idx="2">
                  <c:v>125.57142857142856</c:v>
                </c:pt>
                <c:pt idx="3">
                  <c:v>136.28571428571431</c:v>
                </c:pt>
                <c:pt idx="4">
                  <c:v>157.28571428571428</c:v>
                </c:pt>
                <c:pt idx="5">
                  <c:v>167.42857142857142</c:v>
                </c:pt>
                <c:pt idx="6">
                  <c:v>172.42857142857144</c:v>
                </c:pt>
                <c:pt idx="7">
                  <c:v>165.42857142857144</c:v>
                </c:pt>
                <c:pt idx="8">
                  <c:v>175.42857142857142</c:v>
                </c:pt>
                <c:pt idx="9">
                  <c:v>185</c:v>
                </c:pt>
                <c:pt idx="10">
                  <c:v>230.14285714285717</c:v>
                </c:pt>
                <c:pt idx="11">
                  <c:v>229.00000000000003</c:v>
                </c:pt>
                <c:pt idx="12">
                  <c:v>160.5</c:v>
                </c:pt>
                <c:pt idx="13">
                  <c:v>145</c:v>
                </c:pt>
                <c:pt idx="14">
                  <c:v>134</c:v>
                </c:pt>
                <c:pt idx="15">
                  <c:v>95</c:v>
                </c:pt>
                <c:pt idx="16">
                  <c:v>77</c:v>
                </c:pt>
                <c:pt idx="17">
                  <c:v>61.5</c:v>
                </c:pt>
                <c:pt idx="18">
                  <c:v>50</c:v>
                </c:pt>
                <c:pt idx="19">
                  <c:v>49.5</c:v>
                </c:pt>
                <c:pt idx="20">
                  <c:v>36.5</c:v>
                </c:pt>
                <c:pt idx="21">
                  <c:v>47</c:v>
                </c:pt>
                <c:pt idx="22">
                  <c:v>38.5</c:v>
                </c:pt>
                <c:pt idx="23">
                  <c:v>59.5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181846656"/>
        <c:axId val="-1181843392"/>
      </c:lineChart>
      <c:catAx>
        <c:axId val="-11818466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181843392"/>
        <c:crosses val="autoZero"/>
        <c:auto val="1"/>
        <c:lblAlgn val="ctr"/>
        <c:lblOffset val="100"/>
        <c:noMultiLvlLbl val="0"/>
      </c:catAx>
      <c:valAx>
        <c:axId val="-11818433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18184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Mbarara-Masaka'!$C$9:$N$9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Mbarara-Masaka'!$C$107:$N$107</c:f>
              <c:numCache>
                <c:formatCode>0.0%</c:formatCode>
                <c:ptCount val="12"/>
                <c:pt idx="0">
                  <c:v>0.20386004294358778</c:v>
                </c:pt>
                <c:pt idx="1">
                  <c:v>8.7497560023423765E-2</c:v>
                </c:pt>
                <c:pt idx="2">
                  <c:v>5.5021471793870784E-2</c:v>
                </c:pt>
                <c:pt idx="3">
                  <c:v>0.10438219793089987</c:v>
                </c:pt>
                <c:pt idx="4">
                  <c:v>7.8323248096818267E-3</c:v>
                </c:pt>
                <c:pt idx="5">
                  <c:v>3.8649228967401909E-2</c:v>
                </c:pt>
                <c:pt idx="6">
                  <c:v>4.4749170407964084E-2</c:v>
                </c:pt>
                <c:pt idx="7">
                  <c:v>8.6619168455982817E-2</c:v>
                </c:pt>
                <c:pt idx="8">
                  <c:v>6.8953738044114782E-2</c:v>
                </c:pt>
                <c:pt idx="9">
                  <c:v>6.5879367558071451E-3</c:v>
                </c:pt>
                <c:pt idx="10">
                  <c:v>0.29584715986726517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Mbarara-Masaka'!$C$9:$N$9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Mbarara-Masaka'!$C$108:$N$108</c:f>
              <c:numCache>
                <c:formatCode>0.00%</c:formatCode>
                <c:ptCount val="12"/>
                <c:pt idx="0">
                  <c:v>0.28951107106968382</c:v>
                </c:pt>
                <c:pt idx="1">
                  <c:v>0.124259329845109</c:v>
                </c:pt>
                <c:pt idx="2">
                  <c:v>7.8138535638795553E-2</c:v>
                </c:pt>
                <c:pt idx="3">
                  <c:v>0.14823798468415406</c:v>
                </c:pt>
                <c:pt idx="4">
                  <c:v>1.1123046536609034E-2</c:v>
                </c:pt>
                <c:pt idx="5">
                  <c:v>5.4887556741397843E-2</c:v>
                </c:pt>
                <c:pt idx="6">
                  <c:v>6.3550365570532605E-2</c:v>
                </c:pt>
                <c:pt idx="7">
                  <c:v>0.1230118853737136</c:v>
                </c:pt>
                <c:pt idx="8">
                  <c:v>9.7924391004539355E-2</c:v>
                </c:pt>
                <c:pt idx="9">
                  <c:v>9.3558335354655443E-3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Masaka-Mbarara-2Dir'!$C$9:$N$9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Masaka-Mbarara-2Dir'!$C$107:$N$107</c:f>
              <c:numCache>
                <c:formatCode>0.0%</c:formatCode>
                <c:ptCount val="12"/>
                <c:pt idx="0">
                  <c:v>0.21106567658421557</c:v>
                </c:pt>
                <c:pt idx="1">
                  <c:v>8.531935176358435E-2</c:v>
                </c:pt>
                <c:pt idx="2">
                  <c:v>5.5090060709447594E-2</c:v>
                </c:pt>
                <c:pt idx="3">
                  <c:v>0.10383322462495612</c:v>
                </c:pt>
                <c:pt idx="4">
                  <c:v>7.3629020119411973E-3</c:v>
                </c:pt>
                <c:pt idx="5">
                  <c:v>4.1267372434900404E-2</c:v>
                </c:pt>
                <c:pt idx="6">
                  <c:v>5.3170939742110283E-2</c:v>
                </c:pt>
                <c:pt idx="7">
                  <c:v>7.7517435151271893E-2</c:v>
                </c:pt>
                <c:pt idx="8">
                  <c:v>7.2851337113039996E-2</c:v>
                </c:pt>
                <c:pt idx="9">
                  <c:v>9.1565902363152877E-3</c:v>
                </c:pt>
                <c:pt idx="10">
                  <c:v>0.28334002307962469</c:v>
                </c:pt>
                <c:pt idx="11">
                  <c:v>2.5086548592644622E-5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Masaka-Mbarara-2Dir'!$C$9:$N$9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Masaka-Mbarara-2Dir'!$C$108:$N$108</c:f>
              <c:numCache>
                <c:formatCode>0.00%</c:formatCode>
                <c:ptCount val="12"/>
                <c:pt idx="0">
                  <c:v>0.29451299553688631</c:v>
                </c:pt>
                <c:pt idx="1">
                  <c:v>0.11905136956331491</c:v>
                </c:pt>
                <c:pt idx="2">
                  <c:v>7.687056970333421E-2</c:v>
                </c:pt>
                <c:pt idx="3">
                  <c:v>0.14488492167673056</c:v>
                </c:pt>
                <c:pt idx="4">
                  <c:v>1.0273912662991162E-2</c:v>
                </c:pt>
                <c:pt idx="5">
                  <c:v>5.7582917651177033E-2</c:v>
                </c:pt>
                <c:pt idx="6">
                  <c:v>7.4192701496455751E-2</c:v>
                </c:pt>
                <c:pt idx="7">
                  <c:v>0.10816487266999211</c:v>
                </c:pt>
                <c:pt idx="8">
                  <c:v>0.10165397742189551</c:v>
                </c:pt>
                <c:pt idx="9">
                  <c:v>1.2776756804060556E-2</c:v>
                </c:pt>
                <c:pt idx="11">
                  <c:v>3.5004813161809744E-5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Masaka-Mbarara-2Dir'!$AE$9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Masaka-Mbarara-2Dir'!$R$10:$R$33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Masaka-Mbarara-2Dir'!$AE$10:$AE$33</c:f>
              <c:numCache>
                <c:formatCode>0</c:formatCode>
                <c:ptCount val="24"/>
                <c:pt idx="0">
                  <c:v>122.14285714285715</c:v>
                </c:pt>
                <c:pt idx="1">
                  <c:v>153.14285714285714</c:v>
                </c:pt>
                <c:pt idx="2">
                  <c:v>173.85714285714286</c:v>
                </c:pt>
                <c:pt idx="3">
                  <c:v>195.42857142857142</c:v>
                </c:pt>
                <c:pt idx="4">
                  <c:v>205.14285714285714</c:v>
                </c:pt>
                <c:pt idx="5">
                  <c:v>213.57142857142858</c:v>
                </c:pt>
                <c:pt idx="6">
                  <c:v>208.71428571428575</c:v>
                </c:pt>
                <c:pt idx="7">
                  <c:v>202.42857142857144</c:v>
                </c:pt>
                <c:pt idx="8">
                  <c:v>227.85714285714286</c:v>
                </c:pt>
                <c:pt idx="9">
                  <c:v>233.57142857142856</c:v>
                </c:pt>
                <c:pt idx="10">
                  <c:v>277</c:v>
                </c:pt>
                <c:pt idx="11">
                  <c:v>264.71428571428572</c:v>
                </c:pt>
                <c:pt idx="12">
                  <c:v>224.5</c:v>
                </c:pt>
                <c:pt idx="13">
                  <c:v>205.5</c:v>
                </c:pt>
                <c:pt idx="14">
                  <c:v>200</c:v>
                </c:pt>
                <c:pt idx="15">
                  <c:v>155.5</c:v>
                </c:pt>
                <c:pt idx="16">
                  <c:v>137.5</c:v>
                </c:pt>
                <c:pt idx="17">
                  <c:v>122</c:v>
                </c:pt>
                <c:pt idx="18">
                  <c:v>130</c:v>
                </c:pt>
                <c:pt idx="19">
                  <c:v>102.5</c:v>
                </c:pt>
                <c:pt idx="20">
                  <c:v>94</c:v>
                </c:pt>
                <c:pt idx="21">
                  <c:v>82</c:v>
                </c:pt>
                <c:pt idx="22">
                  <c:v>62.5</c:v>
                </c:pt>
                <c:pt idx="23">
                  <c:v>87.5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70-4E45-A99E-FC789FA1E90C}"/>
            </c:ext>
          </c:extLst>
        </c:ser>
        <c:ser>
          <c:idx val="1"/>
          <c:order val="1"/>
          <c:tx>
            <c:strRef>
              <c:f>'Avg Week Masaka-Mbarara-2Dir'!$AF$9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Masaka-Mbarara-2Dir'!$R$10:$R$33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Masaka-Mbarara-2Dir'!$AF$10:$AF$33</c:f>
              <c:numCache>
                <c:formatCode>0</c:formatCode>
                <c:ptCount val="24"/>
                <c:pt idx="0">
                  <c:v>226.14285714285717</c:v>
                </c:pt>
                <c:pt idx="1">
                  <c:v>258.85714285714289</c:v>
                </c:pt>
                <c:pt idx="2">
                  <c:v>277.28571428571428</c:v>
                </c:pt>
                <c:pt idx="3">
                  <c:v>304.14285714285711</c:v>
                </c:pt>
                <c:pt idx="4">
                  <c:v>302.28571428571428</c:v>
                </c:pt>
                <c:pt idx="5">
                  <c:v>329.28571428571433</c:v>
                </c:pt>
                <c:pt idx="6">
                  <c:v>320</c:v>
                </c:pt>
                <c:pt idx="7">
                  <c:v>309.85714285714289</c:v>
                </c:pt>
                <c:pt idx="8">
                  <c:v>341.28571428571428</c:v>
                </c:pt>
                <c:pt idx="9">
                  <c:v>362.42857142857144</c:v>
                </c:pt>
                <c:pt idx="10">
                  <c:v>414.85714285714283</c:v>
                </c:pt>
                <c:pt idx="11">
                  <c:v>403.14285714285711</c:v>
                </c:pt>
                <c:pt idx="12">
                  <c:v>292.5</c:v>
                </c:pt>
                <c:pt idx="13">
                  <c:v>251.5</c:v>
                </c:pt>
                <c:pt idx="14">
                  <c:v>226</c:v>
                </c:pt>
                <c:pt idx="15">
                  <c:v>178</c:v>
                </c:pt>
                <c:pt idx="16">
                  <c:v>150.5</c:v>
                </c:pt>
                <c:pt idx="17">
                  <c:v>125</c:v>
                </c:pt>
                <c:pt idx="18">
                  <c:v>133.5</c:v>
                </c:pt>
                <c:pt idx="19">
                  <c:v>105</c:v>
                </c:pt>
                <c:pt idx="20">
                  <c:v>96.5</c:v>
                </c:pt>
                <c:pt idx="21">
                  <c:v>91.5</c:v>
                </c:pt>
                <c:pt idx="22">
                  <c:v>73.5</c:v>
                </c:pt>
                <c:pt idx="23">
                  <c:v>121.5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A70-4E45-A99E-FC789FA1E90C}"/>
            </c:ext>
          </c:extLst>
        </c:ser>
        <c:ser>
          <c:idx val="5"/>
          <c:order val="2"/>
          <c:tx>
            <c:strRef>
              <c:f>'Avg Week Masaka-Mbarara-2Dir'!$AC$9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Masaka-Mbarara-2Dir'!$R$10:$R$33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Masaka-Mbarara-2Dir'!$AC$10:$AC$33</c:f>
              <c:numCache>
                <c:formatCode>0</c:formatCode>
                <c:ptCount val="24"/>
                <c:pt idx="0">
                  <c:v>104</c:v>
                </c:pt>
                <c:pt idx="1">
                  <c:v>105.71428571428572</c:v>
                </c:pt>
                <c:pt idx="2">
                  <c:v>103.42857142857143</c:v>
                </c:pt>
                <c:pt idx="3">
                  <c:v>108.71428571428572</c:v>
                </c:pt>
                <c:pt idx="4">
                  <c:v>97.142857142857139</c:v>
                </c:pt>
                <c:pt idx="5">
                  <c:v>115.71428571428572</c:v>
                </c:pt>
                <c:pt idx="6">
                  <c:v>111.28571428571428</c:v>
                </c:pt>
                <c:pt idx="7">
                  <c:v>107.42857142857144</c:v>
                </c:pt>
                <c:pt idx="8">
                  <c:v>113.42857142857143</c:v>
                </c:pt>
                <c:pt idx="9">
                  <c:v>128.85714285714283</c:v>
                </c:pt>
                <c:pt idx="10">
                  <c:v>137.85714285714283</c:v>
                </c:pt>
                <c:pt idx="11">
                  <c:v>138.42857142857144</c:v>
                </c:pt>
                <c:pt idx="12">
                  <c:v>68</c:v>
                </c:pt>
                <c:pt idx="13">
                  <c:v>46</c:v>
                </c:pt>
                <c:pt idx="14">
                  <c:v>26</c:v>
                </c:pt>
                <c:pt idx="15">
                  <c:v>22.5</c:v>
                </c:pt>
                <c:pt idx="16">
                  <c:v>13</c:v>
                </c:pt>
                <c:pt idx="17">
                  <c:v>3</c:v>
                </c:pt>
                <c:pt idx="18">
                  <c:v>3.5</c:v>
                </c:pt>
                <c:pt idx="19">
                  <c:v>2.5</c:v>
                </c:pt>
                <c:pt idx="20">
                  <c:v>2.5</c:v>
                </c:pt>
                <c:pt idx="21">
                  <c:v>9.5</c:v>
                </c:pt>
                <c:pt idx="22">
                  <c:v>11</c:v>
                </c:pt>
                <c:pt idx="2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70-4E45-A99E-FC789FA1E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Masaka-Mbarara-2Dir'!$S$9:$AF$9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Masaka-Mbarara-2Dir'!$S$41:$AF$41</c:f>
              <c:numCache>
                <c:formatCode>_-* #,##0_-;\-* #,##0_-;_-* "-"_-;_-@_-</c:formatCode>
                <c:ptCount val="14"/>
                <c:pt idx="0">
                  <c:v>1201.9285714285716</c:v>
                </c:pt>
                <c:pt idx="1">
                  <c:v>485.85714285714278</c:v>
                </c:pt>
                <c:pt idx="2">
                  <c:v>313.71428571428572</c:v>
                </c:pt>
                <c:pt idx="3">
                  <c:v>591.28571428571422</c:v>
                </c:pt>
                <c:pt idx="4">
                  <c:v>41.928571428571431</c:v>
                </c:pt>
                <c:pt idx="5">
                  <c:v>235</c:v>
                </c:pt>
                <c:pt idx="6">
                  <c:v>302.78571428571422</c:v>
                </c:pt>
                <c:pt idx="7">
                  <c:v>441.42857142857144</c:v>
                </c:pt>
                <c:pt idx="8">
                  <c:v>414.85714285714289</c:v>
                </c:pt>
                <c:pt idx="9">
                  <c:v>52.142857142857139</c:v>
                </c:pt>
                <c:pt idx="10">
                  <c:v>1613.5</c:v>
                </c:pt>
                <c:pt idx="11">
                  <c:v>0.14285714285714285</c:v>
                </c:pt>
                <c:pt idx="12">
                  <c:v>4081.0714285714289</c:v>
                </c:pt>
                <c:pt idx="13">
                  <c:v>5694.5714285714284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F-4861-9EF4-FDD418DD04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Masaka-Mbarara-2Dir'!$S$9:$AF$9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Masaka-Mbarara-2Dir'!$S$42:$AF$42</c:f>
              <c:numCache>
                <c:formatCode>0.000</c:formatCode>
                <c:ptCount val="14"/>
                <c:pt idx="0">
                  <c:v>1.4941395844432606</c:v>
                </c:pt>
                <c:pt idx="1">
                  <c:v>1.3279968762202266</c:v>
                </c:pt>
                <c:pt idx="2">
                  <c:v>1.383742911153119</c:v>
                </c:pt>
                <c:pt idx="3">
                  <c:v>1.3552717747216763</c:v>
                </c:pt>
                <c:pt idx="4">
                  <c:v>2.1580882352941173</c:v>
                </c:pt>
                <c:pt idx="5">
                  <c:v>2.0434782608695654</c:v>
                </c:pt>
                <c:pt idx="6">
                  <c:v>1.9373857404021939</c:v>
                </c:pt>
                <c:pt idx="7">
                  <c:v>2.9150943396226414</c:v>
                </c:pt>
                <c:pt idx="8">
                  <c:v>2.4280936454849495</c:v>
                </c:pt>
                <c:pt idx="9">
                  <c:v>1.6743119266055044</c:v>
                </c:pt>
                <c:pt idx="10">
                  <c:v>1.1760204081632653</c:v>
                </c:pt>
                <c:pt idx="11">
                  <c:v>1</c:v>
                </c:pt>
                <c:pt idx="12">
                  <c:v>1.6472063656806779</c:v>
                </c:pt>
                <c:pt idx="13">
                  <c:v>1.4792741307010058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8-4D80-A214-C33D59613E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.xml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8.xml"/><Relationship Id="rId1" Type="http://schemas.openxmlformats.org/officeDocument/2006/relationships/chart" Target="../charts/chart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9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1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5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1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png"/><Relationship Id="rId2" Type="http://schemas.openxmlformats.org/officeDocument/2006/relationships/image" Target="../media/image1.emf"/><Relationship Id="rId1" Type="http://schemas.openxmlformats.org/officeDocument/2006/relationships/chart" Target="../charts/chart1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24.xml"/><Relationship Id="rId1" Type="http://schemas.openxmlformats.org/officeDocument/2006/relationships/chart" Target="../charts/chart21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2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png"/><Relationship Id="rId2" Type="http://schemas.openxmlformats.org/officeDocument/2006/relationships/image" Target="../media/image1.emf"/><Relationship Id="rId16" Type="http://schemas.openxmlformats.org/officeDocument/2006/relationships/chart" Target="../charts/chart28.xml"/><Relationship Id="rId1" Type="http://schemas.openxmlformats.org/officeDocument/2006/relationships/chart" Target="../charts/chart2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2.xml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36.xml"/><Relationship Id="rId1" Type="http://schemas.openxmlformats.org/officeDocument/2006/relationships/chart" Target="../charts/chart3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0.xml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png"/><Relationship Id="rId2" Type="http://schemas.openxmlformats.org/officeDocument/2006/relationships/image" Target="../media/image1.emf"/><Relationship Id="rId1" Type="http://schemas.openxmlformats.org/officeDocument/2006/relationships/chart" Target="../charts/chart4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4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2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47.xml"/><Relationship Id="rId1" Type="http://schemas.openxmlformats.org/officeDocument/2006/relationships/chart" Target="../charts/chart44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46.xml"/><Relationship Id="rId10" Type="http://schemas.openxmlformats.org/officeDocument/2006/relationships/image" Target="../media/image1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5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48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5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9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5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31749</xdr:colOff>
      <xdr:row>42</xdr:row>
      <xdr:rowOff>276224</xdr:rowOff>
    </xdr:from>
    <xdr:to>
      <xdr:col>27</xdr:col>
      <xdr:colOff>698500</xdr:colOff>
      <xdr:row>58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</xdr:colOff>
      <xdr:row>59</xdr:row>
      <xdr:rowOff>190501</xdr:rowOff>
    </xdr:from>
    <xdr:to>
      <xdr:col>23</xdr:col>
      <xdr:colOff>1</xdr:colOff>
      <xdr:row>74</xdr:row>
      <xdr:rowOff>31751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682625</xdr:colOff>
      <xdr:row>60</xdr:row>
      <xdr:rowOff>0</xdr:rowOff>
    </xdr:from>
    <xdr:to>
      <xdr:col>31</xdr:col>
      <xdr:colOff>47625</xdr:colOff>
      <xdr:row>74</xdr:row>
      <xdr:rowOff>79374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146960</xdr:colOff>
      <xdr:row>42</xdr:row>
      <xdr:rowOff>276224</xdr:rowOff>
    </xdr:from>
    <xdr:to>
      <xdr:col>27</xdr:col>
      <xdr:colOff>698499</xdr:colOff>
      <xdr:row>59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15876</xdr:colOff>
      <xdr:row>59</xdr:row>
      <xdr:rowOff>247650</xdr:rowOff>
    </xdr:from>
    <xdr:to>
      <xdr:col>23</xdr:col>
      <xdr:colOff>15876</xdr:colOff>
      <xdr:row>73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31750</xdr:colOff>
      <xdr:row>59</xdr:row>
      <xdr:rowOff>269876</xdr:rowOff>
    </xdr:from>
    <xdr:to>
      <xdr:col>31</xdr:col>
      <xdr:colOff>142874</xdr:colOff>
      <xdr:row>74</xdr:row>
      <xdr:rowOff>47625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15363</xdr:colOff>
      <xdr:row>59</xdr:row>
      <xdr:rowOff>55614</xdr:rowOff>
    </xdr:from>
    <xdr:to>
      <xdr:col>23</xdr:col>
      <xdr:colOff>667261</xdr:colOff>
      <xdr:row>74</xdr:row>
      <xdr:rowOff>276533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22532</xdr:colOff>
      <xdr:row>74</xdr:row>
      <xdr:rowOff>284725</xdr:rowOff>
    </xdr:from>
    <xdr:to>
      <xdr:col>23</xdr:col>
      <xdr:colOff>675968</xdr:colOff>
      <xdr:row>90</xdr:row>
      <xdr:rowOff>184354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42</xdr:row>
      <xdr:rowOff>276532</xdr:rowOff>
    </xdr:from>
    <xdr:to>
      <xdr:col>28</xdr:col>
      <xdr:colOff>61452</xdr:colOff>
      <xdr:row>59</xdr:row>
      <xdr:rowOff>46089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B1479DA-5971-4C86-B1E4-E3FF6803A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675968</xdr:colOff>
      <xdr:row>59</xdr:row>
      <xdr:rowOff>30725</xdr:rowOff>
    </xdr:from>
    <xdr:to>
      <xdr:col>30</xdr:col>
      <xdr:colOff>606323</xdr:colOff>
      <xdr:row>74</xdr:row>
      <xdr:rowOff>276532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2B7382E-4B15-4EF4-93FB-9D818AF53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691332</xdr:colOff>
      <xdr:row>75</xdr:row>
      <xdr:rowOff>0</xdr:rowOff>
    </xdr:from>
    <xdr:to>
      <xdr:col>30</xdr:col>
      <xdr:colOff>621687</xdr:colOff>
      <xdr:row>90</xdr:row>
      <xdr:rowOff>191986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3691E3B-4857-4DC1-8A18-A673B29C4B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3" t="s">
        <v>23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 spans="2:32" ht="20.100000000000001" customHeight="1" x14ac:dyDescent="0.25">
      <c r="B2" s="74" t="s">
        <v>95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</row>
    <row r="3" spans="2:32" ht="20.100000000000001" customHeight="1" x14ac:dyDescent="0.25">
      <c r="B3" s="22" t="s">
        <v>96</v>
      </c>
      <c r="C3" s="75" t="s">
        <v>176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71" t="s">
        <v>173</v>
      </c>
      <c r="H5" s="72"/>
      <c r="I5" s="14"/>
      <c r="J5" s="2" t="s">
        <v>5</v>
      </c>
      <c r="K5" s="71" t="s">
        <v>171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">
        <v>166</v>
      </c>
      <c r="E6" s="72"/>
      <c r="F6" s="2" t="s">
        <v>2</v>
      </c>
      <c r="G6" s="71" t="s">
        <v>165</v>
      </c>
      <c r="H6" s="72"/>
      <c r="J6" s="2" t="s">
        <v>21</v>
      </c>
      <c r="K6" s="71" t="s">
        <v>184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0</v>
      </c>
      <c r="E10" s="50">
        <v>0</v>
      </c>
      <c r="F10" s="50">
        <v>3</v>
      </c>
      <c r="G10" s="50">
        <v>0</v>
      </c>
      <c r="H10" s="50">
        <v>1</v>
      </c>
      <c r="I10" s="50">
        <v>0</v>
      </c>
      <c r="J10" s="50">
        <v>0</v>
      </c>
      <c r="K10" s="50">
        <v>3</v>
      </c>
      <c r="L10" s="50">
        <v>0</v>
      </c>
      <c r="M10" s="50">
        <v>3</v>
      </c>
      <c r="N10" s="50">
        <v>0</v>
      </c>
      <c r="O10" s="15">
        <f t="shared" ref="O10:O57" si="0">SUM(C10:L10,N10)</f>
        <v>11</v>
      </c>
      <c r="P10" s="15">
        <f t="shared" ref="P10:P57" si="1">SUM(C10:N10)</f>
        <v>14</v>
      </c>
      <c r="R10" s="1" t="s">
        <v>6</v>
      </c>
      <c r="S10" s="17">
        <f t="shared" ref="S10:AF10" si="2">SUM(C10:C13)</f>
        <v>22</v>
      </c>
      <c r="T10" s="17">
        <f t="shared" si="2"/>
        <v>6</v>
      </c>
      <c r="U10" s="17">
        <f t="shared" si="2"/>
        <v>3</v>
      </c>
      <c r="V10" s="17">
        <f t="shared" si="2"/>
        <v>11</v>
      </c>
      <c r="W10" s="17">
        <f t="shared" si="2"/>
        <v>0</v>
      </c>
      <c r="X10" s="17">
        <f t="shared" si="2"/>
        <v>1</v>
      </c>
      <c r="Y10" s="17">
        <f t="shared" si="2"/>
        <v>9</v>
      </c>
      <c r="Z10" s="17">
        <f t="shared" si="2"/>
        <v>1</v>
      </c>
      <c r="AA10" s="17">
        <f t="shared" si="2"/>
        <v>6</v>
      </c>
      <c r="AB10" s="17">
        <f t="shared" si="2"/>
        <v>0</v>
      </c>
      <c r="AC10" s="17">
        <f t="shared" si="2"/>
        <v>18</v>
      </c>
      <c r="AD10" s="17">
        <f t="shared" si="2"/>
        <v>0</v>
      </c>
      <c r="AE10" s="31">
        <f t="shared" si="2"/>
        <v>59</v>
      </c>
      <c r="AF10" s="31">
        <f t="shared" si="2"/>
        <v>77</v>
      </c>
    </row>
    <row r="11" spans="2:32" s="6" customFormat="1" ht="23.1" customHeight="1" x14ac:dyDescent="0.25">
      <c r="B11" s="23" t="s">
        <v>38</v>
      </c>
      <c r="C11" s="50">
        <v>8</v>
      </c>
      <c r="D11" s="50">
        <v>0</v>
      </c>
      <c r="E11" s="50">
        <v>1</v>
      </c>
      <c r="F11" s="50">
        <v>4</v>
      </c>
      <c r="G11" s="50">
        <v>0</v>
      </c>
      <c r="H11" s="50">
        <v>0</v>
      </c>
      <c r="I11" s="50">
        <v>4</v>
      </c>
      <c r="J11" s="50">
        <v>0</v>
      </c>
      <c r="K11" s="50">
        <v>1</v>
      </c>
      <c r="L11" s="50">
        <v>0</v>
      </c>
      <c r="M11" s="50">
        <v>5</v>
      </c>
      <c r="N11" s="50">
        <v>0</v>
      </c>
      <c r="O11" s="15">
        <f t="shared" si="0"/>
        <v>18</v>
      </c>
      <c r="P11" s="15">
        <f t="shared" si="1"/>
        <v>23</v>
      </c>
      <c r="R11" s="1" t="s">
        <v>7</v>
      </c>
      <c r="S11" s="17">
        <f t="shared" ref="S11:AF11" si="3">SUM(C14:C17)</f>
        <v>25</v>
      </c>
      <c r="T11" s="17">
        <f t="shared" si="3"/>
        <v>5</v>
      </c>
      <c r="U11" s="17">
        <f t="shared" si="3"/>
        <v>5</v>
      </c>
      <c r="V11" s="17">
        <f t="shared" si="3"/>
        <v>10</v>
      </c>
      <c r="W11" s="17">
        <f t="shared" si="3"/>
        <v>0</v>
      </c>
      <c r="X11" s="17">
        <f t="shared" si="3"/>
        <v>1</v>
      </c>
      <c r="Y11" s="17">
        <f t="shared" si="3"/>
        <v>4</v>
      </c>
      <c r="Z11" s="17">
        <f t="shared" si="3"/>
        <v>4</v>
      </c>
      <c r="AA11" s="17">
        <f t="shared" si="3"/>
        <v>9</v>
      </c>
      <c r="AB11" s="17">
        <f t="shared" si="3"/>
        <v>0</v>
      </c>
      <c r="AC11" s="17">
        <f t="shared" si="3"/>
        <v>21</v>
      </c>
      <c r="AD11" s="17">
        <f t="shared" si="3"/>
        <v>0</v>
      </c>
      <c r="AE11" s="31">
        <f t="shared" si="3"/>
        <v>63</v>
      </c>
      <c r="AF11" s="31">
        <f t="shared" si="3"/>
        <v>84</v>
      </c>
    </row>
    <row r="12" spans="2:32" ht="23.1" customHeight="1" x14ac:dyDescent="0.25">
      <c r="B12" s="23" t="s">
        <v>39</v>
      </c>
      <c r="C12" s="50">
        <v>6</v>
      </c>
      <c r="D12" s="50">
        <v>3</v>
      </c>
      <c r="E12" s="50">
        <v>2</v>
      </c>
      <c r="F12" s="50">
        <v>1</v>
      </c>
      <c r="G12" s="50">
        <v>0</v>
      </c>
      <c r="H12" s="50">
        <v>0</v>
      </c>
      <c r="I12" s="50">
        <v>1</v>
      </c>
      <c r="J12" s="50">
        <v>1</v>
      </c>
      <c r="K12" s="50">
        <v>1</v>
      </c>
      <c r="L12" s="50">
        <v>0</v>
      </c>
      <c r="M12" s="50">
        <v>4</v>
      </c>
      <c r="N12" s="50">
        <v>0</v>
      </c>
      <c r="O12" s="15">
        <f t="shared" si="0"/>
        <v>15</v>
      </c>
      <c r="P12" s="15">
        <f t="shared" si="1"/>
        <v>19</v>
      </c>
      <c r="R12" s="1" t="s">
        <v>8</v>
      </c>
      <c r="S12" s="17">
        <f t="shared" ref="S12:AF12" si="4">SUM(C18:C21)</f>
        <v>24</v>
      </c>
      <c r="T12" s="17">
        <f t="shared" si="4"/>
        <v>10</v>
      </c>
      <c r="U12" s="17">
        <f t="shared" si="4"/>
        <v>12</v>
      </c>
      <c r="V12" s="17">
        <f t="shared" si="4"/>
        <v>11</v>
      </c>
      <c r="W12" s="17">
        <f t="shared" si="4"/>
        <v>0</v>
      </c>
      <c r="X12" s="17">
        <f t="shared" si="4"/>
        <v>4</v>
      </c>
      <c r="Y12" s="17">
        <f t="shared" si="4"/>
        <v>10</v>
      </c>
      <c r="Z12" s="17">
        <f t="shared" si="4"/>
        <v>8</v>
      </c>
      <c r="AA12" s="17">
        <f t="shared" si="4"/>
        <v>12</v>
      </c>
      <c r="AB12" s="17">
        <f t="shared" si="4"/>
        <v>0</v>
      </c>
      <c r="AC12" s="17">
        <f t="shared" si="4"/>
        <v>20</v>
      </c>
      <c r="AD12" s="17">
        <f t="shared" si="4"/>
        <v>0</v>
      </c>
      <c r="AE12" s="31">
        <f t="shared" si="4"/>
        <v>91</v>
      </c>
      <c r="AF12" s="31">
        <f t="shared" si="4"/>
        <v>111</v>
      </c>
    </row>
    <row r="13" spans="2:32" ht="23.1" customHeight="1" x14ac:dyDescent="0.25">
      <c r="B13" s="23" t="s">
        <v>40</v>
      </c>
      <c r="C13" s="50">
        <v>4</v>
      </c>
      <c r="D13" s="50">
        <v>3</v>
      </c>
      <c r="E13" s="50">
        <v>0</v>
      </c>
      <c r="F13" s="50">
        <v>3</v>
      </c>
      <c r="G13" s="50">
        <v>0</v>
      </c>
      <c r="H13" s="50">
        <v>0</v>
      </c>
      <c r="I13" s="50">
        <v>4</v>
      </c>
      <c r="J13" s="50">
        <v>0</v>
      </c>
      <c r="K13" s="50">
        <v>1</v>
      </c>
      <c r="L13" s="50">
        <v>0</v>
      </c>
      <c r="M13" s="50">
        <v>6</v>
      </c>
      <c r="N13" s="50">
        <v>0</v>
      </c>
      <c r="O13" s="15">
        <f t="shared" si="0"/>
        <v>15</v>
      </c>
      <c r="P13" s="15">
        <f t="shared" si="1"/>
        <v>21</v>
      </c>
      <c r="R13" s="1" t="s">
        <v>9</v>
      </c>
      <c r="S13" s="17">
        <f t="shared" ref="S13:AF13" si="5">SUM(C22:C25)</f>
        <v>37</v>
      </c>
      <c r="T13" s="17">
        <f t="shared" si="5"/>
        <v>15</v>
      </c>
      <c r="U13" s="17">
        <f t="shared" si="5"/>
        <v>12</v>
      </c>
      <c r="V13" s="17">
        <f t="shared" si="5"/>
        <v>21</v>
      </c>
      <c r="W13" s="17">
        <f t="shared" si="5"/>
        <v>0</v>
      </c>
      <c r="X13" s="17">
        <f t="shared" si="5"/>
        <v>6</v>
      </c>
      <c r="Y13" s="17">
        <f t="shared" si="5"/>
        <v>4</v>
      </c>
      <c r="Z13" s="17">
        <f t="shared" si="5"/>
        <v>6</v>
      </c>
      <c r="AA13" s="17">
        <f t="shared" si="5"/>
        <v>14</v>
      </c>
      <c r="AB13" s="17">
        <f t="shared" si="5"/>
        <v>2</v>
      </c>
      <c r="AC13" s="17">
        <f t="shared" si="5"/>
        <v>26</v>
      </c>
      <c r="AD13" s="17">
        <f t="shared" si="5"/>
        <v>0</v>
      </c>
      <c r="AE13" s="31">
        <f t="shared" si="5"/>
        <v>117</v>
      </c>
      <c r="AF13" s="31">
        <f t="shared" si="5"/>
        <v>143</v>
      </c>
    </row>
    <row r="14" spans="2:32" ht="23.1" customHeight="1" x14ac:dyDescent="0.25">
      <c r="B14" s="23" t="s">
        <v>41</v>
      </c>
      <c r="C14" s="50">
        <v>6</v>
      </c>
      <c r="D14" s="50">
        <v>1</v>
      </c>
      <c r="E14" s="50">
        <v>0</v>
      </c>
      <c r="F14" s="50">
        <v>2</v>
      </c>
      <c r="G14" s="50">
        <v>0</v>
      </c>
      <c r="H14" s="50">
        <v>0</v>
      </c>
      <c r="I14" s="50">
        <v>2</v>
      </c>
      <c r="J14" s="50">
        <v>1</v>
      </c>
      <c r="K14" s="50">
        <v>4</v>
      </c>
      <c r="L14" s="50">
        <v>0</v>
      </c>
      <c r="M14" s="50">
        <v>9</v>
      </c>
      <c r="N14" s="50">
        <v>0</v>
      </c>
      <c r="O14" s="15">
        <f t="shared" si="0"/>
        <v>16</v>
      </c>
      <c r="P14" s="15">
        <f t="shared" si="1"/>
        <v>25</v>
      </c>
      <c r="R14" s="1" t="s">
        <v>10</v>
      </c>
      <c r="S14" s="17">
        <f t="shared" ref="S14:AF14" si="6">SUM(C26:C29)</f>
        <v>25</v>
      </c>
      <c r="T14" s="17">
        <f t="shared" si="6"/>
        <v>8</v>
      </c>
      <c r="U14" s="17">
        <f t="shared" si="6"/>
        <v>8</v>
      </c>
      <c r="V14" s="17">
        <f t="shared" si="6"/>
        <v>19</v>
      </c>
      <c r="W14" s="17">
        <f t="shared" si="6"/>
        <v>3</v>
      </c>
      <c r="X14" s="17">
        <f t="shared" si="6"/>
        <v>5</v>
      </c>
      <c r="Y14" s="17">
        <f t="shared" si="6"/>
        <v>6</v>
      </c>
      <c r="Z14" s="17">
        <f t="shared" si="6"/>
        <v>4</v>
      </c>
      <c r="AA14" s="17">
        <f t="shared" si="6"/>
        <v>4</v>
      </c>
      <c r="AB14" s="17">
        <f t="shared" si="6"/>
        <v>0</v>
      </c>
      <c r="AC14" s="17">
        <f t="shared" si="6"/>
        <v>21</v>
      </c>
      <c r="AD14" s="17">
        <f t="shared" si="6"/>
        <v>0</v>
      </c>
      <c r="AE14" s="31">
        <f t="shared" si="6"/>
        <v>82</v>
      </c>
      <c r="AF14" s="31">
        <f t="shared" si="6"/>
        <v>103</v>
      </c>
    </row>
    <row r="15" spans="2:32" ht="23.1" customHeight="1" x14ac:dyDescent="0.25">
      <c r="B15" s="23" t="s">
        <v>42</v>
      </c>
      <c r="C15" s="50">
        <v>6</v>
      </c>
      <c r="D15" s="50">
        <v>2</v>
      </c>
      <c r="E15" s="50">
        <v>1</v>
      </c>
      <c r="F15" s="50">
        <v>1</v>
      </c>
      <c r="G15" s="50">
        <v>0</v>
      </c>
      <c r="H15" s="50">
        <v>0</v>
      </c>
      <c r="I15" s="50">
        <v>1</v>
      </c>
      <c r="J15" s="50">
        <v>0</v>
      </c>
      <c r="K15" s="50">
        <v>2</v>
      </c>
      <c r="L15" s="50">
        <v>0</v>
      </c>
      <c r="M15" s="50">
        <v>2</v>
      </c>
      <c r="N15" s="50">
        <v>0</v>
      </c>
      <c r="O15" s="15">
        <f t="shared" si="0"/>
        <v>13</v>
      </c>
      <c r="P15" s="15">
        <f t="shared" si="1"/>
        <v>15</v>
      </c>
      <c r="R15" s="1" t="s">
        <v>11</v>
      </c>
      <c r="S15" s="17">
        <f t="shared" ref="S15:AF15" si="7">SUM(C30:C33)</f>
        <v>28</v>
      </c>
      <c r="T15" s="17">
        <f t="shared" si="7"/>
        <v>14</v>
      </c>
      <c r="U15" s="17">
        <f t="shared" si="7"/>
        <v>5</v>
      </c>
      <c r="V15" s="17">
        <f t="shared" si="7"/>
        <v>19</v>
      </c>
      <c r="W15" s="17">
        <f t="shared" si="7"/>
        <v>1</v>
      </c>
      <c r="X15" s="17">
        <f t="shared" si="7"/>
        <v>6</v>
      </c>
      <c r="Y15" s="17">
        <f t="shared" si="7"/>
        <v>12</v>
      </c>
      <c r="Z15" s="17">
        <f t="shared" si="7"/>
        <v>3</v>
      </c>
      <c r="AA15" s="17">
        <f t="shared" si="7"/>
        <v>8</v>
      </c>
      <c r="AB15" s="17">
        <f t="shared" si="7"/>
        <v>1</v>
      </c>
      <c r="AC15" s="17">
        <f t="shared" si="7"/>
        <v>36</v>
      </c>
      <c r="AD15" s="17">
        <f t="shared" si="7"/>
        <v>0</v>
      </c>
      <c r="AE15" s="31">
        <f t="shared" si="7"/>
        <v>97</v>
      </c>
      <c r="AF15" s="31">
        <f t="shared" si="7"/>
        <v>133</v>
      </c>
    </row>
    <row r="16" spans="2:32" ht="23.1" customHeight="1" x14ac:dyDescent="0.25">
      <c r="B16" s="23" t="s">
        <v>43</v>
      </c>
      <c r="C16" s="50">
        <v>5</v>
      </c>
      <c r="D16" s="50">
        <v>1</v>
      </c>
      <c r="E16" s="50">
        <v>1</v>
      </c>
      <c r="F16" s="50">
        <v>4</v>
      </c>
      <c r="G16" s="50">
        <v>0</v>
      </c>
      <c r="H16" s="50">
        <v>1</v>
      </c>
      <c r="I16" s="50">
        <v>0</v>
      </c>
      <c r="J16" s="50">
        <v>3</v>
      </c>
      <c r="K16" s="50">
        <v>1</v>
      </c>
      <c r="L16" s="50">
        <v>0</v>
      </c>
      <c r="M16" s="50">
        <v>4</v>
      </c>
      <c r="N16" s="50">
        <v>0</v>
      </c>
      <c r="O16" s="15">
        <f t="shared" si="0"/>
        <v>16</v>
      </c>
      <c r="P16" s="15">
        <f t="shared" si="1"/>
        <v>20</v>
      </c>
      <c r="R16" s="1" t="s">
        <v>12</v>
      </c>
      <c r="S16" s="17">
        <f t="shared" ref="S16:AF16" si="8">SUM(C34:C37)</f>
        <v>21</v>
      </c>
      <c r="T16" s="17">
        <f t="shared" si="8"/>
        <v>11</v>
      </c>
      <c r="U16" s="17">
        <f t="shared" si="8"/>
        <v>7</v>
      </c>
      <c r="V16" s="17">
        <f t="shared" si="8"/>
        <v>21</v>
      </c>
      <c r="W16" s="17">
        <f t="shared" si="8"/>
        <v>0</v>
      </c>
      <c r="X16" s="17">
        <f t="shared" si="8"/>
        <v>3</v>
      </c>
      <c r="Y16" s="17">
        <f t="shared" si="8"/>
        <v>6</v>
      </c>
      <c r="Z16" s="17">
        <f t="shared" si="8"/>
        <v>4</v>
      </c>
      <c r="AA16" s="17">
        <f t="shared" si="8"/>
        <v>8</v>
      </c>
      <c r="AB16" s="17">
        <f t="shared" si="8"/>
        <v>2</v>
      </c>
      <c r="AC16" s="17">
        <f t="shared" si="8"/>
        <v>22</v>
      </c>
      <c r="AD16" s="17">
        <f t="shared" si="8"/>
        <v>0</v>
      </c>
      <c r="AE16" s="31">
        <f t="shared" si="8"/>
        <v>83</v>
      </c>
      <c r="AF16" s="31">
        <f t="shared" si="8"/>
        <v>105</v>
      </c>
    </row>
    <row r="17" spans="2:32" ht="23.1" customHeight="1" x14ac:dyDescent="0.25">
      <c r="B17" s="23" t="s">
        <v>44</v>
      </c>
      <c r="C17" s="50">
        <v>8</v>
      </c>
      <c r="D17" s="50">
        <v>1</v>
      </c>
      <c r="E17" s="50">
        <v>3</v>
      </c>
      <c r="F17" s="50">
        <v>3</v>
      </c>
      <c r="G17" s="50">
        <v>0</v>
      </c>
      <c r="H17" s="50">
        <v>0</v>
      </c>
      <c r="I17" s="50">
        <v>1</v>
      </c>
      <c r="J17" s="50">
        <v>0</v>
      </c>
      <c r="K17" s="50">
        <v>2</v>
      </c>
      <c r="L17" s="50">
        <v>0</v>
      </c>
      <c r="M17" s="50">
        <v>6</v>
      </c>
      <c r="N17" s="50">
        <v>0</v>
      </c>
      <c r="O17" s="15">
        <f t="shared" si="0"/>
        <v>18</v>
      </c>
      <c r="P17" s="15">
        <f t="shared" si="1"/>
        <v>24</v>
      </c>
      <c r="R17" s="1" t="s">
        <v>13</v>
      </c>
      <c r="S17" s="17">
        <f t="shared" ref="S17:AF17" si="9">SUM(C38:C41)</f>
        <v>24</v>
      </c>
      <c r="T17" s="17">
        <f t="shared" si="9"/>
        <v>13</v>
      </c>
      <c r="U17" s="17">
        <f t="shared" si="9"/>
        <v>1</v>
      </c>
      <c r="V17" s="17">
        <f t="shared" si="9"/>
        <v>10</v>
      </c>
      <c r="W17" s="17">
        <f t="shared" si="9"/>
        <v>0</v>
      </c>
      <c r="X17" s="17">
        <f t="shared" si="9"/>
        <v>7</v>
      </c>
      <c r="Y17" s="17">
        <f t="shared" si="9"/>
        <v>5</v>
      </c>
      <c r="Z17" s="17">
        <f t="shared" si="9"/>
        <v>4</v>
      </c>
      <c r="AA17" s="17">
        <f t="shared" si="9"/>
        <v>10</v>
      </c>
      <c r="AB17" s="17">
        <f t="shared" si="9"/>
        <v>0</v>
      </c>
      <c r="AC17" s="17">
        <f t="shared" si="9"/>
        <v>17</v>
      </c>
      <c r="AD17" s="17">
        <f t="shared" si="9"/>
        <v>0</v>
      </c>
      <c r="AE17" s="31">
        <f t="shared" si="9"/>
        <v>74</v>
      </c>
      <c r="AF17" s="31">
        <f t="shared" si="9"/>
        <v>91</v>
      </c>
    </row>
    <row r="18" spans="2:32" ht="23.1" customHeight="1" x14ac:dyDescent="0.25">
      <c r="B18" s="23" t="s">
        <v>45</v>
      </c>
      <c r="C18" s="50">
        <v>9</v>
      </c>
      <c r="D18" s="50">
        <v>2</v>
      </c>
      <c r="E18" s="50">
        <v>2</v>
      </c>
      <c r="F18" s="50">
        <v>2</v>
      </c>
      <c r="G18" s="50">
        <v>0</v>
      </c>
      <c r="H18" s="50">
        <v>1</v>
      </c>
      <c r="I18" s="50">
        <v>4</v>
      </c>
      <c r="J18" s="50">
        <v>1</v>
      </c>
      <c r="K18" s="50">
        <v>1</v>
      </c>
      <c r="L18" s="50">
        <v>0</v>
      </c>
      <c r="M18" s="50">
        <v>2</v>
      </c>
      <c r="N18" s="50">
        <v>0</v>
      </c>
      <c r="O18" s="15">
        <f t="shared" si="0"/>
        <v>22</v>
      </c>
      <c r="P18" s="15">
        <f t="shared" si="1"/>
        <v>24</v>
      </c>
      <c r="R18" s="1" t="s">
        <v>14</v>
      </c>
      <c r="S18" s="17">
        <f t="shared" ref="S18:AF18" si="10">SUM(C42:C45)</f>
        <v>30</v>
      </c>
      <c r="T18" s="17">
        <f t="shared" si="10"/>
        <v>11</v>
      </c>
      <c r="U18" s="17">
        <f t="shared" si="10"/>
        <v>6</v>
      </c>
      <c r="V18" s="17">
        <f t="shared" si="10"/>
        <v>18</v>
      </c>
      <c r="W18" s="17">
        <f t="shared" si="10"/>
        <v>0</v>
      </c>
      <c r="X18" s="17">
        <f t="shared" si="10"/>
        <v>8</v>
      </c>
      <c r="Y18" s="17">
        <f t="shared" si="10"/>
        <v>13</v>
      </c>
      <c r="Z18" s="17">
        <f t="shared" si="10"/>
        <v>1</v>
      </c>
      <c r="AA18" s="17">
        <f t="shared" si="10"/>
        <v>9</v>
      </c>
      <c r="AB18" s="17">
        <f t="shared" si="10"/>
        <v>0</v>
      </c>
      <c r="AC18" s="17">
        <f t="shared" si="10"/>
        <v>26</v>
      </c>
      <c r="AD18" s="17">
        <f t="shared" si="10"/>
        <v>0</v>
      </c>
      <c r="AE18" s="31">
        <f t="shared" si="10"/>
        <v>96</v>
      </c>
      <c r="AF18" s="31">
        <f t="shared" si="10"/>
        <v>122</v>
      </c>
    </row>
    <row r="19" spans="2:32" ht="23.1" customHeight="1" x14ac:dyDescent="0.25">
      <c r="B19" s="23" t="s">
        <v>46</v>
      </c>
      <c r="C19" s="50">
        <v>4</v>
      </c>
      <c r="D19" s="50">
        <v>2</v>
      </c>
      <c r="E19" s="50">
        <v>4</v>
      </c>
      <c r="F19" s="50">
        <v>5</v>
      </c>
      <c r="G19" s="50">
        <v>0</v>
      </c>
      <c r="H19" s="50">
        <v>0</v>
      </c>
      <c r="I19" s="50">
        <v>0</v>
      </c>
      <c r="J19" s="50">
        <v>1</v>
      </c>
      <c r="K19" s="50">
        <v>4</v>
      </c>
      <c r="L19" s="50">
        <v>0</v>
      </c>
      <c r="M19" s="50">
        <v>6</v>
      </c>
      <c r="N19" s="50">
        <v>0</v>
      </c>
      <c r="O19" s="15">
        <f t="shared" si="0"/>
        <v>20</v>
      </c>
      <c r="P19" s="15">
        <f t="shared" si="1"/>
        <v>26</v>
      </c>
      <c r="R19" s="1" t="s">
        <v>15</v>
      </c>
      <c r="S19" s="17">
        <f t="shared" ref="S19:AF19" si="11">SUM(C46:C49)</f>
        <v>27</v>
      </c>
      <c r="T19" s="17">
        <f t="shared" si="11"/>
        <v>14</v>
      </c>
      <c r="U19" s="17">
        <f t="shared" si="11"/>
        <v>10</v>
      </c>
      <c r="V19" s="17">
        <f t="shared" si="11"/>
        <v>17</v>
      </c>
      <c r="W19" s="17">
        <f t="shared" si="11"/>
        <v>1</v>
      </c>
      <c r="X19" s="17">
        <f t="shared" si="11"/>
        <v>9</v>
      </c>
      <c r="Y19" s="17">
        <f t="shared" si="11"/>
        <v>7</v>
      </c>
      <c r="Z19" s="17">
        <f t="shared" si="11"/>
        <v>5</v>
      </c>
      <c r="AA19" s="17">
        <f t="shared" si="11"/>
        <v>6</v>
      </c>
      <c r="AB19" s="17">
        <f t="shared" si="11"/>
        <v>1</v>
      </c>
      <c r="AC19" s="17">
        <f t="shared" si="11"/>
        <v>28</v>
      </c>
      <c r="AD19" s="17">
        <f t="shared" si="11"/>
        <v>0</v>
      </c>
      <c r="AE19" s="31">
        <f t="shared" si="11"/>
        <v>97</v>
      </c>
      <c r="AF19" s="31">
        <f t="shared" si="11"/>
        <v>125</v>
      </c>
    </row>
    <row r="20" spans="2:32" ht="23.1" customHeight="1" x14ac:dyDescent="0.25">
      <c r="B20" s="23" t="s">
        <v>47</v>
      </c>
      <c r="C20" s="50">
        <v>7</v>
      </c>
      <c r="D20" s="50">
        <v>2</v>
      </c>
      <c r="E20" s="50">
        <v>3</v>
      </c>
      <c r="F20" s="50">
        <v>2</v>
      </c>
      <c r="G20" s="50">
        <v>0</v>
      </c>
      <c r="H20" s="50">
        <v>2</v>
      </c>
      <c r="I20" s="50">
        <v>6</v>
      </c>
      <c r="J20" s="50">
        <v>3</v>
      </c>
      <c r="K20" s="50">
        <v>4</v>
      </c>
      <c r="L20" s="50">
        <v>0</v>
      </c>
      <c r="M20" s="50">
        <v>5</v>
      </c>
      <c r="N20" s="50">
        <v>0</v>
      </c>
      <c r="O20" s="15">
        <f t="shared" si="0"/>
        <v>29</v>
      </c>
      <c r="P20" s="15">
        <f t="shared" si="1"/>
        <v>34</v>
      </c>
      <c r="R20" s="1" t="s">
        <v>16</v>
      </c>
      <c r="S20" s="17">
        <f t="shared" ref="S20:AF20" si="12">SUM(C50:C53)</f>
        <v>34</v>
      </c>
      <c r="T20" s="17">
        <f t="shared" si="12"/>
        <v>12</v>
      </c>
      <c r="U20" s="17">
        <f t="shared" si="12"/>
        <v>10</v>
      </c>
      <c r="V20" s="17">
        <f t="shared" si="12"/>
        <v>16</v>
      </c>
      <c r="W20" s="17">
        <f t="shared" si="12"/>
        <v>0</v>
      </c>
      <c r="X20" s="17">
        <f t="shared" si="12"/>
        <v>5</v>
      </c>
      <c r="Y20" s="17">
        <f t="shared" si="12"/>
        <v>14</v>
      </c>
      <c r="Z20" s="17">
        <f t="shared" si="12"/>
        <v>0</v>
      </c>
      <c r="AA20" s="17">
        <f t="shared" si="12"/>
        <v>9</v>
      </c>
      <c r="AB20" s="17">
        <f t="shared" si="12"/>
        <v>1</v>
      </c>
      <c r="AC20" s="17">
        <f t="shared" si="12"/>
        <v>35</v>
      </c>
      <c r="AD20" s="17">
        <f t="shared" si="12"/>
        <v>0</v>
      </c>
      <c r="AE20" s="31">
        <f t="shared" si="12"/>
        <v>101</v>
      </c>
      <c r="AF20" s="31">
        <f t="shared" si="12"/>
        <v>136</v>
      </c>
    </row>
    <row r="21" spans="2:32" ht="23.1" customHeight="1" x14ac:dyDescent="0.25">
      <c r="B21" s="23" t="s">
        <v>48</v>
      </c>
      <c r="C21" s="50">
        <v>4</v>
      </c>
      <c r="D21" s="50">
        <v>4</v>
      </c>
      <c r="E21" s="50">
        <v>3</v>
      </c>
      <c r="F21" s="50">
        <v>2</v>
      </c>
      <c r="G21" s="50">
        <v>0</v>
      </c>
      <c r="H21" s="50">
        <v>1</v>
      </c>
      <c r="I21" s="50">
        <v>0</v>
      </c>
      <c r="J21" s="50">
        <v>3</v>
      </c>
      <c r="K21" s="50">
        <v>3</v>
      </c>
      <c r="L21" s="50">
        <v>0</v>
      </c>
      <c r="M21" s="50">
        <v>7</v>
      </c>
      <c r="N21" s="50">
        <v>0</v>
      </c>
      <c r="O21" s="15">
        <f t="shared" si="0"/>
        <v>20</v>
      </c>
      <c r="P21" s="15">
        <f t="shared" si="1"/>
        <v>27</v>
      </c>
      <c r="R21" s="36" t="s">
        <v>20</v>
      </c>
      <c r="S21" s="34">
        <f t="shared" ref="S21:AF21" si="13">SUM(C54:C57)</f>
        <v>23</v>
      </c>
      <c r="T21" s="17">
        <f t="shared" si="13"/>
        <v>7</v>
      </c>
      <c r="U21" s="17">
        <f t="shared" si="13"/>
        <v>13</v>
      </c>
      <c r="V21" s="17">
        <f t="shared" si="13"/>
        <v>18</v>
      </c>
      <c r="W21" s="17">
        <f t="shared" si="13"/>
        <v>1</v>
      </c>
      <c r="X21" s="17">
        <f t="shared" si="13"/>
        <v>5</v>
      </c>
      <c r="Y21" s="17">
        <f t="shared" si="13"/>
        <v>12</v>
      </c>
      <c r="Z21" s="17">
        <f t="shared" si="13"/>
        <v>5</v>
      </c>
      <c r="AA21" s="17">
        <f t="shared" si="13"/>
        <v>7</v>
      </c>
      <c r="AB21" s="17">
        <f t="shared" si="13"/>
        <v>0</v>
      </c>
      <c r="AC21" s="17">
        <f t="shared" si="13"/>
        <v>38</v>
      </c>
      <c r="AD21" s="17">
        <f t="shared" si="13"/>
        <v>0</v>
      </c>
      <c r="AE21" s="31">
        <f t="shared" si="13"/>
        <v>91</v>
      </c>
      <c r="AF21" s="31">
        <f t="shared" si="13"/>
        <v>129</v>
      </c>
    </row>
    <row r="22" spans="2:32" ht="23.1" customHeight="1" x14ac:dyDescent="0.25">
      <c r="B22" s="23" t="s">
        <v>49</v>
      </c>
      <c r="C22" s="50">
        <v>9</v>
      </c>
      <c r="D22" s="50">
        <v>3</v>
      </c>
      <c r="E22" s="50">
        <v>7</v>
      </c>
      <c r="F22" s="50">
        <v>8</v>
      </c>
      <c r="G22" s="50">
        <v>0</v>
      </c>
      <c r="H22" s="50">
        <v>1</v>
      </c>
      <c r="I22" s="50">
        <v>2</v>
      </c>
      <c r="J22" s="50">
        <v>1</v>
      </c>
      <c r="K22" s="50">
        <v>2</v>
      </c>
      <c r="L22" s="50">
        <v>1</v>
      </c>
      <c r="M22" s="50">
        <v>9</v>
      </c>
      <c r="N22" s="50">
        <v>0</v>
      </c>
      <c r="O22" s="15">
        <f t="shared" si="0"/>
        <v>34</v>
      </c>
      <c r="P22" s="15">
        <f t="shared" si="1"/>
        <v>43</v>
      </c>
      <c r="R22" s="38" t="s">
        <v>90</v>
      </c>
      <c r="S22" s="39">
        <f>MAX(S10:S12)</f>
        <v>25</v>
      </c>
      <c r="T22" s="39">
        <f t="shared" ref="T22:AF22" si="14">MAX(T10:T12)</f>
        <v>10</v>
      </c>
      <c r="U22" s="39">
        <f t="shared" si="14"/>
        <v>12</v>
      </c>
      <c r="V22" s="39">
        <f t="shared" si="14"/>
        <v>11</v>
      </c>
      <c r="W22" s="39">
        <f t="shared" si="14"/>
        <v>0</v>
      </c>
      <c r="X22" s="39">
        <f t="shared" si="14"/>
        <v>4</v>
      </c>
      <c r="Y22" s="39">
        <f t="shared" si="14"/>
        <v>10</v>
      </c>
      <c r="Z22" s="39">
        <f t="shared" si="14"/>
        <v>8</v>
      </c>
      <c r="AA22" s="39">
        <f t="shared" si="14"/>
        <v>12</v>
      </c>
      <c r="AB22" s="39">
        <f t="shared" si="14"/>
        <v>0</v>
      </c>
      <c r="AC22" s="39">
        <f t="shared" si="14"/>
        <v>21</v>
      </c>
      <c r="AD22" s="39">
        <f t="shared" si="14"/>
        <v>0</v>
      </c>
      <c r="AE22" s="40">
        <f t="shared" si="14"/>
        <v>91</v>
      </c>
      <c r="AF22" s="40">
        <f t="shared" si="14"/>
        <v>111</v>
      </c>
    </row>
    <row r="23" spans="2:32" ht="23.1" customHeight="1" x14ac:dyDescent="0.25">
      <c r="B23" s="23" t="s">
        <v>50</v>
      </c>
      <c r="C23" s="50">
        <v>11</v>
      </c>
      <c r="D23" s="50">
        <v>4</v>
      </c>
      <c r="E23" s="50">
        <v>1</v>
      </c>
      <c r="F23" s="50">
        <v>2</v>
      </c>
      <c r="G23" s="50">
        <v>0</v>
      </c>
      <c r="H23" s="50">
        <v>1</v>
      </c>
      <c r="I23" s="50">
        <v>0</v>
      </c>
      <c r="J23" s="50">
        <v>1</v>
      </c>
      <c r="K23" s="50">
        <v>3</v>
      </c>
      <c r="L23" s="50">
        <v>0</v>
      </c>
      <c r="M23" s="50">
        <v>8</v>
      </c>
      <c r="N23" s="50">
        <v>0</v>
      </c>
      <c r="O23" s="15">
        <f t="shared" si="0"/>
        <v>23</v>
      </c>
      <c r="P23" s="15">
        <f t="shared" si="1"/>
        <v>31</v>
      </c>
      <c r="R23" s="38" t="s">
        <v>91</v>
      </c>
      <c r="S23" s="39">
        <f>MAX(S13:S18)</f>
        <v>37</v>
      </c>
      <c r="T23" s="39">
        <f t="shared" ref="T23:AF23" si="15">MAX(T13:T18)</f>
        <v>15</v>
      </c>
      <c r="U23" s="39">
        <f t="shared" si="15"/>
        <v>12</v>
      </c>
      <c r="V23" s="39">
        <f t="shared" si="15"/>
        <v>21</v>
      </c>
      <c r="W23" s="39">
        <f t="shared" si="15"/>
        <v>3</v>
      </c>
      <c r="X23" s="39">
        <f t="shared" si="15"/>
        <v>8</v>
      </c>
      <c r="Y23" s="39">
        <f t="shared" si="15"/>
        <v>13</v>
      </c>
      <c r="Z23" s="39">
        <f t="shared" si="15"/>
        <v>6</v>
      </c>
      <c r="AA23" s="39">
        <f t="shared" si="15"/>
        <v>14</v>
      </c>
      <c r="AB23" s="39">
        <f t="shared" si="15"/>
        <v>2</v>
      </c>
      <c r="AC23" s="39">
        <f t="shared" si="15"/>
        <v>36</v>
      </c>
      <c r="AD23" s="39">
        <f t="shared" si="15"/>
        <v>0</v>
      </c>
      <c r="AE23" s="40">
        <f t="shared" si="15"/>
        <v>117</v>
      </c>
      <c r="AF23" s="40">
        <f t="shared" si="15"/>
        <v>143</v>
      </c>
    </row>
    <row r="24" spans="2:32" ht="23.1" customHeight="1" x14ac:dyDescent="0.25">
      <c r="B24" s="23" t="s">
        <v>51</v>
      </c>
      <c r="C24" s="50">
        <v>8</v>
      </c>
      <c r="D24" s="50">
        <v>2</v>
      </c>
      <c r="E24" s="50">
        <v>2</v>
      </c>
      <c r="F24" s="50">
        <v>5</v>
      </c>
      <c r="G24" s="50">
        <v>0</v>
      </c>
      <c r="H24" s="50">
        <v>3</v>
      </c>
      <c r="I24" s="50">
        <v>2</v>
      </c>
      <c r="J24" s="50">
        <v>2</v>
      </c>
      <c r="K24" s="50">
        <v>6</v>
      </c>
      <c r="L24" s="50">
        <v>0</v>
      </c>
      <c r="M24" s="50">
        <v>1</v>
      </c>
      <c r="N24" s="50">
        <v>0</v>
      </c>
      <c r="O24" s="15">
        <f t="shared" si="0"/>
        <v>30</v>
      </c>
      <c r="P24" s="15">
        <f t="shared" si="1"/>
        <v>31</v>
      </c>
      <c r="R24" s="38" t="s">
        <v>92</v>
      </c>
      <c r="S24" s="39">
        <f>MAX(S19:S21)</f>
        <v>34</v>
      </c>
      <c r="T24" s="39">
        <f t="shared" ref="T24:AF24" si="16">MAX(T19:T21)</f>
        <v>14</v>
      </c>
      <c r="U24" s="39">
        <f t="shared" si="16"/>
        <v>13</v>
      </c>
      <c r="V24" s="39">
        <f t="shared" si="16"/>
        <v>18</v>
      </c>
      <c r="W24" s="39">
        <f t="shared" si="16"/>
        <v>1</v>
      </c>
      <c r="X24" s="39">
        <f t="shared" si="16"/>
        <v>9</v>
      </c>
      <c r="Y24" s="39">
        <f t="shared" si="16"/>
        <v>14</v>
      </c>
      <c r="Z24" s="39">
        <f t="shared" si="16"/>
        <v>5</v>
      </c>
      <c r="AA24" s="39">
        <f t="shared" si="16"/>
        <v>9</v>
      </c>
      <c r="AB24" s="39">
        <f t="shared" si="16"/>
        <v>1</v>
      </c>
      <c r="AC24" s="39">
        <f t="shared" si="16"/>
        <v>38</v>
      </c>
      <c r="AD24" s="39">
        <f t="shared" si="16"/>
        <v>0</v>
      </c>
      <c r="AE24" s="40">
        <f t="shared" si="16"/>
        <v>101</v>
      </c>
      <c r="AF24" s="40">
        <f t="shared" si="16"/>
        <v>136</v>
      </c>
    </row>
    <row r="25" spans="2:32" ht="23.1" customHeight="1" x14ac:dyDescent="0.25">
      <c r="B25" s="23" t="s">
        <v>52</v>
      </c>
      <c r="C25" s="50">
        <v>9</v>
      </c>
      <c r="D25" s="50">
        <v>6</v>
      </c>
      <c r="E25" s="50">
        <v>2</v>
      </c>
      <c r="F25" s="50">
        <v>6</v>
      </c>
      <c r="G25" s="50">
        <v>0</v>
      </c>
      <c r="H25" s="50">
        <v>1</v>
      </c>
      <c r="I25" s="50">
        <v>0</v>
      </c>
      <c r="J25" s="50">
        <v>2</v>
      </c>
      <c r="K25" s="50">
        <v>3</v>
      </c>
      <c r="L25" s="50">
        <v>1</v>
      </c>
      <c r="M25" s="50">
        <v>8</v>
      </c>
      <c r="N25" s="50">
        <v>0</v>
      </c>
      <c r="O25" s="15">
        <f t="shared" si="0"/>
        <v>30</v>
      </c>
      <c r="P25" s="15">
        <f t="shared" si="1"/>
        <v>38</v>
      </c>
      <c r="R25" s="37" t="s">
        <v>85</v>
      </c>
      <c r="S25" s="35">
        <f t="shared" ref="S25:AF25" si="17">SUM(S10:S12)</f>
        <v>71</v>
      </c>
      <c r="T25" s="16">
        <f t="shared" si="17"/>
        <v>21</v>
      </c>
      <c r="U25" s="16">
        <f t="shared" si="17"/>
        <v>20</v>
      </c>
      <c r="V25" s="16">
        <f t="shared" si="17"/>
        <v>32</v>
      </c>
      <c r="W25" s="16">
        <f t="shared" si="17"/>
        <v>0</v>
      </c>
      <c r="X25" s="16">
        <f t="shared" si="17"/>
        <v>6</v>
      </c>
      <c r="Y25" s="16">
        <f t="shared" si="17"/>
        <v>23</v>
      </c>
      <c r="Z25" s="16">
        <f t="shared" si="17"/>
        <v>13</v>
      </c>
      <c r="AA25" s="16">
        <f t="shared" si="17"/>
        <v>27</v>
      </c>
      <c r="AB25" s="16">
        <f t="shared" si="17"/>
        <v>0</v>
      </c>
      <c r="AC25" s="16">
        <f t="shared" si="17"/>
        <v>59</v>
      </c>
      <c r="AD25" s="16">
        <f t="shared" si="17"/>
        <v>0</v>
      </c>
      <c r="AE25" s="32">
        <f t="shared" si="17"/>
        <v>213</v>
      </c>
      <c r="AF25" s="32">
        <f t="shared" si="17"/>
        <v>272</v>
      </c>
    </row>
    <row r="26" spans="2:32" ht="23.1" customHeight="1" x14ac:dyDescent="0.25">
      <c r="B26" s="23" t="s">
        <v>53</v>
      </c>
      <c r="C26" s="50">
        <v>8</v>
      </c>
      <c r="D26" s="50">
        <v>4</v>
      </c>
      <c r="E26" s="50">
        <v>3</v>
      </c>
      <c r="F26" s="50">
        <v>4</v>
      </c>
      <c r="G26" s="50">
        <v>2</v>
      </c>
      <c r="H26" s="50">
        <v>1</v>
      </c>
      <c r="I26" s="50">
        <v>0</v>
      </c>
      <c r="J26" s="50">
        <v>1</v>
      </c>
      <c r="K26" s="50">
        <v>1</v>
      </c>
      <c r="L26" s="50">
        <v>0</v>
      </c>
      <c r="M26" s="50">
        <v>4</v>
      </c>
      <c r="N26" s="50">
        <v>0</v>
      </c>
      <c r="O26" s="15">
        <f t="shared" si="0"/>
        <v>24</v>
      </c>
      <c r="P26" s="15">
        <f t="shared" si="1"/>
        <v>28</v>
      </c>
      <c r="R26" s="28" t="s">
        <v>86</v>
      </c>
      <c r="S26" s="16">
        <f t="shared" ref="S26:AF26" si="18">SUM(S13:S18)</f>
        <v>165</v>
      </c>
      <c r="T26" s="16">
        <f t="shared" si="18"/>
        <v>72</v>
      </c>
      <c r="U26" s="16">
        <f t="shared" si="18"/>
        <v>39</v>
      </c>
      <c r="V26" s="16">
        <f t="shared" si="18"/>
        <v>108</v>
      </c>
      <c r="W26" s="16">
        <f t="shared" si="18"/>
        <v>4</v>
      </c>
      <c r="X26" s="16">
        <f t="shared" si="18"/>
        <v>35</v>
      </c>
      <c r="Y26" s="16">
        <f t="shared" si="18"/>
        <v>46</v>
      </c>
      <c r="Z26" s="16">
        <f t="shared" si="18"/>
        <v>22</v>
      </c>
      <c r="AA26" s="16">
        <f t="shared" si="18"/>
        <v>53</v>
      </c>
      <c r="AB26" s="16">
        <f t="shared" si="18"/>
        <v>5</v>
      </c>
      <c r="AC26" s="16">
        <f t="shared" si="18"/>
        <v>148</v>
      </c>
      <c r="AD26" s="16">
        <f t="shared" si="18"/>
        <v>0</v>
      </c>
      <c r="AE26" s="32">
        <f t="shared" si="18"/>
        <v>549</v>
      </c>
      <c r="AF26" s="32">
        <f t="shared" si="18"/>
        <v>697</v>
      </c>
    </row>
    <row r="27" spans="2:32" ht="23.1" customHeight="1" x14ac:dyDescent="0.25">
      <c r="B27" s="23" t="s">
        <v>54</v>
      </c>
      <c r="C27" s="50">
        <v>3</v>
      </c>
      <c r="D27" s="50">
        <v>1</v>
      </c>
      <c r="E27" s="50">
        <v>0</v>
      </c>
      <c r="F27" s="50">
        <v>2</v>
      </c>
      <c r="G27" s="50">
        <v>0</v>
      </c>
      <c r="H27" s="50">
        <v>0</v>
      </c>
      <c r="I27" s="50">
        <v>1</v>
      </c>
      <c r="J27" s="50">
        <v>1</v>
      </c>
      <c r="K27" s="50">
        <v>1</v>
      </c>
      <c r="L27" s="50">
        <v>0</v>
      </c>
      <c r="M27" s="50">
        <v>3</v>
      </c>
      <c r="N27" s="50">
        <v>0</v>
      </c>
      <c r="O27" s="15">
        <f t="shared" si="0"/>
        <v>9</v>
      </c>
      <c r="P27" s="15">
        <f t="shared" si="1"/>
        <v>12</v>
      </c>
      <c r="R27" s="29" t="s">
        <v>87</v>
      </c>
      <c r="S27" s="16">
        <f t="shared" ref="S27:AF27" si="19">SUM(S19:S21)</f>
        <v>84</v>
      </c>
      <c r="T27" s="16">
        <f t="shared" si="19"/>
        <v>33</v>
      </c>
      <c r="U27" s="16">
        <f t="shared" si="19"/>
        <v>33</v>
      </c>
      <c r="V27" s="16">
        <f t="shared" si="19"/>
        <v>51</v>
      </c>
      <c r="W27" s="16">
        <f t="shared" si="19"/>
        <v>2</v>
      </c>
      <c r="X27" s="16">
        <f t="shared" si="19"/>
        <v>19</v>
      </c>
      <c r="Y27" s="16">
        <f t="shared" si="19"/>
        <v>33</v>
      </c>
      <c r="Z27" s="16">
        <f t="shared" si="19"/>
        <v>10</v>
      </c>
      <c r="AA27" s="16">
        <f t="shared" si="19"/>
        <v>22</v>
      </c>
      <c r="AB27" s="16">
        <f t="shared" si="19"/>
        <v>2</v>
      </c>
      <c r="AC27" s="16">
        <f t="shared" si="19"/>
        <v>101</v>
      </c>
      <c r="AD27" s="16">
        <f t="shared" si="19"/>
        <v>0</v>
      </c>
      <c r="AE27" s="32">
        <f t="shared" si="19"/>
        <v>289</v>
      </c>
      <c r="AF27" s="32">
        <f t="shared" si="19"/>
        <v>390</v>
      </c>
    </row>
    <row r="28" spans="2:32" ht="23.1" customHeight="1" x14ac:dyDescent="0.25">
      <c r="B28" s="23" t="s">
        <v>55</v>
      </c>
      <c r="C28" s="50">
        <v>7</v>
      </c>
      <c r="D28" s="50">
        <v>1</v>
      </c>
      <c r="E28" s="50">
        <v>2</v>
      </c>
      <c r="F28" s="50">
        <v>7</v>
      </c>
      <c r="G28" s="50">
        <v>1</v>
      </c>
      <c r="H28" s="50">
        <v>2</v>
      </c>
      <c r="I28" s="50">
        <v>4</v>
      </c>
      <c r="J28" s="50">
        <v>1</v>
      </c>
      <c r="K28" s="50">
        <v>2</v>
      </c>
      <c r="L28" s="50">
        <v>0</v>
      </c>
      <c r="M28" s="50">
        <v>4</v>
      </c>
      <c r="N28" s="50">
        <v>0</v>
      </c>
      <c r="O28" s="15">
        <f t="shared" si="0"/>
        <v>27</v>
      </c>
      <c r="P28" s="15">
        <f t="shared" si="1"/>
        <v>31</v>
      </c>
      <c r="R28" s="5" t="s">
        <v>17</v>
      </c>
      <c r="S28" s="16">
        <f t="shared" ref="S28:AF28" si="20">SUM(S10:S21)</f>
        <v>320</v>
      </c>
      <c r="T28" s="16">
        <f t="shared" si="20"/>
        <v>126</v>
      </c>
      <c r="U28" s="16">
        <f t="shared" si="20"/>
        <v>92</v>
      </c>
      <c r="V28" s="16">
        <f t="shared" si="20"/>
        <v>191</v>
      </c>
      <c r="W28" s="16">
        <f t="shared" si="20"/>
        <v>6</v>
      </c>
      <c r="X28" s="16">
        <f t="shared" si="20"/>
        <v>60</v>
      </c>
      <c r="Y28" s="16">
        <f t="shared" si="20"/>
        <v>102</v>
      </c>
      <c r="Z28" s="16">
        <f t="shared" si="20"/>
        <v>45</v>
      </c>
      <c r="AA28" s="16">
        <f t="shared" si="20"/>
        <v>102</v>
      </c>
      <c r="AB28" s="16">
        <f t="shared" si="20"/>
        <v>7</v>
      </c>
      <c r="AC28" s="16">
        <f t="shared" si="20"/>
        <v>308</v>
      </c>
      <c r="AD28" s="16">
        <f t="shared" si="20"/>
        <v>0</v>
      </c>
      <c r="AE28" s="32">
        <f t="shared" si="20"/>
        <v>1051</v>
      </c>
      <c r="AF28" s="32">
        <f t="shared" si="20"/>
        <v>1359</v>
      </c>
    </row>
    <row r="29" spans="2:32" ht="23.1" customHeight="1" x14ac:dyDescent="0.25">
      <c r="B29" s="23" t="s">
        <v>56</v>
      </c>
      <c r="C29" s="50">
        <v>7</v>
      </c>
      <c r="D29" s="50">
        <v>2</v>
      </c>
      <c r="E29" s="50">
        <v>3</v>
      </c>
      <c r="F29" s="50">
        <v>6</v>
      </c>
      <c r="G29" s="50">
        <v>0</v>
      </c>
      <c r="H29" s="50">
        <v>2</v>
      </c>
      <c r="I29" s="50">
        <v>1</v>
      </c>
      <c r="J29" s="50">
        <v>1</v>
      </c>
      <c r="K29" s="50">
        <v>0</v>
      </c>
      <c r="L29" s="50">
        <v>0</v>
      </c>
      <c r="M29" s="50">
        <v>10</v>
      </c>
      <c r="N29" s="50">
        <v>0</v>
      </c>
      <c r="O29" s="15">
        <f t="shared" si="0"/>
        <v>22</v>
      </c>
      <c r="P29" s="15">
        <f t="shared" si="1"/>
        <v>32</v>
      </c>
      <c r="R29"/>
      <c r="S29" s="20"/>
      <c r="T29" s="19"/>
    </row>
    <row r="30" spans="2:32" ht="23.1" customHeight="1" x14ac:dyDescent="0.25">
      <c r="B30" s="23" t="s">
        <v>57</v>
      </c>
      <c r="C30" s="50">
        <v>11</v>
      </c>
      <c r="D30" s="50">
        <v>4</v>
      </c>
      <c r="E30" s="50">
        <v>2</v>
      </c>
      <c r="F30" s="50">
        <v>2</v>
      </c>
      <c r="G30" s="50">
        <v>0</v>
      </c>
      <c r="H30" s="50">
        <v>2</v>
      </c>
      <c r="I30" s="50">
        <v>2</v>
      </c>
      <c r="J30" s="50">
        <v>0</v>
      </c>
      <c r="K30" s="50">
        <v>3</v>
      </c>
      <c r="L30" s="50">
        <v>0</v>
      </c>
      <c r="M30" s="50">
        <v>10</v>
      </c>
      <c r="N30" s="50">
        <v>0</v>
      </c>
      <c r="O30" s="15">
        <f t="shared" si="0"/>
        <v>26</v>
      </c>
      <c r="P30" s="15">
        <f t="shared" si="1"/>
        <v>36</v>
      </c>
    </row>
    <row r="31" spans="2:32" ht="23.1" customHeight="1" x14ac:dyDescent="0.25">
      <c r="B31" s="24" t="s">
        <v>58</v>
      </c>
      <c r="C31" s="50">
        <v>8</v>
      </c>
      <c r="D31" s="50">
        <v>3</v>
      </c>
      <c r="E31" s="50">
        <v>1</v>
      </c>
      <c r="F31" s="50">
        <v>5</v>
      </c>
      <c r="G31" s="50">
        <v>1</v>
      </c>
      <c r="H31" s="50">
        <v>2</v>
      </c>
      <c r="I31" s="50">
        <v>3</v>
      </c>
      <c r="J31" s="50">
        <v>0</v>
      </c>
      <c r="K31" s="50">
        <v>3</v>
      </c>
      <c r="L31" s="50">
        <v>1</v>
      </c>
      <c r="M31" s="50">
        <v>7</v>
      </c>
      <c r="N31" s="50">
        <v>0</v>
      </c>
      <c r="O31" s="15">
        <f t="shared" si="0"/>
        <v>27</v>
      </c>
      <c r="P31" s="15">
        <f t="shared" si="1"/>
        <v>34</v>
      </c>
    </row>
    <row r="32" spans="2:32" ht="23.1" customHeight="1" x14ac:dyDescent="0.25">
      <c r="B32" s="24" t="s">
        <v>59</v>
      </c>
      <c r="C32" s="50">
        <v>6</v>
      </c>
      <c r="D32" s="50">
        <v>4</v>
      </c>
      <c r="E32" s="50">
        <v>2</v>
      </c>
      <c r="F32" s="50">
        <v>4</v>
      </c>
      <c r="G32" s="50">
        <v>0</v>
      </c>
      <c r="H32" s="50">
        <v>2</v>
      </c>
      <c r="I32" s="50">
        <v>5</v>
      </c>
      <c r="J32" s="50">
        <v>2</v>
      </c>
      <c r="K32" s="50">
        <v>0</v>
      </c>
      <c r="L32" s="50">
        <v>0</v>
      </c>
      <c r="M32" s="50">
        <v>10</v>
      </c>
      <c r="N32" s="50">
        <v>0</v>
      </c>
      <c r="O32" s="15">
        <f t="shared" si="0"/>
        <v>25</v>
      </c>
      <c r="P32" s="15">
        <f t="shared" si="1"/>
        <v>35</v>
      </c>
    </row>
    <row r="33" spans="2:20" ht="23.1" customHeight="1" x14ac:dyDescent="0.25">
      <c r="B33" s="23" t="s">
        <v>60</v>
      </c>
      <c r="C33" s="50">
        <v>3</v>
      </c>
      <c r="D33" s="50">
        <v>3</v>
      </c>
      <c r="E33" s="50">
        <v>0</v>
      </c>
      <c r="F33" s="50">
        <v>8</v>
      </c>
      <c r="G33" s="50">
        <v>0</v>
      </c>
      <c r="H33" s="50">
        <v>0</v>
      </c>
      <c r="I33" s="50">
        <v>2</v>
      </c>
      <c r="J33" s="50">
        <v>1</v>
      </c>
      <c r="K33" s="50">
        <v>2</v>
      </c>
      <c r="L33" s="50">
        <v>0</v>
      </c>
      <c r="M33" s="50">
        <v>9</v>
      </c>
      <c r="N33" s="50">
        <v>0</v>
      </c>
      <c r="O33" s="15">
        <f t="shared" si="0"/>
        <v>19</v>
      </c>
      <c r="P33" s="15">
        <f t="shared" si="1"/>
        <v>28</v>
      </c>
    </row>
    <row r="34" spans="2:20" ht="23.1" customHeight="1" x14ac:dyDescent="0.25">
      <c r="B34" s="24" t="s">
        <v>61</v>
      </c>
      <c r="C34" s="50">
        <v>4</v>
      </c>
      <c r="D34" s="50">
        <v>2</v>
      </c>
      <c r="E34" s="50">
        <v>2</v>
      </c>
      <c r="F34" s="50">
        <v>2</v>
      </c>
      <c r="G34" s="50">
        <v>0</v>
      </c>
      <c r="H34" s="50">
        <v>0</v>
      </c>
      <c r="I34" s="50">
        <v>2</v>
      </c>
      <c r="J34" s="50">
        <v>1</v>
      </c>
      <c r="K34" s="50">
        <v>2</v>
      </c>
      <c r="L34" s="50">
        <v>0</v>
      </c>
      <c r="M34" s="50">
        <v>4</v>
      </c>
      <c r="N34" s="50">
        <v>0</v>
      </c>
      <c r="O34" s="15">
        <f t="shared" si="0"/>
        <v>15</v>
      </c>
      <c r="P34" s="15">
        <f t="shared" si="1"/>
        <v>19</v>
      </c>
    </row>
    <row r="35" spans="2:20" ht="23.1" customHeight="1" x14ac:dyDescent="0.25">
      <c r="B35" s="24" t="s">
        <v>62</v>
      </c>
      <c r="C35" s="50">
        <v>4</v>
      </c>
      <c r="D35" s="50">
        <v>1</v>
      </c>
      <c r="E35" s="50">
        <v>2</v>
      </c>
      <c r="F35" s="50">
        <v>7</v>
      </c>
      <c r="G35" s="50">
        <v>0</v>
      </c>
      <c r="H35" s="50">
        <v>1</v>
      </c>
      <c r="I35" s="50">
        <v>1</v>
      </c>
      <c r="J35" s="50">
        <v>1</v>
      </c>
      <c r="K35" s="50">
        <v>3</v>
      </c>
      <c r="L35" s="50">
        <v>0</v>
      </c>
      <c r="M35" s="50">
        <v>3</v>
      </c>
      <c r="N35" s="50">
        <v>0</v>
      </c>
      <c r="O35" s="15">
        <f t="shared" si="0"/>
        <v>20</v>
      </c>
      <c r="P35" s="15">
        <f t="shared" si="1"/>
        <v>23</v>
      </c>
    </row>
    <row r="36" spans="2:20" ht="23.1" customHeight="1" x14ac:dyDescent="0.25">
      <c r="B36" s="24" t="s">
        <v>63</v>
      </c>
      <c r="C36" s="50">
        <v>7</v>
      </c>
      <c r="D36" s="50">
        <v>6</v>
      </c>
      <c r="E36" s="50">
        <v>2</v>
      </c>
      <c r="F36" s="50">
        <v>8</v>
      </c>
      <c r="G36" s="50">
        <v>0</v>
      </c>
      <c r="H36" s="50">
        <v>0</v>
      </c>
      <c r="I36" s="50">
        <v>1</v>
      </c>
      <c r="J36" s="50">
        <v>1</v>
      </c>
      <c r="K36" s="50">
        <v>1</v>
      </c>
      <c r="L36" s="50">
        <v>2</v>
      </c>
      <c r="M36" s="50">
        <v>7</v>
      </c>
      <c r="N36" s="50">
        <v>0</v>
      </c>
      <c r="O36" s="15">
        <f t="shared" si="0"/>
        <v>28</v>
      </c>
      <c r="P36" s="15">
        <f t="shared" si="1"/>
        <v>35</v>
      </c>
    </row>
    <row r="37" spans="2:20" ht="23.1" customHeight="1" x14ac:dyDescent="0.25">
      <c r="B37" s="23" t="s">
        <v>64</v>
      </c>
      <c r="C37" s="50">
        <v>6</v>
      </c>
      <c r="D37" s="50">
        <v>2</v>
      </c>
      <c r="E37" s="50">
        <v>1</v>
      </c>
      <c r="F37" s="50">
        <v>4</v>
      </c>
      <c r="G37" s="50">
        <v>0</v>
      </c>
      <c r="H37" s="50">
        <v>2</v>
      </c>
      <c r="I37" s="50">
        <v>2</v>
      </c>
      <c r="J37" s="50">
        <v>1</v>
      </c>
      <c r="K37" s="50">
        <v>2</v>
      </c>
      <c r="L37" s="50">
        <v>0</v>
      </c>
      <c r="M37" s="50">
        <v>8</v>
      </c>
      <c r="N37" s="50">
        <v>0</v>
      </c>
      <c r="O37" s="15">
        <f t="shared" si="0"/>
        <v>20</v>
      </c>
      <c r="P37" s="15">
        <f t="shared" si="1"/>
        <v>28</v>
      </c>
    </row>
    <row r="38" spans="2:20" ht="23.1" customHeight="1" x14ac:dyDescent="0.25">
      <c r="B38" s="24" t="s">
        <v>65</v>
      </c>
      <c r="C38" s="50">
        <v>6</v>
      </c>
      <c r="D38" s="50">
        <v>1</v>
      </c>
      <c r="E38" s="50">
        <v>0</v>
      </c>
      <c r="F38" s="50">
        <v>1</v>
      </c>
      <c r="G38" s="50">
        <v>0</v>
      </c>
      <c r="H38" s="50">
        <v>1</v>
      </c>
      <c r="I38" s="50">
        <v>2</v>
      </c>
      <c r="J38" s="50">
        <v>1</v>
      </c>
      <c r="K38" s="50">
        <v>3</v>
      </c>
      <c r="L38" s="50">
        <v>0</v>
      </c>
      <c r="M38" s="50">
        <v>5</v>
      </c>
      <c r="N38" s="50">
        <v>0</v>
      </c>
      <c r="O38" s="15">
        <f t="shared" si="0"/>
        <v>15</v>
      </c>
      <c r="P38" s="15">
        <f t="shared" si="1"/>
        <v>20</v>
      </c>
    </row>
    <row r="39" spans="2:20" ht="23.1" customHeight="1" x14ac:dyDescent="0.25">
      <c r="B39" s="24" t="s">
        <v>66</v>
      </c>
      <c r="C39" s="50">
        <v>6</v>
      </c>
      <c r="D39" s="50">
        <v>3</v>
      </c>
      <c r="E39" s="50">
        <v>0</v>
      </c>
      <c r="F39" s="50">
        <v>4</v>
      </c>
      <c r="G39" s="50">
        <v>0</v>
      </c>
      <c r="H39" s="50">
        <v>2</v>
      </c>
      <c r="I39" s="50">
        <v>2</v>
      </c>
      <c r="J39" s="50">
        <v>0</v>
      </c>
      <c r="K39" s="50">
        <v>4</v>
      </c>
      <c r="L39" s="50">
        <v>0</v>
      </c>
      <c r="M39" s="50">
        <v>4</v>
      </c>
      <c r="N39" s="50">
        <v>0</v>
      </c>
      <c r="O39" s="15">
        <f t="shared" si="0"/>
        <v>21</v>
      </c>
      <c r="P39" s="15">
        <f t="shared" si="1"/>
        <v>25</v>
      </c>
    </row>
    <row r="40" spans="2:20" ht="23.1" customHeight="1" x14ac:dyDescent="0.25">
      <c r="B40" s="24" t="s">
        <v>67</v>
      </c>
      <c r="C40" s="50">
        <v>9</v>
      </c>
      <c r="D40" s="50">
        <v>3</v>
      </c>
      <c r="E40" s="50">
        <v>1</v>
      </c>
      <c r="F40" s="50">
        <v>3</v>
      </c>
      <c r="G40" s="50">
        <v>0</v>
      </c>
      <c r="H40" s="50">
        <v>3</v>
      </c>
      <c r="I40" s="50">
        <v>1</v>
      </c>
      <c r="J40" s="50">
        <v>1</v>
      </c>
      <c r="K40" s="50">
        <v>2</v>
      </c>
      <c r="L40" s="50">
        <v>0</v>
      </c>
      <c r="M40" s="50">
        <v>1</v>
      </c>
      <c r="N40" s="50">
        <v>0</v>
      </c>
      <c r="O40" s="15">
        <f t="shared" si="0"/>
        <v>23</v>
      </c>
      <c r="P40" s="15">
        <f t="shared" si="1"/>
        <v>24</v>
      </c>
    </row>
    <row r="41" spans="2:20" ht="23.1" customHeight="1" x14ac:dyDescent="0.25">
      <c r="B41" s="23" t="s">
        <v>68</v>
      </c>
      <c r="C41" s="50">
        <v>3</v>
      </c>
      <c r="D41" s="50">
        <v>6</v>
      </c>
      <c r="E41" s="50">
        <v>0</v>
      </c>
      <c r="F41" s="50">
        <v>2</v>
      </c>
      <c r="G41" s="50">
        <v>0</v>
      </c>
      <c r="H41" s="50">
        <v>1</v>
      </c>
      <c r="I41" s="50">
        <v>0</v>
      </c>
      <c r="J41" s="50">
        <v>2</v>
      </c>
      <c r="K41" s="50">
        <v>1</v>
      </c>
      <c r="L41" s="50">
        <v>0</v>
      </c>
      <c r="M41" s="50">
        <v>7</v>
      </c>
      <c r="N41" s="50">
        <v>0</v>
      </c>
      <c r="O41" s="15">
        <f t="shared" si="0"/>
        <v>15</v>
      </c>
      <c r="P41" s="15">
        <f t="shared" si="1"/>
        <v>22</v>
      </c>
    </row>
    <row r="42" spans="2:20" ht="23.1" customHeight="1" x14ac:dyDescent="0.25">
      <c r="B42" s="24" t="s">
        <v>69</v>
      </c>
      <c r="C42" s="50">
        <v>6</v>
      </c>
      <c r="D42" s="50">
        <v>1</v>
      </c>
      <c r="E42" s="50">
        <v>1</v>
      </c>
      <c r="F42" s="50">
        <v>3</v>
      </c>
      <c r="G42" s="50">
        <v>0</v>
      </c>
      <c r="H42" s="50">
        <v>1</v>
      </c>
      <c r="I42" s="50">
        <v>4</v>
      </c>
      <c r="J42" s="50">
        <v>0</v>
      </c>
      <c r="K42" s="50">
        <v>2</v>
      </c>
      <c r="L42" s="50">
        <v>0</v>
      </c>
      <c r="M42" s="50">
        <v>9</v>
      </c>
      <c r="N42" s="50">
        <v>0</v>
      </c>
      <c r="O42" s="15">
        <f t="shared" si="0"/>
        <v>18</v>
      </c>
      <c r="P42" s="15">
        <f t="shared" si="1"/>
        <v>27</v>
      </c>
    </row>
    <row r="43" spans="2:20" ht="23.1" customHeight="1" x14ac:dyDescent="0.25">
      <c r="B43" s="23" t="s">
        <v>70</v>
      </c>
      <c r="C43" s="50">
        <v>12</v>
      </c>
      <c r="D43" s="50">
        <v>4</v>
      </c>
      <c r="E43" s="50">
        <v>1</v>
      </c>
      <c r="F43" s="50">
        <v>6</v>
      </c>
      <c r="G43" s="50">
        <v>0</v>
      </c>
      <c r="H43" s="50">
        <v>0</v>
      </c>
      <c r="I43" s="50">
        <v>5</v>
      </c>
      <c r="J43" s="50">
        <v>0</v>
      </c>
      <c r="K43" s="50">
        <v>2</v>
      </c>
      <c r="L43" s="50">
        <v>0</v>
      </c>
      <c r="M43" s="50">
        <v>6</v>
      </c>
      <c r="N43" s="50">
        <v>0</v>
      </c>
      <c r="O43" s="15">
        <f t="shared" si="0"/>
        <v>30</v>
      </c>
      <c r="P43" s="15">
        <f t="shared" si="1"/>
        <v>36</v>
      </c>
    </row>
    <row r="44" spans="2:20" ht="23.1" customHeight="1" x14ac:dyDescent="0.25">
      <c r="B44" s="25" t="s">
        <v>71</v>
      </c>
      <c r="C44" s="50">
        <v>6</v>
      </c>
      <c r="D44" s="50">
        <v>6</v>
      </c>
      <c r="E44" s="50">
        <v>4</v>
      </c>
      <c r="F44" s="50">
        <v>5</v>
      </c>
      <c r="G44" s="50">
        <v>0</v>
      </c>
      <c r="H44" s="50">
        <v>5</v>
      </c>
      <c r="I44" s="50">
        <v>0</v>
      </c>
      <c r="J44" s="50">
        <v>1</v>
      </c>
      <c r="K44" s="50">
        <v>3</v>
      </c>
      <c r="L44" s="50">
        <v>0</v>
      </c>
      <c r="M44" s="50">
        <v>6</v>
      </c>
      <c r="N44" s="50">
        <v>0</v>
      </c>
      <c r="O44" s="15">
        <f t="shared" si="0"/>
        <v>30</v>
      </c>
      <c r="P44" s="15">
        <f t="shared" si="1"/>
        <v>36</v>
      </c>
    </row>
    <row r="45" spans="2:20" ht="23.1" customHeight="1" x14ac:dyDescent="0.25">
      <c r="B45" s="23" t="s">
        <v>72</v>
      </c>
      <c r="C45" s="50">
        <v>6</v>
      </c>
      <c r="D45" s="50">
        <v>0</v>
      </c>
      <c r="E45" s="50">
        <v>0</v>
      </c>
      <c r="F45" s="50">
        <v>4</v>
      </c>
      <c r="G45" s="50">
        <v>0</v>
      </c>
      <c r="H45" s="50">
        <v>2</v>
      </c>
      <c r="I45" s="50">
        <v>4</v>
      </c>
      <c r="J45" s="50">
        <v>0</v>
      </c>
      <c r="K45" s="50">
        <v>2</v>
      </c>
      <c r="L45" s="50">
        <v>0</v>
      </c>
      <c r="M45" s="50">
        <v>5</v>
      </c>
      <c r="N45" s="50">
        <v>0</v>
      </c>
      <c r="O45" s="15">
        <f t="shared" si="0"/>
        <v>18</v>
      </c>
      <c r="P45" s="15">
        <f t="shared" si="1"/>
        <v>23</v>
      </c>
    </row>
    <row r="46" spans="2:20" ht="23.1" customHeight="1" x14ac:dyDescent="0.25">
      <c r="B46" s="24" t="s">
        <v>73</v>
      </c>
      <c r="C46" s="50">
        <v>8</v>
      </c>
      <c r="D46" s="50">
        <v>3</v>
      </c>
      <c r="E46" s="50">
        <v>2</v>
      </c>
      <c r="F46" s="50">
        <v>5</v>
      </c>
      <c r="G46" s="50">
        <v>0</v>
      </c>
      <c r="H46" s="50">
        <v>1</v>
      </c>
      <c r="I46" s="50">
        <v>2</v>
      </c>
      <c r="J46" s="50">
        <v>0</v>
      </c>
      <c r="K46" s="50">
        <v>1</v>
      </c>
      <c r="L46" s="50">
        <v>0</v>
      </c>
      <c r="M46" s="50">
        <v>5</v>
      </c>
      <c r="N46" s="50">
        <v>0</v>
      </c>
      <c r="O46" s="15">
        <f t="shared" si="0"/>
        <v>22</v>
      </c>
      <c r="P46" s="15">
        <f t="shared" si="1"/>
        <v>27</v>
      </c>
      <c r="R46" s="8"/>
      <c r="T46"/>
    </row>
    <row r="47" spans="2:20" ht="23.1" customHeight="1" x14ac:dyDescent="0.25">
      <c r="B47" s="24" t="s">
        <v>74</v>
      </c>
      <c r="C47" s="50">
        <v>7</v>
      </c>
      <c r="D47" s="50">
        <v>3</v>
      </c>
      <c r="E47" s="50">
        <v>4</v>
      </c>
      <c r="F47" s="50">
        <v>8</v>
      </c>
      <c r="G47" s="50">
        <v>0</v>
      </c>
      <c r="H47" s="50">
        <v>3</v>
      </c>
      <c r="I47" s="50">
        <v>3</v>
      </c>
      <c r="J47" s="50">
        <v>1</v>
      </c>
      <c r="K47" s="50">
        <v>1</v>
      </c>
      <c r="L47" s="50">
        <v>0</v>
      </c>
      <c r="M47" s="50">
        <v>6</v>
      </c>
      <c r="N47" s="50">
        <v>0</v>
      </c>
      <c r="O47" s="15">
        <f t="shared" si="0"/>
        <v>30</v>
      </c>
      <c r="P47" s="15">
        <f t="shared" si="1"/>
        <v>36</v>
      </c>
      <c r="R47" s="8"/>
      <c r="T47"/>
    </row>
    <row r="48" spans="2:20" ht="23.1" customHeight="1" x14ac:dyDescent="0.25">
      <c r="B48" s="24" t="s">
        <v>75</v>
      </c>
      <c r="C48" s="50">
        <v>6</v>
      </c>
      <c r="D48" s="50">
        <v>5</v>
      </c>
      <c r="E48" s="50">
        <v>2</v>
      </c>
      <c r="F48" s="50">
        <v>2</v>
      </c>
      <c r="G48" s="50">
        <v>0</v>
      </c>
      <c r="H48" s="50">
        <v>2</v>
      </c>
      <c r="I48" s="50">
        <v>2</v>
      </c>
      <c r="J48" s="50">
        <v>2</v>
      </c>
      <c r="K48" s="50">
        <v>3</v>
      </c>
      <c r="L48" s="50">
        <v>0</v>
      </c>
      <c r="M48" s="50">
        <v>7</v>
      </c>
      <c r="N48" s="50">
        <v>0</v>
      </c>
      <c r="O48" s="15">
        <f t="shared" si="0"/>
        <v>24</v>
      </c>
      <c r="P48" s="15">
        <f t="shared" si="1"/>
        <v>31</v>
      </c>
      <c r="R48" s="8"/>
      <c r="T48"/>
    </row>
    <row r="49" spans="2:20" ht="23.1" customHeight="1" x14ac:dyDescent="0.25">
      <c r="B49" s="23" t="s">
        <v>76</v>
      </c>
      <c r="C49" s="50">
        <v>6</v>
      </c>
      <c r="D49" s="50">
        <v>3</v>
      </c>
      <c r="E49" s="50">
        <v>2</v>
      </c>
      <c r="F49" s="50">
        <v>2</v>
      </c>
      <c r="G49" s="50">
        <v>1</v>
      </c>
      <c r="H49" s="50">
        <v>3</v>
      </c>
      <c r="I49" s="50">
        <v>0</v>
      </c>
      <c r="J49" s="50">
        <v>2</v>
      </c>
      <c r="K49" s="50">
        <v>1</v>
      </c>
      <c r="L49" s="50">
        <v>1</v>
      </c>
      <c r="M49" s="50">
        <v>10</v>
      </c>
      <c r="N49" s="50">
        <v>0</v>
      </c>
      <c r="O49" s="15">
        <f t="shared" si="0"/>
        <v>21</v>
      </c>
      <c r="P49" s="15">
        <f t="shared" si="1"/>
        <v>31</v>
      </c>
      <c r="R49" s="8"/>
      <c r="T49"/>
    </row>
    <row r="50" spans="2:20" ht="23.1" customHeight="1" x14ac:dyDescent="0.25">
      <c r="B50" s="24" t="s">
        <v>77</v>
      </c>
      <c r="C50" s="50">
        <v>9</v>
      </c>
      <c r="D50" s="50">
        <v>7</v>
      </c>
      <c r="E50" s="50">
        <v>1</v>
      </c>
      <c r="F50" s="50">
        <v>3</v>
      </c>
      <c r="G50" s="50">
        <v>0</v>
      </c>
      <c r="H50" s="50">
        <v>1</v>
      </c>
      <c r="I50" s="50">
        <v>3</v>
      </c>
      <c r="J50" s="50">
        <v>0</v>
      </c>
      <c r="K50" s="50">
        <v>5</v>
      </c>
      <c r="L50" s="50">
        <v>0</v>
      </c>
      <c r="M50" s="50">
        <v>10</v>
      </c>
      <c r="N50" s="50">
        <v>0</v>
      </c>
      <c r="O50" s="15">
        <f t="shared" si="0"/>
        <v>29</v>
      </c>
      <c r="P50" s="15">
        <f t="shared" si="1"/>
        <v>39</v>
      </c>
      <c r="R50" s="8"/>
      <c r="T50"/>
    </row>
    <row r="51" spans="2:20" ht="23.1" customHeight="1" x14ac:dyDescent="0.25">
      <c r="B51" s="24" t="s">
        <v>78</v>
      </c>
      <c r="C51" s="50">
        <v>14</v>
      </c>
      <c r="D51" s="50">
        <v>2</v>
      </c>
      <c r="E51" s="50">
        <v>3</v>
      </c>
      <c r="F51" s="50">
        <v>4</v>
      </c>
      <c r="G51" s="50">
        <v>0</v>
      </c>
      <c r="H51" s="50">
        <v>1</v>
      </c>
      <c r="I51" s="50">
        <v>2</v>
      </c>
      <c r="J51" s="50">
        <v>0</v>
      </c>
      <c r="K51" s="50">
        <v>1</v>
      </c>
      <c r="L51" s="50">
        <v>0</v>
      </c>
      <c r="M51" s="50">
        <v>8</v>
      </c>
      <c r="N51" s="50">
        <v>0</v>
      </c>
      <c r="O51" s="15">
        <f t="shared" si="0"/>
        <v>27</v>
      </c>
      <c r="P51" s="15">
        <f t="shared" si="1"/>
        <v>35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1</v>
      </c>
      <c r="E52" s="50">
        <v>2</v>
      </c>
      <c r="F52" s="50">
        <v>7</v>
      </c>
      <c r="G52" s="50">
        <v>0</v>
      </c>
      <c r="H52" s="50">
        <v>0</v>
      </c>
      <c r="I52" s="50">
        <v>4</v>
      </c>
      <c r="J52" s="50">
        <v>0</v>
      </c>
      <c r="K52" s="50">
        <v>2</v>
      </c>
      <c r="L52" s="50">
        <v>1</v>
      </c>
      <c r="M52" s="50">
        <v>6</v>
      </c>
      <c r="N52" s="50">
        <v>0</v>
      </c>
      <c r="O52" s="15">
        <f t="shared" si="0"/>
        <v>21</v>
      </c>
      <c r="P52" s="15">
        <f t="shared" si="1"/>
        <v>27</v>
      </c>
      <c r="R52" s="8"/>
      <c r="T52"/>
    </row>
    <row r="53" spans="2:20" ht="23.1" customHeight="1" x14ac:dyDescent="0.25">
      <c r="B53" s="23" t="s">
        <v>80</v>
      </c>
      <c r="C53" s="50">
        <v>7</v>
      </c>
      <c r="D53" s="50">
        <v>2</v>
      </c>
      <c r="E53" s="50">
        <v>4</v>
      </c>
      <c r="F53" s="50">
        <v>2</v>
      </c>
      <c r="G53" s="50">
        <v>0</v>
      </c>
      <c r="H53" s="50">
        <v>3</v>
      </c>
      <c r="I53" s="50">
        <v>5</v>
      </c>
      <c r="J53" s="50">
        <v>0</v>
      </c>
      <c r="K53" s="50">
        <v>1</v>
      </c>
      <c r="L53" s="50">
        <v>0</v>
      </c>
      <c r="M53" s="50">
        <v>11</v>
      </c>
      <c r="N53" s="50">
        <v>0</v>
      </c>
      <c r="O53" s="15">
        <f t="shared" si="0"/>
        <v>24</v>
      </c>
      <c r="P53" s="15">
        <f t="shared" si="1"/>
        <v>35</v>
      </c>
      <c r="R53" s="8"/>
      <c r="T53"/>
    </row>
    <row r="54" spans="2:20" ht="23.1" customHeight="1" x14ac:dyDescent="0.25">
      <c r="B54" s="23" t="s">
        <v>81</v>
      </c>
      <c r="C54" s="50">
        <v>10</v>
      </c>
      <c r="D54" s="50">
        <v>0</v>
      </c>
      <c r="E54" s="50">
        <v>4</v>
      </c>
      <c r="F54" s="50">
        <v>7</v>
      </c>
      <c r="G54" s="50">
        <v>1</v>
      </c>
      <c r="H54" s="50">
        <v>2</v>
      </c>
      <c r="I54" s="50">
        <v>1</v>
      </c>
      <c r="J54" s="50">
        <v>2</v>
      </c>
      <c r="K54" s="50">
        <v>3</v>
      </c>
      <c r="L54" s="50">
        <v>0</v>
      </c>
      <c r="M54" s="50">
        <v>13</v>
      </c>
      <c r="N54" s="50">
        <v>0</v>
      </c>
      <c r="O54" s="15">
        <f t="shared" si="0"/>
        <v>30</v>
      </c>
      <c r="P54" s="15">
        <f t="shared" si="1"/>
        <v>43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3</v>
      </c>
      <c r="E55" s="50">
        <v>1</v>
      </c>
      <c r="F55" s="50">
        <v>7</v>
      </c>
      <c r="G55" s="50">
        <v>0</v>
      </c>
      <c r="H55" s="50">
        <v>2</v>
      </c>
      <c r="I55" s="50">
        <v>2</v>
      </c>
      <c r="J55" s="50">
        <v>2</v>
      </c>
      <c r="K55" s="50">
        <v>1</v>
      </c>
      <c r="L55" s="50">
        <v>0</v>
      </c>
      <c r="M55" s="50">
        <v>13</v>
      </c>
      <c r="N55" s="50">
        <v>0</v>
      </c>
      <c r="O55" s="15">
        <f t="shared" si="0"/>
        <v>23</v>
      </c>
      <c r="P55" s="15">
        <f t="shared" si="1"/>
        <v>36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2</v>
      </c>
      <c r="E56" s="50">
        <v>6</v>
      </c>
      <c r="F56" s="50">
        <v>1</v>
      </c>
      <c r="G56" s="50">
        <v>0</v>
      </c>
      <c r="H56" s="50">
        <v>0</v>
      </c>
      <c r="I56" s="50">
        <v>5</v>
      </c>
      <c r="J56" s="50">
        <v>0</v>
      </c>
      <c r="K56" s="50">
        <v>3</v>
      </c>
      <c r="L56" s="50">
        <v>0</v>
      </c>
      <c r="M56" s="50">
        <v>6</v>
      </c>
      <c r="N56" s="50">
        <v>0</v>
      </c>
      <c r="O56" s="15">
        <f t="shared" si="0"/>
        <v>20</v>
      </c>
      <c r="P56" s="15">
        <f t="shared" si="1"/>
        <v>26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2</v>
      </c>
      <c r="E57" s="50">
        <v>2</v>
      </c>
      <c r="F57" s="50">
        <v>3</v>
      </c>
      <c r="G57" s="50">
        <v>0</v>
      </c>
      <c r="H57" s="50">
        <v>1</v>
      </c>
      <c r="I57" s="50">
        <v>4</v>
      </c>
      <c r="J57" s="50">
        <v>1</v>
      </c>
      <c r="K57" s="50">
        <v>0</v>
      </c>
      <c r="L57" s="50">
        <v>0</v>
      </c>
      <c r="M57" s="50">
        <v>6</v>
      </c>
      <c r="N57" s="50">
        <v>0</v>
      </c>
      <c r="O57" s="15">
        <f t="shared" si="0"/>
        <v>18</v>
      </c>
      <c r="P57" s="15">
        <f t="shared" si="1"/>
        <v>24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320</v>
      </c>
      <c r="D58" s="16">
        <f t="shared" si="21"/>
        <v>126</v>
      </c>
      <c r="E58" s="16">
        <f t="shared" si="21"/>
        <v>92</v>
      </c>
      <c r="F58" s="16">
        <f t="shared" si="21"/>
        <v>191</v>
      </c>
      <c r="G58" s="16">
        <f t="shared" si="21"/>
        <v>6</v>
      </c>
      <c r="H58" s="16">
        <f t="shared" si="21"/>
        <v>60</v>
      </c>
      <c r="I58" s="16">
        <f t="shared" si="21"/>
        <v>102</v>
      </c>
      <c r="J58" s="16">
        <f t="shared" si="21"/>
        <v>45</v>
      </c>
      <c r="K58" s="16">
        <f t="shared" si="21"/>
        <v>102</v>
      </c>
      <c r="L58" s="16">
        <f t="shared" si="21"/>
        <v>7</v>
      </c>
      <c r="M58" s="16">
        <f t="shared" si="21"/>
        <v>308</v>
      </c>
      <c r="N58" s="16">
        <f t="shared" si="21"/>
        <v>0</v>
      </c>
      <c r="O58" s="16">
        <f t="shared" si="21"/>
        <v>1051</v>
      </c>
      <c r="P58" s="16">
        <f t="shared" si="21"/>
        <v>1359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0.235467255334805</v>
      </c>
      <c r="D59" s="43">
        <f t="shared" si="22"/>
        <v>9.2715231788079472E-2</v>
      </c>
      <c r="E59" s="43">
        <f t="shared" si="22"/>
        <v>6.7696835908756442E-2</v>
      </c>
      <c r="F59" s="43">
        <f t="shared" si="22"/>
        <v>0.14054451802796172</v>
      </c>
      <c r="G59" s="43">
        <f t="shared" si="22"/>
        <v>4.4150110375275938E-3</v>
      </c>
      <c r="H59" s="43">
        <f t="shared" si="22"/>
        <v>4.4150110375275942E-2</v>
      </c>
      <c r="I59" s="43">
        <f t="shared" si="22"/>
        <v>7.505518763796909E-2</v>
      </c>
      <c r="J59" s="43">
        <f t="shared" si="22"/>
        <v>3.3112582781456956E-2</v>
      </c>
      <c r="K59" s="43">
        <f t="shared" si="22"/>
        <v>7.505518763796909E-2</v>
      </c>
      <c r="L59" s="43">
        <f t="shared" si="22"/>
        <v>5.1508462104488595E-3</v>
      </c>
      <c r="M59" s="43">
        <f t="shared" si="22"/>
        <v>0.22663723325974983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0.30447193149381541</v>
      </c>
      <c r="D60" s="44">
        <f t="shared" ref="D60:N60" si="23">D58/$O$58</f>
        <v>0.11988582302568981</v>
      </c>
      <c r="E60" s="44">
        <f t="shared" si="23"/>
        <v>8.7535680304471938E-2</v>
      </c>
      <c r="F60" s="44">
        <f t="shared" si="23"/>
        <v>0.18173168411037108</v>
      </c>
      <c r="G60" s="44">
        <f t="shared" si="23"/>
        <v>5.708848715509039E-3</v>
      </c>
      <c r="H60" s="44">
        <f t="shared" si="23"/>
        <v>5.7088487155090392E-2</v>
      </c>
      <c r="I60" s="44">
        <f t="shared" si="23"/>
        <v>9.7050428163653668E-2</v>
      </c>
      <c r="J60" s="44">
        <f t="shared" si="23"/>
        <v>4.2816365366317791E-2</v>
      </c>
      <c r="K60" s="44">
        <f t="shared" si="23"/>
        <v>9.7050428163653668E-2</v>
      </c>
      <c r="L60" s="44">
        <f t="shared" si="23"/>
        <v>6.6603235014272124E-3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3" t="s">
        <v>23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 spans="2:32" ht="20.100000000000001" customHeight="1" x14ac:dyDescent="0.25">
      <c r="B2" s="74" t="s">
        <v>95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</row>
    <row r="3" spans="2:32" ht="20.100000000000001" customHeight="1" x14ac:dyDescent="0.25">
      <c r="B3" s="22" t="s">
        <v>96</v>
      </c>
      <c r="C3" s="75" t="str">
        <f>'23.10 MASAKA-MBARARA'!C3:G3</f>
        <v>MASAKA-MBARARA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'17.10 MASAKA-MBARARA'!D5</f>
        <v>17.10.19</v>
      </c>
      <c r="E5" s="3"/>
      <c r="F5" s="41" t="s">
        <v>1</v>
      </c>
      <c r="G5" s="71" t="str">
        <f>'17.10 MASAKA-MBARARA'!G5:H5</f>
        <v>KINONI</v>
      </c>
      <c r="H5" s="72"/>
      <c r="I5" s="14"/>
      <c r="J5" s="2" t="s">
        <v>5</v>
      </c>
      <c r="K5" s="71" t="s">
        <v>174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">
        <v>165</v>
      </c>
      <c r="E6" s="72"/>
      <c r="F6" s="2" t="s">
        <v>2</v>
      </c>
      <c r="G6" s="71" t="s">
        <v>166</v>
      </c>
      <c r="H6" s="72"/>
      <c r="J6" s="2" t="s">
        <v>21</v>
      </c>
      <c r="K6" s="71" t="s">
        <v>174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1</v>
      </c>
      <c r="E10" s="50">
        <v>1</v>
      </c>
      <c r="F10" s="50">
        <v>3</v>
      </c>
      <c r="G10" s="50">
        <v>0</v>
      </c>
      <c r="H10" s="50">
        <v>1</v>
      </c>
      <c r="I10" s="50">
        <v>0</v>
      </c>
      <c r="J10" s="50">
        <v>0</v>
      </c>
      <c r="K10" s="50">
        <v>1</v>
      </c>
      <c r="L10" s="50">
        <v>0</v>
      </c>
      <c r="M10" s="50">
        <v>4</v>
      </c>
      <c r="N10" s="50">
        <v>0</v>
      </c>
      <c r="O10" s="15">
        <f t="shared" ref="O10:O57" si="0">SUM(C10:L10,N10)</f>
        <v>10</v>
      </c>
      <c r="P10" s="15">
        <f t="shared" ref="P10:P57" si="1">SUM(C10:N10)</f>
        <v>14</v>
      </c>
      <c r="R10" s="1" t="s">
        <v>6</v>
      </c>
      <c r="S10" s="17">
        <f t="shared" ref="S10:AF10" si="2">SUM(C10:C13)</f>
        <v>19</v>
      </c>
      <c r="T10" s="17">
        <f t="shared" si="2"/>
        <v>5</v>
      </c>
      <c r="U10" s="17">
        <f t="shared" si="2"/>
        <v>1</v>
      </c>
      <c r="V10" s="17">
        <f t="shared" si="2"/>
        <v>13</v>
      </c>
      <c r="W10" s="17">
        <f t="shared" si="2"/>
        <v>0</v>
      </c>
      <c r="X10" s="17">
        <f t="shared" si="2"/>
        <v>2</v>
      </c>
      <c r="Y10" s="17">
        <f t="shared" si="2"/>
        <v>2</v>
      </c>
      <c r="Z10" s="17">
        <f t="shared" si="2"/>
        <v>2</v>
      </c>
      <c r="AA10" s="17">
        <f t="shared" si="2"/>
        <v>3</v>
      </c>
      <c r="AB10" s="17">
        <f t="shared" si="2"/>
        <v>0</v>
      </c>
      <c r="AC10" s="17">
        <f t="shared" si="2"/>
        <v>35</v>
      </c>
      <c r="AD10" s="17">
        <f t="shared" si="2"/>
        <v>0</v>
      </c>
      <c r="AE10" s="31">
        <f t="shared" si="2"/>
        <v>47</v>
      </c>
      <c r="AF10" s="31">
        <f t="shared" si="2"/>
        <v>82</v>
      </c>
    </row>
    <row r="11" spans="2:32" s="6" customFormat="1" ht="23.1" customHeight="1" x14ac:dyDescent="0.25">
      <c r="B11" s="23" t="s">
        <v>38</v>
      </c>
      <c r="C11" s="50">
        <v>5</v>
      </c>
      <c r="D11" s="50">
        <v>1</v>
      </c>
      <c r="E11" s="50">
        <v>0</v>
      </c>
      <c r="F11" s="50">
        <v>3</v>
      </c>
      <c r="G11" s="50">
        <v>0</v>
      </c>
      <c r="H11" s="50">
        <v>0</v>
      </c>
      <c r="I11" s="50">
        <v>1</v>
      </c>
      <c r="J11" s="50">
        <v>1</v>
      </c>
      <c r="K11" s="50">
        <v>1</v>
      </c>
      <c r="L11" s="50">
        <v>0</v>
      </c>
      <c r="M11" s="50">
        <v>13</v>
      </c>
      <c r="N11" s="50">
        <v>0</v>
      </c>
      <c r="O11" s="15">
        <f t="shared" si="0"/>
        <v>12</v>
      </c>
      <c r="P11" s="15">
        <f t="shared" si="1"/>
        <v>25</v>
      </c>
      <c r="R11" s="1" t="s">
        <v>7</v>
      </c>
      <c r="S11" s="17">
        <f t="shared" ref="S11:AF11" si="3">SUM(C14:C17)</f>
        <v>13</v>
      </c>
      <c r="T11" s="17">
        <f t="shared" si="3"/>
        <v>6</v>
      </c>
      <c r="U11" s="17">
        <f t="shared" si="3"/>
        <v>6</v>
      </c>
      <c r="V11" s="17">
        <f t="shared" si="3"/>
        <v>17</v>
      </c>
      <c r="W11" s="17">
        <f t="shared" si="3"/>
        <v>0</v>
      </c>
      <c r="X11" s="17">
        <f t="shared" si="3"/>
        <v>3</v>
      </c>
      <c r="Y11" s="17">
        <f t="shared" si="3"/>
        <v>1</v>
      </c>
      <c r="Z11" s="17">
        <f t="shared" si="3"/>
        <v>2</v>
      </c>
      <c r="AA11" s="17">
        <f t="shared" si="3"/>
        <v>6</v>
      </c>
      <c r="AB11" s="17">
        <f t="shared" si="3"/>
        <v>1</v>
      </c>
      <c r="AC11" s="17">
        <f t="shared" si="3"/>
        <v>27</v>
      </c>
      <c r="AD11" s="17">
        <f t="shared" si="3"/>
        <v>0</v>
      </c>
      <c r="AE11" s="31">
        <f t="shared" si="3"/>
        <v>55</v>
      </c>
      <c r="AF11" s="31">
        <f t="shared" si="3"/>
        <v>82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4</v>
      </c>
      <c r="G12" s="50">
        <v>0</v>
      </c>
      <c r="H12" s="50">
        <v>1</v>
      </c>
      <c r="I12" s="50">
        <v>1</v>
      </c>
      <c r="J12" s="50">
        <v>0</v>
      </c>
      <c r="K12" s="50">
        <v>1</v>
      </c>
      <c r="L12" s="50">
        <v>0</v>
      </c>
      <c r="M12" s="50">
        <v>5</v>
      </c>
      <c r="N12" s="50">
        <v>0</v>
      </c>
      <c r="O12" s="15">
        <f t="shared" si="0"/>
        <v>9</v>
      </c>
      <c r="P12" s="15">
        <f t="shared" si="1"/>
        <v>14</v>
      </c>
      <c r="R12" s="1" t="s">
        <v>8</v>
      </c>
      <c r="S12" s="17">
        <f t="shared" ref="S12:AF12" si="4">SUM(C18:C21)</f>
        <v>20</v>
      </c>
      <c r="T12" s="17">
        <f t="shared" si="4"/>
        <v>7</v>
      </c>
      <c r="U12" s="17">
        <f t="shared" si="4"/>
        <v>6</v>
      </c>
      <c r="V12" s="17">
        <f t="shared" si="4"/>
        <v>16</v>
      </c>
      <c r="W12" s="17">
        <f t="shared" si="4"/>
        <v>0</v>
      </c>
      <c r="X12" s="17">
        <f t="shared" si="4"/>
        <v>1</v>
      </c>
      <c r="Y12" s="17">
        <f t="shared" si="4"/>
        <v>3</v>
      </c>
      <c r="Z12" s="17">
        <f t="shared" si="4"/>
        <v>4</v>
      </c>
      <c r="AA12" s="17">
        <f t="shared" si="4"/>
        <v>8</v>
      </c>
      <c r="AB12" s="17">
        <f t="shared" si="4"/>
        <v>0</v>
      </c>
      <c r="AC12" s="17">
        <f t="shared" si="4"/>
        <v>38</v>
      </c>
      <c r="AD12" s="17">
        <f t="shared" si="4"/>
        <v>0</v>
      </c>
      <c r="AE12" s="31">
        <f t="shared" si="4"/>
        <v>65</v>
      </c>
      <c r="AF12" s="31">
        <f t="shared" si="4"/>
        <v>103</v>
      </c>
    </row>
    <row r="13" spans="2:32" ht="23.1" customHeight="1" x14ac:dyDescent="0.25">
      <c r="B13" s="23" t="s">
        <v>40</v>
      </c>
      <c r="C13" s="50">
        <v>9</v>
      </c>
      <c r="D13" s="50">
        <v>3</v>
      </c>
      <c r="E13" s="50">
        <v>0</v>
      </c>
      <c r="F13" s="50">
        <v>3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13</v>
      </c>
      <c r="N13" s="50">
        <v>0</v>
      </c>
      <c r="O13" s="15">
        <f t="shared" si="0"/>
        <v>16</v>
      </c>
      <c r="P13" s="15">
        <f t="shared" si="1"/>
        <v>29</v>
      </c>
      <c r="R13" s="1" t="s">
        <v>9</v>
      </c>
      <c r="S13" s="17">
        <f t="shared" ref="S13:AF13" si="5">SUM(C22:C25)</f>
        <v>29</v>
      </c>
      <c r="T13" s="17">
        <f t="shared" si="5"/>
        <v>3</v>
      </c>
      <c r="U13" s="17">
        <f t="shared" si="5"/>
        <v>8</v>
      </c>
      <c r="V13" s="17">
        <f t="shared" si="5"/>
        <v>16</v>
      </c>
      <c r="W13" s="17">
        <f t="shared" si="5"/>
        <v>0</v>
      </c>
      <c r="X13" s="17">
        <f t="shared" si="5"/>
        <v>6</v>
      </c>
      <c r="Y13" s="17">
        <f t="shared" si="5"/>
        <v>2</v>
      </c>
      <c r="Z13" s="17">
        <f t="shared" si="5"/>
        <v>1</v>
      </c>
      <c r="AA13" s="17">
        <f t="shared" si="5"/>
        <v>4</v>
      </c>
      <c r="AB13" s="17">
        <f t="shared" si="5"/>
        <v>1</v>
      </c>
      <c r="AC13" s="17">
        <f t="shared" si="5"/>
        <v>38</v>
      </c>
      <c r="AD13" s="17">
        <f t="shared" si="5"/>
        <v>0</v>
      </c>
      <c r="AE13" s="31">
        <f t="shared" si="5"/>
        <v>70</v>
      </c>
      <c r="AF13" s="31">
        <f t="shared" si="5"/>
        <v>108</v>
      </c>
    </row>
    <row r="14" spans="2:32" ht="23.1" customHeight="1" x14ac:dyDescent="0.25">
      <c r="B14" s="23" t="s">
        <v>41</v>
      </c>
      <c r="C14" s="50">
        <v>4</v>
      </c>
      <c r="D14" s="50">
        <v>2</v>
      </c>
      <c r="E14" s="50">
        <v>1</v>
      </c>
      <c r="F14" s="50">
        <v>5</v>
      </c>
      <c r="G14" s="50">
        <v>0</v>
      </c>
      <c r="H14" s="50">
        <v>1</v>
      </c>
      <c r="I14" s="50">
        <v>0</v>
      </c>
      <c r="J14" s="50">
        <v>0</v>
      </c>
      <c r="K14" s="50">
        <v>1</v>
      </c>
      <c r="L14" s="50">
        <v>0</v>
      </c>
      <c r="M14" s="50">
        <v>5</v>
      </c>
      <c r="N14" s="50">
        <v>0</v>
      </c>
      <c r="O14" s="15">
        <f t="shared" si="0"/>
        <v>14</v>
      </c>
      <c r="P14" s="15">
        <f t="shared" si="1"/>
        <v>19</v>
      </c>
      <c r="R14" s="1" t="s">
        <v>10</v>
      </c>
      <c r="S14" s="17">
        <f t="shared" ref="S14:AF14" si="6">SUM(C26:C29)</f>
        <v>18</v>
      </c>
      <c r="T14" s="17">
        <f t="shared" si="6"/>
        <v>13</v>
      </c>
      <c r="U14" s="17">
        <f t="shared" si="6"/>
        <v>14</v>
      </c>
      <c r="V14" s="17">
        <f t="shared" si="6"/>
        <v>21</v>
      </c>
      <c r="W14" s="17">
        <f t="shared" si="6"/>
        <v>0</v>
      </c>
      <c r="X14" s="17">
        <f t="shared" si="6"/>
        <v>5</v>
      </c>
      <c r="Y14" s="17">
        <f t="shared" si="6"/>
        <v>5</v>
      </c>
      <c r="Z14" s="17">
        <f t="shared" si="6"/>
        <v>2</v>
      </c>
      <c r="AA14" s="17">
        <f t="shared" si="6"/>
        <v>6</v>
      </c>
      <c r="AB14" s="17">
        <f t="shared" si="6"/>
        <v>1</v>
      </c>
      <c r="AC14" s="17">
        <f t="shared" si="6"/>
        <v>25</v>
      </c>
      <c r="AD14" s="17">
        <f t="shared" si="6"/>
        <v>0</v>
      </c>
      <c r="AE14" s="31">
        <f t="shared" si="6"/>
        <v>85</v>
      </c>
      <c r="AF14" s="31">
        <f t="shared" si="6"/>
        <v>110</v>
      </c>
    </row>
    <row r="15" spans="2:32" ht="23.1" customHeight="1" x14ac:dyDescent="0.25">
      <c r="B15" s="23" t="s">
        <v>42</v>
      </c>
      <c r="C15" s="50">
        <v>1</v>
      </c>
      <c r="D15" s="50">
        <v>3</v>
      </c>
      <c r="E15" s="50">
        <v>2</v>
      </c>
      <c r="F15" s="50">
        <v>2</v>
      </c>
      <c r="G15" s="50">
        <v>0</v>
      </c>
      <c r="H15" s="50">
        <v>1</v>
      </c>
      <c r="I15" s="50">
        <v>0</v>
      </c>
      <c r="J15" s="50">
        <v>1</v>
      </c>
      <c r="K15" s="50">
        <v>1</v>
      </c>
      <c r="L15" s="50">
        <v>0</v>
      </c>
      <c r="M15" s="50">
        <v>9</v>
      </c>
      <c r="N15" s="50">
        <v>0</v>
      </c>
      <c r="O15" s="15">
        <f t="shared" si="0"/>
        <v>11</v>
      </c>
      <c r="P15" s="15">
        <f t="shared" si="1"/>
        <v>20</v>
      </c>
      <c r="R15" s="1" t="s">
        <v>11</v>
      </c>
      <c r="S15" s="17">
        <f t="shared" ref="S15:AF15" si="7">SUM(C30:C33)</f>
        <v>29</v>
      </c>
      <c r="T15" s="17">
        <f t="shared" si="7"/>
        <v>16</v>
      </c>
      <c r="U15" s="17">
        <f t="shared" si="7"/>
        <v>10</v>
      </c>
      <c r="V15" s="17">
        <f t="shared" si="7"/>
        <v>19</v>
      </c>
      <c r="W15" s="17">
        <f t="shared" si="7"/>
        <v>0</v>
      </c>
      <c r="X15" s="17">
        <f t="shared" si="7"/>
        <v>7</v>
      </c>
      <c r="Y15" s="17">
        <f t="shared" si="7"/>
        <v>7</v>
      </c>
      <c r="Z15" s="17">
        <f t="shared" si="7"/>
        <v>0</v>
      </c>
      <c r="AA15" s="17">
        <f t="shared" si="7"/>
        <v>7</v>
      </c>
      <c r="AB15" s="17">
        <f t="shared" si="7"/>
        <v>0</v>
      </c>
      <c r="AC15" s="17">
        <f t="shared" si="7"/>
        <v>28</v>
      </c>
      <c r="AD15" s="17">
        <f t="shared" si="7"/>
        <v>0</v>
      </c>
      <c r="AE15" s="31">
        <f t="shared" si="7"/>
        <v>95</v>
      </c>
      <c r="AF15" s="31">
        <f t="shared" si="7"/>
        <v>123</v>
      </c>
    </row>
    <row r="16" spans="2:32" ht="23.1" customHeight="1" x14ac:dyDescent="0.25">
      <c r="B16" s="23" t="s">
        <v>43</v>
      </c>
      <c r="C16" s="50">
        <v>6</v>
      </c>
      <c r="D16" s="50">
        <v>0</v>
      </c>
      <c r="E16" s="50">
        <v>0</v>
      </c>
      <c r="F16" s="50">
        <v>4</v>
      </c>
      <c r="G16" s="50">
        <v>0</v>
      </c>
      <c r="H16" s="50">
        <v>0</v>
      </c>
      <c r="I16" s="50">
        <v>0</v>
      </c>
      <c r="J16" s="50">
        <v>1</v>
      </c>
      <c r="K16" s="50">
        <v>3</v>
      </c>
      <c r="L16" s="50">
        <v>1</v>
      </c>
      <c r="M16" s="50">
        <v>5</v>
      </c>
      <c r="N16" s="50">
        <v>0</v>
      </c>
      <c r="O16" s="15">
        <f t="shared" si="0"/>
        <v>15</v>
      </c>
      <c r="P16" s="15">
        <f t="shared" si="1"/>
        <v>20</v>
      </c>
      <c r="R16" s="1" t="s">
        <v>12</v>
      </c>
      <c r="S16" s="17">
        <f t="shared" ref="S16:AF16" si="8">SUM(C34:C37)</f>
        <v>29</v>
      </c>
      <c r="T16" s="17">
        <f t="shared" si="8"/>
        <v>18</v>
      </c>
      <c r="U16" s="17">
        <f t="shared" si="8"/>
        <v>9</v>
      </c>
      <c r="V16" s="17">
        <f t="shared" si="8"/>
        <v>13</v>
      </c>
      <c r="W16" s="17">
        <f t="shared" si="8"/>
        <v>3</v>
      </c>
      <c r="X16" s="17">
        <f t="shared" si="8"/>
        <v>9</v>
      </c>
      <c r="Y16" s="17">
        <f t="shared" si="8"/>
        <v>7</v>
      </c>
      <c r="Z16" s="17">
        <f t="shared" si="8"/>
        <v>3</v>
      </c>
      <c r="AA16" s="17">
        <f t="shared" si="8"/>
        <v>6</v>
      </c>
      <c r="AB16" s="17">
        <f t="shared" si="8"/>
        <v>0</v>
      </c>
      <c r="AC16" s="17">
        <f t="shared" si="8"/>
        <v>30</v>
      </c>
      <c r="AD16" s="17">
        <f t="shared" si="8"/>
        <v>0</v>
      </c>
      <c r="AE16" s="31">
        <f t="shared" si="8"/>
        <v>97</v>
      </c>
      <c r="AF16" s="31">
        <f t="shared" si="8"/>
        <v>127</v>
      </c>
    </row>
    <row r="17" spans="2:32" ht="23.1" customHeight="1" x14ac:dyDescent="0.25">
      <c r="B17" s="23" t="s">
        <v>44</v>
      </c>
      <c r="C17" s="50">
        <v>2</v>
      </c>
      <c r="D17" s="50">
        <v>1</v>
      </c>
      <c r="E17" s="50">
        <v>3</v>
      </c>
      <c r="F17" s="50">
        <v>6</v>
      </c>
      <c r="G17" s="50">
        <v>0</v>
      </c>
      <c r="H17" s="50">
        <v>1</v>
      </c>
      <c r="I17" s="50">
        <v>1</v>
      </c>
      <c r="J17" s="50">
        <v>0</v>
      </c>
      <c r="K17" s="50">
        <v>1</v>
      </c>
      <c r="L17" s="50">
        <v>0</v>
      </c>
      <c r="M17" s="50">
        <v>8</v>
      </c>
      <c r="N17" s="50">
        <v>0</v>
      </c>
      <c r="O17" s="15">
        <f t="shared" si="0"/>
        <v>15</v>
      </c>
      <c r="P17" s="15">
        <f t="shared" si="1"/>
        <v>23</v>
      </c>
      <c r="R17" s="1" t="s">
        <v>13</v>
      </c>
      <c r="S17" s="17">
        <f t="shared" ref="S17:AF17" si="9">SUM(C38:C41)</f>
        <v>21</v>
      </c>
      <c r="T17" s="17">
        <f t="shared" si="9"/>
        <v>7</v>
      </c>
      <c r="U17" s="17">
        <f t="shared" si="9"/>
        <v>9</v>
      </c>
      <c r="V17" s="17">
        <f t="shared" si="9"/>
        <v>18</v>
      </c>
      <c r="W17" s="17">
        <f t="shared" si="9"/>
        <v>0</v>
      </c>
      <c r="X17" s="17">
        <f t="shared" si="9"/>
        <v>7</v>
      </c>
      <c r="Y17" s="17">
        <f t="shared" si="9"/>
        <v>5</v>
      </c>
      <c r="Z17" s="17">
        <f t="shared" si="9"/>
        <v>6</v>
      </c>
      <c r="AA17" s="17">
        <f t="shared" si="9"/>
        <v>21</v>
      </c>
      <c r="AB17" s="17">
        <f t="shared" si="9"/>
        <v>1</v>
      </c>
      <c r="AC17" s="17">
        <f t="shared" si="9"/>
        <v>31</v>
      </c>
      <c r="AD17" s="17">
        <f t="shared" si="9"/>
        <v>0</v>
      </c>
      <c r="AE17" s="31">
        <f t="shared" si="9"/>
        <v>95</v>
      </c>
      <c r="AF17" s="31">
        <f t="shared" si="9"/>
        <v>126</v>
      </c>
    </row>
    <row r="18" spans="2:32" ht="23.1" customHeight="1" x14ac:dyDescent="0.25">
      <c r="B18" s="23" t="s">
        <v>45</v>
      </c>
      <c r="C18" s="50">
        <v>2</v>
      </c>
      <c r="D18" s="50">
        <v>2</v>
      </c>
      <c r="E18" s="50">
        <v>2</v>
      </c>
      <c r="F18" s="50">
        <v>6</v>
      </c>
      <c r="G18" s="50">
        <v>0</v>
      </c>
      <c r="H18" s="50">
        <v>0</v>
      </c>
      <c r="I18" s="50">
        <v>0</v>
      </c>
      <c r="J18" s="50">
        <v>0</v>
      </c>
      <c r="K18" s="50">
        <v>1</v>
      </c>
      <c r="L18" s="50">
        <v>0</v>
      </c>
      <c r="M18" s="50">
        <v>8</v>
      </c>
      <c r="N18" s="50">
        <v>0</v>
      </c>
      <c r="O18" s="15">
        <f t="shared" si="0"/>
        <v>13</v>
      </c>
      <c r="P18" s="15">
        <f t="shared" si="1"/>
        <v>21</v>
      </c>
      <c r="R18" s="1" t="s">
        <v>14</v>
      </c>
      <c r="S18" s="17">
        <f t="shared" ref="S18:AF18" si="10">SUM(C42:C45)</f>
        <v>36</v>
      </c>
      <c r="T18" s="17">
        <f t="shared" si="10"/>
        <v>16</v>
      </c>
      <c r="U18" s="17">
        <f t="shared" si="10"/>
        <v>11</v>
      </c>
      <c r="V18" s="17">
        <f t="shared" si="10"/>
        <v>20</v>
      </c>
      <c r="W18" s="17">
        <f t="shared" si="10"/>
        <v>0</v>
      </c>
      <c r="X18" s="17">
        <f t="shared" si="10"/>
        <v>6</v>
      </c>
      <c r="Y18" s="17">
        <f t="shared" si="10"/>
        <v>1</v>
      </c>
      <c r="Z18" s="17">
        <f t="shared" si="10"/>
        <v>6</v>
      </c>
      <c r="AA18" s="17">
        <f t="shared" si="10"/>
        <v>15</v>
      </c>
      <c r="AB18" s="17">
        <f t="shared" si="10"/>
        <v>0</v>
      </c>
      <c r="AC18" s="17">
        <f t="shared" si="10"/>
        <v>44</v>
      </c>
      <c r="AD18" s="17">
        <f t="shared" si="10"/>
        <v>0</v>
      </c>
      <c r="AE18" s="31">
        <f t="shared" si="10"/>
        <v>111</v>
      </c>
      <c r="AF18" s="31">
        <f t="shared" si="10"/>
        <v>155</v>
      </c>
    </row>
    <row r="19" spans="2:32" ht="23.1" customHeight="1" x14ac:dyDescent="0.25">
      <c r="B19" s="23" t="s">
        <v>46</v>
      </c>
      <c r="C19" s="50">
        <v>6</v>
      </c>
      <c r="D19" s="50">
        <v>3</v>
      </c>
      <c r="E19" s="50">
        <v>1</v>
      </c>
      <c r="F19" s="50">
        <v>3</v>
      </c>
      <c r="G19" s="50">
        <v>0</v>
      </c>
      <c r="H19" s="50">
        <v>0</v>
      </c>
      <c r="I19" s="50">
        <v>3</v>
      </c>
      <c r="J19" s="50">
        <v>1</v>
      </c>
      <c r="K19" s="50">
        <v>1</v>
      </c>
      <c r="L19" s="50">
        <v>0</v>
      </c>
      <c r="M19" s="50">
        <v>4</v>
      </c>
      <c r="N19" s="50">
        <v>0</v>
      </c>
      <c r="O19" s="15">
        <f t="shared" si="0"/>
        <v>18</v>
      </c>
      <c r="P19" s="15">
        <f t="shared" si="1"/>
        <v>22</v>
      </c>
      <c r="R19" s="1" t="s">
        <v>15</v>
      </c>
      <c r="S19" s="17">
        <f t="shared" ref="S19:AF19" si="11">SUM(C46:C49)</f>
        <v>42</v>
      </c>
      <c r="T19" s="17">
        <f t="shared" si="11"/>
        <v>10</v>
      </c>
      <c r="U19" s="17">
        <f t="shared" si="11"/>
        <v>13</v>
      </c>
      <c r="V19" s="17">
        <f t="shared" si="11"/>
        <v>17</v>
      </c>
      <c r="W19" s="17">
        <f t="shared" si="11"/>
        <v>0</v>
      </c>
      <c r="X19" s="17">
        <f t="shared" si="11"/>
        <v>4</v>
      </c>
      <c r="Y19" s="17">
        <f t="shared" si="11"/>
        <v>1</v>
      </c>
      <c r="Z19" s="17">
        <f t="shared" si="11"/>
        <v>0</v>
      </c>
      <c r="AA19" s="17">
        <f t="shared" si="11"/>
        <v>15</v>
      </c>
      <c r="AB19" s="17">
        <f t="shared" si="11"/>
        <v>0</v>
      </c>
      <c r="AC19" s="17">
        <f t="shared" si="11"/>
        <v>43</v>
      </c>
      <c r="AD19" s="17">
        <f t="shared" si="11"/>
        <v>0</v>
      </c>
      <c r="AE19" s="31">
        <f t="shared" si="11"/>
        <v>102</v>
      </c>
      <c r="AF19" s="31">
        <f t="shared" si="11"/>
        <v>145</v>
      </c>
    </row>
    <row r="20" spans="2:32" ht="23.1" customHeight="1" x14ac:dyDescent="0.25">
      <c r="B20" s="23" t="s">
        <v>47</v>
      </c>
      <c r="C20" s="50">
        <v>6</v>
      </c>
      <c r="D20" s="50">
        <v>2</v>
      </c>
      <c r="E20" s="50">
        <v>2</v>
      </c>
      <c r="F20" s="50">
        <v>4</v>
      </c>
      <c r="G20" s="50">
        <v>0</v>
      </c>
      <c r="H20" s="50">
        <v>1</v>
      </c>
      <c r="I20" s="50">
        <v>0</v>
      </c>
      <c r="J20" s="50">
        <v>3</v>
      </c>
      <c r="K20" s="50">
        <v>3</v>
      </c>
      <c r="L20" s="50">
        <v>0</v>
      </c>
      <c r="M20" s="50">
        <v>17</v>
      </c>
      <c r="N20" s="50">
        <v>0</v>
      </c>
      <c r="O20" s="15">
        <f t="shared" si="0"/>
        <v>21</v>
      </c>
      <c r="P20" s="15">
        <f t="shared" si="1"/>
        <v>38</v>
      </c>
      <c r="R20" s="1" t="s">
        <v>16</v>
      </c>
      <c r="S20" s="17">
        <f t="shared" ref="S20:AF20" si="12">SUM(C50:C53)</f>
        <v>33</v>
      </c>
      <c r="T20" s="17">
        <f t="shared" si="12"/>
        <v>14</v>
      </c>
      <c r="U20" s="17">
        <f t="shared" si="12"/>
        <v>12</v>
      </c>
      <c r="V20" s="17">
        <f t="shared" si="12"/>
        <v>21</v>
      </c>
      <c r="W20" s="17">
        <f t="shared" si="12"/>
        <v>0</v>
      </c>
      <c r="X20" s="17">
        <f t="shared" si="12"/>
        <v>5</v>
      </c>
      <c r="Y20" s="17">
        <f t="shared" si="12"/>
        <v>7</v>
      </c>
      <c r="Z20" s="17">
        <f t="shared" si="12"/>
        <v>7</v>
      </c>
      <c r="AA20" s="17">
        <f t="shared" si="12"/>
        <v>13</v>
      </c>
      <c r="AB20" s="17">
        <f t="shared" si="12"/>
        <v>0</v>
      </c>
      <c r="AC20" s="17">
        <f t="shared" si="12"/>
        <v>71</v>
      </c>
      <c r="AD20" s="17">
        <f t="shared" si="12"/>
        <v>0</v>
      </c>
      <c r="AE20" s="31">
        <f t="shared" si="12"/>
        <v>112</v>
      </c>
      <c r="AF20" s="31">
        <f t="shared" si="12"/>
        <v>183</v>
      </c>
    </row>
    <row r="21" spans="2:32" ht="23.1" customHeight="1" x14ac:dyDescent="0.25">
      <c r="B21" s="23" t="s">
        <v>48</v>
      </c>
      <c r="C21" s="50">
        <v>6</v>
      </c>
      <c r="D21" s="50">
        <v>0</v>
      </c>
      <c r="E21" s="50">
        <v>1</v>
      </c>
      <c r="F21" s="50">
        <v>3</v>
      </c>
      <c r="G21" s="50">
        <v>0</v>
      </c>
      <c r="H21" s="50">
        <v>0</v>
      </c>
      <c r="I21" s="50">
        <v>0</v>
      </c>
      <c r="J21" s="50">
        <v>0</v>
      </c>
      <c r="K21" s="50">
        <v>3</v>
      </c>
      <c r="L21" s="50">
        <v>0</v>
      </c>
      <c r="M21" s="50">
        <v>9</v>
      </c>
      <c r="N21" s="50">
        <v>0</v>
      </c>
      <c r="O21" s="15">
        <f t="shared" si="0"/>
        <v>13</v>
      </c>
      <c r="P21" s="15">
        <f t="shared" si="1"/>
        <v>22</v>
      </c>
      <c r="R21" s="36" t="s">
        <v>20</v>
      </c>
      <c r="S21" s="34">
        <f t="shared" ref="S21:AF21" si="13">SUM(C54:C57)</f>
        <v>46</v>
      </c>
      <c r="T21" s="17">
        <f t="shared" si="13"/>
        <v>9</v>
      </c>
      <c r="U21" s="17">
        <f t="shared" si="13"/>
        <v>11</v>
      </c>
      <c r="V21" s="17">
        <f t="shared" si="13"/>
        <v>27</v>
      </c>
      <c r="W21" s="17">
        <f t="shared" si="13"/>
        <v>0</v>
      </c>
      <c r="X21" s="17">
        <f t="shared" si="13"/>
        <v>6</v>
      </c>
      <c r="Y21" s="17">
        <f t="shared" si="13"/>
        <v>10</v>
      </c>
      <c r="Z21" s="17">
        <f t="shared" si="13"/>
        <v>12</v>
      </c>
      <c r="AA21" s="17">
        <f t="shared" si="13"/>
        <v>17</v>
      </c>
      <c r="AB21" s="17">
        <f t="shared" si="13"/>
        <v>0</v>
      </c>
      <c r="AC21" s="17">
        <f t="shared" si="13"/>
        <v>53</v>
      </c>
      <c r="AD21" s="17">
        <f t="shared" si="13"/>
        <v>0</v>
      </c>
      <c r="AE21" s="31">
        <f t="shared" si="13"/>
        <v>138</v>
      </c>
      <c r="AF21" s="31">
        <f t="shared" si="13"/>
        <v>191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3</v>
      </c>
      <c r="F22" s="50">
        <v>6</v>
      </c>
      <c r="G22" s="50">
        <v>0</v>
      </c>
      <c r="H22" s="50">
        <v>0</v>
      </c>
      <c r="I22" s="50">
        <v>0</v>
      </c>
      <c r="J22" s="50">
        <v>1</v>
      </c>
      <c r="K22" s="50">
        <v>2</v>
      </c>
      <c r="L22" s="50">
        <v>0</v>
      </c>
      <c r="M22" s="50">
        <v>9</v>
      </c>
      <c r="N22" s="50">
        <v>0</v>
      </c>
      <c r="O22" s="15">
        <f t="shared" si="0"/>
        <v>15</v>
      </c>
      <c r="P22" s="15">
        <f t="shared" si="1"/>
        <v>24</v>
      </c>
      <c r="R22" s="38" t="s">
        <v>90</v>
      </c>
      <c r="S22" s="39">
        <f>MAX(S10:S12)</f>
        <v>20</v>
      </c>
      <c r="T22" s="39">
        <f t="shared" ref="T22:AF22" si="14">MAX(T10:T12)</f>
        <v>7</v>
      </c>
      <c r="U22" s="39">
        <f t="shared" si="14"/>
        <v>6</v>
      </c>
      <c r="V22" s="39">
        <f t="shared" si="14"/>
        <v>17</v>
      </c>
      <c r="W22" s="39">
        <f t="shared" si="14"/>
        <v>0</v>
      </c>
      <c r="X22" s="39">
        <f t="shared" si="14"/>
        <v>3</v>
      </c>
      <c r="Y22" s="39">
        <f t="shared" si="14"/>
        <v>3</v>
      </c>
      <c r="Z22" s="39">
        <f t="shared" si="14"/>
        <v>4</v>
      </c>
      <c r="AA22" s="39">
        <f t="shared" si="14"/>
        <v>8</v>
      </c>
      <c r="AB22" s="39">
        <f t="shared" si="14"/>
        <v>1</v>
      </c>
      <c r="AC22" s="39">
        <f t="shared" si="14"/>
        <v>38</v>
      </c>
      <c r="AD22" s="39">
        <f t="shared" si="14"/>
        <v>0</v>
      </c>
      <c r="AE22" s="40">
        <f t="shared" si="14"/>
        <v>65</v>
      </c>
      <c r="AF22" s="40">
        <f t="shared" si="14"/>
        <v>103</v>
      </c>
    </row>
    <row r="23" spans="2:32" ht="23.1" customHeight="1" x14ac:dyDescent="0.25">
      <c r="B23" s="23" t="s">
        <v>50</v>
      </c>
      <c r="C23" s="50">
        <v>7</v>
      </c>
      <c r="D23" s="50">
        <v>1</v>
      </c>
      <c r="E23" s="50">
        <v>1</v>
      </c>
      <c r="F23" s="50">
        <v>3</v>
      </c>
      <c r="G23" s="50">
        <v>0</v>
      </c>
      <c r="H23" s="50">
        <v>1</v>
      </c>
      <c r="I23" s="50">
        <v>1</v>
      </c>
      <c r="J23" s="50">
        <v>0</v>
      </c>
      <c r="K23" s="50">
        <v>0</v>
      </c>
      <c r="L23" s="50">
        <v>0</v>
      </c>
      <c r="M23" s="50">
        <v>13</v>
      </c>
      <c r="N23" s="50">
        <v>0</v>
      </c>
      <c r="O23" s="15">
        <f t="shared" si="0"/>
        <v>14</v>
      </c>
      <c r="P23" s="15">
        <f t="shared" si="1"/>
        <v>27</v>
      </c>
      <c r="R23" s="38" t="s">
        <v>91</v>
      </c>
      <c r="S23" s="39">
        <f>MAX(S13:S18)</f>
        <v>36</v>
      </c>
      <c r="T23" s="39">
        <f t="shared" ref="T23:AF23" si="15">MAX(T13:T18)</f>
        <v>18</v>
      </c>
      <c r="U23" s="39">
        <f t="shared" si="15"/>
        <v>14</v>
      </c>
      <c r="V23" s="39">
        <f t="shared" si="15"/>
        <v>21</v>
      </c>
      <c r="W23" s="39">
        <f t="shared" si="15"/>
        <v>3</v>
      </c>
      <c r="X23" s="39">
        <f t="shared" si="15"/>
        <v>9</v>
      </c>
      <c r="Y23" s="39">
        <f t="shared" si="15"/>
        <v>7</v>
      </c>
      <c r="Z23" s="39">
        <f t="shared" si="15"/>
        <v>6</v>
      </c>
      <c r="AA23" s="39">
        <f t="shared" si="15"/>
        <v>21</v>
      </c>
      <c r="AB23" s="39">
        <f t="shared" si="15"/>
        <v>1</v>
      </c>
      <c r="AC23" s="39">
        <f t="shared" si="15"/>
        <v>44</v>
      </c>
      <c r="AD23" s="39">
        <f t="shared" si="15"/>
        <v>0</v>
      </c>
      <c r="AE23" s="40">
        <f t="shared" si="15"/>
        <v>111</v>
      </c>
      <c r="AF23" s="40">
        <f t="shared" si="15"/>
        <v>155</v>
      </c>
    </row>
    <row r="24" spans="2:32" ht="23.1" customHeight="1" x14ac:dyDescent="0.25">
      <c r="B24" s="23" t="s">
        <v>51</v>
      </c>
      <c r="C24" s="50">
        <v>5</v>
      </c>
      <c r="D24" s="50">
        <v>0</v>
      </c>
      <c r="E24" s="50">
        <v>2</v>
      </c>
      <c r="F24" s="50">
        <v>3</v>
      </c>
      <c r="G24" s="50">
        <v>0</v>
      </c>
      <c r="H24" s="50">
        <v>4</v>
      </c>
      <c r="I24" s="50">
        <v>0</v>
      </c>
      <c r="J24" s="50">
        <v>0</v>
      </c>
      <c r="K24" s="50">
        <v>1</v>
      </c>
      <c r="L24" s="50">
        <v>1</v>
      </c>
      <c r="M24" s="50">
        <v>10</v>
      </c>
      <c r="N24" s="50">
        <v>0</v>
      </c>
      <c r="O24" s="15">
        <f t="shared" si="0"/>
        <v>16</v>
      </c>
      <c r="P24" s="15">
        <f t="shared" si="1"/>
        <v>26</v>
      </c>
      <c r="R24" s="38" t="s">
        <v>92</v>
      </c>
      <c r="S24" s="39">
        <f>MAX(S19:S21)</f>
        <v>46</v>
      </c>
      <c r="T24" s="39">
        <f t="shared" ref="T24:AF24" si="16">MAX(T19:T21)</f>
        <v>14</v>
      </c>
      <c r="U24" s="39">
        <f t="shared" si="16"/>
        <v>13</v>
      </c>
      <c r="V24" s="39">
        <f t="shared" si="16"/>
        <v>27</v>
      </c>
      <c r="W24" s="39">
        <f t="shared" si="16"/>
        <v>0</v>
      </c>
      <c r="X24" s="39">
        <f t="shared" si="16"/>
        <v>6</v>
      </c>
      <c r="Y24" s="39">
        <f t="shared" si="16"/>
        <v>10</v>
      </c>
      <c r="Z24" s="39">
        <f t="shared" si="16"/>
        <v>12</v>
      </c>
      <c r="AA24" s="39">
        <f t="shared" si="16"/>
        <v>17</v>
      </c>
      <c r="AB24" s="39">
        <f t="shared" si="16"/>
        <v>0</v>
      </c>
      <c r="AC24" s="39">
        <f t="shared" si="16"/>
        <v>71</v>
      </c>
      <c r="AD24" s="39">
        <f t="shared" si="16"/>
        <v>0</v>
      </c>
      <c r="AE24" s="40">
        <f t="shared" si="16"/>
        <v>138</v>
      </c>
      <c r="AF24" s="40">
        <f t="shared" si="16"/>
        <v>191</v>
      </c>
    </row>
    <row r="25" spans="2:32" ht="23.1" customHeight="1" x14ac:dyDescent="0.25">
      <c r="B25" s="23" t="s">
        <v>52</v>
      </c>
      <c r="C25" s="50">
        <v>14</v>
      </c>
      <c r="D25" s="50">
        <v>2</v>
      </c>
      <c r="E25" s="50">
        <v>2</v>
      </c>
      <c r="F25" s="50">
        <v>4</v>
      </c>
      <c r="G25" s="50">
        <v>0</v>
      </c>
      <c r="H25" s="50">
        <v>1</v>
      </c>
      <c r="I25" s="50">
        <v>1</v>
      </c>
      <c r="J25" s="50">
        <v>0</v>
      </c>
      <c r="K25" s="50">
        <v>1</v>
      </c>
      <c r="L25" s="50">
        <v>0</v>
      </c>
      <c r="M25" s="50">
        <v>6</v>
      </c>
      <c r="N25" s="50">
        <v>0</v>
      </c>
      <c r="O25" s="15">
        <f t="shared" si="0"/>
        <v>25</v>
      </c>
      <c r="P25" s="15">
        <f t="shared" si="1"/>
        <v>31</v>
      </c>
      <c r="R25" s="37" t="s">
        <v>85</v>
      </c>
      <c r="S25" s="35">
        <f t="shared" ref="S25:AF25" si="17">SUM(S10:S12)</f>
        <v>52</v>
      </c>
      <c r="T25" s="16">
        <f t="shared" si="17"/>
        <v>18</v>
      </c>
      <c r="U25" s="16">
        <f t="shared" si="17"/>
        <v>13</v>
      </c>
      <c r="V25" s="16">
        <f t="shared" si="17"/>
        <v>46</v>
      </c>
      <c r="W25" s="16">
        <f t="shared" si="17"/>
        <v>0</v>
      </c>
      <c r="X25" s="16">
        <f t="shared" si="17"/>
        <v>6</v>
      </c>
      <c r="Y25" s="16">
        <f t="shared" si="17"/>
        <v>6</v>
      </c>
      <c r="Z25" s="16">
        <f t="shared" si="17"/>
        <v>8</v>
      </c>
      <c r="AA25" s="16">
        <f t="shared" si="17"/>
        <v>17</v>
      </c>
      <c r="AB25" s="16">
        <f t="shared" si="17"/>
        <v>1</v>
      </c>
      <c r="AC25" s="16">
        <f t="shared" si="17"/>
        <v>100</v>
      </c>
      <c r="AD25" s="16">
        <f t="shared" si="17"/>
        <v>0</v>
      </c>
      <c r="AE25" s="32">
        <f t="shared" si="17"/>
        <v>167</v>
      </c>
      <c r="AF25" s="32">
        <f t="shared" si="17"/>
        <v>267</v>
      </c>
    </row>
    <row r="26" spans="2:32" ht="23.1" customHeight="1" x14ac:dyDescent="0.25">
      <c r="B26" s="23" t="s">
        <v>53</v>
      </c>
      <c r="C26" s="50">
        <v>1</v>
      </c>
      <c r="D26" s="50">
        <v>3</v>
      </c>
      <c r="E26" s="50">
        <v>2</v>
      </c>
      <c r="F26" s="50">
        <v>4</v>
      </c>
      <c r="G26" s="50">
        <v>0</v>
      </c>
      <c r="H26" s="50">
        <v>1</v>
      </c>
      <c r="I26" s="50">
        <v>2</v>
      </c>
      <c r="J26" s="50">
        <v>1</v>
      </c>
      <c r="K26" s="50">
        <v>2</v>
      </c>
      <c r="L26" s="50">
        <v>1</v>
      </c>
      <c r="M26" s="50">
        <v>5</v>
      </c>
      <c r="N26" s="50">
        <v>0</v>
      </c>
      <c r="O26" s="15">
        <f t="shared" si="0"/>
        <v>17</v>
      </c>
      <c r="P26" s="15">
        <f t="shared" si="1"/>
        <v>22</v>
      </c>
      <c r="R26" s="28" t="s">
        <v>86</v>
      </c>
      <c r="S26" s="16">
        <f t="shared" ref="S26:AF26" si="18">SUM(S13:S18)</f>
        <v>162</v>
      </c>
      <c r="T26" s="16">
        <f t="shared" si="18"/>
        <v>73</v>
      </c>
      <c r="U26" s="16">
        <f t="shared" si="18"/>
        <v>61</v>
      </c>
      <c r="V26" s="16">
        <f t="shared" si="18"/>
        <v>107</v>
      </c>
      <c r="W26" s="16">
        <f t="shared" si="18"/>
        <v>3</v>
      </c>
      <c r="X26" s="16">
        <f t="shared" si="18"/>
        <v>40</v>
      </c>
      <c r="Y26" s="16">
        <f t="shared" si="18"/>
        <v>27</v>
      </c>
      <c r="Z26" s="16">
        <f t="shared" si="18"/>
        <v>18</v>
      </c>
      <c r="AA26" s="16">
        <f t="shared" si="18"/>
        <v>59</v>
      </c>
      <c r="AB26" s="16">
        <f t="shared" si="18"/>
        <v>3</v>
      </c>
      <c r="AC26" s="16">
        <f t="shared" si="18"/>
        <v>196</v>
      </c>
      <c r="AD26" s="16">
        <f t="shared" si="18"/>
        <v>0</v>
      </c>
      <c r="AE26" s="32">
        <f t="shared" si="18"/>
        <v>553</v>
      </c>
      <c r="AF26" s="32">
        <f t="shared" si="18"/>
        <v>749</v>
      </c>
    </row>
    <row r="27" spans="2:32" ht="23.1" customHeight="1" x14ac:dyDescent="0.25">
      <c r="B27" s="23" t="s">
        <v>54</v>
      </c>
      <c r="C27" s="50">
        <v>7</v>
      </c>
      <c r="D27" s="50">
        <v>4</v>
      </c>
      <c r="E27" s="50">
        <v>1</v>
      </c>
      <c r="F27" s="50">
        <v>7</v>
      </c>
      <c r="G27" s="50">
        <v>0</v>
      </c>
      <c r="H27" s="50">
        <v>1</v>
      </c>
      <c r="I27" s="50">
        <v>0</v>
      </c>
      <c r="J27" s="50">
        <v>0</v>
      </c>
      <c r="K27" s="50">
        <v>2</v>
      </c>
      <c r="L27" s="50">
        <v>0</v>
      </c>
      <c r="M27" s="50">
        <v>5</v>
      </c>
      <c r="N27" s="50">
        <v>0</v>
      </c>
      <c r="O27" s="15">
        <f t="shared" si="0"/>
        <v>22</v>
      </c>
      <c r="P27" s="15">
        <f t="shared" si="1"/>
        <v>27</v>
      </c>
      <c r="R27" s="29" t="s">
        <v>87</v>
      </c>
      <c r="S27" s="16">
        <f t="shared" ref="S27:AF27" si="19">SUM(S19:S21)</f>
        <v>121</v>
      </c>
      <c r="T27" s="16">
        <f t="shared" si="19"/>
        <v>33</v>
      </c>
      <c r="U27" s="16">
        <f t="shared" si="19"/>
        <v>36</v>
      </c>
      <c r="V27" s="16">
        <f t="shared" si="19"/>
        <v>65</v>
      </c>
      <c r="W27" s="16">
        <f t="shared" si="19"/>
        <v>0</v>
      </c>
      <c r="X27" s="16">
        <f t="shared" si="19"/>
        <v>15</v>
      </c>
      <c r="Y27" s="16">
        <f t="shared" si="19"/>
        <v>18</v>
      </c>
      <c r="Z27" s="16">
        <f t="shared" si="19"/>
        <v>19</v>
      </c>
      <c r="AA27" s="16">
        <f t="shared" si="19"/>
        <v>45</v>
      </c>
      <c r="AB27" s="16">
        <f t="shared" si="19"/>
        <v>0</v>
      </c>
      <c r="AC27" s="16">
        <f t="shared" si="19"/>
        <v>167</v>
      </c>
      <c r="AD27" s="16">
        <f t="shared" si="19"/>
        <v>0</v>
      </c>
      <c r="AE27" s="32">
        <f t="shared" si="19"/>
        <v>352</v>
      </c>
      <c r="AF27" s="32">
        <f t="shared" si="19"/>
        <v>519</v>
      </c>
    </row>
    <row r="28" spans="2:32" ht="23.1" customHeight="1" x14ac:dyDescent="0.25">
      <c r="B28" s="23" t="s">
        <v>55</v>
      </c>
      <c r="C28" s="50">
        <v>7</v>
      </c>
      <c r="D28" s="50">
        <v>2</v>
      </c>
      <c r="E28" s="50">
        <v>5</v>
      </c>
      <c r="F28" s="50">
        <v>5</v>
      </c>
      <c r="G28" s="50">
        <v>0</v>
      </c>
      <c r="H28" s="50">
        <v>2</v>
      </c>
      <c r="I28" s="50">
        <v>2</v>
      </c>
      <c r="J28" s="50">
        <v>1</v>
      </c>
      <c r="K28" s="50">
        <v>1</v>
      </c>
      <c r="L28" s="50">
        <v>0</v>
      </c>
      <c r="M28" s="50">
        <v>6</v>
      </c>
      <c r="N28" s="50">
        <v>0</v>
      </c>
      <c r="O28" s="15">
        <f t="shared" si="0"/>
        <v>25</v>
      </c>
      <c r="P28" s="15">
        <f t="shared" si="1"/>
        <v>31</v>
      </c>
      <c r="R28" s="5" t="s">
        <v>17</v>
      </c>
      <c r="S28" s="16">
        <f t="shared" ref="S28:AF28" si="20">SUM(S10:S21)</f>
        <v>335</v>
      </c>
      <c r="T28" s="16">
        <f t="shared" si="20"/>
        <v>124</v>
      </c>
      <c r="U28" s="16">
        <f t="shared" si="20"/>
        <v>110</v>
      </c>
      <c r="V28" s="16">
        <f t="shared" si="20"/>
        <v>218</v>
      </c>
      <c r="W28" s="16">
        <f t="shared" si="20"/>
        <v>3</v>
      </c>
      <c r="X28" s="16">
        <f t="shared" si="20"/>
        <v>61</v>
      </c>
      <c r="Y28" s="16">
        <f t="shared" si="20"/>
        <v>51</v>
      </c>
      <c r="Z28" s="16">
        <f t="shared" si="20"/>
        <v>45</v>
      </c>
      <c r="AA28" s="16">
        <f t="shared" si="20"/>
        <v>121</v>
      </c>
      <c r="AB28" s="16">
        <f t="shared" si="20"/>
        <v>4</v>
      </c>
      <c r="AC28" s="16">
        <f t="shared" si="20"/>
        <v>463</v>
      </c>
      <c r="AD28" s="16">
        <f t="shared" si="20"/>
        <v>0</v>
      </c>
      <c r="AE28" s="32">
        <f t="shared" si="20"/>
        <v>1072</v>
      </c>
      <c r="AF28" s="32">
        <f t="shared" si="20"/>
        <v>1535</v>
      </c>
    </row>
    <row r="29" spans="2:32" ht="23.1" customHeight="1" x14ac:dyDescent="0.25">
      <c r="B29" s="23" t="s">
        <v>56</v>
      </c>
      <c r="C29" s="50">
        <v>3</v>
      </c>
      <c r="D29" s="50">
        <v>4</v>
      </c>
      <c r="E29" s="50">
        <v>6</v>
      </c>
      <c r="F29" s="50">
        <v>5</v>
      </c>
      <c r="G29" s="50">
        <v>0</v>
      </c>
      <c r="H29" s="50">
        <v>1</v>
      </c>
      <c r="I29" s="50">
        <v>1</v>
      </c>
      <c r="J29" s="50">
        <v>0</v>
      </c>
      <c r="K29" s="50">
        <v>1</v>
      </c>
      <c r="L29" s="50">
        <v>0</v>
      </c>
      <c r="M29" s="50">
        <v>9</v>
      </c>
      <c r="N29" s="50">
        <v>0</v>
      </c>
      <c r="O29" s="15">
        <f t="shared" si="0"/>
        <v>21</v>
      </c>
      <c r="P29" s="15">
        <f t="shared" si="1"/>
        <v>30</v>
      </c>
      <c r="R29"/>
      <c r="S29" s="20"/>
      <c r="T29" s="19"/>
    </row>
    <row r="30" spans="2:32" ht="23.1" customHeight="1" x14ac:dyDescent="0.25">
      <c r="B30" s="23" t="s">
        <v>57</v>
      </c>
      <c r="C30" s="50">
        <v>8</v>
      </c>
      <c r="D30" s="50">
        <v>8</v>
      </c>
      <c r="E30" s="50">
        <v>0</v>
      </c>
      <c r="F30" s="50">
        <v>4</v>
      </c>
      <c r="G30" s="50">
        <v>0</v>
      </c>
      <c r="H30" s="50">
        <v>2</v>
      </c>
      <c r="I30" s="50">
        <v>0</v>
      </c>
      <c r="J30" s="50">
        <v>0</v>
      </c>
      <c r="K30" s="50">
        <v>1</v>
      </c>
      <c r="L30" s="50">
        <v>0</v>
      </c>
      <c r="M30" s="50">
        <v>7</v>
      </c>
      <c r="N30" s="50">
        <v>0</v>
      </c>
      <c r="O30" s="15">
        <f t="shared" si="0"/>
        <v>23</v>
      </c>
      <c r="P30" s="15">
        <f t="shared" si="1"/>
        <v>30</v>
      </c>
    </row>
    <row r="31" spans="2:32" ht="23.1" customHeight="1" x14ac:dyDescent="0.25">
      <c r="B31" s="24" t="s">
        <v>58</v>
      </c>
      <c r="C31" s="50">
        <v>9</v>
      </c>
      <c r="D31" s="50">
        <v>3</v>
      </c>
      <c r="E31" s="50">
        <v>5</v>
      </c>
      <c r="F31" s="50">
        <v>6</v>
      </c>
      <c r="G31" s="50">
        <v>0</v>
      </c>
      <c r="H31" s="50">
        <v>2</v>
      </c>
      <c r="I31" s="50">
        <v>2</v>
      </c>
      <c r="J31" s="50">
        <v>0</v>
      </c>
      <c r="K31" s="50">
        <v>1</v>
      </c>
      <c r="L31" s="50">
        <v>0</v>
      </c>
      <c r="M31" s="50">
        <v>4</v>
      </c>
      <c r="N31" s="50">
        <v>0</v>
      </c>
      <c r="O31" s="15">
        <f t="shared" si="0"/>
        <v>28</v>
      </c>
      <c r="P31" s="15">
        <f t="shared" si="1"/>
        <v>32</v>
      </c>
    </row>
    <row r="32" spans="2:32" ht="23.1" customHeight="1" x14ac:dyDescent="0.25">
      <c r="B32" s="24" t="s">
        <v>59</v>
      </c>
      <c r="C32" s="50">
        <v>7</v>
      </c>
      <c r="D32" s="50">
        <v>3</v>
      </c>
      <c r="E32" s="50">
        <v>4</v>
      </c>
      <c r="F32" s="50">
        <v>5</v>
      </c>
      <c r="G32" s="50">
        <v>0</v>
      </c>
      <c r="H32" s="50">
        <v>1</v>
      </c>
      <c r="I32" s="50">
        <v>3</v>
      </c>
      <c r="J32" s="50">
        <v>0</v>
      </c>
      <c r="K32" s="50">
        <v>3</v>
      </c>
      <c r="L32" s="50">
        <v>0</v>
      </c>
      <c r="M32" s="50">
        <v>7</v>
      </c>
      <c r="N32" s="50">
        <v>0</v>
      </c>
      <c r="O32" s="15">
        <f t="shared" si="0"/>
        <v>26</v>
      </c>
      <c r="P32" s="15">
        <f t="shared" si="1"/>
        <v>33</v>
      </c>
    </row>
    <row r="33" spans="2:20" ht="23.1" customHeight="1" x14ac:dyDescent="0.25">
      <c r="B33" s="23" t="s">
        <v>60</v>
      </c>
      <c r="C33" s="50">
        <v>5</v>
      </c>
      <c r="D33" s="50">
        <v>2</v>
      </c>
      <c r="E33" s="50">
        <v>1</v>
      </c>
      <c r="F33" s="50">
        <v>4</v>
      </c>
      <c r="G33" s="50">
        <v>0</v>
      </c>
      <c r="H33" s="50">
        <v>2</v>
      </c>
      <c r="I33" s="50">
        <v>2</v>
      </c>
      <c r="J33" s="50">
        <v>0</v>
      </c>
      <c r="K33" s="50">
        <v>2</v>
      </c>
      <c r="L33" s="50">
        <v>0</v>
      </c>
      <c r="M33" s="50">
        <v>10</v>
      </c>
      <c r="N33" s="50">
        <v>0</v>
      </c>
      <c r="O33" s="15">
        <f t="shared" si="0"/>
        <v>18</v>
      </c>
      <c r="P33" s="15">
        <f t="shared" si="1"/>
        <v>28</v>
      </c>
    </row>
    <row r="34" spans="2:20" ht="23.1" customHeight="1" x14ac:dyDescent="0.25">
      <c r="B34" s="24" t="s">
        <v>61</v>
      </c>
      <c r="C34" s="50">
        <v>6</v>
      </c>
      <c r="D34" s="50">
        <v>2</v>
      </c>
      <c r="E34" s="50">
        <v>3</v>
      </c>
      <c r="F34" s="50">
        <v>4</v>
      </c>
      <c r="G34" s="50">
        <v>0</v>
      </c>
      <c r="H34" s="50">
        <v>2</v>
      </c>
      <c r="I34" s="50">
        <v>2</v>
      </c>
      <c r="J34" s="50">
        <v>1</v>
      </c>
      <c r="K34" s="50">
        <v>0</v>
      </c>
      <c r="L34" s="50">
        <v>0</v>
      </c>
      <c r="M34" s="50">
        <v>7</v>
      </c>
      <c r="N34" s="50">
        <v>0</v>
      </c>
      <c r="O34" s="15">
        <f t="shared" si="0"/>
        <v>20</v>
      </c>
      <c r="P34" s="15">
        <f t="shared" si="1"/>
        <v>27</v>
      </c>
    </row>
    <row r="35" spans="2:20" ht="23.1" customHeight="1" x14ac:dyDescent="0.25">
      <c r="B35" s="24" t="s">
        <v>62</v>
      </c>
      <c r="C35" s="50">
        <v>12</v>
      </c>
      <c r="D35" s="50">
        <v>6</v>
      </c>
      <c r="E35" s="50">
        <v>5</v>
      </c>
      <c r="F35" s="50">
        <v>5</v>
      </c>
      <c r="G35" s="50">
        <v>3</v>
      </c>
      <c r="H35" s="50">
        <v>3</v>
      </c>
      <c r="I35" s="50">
        <v>4</v>
      </c>
      <c r="J35" s="50">
        <v>0</v>
      </c>
      <c r="K35" s="50">
        <v>3</v>
      </c>
      <c r="L35" s="50">
        <v>0</v>
      </c>
      <c r="M35" s="50">
        <v>10</v>
      </c>
      <c r="N35" s="50">
        <v>0</v>
      </c>
      <c r="O35" s="15">
        <f t="shared" si="0"/>
        <v>41</v>
      </c>
      <c r="P35" s="15">
        <f t="shared" si="1"/>
        <v>51</v>
      </c>
    </row>
    <row r="36" spans="2:20" ht="23.1" customHeight="1" x14ac:dyDescent="0.25">
      <c r="B36" s="24" t="s">
        <v>63</v>
      </c>
      <c r="C36" s="50">
        <v>3</v>
      </c>
      <c r="D36" s="50">
        <v>4</v>
      </c>
      <c r="E36" s="50">
        <v>0</v>
      </c>
      <c r="F36" s="50">
        <v>2</v>
      </c>
      <c r="G36" s="50">
        <v>0</v>
      </c>
      <c r="H36" s="50">
        <v>4</v>
      </c>
      <c r="I36" s="50">
        <v>1</v>
      </c>
      <c r="J36" s="50">
        <v>0</v>
      </c>
      <c r="K36" s="50">
        <v>0</v>
      </c>
      <c r="L36" s="50">
        <v>0</v>
      </c>
      <c r="M36" s="50">
        <v>3</v>
      </c>
      <c r="N36" s="50">
        <v>0</v>
      </c>
      <c r="O36" s="15">
        <f t="shared" si="0"/>
        <v>14</v>
      </c>
      <c r="P36" s="15">
        <f t="shared" si="1"/>
        <v>17</v>
      </c>
    </row>
    <row r="37" spans="2:20" ht="23.1" customHeight="1" x14ac:dyDescent="0.25">
      <c r="B37" s="23" t="s">
        <v>64</v>
      </c>
      <c r="C37" s="50">
        <v>8</v>
      </c>
      <c r="D37" s="50">
        <v>6</v>
      </c>
      <c r="E37" s="50">
        <v>1</v>
      </c>
      <c r="F37" s="50">
        <v>2</v>
      </c>
      <c r="G37" s="50">
        <v>0</v>
      </c>
      <c r="H37" s="50">
        <v>0</v>
      </c>
      <c r="I37" s="50">
        <v>0</v>
      </c>
      <c r="J37" s="50">
        <v>2</v>
      </c>
      <c r="K37" s="50">
        <v>3</v>
      </c>
      <c r="L37" s="50">
        <v>0</v>
      </c>
      <c r="M37" s="50">
        <v>10</v>
      </c>
      <c r="N37" s="50">
        <v>0</v>
      </c>
      <c r="O37" s="15">
        <f t="shared" si="0"/>
        <v>22</v>
      </c>
      <c r="P37" s="15">
        <f t="shared" si="1"/>
        <v>32</v>
      </c>
    </row>
    <row r="38" spans="2:20" ht="23.1" customHeight="1" x14ac:dyDescent="0.25">
      <c r="B38" s="24" t="s">
        <v>65</v>
      </c>
      <c r="C38" s="50">
        <v>6</v>
      </c>
      <c r="D38" s="50">
        <v>1</v>
      </c>
      <c r="E38" s="50">
        <v>4</v>
      </c>
      <c r="F38" s="50">
        <v>8</v>
      </c>
      <c r="G38" s="50">
        <v>0</v>
      </c>
      <c r="H38" s="50">
        <v>0</v>
      </c>
      <c r="I38" s="50">
        <v>1</v>
      </c>
      <c r="J38" s="50">
        <v>2</v>
      </c>
      <c r="K38" s="50">
        <v>3</v>
      </c>
      <c r="L38" s="50">
        <v>0</v>
      </c>
      <c r="M38" s="50">
        <v>3</v>
      </c>
      <c r="N38" s="50">
        <v>0</v>
      </c>
      <c r="O38" s="15">
        <f t="shared" si="0"/>
        <v>25</v>
      </c>
      <c r="P38" s="15">
        <f t="shared" si="1"/>
        <v>28</v>
      </c>
    </row>
    <row r="39" spans="2:20" ht="23.1" customHeight="1" x14ac:dyDescent="0.25">
      <c r="B39" s="24" t="s">
        <v>66</v>
      </c>
      <c r="C39" s="50">
        <v>6</v>
      </c>
      <c r="D39" s="50">
        <v>1</v>
      </c>
      <c r="E39" s="50">
        <v>1</v>
      </c>
      <c r="F39" s="50">
        <v>4</v>
      </c>
      <c r="G39" s="50">
        <v>0</v>
      </c>
      <c r="H39" s="50">
        <v>3</v>
      </c>
      <c r="I39" s="50">
        <v>1</v>
      </c>
      <c r="J39" s="50">
        <v>1</v>
      </c>
      <c r="K39" s="50">
        <v>5</v>
      </c>
      <c r="L39" s="50">
        <v>1</v>
      </c>
      <c r="M39" s="50">
        <v>7</v>
      </c>
      <c r="N39" s="50">
        <v>0</v>
      </c>
      <c r="O39" s="15">
        <f t="shared" si="0"/>
        <v>23</v>
      </c>
      <c r="P39" s="15">
        <f t="shared" si="1"/>
        <v>30</v>
      </c>
    </row>
    <row r="40" spans="2:20" ht="23.1" customHeight="1" x14ac:dyDescent="0.25">
      <c r="B40" s="24" t="s">
        <v>67</v>
      </c>
      <c r="C40" s="50">
        <v>5</v>
      </c>
      <c r="D40" s="50">
        <v>3</v>
      </c>
      <c r="E40" s="50">
        <v>3</v>
      </c>
      <c r="F40" s="50">
        <v>3</v>
      </c>
      <c r="G40" s="50">
        <v>0</v>
      </c>
      <c r="H40" s="50">
        <v>2</v>
      </c>
      <c r="I40" s="50">
        <v>1</v>
      </c>
      <c r="J40" s="50">
        <v>2</v>
      </c>
      <c r="K40" s="50">
        <v>11</v>
      </c>
      <c r="L40" s="50">
        <v>0</v>
      </c>
      <c r="M40" s="50">
        <v>7</v>
      </c>
      <c r="N40" s="50">
        <v>0</v>
      </c>
      <c r="O40" s="15">
        <f t="shared" si="0"/>
        <v>30</v>
      </c>
      <c r="P40" s="15">
        <f t="shared" si="1"/>
        <v>37</v>
      </c>
    </row>
    <row r="41" spans="2:20" ht="23.1" customHeight="1" x14ac:dyDescent="0.25">
      <c r="B41" s="23" t="s">
        <v>68</v>
      </c>
      <c r="C41" s="50">
        <v>4</v>
      </c>
      <c r="D41" s="50">
        <v>2</v>
      </c>
      <c r="E41" s="50">
        <v>1</v>
      </c>
      <c r="F41" s="50">
        <v>3</v>
      </c>
      <c r="G41" s="50">
        <v>0</v>
      </c>
      <c r="H41" s="50">
        <v>2</v>
      </c>
      <c r="I41" s="50">
        <v>2</v>
      </c>
      <c r="J41" s="50">
        <v>1</v>
      </c>
      <c r="K41" s="50">
        <v>2</v>
      </c>
      <c r="L41" s="50">
        <v>0</v>
      </c>
      <c r="M41" s="50">
        <v>14</v>
      </c>
      <c r="N41" s="50">
        <v>0</v>
      </c>
      <c r="O41" s="15">
        <f t="shared" si="0"/>
        <v>17</v>
      </c>
      <c r="P41" s="15">
        <f t="shared" si="1"/>
        <v>31</v>
      </c>
    </row>
    <row r="42" spans="2:20" ht="23.1" customHeight="1" x14ac:dyDescent="0.25">
      <c r="B42" s="24" t="s">
        <v>69</v>
      </c>
      <c r="C42" s="50">
        <v>6</v>
      </c>
      <c r="D42" s="50">
        <v>4</v>
      </c>
      <c r="E42" s="50">
        <v>2</v>
      </c>
      <c r="F42" s="50">
        <v>3</v>
      </c>
      <c r="G42" s="50">
        <v>0</v>
      </c>
      <c r="H42" s="50">
        <v>1</v>
      </c>
      <c r="I42" s="50">
        <v>0</v>
      </c>
      <c r="J42" s="50">
        <v>1</v>
      </c>
      <c r="K42" s="50">
        <v>4</v>
      </c>
      <c r="L42" s="50">
        <v>0</v>
      </c>
      <c r="M42" s="50">
        <v>11</v>
      </c>
      <c r="N42" s="50">
        <v>0</v>
      </c>
      <c r="O42" s="15">
        <f t="shared" si="0"/>
        <v>21</v>
      </c>
      <c r="P42" s="15">
        <f t="shared" si="1"/>
        <v>32</v>
      </c>
    </row>
    <row r="43" spans="2:20" ht="23.1" customHeight="1" x14ac:dyDescent="0.25">
      <c r="B43" s="23" t="s">
        <v>70</v>
      </c>
      <c r="C43" s="50">
        <v>10</v>
      </c>
      <c r="D43" s="50">
        <v>3</v>
      </c>
      <c r="E43" s="50">
        <v>2</v>
      </c>
      <c r="F43" s="50">
        <v>5</v>
      </c>
      <c r="G43" s="50">
        <v>0</v>
      </c>
      <c r="H43" s="50">
        <v>1</v>
      </c>
      <c r="I43" s="50">
        <v>0</v>
      </c>
      <c r="J43" s="50">
        <v>1</v>
      </c>
      <c r="K43" s="50">
        <v>5</v>
      </c>
      <c r="L43" s="50">
        <v>0</v>
      </c>
      <c r="M43" s="50">
        <v>10</v>
      </c>
      <c r="N43" s="50">
        <v>0</v>
      </c>
      <c r="O43" s="15">
        <f t="shared" si="0"/>
        <v>27</v>
      </c>
      <c r="P43" s="15">
        <f t="shared" si="1"/>
        <v>37</v>
      </c>
    </row>
    <row r="44" spans="2:20" ht="23.1" customHeight="1" x14ac:dyDescent="0.25">
      <c r="B44" s="25" t="s">
        <v>71</v>
      </c>
      <c r="C44" s="50">
        <v>10</v>
      </c>
      <c r="D44" s="50">
        <v>4</v>
      </c>
      <c r="E44" s="50">
        <v>3</v>
      </c>
      <c r="F44" s="50">
        <v>7</v>
      </c>
      <c r="G44" s="50">
        <v>0</v>
      </c>
      <c r="H44" s="50">
        <v>1</v>
      </c>
      <c r="I44" s="50">
        <v>1</v>
      </c>
      <c r="J44" s="50">
        <v>2</v>
      </c>
      <c r="K44" s="50">
        <v>4</v>
      </c>
      <c r="L44" s="50">
        <v>0</v>
      </c>
      <c r="M44" s="50">
        <v>8</v>
      </c>
      <c r="N44" s="50">
        <v>0</v>
      </c>
      <c r="O44" s="15">
        <f t="shared" si="0"/>
        <v>32</v>
      </c>
      <c r="P44" s="15">
        <f t="shared" si="1"/>
        <v>40</v>
      </c>
    </row>
    <row r="45" spans="2:20" ht="23.1" customHeight="1" x14ac:dyDescent="0.25">
      <c r="B45" s="23" t="s">
        <v>72</v>
      </c>
      <c r="C45" s="50">
        <v>10</v>
      </c>
      <c r="D45" s="50">
        <v>5</v>
      </c>
      <c r="E45" s="50">
        <v>4</v>
      </c>
      <c r="F45" s="50">
        <v>5</v>
      </c>
      <c r="G45" s="50">
        <v>0</v>
      </c>
      <c r="H45" s="50">
        <v>3</v>
      </c>
      <c r="I45" s="50">
        <v>0</v>
      </c>
      <c r="J45" s="50">
        <v>2</v>
      </c>
      <c r="K45" s="50">
        <v>2</v>
      </c>
      <c r="L45" s="50">
        <v>0</v>
      </c>
      <c r="M45" s="50">
        <v>15</v>
      </c>
      <c r="N45" s="50">
        <v>0</v>
      </c>
      <c r="O45" s="15">
        <f t="shared" si="0"/>
        <v>31</v>
      </c>
      <c r="P45" s="15">
        <f t="shared" si="1"/>
        <v>46</v>
      </c>
    </row>
    <row r="46" spans="2:20" ht="23.1" customHeight="1" x14ac:dyDescent="0.25">
      <c r="B46" s="24" t="s">
        <v>73</v>
      </c>
      <c r="C46" s="50">
        <v>5</v>
      </c>
      <c r="D46" s="50">
        <v>1</v>
      </c>
      <c r="E46" s="50">
        <v>3</v>
      </c>
      <c r="F46" s="50">
        <v>3</v>
      </c>
      <c r="G46" s="50">
        <v>0</v>
      </c>
      <c r="H46" s="50">
        <v>1</v>
      </c>
      <c r="I46" s="50">
        <v>0</v>
      </c>
      <c r="J46" s="50">
        <v>0</v>
      </c>
      <c r="K46" s="50">
        <v>4</v>
      </c>
      <c r="L46" s="50">
        <v>0</v>
      </c>
      <c r="M46" s="50">
        <v>8</v>
      </c>
      <c r="N46" s="50">
        <v>0</v>
      </c>
      <c r="O46" s="15">
        <f t="shared" si="0"/>
        <v>17</v>
      </c>
      <c r="P46" s="15">
        <f t="shared" si="1"/>
        <v>25</v>
      </c>
      <c r="R46" s="8"/>
      <c r="T46"/>
    </row>
    <row r="47" spans="2:20" ht="23.1" customHeight="1" x14ac:dyDescent="0.25">
      <c r="B47" s="24" t="s">
        <v>74</v>
      </c>
      <c r="C47" s="50">
        <v>12</v>
      </c>
      <c r="D47" s="50">
        <v>5</v>
      </c>
      <c r="E47" s="50">
        <v>2</v>
      </c>
      <c r="F47" s="50">
        <v>5</v>
      </c>
      <c r="G47" s="50">
        <v>0</v>
      </c>
      <c r="H47" s="50">
        <v>0</v>
      </c>
      <c r="I47" s="50">
        <v>0</v>
      </c>
      <c r="J47" s="50">
        <v>0</v>
      </c>
      <c r="K47" s="50">
        <v>6</v>
      </c>
      <c r="L47" s="50">
        <v>0</v>
      </c>
      <c r="M47" s="50">
        <v>11</v>
      </c>
      <c r="N47" s="50">
        <v>0</v>
      </c>
      <c r="O47" s="15">
        <f t="shared" si="0"/>
        <v>30</v>
      </c>
      <c r="P47" s="15">
        <f t="shared" si="1"/>
        <v>41</v>
      </c>
      <c r="R47" s="8"/>
      <c r="T47"/>
    </row>
    <row r="48" spans="2:20" ht="23.1" customHeight="1" x14ac:dyDescent="0.25">
      <c r="B48" s="24" t="s">
        <v>75</v>
      </c>
      <c r="C48" s="50">
        <v>14</v>
      </c>
      <c r="D48" s="50">
        <v>1</v>
      </c>
      <c r="E48" s="50">
        <v>6</v>
      </c>
      <c r="F48" s="50">
        <v>6</v>
      </c>
      <c r="G48" s="50">
        <v>0</v>
      </c>
      <c r="H48" s="50">
        <v>3</v>
      </c>
      <c r="I48" s="50">
        <v>0</v>
      </c>
      <c r="J48" s="50">
        <v>0</v>
      </c>
      <c r="K48" s="50">
        <v>3</v>
      </c>
      <c r="L48" s="50">
        <v>0</v>
      </c>
      <c r="M48" s="50">
        <v>9</v>
      </c>
      <c r="N48" s="50">
        <v>0</v>
      </c>
      <c r="O48" s="15">
        <f t="shared" si="0"/>
        <v>33</v>
      </c>
      <c r="P48" s="15">
        <f t="shared" si="1"/>
        <v>42</v>
      </c>
      <c r="R48" s="8"/>
      <c r="T48"/>
    </row>
    <row r="49" spans="2:20" ht="23.1" customHeight="1" x14ac:dyDescent="0.25">
      <c r="B49" s="23" t="s">
        <v>76</v>
      </c>
      <c r="C49" s="50">
        <v>11</v>
      </c>
      <c r="D49" s="50">
        <v>3</v>
      </c>
      <c r="E49" s="50">
        <v>2</v>
      </c>
      <c r="F49" s="50">
        <v>3</v>
      </c>
      <c r="G49" s="50">
        <v>0</v>
      </c>
      <c r="H49" s="50">
        <v>0</v>
      </c>
      <c r="I49" s="50">
        <v>1</v>
      </c>
      <c r="J49" s="50">
        <v>0</v>
      </c>
      <c r="K49" s="50">
        <v>2</v>
      </c>
      <c r="L49" s="50">
        <v>0</v>
      </c>
      <c r="M49" s="50">
        <v>15</v>
      </c>
      <c r="N49" s="50">
        <v>0</v>
      </c>
      <c r="O49" s="15">
        <f t="shared" si="0"/>
        <v>22</v>
      </c>
      <c r="P49" s="15">
        <f t="shared" si="1"/>
        <v>37</v>
      </c>
      <c r="R49" s="8"/>
      <c r="T49"/>
    </row>
    <row r="50" spans="2:20" ht="23.1" customHeight="1" x14ac:dyDescent="0.25">
      <c r="B50" s="24" t="s">
        <v>77</v>
      </c>
      <c r="C50" s="50">
        <v>7</v>
      </c>
      <c r="D50" s="50">
        <v>3</v>
      </c>
      <c r="E50" s="50">
        <v>4</v>
      </c>
      <c r="F50" s="50">
        <v>5</v>
      </c>
      <c r="G50" s="50">
        <v>0</v>
      </c>
      <c r="H50" s="50">
        <v>2</v>
      </c>
      <c r="I50" s="50">
        <v>3</v>
      </c>
      <c r="J50" s="50">
        <v>1</v>
      </c>
      <c r="K50" s="50">
        <v>3</v>
      </c>
      <c r="L50" s="50">
        <v>0</v>
      </c>
      <c r="M50" s="50">
        <v>18</v>
      </c>
      <c r="N50" s="50">
        <v>0</v>
      </c>
      <c r="O50" s="15">
        <f t="shared" si="0"/>
        <v>28</v>
      </c>
      <c r="P50" s="15">
        <f t="shared" si="1"/>
        <v>46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2</v>
      </c>
      <c r="E51" s="50">
        <v>1</v>
      </c>
      <c r="F51" s="50">
        <v>4</v>
      </c>
      <c r="G51" s="50">
        <v>0</v>
      </c>
      <c r="H51" s="50">
        <v>2</v>
      </c>
      <c r="I51" s="50">
        <v>3</v>
      </c>
      <c r="J51" s="50">
        <v>3</v>
      </c>
      <c r="K51" s="50">
        <v>1</v>
      </c>
      <c r="L51" s="50">
        <v>0</v>
      </c>
      <c r="M51" s="50">
        <v>19</v>
      </c>
      <c r="N51" s="50">
        <v>0</v>
      </c>
      <c r="O51" s="15">
        <f t="shared" si="0"/>
        <v>21</v>
      </c>
      <c r="P51" s="15">
        <f t="shared" si="1"/>
        <v>40</v>
      </c>
      <c r="R51" s="8"/>
      <c r="T51"/>
    </row>
    <row r="52" spans="2:20" ht="23.1" customHeight="1" x14ac:dyDescent="0.25">
      <c r="B52" s="24" t="s">
        <v>79</v>
      </c>
      <c r="C52" s="50">
        <v>9</v>
      </c>
      <c r="D52" s="50">
        <v>7</v>
      </c>
      <c r="E52" s="50">
        <v>5</v>
      </c>
      <c r="F52" s="50">
        <v>6</v>
      </c>
      <c r="G52" s="50">
        <v>0</v>
      </c>
      <c r="H52" s="50">
        <v>0</v>
      </c>
      <c r="I52" s="50">
        <v>0</v>
      </c>
      <c r="J52" s="50">
        <v>2</v>
      </c>
      <c r="K52" s="50">
        <v>4</v>
      </c>
      <c r="L52" s="50">
        <v>0</v>
      </c>
      <c r="M52" s="50">
        <v>12</v>
      </c>
      <c r="N52" s="50">
        <v>0</v>
      </c>
      <c r="O52" s="15">
        <f t="shared" si="0"/>
        <v>33</v>
      </c>
      <c r="P52" s="15">
        <f t="shared" si="1"/>
        <v>45</v>
      </c>
      <c r="R52" s="8"/>
      <c r="T52"/>
    </row>
    <row r="53" spans="2:20" ht="23.1" customHeight="1" x14ac:dyDescent="0.25">
      <c r="B53" s="23" t="s">
        <v>80</v>
      </c>
      <c r="C53" s="50">
        <v>12</v>
      </c>
      <c r="D53" s="50">
        <v>2</v>
      </c>
      <c r="E53" s="50">
        <v>2</v>
      </c>
      <c r="F53" s="50">
        <v>6</v>
      </c>
      <c r="G53" s="50">
        <v>0</v>
      </c>
      <c r="H53" s="50">
        <v>1</v>
      </c>
      <c r="I53" s="50">
        <v>1</v>
      </c>
      <c r="J53" s="50">
        <v>1</v>
      </c>
      <c r="K53" s="50">
        <v>5</v>
      </c>
      <c r="L53" s="50">
        <v>0</v>
      </c>
      <c r="M53" s="50">
        <v>22</v>
      </c>
      <c r="N53" s="50">
        <v>0</v>
      </c>
      <c r="O53" s="15">
        <f t="shared" si="0"/>
        <v>30</v>
      </c>
      <c r="P53" s="15">
        <f t="shared" si="1"/>
        <v>52</v>
      </c>
      <c r="R53" s="8"/>
      <c r="T53"/>
    </row>
    <row r="54" spans="2:20" ht="23.1" customHeight="1" x14ac:dyDescent="0.25">
      <c r="B54" s="23" t="s">
        <v>81</v>
      </c>
      <c r="C54" s="50">
        <v>16</v>
      </c>
      <c r="D54" s="50">
        <v>0</v>
      </c>
      <c r="E54" s="50">
        <v>2</v>
      </c>
      <c r="F54" s="50">
        <v>8</v>
      </c>
      <c r="G54" s="50">
        <v>0</v>
      </c>
      <c r="H54" s="50">
        <v>2</v>
      </c>
      <c r="I54" s="50">
        <v>3</v>
      </c>
      <c r="J54" s="50">
        <v>3</v>
      </c>
      <c r="K54" s="50">
        <v>10</v>
      </c>
      <c r="L54" s="50">
        <v>0</v>
      </c>
      <c r="M54" s="50">
        <v>13</v>
      </c>
      <c r="N54" s="50">
        <v>0</v>
      </c>
      <c r="O54" s="15">
        <f t="shared" si="0"/>
        <v>44</v>
      </c>
      <c r="P54" s="15">
        <f t="shared" si="1"/>
        <v>57</v>
      </c>
      <c r="R54" s="8"/>
      <c r="T54"/>
    </row>
    <row r="55" spans="2:20" ht="23.1" customHeight="1" x14ac:dyDescent="0.25">
      <c r="B55" s="23" t="s">
        <v>82</v>
      </c>
      <c r="C55" s="50">
        <v>9</v>
      </c>
      <c r="D55" s="50">
        <v>3</v>
      </c>
      <c r="E55" s="50">
        <v>6</v>
      </c>
      <c r="F55" s="50">
        <v>6</v>
      </c>
      <c r="G55" s="50">
        <v>0</v>
      </c>
      <c r="H55" s="50">
        <v>3</v>
      </c>
      <c r="I55" s="50">
        <v>3</v>
      </c>
      <c r="J55" s="50">
        <v>4</v>
      </c>
      <c r="K55" s="50">
        <v>4</v>
      </c>
      <c r="L55" s="50">
        <v>0</v>
      </c>
      <c r="M55" s="50">
        <v>18</v>
      </c>
      <c r="N55" s="50">
        <v>0</v>
      </c>
      <c r="O55" s="15">
        <f t="shared" si="0"/>
        <v>38</v>
      </c>
      <c r="P55" s="15">
        <f t="shared" si="1"/>
        <v>56</v>
      </c>
      <c r="R55" s="8"/>
      <c r="T55"/>
    </row>
    <row r="56" spans="2:20" ht="23.1" customHeight="1" x14ac:dyDescent="0.25">
      <c r="B56" s="23" t="s">
        <v>83</v>
      </c>
      <c r="C56" s="50">
        <v>7</v>
      </c>
      <c r="D56" s="50">
        <v>3</v>
      </c>
      <c r="E56" s="50">
        <v>3</v>
      </c>
      <c r="F56" s="50">
        <v>5</v>
      </c>
      <c r="G56" s="50">
        <v>0</v>
      </c>
      <c r="H56" s="50">
        <v>1</v>
      </c>
      <c r="I56" s="50">
        <v>4</v>
      </c>
      <c r="J56" s="50">
        <v>1</v>
      </c>
      <c r="K56" s="50">
        <v>2</v>
      </c>
      <c r="L56" s="50">
        <v>0</v>
      </c>
      <c r="M56" s="50">
        <v>9</v>
      </c>
      <c r="N56" s="50">
        <v>0</v>
      </c>
      <c r="O56" s="15">
        <f t="shared" si="0"/>
        <v>26</v>
      </c>
      <c r="P56" s="15">
        <f t="shared" si="1"/>
        <v>35</v>
      </c>
      <c r="R56" s="8"/>
      <c r="T56"/>
    </row>
    <row r="57" spans="2:20" ht="23.1" customHeight="1" x14ac:dyDescent="0.25">
      <c r="B57" s="23" t="s">
        <v>84</v>
      </c>
      <c r="C57" s="50">
        <v>14</v>
      </c>
      <c r="D57" s="50">
        <v>3</v>
      </c>
      <c r="E57" s="50">
        <v>0</v>
      </c>
      <c r="F57" s="50">
        <v>8</v>
      </c>
      <c r="G57" s="50">
        <v>0</v>
      </c>
      <c r="H57" s="50">
        <v>0</v>
      </c>
      <c r="I57" s="50">
        <v>0</v>
      </c>
      <c r="J57" s="50">
        <v>4</v>
      </c>
      <c r="K57" s="50">
        <v>1</v>
      </c>
      <c r="L57" s="50">
        <v>0</v>
      </c>
      <c r="M57" s="50">
        <v>13</v>
      </c>
      <c r="N57" s="50">
        <v>0</v>
      </c>
      <c r="O57" s="15">
        <f t="shared" si="0"/>
        <v>30</v>
      </c>
      <c r="P57" s="15">
        <f t="shared" si="1"/>
        <v>43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335</v>
      </c>
      <c r="D58" s="16">
        <f t="shared" si="21"/>
        <v>124</v>
      </c>
      <c r="E58" s="16">
        <f t="shared" si="21"/>
        <v>110</v>
      </c>
      <c r="F58" s="16">
        <f t="shared" si="21"/>
        <v>218</v>
      </c>
      <c r="G58" s="16">
        <f t="shared" si="21"/>
        <v>3</v>
      </c>
      <c r="H58" s="16">
        <f t="shared" si="21"/>
        <v>61</v>
      </c>
      <c r="I58" s="16">
        <f t="shared" si="21"/>
        <v>51</v>
      </c>
      <c r="J58" s="16">
        <f t="shared" si="21"/>
        <v>45</v>
      </c>
      <c r="K58" s="16">
        <f t="shared" si="21"/>
        <v>121</v>
      </c>
      <c r="L58" s="16">
        <f t="shared" si="21"/>
        <v>4</v>
      </c>
      <c r="M58" s="16">
        <f t="shared" si="21"/>
        <v>463</v>
      </c>
      <c r="N58" s="16">
        <f t="shared" si="21"/>
        <v>0</v>
      </c>
      <c r="O58" s="16">
        <f t="shared" si="21"/>
        <v>1072</v>
      </c>
      <c r="P58" s="16">
        <f t="shared" si="21"/>
        <v>1535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0.21824104234527689</v>
      </c>
      <c r="D59" s="43">
        <f t="shared" si="22"/>
        <v>8.0781758957654728E-2</v>
      </c>
      <c r="E59" s="43">
        <f t="shared" si="22"/>
        <v>7.1661237785016291E-2</v>
      </c>
      <c r="F59" s="43">
        <f t="shared" si="22"/>
        <v>0.14201954397394137</v>
      </c>
      <c r="G59" s="43">
        <f t="shared" si="22"/>
        <v>1.9543973941368079E-3</v>
      </c>
      <c r="H59" s="43">
        <f t="shared" si="22"/>
        <v>3.9739413680781759E-2</v>
      </c>
      <c r="I59" s="43">
        <f t="shared" si="22"/>
        <v>3.322475570032573E-2</v>
      </c>
      <c r="J59" s="43">
        <f t="shared" si="22"/>
        <v>2.9315960912052116E-2</v>
      </c>
      <c r="K59" s="43">
        <f t="shared" si="22"/>
        <v>7.8827361563517911E-2</v>
      </c>
      <c r="L59" s="43">
        <f t="shared" si="22"/>
        <v>2.6058631921824105E-3</v>
      </c>
      <c r="M59" s="43">
        <f t="shared" si="22"/>
        <v>0.301628664495114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0.3125</v>
      </c>
      <c r="D60" s="44">
        <f t="shared" ref="D60:N60" si="23">D58/$O$58</f>
        <v>0.11567164179104478</v>
      </c>
      <c r="E60" s="44">
        <f t="shared" si="23"/>
        <v>0.10261194029850747</v>
      </c>
      <c r="F60" s="44">
        <f t="shared" si="23"/>
        <v>0.20335820895522388</v>
      </c>
      <c r="G60" s="44">
        <f t="shared" si="23"/>
        <v>2.798507462686567E-3</v>
      </c>
      <c r="H60" s="44">
        <f t="shared" si="23"/>
        <v>5.6902985074626863E-2</v>
      </c>
      <c r="I60" s="44">
        <f t="shared" si="23"/>
        <v>4.757462686567164E-2</v>
      </c>
      <c r="J60" s="44">
        <f t="shared" si="23"/>
        <v>4.1977611940298511E-2</v>
      </c>
      <c r="K60" s="44">
        <f t="shared" si="23"/>
        <v>0.11287313432835822</v>
      </c>
      <c r="L60" s="44">
        <f t="shared" si="23"/>
        <v>3.7313432835820895E-3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52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3" t="s">
        <v>23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 spans="2:32" ht="20.100000000000001" customHeight="1" x14ac:dyDescent="0.25">
      <c r="B2" s="74" t="s">
        <v>95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</row>
    <row r="3" spans="2:32" ht="20.100000000000001" customHeight="1" x14ac:dyDescent="0.25">
      <c r="B3" s="22" t="s">
        <v>96</v>
      </c>
      <c r="C3" s="75" t="s">
        <v>176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71" t="str">
        <f>'19.10 MASAKA-MBARARA-24H'!G5:H5</f>
        <v>KINONI</v>
      </c>
      <c r="H5" s="72"/>
      <c r="I5" s="14"/>
      <c r="J5" s="2" t="s">
        <v>5</v>
      </c>
      <c r="K5" s="71" t="s">
        <v>171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">
        <v>166</v>
      </c>
      <c r="E6" s="72"/>
      <c r="F6" s="2" t="s">
        <v>2</v>
      </c>
      <c r="G6" s="71" t="s">
        <v>165</v>
      </c>
      <c r="H6" s="72"/>
      <c r="J6" s="2" t="s">
        <v>21</v>
      </c>
      <c r="K6" s="71" t="str">
        <f>'19.10 MASAKA-MBARARA-24H'!K6:L6</f>
        <v>SANDRA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6</v>
      </c>
      <c r="D10" s="50">
        <v>2</v>
      </c>
      <c r="E10" s="50">
        <v>2</v>
      </c>
      <c r="F10" s="50">
        <v>5</v>
      </c>
      <c r="G10" s="50">
        <v>0</v>
      </c>
      <c r="H10" s="50">
        <v>1</v>
      </c>
      <c r="I10" s="50">
        <v>2</v>
      </c>
      <c r="J10" s="50">
        <v>1</v>
      </c>
      <c r="K10" s="50">
        <v>4</v>
      </c>
      <c r="L10" s="50">
        <v>0</v>
      </c>
      <c r="M10" s="50">
        <v>4</v>
      </c>
      <c r="N10" s="50">
        <v>0</v>
      </c>
      <c r="O10" s="15">
        <f t="shared" ref="O10:O73" si="0">SUM(C10:L10,N10)</f>
        <v>23</v>
      </c>
      <c r="P10" s="15">
        <f t="shared" ref="P10:P73" si="1">SUM(C10:N10)</f>
        <v>27</v>
      </c>
      <c r="R10" s="1" t="s">
        <v>6</v>
      </c>
      <c r="S10" s="17">
        <f t="shared" ref="S10:AF10" si="2">SUM(C10:C13)</f>
        <v>31</v>
      </c>
      <c r="T10" s="17">
        <f t="shared" si="2"/>
        <v>14</v>
      </c>
      <c r="U10" s="17">
        <f t="shared" si="2"/>
        <v>12</v>
      </c>
      <c r="V10" s="17">
        <f t="shared" si="2"/>
        <v>12</v>
      </c>
      <c r="W10" s="17">
        <f t="shared" si="2"/>
        <v>0</v>
      </c>
      <c r="X10" s="17">
        <f t="shared" si="2"/>
        <v>1</v>
      </c>
      <c r="Y10" s="17">
        <f t="shared" si="2"/>
        <v>9</v>
      </c>
      <c r="Z10" s="17">
        <f t="shared" si="2"/>
        <v>2</v>
      </c>
      <c r="AA10" s="17">
        <f t="shared" si="2"/>
        <v>12</v>
      </c>
      <c r="AB10" s="17">
        <f t="shared" si="2"/>
        <v>1</v>
      </c>
      <c r="AC10" s="17">
        <f t="shared" si="2"/>
        <v>39</v>
      </c>
      <c r="AD10" s="17">
        <f t="shared" si="2"/>
        <v>0</v>
      </c>
      <c r="AE10" s="31">
        <f t="shared" si="2"/>
        <v>94</v>
      </c>
      <c r="AF10" s="31">
        <f t="shared" si="2"/>
        <v>133</v>
      </c>
    </row>
    <row r="11" spans="2:32" s="6" customFormat="1" ht="23.1" customHeight="1" x14ac:dyDescent="0.25">
      <c r="B11" s="45" t="s">
        <v>38</v>
      </c>
      <c r="C11" s="50">
        <v>4</v>
      </c>
      <c r="D11" s="50">
        <v>6</v>
      </c>
      <c r="E11" s="50">
        <v>0</v>
      </c>
      <c r="F11" s="50">
        <v>4</v>
      </c>
      <c r="G11" s="50">
        <v>0</v>
      </c>
      <c r="H11" s="50">
        <v>0</v>
      </c>
      <c r="I11" s="50">
        <v>2</v>
      </c>
      <c r="J11" s="50">
        <v>0</v>
      </c>
      <c r="K11" s="50">
        <v>4</v>
      </c>
      <c r="L11" s="50">
        <v>0</v>
      </c>
      <c r="M11" s="50">
        <v>8</v>
      </c>
      <c r="N11" s="50">
        <v>0</v>
      </c>
      <c r="O11" s="15">
        <f t="shared" si="0"/>
        <v>20</v>
      </c>
      <c r="P11" s="15">
        <f t="shared" si="1"/>
        <v>28</v>
      </c>
      <c r="R11" s="1" t="s">
        <v>7</v>
      </c>
      <c r="S11" s="17">
        <f t="shared" ref="S11:AF11" si="3">SUM(C14:C17)</f>
        <v>40</v>
      </c>
      <c r="T11" s="17">
        <f t="shared" si="3"/>
        <v>20</v>
      </c>
      <c r="U11" s="17">
        <f t="shared" si="3"/>
        <v>9</v>
      </c>
      <c r="V11" s="17">
        <f t="shared" si="3"/>
        <v>18</v>
      </c>
      <c r="W11" s="17">
        <f t="shared" si="3"/>
        <v>0</v>
      </c>
      <c r="X11" s="17">
        <f t="shared" si="3"/>
        <v>3</v>
      </c>
      <c r="Y11" s="17">
        <f t="shared" si="3"/>
        <v>2</v>
      </c>
      <c r="Z11" s="17">
        <f t="shared" si="3"/>
        <v>4</v>
      </c>
      <c r="AA11" s="17">
        <f t="shared" si="3"/>
        <v>8</v>
      </c>
      <c r="AB11" s="17">
        <f t="shared" si="3"/>
        <v>1</v>
      </c>
      <c r="AC11" s="17">
        <f t="shared" si="3"/>
        <v>35</v>
      </c>
      <c r="AD11" s="17">
        <f t="shared" si="3"/>
        <v>0</v>
      </c>
      <c r="AE11" s="31">
        <f t="shared" si="3"/>
        <v>105</v>
      </c>
      <c r="AF11" s="31">
        <f t="shared" si="3"/>
        <v>140</v>
      </c>
    </row>
    <row r="12" spans="2:32" ht="23.1" customHeight="1" x14ac:dyDescent="0.25">
      <c r="B12" s="45" t="s">
        <v>39</v>
      </c>
      <c r="C12" s="50">
        <v>12</v>
      </c>
      <c r="D12" s="50">
        <v>2</v>
      </c>
      <c r="E12" s="50">
        <v>4</v>
      </c>
      <c r="F12" s="50">
        <v>2</v>
      </c>
      <c r="G12" s="50">
        <v>0</v>
      </c>
      <c r="H12" s="50">
        <v>0</v>
      </c>
      <c r="I12" s="50">
        <v>4</v>
      </c>
      <c r="J12" s="50">
        <v>1</v>
      </c>
      <c r="K12" s="50">
        <v>3</v>
      </c>
      <c r="L12" s="50">
        <v>0</v>
      </c>
      <c r="M12" s="50">
        <v>15</v>
      </c>
      <c r="N12" s="50">
        <v>0</v>
      </c>
      <c r="O12" s="15">
        <f t="shared" si="0"/>
        <v>28</v>
      </c>
      <c r="P12" s="15">
        <f t="shared" si="1"/>
        <v>43</v>
      </c>
      <c r="R12" s="1" t="s">
        <v>8</v>
      </c>
      <c r="S12" s="17">
        <f t="shared" ref="S12:AF12" si="4">SUM(C18:C21)</f>
        <v>38</v>
      </c>
      <c r="T12" s="17">
        <f t="shared" si="4"/>
        <v>13</v>
      </c>
      <c r="U12" s="17">
        <f t="shared" si="4"/>
        <v>4</v>
      </c>
      <c r="V12" s="17">
        <f t="shared" si="4"/>
        <v>19</v>
      </c>
      <c r="W12" s="17">
        <f t="shared" si="4"/>
        <v>5</v>
      </c>
      <c r="X12" s="17">
        <f t="shared" si="4"/>
        <v>2</v>
      </c>
      <c r="Y12" s="17">
        <f t="shared" si="4"/>
        <v>7</v>
      </c>
      <c r="Z12" s="17">
        <f t="shared" si="4"/>
        <v>4</v>
      </c>
      <c r="AA12" s="17">
        <f t="shared" si="4"/>
        <v>15</v>
      </c>
      <c r="AB12" s="17">
        <f t="shared" si="4"/>
        <v>0</v>
      </c>
      <c r="AC12" s="17">
        <f t="shared" si="4"/>
        <v>48</v>
      </c>
      <c r="AD12" s="17">
        <f t="shared" si="4"/>
        <v>0</v>
      </c>
      <c r="AE12" s="31">
        <f t="shared" si="4"/>
        <v>107</v>
      </c>
      <c r="AF12" s="31">
        <f t="shared" si="4"/>
        <v>155</v>
      </c>
    </row>
    <row r="13" spans="2:32" ht="23.1" customHeight="1" x14ac:dyDescent="0.25">
      <c r="B13" s="45" t="s">
        <v>40</v>
      </c>
      <c r="C13" s="50">
        <v>9</v>
      </c>
      <c r="D13" s="50">
        <v>4</v>
      </c>
      <c r="E13" s="50">
        <v>6</v>
      </c>
      <c r="F13" s="50">
        <v>1</v>
      </c>
      <c r="G13" s="50">
        <v>0</v>
      </c>
      <c r="H13" s="50">
        <v>0</v>
      </c>
      <c r="I13" s="50">
        <v>1</v>
      </c>
      <c r="J13" s="50">
        <v>0</v>
      </c>
      <c r="K13" s="50">
        <v>1</v>
      </c>
      <c r="L13" s="50">
        <v>1</v>
      </c>
      <c r="M13" s="50">
        <v>12</v>
      </c>
      <c r="N13" s="50">
        <v>0</v>
      </c>
      <c r="O13" s="15">
        <f t="shared" si="0"/>
        <v>23</v>
      </c>
      <c r="P13" s="15">
        <f t="shared" si="1"/>
        <v>35</v>
      </c>
      <c r="R13" s="1" t="s">
        <v>9</v>
      </c>
      <c r="S13" s="17">
        <f t="shared" ref="S13:AF13" si="5">SUM(C22:C25)</f>
        <v>31</v>
      </c>
      <c r="T13" s="17">
        <f t="shared" si="5"/>
        <v>18</v>
      </c>
      <c r="U13" s="17">
        <f t="shared" si="5"/>
        <v>4</v>
      </c>
      <c r="V13" s="17">
        <f t="shared" si="5"/>
        <v>18</v>
      </c>
      <c r="W13" s="17">
        <f t="shared" si="5"/>
        <v>0</v>
      </c>
      <c r="X13" s="17">
        <f t="shared" si="5"/>
        <v>3</v>
      </c>
      <c r="Y13" s="17">
        <f t="shared" si="5"/>
        <v>1</v>
      </c>
      <c r="Z13" s="17">
        <f t="shared" si="5"/>
        <v>6</v>
      </c>
      <c r="AA13" s="17">
        <f t="shared" si="5"/>
        <v>8</v>
      </c>
      <c r="AB13" s="17">
        <f t="shared" si="5"/>
        <v>1</v>
      </c>
      <c r="AC13" s="17">
        <f t="shared" si="5"/>
        <v>54</v>
      </c>
      <c r="AD13" s="17">
        <f t="shared" si="5"/>
        <v>0</v>
      </c>
      <c r="AE13" s="31">
        <f t="shared" si="5"/>
        <v>90</v>
      </c>
      <c r="AF13" s="31">
        <f t="shared" si="5"/>
        <v>144</v>
      </c>
    </row>
    <row r="14" spans="2:32" ht="23.1" customHeight="1" x14ac:dyDescent="0.25">
      <c r="B14" s="45" t="s">
        <v>41</v>
      </c>
      <c r="C14" s="50">
        <v>8</v>
      </c>
      <c r="D14" s="50">
        <v>3</v>
      </c>
      <c r="E14" s="50">
        <v>1</v>
      </c>
      <c r="F14" s="50">
        <v>4</v>
      </c>
      <c r="G14" s="50">
        <v>0</v>
      </c>
      <c r="H14" s="50">
        <v>1</v>
      </c>
      <c r="I14" s="50">
        <v>0</v>
      </c>
      <c r="J14" s="50">
        <v>0</v>
      </c>
      <c r="K14" s="50">
        <v>4</v>
      </c>
      <c r="L14" s="50">
        <v>0</v>
      </c>
      <c r="M14" s="50">
        <v>2</v>
      </c>
      <c r="N14" s="50">
        <v>0</v>
      </c>
      <c r="O14" s="15">
        <f t="shared" si="0"/>
        <v>21</v>
      </c>
      <c r="P14" s="15">
        <f t="shared" si="1"/>
        <v>23</v>
      </c>
      <c r="R14" s="1" t="s">
        <v>10</v>
      </c>
      <c r="S14" s="17">
        <f t="shared" ref="S14:AF14" si="6">SUM(C26:C29)</f>
        <v>39</v>
      </c>
      <c r="T14" s="17">
        <f t="shared" si="6"/>
        <v>13</v>
      </c>
      <c r="U14" s="17">
        <f t="shared" si="6"/>
        <v>2</v>
      </c>
      <c r="V14" s="17">
        <f t="shared" si="6"/>
        <v>12</v>
      </c>
      <c r="W14" s="17">
        <f t="shared" si="6"/>
        <v>3</v>
      </c>
      <c r="X14" s="17">
        <f t="shared" si="6"/>
        <v>3</v>
      </c>
      <c r="Y14" s="17">
        <f t="shared" si="6"/>
        <v>0</v>
      </c>
      <c r="Z14" s="17">
        <f t="shared" si="6"/>
        <v>7</v>
      </c>
      <c r="AA14" s="17">
        <f t="shared" si="6"/>
        <v>4</v>
      </c>
      <c r="AB14" s="17">
        <f t="shared" si="6"/>
        <v>2</v>
      </c>
      <c r="AC14" s="17">
        <f t="shared" si="6"/>
        <v>46</v>
      </c>
      <c r="AD14" s="17">
        <f t="shared" si="6"/>
        <v>0</v>
      </c>
      <c r="AE14" s="31">
        <f t="shared" si="6"/>
        <v>85</v>
      </c>
      <c r="AF14" s="31">
        <f t="shared" si="6"/>
        <v>131</v>
      </c>
    </row>
    <row r="15" spans="2:32" ht="23.1" customHeight="1" x14ac:dyDescent="0.25">
      <c r="B15" s="45" t="s">
        <v>42</v>
      </c>
      <c r="C15" s="50">
        <v>10</v>
      </c>
      <c r="D15" s="50">
        <v>3</v>
      </c>
      <c r="E15" s="50">
        <v>3</v>
      </c>
      <c r="F15" s="50">
        <v>5</v>
      </c>
      <c r="G15" s="50">
        <v>0</v>
      </c>
      <c r="H15" s="50">
        <v>0</v>
      </c>
      <c r="I15" s="50">
        <v>2</v>
      </c>
      <c r="J15" s="50">
        <v>2</v>
      </c>
      <c r="K15" s="50">
        <v>2</v>
      </c>
      <c r="L15" s="50">
        <v>0</v>
      </c>
      <c r="M15" s="50">
        <v>13</v>
      </c>
      <c r="N15" s="50">
        <v>0</v>
      </c>
      <c r="O15" s="15">
        <f t="shared" si="0"/>
        <v>27</v>
      </c>
      <c r="P15" s="15">
        <f t="shared" si="1"/>
        <v>40</v>
      </c>
      <c r="R15" s="1" t="s">
        <v>11</v>
      </c>
      <c r="S15" s="17">
        <f t="shared" ref="S15:AF15" si="7">SUM(C30:C33)</f>
        <v>39</v>
      </c>
      <c r="T15" s="17">
        <f t="shared" si="7"/>
        <v>21</v>
      </c>
      <c r="U15" s="17">
        <f t="shared" si="7"/>
        <v>9</v>
      </c>
      <c r="V15" s="17">
        <f t="shared" si="7"/>
        <v>21</v>
      </c>
      <c r="W15" s="17">
        <f t="shared" si="7"/>
        <v>0</v>
      </c>
      <c r="X15" s="17">
        <f t="shared" si="7"/>
        <v>5</v>
      </c>
      <c r="Y15" s="17">
        <f t="shared" si="7"/>
        <v>2</v>
      </c>
      <c r="Z15" s="17">
        <f t="shared" si="7"/>
        <v>10</v>
      </c>
      <c r="AA15" s="17">
        <f t="shared" si="7"/>
        <v>10</v>
      </c>
      <c r="AB15" s="17">
        <f t="shared" si="7"/>
        <v>1</v>
      </c>
      <c r="AC15" s="17">
        <f t="shared" si="7"/>
        <v>43</v>
      </c>
      <c r="AD15" s="17">
        <f t="shared" si="7"/>
        <v>0</v>
      </c>
      <c r="AE15" s="31">
        <f t="shared" si="7"/>
        <v>118</v>
      </c>
      <c r="AF15" s="31">
        <f t="shared" si="7"/>
        <v>161</v>
      </c>
    </row>
    <row r="16" spans="2:32" ht="23.1" customHeight="1" x14ac:dyDescent="0.25">
      <c r="B16" s="45" t="s">
        <v>43</v>
      </c>
      <c r="C16" s="50">
        <v>7</v>
      </c>
      <c r="D16" s="50">
        <v>5</v>
      </c>
      <c r="E16" s="50">
        <v>3</v>
      </c>
      <c r="F16" s="50">
        <v>6</v>
      </c>
      <c r="G16" s="50">
        <v>0</v>
      </c>
      <c r="H16" s="50">
        <v>1</v>
      </c>
      <c r="I16" s="50">
        <v>0</v>
      </c>
      <c r="J16" s="50">
        <v>2</v>
      </c>
      <c r="K16" s="50">
        <v>1</v>
      </c>
      <c r="L16" s="50">
        <v>1</v>
      </c>
      <c r="M16" s="50">
        <v>4</v>
      </c>
      <c r="N16" s="50">
        <v>0</v>
      </c>
      <c r="O16" s="15">
        <f t="shared" si="0"/>
        <v>26</v>
      </c>
      <c r="P16" s="15">
        <f t="shared" si="1"/>
        <v>30</v>
      </c>
      <c r="R16" s="1" t="s">
        <v>12</v>
      </c>
      <c r="S16" s="17">
        <f t="shared" ref="S16:AF16" si="8">SUM(C34:C37)</f>
        <v>21</v>
      </c>
      <c r="T16" s="17">
        <f t="shared" si="8"/>
        <v>9</v>
      </c>
      <c r="U16" s="17">
        <f t="shared" si="8"/>
        <v>2</v>
      </c>
      <c r="V16" s="17">
        <f t="shared" si="8"/>
        <v>17</v>
      </c>
      <c r="W16" s="17">
        <f t="shared" si="8"/>
        <v>2</v>
      </c>
      <c r="X16" s="17">
        <f t="shared" si="8"/>
        <v>6</v>
      </c>
      <c r="Y16" s="17">
        <f t="shared" si="8"/>
        <v>2</v>
      </c>
      <c r="Z16" s="17">
        <f t="shared" si="8"/>
        <v>4</v>
      </c>
      <c r="AA16" s="17">
        <f t="shared" si="8"/>
        <v>8</v>
      </c>
      <c r="AB16" s="17">
        <f t="shared" si="8"/>
        <v>0</v>
      </c>
      <c r="AC16" s="17">
        <f t="shared" si="8"/>
        <v>37</v>
      </c>
      <c r="AD16" s="17">
        <f t="shared" si="8"/>
        <v>0</v>
      </c>
      <c r="AE16" s="31">
        <f t="shared" si="8"/>
        <v>71</v>
      </c>
      <c r="AF16" s="31">
        <f t="shared" si="8"/>
        <v>108</v>
      </c>
    </row>
    <row r="17" spans="2:32" ht="23.1" customHeight="1" x14ac:dyDescent="0.25">
      <c r="B17" s="45" t="s">
        <v>44</v>
      </c>
      <c r="C17" s="50">
        <v>15</v>
      </c>
      <c r="D17" s="50">
        <v>9</v>
      </c>
      <c r="E17" s="50">
        <v>2</v>
      </c>
      <c r="F17" s="50">
        <v>3</v>
      </c>
      <c r="G17" s="50">
        <v>0</v>
      </c>
      <c r="H17" s="50">
        <v>1</v>
      </c>
      <c r="I17" s="50">
        <v>0</v>
      </c>
      <c r="J17" s="50">
        <v>0</v>
      </c>
      <c r="K17" s="50">
        <v>1</v>
      </c>
      <c r="L17" s="50">
        <v>0</v>
      </c>
      <c r="M17" s="50">
        <v>16</v>
      </c>
      <c r="N17" s="50">
        <v>0</v>
      </c>
      <c r="O17" s="15">
        <f t="shared" si="0"/>
        <v>31</v>
      </c>
      <c r="P17" s="15">
        <f t="shared" si="1"/>
        <v>47</v>
      </c>
      <c r="R17" s="1" t="s">
        <v>13</v>
      </c>
      <c r="S17" s="17">
        <f t="shared" ref="S17:AF17" si="9">SUM(C38:C41)</f>
        <v>21</v>
      </c>
      <c r="T17" s="17">
        <f t="shared" si="9"/>
        <v>11</v>
      </c>
      <c r="U17" s="17">
        <f t="shared" si="9"/>
        <v>2</v>
      </c>
      <c r="V17" s="17">
        <f t="shared" si="9"/>
        <v>10</v>
      </c>
      <c r="W17" s="17">
        <f t="shared" si="9"/>
        <v>1</v>
      </c>
      <c r="X17" s="17">
        <f t="shared" si="9"/>
        <v>4</v>
      </c>
      <c r="Y17" s="17">
        <f t="shared" si="9"/>
        <v>2</v>
      </c>
      <c r="Z17" s="17">
        <f t="shared" si="9"/>
        <v>9</v>
      </c>
      <c r="AA17" s="17">
        <f t="shared" si="9"/>
        <v>2</v>
      </c>
      <c r="AB17" s="17">
        <f t="shared" si="9"/>
        <v>1</v>
      </c>
      <c r="AC17" s="17">
        <f t="shared" si="9"/>
        <v>35</v>
      </c>
      <c r="AD17" s="17">
        <f t="shared" si="9"/>
        <v>0</v>
      </c>
      <c r="AE17" s="31">
        <f t="shared" si="9"/>
        <v>63</v>
      </c>
      <c r="AF17" s="31">
        <f t="shared" si="9"/>
        <v>98</v>
      </c>
    </row>
    <row r="18" spans="2:32" ht="23.1" customHeight="1" x14ac:dyDescent="0.25">
      <c r="B18" s="45" t="s">
        <v>45</v>
      </c>
      <c r="C18" s="50">
        <v>7</v>
      </c>
      <c r="D18" s="50">
        <v>1</v>
      </c>
      <c r="E18" s="50">
        <v>0</v>
      </c>
      <c r="F18" s="50">
        <v>1</v>
      </c>
      <c r="G18" s="50">
        <v>0</v>
      </c>
      <c r="H18" s="50">
        <v>1</v>
      </c>
      <c r="I18" s="50">
        <v>4</v>
      </c>
      <c r="J18" s="50">
        <v>2</v>
      </c>
      <c r="K18" s="50">
        <v>3</v>
      </c>
      <c r="L18" s="50">
        <v>0</v>
      </c>
      <c r="M18" s="50">
        <v>11</v>
      </c>
      <c r="N18" s="50">
        <v>0</v>
      </c>
      <c r="O18" s="15">
        <f t="shared" si="0"/>
        <v>19</v>
      </c>
      <c r="P18" s="15">
        <f t="shared" si="1"/>
        <v>30</v>
      </c>
      <c r="R18" s="1" t="s">
        <v>14</v>
      </c>
      <c r="S18" s="17">
        <f t="shared" ref="S18:AF18" si="10">SUM(C42:C45)</f>
        <v>45</v>
      </c>
      <c r="T18" s="17">
        <f t="shared" si="10"/>
        <v>21</v>
      </c>
      <c r="U18" s="17">
        <f t="shared" si="10"/>
        <v>4</v>
      </c>
      <c r="V18" s="17">
        <f t="shared" si="10"/>
        <v>21</v>
      </c>
      <c r="W18" s="17">
        <f t="shared" si="10"/>
        <v>0</v>
      </c>
      <c r="X18" s="17">
        <f t="shared" si="10"/>
        <v>8</v>
      </c>
      <c r="Y18" s="17">
        <f t="shared" si="10"/>
        <v>5</v>
      </c>
      <c r="Z18" s="17">
        <f t="shared" si="10"/>
        <v>20</v>
      </c>
      <c r="AA18" s="17">
        <f t="shared" si="10"/>
        <v>0</v>
      </c>
      <c r="AB18" s="17">
        <f t="shared" si="10"/>
        <v>0</v>
      </c>
      <c r="AC18" s="17">
        <f t="shared" si="10"/>
        <v>49</v>
      </c>
      <c r="AD18" s="17">
        <f t="shared" si="10"/>
        <v>0</v>
      </c>
      <c r="AE18" s="31">
        <f t="shared" si="10"/>
        <v>124</v>
      </c>
      <c r="AF18" s="31">
        <f t="shared" si="10"/>
        <v>173</v>
      </c>
    </row>
    <row r="19" spans="2:32" ht="23.1" customHeight="1" x14ac:dyDescent="0.25">
      <c r="B19" s="45" t="s">
        <v>46</v>
      </c>
      <c r="C19" s="50">
        <v>6</v>
      </c>
      <c r="D19" s="50">
        <v>1</v>
      </c>
      <c r="E19" s="50">
        <v>2</v>
      </c>
      <c r="F19" s="50">
        <v>9</v>
      </c>
      <c r="G19" s="50">
        <v>2</v>
      </c>
      <c r="H19" s="50">
        <v>0</v>
      </c>
      <c r="I19" s="50">
        <v>0</v>
      </c>
      <c r="J19" s="50">
        <v>0</v>
      </c>
      <c r="K19" s="50">
        <v>3</v>
      </c>
      <c r="L19" s="50">
        <v>0</v>
      </c>
      <c r="M19" s="50">
        <v>13</v>
      </c>
      <c r="N19" s="50">
        <v>0</v>
      </c>
      <c r="O19" s="15">
        <f t="shared" si="0"/>
        <v>23</v>
      </c>
      <c r="P19" s="15">
        <f t="shared" si="1"/>
        <v>36</v>
      </c>
      <c r="R19" s="1" t="s">
        <v>15</v>
      </c>
      <c r="S19" s="17">
        <f t="shared" ref="S19:AF19" si="11">SUM(C46:C49)</f>
        <v>42</v>
      </c>
      <c r="T19" s="17">
        <f t="shared" si="11"/>
        <v>29</v>
      </c>
      <c r="U19" s="17">
        <f t="shared" si="11"/>
        <v>5</v>
      </c>
      <c r="V19" s="17">
        <f t="shared" si="11"/>
        <v>19</v>
      </c>
      <c r="W19" s="17">
        <f t="shared" si="11"/>
        <v>3</v>
      </c>
      <c r="X19" s="17">
        <f t="shared" si="11"/>
        <v>7</v>
      </c>
      <c r="Y19" s="17">
        <f t="shared" si="11"/>
        <v>7</v>
      </c>
      <c r="Z19" s="17">
        <f t="shared" si="11"/>
        <v>24</v>
      </c>
      <c r="AA19" s="17">
        <f t="shared" si="11"/>
        <v>1</v>
      </c>
      <c r="AB19" s="17">
        <f t="shared" si="11"/>
        <v>0</v>
      </c>
      <c r="AC19" s="17">
        <f t="shared" si="11"/>
        <v>48</v>
      </c>
      <c r="AD19" s="17">
        <f t="shared" si="11"/>
        <v>0</v>
      </c>
      <c r="AE19" s="31">
        <f t="shared" si="11"/>
        <v>137</v>
      </c>
      <c r="AF19" s="31">
        <f t="shared" si="11"/>
        <v>185</v>
      </c>
    </row>
    <row r="20" spans="2:32" ht="23.1" customHeight="1" x14ac:dyDescent="0.25">
      <c r="B20" s="45" t="s">
        <v>47</v>
      </c>
      <c r="C20" s="50">
        <v>16</v>
      </c>
      <c r="D20" s="50">
        <v>4</v>
      </c>
      <c r="E20" s="50">
        <v>1</v>
      </c>
      <c r="F20" s="50">
        <v>8</v>
      </c>
      <c r="G20" s="50">
        <v>0</v>
      </c>
      <c r="H20" s="50">
        <v>1</v>
      </c>
      <c r="I20" s="50">
        <v>1</v>
      </c>
      <c r="J20" s="50">
        <v>1</v>
      </c>
      <c r="K20" s="50">
        <v>9</v>
      </c>
      <c r="L20" s="50">
        <v>0</v>
      </c>
      <c r="M20" s="50">
        <v>5</v>
      </c>
      <c r="N20" s="50">
        <v>0</v>
      </c>
      <c r="O20" s="15">
        <f t="shared" si="0"/>
        <v>41</v>
      </c>
      <c r="P20" s="15">
        <f t="shared" si="1"/>
        <v>46</v>
      </c>
      <c r="R20" s="1" t="s">
        <v>16</v>
      </c>
      <c r="S20" s="17">
        <f t="shared" ref="S20:AF20" si="12">SUM(C50:C53)</f>
        <v>58</v>
      </c>
      <c r="T20" s="17">
        <f t="shared" si="12"/>
        <v>16</v>
      </c>
      <c r="U20" s="17">
        <f t="shared" si="12"/>
        <v>9</v>
      </c>
      <c r="V20" s="17">
        <f t="shared" si="12"/>
        <v>20</v>
      </c>
      <c r="W20" s="17">
        <f t="shared" si="12"/>
        <v>2</v>
      </c>
      <c r="X20" s="17">
        <f t="shared" si="12"/>
        <v>8</v>
      </c>
      <c r="Y20" s="17">
        <f t="shared" si="12"/>
        <v>10</v>
      </c>
      <c r="Z20" s="17">
        <f t="shared" si="12"/>
        <v>22</v>
      </c>
      <c r="AA20" s="17">
        <f t="shared" si="12"/>
        <v>11</v>
      </c>
      <c r="AB20" s="17">
        <f t="shared" si="12"/>
        <v>3</v>
      </c>
      <c r="AC20" s="17">
        <f t="shared" si="12"/>
        <v>45</v>
      </c>
      <c r="AD20" s="17">
        <f t="shared" si="12"/>
        <v>0</v>
      </c>
      <c r="AE20" s="31">
        <f t="shared" si="12"/>
        <v>159</v>
      </c>
      <c r="AF20" s="31">
        <f t="shared" si="12"/>
        <v>204</v>
      </c>
    </row>
    <row r="21" spans="2:32" ht="23.1" customHeight="1" x14ac:dyDescent="0.25">
      <c r="B21" s="45" t="s">
        <v>48</v>
      </c>
      <c r="C21" s="50">
        <v>9</v>
      </c>
      <c r="D21" s="50">
        <v>7</v>
      </c>
      <c r="E21" s="50">
        <v>1</v>
      </c>
      <c r="F21" s="50">
        <v>1</v>
      </c>
      <c r="G21" s="50">
        <v>3</v>
      </c>
      <c r="H21" s="50">
        <v>0</v>
      </c>
      <c r="I21" s="50">
        <v>2</v>
      </c>
      <c r="J21" s="50">
        <v>1</v>
      </c>
      <c r="K21" s="50">
        <v>0</v>
      </c>
      <c r="L21" s="50">
        <v>0</v>
      </c>
      <c r="M21" s="50">
        <v>19</v>
      </c>
      <c r="N21" s="50">
        <v>0</v>
      </c>
      <c r="O21" s="15">
        <f t="shared" si="0"/>
        <v>24</v>
      </c>
      <c r="P21" s="15">
        <f t="shared" si="1"/>
        <v>43</v>
      </c>
      <c r="R21" s="36" t="s">
        <v>20</v>
      </c>
      <c r="S21" s="34">
        <f t="shared" ref="S21:AF21" si="13">SUM(C54:C57)</f>
        <v>33</v>
      </c>
      <c r="T21" s="17">
        <f t="shared" si="13"/>
        <v>20</v>
      </c>
      <c r="U21" s="17">
        <f t="shared" si="13"/>
        <v>4</v>
      </c>
      <c r="V21" s="17">
        <f t="shared" si="13"/>
        <v>18</v>
      </c>
      <c r="W21" s="17">
        <f t="shared" si="13"/>
        <v>0</v>
      </c>
      <c r="X21" s="17">
        <f t="shared" si="13"/>
        <v>5</v>
      </c>
      <c r="Y21" s="17">
        <f t="shared" si="13"/>
        <v>3</v>
      </c>
      <c r="Z21" s="17">
        <f t="shared" si="13"/>
        <v>17</v>
      </c>
      <c r="AA21" s="17">
        <f t="shared" si="13"/>
        <v>11</v>
      </c>
      <c r="AB21" s="17">
        <f t="shared" si="13"/>
        <v>1</v>
      </c>
      <c r="AC21" s="17">
        <f t="shared" si="13"/>
        <v>34</v>
      </c>
      <c r="AD21" s="17">
        <f t="shared" si="13"/>
        <v>0</v>
      </c>
      <c r="AE21" s="31">
        <f t="shared" si="13"/>
        <v>112</v>
      </c>
      <c r="AF21" s="31">
        <f t="shared" si="13"/>
        <v>146</v>
      </c>
    </row>
    <row r="22" spans="2:32" ht="23.1" customHeight="1" x14ac:dyDescent="0.25">
      <c r="B22" s="45" t="s">
        <v>49</v>
      </c>
      <c r="C22" s="50">
        <v>6</v>
      </c>
      <c r="D22" s="50">
        <v>6</v>
      </c>
      <c r="E22" s="50">
        <v>1</v>
      </c>
      <c r="F22" s="50">
        <v>4</v>
      </c>
      <c r="G22" s="50">
        <v>0</v>
      </c>
      <c r="H22" s="50">
        <v>2</v>
      </c>
      <c r="I22" s="50">
        <v>0</v>
      </c>
      <c r="J22" s="50">
        <v>2</v>
      </c>
      <c r="K22" s="50">
        <v>4</v>
      </c>
      <c r="L22" s="50">
        <v>0</v>
      </c>
      <c r="M22" s="50">
        <v>12</v>
      </c>
      <c r="N22" s="50">
        <v>0</v>
      </c>
      <c r="O22" s="15">
        <f t="shared" si="0"/>
        <v>25</v>
      </c>
      <c r="P22" s="15">
        <f t="shared" si="1"/>
        <v>37</v>
      </c>
      <c r="R22" s="36" t="s">
        <v>146</v>
      </c>
      <c r="S22" s="34">
        <f>SUM(C58:C61)</f>
        <v>34</v>
      </c>
      <c r="T22" s="34">
        <f t="shared" ref="T22:AF22" si="14">SUM(D58:D61)</f>
        <v>13</v>
      </c>
      <c r="U22" s="34">
        <f t="shared" si="14"/>
        <v>4</v>
      </c>
      <c r="V22" s="34">
        <f t="shared" si="14"/>
        <v>15</v>
      </c>
      <c r="W22" s="34">
        <f t="shared" si="14"/>
        <v>1</v>
      </c>
      <c r="X22" s="34">
        <f t="shared" si="14"/>
        <v>4</v>
      </c>
      <c r="Y22" s="34">
        <f t="shared" si="14"/>
        <v>8</v>
      </c>
      <c r="Z22" s="34">
        <f t="shared" si="14"/>
        <v>8</v>
      </c>
      <c r="AA22" s="34">
        <f t="shared" si="14"/>
        <v>5</v>
      </c>
      <c r="AB22" s="34">
        <f t="shared" si="14"/>
        <v>1</v>
      </c>
      <c r="AC22" s="34">
        <f t="shared" si="14"/>
        <v>22</v>
      </c>
      <c r="AD22" s="34">
        <f t="shared" si="14"/>
        <v>0</v>
      </c>
      <c r="AE22" s="31">
        <f t="shared" si="14"/>
        <v>93</v>
      </c>
      <c r="AF22" s="31">
        <f t="shared" si="14"/>
        <v>115</v>
      </c>
    </row>
    <row r="23" spans="2:32" ht="23.1" customHeight="1" x14ac:dyDescent="0.25">
      <c r="B23" s="45" t="s">
        <v>50</v>
      </c>
      <c r="C23" s="50">
        <v>7</v>
      </c>
      <c r="D23" s="50">
        <v>4</v>
      </c>
      <c r="E23" s="50">
        <v>0</v>
      </c>
      <c r="F23" s="50">
        <v>4</v>
      </c>
      <c r="G23" s="50">
        <v>0</v>
      </c>
      <c r="H23" s="50">
        <v>0</v>
      </c>
      <c r="I23" s="50">
        <v>1</v>
      </c>
      <c r="J23" s="50">
        <v>1</v>
      </c>
      <c r="K23" s="50">
        <v>1</v>
      </c>
      <c r="L23" s="50">
        <v>0</v>
      </c>
      <c r="M23" s="50">
        <v>16</v>
      </c>
      <c r="N23" s="50">
        <v>0</v>
      </c>
      <c r="O23" s="15">
        <f t="shared" si="0"/>
        <v>18</v>
      </c>
      <c r="P23" s="15">
        <f t="shared" si="1"/>
        <v>34</v>
      </c>
      <c r="R23" s="36" t="s">
        <v>147</v>
      </c>
      <c r="S23" s="34">
        <f>SUM(C62:C65)</f>
        <v>37</v>
      </c>
      <c r="T23" s="34">
        <f t="shared" ref="T23:AF23" si="15">SUM(D62:D65)</f>
        <v>4</v>
      </c>
      <c r="U23" s="34">
        <f t="shared" si="15"/>
        <v>4</v>
      </c>
      <c r="V23" s="34">
        <f t="shared" si="15"/>
        <v>8</v>
      </c>
      <c r="W23" s="34">
        <f t="shared" si="15"/>
        <v>0</v>
      </c>
      <c r="X23" s="34">
        <f t="shared" si="15"/>
        <v>5</v>
      </c>
      <c r="Y23" s="34">
        <f t="shared" si="15"/>
        <v>19</v>
      </c>
      <c r="Z23" s="34">
        <f t="shared" si="15"/>
        <v>0</v>
      </c>
      <c r="AA23" s="34">
        <f t="shared" si="15"/>
        <v>10</v>
      </c>
      <c r="AB23" s="34">
        <f t="shared" si="15"/>
        <v>1</v>
      </c>
      <c r="AC23" s="34">
        <f t="shared" si="15"/>
        <v>14</v>
      </c>
      <c r="AD23" s="34">
        <f t="shared" si="15"/>
        <v>0</v>
      </c>
      <c r="AE23" s="31">
        <f t="shared" si="15"/>
        <v>88</v>
      </c>
      <c r="AF23" s="31">
        <f t="shared" si="15"/>
        <v>102</v>
      </c>
    </row>
    <row r="24" spans="2:32" ht="23.1" customHeight="1" x14ac:dyDescent="0.25">
      <c r="B24" s="45" t="s">
        <v>51</v>
      </c>
      <c r="C24" s="50">
        <v>9</v>
      </c>
      <c r="D24" s="50">
        <v>2</v>
      </c>
      <c r="E24" s="50">
        <v>2</v>
      </c>
      <c r="F24" s="50">
        <v>6</v>
      </c>
      <c r="G24" s="50">
        <v>0</v>
      </c>
      <c r="H24" s="50">
        <v>0</v>
      </c>
      <c r="I24" s="50">
        <v>0</v>
      </c>
      <c r="J24" s="50">
        <v>1</v>
      </c>
      <c r="K24" s="50">
        <v>2</v>
      </c>
      <c r="L24" s="50">
        <v>1</v>
      </c>
      <c r="M24" s="50">
        <v>9</v>
      </c>
      <c r="N24" s="50">
        <v>0</v>
      </c>
      <c r="O24" s="15">
        <f t="shared" si="0"/>
        <v>23</v>
      </c>
      <c r="P24" s="15">
        <f t="shared" si="1"/>
        <v>32</v>
      </c>
      <c r="R24" s="36" t="s">
        <v>148</v>
      </c>
      <c r="S24" s="34">
        <f>SUM(C66:C69)</f>
        <v>30</v>
      </c>
      <c r="T24" s="34">
        <f t="shared" ref="T24:AF24" si="16">SUM(D66:D69)</f>
        <v>2</v>
      </c>
      <c r="U24" s="34">
        <f t="shared" si="16"/>
        <v>7</v>
      </c>
      <c r="V24" s="34">
        <f t="shared" si="16"/>
        <v>10</v>
      </c>
      <c r="W24" s="34">
        <f t="shared" si="16"/>
        <v>1</v>
      </c>
      <c r="X24" s="34">
        <f t="shared" si="16"/>
        <v>3</v>
      </c>
      <c r="Y24" s="34">
        <f t="shared" si="16"/>
        <v>17</v>
      </c>
      <c r="Z24" s="34">
        <f t="shared" si="16"/>
        <v>1</v>
      </c>
      <c r="AA24" s="34">
        <f t="shared" si="16"/>
        <v>15</v>
      </c>
      <c r="AB24" s="34">
        <f t="shared" si="16"/>
        <v>0</v>
      </c>
      <c r="AC24" s="34">
        <f t="shared" si="16"/>
        <v>8</v>
      </c>
      <c r="AD24" s="34">
        <f t="shared" si="16"/>
        <v>0</v>
      </c>
      <c r="AE24" s="31">
        <f t="shared" si="16"/>
        <v>86</v>
      </c>
      <c r="AF24" s="31">
        <f t="shared" si="16"/>
        <v>94</v>
      </c>
    </row>
    <row r="25" spans="2:32" ht="23.1" customHeight="1" x14ac:dyDescent="0.25">
      <c r="B25" s="45" t="s">
        <v>52</v>
      </c>
      <c r="C25" s="50">
        <v>9</v>
      </c>
      <c r="D25" s="50">
        <v>6</v>
      </c>
      <c r="E25" s="50">
        <v>1</v>
      </c>
      <c r="F25" s="50">
        <v>4</v>
      </c>
      <c r="G25" s="50">
        <v>0</v>
      </c>
      <c r="H25" s="50">
        <v>1</v>
      </c>
      <c r="I25" s="50">
        <v>0</v>
      </c>
      <c r="J25" s="50">
        <v>2</v>
      </c>
      <c r="K25" s="50">
        <v>1</v>
      </c>
      <c r="L25" s="50">
        <v>0</v>
      </c>
      <c r="M25" s="50">
        <v>17</v>
      </c>
      <c r="N25" s="50">
        <v>0</v>
      </c>
      <c r="O25" s="15">
        <f t="shared" si="0"/>
        <v>24</v>
      </c>
      <c r="P25" s="15">
        <f t="shared" si="1"/>
        <v>41</v>
      </c>
      <c r="R25" s="36" t="s">
        <v>149</v>
      </c>
      <c r="S25" s="34">
        <f>SUM(C70:C73)</f>
        <v>19</v>
      </c>
      <c r="T25" s="34">
        <f t="shared" ref="T25:AF25" si="17">SUM(D70:D73)</f>
        <v>6</v>
      </c>
      <c r="U25" s="34">
        <f t="shared" si="17"/>
        <v>5</v>
      </c>
      <c r="V25" s="34">
        <f t="shared" si="17"/>
        <v>9</v>
      </c>
      <c r="W25" s="34">
        <f t="shared" si="17"/>
        <v>0</v>
      </c>
      <c r="X25" s="34">
        <f t="shared" si="17"/>
        <v>6</v>
      </c>
      <c r="Y25" s="34">
        <f t="shared" si="17"/>
        <v>24</v>
      </c>
      <c r="Z25" s="34">
        <f t="shared" si="17"/>
        <v>3</v>
      </c>
      <c r="AA25" s="34">
        <f t="shared" si="17"/>
        <v>11</v>
      </c>
      <c r="AB25" s="34">
        <f t="shared" si="17"/>
        <v>2</v>
      </c>
      <c r="AC25" s="34">
        <f t="shared" si="17"/>
        <v>3</v>
      </c>
      <c r="AD25" s="34">
        <f t="shared" si="17"/>
        <v>0</v>
      </c>
      <c r="AE25" s="31">
        <f t="shared" si="17"/>
        <v>85</v>
      </c>
      <c r="AF25" s="31">
        <f t="shared" si="17"/>
        <v>88</v>
      </c>
    </row>
    <row r="26" spans="2:32" ht="23.1" customHeight="1" x14ac:dyDescent="0.25">
      <c r="B26" s="45" t="s">
        <v>53</v>
      </c>
      <c r="C26" s="50">
        <v>9</v>
      </c>
      <c r="D26" s="50">
        <v>1</v>
      </c>
      <c r="E26" s="50">
        <v>0</v>
      </c>
      <c r="F26" s="50">
        <v>1</v>
      </c>
      <c r="G26" s="50">
        <v>0</v>
      </c>
      <c r="H26" s="50">
        <v>0</v>
      </c>
      <c r="I26" s="50">
        <v>0</v>
      </c>
      <c r="J26" s="50">
        <v>2</v>
      </c>
      <c r="K26" s="50">
        <v>0</v>
      </c>
      <c r="L26" s="50">
        <v>1</v>
      </c>
      <c r="M26" s="50">
        <v>11</v>
      </c>
      <c r="N26" s="50">
        <v>0</v>
      </c>
      <c r="O26" s="15">
        <f t="shared" si="0"/>
        <v>14</v>
      </c>
      <c r="P26" s="15">
        <f t="shared" si="1"/>
        <v>25</v>
      </c>
      <c r="R26" s="36" t="s">
        <v>150</v>
      </c>
      <c r="S26" s="34">
        <f>SUM(C74:C77)</f>
        <v>22</v>
      </c>
      <c r="T26" s="34">
        <f t="shared" ref="T26:AF26" si="18">SUM(D74:D77)</f>
        <v>5</v>
      </c>
      <c r="U26" s="34">
        <f t="shared" si="18"/>
        <v>4</v>
      </c>
      <c r="V26" s="34">
        <f t="shared" si="18"/>
        <v>4</v>
      </c>
      <c r="W26" s="34">
        <f t="shared" si="18"/>
        <v>0</v>
      </c>
      <c r="X26" s="34">
        <f t="shared" si="18"/>
        <v>4</v>
      </c>
      <c r="Y26" s="34">
        <f t="shared" si="18"/>
        <v>11</v>
      </c>
      <c r="Z26" s="34">
        <f t="shared" si="18"/>
        <v>5</v>
      </c>
      <c r="AA26" s="34">
        <f t="shared" si="18"/>
        <v>11</v>
      </c>
      <c r="AB26" s="34">
        <f t="shared" si="18"/>
        <v>0</v>
      </c>
      <c r="AC26" s="34">
        <f t="shared" si="18"/>
        <v>8</v>
      </c>
      <c r="AD26" s="34">
        <f t="shared" si="18"/>
        <v>0</v>
      </c>
      <c r="AE26" s="31">
        <f t="shared" si="18"/>
        <v>66</v>
      </c>
      <c r="AF26" s="31">
        <f t="shared" si="18"/>
        <v>74</v>
      </c>
    </row>
    <row r="27" spans="2:32" ht="23.1" customHeight="1" x14ac:dyDescent="0.25">
      <c r="B27" s="45" t="s">
        <v>54</v>
      </c>
      <c r="C27" s="50">
        <v>10</v>
      </c>
      <c r="D27" s="50">
        <v>3</v>
      </c>
      <c r="E27" s="50">
        <v>2</v>
      </c>
      <c r="F27" s="50">
        <v>3</v>
      </c>
      <c r="G27" s="50">
        <v>1</v>
      </c>
      <c r="H27" s="50">
        <v>2</v>
      </c>
      <c r="I27" s="50">
        <v>0</v>
      </c>
      <c r="J27" s="50">
        <v>2</v>
      </c>
      <c r="K27" s="50">
        <v>1</v>
      </c>
      <c r="L27" s="50">
        <v>1</v>
      </c>
      <c r="M27" s="50">
        <v>12</v>
      </c>
      <c r="N27" s="50">
        <v>0</v>
      </c>
      <c r="O27" s="15">
        <f t="shared" si="0"/>
        <v>25</v>
      </c>
      <c r="P27" s="15">
        <f t="shared" si="1"/>
        <v>37</v>
      </c>
      <c r="R27" s="36" t="s">
        <v>151</v>
      </c>
      <c r="S27" s="34">
        <f>SUM(C78:C81)</f>
        <v>13</v>
      </c>
      <c r="T27" s="34">
        <f t="shared" ref="T27:AF27" si="19">SUM(D78:D81)</f>
        <v>2</v>
      </c>
      <c r="U27" s="34">
        <f t="shared" si="19"/>
        <v>4</v>
      </c>
      <c r="V27" s="34">
        <f t="shared" si="19"/>
        <v>6</v>
      </c>
      <c r="W27" s="34">
        <f t="shared" si="19"/>
        <v>2</v>
      </c>
      <c r="X27" s="34">
        <f t="shared" si="19"/>
        <v>2</v>
      </c>
      <c r="Y27" s="34">
        <f t="shared" si="19"/>
        <v>9</v>
      </c>
      <c r="Z27" s="34">
        <f t="shared" si="19"/>
        <v>4</v>
      </c>
      <c r="AA27" s="34">
        <f t="shared" si="19"/>
        <v>11</v>
      </c>
      <c r="AB27" s="34">
        <f t="shared" si="19"/>
        <v>0</v>
      </c>
      <c r="AC27" s="34">
        <f t="shared" si="19"/>
        <v>1</v>
      </c>
      <c r="AD27" s="34">
        <f t="shared" si="19"/>
        <v>0</v>
      </c>
      <c r="AE27" s="31">
        <f t="shared" si="19"/>
        <v>53</v>
      </c>
      <c r="AF27" s="31">
        <f t="shared" si="19"/>
        <v>54</v>
      </c>
    </row>
    <row r="28" spans="2:32" ht="23.1" customHeight="1" x14ac:dyDescent="0.25">
      <c r="B28" s="45" t="s">
        <v>55</v>
      </c>
      <c r="C28" s="50">
        <v>13</v>
      </c>
      <c r="D28" s="50">
        <v>4</v>
      </c>
      <c r="E28" s="50">
        <v>0</v>
      </c>
      <c r="F28" s="50">
        <v>4</v>
      </c>
      <c r="G28" s="50">
        <v>1</v>
      </c>
      <c r="H28" s="50">
        <v>0</v>
      </c>
      <c r="I28" s="50">
        <v>0</v>
      </c>
      <c r="J28" s="50">
        <v>0</v>
      </c>
      <c r="K28" s="50">
        <v>2</v>
      </c>
      <c r="L28" s="50">
        <v>0</v>
      </c>
      <c r="M28" s="50">
        <v>14</v>
      </c>
      <c r="N28" s="50">
        <v>0</v>
      </c>
      <c r="O28" s="15">
        <f t="shared" si="0"/>
        <v>24</v>
      </c>
      <c r="P28" s="15">
        <f t="shared" si="1"/>
        <v>38</v>
      </c>
      <c r="R28" s="36" t="s">
        <v>152</v>
      </c>
      <c r="S28" s="34">
        <f>SUM(C82:C85)</f>
        <v>19</v>
      </c>
      <c r="T28" s="34">
        <f t="shared" ref="T28:AF28" si="20">SUM(D82:D85)</f>
        <v>3</v>
      </c>
      <c r="U28" s="34">
        <f t="shared" si="20"/>
        <v>3</v>
      </c>
      <c r="V28" s="34">
        <f t="shared" si="20"/>
        <v>4</v>
      </c>
      <c r="W28" s="34">
        <f t="shared" si="20"/>
        <v>0</v>
      </c>
      <c r="X28" s="34">
        <f t="shared" si="20"/>
        <v>20</v>
      </c>
      <c r="Y28" s="34">
        <f t="shared" si="20"/>
        <v>12</v>
      </c>
      <c r="Z28" s="34">
        <f t="shared" si="20"/>
        <v>14</v>
      </c>
      <c r="AA28" s="34">
        <f t="shared" si="20"/>
        <v>14</v>
      </c>
      <c r="AB28" s="34">
        <f t="shared" si="20"/>
        <v>0</v>
      </c>
      <c r="AC28" s="34">
        <f t="shared" si="20"/>
        <v>1</v>
      </c>
      <c r="AD28" s="34">
        <f t="shared" si="20"/>
        <v>0</v>
      </c>
      <c r="AE28" s="31">
        <f t="shared" si="20"/>
        <v>89</v>
      </c>
      <c r="AF28" s="31">
        <f t="shared" si="20"/>
        <v>90</v>
      </c>
    </row>
    <row r="29" spans="2:32" ht="23.1" customHeight="1" x14ac:dyDescent="0.25">
      <c r="B29" s="45" t="s">
        <v>56</v>
      </c>
      <c r="C29" s="50">
        <v>7</v>
      </c>
      <c r="D29" s="50">
        <v>5</v>
      </c>
      <c r="E29" s="50">
        <v>0</v>
      </c>
      <c r="F29" s="50">
        <v>4</v>
      </c>
      <c r="G29" s="50">
        <v>1</v>
      </c>
      <c r="H29" s="50">
        <v>1</v>
      </c>
      <c r="I29" s="50">
        <v>0</v>
      </c>
      <c r="J29" s="50">
        <v>3</v>
      </c>
      <c r="K29" s="50">
        <v>1</v>
      </c>
      <c r="L29" s="50">
        <v>0</v>
      </c>
      <c r="M29" s="50">
        <v>9</v>
      </c>
      <c r="N29" s="50">
        <v>0</v>
      </c>
      <c r="O29" s="15">
        <f t="shared" si="0"/>
        <v>22</v>
      </c>
      <c r="P29" s="15">
        <f t="shared" si="1"/>
        <v>31</v>
      </c>
      <c r="R29" s="36" t="s">
        <v>153</v>
      </c>
      <c r="S29" s="34">
        <f>SUM(C86:C89)</f>
        <v>8</v>
      </c>
      <c r="T29" s="34">
        <f t="shared" ref="T29:AF29" si="21">SUM(D86:D89)</f>
        <v>2</v>
      </c>
      <c r="U29" s="34">
        <f t="shared" si="21"/>
        <v>0</v>
      </c>
      <c r="V29" s="34">
        <f t="shared" si="21"/>
        <v>6</v>
      </c>
      <c r="W29" s="34">
        <f t="shared" si="21"/>
        <v>0</v>
      </c>
      <c r="X29" s="34">
        <f t="shared" si="21"/>
        <v>10</v>
      </c>
      <c r="Y29" s="34">
        <f t="shared" si="21"/>
        <v>6</v>
      </c>
      <c r="Z29" s="34">
        <f t="shared" si="21"/>
        <v>10</v>
      </c>
      <c r="AA29" s="34">
        <f t="shared" si="21"/>
        <v>15</v>
      </c>
      <c r="AB29" s="34">
        <f t="shared" si="21"/>
        <v>0</v>
      </c>
      <c r="AC29" s="34">
        <f t="shared" si="21"/>
        <v>1</v>
      </c>
      <c r="AD29" s="34">
        <f t="shared" si="21"/>
        <v>0</v>
      </c>
      <c r="AE29" s="31">
        <f t="shared" si="21"/>
        <v>57</v>
      </c>
      <c r="AF29" s="31">
        <f t="shared" si="21"/>
        <v>58</v>
      </c>
    </row>
    <row r="30" spans="2:32" ht="23.1" customHeight="1" x14ac:dyDescent="0.25">
      <c r="B30" s="45" t="s">
        <v>57</v>
      </c>
      <c r="C30" s="50">
        <v>7</v>
      </c>
      <c r="D30" s="50">
        <v>4</v>
      </c>
      <c r="E30" s="50">
        <v>2</v>
      </c>
      <c r="F30" s="50">
        <v>7</v>
      </c>
      <c r="G30" s="50">
        <v>0</v>
      </c>
      <c r="H30" s="50">
        <v>2</v>
      </c>
      <c r="I30" s="50">
        <v>0</v>
      </c>
      <c r="J30" s="50">
        <v>3</v>
      </c>
      <c r="K30" s="50">
        <v>4</v>
      </c>
      <c r="L30" s="50">
        <v>0</v>
      </c>
      <c r="M30" s="50">
        <v>15</v>
      </c>
      <c r="N30" s="50">
        <v>0</v>
      </c>
      <c r="O30" s="15">
        <f t="shared" si="0"/>
        <v>29</v>
      </c>
      <c r="P30" s="15">
        <f t="shared" si="1"/>
        <v>44</v>
      </c>
      <c r="R30" s="36" t="s">
        <v>154</v>
      </c>
      <c r="S30" s="34">
        <f>SUM(C90:C93)</f>
        <v>10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4</v>
      </c>
      <c r="W30" s="34">
        <f t="shared" si="22"/>
        <v>1</v>
      </c>
      <c r="X30" s="34">
        <f t="shared" si="22"/>
        <v>7</v>
      </c>
      <c r="Y30" s="34">
        <f t="shared" si="22"/>
        <v>11</v>
      </c>
      <c r="Z30" s="34">
        <f t="shared" si="22"/>
        <v>4</v>
      </c>
      <c r="AA30" s="34">
        <f t="shared" si="22"/>
        <v>16</v>
      </c>
      <c r="AB30" s="34">
        <f t="shared" si="22"/>
        <v>1</v>
      </c>
      <c r="AC30" s="34">
        <f t="shared" si="22"/>
        <v>1</v>
      </c>
      <c r="AD30" s="34">
        <f t="shared" si="22"/>
        <v>0</v>
      </c>
      <c r="AE30" s="31">
        <f t="shared" si="22"/>
        <v>55</v>
      </c>
      <c r="AF30" s="31">
        <f t="shared" si="22"/>
        <v>56</v>
      </c>
    </row>
    <row r="31" spans="2:32" ht="23.1" customHeight="1" x14ac:dyDescent="0.25">
      <c r="B31" s="46" t="s">
        <v>58</v>
      </c>
      <c r="C31" s="50">
        <v>12</v>
      </c>
      <c r="D31" s="50">
        <v>6</v>
      </c>
      <c r="E31" s="50">
        <v>4</v>
      </c>
      <c r="F31" s="50">
        <v>5</v>
      </c>
      <c r="G31" s="50">
        <v>0</v>
      </c>
      <c r="H31" s="50">
        <v>1</v>
      </c>
      <c r="I31" s="50">
        <v>1</v>
      </c>
      <c r="J31" s="50">
        <v>2</v>
      </c>
      <c r="K31" s="50">
        <v>0</v>
      </c>
      <c r="L31" s="50">
        <v>0</v>
      </c>
      <c r="M31" s="50">
        <v>10</v>
      </c>
      <c r="N31" s="50">
        <v>0</v>
      </c>
      <c r="O31" s="15">
        <f t="shared" si="0"/>
        <v>31</v>
      </c>
      <c r="P31" s="15">
        <f t="shared" si="1"/>
        <v>41</v>
      </c>
      <c r="R31" s="36" t="s">
        <v>155</v>
      </c>
      <c r="S31" s="34">
        <f>SUM(C94:C97)</f>
        <v>2</v>
      </c>
      <c r="T31" s="34">
        <f t="shared" ref="T31:AF31" si="23">SUM(D94:D97)</f>
        <v>1</v>
      </c>
      <c r="U31" s="34">
        <f t="shared" si="23"/>
        <v>2</v>
      </c>
      <c r="V31" s="34">
        <f t="shared" si="23"/>
        <v>0</v>
      </c>
      <c r="W31" s="34">
        <f t="shared" si="23"/>
        <v>1</v>
      </c>
      <c r="X31" s="34">
        <f t="shared" si="23"/>
        <v>2</v>
      </c>
      <c r="Y31" s="34">
        <f t="shared" si="23"/>
        <v>3</v>
      </c>
      <c r="Z31" s="34">
        <f t="shared" si="23"/>
        <v>4</v>
      </c>
      <c r="AA31" s="34">
        <f t="shared" si="23"/>
        <v>14</v>
      </c>
      <c r="AB31" s="34">
        <f t="shared" si="23"/>
        <v>1</v>
      </c>
      <c r="AC31" s="34">
        <f t="shared" si="23"/>
        <v>1</v>
      </c>
      <c r="AD31" s="34">
        <f t="shared" si="23"/>
        <v>0</v>
      </c>
      <c r="AE31" s="31">
        <f t="shared" si="23"/>
        <v>30</v>
      </c>
      <c r="AF31" s="31">
        <f t="shared" si="23"/>
        <v>31</v>
      </c>
    </row>
    <row r="32" spans="2:32" ht="23.1" customHeight="1" x14ac:dyDescent="0.25">
      <c r="B32" s="46" t="s">
        <v>59</v>
      </c>
      <c r="C32" s="50">
        <v>9</v>
      </c>
      <c r="D32" s="50">
        <v>5</v>
      </c>
      <c r="E32" s="50">
        <v>1</v>
      </c>
      <c r="F32" s="50">
        <v>6</v>
      </c>
      <c r="G32" s="50">
        <v>0</v>
      </c>
      <c r="H32" s="50">
        <v>1</v>
      </c>
      <c r="I32" s="50">
        <v>1</v>
      </c>
      <c r="J32" s="50">
        <v>3</v>
      </c>
      <c r="K32" s="50">
        <v>6</v>
      </c>
      <c r="L32" s="50">
        <v>1</v>
      </c>
      <c r="M32" s="50">
        <v>12</v>
      </c>
      <c r="N32" s="50">
        <v>0</v>
      </c>
      <c r="O32" s="15">
        <f t="shared" si="0"/>
        <v>33</v>
      </c>
      <c r="P32" s="15">
        <f t="shared" si="1"/>
        <v>45</v>
      </c>
      <c r="R32" s="33" t="s">
        <v>156</v>
      </c>
      <c r="S32" s="34">
        <f>SUM(C98:C101)</f>
        <v>1</v>
      </c>
      <c r="T32" s="34">
        <f t="shared" ref="T32:AF32" si="24">SUM(D98:D101)</f>
        <v>2</v>
      </c>
      <c r="U32" s="34">
        <f t="shared" si="24"/>
        <v>2</v>
      </c>
      <c r="V32" s="34">
        <f t="shared" si="24"/>
        <v>1</v>
      </c>
      <c r="W32" s="34">
        <f t="shared" si="24"/>
        <v>0</v>
      </c>
      <c r="X32" s="34">
        <f t="shared" si="24"/>
        <v>1</v>
      </c>
      <c r="Y32" s="34">
        <f t="shared" si="24"/>
        <v>1</v>
      </c>
      <c r="Z32" s="34">
        <f t="shared" si="24"/>
        <v>4</v>
      </c>
      <c r="AA32" s="34">
        <f t="shared" si="24"/>
        <v>6</v>
      </c>
      <c r="AB32" s="34">
        <f t="shared" si="24"/>
        <v>0</v>
      </c>
      <c r="AC32" s="34">
        <f t="shared" si="24"/>
        <v>1</v>
      </c>
      <c r="AD32" s="34">
        <f t="shared" si="24"/>
        <v>0</v>
      </c>
      <c r="AE32" s="31">
        <f t="shared" si="24"/>
        <v>18</v>
      </c>
      <c r="AF32" s="31">
        <f t="shared" si="24"/>
        <v>19</v>
      </c>
    </row>
    <row r="33" spans="2:32" ht="23.1" customHeight="1" x14ac:dyDescent="0.25">
      <c r="B33" s="45" t="s">
        <v>60</v>
      </c>
      <c r="C33" s="50">
        <v>11</v>
      </c>
      <c r="D33" s="50">
        <v>6</v>
      </c>
      <c r="E33" s="50">
        <v>2</v>
      </c>
      <c r="F33" s="50">
        <v>3</v>
      </c>
      <c r="G33" s="50">
        <v>0</v>
      </c>
      <c r="H33" s="50">
        <v>1</v>
      </c>
      <c r="I33" s="50">
        <v>0</v>
      </c>
      <c r="J33" s="50">
        <v>2</v>
      </c>
      <c r="K33" s="50">
        <v>0</v>
      </c>
      <c r="L33" s="50">
        <v>0</v>
      </c>
      <c r="M33" s="50">
        <v>6</v>
      </c>
      <c r="N33" s="50">
        <v>0</v>
      </c>
      <c r="O33" s="15">
        <f t="shared" si="0"/>
        <v>25</v>
      </c>
      <c r="P33" s="15">
        <f t="shared" si="1"/>
        <v>31</v>
      </c>
      <c r="R33" s="33" t="s">
        <v>157</v>
      </c>
      <c r="S33" s="34">
        <f>SUM(C102:C105)</f>
        <v>15</v>
      </c>
      <c r="T33" s="34">
        <f t="shared" ref="T33:AF33" si="25">SUM(D102:D105)</f>
        <v>3</v>
      </c>
      <c r="U33" s="34">
        <f t="shared" si="25"/>
        <v>3</v>
      </c>
      <c r="V33" s="34">
        <f t="shared" si="25"/>
        <v>5</v>
      </c>
      <c r="W33" s="34">
        <f t="shared" si="25"/>
        <v>0</v>
      </c>
      <c r="X33" s="34">
        <f t="shared" si="25"/>
        <v>1</v>
      </c>
      <c r="Y33" s="34">
        <f t="shared" si="25"/>
        <v>6</v>
      </c>
      <c r="Z33" s="34">
        <f t="shared" si="25"/>
        <v>3</v>
      </c>
      <c r="AA33" s="34">
        <f t="shared" si="25"/>
        <v>11</v>
      </c>
      <c r="AB33" s="34">
        <f t="shared" si="25"/>
        <v>0</v>
      </c>
      <c r="AC33" s="34">
        <f t="shared" si="25"/>
        <v>8</v>
      </c>
      <c r="AD33" s="34">
        <f t="shared" si="25"/>
        <v>0</v>
      </c>
      <c r="AE33" s="31">
        <f t="shared" si="25"/>
        <v>47</v>
      </c>
      <c r="AF33" s="31">
        <f t="shared" si="25"/>
        <v>55</v>
      </c>
    </row>
    <row r="34" spans="2:32" ht="23.1" customHeight="1" x14ac:dyDescent="0.25">
      <c r="B34" s="46" t="s">
        <v>61</v>
      </c>
      <c r="C34" s="50">
        <v>9</v>
      </c>
      <c r="D34" s="50">
        <v>4</v>
      </c>
      <c r="E34" s="50">
        <v>0</v>
      </c>
      <c r="F34" s="50">
        <v>4</v>
      </c>
      <c r="G34" s="50">
        <v>0</v>
      </c>
      <c r="H34" s="50">
        <v>1</v>
      </c>
      <c r="I34" s="50">
        <v>0</v>
      </c>
      <c r="J34" s="50">
        <v>2</v>
      </c>
      <c r="K34" s="50">
        <v>3</v>
      </c>
      <c r="L34" s="50">
        <v>0</v>
      </c>
      <c r="M34" s="50">
        <v>6</v>
      </c>
      <c r="N34" s="50">
        <v>0</v>
      </c>
      <c r="O34" s="15">
        <f t="shared" si="0"/>
        <v>23</v>
      </c>
      <c r="P34" s="15">
        <f t="shared" si="1"/>
        <v>29</v>
      </c>
      <c r="R34" s="38" t="s">
        <v>90</v>
      </c>
      <c r="S34" s="39">
        <f t="shared" ref="S34:AF34" si="26">MAX(S10:S12)</f>
        <v>40</v>
      </c>
      <c r="T34" s="39">
        <f t="shared" si="26"/>
        <v>20</v>
      </c>
      <c r="U34" s="39">
        <f t="shared" si="26"/>
        <v>12</v>
      </c>
      <c r="V34" s="39">
        <f t="shared" si="26"/>
        <v>19</v>
      </c>
      <c r="W34" s="39">
        <f t="shared" si="26"/>
        <v>5</v>
      </c>
      <c r="X34" s="39">
        <f t="shared" si="26"/>
        <v>3</v>
      </c>
      <c r="Y34" s="39">
        <f t="shared" si="26"/>
        <v>9</v>
      </c>
      <c r="Z34" s="39">
        <f t="shared" si="26"/>
        <v>4</v>
      </c>
      <c r="AA34" s="39">
        <f t="shared" si="26"/>
        <v>15</v>
      </c>
      <c r="AB34" s="39">
        <f t="shared" si="26"/>
        <v>1</v>
      </c>
      <c r="AC34" s="39">
        <f t="shared" si="26"/>
        <v>48</v>
      </c>
      <c r="AD34" s="39">
        <f t="shared" si="26"/>
        <v>0</v>
      </c>
      <c r="AE34" s="40">
        <f t="shared" si="26"/>
        <v>107</v>
      </c>
      <c r="AF34" s="40">
        <f t="shared" si="26"/>
        <v>155</v>
      </c>
    </row>
    <row r="35" spans="2:32" ht="23.1" customHeight="1" x14ac:dyDescent="0.25">
      <c r="B35" s="46" t="s">
        <v>62</v>
      </c>
      <c r="C35" s="50">
        <v>7</v>
      </c>
      <c r="D35" s="50">
        <v>1</v>
      </c>
      <c r="E35" s="50">
        <v>1</v>
      </c>
      <c r="F35" s="50">
        <v>8</v>
      </c>
      <c r="G35" s="50">
        <v>1</v>
      </c>
      <c r="H35" s="50">
        <v>1</v>
      </c>
      <c r="I35" s="50">
        <v>1</v>
      </c>
      <c r="J35" s="50">
        <v>0</v>
      </c>
      <c r="K35" s="50">
        <v>2</v>
      </c>
      <c r="L35" s="50">
        <v>0</v>
      </c>
      <c r="M35" s="50">
        <v>14</v>
      </c>
      <c r="N35" s="50">
        <v>0</v>
      </c>
      <c r="O35" s="15">
        <f t="shared" si="0"/>
        <v>22</v>
      </c>
      <c r="P35" s="15">
        <f t="shared" si="1"/>
        <v>36</v>
      </c>
      <c r="R35" s="38" t="s">
        <v>91</v>
      </c>
      <c r="S35" s="39">
        <f t="shared" ref="S35:AF35" si="27">MAX(S13:S18)</f>
        <v>45</v>
      </c>
      <c r="T35" s="39">
        <f t="shared" si="27"/>
        <v>21</v>
      </c>
      <c r="U35" s="39">
        <f t="shared" si="27"/>
        <v>9</v>
      </c>
      <c r="V35" s="39">
        <f t="shared" si="27"/>
        <v>21</v>
      </c>
      <c r="W35" s="39">
        <f t="shared" si="27"/>
        <v>3</v>
      </c>
      <c r="X35" s="39">
        <f t="shared" si="27"/>
        <v>8</v>
      </c>
      <c r="Y35" s="39">
        <f t="shared" si="27"/>
        <v>5</v>
      </c>
      <c r="Z35" s="39">
        <f t="shared" si="27"/>
        <v>20</v>
      </c>
      <c r="AA35" s="39">
        <f t="shared" si="27"/>
        <v>10</v>
      </c>
      <c r="AB35" s="39">
        <f t="shared" si="27"/>
        <v>2</v>
      </c>
      <c r="AC35" s="39">
        <f t="shared" si="27"/>
        <v>54</v>
      </c>
      <c r="AD35" s="39">
        <f t="shared" si="27"/>
        <v>0</v>
      </c>
      <c r="AE35" s="40">
        <f t="shared" si="27"/>
        <v>124</v>
      </c>
      <c r="AF35" s="40">
        <f t="shared" si="27"/>
        <v>173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9</v>
      </c>
      <c r="N36" s="50">
        <v>0</v>
      </c>
      <c r="O36" s="15">
        <f t="shared" si="0"/>
        <v>0</v>
      </c>
      <c r="P36" s="15">
        <f t="shared" si="1"/>
        <v>9</v>
      </c>
      <c r="R36" s="38" t="s">
        <v>92</v>
      </c>
      <c r="S36" s="39">
        <f t="shared" ref="S36:AF36" si="28">MAX(S19:S21)</f>
        <v>58</v>
      </c>
      <c r="T36" s="39">
        <f t="shared" si="28"/>
        <v>29</v>
      </c>
      <c r="U36" s="39">
        <f t="shared" si="28"/>
        <v>9</v>
      </c>
      <c r="V36" s="39">
        <f t="shared" si="28"/>
        <v>20</v>
      </c>
      <c r="W36" s="39">
        <f t="shared" si="28"/>
        <v>3</v>
      </c>
      <c r="X36" s="39">
        <f t="shared" si="28"/>
        <v>8</v>
      </c>
      <c r="Y36" s="39">
        <f t="shared" si="28"/>
        <v>10</v>
      </c>
      <c r="Z36" s="39">
        <f t="shared" si="28"/>
        <v>24</v>
      </c>
      <c r="AA36" s="39">
        <f t="shared" si="28"/>
        <v>11</v>
      </c>
      <c r="AB36" s="39">
        <f t="shared" si="28"/>
        <v>3</v>
      </c>
      <c r="AC36" s="39">
        <f t="shared" si="28"/>
        <v>48</v>
      </c>
      <c r="AD36" s="39">
        <f t="shared" si="28"/>
        <v>0</v>
      </c>
      <c r="AE36" s="40">
        <f t="shared" si="28"/>
        <v>159</v>
      </c>
      <c r="AF36" s="40">
        <f t="shared" si="28"/>
        <v>204</v>
      </c>
    </row>
    <row r="37" spans="2:32" ht="23.1" customHeight="1" x14ac:dyDescent="0.25">
      <c r="B37" s="45" t="s">
        <v>64</v>
      </c>
      <c r="C37" s="50">
        <v>5</v>
      </c>
      <c r="D37" s="50">
        <v>4</v>
      </c>
      <c r="E37" s="50">
        <v>1</v>
      </c>
      <c r="F37" s="50">
        <v>5</v>
      </c>
      <c r="G37" s="50">
        <v>1</v>
      </c>
      <c r="H37" s="50">
        <v>4</v>
      </c>
      <c r="I37" s="50">
        <v>1</v>
      </c>
      <c r="J37" s="50">
        <v>2</v>
      </c>
      <c r="K37" s="50">
        <v>3</v>
      </c>
      <c r="L37" s="50">
        <v>0</v>
      </c>
      <c r="M37" s="50">
        <v>8</v>
      </c>
      <c r="N37" s="50">
        <v>0</v>
      </c>
      <c r="O37" s="15">
        <f t="shared" si="0"/>
        <v>26</v>
      </c>
      <c r="P37" s="15">
        <f t="shared" si="1"/>
        <v>34</v>
      </c>
      <c r="R37" s="37" t="s">
        <v>85</v>
      </c>
      <c r="S37" s="35">
        <f t="shared" ref="S37:AF37" si="29">SUM(S10:S12)</f>
        <v>109</v>
      </c>
      <c r="T37" s="16">
        <f t="shared" si="29"/>
        <v>47</v>
      </c>
      <c r="U37" s="16">
        <f t="shared" si="29"/>
        <v>25</v>
      </c>
      <c r="V37" s="16">
        <f t="shared" si="29"/>
        <v>49</v>
      </c>
      <c r="W37" s="16">
        <f t="shared" si="29"/>
        <v>5</v>
      </c>
      <c r="X37" s="16">
        <f t="shared" si="29"/>
        <v>6</v>
      </c>
      <c r="Y37" s="16">
        <f t="shared" si="29"/>
        <v>18</v>
      </c>
      <c r="Z37" s="16">
        <f t="shared" si="29"/>
        <v>10</v>
      </c>
      <c r="AA37" s="16">
        <f t="shared" si="29"/>
        <v>35</v>
      </c>
      <c r="AB37" s="16">
        <f t="shared" si="29"/>
        <v>2</v>
      </c>
      <c r="AC37" s="16">
        <f t="shared" si="29"/>
        <v>122</v>
      </c>
      <c r="AD37" s="16">
        <f t="shared" si="29"/>
        <v>0</v>
      </c>
      <c r="AE37" s="32">
        <f t="shared" si="29"/>
        <v>306</v>
      </c>
      <c r="AF37" s="32">
        <f t="shared" si="29"/>
        <v>428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15">
        <f t="shared" si="0"/>
        <v>0</v>
      </c>
      <c r="P38" s="15">
        <f t="shared" si="1"/>
        <v>0</v>
      </c>
      <c r="R38" s="28" t="s">
        <v>86</v>
      </c>
      <c r="S38" s="16">
        <f t="shared" ref="S38:AF38" si="30">SUM(S13:S18)</f>
        <v>196</v>
      </c>
      <c r="T38" s="16">
        <f t="shared" si="30"/>
        <v>93</v>
      </c>
      <c r="U38" s="16">
        <f t="shared" si="30"/>
        <v>23</v>
      </c>
      <c r="V38" s="16">
        <f t="shared" si="30"/>
        <v>99</v>
      </c>
      <c r="W38" s="16">
        <f t="shared" si="30"/>
        <v>6</v>
      </c>
      <c r="X38" s="16">
        <f t="shared" si="30"/>
        <v>29</v>
      </c>
      <c r="Y38" s="16">
        <f t="shared" si="30"/>
        <v>12</v>
      </c>
      <c r="Z38" s="16">
        <f t="shared" si="30"/>
        <v>56</v>
      </c>
      <c r="AA38" s="16">
        <f t="shared" si="30"/>
        <v>32</v>
      </c>
      <c r="AB38" s="16">
        <f t="shared" si="30"/>
        <v>5</v>
      </c>
      <c r="AC38" s="16">
        <f t="shared" si="30"/>
        <v>264</v>
      </c>
      <c r="AD38" s="16">
        <f t="shared" si="30"/>
        <v>0</v>
      </c>
      <c r="AE38" s="32">
        <f t="shared" si="30"/>
        <v>551</v>
      </c>
      <c r="AF38" s="32">
        <f t="shared" si="30"/>
        <v>815</v>
      </c>
    </row>
    <row r="39" spans="2:32" ht="23.1" customHeight="1" x14ac:dyDescent="0.25">
      <c r="B39" s="46" t="s">
        <v>66</v>
      </c>
      <c r="C39" s="50">
        <v>7</v>
      </c>
      <c r="D39" s="50">
        <v>2</v>
      </c>
      <c r="E39" s="50">
        <v>0</v>
      </c>
      <c r="F39" s="50">
        <v>4</v>
      </c>
      <c r="G39" s="50">
        <v>1</v>
      </c>
      <c r="H39" s="50">
        <v>0</v>
      </c>
      <c r="I39" s="50">
        <v>2</v>
      </c>
      <c r="J39" s="50">
        <v>2</v>
      </c>
      <c r="K39" s="50">
        <v>2</v>
      </c>
      <c r="L39" s="50">
        <v>0</v>
      </c>
      <c r="M39" s="50">
        <v>9</v>
      </c>
      <c r="N39" s="50">
        <v>0</v>
      </c>
      <c r="O39" s="15">
        <f t="shared" si="0"/>
        <v>20</v>
      </c>
      <c r="P39" s="15">
        <f t="shared" si="1"/>
        <v>29</v>
      </c>
      <c r="R39" s="29" t="s">
        <v>87</v>
      </c>
      <c r="S39" s="16">
        <f t="shared" ref="S39:AF39" si="31">SUM(S19:S21)</f>
        <v>133</v>
      </c>
      <c r="T39" s="16">
        <f t="shared" si="31"/>
        <v>65</v>
      </c>
      <c r="U39" s="16">
        <f t="shared" si="31"/>
        <v>18</v>
      </c>
      <c r="V39" s="16">
        <f t="shared" si="31"/>
        <v>57</v>
      </c>
      <c r="W39" s="16">
        <f t="shared" si="31"/>
        <v>5</v>
      </c>
      <c r="X39" s="16">
        <f t="shared" si="31"/>
        <v>20</v>
      </c>
      <c r="Y39" s="16">
        <f t="shared" si="31"/>
        <v>20</v>
      </c>
      <c r="Z39" s="16">
        <f t="shared" si="31"/>
        <v>63</v>
      </c>
      <c r="AA39" s="16">
        <f t="shared" si="31"/>
        <v>23</v>
      </c>
      <c r="AB39" s="16">
        <f t="shared" si="31"/>
        <v>4</v>
      </c>
      <c r="AC39" s="16">
        <f t="shared" si="31"/>
        <v>127</v>
      </c>
      <c r="AD39" s="16">
        <f t="shared" si="31"/>
        <v>0</v>
      </c>
      <c r="AE39" s="32">
        <f t="shared" si="31"/>
        <v>408</v>
      </c>
      <c r="AF39" s="32">
        <f t="shared" si="31"/>
        <v>535</v>
      </c>
    </row>
    <row r="40" spans="2:32" ht="23.1" customHeight="1" x14ac:dyDescent="0.25">
      <c r="B40" s="46" t="s">
        <v>67</v>
      </c>
      <c r="C40" s="50">
        <v>5</v>
      </c>
      <c r="D40" s="50">
        <v>4</v>
      </c>
      <c r="E40" s="50">
        <v>2</v>
      </c>
      <c r="F40" s="50">
        <v>2</v>
      </c>
      <c r="G40" s="50">
        <v>0</v>
      </c>
      <c r="H40" s="50">
        <v>3</v>
      </c>
      <c r="I40" s="50">
        <v>0</v>
      </c>
      <c r="J40" s="50">
        <v>3</v>
      </c>
      <c r="K40" s="50">
        <v>0</v>
      </c>
      <c r="L40" s="50">
        <v>1</v>
      </c>
      <c r="M40" s="50">
        <v>15</v>
      </c>
      <c r="N40" s="50">
        <v>0</v>
      </c>
      <c r="O40" s="15">
        <f t="shared" si="0"/>
        <v>20</v>
      </c>
      <c r="P40" s="15">
        <f t="shared" si="1"/>
        <v>35</v>
      </c>
      <c r="R40" s="5" t="s">
        <v>17</v>
      </c>
      <c r="S40" s="16">
        <f t="shared" ref="S40:AF40" si="32">SUM(S10:S21)</f>
        <v>438</v>
      </c>
      <c r="T40" s="16">
        <f t="shared" si="32"/>
        <v>205</v>
      </c>
      <c r="U40" s="16">
        <f t="shared" si="32"/>
        <v>66</v>
      </c>
      <c r="V40" s="16">
        <f t="shared" si="32"/>
        <v>205</v>
      </c>
      <c r="W40" s="16">
        <f t="shared" si="32"/>
        <v>16</v>
      </c>
      <c r="X40" s="16">
        <f t="shared" si="32"/>
        <v>55</v>
      </c>
      <c r="Y40" s="16">
        <f t="shared" si="32"/>
        <v>50</v>
      </c>
      <c r="Z40" s="16">
        <f t="shared" si="32"/>
        <v>129</v>
      </c>
      <c r="AA40" s="16">
        <f t="shared" si="32"/>
        <v>90</v>
      </c>
      <c r="AB40" s="16">
        <f t="shared" si="32"/>
        <v>11</v>
      </c>
      <c r="AC40" s="16">
        <f t="shared" si="32"/>
        <v>513</v>
      </c>
      <c r="AD40" s="16">
        <f t="shared" si="32"/>
        <v>0</v>
      </c>
      <c r="AE40" s="32">
        <f t="shared" si="32"/>
        <v>1265</v>
      </c>
      <c r="AF40" s="32">
        <f t="shared" si="32"/>
        <v>1778</v>
      </c>
    </row>
    <row r="41" spans="2:32" ht="23.1" customHeight="1" x14ac:dyDescent="0.25">
      <c r="B41" s="45" t="s">
        <v>68</v>
      </c>
      <c r="C41" s="50">
        <v>9</v>
      </c>
      <c r="D41" s="50">
        <v>5</v>
      </c>
      <c r="E41" s="50">
        <v>0</v>
      </c>
      <c r="F41" s="50">
        <v>4</v>
      </c>
      <c r="G41" s="50">
        <v>0</v>
      </c>
      <c r="H41" s="50">
        <v>1</v>
      </c>
      <c r="I41" s="50">
        <v>0</v>
      </c>
      <c r="J41" s="50">
        <v>4</v>
      </c>
      <c r="K41" s="50">
        <v>0</v>
      </c>
      <c r="L41" s="50">
        <v>0</v>
      </c>
      <c r="M41" s="50">
        <v>11</v>
      </c>
      <c r="N41" s="50">
        <v>0</v>
      </c>
      <c r="O41" s="15">
        <f t="shared" si="0"/>
        <v>23</v>
      </c>
      <c r="P41" s="15">
        <f t="shared" si="1"/>
        <v>34</v>
      </c>
      <c r="R41" s="5" t="s">
        <v>159</v>
      </c>
      <c r="S41" s="16">
        <f>SUM(S10:S33)</f>
        <v>648</v>
      </c>
      <c r="T41" s="16">
        <f t="shared" ref="T41:AF41" si="33">SUM(T10:T33)</f>
        <v>248</v>
      </c>
      <c r="U41" s="16">
        <f t="shared" si="33"/>
        <v>105</v>
      </c>
      <c r="V41" s="16">
        <f t="shared" si="33"/>
        <v>277</v>
      </c>
      <c r="W41" s="16">
        <f t="shared" si="33"/>
        <v>22</v>
      </c>
      <c r="X41" s="16">
        <f t="shared" si="33"/>
        <v>120</v>
      </c>
      <c r="Y41" s="16">
        <f t="shared" si="33"/>
        <v>177</v>
      </c>
      <c r="Z41" s="16">
        <f t="shared" si="33"/>
        <v>189</v>
      </c>
      <c r="AA41" s="16">
        <f t="shared" si="33"/>
        <v>229</v>
      </c>
      <c r="AB41" s="16">
        <f t="shared" si="33"/>
        <v>17</v>
      </c>
      <c r="AC41" s="16">
        <f t="shared" si="33"/>
        <v>582</v>
      </c>
      <c r="AD41" s="16">
        <f t="shared" si="33"/>
        <v>0</v>
      </c>
      <c r="AE41" s="32">
        <f t="shared" si="33"/>
        <v>2032</v>
      </c>
      <c r="AF41" s="32">
        <f t="shared" si="33"/>
        <v>2614</v>
      </c>
    </row>
    <row r="42" spans="2:32" ht="23.1" customHeight="1" x14ac:dyDescent="0.25">
      <c r="B42" s="46" t="s">
        <v>69</v>
      </c>
      <c r="C42" s="50">
        <v>8</v>
      </c>
      <c r="D42" s="50">
        <v>5</v>
      </c>
      <c r="E42" s="50">
        <v>0</v>
      </c>
      <c r="F42" s="50">
        <v>6</v>
      </c>
      <c r="G42" s="50">
        <v>0</v>
      </c>
      <c r="H42" s="50">
        <v>1</v>
      </c>
      <c r="I42" s="50">
        <v>3</v>
      </c>
      <c r="J42" s="50">
        <v>5</v>
      </c>
      <c r="K42" s="50">
        <v>0</v>
      </c>
      <c r="L42" s="50">
        <v>0</v>
      </c>
      <c r="M42" s="50">
        <v>15</v>
      </c>
      <c r="N42" s="50">
        <v>0</v>
      </c>
      <c r="O42" s="15">
        <f t="shared" si="0"/>
        <v>28</v>
      </c>
      <c r="P42" s="15">
        <f t="shared" si="1"/>
        <v>43</v>
      </c>
      <c r="R42" s="5" t="s">
        <v>160</v>
      </c>
      <c r="S42" s="48">
        <f>S41/S40</f>
        <v>1.4794520547945205</v>
      </c>
      <c r="T42" s="48">
        <f t="shared" ref="T42:AF42" si="34">T41/T40</f>
        <v>1.2097560975609756</v>
      </c>
      <c r="U42" s="48">
        <f t="shared" si="34"/>
        <v>1.5909090909090908</v>
      </c>
      <c r="V42" s="48">
        <f t="shared" si="34"/>
        <v>1.351219512195122</v>
      </c>
      <c r="W42" s="48">
        <f t="shared" si="34"/>
        <v>1.375</v>
      </c>
      <c r="X42" s="48">
        <f t="shared" si="34"/>
        <v>2.1818181818181817</v>
      </c>
      <c r="Y42" s="48">
        <f t="shared" si="34"/>
        <v>3.54</v>
      </c>
      <c r="Z42" s="48">
        <f t="shared" si="34"/>
        <v>1.4651162790697674</v>
      </c>
      <c r="AA42" s="48">
        <f t="shared" si="34"/>
        <v>2.5444444444444443</v>
      </c>
      <c r="AB42" s="48">
        <f t="shared" si="34"/>
        <v>1.5454545454545454</v>
      </c>
      <c r="AC42" s="48">
        <f t="shared" si="34"/>
        <v>1.1345029239766082</v>
      </c>
      <c r="AD42" s="48" t="e">
        <f t="shared" si="34"/>
        <v>#DIV/0!</v>
      </c>
      <c r="AE42" s="48">
        <f t="shared" si="34"/>
        <v>1.6063241106719368</v>
      </c>
      <c r="AF42" s="48">
        <f t="shared" si="34"/>
        <v>1.4701912260967378</v>
      </c>
    </row>
    <row r="43" spans="2:32" ht="23.1" customHeight="1" x14ac:dyDescent="0.25">
      <c r="B43" s="45" t="s">
        <v>70</v>
      </c>
      <c r="C43" s="50">
        <v>12</v>
      </c>
      <c r="D43" s="50">
        <v>5</v>
      </c>
      <c r="E43" s="50">
        <v>2</v>
      </c>
      <c r="F43" s="50">
        <v>3</v>
      </c>
      <c r="G43" s="50">
        <v>0</v>
      </c>
      <c r="H43" s="50">
        <v>2</v>
      </c>
      <c r="I43" s="50">
        <v>1</v>
      </c>
      <c r="J43" s="50">
        <v>4</v>
      </c>
      <c r="K43" s="50">
        <v>0</v>
      </c>
      <c r="L43" s="50">
        <v>0</v>
      </c>
      <c r="M43" s="50">
        <v>10</v>
      </c>
      <c r="N43" s="50">
        <v>0</v>
      </c>
      <c r="O43" s="15">
        <f t="shared" si="0"/>
        <v>29</v>
      </c>
      <c r="P43" s="15">
        <f t="shared" si="1"/>
        <v>39</v>
      </c>
    </row>
    <row r="44" spans="2:32" ht="23.1" customHeight="1" x14ac:dyDescent="0.25">
      <c r="B44" s="47" t="s">
        <v>71</v>
      </c>
      <c r="C44" s="50">
        <v>12</v>
      </c>
      <c r="D44" s="50">
        <v>6</v>
      </c>
      <c r="E44" s="50">
        <v>1</v>
      </c>
      <c r="F44" s="50">
        <v>6</v>
      </c>
      <c r="G44" s="50">
        <v>0</v>
      </c>
      <c r="H44" s="50">
        <v>2</v>
      </c>
      <c r="I44" s="50">
        <v>0</v>
      </c>
      <c r="J44" s="50">
        <v>6</v>
      </c>
      <c r="K44" s="50">
        <v>0</v>
      </c>
      <c r="L44" s="50">
        <v>0</v>
      </c>
      <c r="M44" s="50">
        <v>15</v>
      </c>
      <c r="N44" s="50">
        <v>0</v>
      </c>
      <c r="O44" s="15">
        <f t="shared" si="0"/>
        <v>33</v>
      </c>
      <c r="P44" s="15">
        <f t="shared" si="1"/>
        <v>48</v>
      </c>
    </row>
    <row r="45" spans="2:32" ht="23.1" customHeight="1" x14ac:dyDescent="0.25">
      <c r="B45" s="45" t="s">
        <v>72</v>
      </c>
      <c r="C45" s="50">
        <v>13</v>
      </c>
      <c r="D45" s="50">
        <v>5</v>
      </c>
      <c r="E45" s="50">
        <v>1</v>
      </c>
      <c r="F45" s="50">
        <v>6</v>
      </c>
      <c r="G45" s="50">
        <v>0</v>
      </c>
      <c r="H45" s="50">
        <v>3</v>
      </c>
      <c r="I45" s="50">
        <v>1</v>
      </c>
      <c r="J45" s="50">
        <v>5</v>
      </c>
      <c r="K45" s="50">
        <v>0</v>
      </c>
      <c r="L45" s="50">
        <v>0</v>
      </c>
      <c r="M45" s="50">
        <v>9</v>
      </c>
      <c r="N45" s="50">
        <v>0</v>
      </c>
      <c r="O45" s="15">
        <f t="shared" si="0"/>
        <v>34</v>
      </c>
      <c r="P45" s="15">
        <f t="shared" si="1"/>
        <v>43</v>
      </c>
    </row>
    <row r="46" spans="2:32" ht="23.1" customHeight="1" x14ac:dyDescent="0.25">
      <c r="B46" s="46" t="s">
        <v>73</v>
      </c>
      <c r="C46" s="50">
        <v>12</v>
      </c>
      <c r="D46" s="50">
        <v>6</v>
      </c>
      <c r="E46" s="50">
        <v>0</v>
      </c>
      <c r="F46" s="50">
        <v>4</v>
      </c>
      <c r="G46" s="50">
        <v>1</v>
      </c>
      <c r="H46" s="50">
        <v>2</v>
      </c>
      <c r="I46" s="50">
        <v>1</v>
      </c>
      <c r="J46" s="50">
        <v>6</v>
      </c>
      <c r="K46" s="50">
        <v>0</v>
      </c>
      <c r="L46" s="50">
        <v>0</v>
      </c>
      <c r="M46" s="50">
        <v>11</v>
      </c>
      <c r="N46" s="50">
        <v>0</v>
      </c>
      <c r="O46" s="15">
        <f t="shared" si="0"/>
        <v>32</v>
      </c>
      <c r="P46" s="15">
        <f t="shared" si="1"/>
        <v>43</v>
      </c>
      <c r="R46" s="8"/>
      <c r="T46"/>
    </row>
    <row r="47" spans="2:32" ht="23.1" customHeight="1" x14ac:dyDescent="0.25">
      <c r="B47" s="46" t="s">
        <v>74</v>
      </c>
      <c r="C47" s="50">
        <v>11</v>
      </c>
      <c r="D47" s="50">
        <v>15</v>
      </c>
      <c r="E47" s="50">
        <v>0</v>
      </c>
      <c r="F47" s="50">
        <v>7</v>
      </c>
      <c r="G47" s="50">
        <v>1</v>
      </c>
      <c r="H47" s="50">
        <v>4</v>
      </c>
      <c r="I47" s="50">
        <v>2</v>
      </c>
      <c r="J47" s="50">
        <v>5</v>
      </c>
      <c r="K47" s="50">
        <v>0</v>
      </c>
      <c r="L47" s="50">
        <v>0</v>
      </c>
      <c r="M47" s="50">
        <v>13</v>
      </c>
      <c r="N47" s="50">
        <v>0</v>
      </c>
      <c r="O47" s="15">
        <f t="shared" si="0"/>
        <v>45</v>
      </c>
      <c r="P47" s="15">
        <f t="shared" si="1"/>
        <v>58</v>
      </c>
      <c r="R47" s="8"/>
      <c r="T47"/>
    </row>
    <row r="48" spans="2:32" ht="23.1" customHeight="1" x14ac:dyDescent="0.25">
      <c r="B48" s="46" t="s">
        <v>75</v>
      </c>
      <c r="C48" s="50">
        <v>11</v>
      </c>
      <c r="D48" s="50">
        <v>5</v>
      </c>
      <c r="E48" s="50">
        <v>2</v>
      </c>
      <c r="F48" s="50">
        <v>5</v>
      </c>
      <c r="G48" s="50">
        <v>0</v>
      </c>
      <c r="H48" s="50">
        <v>0</v>
      </c>
      <c r="I48" s="50">
        <v>1</v>
      </c>
      <c r="J48" s="50">
        <v>7</v>
      </c>
      <c r="K48" s="50">
        <v>0</v>
      </c>
      <c r="L48" s="50">
        <v>0</v>
      </c>
      <c r="M48" s="50">
        <v>12</v>
      </c>
      <c r="N48" s="50">
        <v>0</v>
      </c>
      <c r="O48" s="15">
        <f t="shared" si="0"/>
        <v>31</v>
      </c>
      <c r="P48" s="15">
        <f t="shared" si="1"/>
        <v>43</v>
      </c>
      <c r="R48" s="8"/>
      <c r="T48"/>
    </row>
    <row r="49" spans="2:20" ht="23.1" customHeight="1" x14ac:dyDescent="0.25">
      <c r="B49" s="45" t="s">
        <v>76</v>
      </c>
      <c r="C49" s="50">
        <v>8</v>
      </c>
      <c r="D49" s="50">
        <v>3</v>
      </c>
      <c r="E49" s="50">
        <v>3</v>
      </c>
      <c r="F49" s="50">
        <v>3</v>
      </c>
      <c r="G49" s="50">
        <v>1</v>
      </c>
      <c r="H49" s="50">
        <v>1</v>
      </c>
      <c r="I49" s="50">
        <v>3</v>
      </c>
      <c r="J49" s="50">
        <v>6</v>
      </c>
      <c r="K49" s="50">
        <v>1</v>
      </c>
      <c r="L49" s="50">
        <v>0</v>
      </c>
      <c r="M49" s="50">
        <v>12</v>
      </c>
      <c r="N49" s="50">
        <v>0</v>
      </c>
      <c r="O49" s="15">
        <f t="shared" si="0"/>
        <v>29</v>
      </c>
      <c r="P49" s="15">
        <f t="shared" si="1"/>
        <v>41</v>
      </c>
      <c r="R49" s="8"/>
      <c r="T49"/>
    </row>
    <row r="50" spans="2:20" ht="23.1" customHeight="1" x14ac:dyDescent="0.25">
      <c r="B50" s="46" t="s">
        <v>77</v>
      </c>
      <c r="C50" s="50">
        <v>11</v>
      </c>
      <c r="D50" s="50">
        <v>1</v>
      </c>
      <c r="E50" s="50">
        <v>2</v>
      </c>
      <c r="F50" s="50">
        <v>7</v>
      </c>
      <c r="G50" s="50">
        <v>1</v>
      </c>
      <c r="H50" s="50">
        <v>2</v>
      </c>
      <c r="I50" s="50">
        <v>4</v>
      </c>
      <c r="J50" s="50">
        <v>5</v>
      </c>
      <c r="K50" s="50">
        <v>3</v>
      </c>
      <c r="L50" s="50">
        <v>0</v>
      </c>
      <c r="M50" s="50">
        <v>11</v>
      </c>
      <c r="N50" s="50">
        <v>0</v>
      </c>
      <c r="O50" s="15">
        <f t="shared" si="0"/>
        <v>36</v>
      </c>
      <c r="P50" s="15">
        <f t="shared" si="1"/>
        <v>47</v>
      </c>
      <c r="R50" s="8"/>
      <c r="T50"/>
    </row>
    <row r="51" spans="2:20" ht="23.1" customHeight="1" x14ac:dyDescent="0.25">
      <c r="B51" s="46" t="s">
        <v>78</v>
      </c>
      <c r="C51" s="50">
        <v>12</v>
      </c>
      <c r="D51" s="50">
        <v>3</v>
      </c>
      <c r="E51" s="50">
        <v>1</v>
      </c>
      <c r="F51" s="50">
        <v>4</v>
      </c>
      <c r="G51" s="50">
        <v>0</v>
      </c>
      <c r="H51" s="50">
        <v>1</v>
      </c>
      <c r="I51" s="50">
        <v>3</v>
      </c>
      <c r="J51" s="50">
        <v>6</v>
      </c>
      <c r="K51" s="50">
        <v>4</v>
      </c>
      <c r="L51" s="50">
        <v>0</v>
      </c>
      <c r="M51" s="50">
        <v>8</v>
      </c>
      <c r="N51" s="50">
        <v>0</v>
      </c>
      <c r="O51" s="15">
        <f t="shared" si="0"/>
        <v>34</v>
      </c>
      <c r="P51" s="15">
        <f t="shared" si="1"/>
        <v>42</v>
      </c>
      <c r="R51" s="8"/>
      <c r="T51"/>
    </row>
    <row r="52" spans="2:20" ht="23.1" customHeight="1" x14ac:dyDescent="0.25">
      <c r="B52" s="46" t="s">
        <v>79</v>
      </c>
      <c r="C52" s="50">
        <v>14</v>
      </c>
      <c r="D52" s="50">
        <v>6</v>
      </c>
      <c r="E52" s="50">
        <v>3</v>
      </c>
      <c r="F52" s="50">
        <v>5</v>
      </c>
      <c r="G52" s="50">
        <v>0</v>
      </c>
      <c r="H52" s="50">
        <v>0</v>
      </c>
      <c r="I52" s="50">
        <v>1</v>
      </c>
      <c r="J52" s="50">
        <v>4</v>
      </c>
      <c r="K52" s="50">
        <v>3</v>
      </c>
      <c r="L52" s="50">
        <v>2</v>
      </c>
      <c r="M52" s="50">
        <v>11</v>
      </c>
      <c r="N52" s="50">
        <v>0</v>
      </c>
      <c r="O52" s="15">
        <f t="shared" si="0"/>
        <v>38</v>
      </c>
      <c r="P52" s="15">
        <f t="shared" si="1"/>
        <v>49</v>
      </c>
      <c r="R52" s="8"/>
      <c r="T52"/>
    </row>
    <row r="53" spans="2:20" ht="23.1" customHeight="1" x14ac:dyDescent="0.25">
      <c r="B53" s="45" t="s">
        <v>80</v>
      </c>
      <c r="C53" s="50">
        <v>21</v>
      </c>
      <c r="D53" s="50">
        <v>6</v>
      </c>
      <c r="E53" s="50">
        <v>3</v>
      </c>
      <c r="F53" s="50">
        <v>4</v>
      </c>
      <c r="G53" s="50">
        <v>1</v>
      </c>
      <c r="H53" s="50">
        <v>5</v>
      </c>
      <c r="I53" s="50">
        <v>2</v>
      </c>
      <c r="J53" s="50">
        <v>7</v>
      </c>
      <c r="K53" s="50">
        <v>1</v>
      </c>
      <c r="L53" s="50">
        <v>1</v>
      </c>
      <c r="M53" s="50">
        <v>15</v>
      </c>
      <c r="N53" s="50">
        <v>0</v>
      </c>
      <c r="O53" s="15">
        <f t="shared" si="0"/>
        <v>51</v>
      </c>
      <c r="P53" s="15">
        <f t="shared" si="1"/>
        <v>66</v>
      </c>
      <c r="R53" s="8"/>
      <c r="T53"/>
    </row>
    <row r="54" spans="2:20" ht="23.1" customHeight="1" x14ac:dyDescent="0.25">
      <c r="B54" s="45" t="s">
        <v>81</v>
      </c>
      <c r="C54" s="50">
        <v>15</v>
      </c>
      <c r="D54" s="50">
        <v>4</v>
      </c>
      <c r="E54" s="50">
        <v>1</v>
      </c>
      <c r="F54" s="50">
        <v>5</v>
      </c>
      <c r="G54" s="50">
        <v>0</v>
      </c>
      <c r="H54" s="50">
        <v>1</v>
      </c>
      <c r="I54" s="50">
        <v>0</v>
      </c>
      <c r="J54" s="50">
        <v>3</v>
      </c>
      <c r="K54" s="50">
        <v>3</v>
      </c>
      <c r="L54" s="50">
        <v>0</v>
      </c>
      <c r="M54" s="50">
        <v>6</v>
      </c>
      <c r="N54" s="50">
        <v>0</v>
      </c>
      <c r="O54" s="15">
        <f t="shared" si="0"/>
        <v>32</v>
      </c>
      <c r="P54" s="15">
        <f t="shared" si="1"/>
        <v>38</v>
      </c>
      <c r="R54" s="8"/>
      <c r="T54"/>
    </row>
    <row r="55" spans="2:20" ht="23.1" customHeight="1" x14ac:dyDescent="0.25">
      <c r="B55" s="45" t="s">
        <v>82</v>
      </c>
      <c r="C55" s="50">
        <v>4</v>
      </c>
      <c r="D55" s="50">
        <v>1</v>
      </c>
      <c r="E55" s="50">
        <v>1</v>
      </c>
      <c r="F55" s="50">
        <v>1</v>
      </c>
      <c r="G55" s="50">
        <v>0</v>
      </c>
      <c r="H55" s="50">
        <v>0</v>
      </c>
      <c r="I55" s="50">
        <v>0</v>
      </c>
      <c r="J55" s="50">
        <v>3</v>
      </c>
      <c r="K55" s="50">
        <v>0</v>
      </c>
      <c r="L55" s="50">
        <v>0</v>
      </c>
      <c r="M55" s="50">
        <v>5</v>
      </c>
      <c r="N55" s="50">
        <v>0</v>
      </c>
      <c r="O55" s="15">
        <f t="shared" si="0"/>
        <v>10</v>
      </c>
      <c r="P55" s="15">
        <f t="shared" si="1"/>
        <v>15</v>
      </c>
      <c r="R55" s="8"/>
      <c r="T55"/>
    </row>
    <row r="56" spans="2:20" ht="23.1" customHeight="1" x14ac:dyDescent="0.25">
      <c r="B56" s="45" t="s">
        <v>83</v>
      </c>
      <c r="C56" s="50">
        <v>6</v>
      </c>
      <c r="D56" s="50">
        <v>5</v>
      </c>
      <c r="E56" s="50">
        <v>0</v>
      </c>
      <c r="F56" s="50">
        <v>7</v>
      </c>
      <c r="G56" s="50">
        <v>0</v>
      </c>
      <c r="H56" s="50">
        <v>3</v>
      </c>
      <c r="I56" s="50">
        <v>3</v>
      </c>
      <c r="J56" s="50">
        <v>6</v>
      </c>
      <c r="K56" s="50">
        <v>1</v>
      </c>
      <c r="L56" s="50">
        <v>0</v>
      </c>
      <c r="M56" s="50">
        <v>11</v>
      </c>
      <c r="N56" s="50">
        <v>0</v>
      </c>
      <c r="O56" s="15">
        <f t="shared" si="0"/>
        <v>31</v>
      </c>
      <c r="P56" s="15">
        <f t="shared" si="1"/>
        <v>42</v>
      </c>
      <c r="R56" s="8"/>
      <c r="T56"/>
    </row>
    <row r="57" spans="2:20" ht="23.1" customHeight="1" x14ac:dyDescent="0.25">
      <c r="B57" s="45" t="s">
        <v>84</v>
      </c>
      <c r="C57" s="50">
        <v>8</v>
      </c>
      <c r="D57" s="50">
        <v>10</v>
      </c>
      <c r="E57" s="50">
        <v>2</v>
      </c>
      <c r="F57" s="50">
        <v>5</v>
      </c>
      <c r="G57" s="50">
        <v>0</v>
      </c>
      <c r="H57" s="50">
        <v>1</v>
      </c>
      <c r="I57" s="50">
        <v>0</v>
      </c>
      <c r="J57" s="50">
        <v>5</v>
      </c>
      <c r="K57" s="50">
        <v>7</v>
      </c>
      <c r="L57" s="50">
        <v>1</v>
      </c>
      <c r="M57" s="50">
        <v>12</v>
      </c>
      <c r="N57" s="50">
        <v>0</v>
      </c>
      <c r="O57" s="15">
        <f t="shared" si="0"/>
        <v>39</v>
      </c>
      <c r="P57" s="15">
        <f t="shared" si="1"/>
        <v>51</v>
      </c>
      <c r="R57" s="8"/>
      <c r="T57"/>
    </row>
    <row r="58" spans="2:20" ht="23.1" customHeight="1" x14ac:dyDescent="0.25">
      <c r="B58" s="45" t="s">
        <v>99</v>
      </c>
      <c r="C58" s="50">
        <v>9</v>
      </c>
      <c r="D58" s="50">
        <v>4</v>
      </c>
      <c r="E58" s="50">
        <v>0</v>
      </c>
      <c r="F58" s="50">
        <v>4</v>
      </c>
      <c r="G58" s="50">
        <v>0</v>
      </c>
      <c r="H58" s="50">
        <v>0</v>
      </c>
      <c r="I58" s="50">
        <v>1</v>
      </c>
      <c r="J58" s="50">
        <v>5</v>
      </c>
      <c r="K58" s="50">
        <v>0</v>
      </c>
      <c r="L58" s="50">
        <v>1</v>
      </c>
      <c r="M58" s="50">
        <v>3</v>
      </c>
      <c r="N58" s="50">
        <v>0</v>
      </c>
      <c r="O58" s="15">
        <f t="shared" si="0"/>
        <v>24</v>
      </c>
      <c r="P58" s="15">
        <f t="shared" si="1"/>
        <v>27</v>
      </c>
      <c r="R58" s="8"/>
      <c r="T58"/>
    </row>
    <row r="59" spans="2:20" ht="23.1" customHeight="1" x14ac:dyDescent="0.25">
      <c r="B59" s="45" t="s">
        <v>100</v>
      </c>
      <c r="C59" s="50">
        <v>8</v>
      </c>
      <c r="D59" s="50">
        <v>4</v>
      </c>
      <c r="E59" s="50">
        <v>2</v>
      </c>
      <c r="F59" s="50">
        <v>3</v>
      </c>
      <c r="G59" s="50">
        <v>0</v>
      </c>
      <c r="H59" s="50">
        <v>2</v>
      </c>
      <c r="I59" s="50">
        <v>2</v>
      </c>
      <c r="J59" s="50">
        <v>1</v>
      </c>
      <c r="K59" s="50">
        <v>1</v>
      </c>
      <c r="L59" s="50">
        <v>0</v>
      </c>
      <c r="M59" s="50">
        <v>8</v>
      </c>
      <c r="N59" s="50">
        <v>0</v>
      </c>
      <c r="O59" s="15">
        <f t="shared" si="0"/>
        <v>23</v>
      </c>
      <c r="P59" s="15">
        <f t="shared" si="1"/>
        <v>31</v>
      </c>
      <c r="R59" s="8"/>
      <c r="T59"/>
    </row>
    <row r="60" spans="2:20" ht="23.1" customHeight="1" x14ac:dyDescent="0.25">
      <c r="B60" s="45" t="s">
        <v>101</v>
      </c>
      <c r="C60" s="50">
        <v>10</v>
      </c>
      <c r="D60" s="50">
        <v>3</v>
      </c>
      <c r="E60" s="50">
        <v>1</v>
      </c>
      <c r="F60" s="50">
        <v>5</v>
      </c>
      <c r="G60" s="50">
        <v>1</v>
      </c>
      <c r="H60" s="50">
        <v>2</v>
      </c>
      <c r="I60" s="50">
        <v>2</v>
      </c>
      <c r="J60" s="50">
        <v>1</v>
      </c>
      <c r="K60" s="50">
        <v>1</v>
      </c>
      <c r="L60" s="50">
        <v>0</v>
      </c>
      <c r="M60" s="50">
        <v>7</v>
      </c>
      <c r="N60" s="50">
        <v>0</v>
      </c>
      <c r="O60" s="15">
        <f t="shared" si="0"/>
        <v>26</v>
      </c>
      <c r="P60" s="15">
        <f t="shared" si="1"/>
        <v>33</v>
      </c>
      <c r="R60" s="8"/>
      <c r="T60"/>
    </row>
    <row r="61" spans="2:20" ht="23.1" customHeight="1" x14ac:dyDescent="0.25">
      <c r="B61" s="45" t="s">
        <v>102</v>
      </c>
      <c r="C61" s="50">
        <v>7</v>
      </c>
      <c r="D61" s="50">
        <v>2</v>
      </c>
      <c r="E61" s="50">
        <v>1</v>
      </c>
      <c r="F61" s="50">
        <v>3</v>
      </c>
      <c r="G61" s="50">
        <v>0</v>
      </c>
      <c r="H61" s="50">
        <v>0</v>
      </c>
      <c r="I61" s="50">
        <v>3</v>
      </c>
      <c r="J61" s="50">
        <v>1</v>
      </c>
      <c r="K61" s="50">
        <v>3</v>
      </c>
      <c r="L61" s="50">
        <v>0</v>
      </c>
      <c r="M61" s="50">
        <v>4</v>
      </c>
      <c r="N61" s="50">
        <v>0</v>
      </c>
      <c r="O61" s="15">
        <f t="shared" si="0"/>
        <v>20</v>
      </c>
      <c r="P61" s="15">
        <f t="shared" si="1"/>
        <v>24</v>
      </c>
      <c r="R61" s="8"/>
      <c r="T61"/>
    </row>
    <row r="62" spans="2:20" ht="23.1" customHeight="1" x14ac:dyDescent="0.25">
      <c r="B62" s="45" t="s">
        <v>107</v>
      </c>
      <c r="C62" s="50">
        <v>6</v>
      </c>
      <c r="D62" s="50">
        <v>1</v>
      </c>
      <c r="E62" s="50">
        <v>0</v>
      </c>
      <c r="F62" s="50">
        <v>2</v>
      </c>
      <c r="G62" s="50">
        <v>0</v>
      </c>
      <c r="H62" s="50">
        <v>1</v>
      </c>
      <c r="I62" s="50">
        <v>5</v>
      </c>
      <c r="J62" s="50">
        <v>0</v>
      </c>
      <c r="K62" s="50">
        <v>0</v>
      </c>
      <c r="L62" s="50">
        <v>0</v>
      </c>
      <c r="M62" s="50">
        <v>3</v>
      </c>
      <c r="N62" s="50">
        <v>0</v>
      </c>
      <c r="O62" s="15">
        <f t="shared" si="0"/>
        <v>15</v>
      </c>
      <c r="P62" s="15">
        <f t="shared" si="1"/>
        <v>18</v>
      </c>
      <c r="R62" s="8"/>
      <c r="T62"/>
    </row>
    <row r="63" spans="2:20" ht="23.1" customHeight="1" x14ac:dyDescent="0.25">
      <c r="B63" s="45" t="s">
        <v>108</v>
      </c>
      <c r="C63" s="50">
        <v>11</v>
      </c>
      <c r="D63" s="50">
        <v>0</v>
      </c>
      <c r="E63" s="50">
        <v>1</v>
      </c>
      <c r="F63" s="50">
        <v>1</v>
      </c>
      <c r="G63" s="50">
        <v>0</v>
      </c>
      <c r="H63" s="50">
        <v>0</v>
      </c>
      <c r="I63" s="50">
        <v>6</v>
      </c>
      <c r="J63" s="50">
        <v>0</v>
      </c>
      <c r="K63" s="50">
        <v>0</v>
      </c>
      <c r="L63" s="50">
        <v>0</v>
      </c>
      <c r="M63" s="50">
        <v>3</v>
      </c>
      <c r="N63" s="50">
        <v>0</v>
      </c>
      <c r="O63" s="15">
        <f t="shared" si="0"/>
        <v>19</v>
      </c>
      <c r="P63" s="15">
        <f t="shared" si="1"/>
        <v>22</v>
      </c>
      <c r="R63" s="8"/>
      <c r="T63"/>
    </row>
    <row r="64" spans="2:20" ht="23.1" customHeight="1" x14ac:dyDescent="0.25">
      <c r="B64" s="45" t="s">
        <v>109</v>
      </c>
      <c r="C64" s="50">
        <v>11</v>
      </c>
      <c r="D64" s="50">
        <v>2</v>
      </c>
      <c r="E64" s="50">
        <v>2</v>
      </c>
      <c r="F64" s="50">
        <v>3</v>
      </c>
      <c r="G64" s="50">
        <v>0</v>
      </c>
      <c r="H64" s="50">
        <v>2</v>
      </c>
      <c r="I64" s="50">
        <v>6</v>
      </c>
      <c r="J64" s="50">
        <v>0</v>
      </c>
      <c r="K64" s="50">
        <v>5</v>
      </c>
      <c r="L64" s="50">
        <v>1</v>
      </c>
      <c r="M64" s="50">
        <v>4</v>
      </c>
      <c r="N64" s="50">
        <v>0</v>
      </c>
      <c r="O64" s="15">
        <f t="shared" si="0"/>
        <v>32</v>
      </c>
      <c r="P64" s="15">
        <f t="shared" si="1"/>
        <v>36</v>
      </c>
      <c r="R64" s="8"/>
      <c r="T64"/>
    </row>
    <row r="65" spans="2:20" ht="23.1" customHeight="1" x14ac:dyDescent="0.25">
      <c r="B65" s="45" t="s">
        <v>158</v>
      </c>
      <c r="C65" s="50">
        <v>9</v>
      </c>
      <c r="D65" s="50">
        <v>1</v>
      </c>
      <c r="E65" s="50">
        <v>1</v>
      </c>
      <c r="F65" s="50">
        <v>2</v>
      </c>
      <c r="G65" s="50">
        <v>0</v>
      </c>
      <c r="H65" s="50">
        <v>2</v>
      </c>
      <c r="I65" s="50">
        <v>2</v>
      </c>
      <c r="J65" s="50">
        <v>0</v>
      </c>
      <c r="K65" s="50">
        <v>5</v>
      </c>
      <c r="L65" s="50">
        <v>0</v>
      </c>
      <c r="M65" s="50">
        <v>4</v>
      </c>
      <c r="N65" s="50">
        <v>0</v>
      </c>
      <c r="O65" s="15">
        <f t="shared" si="0"/>
        <v>22</v>
      </c>
      <c r="P65" s="15">
        <f t="shared" si="1"/>
        <v>26</v>
      </c>
      <c r="R65" s="8"/>
      <c r="T65"/>
    </row>
    <row r="66" spans="2:20" ht="23.1" customHeight="1" x14ac:dyDescent="0.25">
      <c r="B66" s="45" t="s">
        <v>103</v>
      </c>
      <c r="C66" s="50">
        <v>11</v>
      </c>
      <c r="D66" s="50">
        <v>0</v>
      </c>
      <c r="E66" s="50">
        <v>2</v>
      </c>
      <c r="F66" s="50">
        <v>3</v>
      </c>
      <c r="G66" s="50">
        <v>0</v>
      </c>
      <c r="H66" s="50">
        <v>0</v>
      </c>
      <c r="I66" s="50">
        <v>4</v>
      </c>
      <c r="J66" s="50">
        <v>0</v>
      </c>
      <c r="K66" s="50">
        <v>5</v>
      </c>
      <c r="L66" s="50">
        <v>0</v>
      </c>
      <c r="M66" s="50">
        <v>4</v>
      </c>
      <c r="N66" s="50">
        <v>0</v>
      </c>
      <c r="O66" s="15">
        <f t="shared" si="0"/>
        <v>25</v>
      </c>
      <c r="P66" s="15">
        <f t="shared" si="1"/>
        <v>29</v>
      </c>
      <c r="R66" s="8"/>
      <c r="T66"/>
    </row>
    <row r="67" spans="2:20" ht="23.1" customHeight="1" x14ac:dyDescent="0.25">
      <c r="B67" s="45" t="s">
        <v>104</v>
      </c>
      <c r="C67" s="50">
        <v>9</v>
      </c>
      <c r="D67" s="50">
        <v>1</v>
      </c>
      <c r="E67" s="50">
        <v>2</v>
      </c>
      <c r="F67" s="50">
        <v>3</v>
      </c>
      <c r="G67" s="50">
        <v>1</v>
      </c>
      <c r="H67" s="50">
        <v>2</v>
      </c>
      <c r="I67" s="50">
        <v>2</v>
      </c>
      <c r="J67" s="50">
        <v>0</v>
      </c>
      <c r="K67" s="50">
        <v>6</v>
      </c>
      <c r="L67" s="50">
        <v>0</v>
      </c>
      <c r="M67" s="50">
        <v>1</v>
      </c>
      <c r="N67" s="50">
        <v>0</v>
      </c>
      <c r="O67" s="15">
        <f t="shared" si="0"/>
        <v>26</v>
      </c>
      <c r="P67" s="15">
        <f t="shared" si="1"/>
        <v>27</v>
      </c>
      <c r="R67" s="8"/>
      <c r="T67"/>
    </row>
    <row r="68" spans="2:20" ht="23.1" customHeight="1" x14ac:dyDescent="0.25">
      <c r="B68" s="45" t="s">
        <v>105</v>
      </c>
      <c r="C68" s="50">
        <v>6</v>
      </c>
      <c r="D68" s="50">
        <v>0</v>
      </c>
      <c r="E68" s="50">
        <v>1</v>
      </c>
      <c r="F68" s="50">
        <v>2</v>
      </c>
      <c r="G68" s="50">
        <v>0</v>
      </c>
      <c r="H68" s="50">
        <v>1</v>
      </c>
      <c r="I68" s="50">
        <v>5</v>
      </c>
      <c r="J68" s="50">
        <v>0</v>
      </c>
      <c r="K68" s="50">
        <v>2</v>
      </c>
      <c r="L68" s="50">
        <v>0</v>
      </c>
      <c r="M68" s="50">
        <v>2</v>
      </c>
      <c r="N68" s="50">
        <v>0</v>
      </c>
      <c r="O68" s="15">
        <f t="shared" si="0"/>
        <v>17</v>
      </c>
      <c r="P68" s="15">
        <f t="shared" si="1"/>
        <v>19</v>
      </c>
      <c r="R68" s="8"/>
      <c r="T68"/>
    </row>
    <row r="69" spans="2:20" ht="23.1" customHeight="1" x14ac:dyDescent="0.25">
      <c r="B69" s="45" t="s">
        <v>106</v>
      </c>
      <c r="C69" s="50">
        <v>4</v>
      </c>
      <c r="D69" s="50">
        <v>1</v>
      </c>
      <c r="E69" s="50">
        <v>2</v>
      </c>
      <c r="F69" s="50">
        <v>2</v>
      </c>
      <c r="G69" s="50">
        <v>0</v>
      </c>
      <c r="H69" s="50">
        <v>0</v>
      </c>
      <c r="I69" s="50">
        <v>6</v>
      </c>
      <c r="J69" s="50">
        <v>1</v>
      </c>
      <c r="K69" s="50">
        <v>2</v>
      </c>
      <c r="L69" s="50">
        <v>0</v>
      </c>
      <c r="M69" s="50">
        <v>1</v>
      </c>
      <c r="N69" s="50">
        <v>0</v>
      </c>
      <c r="O69" s="15">
        <f t="shared" si="0"/>
        <v>18</v>
      </c>
      <c r="P69" s="15">
        <f t="shared" si="1"/>
        <v>19</v>
      </c>
      <c r="R69" s="8"/>
      <c r="T69"/>
    </row>
    <row r="70" spans="2:20" ht="23.1" customHeight="1" x14ac:dyDescent="0.25">
      <c r="B70" s="45" t="s">
        <v>110</v>
      </c>
      <c r="C70" s="50">
        <v>3</v>
      </c>
      <c r="D70" s="50">
        <v>1</v>
      </c>
      <c r="E70" s="50">
        <v>1</v>
      </c>
      <c r="F70" s="50">
        <v>2</v>
      </c>
      <c r="G70" s="50">
        <v>0</v>
      </c>
      <c r="H70" s="50">
        <v>0</v>
      </c>
      <c r="I70" s="50">
        <v>7</v>
      </c>
      <c r="J70" s="50">
        <v>2</v>
      </c>
      <c r="K70" s="50">
        <v>3</v>
      </c>
      <c r="L70" s="50">
        <v>0</v>
      </c>
      <c r="M70" s="50">
        <v>1</v>
      </c>
      <c r="N70" s="50">
        <v>0</v>
      </c>
      <c r="O70" s="15">
        <f t="shared" si="0"/>
        <v>19</v>
      </c>
      <c r="P70" s="15">
        <f t="shared" si="1"/>
        <v>20</v>
      </c>
      <c r="R70" s="8"/>
      <c r="T70"/>
    </row>
    <row r="71" spans="2:20" ht="23.1" customHeight="1" x14ac:dyDescent="0.25">
      <c r="B71" s="45" t="s">
        <v>111</v>
      </c>
      <c r="C71" s="50">
        <v>2</v>
      </c>
      <c r="D71" s="50">
        <v>1</v>
      </c>
      <c r="E71" s="50">
        <v>1</v>
      </c>
      <c r="F71" s="50">
        <v>0</v>
      </c>
      <c r="G71" s="50">
        <v>0</v>
      </c>
      <c r="H71" s="50">
        <v>0</v>
      </c>
      <c r="I71" s="50">
        <v>3</v>
      </c>
      <c r="J71" s="50">
        <v>0</v>
      </c>
      <c r="K71" s="50">
        <v>1</v>
      </c>
      <c r="L71" s="50">
        <v>2</v>
      </c>
      <c r="M71" s="50">
        <v>1</v>
      </c>
      <c r="N71" s="50">
        <v>0</v>
      </c>
      <c r="O71" s="15">
        <f t="shared" si="0"/>
        <v>10</v>
      </c>
      <c r="P71" s="15">
        <f t="shared" si="1"/>
        <v>11</v>
      </c>
      <c r="R71" s="8"/>
      <c r="T71"/>
    </row>
    <row r="72" spans="2:20" ht="23.1" customHeight="1" x14ac:dyDescent="0.25">
      <c r="B72" s="45" t="s">
        <v>112</v>
      </c>
      <c r="C72" s="50">
        <v>7</v>
      </c>
      <c r="D72" s="50">
        <v>2</v>
      </c>
      <c r="E72" s="50">
        <v>1</v>
      </c>
      <c r="F72" s="50">
        <v>4</v>
      </c>
      <c r="G72" s="50">
        <v>0</v>
      </c>
      <c r="H72" s="50">
        <v>2</v>
      </c>
      <c r="I72" s="50">
        <v>9</v>
      </c>
      <c r="J72" s="50">
        <v>0</v>
      </c>
      <c r="K72" s="50">
        <v>6</v>
      </c>
      <c r="L72" s="50">
        <v>0</v>
      </c>
      <c r="M72" s="50">
        <v>0</v>
      </c>
      <c r="N72" s="50">
        <v>0</v>
      </c>
      <c r="O72" s="15">
        <f t="shared" si="0"/>
        <v>31</v>
      </c>
      <c r="P72" s="15">
        <f t="shared" si="1"/>
        <v>31</v>
      </c>
      <c r="R72" s="8"/>
      <c r="T72"/>
    </row>
    <row r="73" spans="2:20" ht="23.1" customHeight="1" x14ac:dyDescent="0.25">
      <c r="B73" s="45" t="s">
        <v>113</v>
      </c>
      <c r="C73" s="50">
        <v>7</v>
      </c>
      <c r="D73" s="50">
        <v>2</v>
      </c>
      <c r="E73" s="50">
        <v>2</v>
      </c>
      <c r="F73" s="50">
        <v>3</v>
      </c>
      <c r="G73" s="50">
        <v>0</v>
      </c>
      <c r="H73" s="50">
        <v>4</v>
      </c>
      <c r="I73" s="50">
        <v>5</v>
      </c>
      <c r="J73" s="50">
        <v>1</v>
      </c>
      <c r="K73" s="50">
        <v>1</v>
      </c>
      <c r="L73" s="50">
        <v>0</v>
      </c>
      <c r="M73" s="50">
        <v>1</v>
      </c>
      <c r="N73" s="50">
        <v>0</v>
      </c>
      <c r="O73" s="15">
        <f t="shared" si="0"/>
        <v>25</v>
      </c>
      <c r="P73" s="15">
        <f t="shared" si="1"/>
        <v>26</v>
      </c>
      <c r="R73" s="8"/>
      <c r="T73"/>
    </row>
    <row r="74" spans="2:20" ht="23.1" customHeight="1" x14ac:dyDescent="0.25">
      <c r="B74" s="45" t="s">
        <v>114</v>
      </c>
      <c r="C74" s="50">
        <v>2</v>
      </c>
      <c r="D74" s="50">
        <v>1</v>
      </c>
      <c r="E74" s="50">
        <v>0</v>
      </c>
      <c r="F74" s="50">
        <v>1</v>
      </c>
      <c r="G74" s="50">
        <v>0</v>
      </c>
      <c r="H74" s="50">
        <v>0</v>
      </c>
      <c r="I74" s="50">
        <v>1</v>
      </c>
      <c r="J74" s="50">
        <v>1</v>
      </c>
      <c r="K74" s="50">
        <v>1</v>
      </c>
      <c r="L74" s="50">
        <v>0</v>
      </c>
      <c r="M74" s="50">
        <v>2</v>
      </c>
      <c r="N74" s="50">
        <v>0</v>
      </c>
      <c r="O74" s="15">
        <f t="shared" ref="O74:O105" si="35">SUM(C74:L74,N74)</f>
        <v>7</v>
      </c>
      <c r="P74" s="15">
        <f t="shared" ref="P74:P105" si="36">SUM(C74:N74)</f>
        <v>9</v>
      </c>
      <c r="R74" s="8"/>
      <c r="T74"/>
    </row>
    <row r="75" spans="2:20" ht="23.1" customHeight="1" x14ac:dyDescent="0.25">
      <c r="B75" s="45" t="s">
        <v>115</v>
      </c>
      <c r="C75" s="50">
        <v>9</v>
      </c>
      <c r="D75" s="50">
        <v>2</v>
      </c>
      <c r="E75" s="50">
        <v>1</v>
      </c>
      <c r="F75" s="50">
        <v>0</v>
      </c>
      <c r="G75" s="50">
        <v>0</v>
      </c>
      <c r="H75" s="50">
        <v>1</v>
      </c>
      <c r="I75" s="50">
        <v>3</v>
      </c>
      <c r="J75" s="50">
        <v>1</v>
      </c>
      <c r="K75" s="50">
        <v>6</v>
      </c>
      <c r="L75" s="50">
        <v>0</v>
      </c>
      <c r="M75" s="50">
        <v>1</v>
      </c>
      <c r="N75" s="50">
        <v>0</v>
      </c>
      <c r="O75" s="15">
        <f t="shared" si="35"/>
        <v>23</v>
      </c>
      <c r="P75" s="15">
        <f t="shared" si="36"/>
        <v>24</v>
      </c>
      <c r="R75" s="8"/>
      <c r="T75"/>
    </row>
    <row r="76" spans="2:20" ht="23.1" customHeight="1" x14ac:dyDescent="0.25">
      <c r="B76" s="45" t="s">
        <v>116</v>
      </c>
      <c r="C76" s="50">
        <v>8</v>
      </c>
      <c r="D76" s="50">
        <v>2</v>
      </c>
      <c r="E76" s="50">
        <v>2</v>
      </c>
      <c r="F76" s="50">
        <v>1</v>
      </c>
      <c r="G76" s="50">
        <v>0</v>
      </c>
      <c r="H76" s="50">
        <v>3</v>
      </c>
      <c r="I76" s="50">
        <v>5</v>
      </c>
      <c r="J76" s="50">
        <v>3</v>
      </c>
      <c r="K76" s="50">
        <v>2</v>
      </c>
      <c r="L76" s="50">
        <v>0</v>
      </c>
      <c r="M76" s="50">
        <v>3</v>
      </c>
      <c r="N76" s="50">
        <v>0</v>
      </c>
      <c r="O76" s="15">
        <f t="shared" si="35"/>
        <v>26</v>
      </c>
      <c r="P76" s="15">
        <f t="shared" si="36"/>
        <v>29</v>
      </c>
      <c r="R76" s="8"/>
      <c r="T76"/>
    </row>
    <row r="77" spans="2:20" ht="23.1" customHeight="1" x14ac:dyDescent="0.25">
      <c r="B77" s="45" t="s">
        <v>117</v>
      </c>
      <c r="C77" s="50">
        <v>3</v>
      </c>
      <c r="D77" s="50">
        <v>0</v>
      </c>
      <c r="E77" s="50">
        <v>1</v>
      </c>
      <c r="F77" s="50">
        <v>2</v>
      </c>
      <c r="G77" s="50">
        <v>0</v>
      </c>
      <c r="H77" s="50">
        <v>0</v>
      </c>
      <c r="I77" s="50">
        <v>2</v>
      </c>
      <c r="J77" s="50">
        <v>0</v>
      </c>
      <c r="K77" s="50">
        <v>2</v>
      </c>
      <c r="L77" s="50">
        <v>0</v>
      </c>
      <c r="M77" s="50">
        <v>2</v>
      </c>
      <c r="N77" s="50">
        <v>0</v>
      </c>
      <c r="O77" s="15">
        <f t="shared" si="35"/>
        <v>10</v>
      </c>
      <c r="P77" s="15">
        <f t="shared" si="36"/>
        <v>12</v>
      </c>
      <c r="R77" s="8"/>
      <c r="T77"/>
    </row>
    <row r="78" spans="2:20" ht="23.1" customHeight="1" x14ac:dyDescent="0.25">
      <c r="B78" s="46" t="s">
        <v>118</v>
      </c>
      <c r="C78" s="50">
        <v>2</v>
      </c>
      <c r="D78" s="50">
        <v>0</v>
      </c>
      <c r="E78" s="50">
        <v>1</v>
      </c>
      <c r="F78" s="50">
        <v>1</v>
      </c>
      <c r="G78" s="50">
        <v>1</v>
      </c>
      <c r="H78" s="50">
        <v>0</v>
      </c>
      <c r="I78" s="50">
        <v>1</v>
      </c>
      <c r="J78" s="50">
        <v>0</v>
      </c>
      <c r="K78" s="50">
        <v>2</v>
      </c>
      <c r="L78" s="50">
        <v>0</v>
      </c>
      <c r="M78" s="50">
        <v>0</v>
      </c>
      <c r="N78" s="50">
        <v>0</v>
      </c>
      <c r="O78" s="15">
        <f t="shared" si="35"/>
        <v>8</v>
      </c>
      <c r="P78" s="15">
        <f t="shared" si="36"/>
        <v>8</v>
      </c>
      <c r="R78" s="8"/>
      <c r="T78"/>
    </row>
    <row r="79" spans="2:20" ht="23.1" customHeight="1" x14ac:dyDescent="0.25">
      <c r="B79" s="45" t="s">
        <v>119</v>
      </c>
      <c r="C79" s="50">
        <v>6</v>
      </c>
      <c r="D79" s="50">
        <v>1</v>
      </c>
      <c r="E79" s="50">
        <v>0</v>
      </c>
      <c r="F79" s="50">
        <v>2</v>
      </c>
      <c r="G79" s="50">
        <v>0</v>
      </c>
      <c r="H79" s="50">
        <v>0</v>
      </c>
      <c r="I79" s="50">
        <v>4</v>
      </c>
      <c r="J79" s="50">
        <v>3</v>
      </c>
      <c r="K79" s="50">
        <v>1</v>
      </c>
      <c r="L79" s="50">
        <v>0</v>
      </c>
      <c r="M79" s="50">
        <v>0</v>
      </c>
      <c r="N79" s="50">
        <v>0</v>
      </c>
      <c r="O79" s="15">
        <f t="shared" si="35"/>
        <v>17</v>
      </c>
      <c r="P79" s="15">
        <f t="shared" si="36"/>
        <v>17</v>
      </c>
      <c r="R79" s="8"/>
      <c r="T79"/>
    </row>
    <row r="80" spans="2:20" ht="23.1" customHeight="1" x14ac:dyDescent="0.25">
      <c r="B80" s="47" t="s">
        <v>120</v>
      </c>
      <c r="C80" s="50">
        <v>3</v>
      </c>
      <c r="D80" s="50">
        <v>0</v>
      </c>
      <c r="E80" s="50">
        <v>1</v>
      </c>
      <c r="F80" s="50">
        <v>3</v>
      </c>
      <c r="G80" s="50">
        <v>0</v>
      </c>
      <c r="H80" s="50">
        <v>2</v>
      </c>
      <c r="I80" s="50">
        <v>2</v>
      </c>
      <c r="J80" s="50">
        <v>0</v>
      </c>
      <c r="K80" s="50">
        <v>4</v>
      </c>
      <c r="L80" s="50">
        <v>0</v>
      </c>
      <c r="M80" s="50">
        <v>1</v>
      </c>
      <c r="N80" s="50">
        <v>0</v>
      </c>
      <c r="O80" s="15">
        <f t="shared" si="35"/>
        <v>15</v>
      </c>
      <c r="P80" s="15">
        <f t="shared" si="36"/>
        <v>16</v>
      </c>
      <c r="R80" s="8"/>
      <c r="T80"/>
    </row>
    <row r="81" spans="2:20" ht="23.1" customHeight="1" x14ac:dyDescent="0.25">
      <c r="B81" s="45" t="s">
        <v>121</v>
      </c>
      <c r="C81" s="50">
        <v>2</v>
      </c>
      <c r="D81" s="50">
        <v>1</v>
      </c>
      <c r="E81" s="50">
        <v>2</v>
      </c>
      <c r="F81" s="50">
        <v>0</v>
      </c>
      <c r="G81" s="50">
        <v>1</v>
      </c>
      <c r="H81" s="50">
        <v>0</v>
      </c>
      <c r="I81" s="50">
        <v>2</v>
      </c>
      <c r="J81" s="50">
        <v>1</v>
      </c>
      <c r="K81" s="50">
        <v>4</v>
      </c>
      <c r="L81" s="50">
        <v>0</v>
      </c>
      <c r="M81" s="50">
        <v>0</v>
      </c>
      <c r="N81" s="50">
        <v>0</v>
      </c>
      <c r="O81" s="15">
        <f t="shared" si="35"/>
        <v>13</v>
      </c>
      <c r="P81" s="15">
        <f t="shared" si="36"/>
        <v>13</v>
      </c>
      <c r="R81" s="8"/>
      <c r="T81"/>
    </row>
    <row r="82" spans="2:20" ht="23.1" customHeight="1" x14ac:dyDescent="0.25">
      <c r="B82" s="46" t="s">
        <v>122</v>
      </c>
      <c r="C82" s="50">
        <v>5</v>
      </c>
      <c r="D82" s="50">
        <v>1</v>
      </c>
      <c r="E82" s="50">
        <v>1</v>
      </c>
      <c r="F82" s="50">
        <v>0</v>
      </c>
      <c r="G82" s="50">
        <v>0</v>
      </c>
      <c r="H82" s="50">
        <v>6</v>
      </c>
      <c r="I82" s="50">
        <v>2</v>
      </c>
      <c r="J82" s="50">
        <v>3</v>
      </c>
      <c r="K82" s="50">
        <v>6</v>
      </c>
      <c r="L82" s="50">
        <v>0</v>
      </c>
      <c r="M82" s="50">
        <v>0</v>
      </c>
      <c r="N82" s="50">
        <v>0</v>
      </c>
      <c r="O82" s="15">
        <f t="shared" si="35"/>
        <v>24</v>
      </c>
      <c r="P82" s="15">
        <f t="shared" si="36"/>
        <v>24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2</v>
      </c>
      <c r="E83" s="50">
        <v>1</v>
      </c>
      <c r="F83" s="50">
        <v>1</v>
      </c>
      <c r="G83" s="50">
        <v>0</v>
      </c>
      <c r="H83" s="50">
        <v>3</v>
      </c>
      <c r="I83" s="50">
        <v>3</v>
      </c>
      <c r="J83" s="50">
        <v>7</v>
      </c>
      <c r="K83" s="50">
        <v>2</v>
      </c>
      <c r="L83" s="50">
        <v>0</v>
      </c>
      <c r="M83" s="50">
        <v>0</v>
      </c>
      <c r="N83" s="50">
        <v>0</v>
      </c>
      <c r="O83" s="15">
        <f t="shared" si="35"/>
        <v>20</v>
      </c>
      <c r="P83" s="15">
        <f t="shared" si="36"/>
        <v>20</v>
      </c>
      <c r="R83" s="8"/>
      <c r="T83"/>
    </row>
    <row r="84" spans="2:20" ht="23.1" customHeight="1" x14ac:dyDescent="0.25">
      <c r="B84" s="47" t="s">
        <v>124</v>
      </c>
      <c r="C84" s="50">
        <v>5</v>
      </c>
      <c r="D84" s="50">
        <v>0</v>
      </c>
      <c r="E84" s="50">
        <v>0</v>
      </c>
      <c r="F84" s="50">
        <v>2</v>
      </c>
      <c r="G84" s="50">
        <v>0</v>
      </c>
      <c r="H84" s="50">
        <v>5</v>
      </c>
      <c r="I84" s="50">
        <v>6</v>
      </c>
      <c r="J84" s="50">
        <v>3</v>
      </c>
      <c r="K84" s="50">
        <v>1</v>
      </c>
      <c r="L84" s="50">
        <v>0</v>
      </c>
      <c r="M84" s="50">
        <v>1</v>
      </c>
      <c r="N84" s="50">
        <v>0</v>
      </c>
      <c r="O84" s="15">
        <f t="shared" si="35"/>
        <v>22</v>
      </c>
      <c r="P84" s="15">
        <f t="shared" si="36"/>
        <v>23</v>
      </c>
      <c r="R84" s="8"/>
      <c r="T84"/>
    </row>
    <row r="85" spans="2:20" ht="23.1" customHeight="1" x14ac:dyDescent="0.25">
      <c r="B85" s="45" t="s">
        <v>125</v>
      </c>
      <c r="C85" s="50">
        <v>8</v>
      </c>
      <c r="D85" s="50">
        <v>0</v>
      </c>
      <c r="E85" s="50">
        <v>1</v>
      </c>
      <c r="F85" s="50">
        <v>1</v>
      </c>
      <c r="G85" s="50">
        <v>0</v>
      </c>
      <c r="H85" s="50">
        <v>6</v>
      </c>
      <c r="I85" s="50">
        <v>1</v>
      </c>
      <c r="J85" s="50">
        <v>1</v>
      </c>
      <c r="K85" s="50">
        <v>5</v>
      </c>
      <c r="L85" s="50">
        <v>0</v>
      </c>
      <c r="M85" s="50">
        <v>0</v>
      </c>
      <c r="N85" s="50">
        <v>0</v>
      </c>
      <c r="O85" s="15">
        <f t="shared" si="35"/>
        <v>23</v>
      </c>
      <c r="P85" s="15">
        <f t="shared" si="36"/>
        <v>23</v>
      </c>
      <c r="R85" s="8"/>
      <c r="T85"/>
    </row>
    <row r="86" spans="2:20" ht="23.1" customHeight="1" x14ac:dyDescent="0.25">
      <c r="B86" s="46" t="s">
        <v>126</v>
      </c>
      <c r="C86" s="50">
        <v>2</v>
      </c>
      <c r="D86" s="50">
        <v>1</v>
      </c>
      <c r="E86" s="50">
        <v>0</v>
      </c>
      <c r="F86" s="50">
        <v>2</v>
      </c>
      <c r="G86" s="50">
        <v>0</v>
      </c>
      <c r="H86" s="50">
        <v>5</v>
      </c>
      <c r="I86" s="50">
        <v>4</v>
      </c>
      <c r="J86" s="50">
        <v>4</v>
      </c>
      <c r="K86" s="50">
        <v>2</v>
      </c>
      <c r="L86" s="50">
        <v>0</v>
      </c>
      <c r="M86" s="50">
        <v>0</v>
      </c>
      <c r="N86" s="50">
        <v>0</v>
      </c>
      <c r="O86" s="15">
        <f t="shared" si="35"/>
        <v>20</v>
      </c>
      <c r="P86" s="15">
        <f t="shared" si="36"/>
        <v>20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2</v>
      </c>
      <c r="G87" s="50">
        <v>0</v>
      </c>
      <c r="H87" s="50">
        <v>2</v>
      </c>
      <c r="I87" s="50">
        <v>0</v>
      </c>
      <c r="J87" s="50">
        <v>4</v>
      </c>
      <c r="K87" s="50">
        <v>2</v>
      </c>
      <c r="L87" s="50">
        <v>0</v>
      </c>
      <c r="M87" s="50">
        <v>0</v>
      </c>
      <c r="N87" s="50">
        <v>0</v>
      </c>
      <c r="O87" s="15">
        <f t="shared" si="35"/>
        <v>10</v>
      </c>
      <c r="P87" s="15">
        <f t="shared" si="36"/>
        <v>10</v>
      </c>
      <c r="R87" s="8"/>
      <c r="T87"/>
    </row>
    <row r="88" spans="2:20" ht="23.1" customHeight="1" x14ac:dyDescent="0.25">
      <c r="B88" s="47" t="s">
        <v>128</v>
      </c>
      <c r="C88" s="50">
        <v>2</v>
      </c>
      <c r="D88" s="50">
        <v>1</v>
      </c>
      <c r="E88" s="50">
        <v>0</v>
      </c>
      <c r="F88" s="50">
        <v>2</v>
      </c>
      <c r="G88" s="50">
        <v>0</v>
      </c>
      <c r="H88" s="50">
        <v>2</v>
      </c>
      <c r="I88" s="50">
        <v>1</v>
      </c>
      <c r="J88" s="50">
        <v>2</v>
      </c>
      <c r="K88" s="50">
        <v>6</v>
      </c>
      <c r="L88" s="50">
        <v>0</v>
      </c>
      <c r="M88" s="50">
        <v>0</v>
      </c>
      <c r="N88" s="50">
        <v>0</v>
      </c>
      <c r="O88" s="15">
        <f t="shared" si="35"/>
        <v>16</v>
      </c>
      <c r="P88" s="15">
        <f t="shared" si="36"/>
        <v>16</v>
      </c>
      <c r="R88" s="8"/>
      <c r="T88"/>
    </row>
    <row r="89" spans="2:20" ht="23.1" customHeight="1" x14ac:dyDescent="0.25">
      <c r="B89" s="45" t="s">
        <v>129</v>
      </c>
      <c r="C89" s="50">
        <v>4</v>
      </c>
      <c r="D89" s="50">
        <v>0</v>
      </c>
      <c r="E89" s="50">
        <v>0</v>
      </c>
      <c r="F89" s="50">
        <v>0</v>
      </c>
      <c r="G89" s="50">
        <v>0</v>
      </c>
      <c r="H89" s="50">
        <v>1</v>
      </c>
      <c r="I89" s="50">
        <v>1</v>
      </c>
      <c r="J89" s="50">
        <v>0</v>
      </c>
      <c r="K89" s="50">
        <v>5</v>
      </c>
      <c r="L89" s="50">
        <v>0</v>
      </c>
      <c r="M89" s="50">
        <v>1</v>
      </c>
      <c r="N89" s="50">
        <v>0</v>
      </c>
      <c r="O89" s="15">
        <f t="shared" si="35"/>
        <v>11</v>
      </c>
      <c r="P89" s="15">
        <f t="shared" si="36"/>
        <v>12</v>
      </c>
      <c r="R89" s="8"/>
      <c r="T89"/>
    </row>
    <row r="90" spans="2:20" ht="23.1" customHeight="1" x14ac:dyDescent="0.25">
      <c r="B90" s="46" t="s">
        <v>130</v>
      </c>
      <c r="C90" s="50">
        <v>2</v>
      </c>
      <c r="D90" s="50">
        <v>0</v>
      </c>
      <c r="E90" s="50">
        <v>1</v>
      </c>
      <c r="F90" s="50">
        <v>0</v>
      </c>
      <c r="G90" s="50">
        <v>0</v>
      </c>
      <c r="H90" s="50">
        <v>2</v>
      </c>
      <c r="I90" s="50">
        <v>3</v>
      </c>
      <c r="J90" s="50">
        <v>2</v>
      </c>
      <c r="K90" s="50">
        <v>2</v>
      </c>
      <c r="L90" s="50">
        <v>0</v>
      </c>
      <c r="M90" s="50">
        <v>0</v>
      </c>
      <c r="N90" s="50">
        <v>0</v>
      </c>
      <c r="O90" s="15">
        <f t="shared" si="35"/>
        <v>12</v>
      </c>
      <c r="P90" s="15">
        <f t="shared" si="36"/>
        <v>12</v>
      </c>
      <c r="R90" s="8"/>
      <c r="T90"/>
    </row>
    <row r="91" spans="2:20" ht="23.1" customHeight="1" x14ac:dyDescent="0.25">
      <c r="B91" s="45" t="s">
        <v>131</v>
      </c>
      <c r="C91" s="50">
        <v>5</v>
      </c>
      <c r="D91" s="50">
        <v>0</v>
      </c>
      <c r="E91" s="50">
        <v>0</v>
      </c>
      <c r="F91" s="50">
        <v>1</v>
      </c>
      <c r="G91" s="50">
        <v>0</v>
      </c>
      <c r="H91" s="50">
        <v>4</v>
      </c>
      <c r="I91" s="50">
        <v>4</v>
      </c>
      <c r="J91" s="50">
        <v>0</v>
      </c>
      <c r="K91" s="50">
        <v>7</v>
      </c>
      <c r="L91" s="50">
        <v>0</v>
      </c>
      <c r="M91" s="50">
        <v>0</v>
      </c>
      <c r="N91" s="50">
        <v>0</v>
      </c>
      <c r="O91" s="15">
        <f t="shared" si="35"/>
        <v>21</v>
      </c>
      <c r="P91" s="15">
        <f t="shared" si="36"/>
        <v>21</v>
      </c>
      <c r="R91" s="8"/>
      <c r="T91"/>
    </row>
    <row r="92" spans="2:20" ht="23.1" customHeight="1" x14ac:dyDescent="0.25">
      <c r="B92" s="47" t="s">
        <v>132</v>
      </c>
      <c r="C92" s="50">
        <v>2</v>
      </c>
      <c r="D92" s="50">
        <v>0</v>
      </c>
      <c r="E92" s="50">
        <v>0</v>
      </c>
      <c r="F92" s="50">
        <v>3</v>
      </c>
      <c r="G92" s="50">
        <v>1</v>
      </c>
      <c r="H92" s="50">
        <v>1</v>
      </c>
      <c r="I92" s="50">
        <v>3</v>
      </c>
      <c r="J92" s="50">
        <v>1</v>
      </c>
      <c r="K92" s="50">
        <v>3</v>
      </c>
      <c r="L92" s="50">
        <v>1</v>
      </c>
      <c r="M92" s="50">
        <v>1</v>
      </c>
      <c r="N92" s="50">
        <v>0</v>
      </c>
      <c r="O92" s="15">
        <f t="shared" si="35"/>
        <v>15</v>
      </c>
      <c r="P92" s="15">
        <f t="shared" si="36"/>
        <v>16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1</v>
      </c>
      <c r="J93" s="50">
        <v>1</v>
      </c>
      <c r="K93" s="50">
        <v>4</v>
      </c>
      <c r="L93" s="50">
        <v>0</v>
      </c>
      <c r="M93" s="50">
        <v>0</v>
      </c>
      <c r="N93" s="50">
        <v>0</v>
      </c>
      <c r="O93" s="15">
        <f t="shared" si="35"/>
        <v>7</v>
      </c>
      <c r="P93" s="15">
        <f t="shared" si="36"/>
        <v>7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1</v>
      </c>
      <c r="I94" s="50">
        <v>0</v>
      </c>
      <c r="J94" s="50">
        <v>3</v>
      </c>
      <c r="K94" s="50">
        <v>5</v>
      </c>
      <c r="L94" s="50">
        <v>0</v>
      </c>
      <c r="M94" s="50">
        <v>0</v>
      </c>
      <c r="N94" s="50">
        <v>0</v>
      </c>
      <c r="O94" s="15">
        <f t="shared" si="35"/>
        <v>9</v>
      </c>
      <c r="P94" s="15">
        <f t="shared" si="36"/>
        <v>9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1</v>
      </c>
      <c r="F95" s="50">
        <v>0</v>
      </c>
      <c r="G95" s="50">
        <v>1</v>
      </c>
      <c r="H95" s="50">
        <v>0</v>
      </c>
      <c r="I95" s="50">
        <v>1</v>
      </c>
      <c r="J95" s="50">
        <v>0</v>
      </c>
      <c r="K95" s="50">
        <v>1</v>
      </c>
      <c r="L95" s="50">
        <v>0</v>
      </c>
      <c r="M95" s="50">
        <v>0</v>
      </c>
      <c r="N95" s="50">
        <v>0</v>
      </c>
      <c r="O95" s="15">
        <f t="shared" si="35"/>
        <v>4</v>
      </c>
      <c r="P95" s="15">
        <f t="shared" si="36"/>
        <v>4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1</v>
      </c>
      <c r="E96" s="50">
        <v>0</v>
      </c>
      <c r="F96" s="50">
        <v>0</v>
      </c>
      <c r="G96" s="50">
        <v>0</v>
      </c>
      <c r="H96" s="50">
        <v>0</v>
      </c>
      <c r="I96" s="50">
        <v>1</v>
      </c>
      <c r="J96" s="50">
        <v>1</v>
      </c>
      <c r="K96" s="50">
        <v>4</v>
      </c>
      <c r="L96" s="50">
        <v>0</v>
      </c>
      <c r="M96" s="50">
        <v>0</v>
      </c>
      <c r="N96" s="50">
        <v>0</v>
      </c>
      <c r="O96" s="15">
        <f t="shared" si="35"/>
        <v>8</v>
      </c>
      <c r="P96" s="15">
        <f t="shared" si="36"/>
        <v>8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1</v>
      </c>
      <c r="F97" s="50">
        <v>0</v>
      </c>
      <c r="G97" s="50">
        <v>0</v>
      </c>
      <c r="H97" s="50">
        <v>1</v>
      </c>
      <c r="I97" s="50">
        <v>1</v>
      </c>
      <c r="J97" s="50">
        <v>0</v>
      </c>
      <c r="K97" s="50">
        <v>4</v>
      </c>
      <c r="L97" s="50">
        <v>1</v>
      </c>
      <c r="M97" s="50">
        <v>1</v>
      </c>
      <c r="N97" s="50">
        <v>0</v>
      </c>
      <c r="O97" s="15">
        <f t="shared" si="35"/>
        <v>9</v>
      </c>
      <c r="P97" s="15">
        <f t="shared" si="36"/>
        <v>10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1</v>
      </c>
      <c r="I98" s="50">
        <v>0</v>
      </c>
      <c r="J98" s="50">
        <v>0</v>
      </c>
      <c r="K98" s="50">
        <v>1</v>
      </c>
      <c r="L98" s="50">
        <v>0</v>
      </c>
      <c r="M98" s="50">
        <v>0</v>
      </c>
      <c r="N98" s="50">
        <v>0</v>
      </c>
      <c r="O98" s="15">
        <f t="shared" si="35"/>
        <v>2</v>
      </c>
      <c r="P98" s="15">
        <f t="shared" si="36"/>
        <v>2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1</v>
      </c>
      <c r="K99" s="50">
        <v>2</v>
      </c>
      <c r="L99" s="50">
        <v>0</v>
      </c>
      <c r="M99" s="50">
        <v>0</v>
      </c>
      <c r="N99" s="50">
        <v>0</v>
      </c>
      <c r="O99" s="15">
        <f t="shared" si="35"/>
        <v>3</v>
      </c>
      <c r="P99" s="15">
        <f t="shared" si="36"/>
        <v>3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1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3</v>
      </c>
      <c r="K100" s="50">
        <v>2</v>
      </c>
      <c r="L100" s="50">
        <v>0</v>
      </c>
      <c r="M100" s="50">
        <v>0</v>
      </c>
      <c r="N100" s="50">
        <v>0</v>
      </c>
      <c r="O100" s="15">
        <f t="shared" si="35"/>
        <v>7</v>
      </c>
      <c r="P100" s="15">
        <f t="shared" si="36"/>
        <v>7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1</v>
      </c>
      <c r="E101" s="50">
        <v>2</v>
      </c>
      <c r="F101" s="50">
        <v>1</v>
      </c>
      <c r="G101" s="50">
        <v>0</v>
      </c>
      <c r="H101" s="50">
        <v>0</v>
      </c>
      <c r="I101" s="50">
        <v>1</v>
      </c>
      <c r="J101" s="50">
        <v>0</v>
      </c>
      <c r="K101" s="50">
        <v>1</v>
      </c>
      <c r="L101" s="50">
        <v>0</v>
      </c>
      <c r="M101" s="50">
        <v>1</v>
      </c>
      <c r="N101" s="50">
        <v>0</v>
      </c>
      <c r="O101" s="15">
        <f t="shared" si="35"/>
        <v>6</v>
      </c>
      <c r="P101" s="15">
        <f t="shared" si="36"/>
        <v>7</v>
      </c>
      <c r="R101" s="8"/>
      <c r="T101"/>
    </row>
    <row r="102" spans="2:20" ht="23.1" customHeight="1" x14ac:dyDescent="0.25">
      <c r="B102" s="46" t="s">
        <v>142</v>
      </c>
      <c r="C102" s="50">
        <v>3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</v>
      </c>
      <c r="N102" s="50">
        <v>0</v>
      </c>
      <c r="O102" s="15">
        <f t="shared" si="35"/>
        <v>3</v>
      </c>
      <c r="P102" s="15">
        <f t="shared" si="36"/>
        <v>4</v>
      </c>
      <c r="R102" s="8"/>
      <c r="T102"/>
    </row>
    <row r="103" spans="2:20" ht="23.1" customHeight="1" x14ac:dyDescent="0.25">
      <c r="B103" s="45" t="s">
        <v>143</v>
      </c>
      <c r="C103" s="50">
        <v>4</v>
      </c>
      <c r="D103" s="50">
        <v>2</v>
      </c>
      <c r="E103" s="50">
        <v>1</v>
      </c>
      <c r="F103" s="50">
        <v>2</v>
      </c>
      <c r="G103" s="50">
        <v>0</v>
      </c>
      <c r="H103" s="50">
        <v>0</v>
      </c>
      <c r="I103" s="50">
        <v>2</v>
      </c>
      <c r="J103" s="50">
        <v>1</v>
      </c>
      <c r="K103" s="50">
        <v>4</v>
      </c>
      <c r="L103" s="50">
        <v>0</v>
      </c>
      <c r="M103" s="50">
        <v>1</v>
      </c>
      <c r="N103" s="50">
        <v>0</v>
      </c>
      <c r="O103" s="15">
        <f t="shared" si="35"/>
        <v>16</v>
      </c>
      <c r="P103" s="15">
        <f t="shared" si="36"/>
        <v>17</v>
      </c>
      <c r="R103" s="8"/>
      <c r="T103"/>
    </row>
    <row r="104" spans="2:20" ht="23.1" customHeight="1" x14ac:dyDescent="0.25">
      <c r="B104" s="47" t="s">
        <v>144</v>
      </c>
      <c r="C104" s="50">
        <v>5</v>
      </c>
      <c r="D104" s="50">
        <v>0</v>
      </c>
      <c r="E104" s="50">
        <v>0</v>
      </c>
      <c r="F104" s="50">
        <v>3</v>
      </c>
      <c r="G104" s="50">
        <v>0</v>
      </c>
      <c r="H104" s="50">
        <v>0</v>
      </c>
      <c r="I104" s="50">
        <v>2</v>
      </c>
      <c r="J104" s="50">
        <v>0</v>
      </c>
      <c r="K104" s="50">
        <v>3</v>
      </c>
      <c r="L104" s="50">
        <v>0</v>
      </c>
      <c r="M104" s="50">
        <v>3</v>
      </c>
      <c r="N104" s="50">
        <v>0</v>
      </c>
      <c r="O104" s="15">
        <f t="shared" si="35"/>
        <v>13</v>
      </c>
      <c r="P104" s="15">
        <f t="shared" si="36"/>
        <v>16</v>
      </c>
      <c r="R104" s="8"/>
      <c r="T104"/>
    </row>
    <row r="105" spans="2:20" ht="23.1" customHeight="1" x14ac:dyDescent="0.25">
      <c r="B105" s="45" t="s">
        <v>145</v>
      </c>
      <c r="C105" s="50">
        <v>3</v>
      </c>
      <c r="D105" s="50">
        <v>1</v>
      </c>
      <c r="E105" s="50">
        <v>2</v>
      </c>
      <c r="F105" s="50">
        <v>0</v>
      </c>
      <c r="G105" s="50">
        <v>0</v>
      </c>
      <c r="H105" s="50">
        <v>1</v>
      </c>
      <c r="I105" s="50">
        <v>2</v>
      </c>
      <c r="J105" s="50">
        <v>2</v>
      </c>
      <c r="K105" s="50">
        <v>4</v>
      </c>
      <c r="L105" s="50">
        <v>0</v>
      </c>
      <c r="M105" s="50">
        <v>3</v>
      </c>
      <c r="N105" s="50">
        <v>0</v>
      </c>
      <c r="O105" s="15">
        <f t="shared" si="35"/>
        <v>15</v>
      </c>
      <c r="P105" s="15">
        <f t="shared" si="36"/>
        <v>18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648</v>
      </c>
      <c r="D106" s="16">
        <f t="shared" ref="D106:P106" si="37">SUM(D10:D105)</f>
        <v>248</v>
      </c>
      <c r="E106" s="16">
        <f t="shared" si="37"/>
        <v>105</v>
      </c>
      <c r="F106" s="16">
        <f t="shared" si="37"/>
        <v>277</v>
      </c>
      <c r="G106" s="16">
        <f t="shared" si="37"/>
        <v>22</v>
      </c>
      <c r="H106" s="16">
        <f t="shared" si="37"/>
        <v>120</v>
      </c>
      <c r="I106" s="16">
        <f t="shared" si="37"/>
        <v>177</v>
      </c>
      <c r="J106" s="16">
        <f t="shared" si="37"/>
        <v>189</v>
      </c>
      <c r="K106" s="16">
        <f t="shared" si="37"/>
        <v>229</v>
      </c>
      <c r="L106" s="16">
        <f t="shared" si="37"/>
        <v>17</v>
      </c>
      <c r="M106" s="16">
        <f t="shared" si="37"/>
        <v>582</v>
      </c>
      <c r="N106" s="16">
        <f t="shared" si="37"/>
        <v>0</v>
      </c>
      <c r="O106" s="16">
        <f t="shared" si="37"/>
        <v>2032</v>
      </c>
      <c r="P106" s="16">
        <f t="shared" si="37"/>
        <v>2614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0.24789594491201225</v>
      </c>
      <c r="D107" s="43">
        <f t="shared" si="38"/>
        <v>9.4873756694720729E-2</v>
      </c>
      <c r="E107" s="43">
        <f t="shared" si="38"/>
        <v>4.0168324407039019E-2</v>
      </c>
      <c r="F107" s="43">
        <f t="shared" si="38"/>
        <v>0.10596786534047437</v>
      </c>
      <c r="G107" s="43">
        <f t="shared" si="38"/>
        <v>8.4162203519510329E-3</v>
      </c>
      <c r="H107" s="43">
        <f t="shared" si="38"/>
        <v>4.5906656465187455E-2</v>
      </c>
      <c r="I107" s="43">
        <f t="shared" si="38"/>
        <v>6.7712318286151499E-2</v>
      </c>
      <c r="J107" s="43">
        <f t="shared" si="38"/>
        <v>7.2302983932670234E-2</v>
      </c>
      <c r="K107" s="43">
        <f t="shared" si="38"/>
        <v>8.7605202754399383E-2</v>
      </c>
      <c r="L107" s="43">
        <f t="shared" si="38"/>
        <v>6.5034429992348892E-3</v>
      </c>
      <c r="M107" s="43">
        <f t="shared" si="38"/>
        <v>0.22264728385615914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0.31889763779527558</v>
      </c>
      <c r="D108" s="44">
        <f t="shared" ref="D108:N108" si="39">D106/$O$106</f>
        <v>0.12204724409448819</v>
      </c>
      <c r="E108" s="44">
        <f t="shared" si="39"/>
        <v>5.1673228346456691E-2</v>
      </c>
      <c r="F108" s="44">
        <f t="shared" si="39"/>
        <v>0.13631889763779528</v>
      </c>
      <c r="G108" s="44">
        <f t="shared" si="39"/>
        <v>1.0826771653543307E-2</v>
      </c>
      <c r="H108" s="44">
        <f t="shared" si="39"/>
        <v>5.905511811023622E-2</v>
      </c>
      <c r="I108" s="44">
        <f t="shared" si="39"/>
        <v>8.7106299212598423E-2</v>
      </c>
      <c r="J108" s="44">
        <f t="shared" si="39"/>
        <v>9.3011811023622049E-2</v>
      </c>
      <c r="K108" s="44">
        <f t="shared" si="39"/>
        <v>0.11269685039370078</v>
      </c>
      <c r="L108" s="44">
        <f t="shared" si="39"/>
        <v>8.3661417322834653E-3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6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3" t="s">
        <v>23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 spans="2:32" ht="20.100000000000001" customHeight="1" x14ac:dyDescent="0.25">
      <c r="B2" s="74" t="s">
        <v>95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</row>
    <row r="3" spans="2:32" ht="20.100000000000001" customHeight="1" x14ac:dyDescent="0.25">
      <c r="B3" s="22" t="s">
        <v>96</v>
      </c>
      <c r="C3" s="75" t="s">
        <v>175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'18.10 MASAKA-MBARARA-24H'!D5</f>
        <v>18.10.19</v>
      </c>
      <c r="E5" s="3"/>
      <c r="F5" s="41" t="s">
        <v>1</v>
      </c>
      <c r="G5" s="71" t="str">
        <f>'18.10 MASAKA-MBARARA-24H'!G5:H5</f>
        <v>KINONI</v>
      </c>
      <c r="H5" s="72"/>
      <c r="I5" s="14"/>
      <c r="J5" s="2" t="s">
        <v>5</v>
      </c>
      <c r="K5" s="71" t="s">
        <v>174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">
        <v>165</v>
      </c>
      <c r="E6" s="72"/>
      <c r="F6" s="2" t="s">
        <v>2</v>
      </c>
      <c r="G6" s="71" t="s">
        <v>166</v>
      </c>
      <c r="H6" s="72"/>
      <c r="J6" s="2" t="s">
        <v>21</v>
      </c>
      <c r="K6" s="71" t="str">
        <f>'18.10 MASAKA-MBARARA-24H'!K6:L6</f>
        <v>SANDRA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5</v>
      </c>
      <c r="D10" s="50">
        <v>0</v>
      </c>
      <c r="E10" s="50">
        <v>0</v>
      </c>
      <c r="F10" s="50">
        <v>3</v>
      </c>
      <c r="G10" s="50">
        <v>0</v>
      </c>
      <c r="H10" s="50">
        <v>0</v>
      </c>
      <c r="I10" s="50">
        <v>0</v>
      </c>
      <c r="J10" s="50">
        <v>0</v>
      </c>
      <c r="K10" s="50">
        <v>1</v>
      </c>
      <c r="L10" s="50">
        <v>0</v>
      </c>
      <c r="M10" s="50">
        <v>7</v>
      </c>
      <c r="N10" s="50">
        <v>0</v>
      </c>
      <c r="O10" s="15">
        <f t="shared" ref="O10:O73" si="0">SUM(C10:L10,N10)</f>
        <v>9</v>
      </c>
      <c r="P10" s="15">
        <f t="shared" ref="P10:P73" si="1">SUM(C10:N10)</f>
        <v>16</v>
      </c>
      <c r="R10" s="1" t="s">
        <v>6</v>
      </c>
      <c r="S10" s="17">
        <f t="shared" ref="S10:AF10" si="2">SUM(C10:C13)</f>
        <v>14</v>
      </c>
      <c r="T10" s="17">
        <f t="shared" si="2"/>
        <v>5</v>
      </c>
      <c r="U10" s="17">
        <f t="shared" si="2"/>
        <v>3</v>
      </c>
      <c r="V10" s="17">
        <f t="shared" si="2"/>
        <v>6</v>
      </c>
      <c r="W10" s="17">
        <f t="shared" si="2"/>
        <v>0</v>
      </c>
      <c r="X10" s="17">
        <f t="shared" si="2"/>
        <v>1</v>
      </c>
      <c r="Y10" s="17">
        <f t="shared" si="2"/>
        <v>1</v>
      </c>
      <c r="Z10" s="17">
        <f t="shared" si="2"/>
        <v>5</v>
      </c>
      <c r="AA10" s="17">
        <f t="shared" si="2"/>
        <v>12</v>
      </c>
      <c r="AB10" s="17">
        <f t="shared" si="2"/>
        <v>0</v>
      </c>
      <c r="AC10" s="17">
        <f t="shared" si="2"/>
        <v>45</v>
      </c>
      <c r="AD10" s="17">
        <f t="shared" si="2"/>
        <v>0</v>
      </c>
      <c r="AE10" s="31">
        <f t="shared" si="2"/>
        <v>47</v>
      </c>
      <c r="AF10" s="31">
        <f t="shared" si="2"/>
        <v>92</v>
      </c>
    </row>
    <row r="11" spans="2:32" s="6" customFormat="1" ht="23.1" customHeight="1" x14ac:dyDescent="0.25">
      <c r="B11" s="45" t="s">
        <v>38</v>
      </c>
      <c r="C11" s="50">
        <v>2</v>
      </c>
      <c r="D11" s="50">
        <v>0</v>
      </c>
      <c r="E11" s="50">
        <v>1</v>
      </c>
      <c r="F11" s="50">
        <v>0</v>
      </c>
      <c r="G11" s="50">
        <v>0</v>
      </c>
      <c r="H11" s="50">
        <v>1</v>
      </c>
      <c r="I11" s="50">
        <v>0</v>
      </c>
      <c r="J11" s="50">
        <v>3</v>
      </c>
      <c r="K11" s="50">
        <v>6</v>
      </c>
      <c r="L11" s="50">
        <v>0</v>
      </c>
      <c r="M11" s="50">
        <v>6</v>
      </c>
      <c r="N11" s="50">
        <v>0</v>
      </c>
      <c r="O11" s="15">
        <f t="shared" si="0"/>
        <v>13</v>
      </c>
      <c r="P11" s="15">
        <f t="shared" si="1"/>
        <v>19</v>
      </c>
      <c r="R11" s="1" t="s">
        <v>7</v>
      </c>
      <c r="S11" s="17">
        <f t="shared" ref="S11:AF11" si="3">SUM(C14:C17)</f>
        <v>14</v>
      </c>
      <c r="T11" s="17">
        <f t="shared" si="3"/>
        <v>8</v>
      </c>
      <c r="U11" s="17">
        <f t="shared" si="3"/>
        <v>0</v>
      </c>
      <c r="V11" s="17">
        <f t="shared" si="3"/>
        <v>17</v>
      </c>
      <c r="W11" s="17">
        <f t="shared" si="3"/>
        <v>0</v>
      </c>
      <c r="X11" s="17">
        <f t="shared" si="3"/>
        <v>1</v>
      </c>
      <c r="Y11" s="17">
        <f t="shared" si="3"/>
        <v>2</v>
      </c>
      <c r="Z11" s="17">
        <f t="shared" si="3"/>
        <v>1</v>
      </c>
      <c r="AA11" s="17">
        <f t="shared" si="3"/>
        <v>4</v>
      </c>
      <c r="AB11" s="17">
        <f t="shared" si="3"/>
        <v>0</v>
      </c>
      <c r="AC11" s="17">
        <f t="shared" si="3"/>
        <v>77</v>
      </c>
      <c r="AD11" s="17">
        <f t="shared" si="3"/>
        <v>0</v>
      </c>
      <c r="AE11" s="31">
        <f t="shared" si="3"/>
        <v>47</v>
      </c>
      <c r="AF11" s="31">
        <f t="shared" si="3"/>
        <v>124</v>
      </c>
    </row>
    <row r="12" spans="2:32" ht="23.1" customHeight="1" x14ac:dyDescent="0.25">
      <c r="B12" s="45" t="s">
        <v>39</v>
      </c>
      <c r="C12" s="50">
        <v>2</v>
      </c>
      <c r="D12" s="50">
        <v>3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2</v>
      </c>
      <c r="K12" s="50">
        <v>2</v>
      </c>
      <c r="L12" s="50">
        <v>0</v>
      </c>
      <c r="M12" s="50">
        <v>20</v>
      </c>
      <c r="N12" s="50">
        <v>0</v>
      </c>
      <c r="O12" s="15">
        <f t="shared" si="0"/>
        <v>10</v>
      </c>
      <c r="P12" s="15">
        <f t="shared" si="1"/>
        <v>30</v>
      </c>
      <c r="R12" s="1" t="s">
        <v>8</v>
      </c>
      <c r="S12" s="17">
        <f t="shared" ref="S12:AF12" si="4">SUM(C18:C21)</f>
        <v>6</v>
      </c>
      <c r="T12" s="17">
        <f t="shared" si="4"/>
        <v>8</v>
      </c>
      <c r="U12" s="17">
        <f t="shared" si="4"/>
        <v>1</v>
      </c>
      <c r="V12" s="17">
        <f t="shared" si="4"/>
        <v>17</v>
      </c>
      <c r="W12" s="17">
        <f t="shared" si="4"/>
        <v>0</v>
      </c>
      <c r="X12" s="17">
        <f t="shared" si="4"/>
        <v>1</v>
      </c>
      <c r="Y12" s="17">
        <f t="shared" si="4"/>
        <v>4</v>
      </c>
      <c r="Z12" s="17">
        <f t="shared" si="4"/>
        <v>3</v>
      </c>
      <c r="AA12" s="17">
        <f t="shared" si="4"/>
        <v>4</v>
      </c>
      <c r="AB12" s="17">
        <f t="shared" si="4"/>
        <v>0</v>
      </c>
      <c r="AC12" s="17">
        <f t="shared" si="4"/>
        <v>43</v>
      </c>
      <c r="AD12" s="17">
        <f t="shared" si="4"/>
        <v>0</v>
      </c>
      <c r="AE12" s="31">
        <f t="shared" si="4"/>
        <v>44</v>
      </c>
      <c r="AF12" s="31">
        <f t="shared" si="4"/>
        <v>87</v>
      </c>
    </row>
    <row r="13" spans="2:32" ht="23.1" customHeight="1" x14ac:dyDescent="0.25">
      <c r="B13" s="45" t="s">
        <v>40</v>
      </c>
      <c r="C13" s="50">
        <v>5</v>
      </c>
      <c r="D13" s="50">
        <v>2</v>
      </c>
      <c r="E13" s="50">
        <v>2</v>
      </c>
      <c r="F13" s="50">
        <v>2</v>
      </c>
      <c r="G13" s="50">
        <v>0</v>
      </c>
      <c r="H13" s="50">
        <v>0</v>
      </c>
      <c r="I13" s="50">
        <v>1</v>
      </c>
      <c r="J13" s="50">
        <v>0</v>
      </c>
      <c r="K13" s="50">
        <v>3</v>
      </c>
      <c r="L13" s="50">
        <v>0</v>
      </c>
      <c r="M13" s="50">
        <v>12</v>
      </c>
      <c r="N13" s="50">
        <v>0</v>
      </c>
      <c r="O13" s="15">
        <f t="shared" si="0"/>
        <v>15</v>
      </c>
      <c r="P13" s="15">
        <f t="shared" si="1"/>
        <v>27</v>
      </c>
      <c r="R13" s="1" t="s">
        <v>9</v>
      </c>
      <c r="S13" s="17">
        <f t="shared" ref="S13:AF13" si="5">SUM(C22:C25)</f>
        <v>22</v>
      </c>
      <c r="T13" s="17">
        <f t="shared" si="5"/>
        <v>5</v>
      </c>
      <c r="U13" s="17">
        <f t="shared" si="5"/>
        <v>5</v>
      </c>
      <c r="V13" s="17">
        <f t="shared" si="5"/>
        <v>20</v>
      </c>
      <c r="W13" s="17">
        <f t="shared" si="5"/>
        <v>1</v>
      </c>
      <c r="X13" s="17">
        <f t="shared" si="5"/>
        <v>4</v>
      </c>
      <c r="Y13" s="17">
        <f t="shared" si="5"/>
        <v>3</v>
      </c>
      <c r="Z13" s="17">
        <f t="shared" si="5"/>
        <v>2</v>
      </c>
      <c r="AA13" s="17">
        <f t="shared" si="5"/>
        <v>1</v>
      </c>
      <c r="AB13" s="17">
        <f t="shared" si="5"/>
        <v>0</v>
      </c>
      <c r="AC13" s="17">
        <f t="shared" si="5"/>
        <v>29</v>
      </c>
      <c r="AD13" s="17">
        <f t="shared" si="5"/>
        <v>0</v>
      </c>
      <c r="AE13" s="31">
        <f t="shared" si="5"/>
        <v>63</v>
      </c>
      <c r="AF13" s="31">
        <f t="shared" si="5"/>
        <v>92</v>
      </c>
    </row>
    <row r="14" spans="2:32" ht="23.1" customHeight="1" x14ac:dyDescent="0.25">
      <c r="B14" s="45" t="s">
        <v>41</v>
      </c>
      <c r="C14" s="50">
        <v>3</v>
      </c>
      <c r="D14" s="50">
        <v>2</v>
      </c>
      <c r="E14" s="50">
        <v>0</v>
      </c>
      <c r="F14" s="50">
        <v>6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19</v>
      </c>
      <c r="N14" s="50">
        <v>0</v>
      </c>
      <c r="O14" s="15">
        <f t="shared" si="0"/>
        <v>11</v>
      </c>
      <c r="P14" s="15">
        <f t="shared" si="1"/>
        <v>30</v>
      </c>
      <c r="R14" s="1" t="s">
        <v>10</v>
      </c>
      <c r="S14" s="17">
        <f t="shared" ref="S14:AF14" si="6">SUM(C26:C29)</f>
        <v>21</v>
      </c>
      <c r="T14" s="17">
        <f t="shared" si="6"/>
        <v>10</v>
      </c>
      <c r="U14" s="17">
        <f t="shared" si="6"/>
        <v>8</v>
      </c>
      <c r="V14" s="17">
        <f t="shared" si="6"/>
        <v>14</v>
      </c>
      <c r="W14" s="17">
        <f t="shared" si="6"/>
        <v>1</v>
      </c>
      <c r="X14" s="17">
        <f t="shared" si="6"/>
        <v>4</v>
      </c>
      <c r="Y14" s="17">
        <f t="shared" si="6"/>
        <v>2</v>
      </c>
      <c r="Z14" s="17">
        <f t="shared" si="6"/>
        <v>8</v>
      </c>
      <c r="AA14" s="17">
        <f t="shared" si="6"/>
        <v>8</v>
      </c>
      <c r="AB14" s="17">
        <f t="shared" si="6"/>
        <v>1</v>
      </c>
      <c r="AC14" s="17">
        <f t="shared" si="6"/>
        <v>39</v>
      </c>
      <c r="AD14" s="17">
        <f t="shared" si="6"/>
        <v>0</v>
      </c>
      <c r="AE14" s="31">
        <f t="shared" si="6"/>
        <v>77</v>
      </c>
      <c r="AF14" s="31">
        <f t="shared" si="6"/>
        <v>116</v>
      </c>
    </row>
    <row r="15" spans="2:32" ht="23.1" customHeight="1" x14ac:dyDescent="0.25">
      <c r="B15" s="45" t="s">
        <v>42</v>
      </c>
      <c r="C15" s="50">
        <v>4</v>
      </c>
      <c r="D15" s="50">
        <v>3</v>
      </c>
      <c r="E15" s="50">
        <v>0</v>
      </c>
      <c r="F15" s="50">
        <v>2</v>
      </c>
      <c r="G15" s="50">
        <v>0</v>
      </c>
      <c r="H15" s="50">
        <v>0</v>
      </c>
      <c r="I15" s="50">
        <v>1</v>
      </c>
      <c r="J15" s="50">
        <v>0</v>
      </c>
      <c r="K15" s="50">
        <v>3</v>
      </c>
      <c r="L15" s="50">
        <v>0</v>
      </c>
      <c r="M15" s="50">
        <v>23</v>
      </c>
      <c r="N15" s="50">
        <v>0</v>
      </c>
      <c r="O15" s="15">
        <f t="shared" si="0"/>
        <v>13</v>
      </c>
      <c r="P15" s="15">
        <f t="shared" si="1"/>
        <v>36</v>
      </c>
      <c r="R15" s="1" t="s">
        <v>11</v>
      </c>
      <c r="S15" s="17">
        <f t="shared" ref="S15:AF15" si="7">SUM(C30:C33)</f>
        <v>33</v>
      </c>
      <c r="T15" s="17">
        <f t="shared" si="7"/>
        <v>13</v>
      </c>
      <c r="U15" s="17">
        <f t="shared" si="7"/>
        <v>4</v>
      </c>
      <c r="V15" s="17">
        <f t="shared" si="7"/>
        <v>17</v>
      </c>
      <c r="W15" s="17">
        <f t="shared" si="7"/>
        <v>0</v>
      </c>
      <c r="X15" s="17">
        <f t="shared" si="7"/>
        <v>3</v>
      </c>
      <c r="Y15" s="17">
        <f t="shared" si="7"/>
        <v>2</v>
      </c>
      <c r="Z15" s="17">
        <f t="shared" si="7"/>
        <v>10</v>
      </c>
      <c r="AA15" s="17">
        <f t="shared" si="7"/>
        <v>6</v>
      </c>
      <c r="AB15" s="17">
        <f t="shared" si="7"/>
        <v>0</v>
      </c>
      <c r="AC15" s="17">
        <f t="shared" si="7"/>
        <v>26</v>
      </c>
      <c r="AD15" s="17">
        <f t="shared" si="7"/>
        <v>0</v>
      </c>
      <c r="AE15" s="31">
        <f t="shared" si="7"/>
        <v>88</v>
      </c>
      <c r="AF15" s="31">
        <f t="shared" si="7"/>
        <v>114</v>
      </c>
    </row>
    <row r="16" spans="2:32" ht="23.1" customHeight="1" x14ac:dyDescent="0.25">
      <c r="B16" s="45" t="s">
        <v>43</v>
      </c>
      <c r="C16" s="50">
        <v>4</v>
      </c>
      <c r="D16" s="50">
        <v>2</v>
      </c>
      <c r="E16" s="50">
        <v>0</v>
      </c>
      <c r="F16" s="50">
        <v>4</v>
      </c>
      <c r="G16" s="50">
        <v>0</v>
      </c>
      <c r="H16" s="50">
        <v>1</v>
      </c>
      <c r="I16" s="50">
        <v>0</v>
      </c>
      <c r="J16" s="50">
        <v>0</v>
      </c>
      <c r="K16" s="50">
        <v>0</v>
      </c>
      <c r="L16" s="50">
        <v>0</v>
      </c>
      <c r="M16" s="50">
        <v>23</v>
      </c>
      <c r="N16" s="50">
        <v>0</v>
      </c>
      <c r="O16" s="15">
        <f t="shared" si="0"/>
        <v>11</v>
      </c>
      <c r="P16" s="15">
        <f t="shared" si="1"/>
        <v>34</v>
      </c>
      <c r="R16" s="1" t="s">
        <v>12</v>
      </c>
      <c r="S16" s="17">
        <f t="shared" ref="S16:AF16" si="8">SUM(C34:C37)</f>
        <v>35</v>
      </c>
      <c r="T16" s="17">
        <f t="shared" si="8"/>
        <v>16</v>
      </c>
      <c r="U16" s="17">
        <f t="shared" si="8"/>
        <v>7</v>
      </c>
      <c r="V16" s="17">
        <f t="shared" si="8"/>
        <v>13</v>
      </c>
      <c r="W16" s="17">
        <f t="shared" si="8"/>
        <v>0</v>
      </c>
      <c r="X16" s="17">
        <f t="shared" si="8"/>
        <v>8</v>
      </c>
      <c r="Y16" s="17">
        <f t="shared" si="8"/>
        <v>8</v>
      </c>
      <c r="Z16" s="17">
        <f t="shared" si="8"/>
        <v>9</v>
      </c>
      <c r="AA16" s="17">
        <f t="shared" si="8"/>
        <v>6</v>
      </c>
      <c r="AB16" s="17">
        <f t="shared" si="8"/>
        <v>1</v>
      </c>
      <c r="AC16" s="17">
        <f t="shared" si="8"/>
        <v>27</v>
      </c>
      <c r="AD16" s="17">
        <f t="shared" si="8"/>
        <v>0</v>
      </c>
      <c r="AE16" s="31">
        <f t="shared" si="8"/>
        <v>103</v>
      </c>
      <c r="AF16" s="31">
        <f t="shared" si="8"/>
        <v>130</v>
      </c>
    </row>
    <row r="17" spans="2:32" ht="23.1" customHeight="1" x14ac:dyDescent="0.25">
      <c r="B17" s="45" t="s">
        <v>44</v>
      </c>
      <c r="C17" s="50">
        <v>3</v>
      </c>
      <c r="D17" s="50">
        <v>1</v>
      </c>
      <c r="E17" s="50">
        <v>0</v>
      </c>
      <c r="F17" s="50">
        <v>5</v>
      </c>
      <c r="G17" s="50">
        <v>0</v>
      </c>
      <c r="H17" s="50">
        <v>0</v>
      </c>
      <c r="I17" s="50">
        <v>1</v>
      </c>
      <c r="J17" s="50">
        <v>1</v>
      </c>
      <c r="K17" s="50">
        <v>1</v>
      </c>
      <c r="L17" s="50">
        <v>0</v>
      </c>
      <c r="M17" s="50">
        <v>12</v>
      </c>
      <c r="N17" s="50">
        <v>0</v>
      </c>
      <c r="O17" s="15">
        <f t="shared" si="0"/>
        <v>12</v>
      </c>
      <c r="P17" s="15">
        <f t="shared" si="1"/>
        <v>24</v>
      </c>
      <c r="R17" s="1" t="s">
        <v>13</v>
      </c>
      <c r="S17" s="17">
        <f t="shared" ref="S17:AF17" si="9">SUM(C38:C41)</f>
        <v>28</v>
      </c>
      <c r="T17" s="17">
        <f t="shared" si="9"/>
        <v>17</v>
      </c>
      <c r="U17" s="17">
        <f t="shared" si="9"/>
        <v>10</v>
      </c>
      <c r="V17" s="17">
        <f t="shared" si="9"/>
        <v>21</v>
      </c>
      <c r="W17" s="17">
        <f t="shared" si="9"/>
        <v>0</v>
      </c>
      <c r="X17" s="17">
        <f t="shared" si="9"/>
        <v>7</v>
      </c>
      <c r="Y17" s="17">
        <f t="shared" si="9"/>
        <v>3</v>
      </c>
      <c r="Z17" s="17">
        <f t="shared" si="9"/>
        <v>6</v>
      </c>
      <c r="AA17" s="17">
        <f t="shared" si="9"/>
        <v>12</v>
      </c>
      <c r="AB17" s="17">
        <f t="shared" si="9"/>
        <v>0</v>
      </c>
      <c r="AC17" s="17">
        <f t="shared" si="9"/>
        <v>40</v>
      </c>
      <c r="AD17" s="17">
        <f t="shared" si="9"/>
        <v>0</v>
      </c>
      <c r="AE17" s="31">
        <f t="shared" si="9"/>
        <v>104</v>
      </c>
      <c r="AF17" s="31">
        <f t="shared" si="9"/>
        <v>144</v>
      </c>
    </row>
    <row r="18" spans="2:32" ht="23.1" customHeight="1" x14ac:dyDescent="0.25">
      <c r="B18" s="45" t="s">
        <v>45</v>
      </c>
      <c r="C18" s="50">
        <v>3</v>
      </c>
      <c r="D18" s="50">
        <v>1</v>
      </c>
      <c r="E18" s="50">
        <v>0</v>
      </c>
      <c r="F18" s="50">
        <v>3</v>
      </c>
      <c r="G18" s="50">
        <v>0</v>
      </c>
      <c r="H18" s="50">
        <v>1</v>
      </c>
      <c r="I18" s="50">
        <v>0</v>
      </c>
      <c r="J18" s="50">
        <v>0</v>
      </c>
      <c r="K18" s="50">
        <v>1</v>
      </c>
      <c r="L18" s="50">
        <v>0</v>
      </c>
      <c r="M18" s="50">
        <v>12</v>
      </c>
      <c r="N18" s="50">
        <v>0</v>
      </c>
      <c r="O18" s="15">
        <f t="shared" si="0"/>
        <v>9</v>
      </c>
      <c r="P18" s="15">
        <f t="shared" si="1"/>
        <v>21</v>
      </c>
      <c r="R18" s="1" t="s">
        <v>14</v>
      </c>
      <c r="S18" s="17">
        <f t="shared" ref="S18:AF18" si="10">SUM(C42:C45)</f>
        <v>39</v>
      </c>
      <c r="T18" s="17">
        <f t="shared" si="10"/>
        <v>18</v>
      </c>
      <c r="U18" s="17">
        <f t="shared" si="10"/>
        <v>6</v>
      </c>
      <c r="V18" s="17">
        <f t="shared" si="10"/>
        <v>23</v>
      </c>
      <c r="W18" s="17">
        <f t="shared" si="10"/>
        <v>3</v>
      </c>
      <c r="X18" s="17">
        <f t="shared" si="10"/>
        <v>7</v>
      </c>
      <c r="Y18" s="17">
        <f t="shared" si="10"/>
        <v>4</v>
      </c>
      <c r="Z18" s="17">
        <f t="shared" si="10"/>
        <v>11</v>
      </c>
      <c r="AA18" s="17">
        <f t="shared" si="10"/>
        <v>16</v>
      </c>
      <c r="AB18" s="17">
        <f t="shared" si="10"/>
        <v>3</v>
      </c>
      <c r="AC18" s="17">
        <f t="shared" si="10"/>
        <v>35</v>
      </c>
      <c r="AD18" s="17">
        <f t="shared" si="10"/>
        <v>0</v>
      </c>
      <c r="AE18" s="31">
        <f t="shared" si="10"/>
        <v>130</v>
      </c>
      <c r="AF18" s="31">
        <f t="shared" si="10"/>
        <v>165</v>
      </c>
    </row>
    <row r="19" spans="2:32" ht="23.1" customHeight="1" x14ac:dyDescent="0.25">
      <c r="B19" s="45" t="s">
        <v>46</v>
      </c>
      <c r="C19" s="50">
        <v>1</v>
      </c>
      <c r="D19" s="50">
        <v>3</v>
      </c>
      <c r="E19" s="50">
        <v>1</v>
      </c>
      <c r="F19" s="50">
        <v>5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9</v>
      </c>
      <c r="N19" s="50">
        <v>0</v>
      </c>
      <c r="O19" s="15">
        <f t="shared" si="0"/>
        <v>12</v>
      </c>
      <c r="P19" s="15">
        <f t="shared" si="1"/>
        <v>21</v>
      </c>
      <c r="R19" s="1" t="s">
        <v>15</v>
      </c>
      <c r="S19" s="17">
        <f t="shared" ref="S19:AF19" si="11">SUM(C46:C49)</f>
        <v>42</v>
      </c>
      <c r="T19" s="17">
        <f t="shared" si="11"/>
        <v>13</v>
      </c>
      <c r="U19" s="17">
        <f t="shared" si="11"/>
        <v>7</v>
      </c>
      <c r="V19" s="17">
        <f t="shared" si="11"/>
        <v>23</v>
      </c>
      <c r="W19" s="17">
        <f t="shared" si="11"/>
        <v>1</v>
      </c>
      <c r="X19" s="17">
        <f t="shared" si="11"/>
        <v>9</v>
      </c>
      <c r="Y19" s="17">
        <f t="shared" si="11"/>
        <v>6</v>
      </c>
      <c r="Z19" s="17">
        <f t="shared" si="11"/>
        <v>14</v>
      </c>
      <c r="AA19" s="17">
        <f t="shared" si="11"/>
        <v>4</v>
      </c>
      <c r="AB19" s="17">
        <f t="shared" si="11"/>
        <v>0</v>
      </c>
      <c r="AC19" s="17">
        <f t="shared" si="11"/>
        <v>42</v>
      </c>
      <c r="AD19" s="17">
        <f t="shared" si="11"/>
        <v>0</v>
      </c>
      <c r="AE19" s="31">
        <f t="shared" si="11"/>
        <v>119</v>
      </c>
      <c r="AF19" s="31">
        <f t="shared" si="11"/>
        <v>161</v>
      </c>
    </row>
    <row r="20" spans="2:32" ht="23.1" customHeight="1" x14ac:dyDescent="0.25">
      <c r="B20" s="45" t="s">
        <v>47</v>
      </c>
      <c r="C20" s="50">
        <v>2</v>
      </c>
      <c r="D20" s="50">
        <v>1</v>
      </c>
      <c r="E20" s="50">
        <v>0</v>
      </c>
      <c r="F20" s="50">
        <v>3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15</v>
      </c>
      <c r="N20" s="50">
        <v>0</v>
      </c>
      <c r="O20" s="15">
        <f t="shared" si="0"/>
        <v>7</v>
      </c>
      <c r="P20" s="15">
        <f t="shared" si="1"/>
        <v>22</v>
      </c>
      <c r="R20" s="1" t="s">
        <v>16</v>
      </c>
      <c r="S20" s="17">
        <f t="shared" ref="S20:AF20" si="12">SUM(C50:C53)</f>
        <v>47</v>
      </c>
      <c r="T20" s="17">
        <f t="shared" si="12"/>
        <v>19</v>
      </c>
      <c r="U20" s="17">
        <f t="shared" si="12"/>
        <v>14</v>
      </c>
      <c r="V20" s="17">
        <f t="shared" si="12"/>
        <v>26</v>
      </c>
      <c r="W20" s="17">
        <f t="shared" si="12"/>
        <v>1</v>
      </c>
      <c r="X20" s="17">
        <f t="shared" si="12"/>
        <v>4</v>
      </c>
      <c r="Y20" s="17">
        <f t="shared" si="12"/>
        <v>9</v>
      </c>
      <c r="Z20" s="17">
        <f t="shared" si="12"/>
        <v>11</v>
      </c>
      <c r="AA20" s="17">
        <f t="shared" si="12"/>
        <v>13</v>
      </c>
      <c r="AB20" s="17">
        <f t="shared" si="12"/>
        <v>2</v>
      </c>
      <c r="AC20" s="17">
        <f t="shared" si="12"/>
        <v>54</v>
      </c>
      <c r="AD20" s="17">
        <f t="shared" si="12"/>
        <v>0</v>
      </c>
      <c r="AE20" s="31">
        <f t="shared" si="12"/>
        <v>146</v>
      </c>
      <c r="AF20" s="31">
        <f t="shared" si="12"/>
        <v>200</v>
      </c>
    </row>
    <row r="21" spans="2:32" ht="23.1" customHeight="1" x14ac:dyDescent="0.25">
      <c r="B21" s="45" t="s">
        <v>48</v>
      </c>
      <c r="C21" s="50">
        <v>0</v>
      </c>
      <c r="D21" s="50">
        <v>3</v>
      </c>
      <c r="E21" s="50">
        <v>0</v>
      </c>
      <c r="F21" s="50">
        <v>6</v>
      </c>
      <c r="G21" s="50">
        <v>0</v>
      </c>
      <c r="H21" s="50">
        <v>0</v>
      </c>
      <c r="I21" s="50">
        <v>2</v>
      </c>
      <c r="J21" s="50">
        <v>2</v>
      </c>
      <c r="K21" s="50">
        <v>3</v>
      </c>
      <c r="L21" s="50">
        <v>0</v>
      </c>
      <c r="M21" s="50">
        <v>7</v>
      </c>
      <c r="N21" s="50">
        <v>0</v>
      </c>
      <c r="O21" s="15">
        <f t="shared" si="0"/>
        <v>16</v>
      </c>
      <c r="P21" s="15">
        <f t="shared" si="1"/>
        <v>23</v>
      </c>
      <c r="R21" s="36" t="s">
        <v>20</v>
      </c>
      <c r="S21" s="34">
        <f t="shared" ref="S21:AF21" si="13">SUM(C54:C57)</f>
        <v>39</v>
      </c>
      <c r="T21" s="17">
        <f t="shared" si="13"/>
        <v>16</v>
      </c>
      <c r="U21" s="17">
        <f t="shared" si="13"/>
        <v>12</v>
      </c>
      <c r="V21" s="17">
        <f t="shared" si="13"/>
        <v>20</v>
      </c>
      <c r="W21" s="17">
        <f t="shared" si="13"/>
        <v>0</v>
      </c>
      <c r="X21" s="17">
        <f t="shared" si="13"/>
        <v>5</v>
      </c>
      <c r="Y21" s="17">
        <f t="shared" si="13"/>
        <v>14</v>
      </c>
      <c r="Z21" s="17">
        <f t="shared" si="13"/>
        <v>16</v>
      </c>
      <c r="AA21" s="17">
        <f t="shared" si="13"/>
        <v>6</v>
      </c>
      <c r="AB21" s="17">
        <f t="shared" si="13"/>
        <v>2</v>
      </c>
      <c r="AC21" s="17">
        <f t="shared" si="13"/>
        <v>33</v>
      </c>
      <c r="AD21" s="17">
        <f t="shared" si="13"/>
        <v>0</v>
      </c>
      <c r="AE21" s="31">
        <f t="shared" si="13"/>
        <v>130</v>
      </c>
      <c r="AF21" s="31">
        <f t="shared" si="13"/>
        <v>163</v>
      </c>
    </row>
    <row r="22" spans="2:32" ht="23.1" customHeight="1" x14ac:dyDescent="0.25">
      <c r="B22" s="45" t="s">
        <v>49</v>
      </c>
      <c r="C22" s="50">
        <v>5</v>
      </c>
      <c r="D22" s="50">
        <v>2</v>
      </c>
      <c r="E22" s="50">
        <v>0</v>
      </c>
      <c r="F22" s="50">
        <v>3</v>
      </c>
      <c r="G22" s="50">
        <v>0</v>
      </c>
      <c r="H22" s="50">
        <v>0</v>
      </c>
      <c r="I22" s="50">
        <v>0</v>
      </c>
      <c r="J22" s="50">
        <v>1</v>
      </c>
      <c r="K22" s="50">
        <v>1</v>
      </c>
      <c r="L22" s="50">
        <v>0</v>
      </c>
      <c r="M22" s="50">
        <v>11</v>
      </c>
      <c r="N22" s="50">
        <v>0</v>
      </c>
      <c r="O22" s="15">
        <f t="shared" si="0"/>
        <v>12</v>
      </c>
      <c r="P22" s="15">
        <f t="shared" si="1"/>
        <v>23</v>
      </c>
      <c r="R22" s="36" t="s">
        <v>146</v>
      </c>
      <c r="S22" s="34">
        <f>SUM(C58:C61)</f>
        <v>27</v>
      </c>
      <c r="T22" s="34">
        <f t="shared" ref="T22:AF22" si="14">SUM(D58:D61)</f>
        <v>8</v>
      </c>
      <c r="U22" s="34">
        <f t="shared" si="14"/>
        <v>9</v>
      </c>
      <c r="V22" s="34">
        <f t="shared" si="14"/>
        <v>16</v>
      </c>
      <c r="W22" s="34">
        <f t="shared" si="14"/>
        <v>0</v>
      </c>
      <c r="X22" s="34">
        <f t="shared" si="14"/>
        <v>5</v>
      </c>
      <c r="Y22" s="34">
        <f t="shared" si="14"/>
        <v>21</v>
      </c>
      <c r="Z22" s="34">
        <f t="shared" si="14"/>
        <v>7</v>
      </c>
      <c r="AA22" s="34">
        <f t="shared" si="14"/>
        <v>21</v>
      </c>
      <c r="AB22" s="34">
        <f t="shared" si="14"/>
        <v>1</v>
      </c>
      <c r="AC22" s="34">
        <f t="shared" si="14"/>
        <v>26</v>
      </c>
      <c r="AD22" s="34">
        <f t="shared" si="14"/>
        <v>0</v>
      </c>
      <c r="AE22" s="31">
        <f t="shared" si="14"/>
        <v>115</v>
      </c>
      <c r="AF22" s="31">
        <f t="shared" si="14"/>
        <v>141</v>
      </c>
    </row>
    <row r="23" spans="2:32" ht="23.1" customHeight="1" x14ac:dyDescent="0.25">
      <c r="B23" s="45" t="s">
        <v>50</v>
      </c>
      <c r="C23" s="50">
        <v>9</v>
      </c>
      <c r="D23" s="50">
        <v>0</v>
      </c>
      <c r="E23" s="50">
        <v>3</v>
      </c>
      <c r="F23" s="50">
        <v>4</v>
      </c>
      <c r="G23" s="50">
        <v>0</v>
      </c>
      <c r="H23" s="50">
        <v>1</v>
      </c>
      <c r="I23" s="50">
        <v>1</v>
      </c>
      <c r="J23" s="50">
        <v>0</v>
      </c>
      <c r="K23" s="50">
        <v>0</v>
      </c>
      <c r="L23" s="50">
        <v>0</v>
      </c>
      <c r="M23" s="50">
        <v>6</v>
      </c>
      <c r="N23" s="50">
        <v>0</v>
      </c>
      <c r="O23" s="15">
        <f t="shared" si="0"/>
        <v>18</v>
      </c>
      <c r="P23" s="15">
        <f t="shared" si="1"/>
        <v>24</v>
      </c>
      <c r="R23" s="36" t="s">
        <v>147</v>
      </c>
      <c r="S23" s="34">
        <f>SUM(C62:C65)</f>
        <v>38</v>
      </c>
      <c r="T23" s="34">
        <f t="shared" ref="T23:AF23" si="15">SUM(D62:D65)</f>
        <v>8</v>
      </c>
      <c r="U23" s="34">
        <f t="shared" si="15"/>
        <v>6</v>
      </c>
      <c r="V23" s="34">
        <f t="shared" si="15"/>
        <v>16</v>
      </c>
      <c r="W23" s="34">
        <f t="shared" si="15"/>
        <v>1</v>
      </c>
      <c r="X23" s="34">
        <f t="shared" si="15"/>
        <v>4</v>
      </c>
      <c r="Y23" s="34">
        <f t="shared" si="15"/>
        <v>17</v>
      </c>
      <c r="Z23" s="34">
        <f t="shared" si="15"/>
        <v>7</v>
      </c>
      <c r="AA23" s="34">
        <f t="shared" si="15"/>
        <v>13</v>
      </c>
      <c r="AB23" s="34">
        <f t="shared" si="15"/>
        <v>0</v>
      </c>
      <c r="AC23" s="34">
        <f t="shared" si="15"/>
        <v>18</v>
      </c>
      <c r="AD23" s="34">
        <f t="shared" si="15"/>
        <v>0</v>
      </c>
      <c r="AE23" s="31">
        <f t="shared" si="15"/>
        <v>110</v>
      </c>
      <c r="AF23" s="31">
        <f t="shared" si="15"/>
        <v>128</v>
      </c>
    </row>
    <row r="24" spans="2:32" ht="23.1" customHeight="1" x14ac:dyDescent="0.25">
      <c r="B24" s="45" t="s">
        <v>51</v>
      </c>
      <c r="C24" s="50">
        <v>4</v>
      </c>
      <c r="D24" s="50">
        <v>2</v>
      </c>
      <c r="E24" s="50">
        <v>1</v>
      </c>
      <c r="F24" s="50">
        <v>3</v>
      </c>
      <c r="G24" s="50">
        <v>1</v>
      </c>
      <c r="H24" s="50">
        <v>1</v>
      </c>
      <c r="I24" s="50">
        <v>1</v>
      </c>
      <c r="J24" s="50">
        <v>1</v>
      </c>
      <c r="K24" s="50">
        <v>0</v>
      </c>
      <c r="L24" s="50">
        <v>0</v>
      </c>
      <c r="M24" s="50">
        <v>3</v>
      </c>
      <c r="N24" s="50">
        <v>0</v>
      </c>
      <c r="O24" s="15">
        <f t="shared" si="0"/>
        <v>14</v>
      </c>
      <c r="P24" s="15">
        <f t="shared" si="1"/>
        <v>17</v>
      </c>
      <c r="R24" s="36" t="s">
        <v>148</v>
      </c>
      <c r="S24" s="34">
        <f>SUM(C66:C69)</f>
        <v>33</v>
      </c>
      <c r="T24" s="34">
        <f t="shared" ref="T24:AF24" si="16">SUM(D66:D69)</f>
        <v>7</v>
      </c>
      <c r="U24" s="34">
        <f t="shared" si="16"/>
        <v>8</v>
      </c>
      <c r="V24" s="34">
        <f t="shared" si="16"/>
        <v>8</v>
      </c>
      <c r="W24" s="34">
        <f t="shared" si="16"/>
        <v>1</v>
      </c>
      <c r="X24" s="34">
        <f t="shared" si="16"/>
        <v>3</v>
      </c>
      <c r="Y24" s="34">
        <f t="shared" si="16"/>
        <v>9</v>
      </c>
      <c r="Z24" s="34">
        <f t="shared" si="16"/>
        <v>32</v>
      </c>
      <c r="AA24" s="34">
        <f t="shared" si="16"/>
        <v>21</v>
      </c>
      <c r="AB24" s="34">
        <f t="shared" si="16"/>
        <v>0</v>
      </c>
      <c r="AC24" s="34">
        <f t="shared" si="16"/>
        <v>8</v>
      </c>
      <c r="AD24" s="34">
        <f t="shared" si="16"/>
        <v>0</v>
      </c>
      <c r="AE24" s="31">
        <f t="shared" si="16"/>
        <v>122</v>
      </c>
      <c r="AF24" s="31">
        <f t="shared" si="16"/>
        <v>130</v>
      </c>
    </row>
    <row r="25" spans="2:32" ht="23.1" customHeight="1" x14ac:dyDescent="0.25">
      <c r="B25" s="45" t="s">
        <v>52</v>
      </c>
      <c r="C25" s="50">
        <v>4</v>
      </c>
      <c r="D25" s="50">
        <v>1</v>
      </c>
      <c r="E25" s="50">
        <v>1</v>
      </c>
      <c r="F25" s="50">
        <v>10</v>
      </c>
      <c r="G25" s="50">
        <v>0</v>
      </c>
      <c r="H25" s="50">
        <v>2</v>
      </c>
      <c r="I25" s="50">
        <v>1</v>
      </c>
      <c r="J25" s="50">
        <v>0</v>
      </c>
      <c r="K25" s="50">
        <v>0</v>
      </c>
      <c r="L25" s="50">
        <v>0</v>
      </c>
      <c r="M25" s="50">
        <v>9</v>
      </c>
      <c r="N25" s="50">
        <v>0</v>
      </c>
      <c r="O25" s="15">
        <f t="shared" si="0"/>
        <v>19</v>
      </c>
      <c r="P25" s="15">
        <f t="shared" si="1"/>
        <v>28</v>
      </c>
      <c r="R25" s="36" t="s">
        <v>149</v>
      </c>
      <c r="S25" s="34">
        <f>SUM(C70:C73)</f>
        <v>19</v>
      </c>
      <c r="T25" s="34">
        <f t="shared" ref="T25:AF25" si="17">SUM(D70:D73)</f>
        <v>8</v>
      </c>
      <c r="U25" s="34">
        <f t="shared" si="17"/>
        <v>7</v>
      </c>
      <c r="V25" s="34">
        <f t="shared" si="17"/>
        <v>4</v>
      </c>
      <c r="W25" s="34">
        <f t="shared" si="17"/>
        <v>2</v>
      </c>
      <c r="X25" s="34">
        <f t="shared" si="17"/>
        <v>3</v>
      </c>
      <c r="Y25" s="34">
        <f t="shared" si="17"/>
        <v>2</v>
      </c>
      <c r="Z25" s="34">
        <f t="shared" si="17"/>
        <v>21</v>
      </c>
      <c r="AA25" s="34">
        <f t="shared" si="17"/>
        <v>14</v>
      </c>
      <c r="AB25" s="34">
        <f t="shared" si="17"/>
        <v>0</v>
      </c>
      <c r="AC25" s="34">
        <f t="shared" si="17"/>
        <v>6</v>
      </c>
      <c r="AD25" s="34">
        <f t="shared" si="17"/>
        <v>0</v>
      </c>
      <c r="AE25" s="31">
        <f t="shared" si="17"/>
        <v>80</v>
      </c>
      <c r="AF25" s="31">
        <f t="shared" si="17"/>
        <v>86</v>
      </c>
    </row>
    <row r="26" spans="2:32" ht="23.1" customHeight="1" x14ac:dyDescent="0.25">
      <c r="B26" s="45" t="s">
        <v>53</v>
      </c>
      <c r="C26" s="50">
        <v>6</v>
      </c>
      <c r="D26" s="50">
        <v>5</v>
      </c>
      <c r="E26" s="50">
        <v>3</v>
      </c>
      <c r="F26" s="50">
        <v>3</v>
      </c>
      <c r="G26" s="50">
        <v>0</v>
      </c>
      <c r="H26" s="50">
        <v>1</v>
      </c>
      <c r="I26" s="50">
        <v>0</v>
      </c>
      <c r="J26" s="50">
        <v>2</v>
      </c>
      <c r="K26" s="50">
        <v>2</v>
      </c>
      <c r="L26" s="50">
        <v>1</v>
      </c>
      <c r="M26" s="50">
        <v>11</v>
      </c>
      <c r="N26" s="50">
        <v>0</v>
      </c>
      <c r="O26" s="15">
        <f t="shared" si="0"/>
        <v>23</v>
      </c>
      <c r="P26" s="15">
        <f t="shared" si="1"/>
        <v>34</v>
      </c>
      <c r="R26" s="36" t="s">
        <v>150</v>
      </c>
      <c r="S26" s="34">
        <f>SUM(C74:C77)</f>
        <v>14</v>
      </c>
      <c r="T26" s="34">
        <f t="shared" ref="T26:AF26" si="18">SUM(D74:D77)</f>
        <v>6</v>
      </c>
      <c r="U26" s="34">
        <f t="shared" si="18"/>
        <v>0</v>
      </c>
      <c r="V26" s="34">
        <f t="shared" si="18"/>
        <v>1</v>
      </c>
      <c r="W26" s="34">
        <f t="shared" si="18"/>
        <v>0</v>
      </c>
      <c r="X26" s="34">
        <f t="shared" si="18"/>
        <v>3</v>
      </c>
      <c r="Y26" s="34">
        <f t="shared" si="18"/>
        <v>3</v>
      </c>
      <c r="Z26" s="34">
        <f t="shared" si="18"/>
        <v>27</v>
      </c>
      <c r="AA26" s="34">
        <f t="shared" si="18"/>
        <v>25</v>
      </c>
      <c r="AB26" s="34">
        <f t="shared" si="18"/>
        <v>0</v>
      </c>
      <c r="AC26" s="34">
        <f t="shared" si="18"/>
        <v>7</v>
      </c>
      <c r="AD26" s="34">
        <f t="shared" si="18"/>
        <v>0</v>
      </c>
      <c r="AE26" s="31">
        <f t="shared" si="18"/>
        <v>79</v>
      </c>
      <c r="AF26" s="31">
        <f t="shared" si="18"/>
        <v>86</v>
      </c>
    </row>
    <row r="27" spans="2:32" ht="23.1" customHeight="1" x14ac:dyDescent="0.25">
      <c r="B27" s="45" t="s">
        <v>54</v>
      </c>
      <c r="C27" s="50">
        <v>4</v>
      </c>
      <c r="D27" s="50">
        <v>3</v>
      </c>
      <c r="E27" s="50">
        <v>2</v>
      </c>
      <c r="F27" s="50">
        <v>1</v>
      </c>
      <c r="G27" s="50">
        <v>0</v>
      </c>
      <c r="H27" s="50">
        <v>1</v>
      </c>
      <c r="I27" s="50">
        <v>1</v>
      </c>
      <c r="J27" s="50">
        <v>3</v>
      </c>
      <c r="K27" s="50">
        <v>4</v>
      </c>
      <c r="L27" s="50">
        <v>0</v>
      </c>
      <c r="M27" s="50">
        <v>13</v>
      </c>
      <c r="N27" s="50">
        <v>0</v>
      </c>
      <c r="O27" s="15">
        <f t="shared" si="0"/>
        <v>19</v>
      </c>
      <c r="P27" s="15">
        <f t="shared" si="1"/>
        <v>32</v>
      </c>
      <c r="R27" s="36" t="s">
        <v>151</v>
      </c>
      <c r="S27" s="34">
        <f>SUM(C78:C81)</f>
        <v>3</v>
      </c>
      <c r="T27" s="34">
        <f t="shared" ref="T27:AF27" si="19">SUM(D78:D81)</f>
        <v>3</v>
      </c>
      <c r="U27" s="34">
        <f t="shared" si="19"/>
        <v>2</v>
      </c>
      <c r="V27" s="34">
        <f t="shared" si="19"/>
        <v>2</v>
      </c>
      <c r="W27" s="34">
        <f t="shared" si="19"/>
        <v>0</v>
      </c>
      <c r="X27" s="34">
        <f t="shared" si="19"/>
        <v>4</v>
      </c>
      <c r="Y27" s="34">
        <f t="shared" si="19"/>
        <v>1</v>
      </c>
      <c r="Z27" s="34">
        <f t="shared" si="19"/>
        <v>40</v>
      </c>
      <c r="AA27" s="34">
        <f t="shared" si="19"/>
        <v>11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66</v>
      </c>
      <c r="AF27" s="31">
        <f t="shared" si="19"/>
        <v>66</v>
      </c>
    </row>
    <row r="28" spans="2:32" ht="23.1" customHeight="1" x14ac:dyDescent="0.25">
      <c r="B28" s="45" t="s">
        <v>55</v>
      </c>
      <c r="C28" s="50">
        <v>8</v>
      </c>
      <c r="D28" s="50">
        <v>0</v>
      </c>
      <c r="E28" s="50">
        <v>2</v>
      </c>
      <c r="F28" s="50">
        <v>7</v>
      </c>
      <c r="G28" s="50">
        <v>1</v>
      </c>
      <c r="H28" s="50">
        <v>2</v>
      </c>
      <c r="I28" s="50">
        <v>1</v>
      </c>
      <c r="J28" s="50">
        <v>1</v>
      </c>
      <c r="K28" s="50">
        <v>2</v>
      </c>
      <c r="L28" s="50">
        <v>0</v>
      </c>
      <c r="M28" s="50">
        <v>4</v>
      </c>
      <c r="N28" s="50">
        <v>0</v>
      </c>
      <c r="O28" s="15">
        <f t="shared" si="0"/>
        <v>24</v>
      </c>
      <c r="P28" s="15">
        <f t="shared" si="1"/>
        <v>28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2</v>
      </c>
      <c r="V28" s="34">
        <f t="shared" si="20"/>
        <v>2</v>
      </c>
      <c r="W28" s="34">
        <f t="shared" si="20"/>
        <v>0</v>
      </c>
      <c r="X28" s="34">
        <f t="shared" si="20"/>
        <v>9</v>
      </c>
      <c r="Y28" s="34">
        <f t="shared" si="20"/>
        <v>3</v>
      </c>
      <c r="Z28" s="34">
        <f t="shared" si="20"/>
        <v>22</v>
      </c>
      <c r="AA28" s="34">
        <f t="shared" si="20"/>
        <v>3</v>
      </c>
      <c r="AB28" s="34">
        <f t="shared" si="20"/>
        <v>0</v>
      </c>
      <c r="AC28" s="34">
        <f t="shared" si="20"/>
        <v>2</v>
      </c>
      <c r="AD28" s="34">
        <f t="shared" si="20"/>
        <v>0</v>
      </c>
      <c r="AE28" s="31">
        <f t="shared" si="20"/>
        <v>42</v>
      </c>
      <c r="AF28" s="31">
        <f t="shared" si="20"/>
        <v>44</v>
      </c>
    </row>
    <row r="29" spans="2:32" ht="23.1" customHeight="1" x14ac:dyDescent="0.25">
      <c r="B29" s="45" t="s">
        <v>56</v>
      </c>
      <c r="C29" s="50">
        <v>3</v>
      </c>
      <c r="D29" s="50">
        <v>2</v>
      </c>
      <c r="E29" s="50">
        <v>1</v>
      </c>
      <c r="F29" s="50">
        <v>3</v>
      </c>
      <c r="G29" s="50">
        <v>0</v>
      </c>
      <c r="H29" s="50">
        <v>0</v>
      </c>
      <c r="I29" s="50">
        <v>0</v>
      </c>
      <c r="J29" s="50">
        <v>2</v>
      </c>
      <c r="K29" s="50">
        <v>0</v>
      </c>
      <c r="L29" s="50">
        <v>0</v>
      </c>
      <c r="M29" s="50">
        <v>11</v>
      </c>
      <c r="N29" s="50">
        <v>0</v>
      </c>
      <c r="O29" s="15">
        <f t="shared" si="0"/>
        <v>11</v>
      </c>
      <c r="P29" s="15">
        <f t="shared" si="1"/>
        <v>22</v>
      </c>
      <c r="R29" s="36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2</v>
      </c>
      <c r="W29" s="34">
        <f t="shared" si="21"/>
        <v>0</v>
      </c>
      <c r="X29" s="34">
        <f t="shared" si="21"/>
        <v>10</v>
      </c>
      <c r="Y29" s="34">
        <f t="shared" si="21"/>
        <v>1</v>
      </c>
      <c r="Z29" s="34">
        <f t="shared" si="21"/>
        <v>26</v>
      </c>
      <c r="AA29" s="34">
        <f t="shared" si="21"/>
        <v>2</v>
      </c>
      <c r="AB29" s="34">
        <f t="shared" si="21"/>
        <v>1</v>
      </c>
      <c r="AC29" s="34">
        <f t="shared" si="21"/>
        <v>0</v>
      </c>
      <c r="AD29" s="34">
        <f t="shared" si="21"/>
        <v>0</v>
      </c>
      <c r="AE29" s="31">
        <f t="shared" si="21"/>
        <v>45</v>
      </c>
      <c r="AF29" s="31">
        <f t="shared" si="21"/>
        <v>45</v>
      </c>
    </row>
    <row r="30" spans="2:32" ht="23.1" customHeight="1" x14ac:dyDescent="0.25">
      <c r="B30" s="45" t="s">
        <v>57</v>
      </c>
      <c r="C30" s="50">
        <v>3</v>
      </c>
      <c r="D30" s="50">
        <v>2</v>
      </c>
      <c r="E30" s="50">
        <v>0</v>
      </c>
      <c r="F30" s="50">
        <v>5</v>
      </c>
      <c r="G30" s="50">
        <v>0</v>
      </c>
      <c r="H30" s="50">
        <v>1</v>
      </c>
      <c r="I30" s="50">
        <v>0</v>
      </c>
      <c r="J30" s="50">
        <v>4</v>
      </c>
      <c r="K30" s="50">
        <v>0</v>
      </c>
      <c r="L30" s="50">
        <v>0</v>
      </c>
      <c r="M30" s="50">
        <v>3</v>
      </c>
      <c r="N30" s="50">
        <v>0</v>
      </c>
      <c r="O30" s="15">
        <f t="shared" si="0"/>
        <v>15</v>
      </c>
      <c r="P30" s="15">
        <f t="shared" si="1"/>
        <v>18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1</v>
      </c>
      <c r="W30" s="34">
        <f t="shared" si="22"/>
        <v>1</v>
      </c>
      <c r="X30" s="34">
        <f t="shared" si="22"/>
        <v>6</v>
      </c>
      <c r="Y30" s="34">
        <f t="shared" si="22"/>
        <v>1</v>
      </c>
      <c r="Z30" s="34">
        <f t="shared" si="22"/>
        <v>7</v>
      </c>
      <c r="AA30" s="34">
        <f t="shared" si="22"/>
        <v>4</v>
      </c>
      <c r="AB30" s="34">
        <f t="shared" si="22"/>
        <v>1</v>
      </c>
      <c r="AC30" s="34">
        <f t="shared" si="22"/>
        <v>0</v>
      </c>
      <c r="AD30" s="34">
        <f t="shared" si="22"/>
        <v>0</v>
      </c>
      <c r="AE30" s="31">
        <f t="shared" si="22"/>
        <v>22</v>
      </c>
      <c r="AF30" s="31">
        <f t="shared" si="22"/>
        <v>22</v>
      </c>
    </row>
    <row r="31" spans="2:32" ht="23.1" customHeight="1" x14ac:dyDescent="0.25">
      <c r="B31" s="46" t="s">
        <v>58</v>
      </c>
      <c r="C31" s="50">
        <v>10</v>
      </c>
      <c r="D31" s="50">
        <v>2</v>
      </c>
      <c r="E31" s="50">
        <v>1</v>
      </c>
      <c r="F31" s="50">
        <v>4</v>
      </c>
      <c r="G31" s="50">
        <v>0</v>
      </c>
      <c r="H31" s="50">
        <v>1</v>
      </c>
      <c r="I31" s="50">
        <v>1</v>
      </c>
      <c r="J31" s="50">
        <v>0</v>
      </c>
      <c r="K31" s="50">
        <v>2</v>
      </c>
      <c r="L31" s="50">
        <v>0</v>
      </c>
      <c r="M31" s="50">
        <v>10</v>
      </c>
      <c r="N31" s="50">
        <v>0</v>
      </c>
      <c r="O31" s="15">
        <f t="shared" si="0"/>
        <v>21</v>
      </c>
      <c r="P31" s="15">
        <f t="shared" si="1"/>
        <v>31</v>
      </c>
      <c r="R31" s="36" t="s">
        <v>155</v>
      </c>
      <c r="S31" s="34">
        <f>SUM(C94:C97)</f>
        <v>1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9</v>
      </c>
      <c r="Y31" s="34">
        <f t="shared" si="23"/>
        <v>3</v>
      </c>
      <c r="Z31" s="34">
        <f t="shared" si="23"/>
        <v>7</v>
      </c>
      <c r="AA31" s="34">
        <f t="shared" si="23"/>
        <v>2</v>
      </c>
      <c r="AB31" s="34">
        <f t="shared" si="23"/>
        <v>0</v>
      </c>
      <c r="AC31" s="34">
        <f t="shared" si="23"/>
        <v>3</v>
      </c>
      <c r="AD31" s="34">
        <f t="shared" si="23"/>
        <v>0</v>
      </c>
      <c r="AE31" s="31">
        <f t="shared" si="23"/>
        <v>22</v>
      </c>
      <c r="AF31" s="31">
        <f t="shared" si="23"/>
        <v>25</v>
      </c>
    </row>
    <row r="32" spans="2:32" ht="23.1" customHeight="1" x14ac:dyDescent="0.25">
      <c r="B32" s="46" t="s">
        <v>59</v>
      </c>
      <c r="C32" s="50">
        <v>11</v>
      </c>
      <c r="D32" s="50">
        <v>5</v>
      </c>
      <c r="E32" s="50">
        <v>3</v>
      </c>
      <c r="F32" s="50">
        <v>5</v>
      </c>
      <c r="G32" s="50">
        <v>0</v>
      </c>
      <c r="H32" s="50">
        <v>0</v>
      </c>
      <c r="I32" s="50">
        <v>1</v>
      </c>
      <c r="J32" s="50">
        <v>3</v>
      </c>
      <c r="K32" s="50">
        <v>0</v>
      </c>
      <c r="L32" s="50">
        <v>0</v>
      </c>
      <c r="M32" s="50">
        <v>7</v>
      </c>
      <c r="N32" s="50">
        <v>0</v>
      </c>
      <c r="O32" s="15">
        <f t="shared" si="0"/>
        <v>28</v>
      </c>
      <c r="P32" s="15">
        <f t="shared" si="1"/>
        <v>35</v>
      </c>
      <c r="R32" s="33" t="s">
        <v>156</v>
      </c>
      <c r="S32" s="34">
        <f>SUM(C98:C101)</f>
        <v>4</v>
      </c>
      <c r="T32" s="34">
        <f t="shared" ref="T32:AF32" si="24">SUM(D98:D101)</f>
        <v>1</v>
      </c>
      <c r="U32" s="34">
        <f t="shared" si="24"/>
        <v>1</v>
      </c>
      <c r="V32" s="34">
        <f t="shared" si="24"/>
        <v>4</v>
      </c>
      <c r="W32" s="34">
        <f t="shared" si="24"/>
        <v>1</v>
      </c>
      <c r="X32" s="34">
        <f t="shared" si="24"/>
        <v>3</v>
      </c>
      <c r="Y32" s="34">
        <f t="shared" si="24"/>
        <v>1</v>
      </c>
      <c r="Z32" s="34">
        <f t="shared" si="24"/>
        <v>2</v>
      </c>
      <c r="AA32" s="34">
        <f t="shared" si="24"/>
        <v>5</v>
      </c>
      <c r="AB32" s="34">
        <f t="shared" si="24"/>
        <v>3</v>
      </c>
      <c r="AC32" s="34">
        <f t="shared" si="24"/>
        <v>2</v>
      </c>
      <c r="AD32" s="34">
        <f t="shared" si="24"/>
        <v>0</v>
      </c>
      <c r="AE32" s="31">
        <f t="shared" si="24"/>
        <v>25</v>
      </c>
      <c r="AF32" s="31">
        <f t="shared" si="24"/>
        <v>27</v>
      </c>
    </row>
    <row r="33" spans="2:32" ht="23.1" customHeight="1" x14ac:dyDescent="0.25">
      <c r="B33" s="45" t="s">
        <v>60</v>
      </c>
      <c r="C33" s="50">
        <v>9</v>
      </c>
      <c r="D33" s="50">
        <v>4</v>
      </c>
      <c r="E33" s="50">
        <v>0</v>
      </c>
      <c r="F33" s="50">
        <v>3</v>
      </c>
      <c r="G33" s="50">
        <v>0</v>
      </c>
      <c r="H33" s="50">
        <v>1</v>
      </c>
      <c r="I33" s="50">
        <v>0</v>
      </c>
      <c r="J33" s="50">
        <v>3</v>
      </c>
      <c r="K33" s="50">
        <v>4</v>
      </c>
      <c r="L33" s="50">
        <v>0</v>
      </c>
      <c r="M33" s="50">
        <v>6</v>
      </c>
      <c r="N33" s="50">
        <v>0</v>
      </c>
      <c r="O33" s="15">
        <f t="shared" si="0"/>
        <v>24</v>
      </c>
      <c r="P33" s="15">
        <f t="shared" si="1"/>
        <v>30</v>
      </c>
      <c r="R33" s="33" t="s">
        <v>157</v>
      </c>
      <c r="S33" s="34">
        <f>SUM(C102:C105)</f>
        <v>8</v>
      </c>
      <c r="T33" s="34">
        <f t="shared" ref="T33:AF33" si="25">SUM(D102:D105)</f>
        <v>3</v>
      </c>
      <c r="U33" s="34">
        <f t="shared" si="25"/>
        <v>5</v>
      </c>
      <c r="V33" s="34">
        <f t="shared" si="25"/>
        <v>10</v>
      </c>
      <c r="W33" s="34">
        <f t="shared" si="25"/>
        <v>0</v>
      </c>
      <c r="X33" s="34">
        <f t="shared" si="25"/>
        <v>1</v>
      </c>
      <c r="Y33" s="34">
        <f t="shared" si="25"/>
        <v>2</v>
      </c>
      <c r="Z33" s="34">
        <f t="shared" si="25"/>
        <v>1</v>
      </c>
      <c r="AA33" s="34">
        <f t="shared" si="25"/>
        <v>4</v>
      </c>
      <c r="AB33" s="34">
        <f t="shared" si="25"/>
        <v>0</v>
      </c>
      <c r="AC33" s="34">
        <f t="shared" si="25"/>
        <v>13</v>
      </c>
      <c r="AD33" s="34">
        <f t="shared" si="25"/>
        <v>0</v>
      </c>
      <c r="AE33" s="31">
        <f t="shared" si="25"/>
        <v>34</v>
      </c>
      <c r="AF33" s="31">
        <f t="shared" si="25"/>
        <v>47</v>
      </c>
    </row>
    <row r="34" spans="2:32" ht="23.1" customHeight="1" x14ac:dyDescent="0.25">
      <c r="B34" s="46" t="s">
        <v>61</v>
      </c>
      <c r="C34" s="50">
        <v>10</v>
      </c>
      <c r="D34" s="50">
        <v>7</v>
      </c>
      <c r="E34" s="50">
        <v>3</v>
      </c>
      <c r="F34" s="50">
        <v>2</v>
      </c>
      <c r="G34" s="50">
        <v>0</v>
      </c>
      <c r="H34" s="50">
        <v>3</v>
      </c>
      <c r="I34" s="50">
        <v>0</v>
      </c>
      <c r="J34" s="50">
        <v>2</v>
      </c>
      <c r="K34" s="50">
        <v>0</v>
      </c>
      <c r="L34" s="50">
        <v>1</v>
      </c>
      <c r="M34" s="50">
        <v>3</v>
      </c>
      <c r="N34" s="50">
        <v>0</v>
      </c>
      <c r="O34" s="15">
        <f t="shared" si="0"/>
        <v>28</v>
      </c>
      <c r="P34" s="15">
        <f t="shared" si="1"/>
        <v>31</v>
      </c>
      <c r="R34" s="38" t="s">
        <v>90</v>
      </c>
      <c r="S34" s="39">
        <f t="shared" ref="S34:AF34" si="26">MAX(S10:S12)</f>
        <v>14</v>
      </c>
      <c r="T34" s="39">
        <f t="shared" si="26"/>
        <v>8</v>
      </c>
      <c r="U34" s="39">
        <f t="shared" si="26"/>
        <v>3</v>
      </c>
      <c r="V34" s="39">
        <f t="shared" si="26"/>
        <v>17</v>
      </c>
      <c r="W34" s="39">
        <f t="shared" si="26"/>
        <v>0</v>
      </c>
      <c r="X34" s="39">
        <f t="shared" si="26"/>
        <v>1</v>
      </c>
      <c r="Y34" s="39">
        <f t="shared" si="26"/>
        <v>4</v>
      </c>
      <c r="Z34" s="39">
        <f t="shared" si="26"/>
        <v>5</v>
      </c>
      <c r="AA34" s="39">
        <f t="shared" si="26"/>
        <v>12</v>
      </c>
      <c r="AB34" s="39">
        <f t="shared" si="26"/>
        <v>0</v>
      </c>
      <c r="AC34" s="39">
        <f t="shared" si="26"/>
        <v>77</v>
      </c>
      <c r="AD34" s="39">
        <f t="shared" si="26"/>
        <v>0</v>
      </c>
      <c r="AE34" s="40">
        <f t="shared" si="26"/>
        <v>47</v>
      </c>
      <c r="AF34" s="40">
        <f t="shared" si="26"/>
        <v>124</v>
      </c>
    </row>
    <row r="35" spans="2:32" ht="23.1" customHeight="1" x14ac:dyDescent="0.25">
      <c r="B35" s="46" t="s">
        <v>62</v>
      </c>
      <c r="C35" s="50">
        <v>9</v>
      </c>
      <c r="D35" s="50">
        <v>3</v>
      </c>
      <c r="E35" s="50">
        <v>1</v>
      </c>
      <c r="F35" s="50">
        <v>4</v>
      </c>
      <c r="G35" s="50">
        <v>0</v>
      </c>
      <c r="H35" s="50">
        <v>1</v>
      </c>
      <c r="I35" s="50">
        <v>1</v>
      </c>
      <c r="J35" s="50">
        <v>1</v>
      </c>
      <c r="K35" s="50">
        <v>0</v>
      </c>
      <c r="L35" s="50">
        <v>0</v>
      </c>
      <c r="M35" s="50">
        <v>3</v>
      </c>
      <c r="N35" s="50">
        <v>0</v>
      </c>
      <c r="O35" s="15">
        <f t="shared" si="0"/>
        <v>20</v>
      </c>
      <c r="P35" s="15">
        <f t="shared" si="1"/>
        <v>23</v>
      </c>
      <c r="R35" s="38" t="s">
        <v>91</v>
      </c>
      <c r="S35" s="39">
        <f t="shared" ref="S35:AF35" si="27">MAX(S13:S18)</f>
        <v>39</v>
      </c>
      <c r="T35" s="39">
        <f t="shared" si="27"/>
        <v>18</v>
      </c>
      <c r="U35" s="39">
        <f t="shared" si="27"/>
        <v>10</v>
      </c>
      <c r="V35" s="39">
        <f t="shared" si="27"/>
        <v>23</v>
      </c>
      <c r="W35" s="39">
        <f t="shared" si="27"/>
        <v>3</v>
      </c>
      <c r="X35" s="39">
        <f t="shared" si="27"/>
        <v>8</v>
      </c>
      <c r="Y35" s="39">
        <f t="shared" si="27"/>
        <v>8</v>
      </c>
      <c r="Z35" s="39">
        <f t="shared" si="27"/>
        <v>11</v>
      </c>
      <c r="AA35" s="39">
        <f t="shared" si="27"/>
        <v>16</v>
      </c>
      <c r="AB35" s="39">
        <f t="shared" si="27"/>
        <v>3</v>
      </c>
      <c r="AC35" s="39">
        <f t="shared" si="27"/>
        <v>40</v>
      </c>
      <c r="AD35" s="39">
        <f t="shared" si="27"/>
        <v>0</v>
      </c>
      <c r="AE35" s="40">
        <f t="shared" si="27"/>
        <v>130</v>
      </c>
      <c r="AF35" s="40">
        <f t="shared" si="27"/>
        <v>165</v>
      </c>
    </row>
    <row r="36" spans="2:32" ht="23.1" customHeight="1" x14ac:dyDescent="0.25">
      <c r="B36" s="46" t="s">
        <v>63</v>
      </c>
      <c r="C36" s="50">
        <v>8</v>
      </c>
      <c r="D36" s="50">
        <v>6</v>
      </c>
      <c r="E36" s="50">
        <v>2</v>
      </c>
      <c r="F36" s="50">
        <v>4</v>
      </c>
      <c r="G36" s="50">
        <v>0</v>
      </c>
      <c r="H36" s="50">
        <v>3</v>
      </c>
      <c r="I36" s="50">
        <v>3</v>
      </c>
      <c r="J36" s="50">
        <v>4</v>
      </c>
      <c r="K36" s="50">
        <v>4</v>
      </c>
      <c r="L36" s="50">
        <v>0</v>
      </c>
      <c r="M36" s="50">
        <v>9</v>
      </c>
      <c r="N36" s="50">
        <v>0</v>
      </c>
      <c r="O36" s="15">
        <f t="shared" si="0"/>
        <v>34</v>
      </c>
      <c r="P36" s="15">
        <f t="shared" si="1"/>
        <v>43</v>
      </c>
      <c r="R36" s="38" t="s">
        <v>92</v>
      </c>
      <c r="S36" s="39">
        <f t="shared" ref="S36:AF36" si="28">MAX(S19:S21)</f>
        <v>47</v>
      </c>
      <c r="T36" s="39">
        <f t="shared" si="28"/>
        <v>19</v>
      </c>
      <c r="U36" s="39">
        <f t="shared" si="28"/>
        <v>14</v>
      </c>
      <c r="V36" s="39">
        <f t="shared" si="28"/>
        <v>26</v>
      </c>
      <c r="W36" s="39">
        <f t="shared" si="28"/>
        <v>1</v>
      </c>
      <c r="X36" s="39">
        <f t="shared" si="28"/>
        <v>9</v>
      </c>
      <c r="Y36" s="39">
        <f t="shared" si="28"/>
        <v>14</v>
      </c>
      <c r="Z36" s="39">
        <f t="shared" si="28"/>
        <v>16</v>
      </c>
      <c r="AA36" s="39">
        <f t="shared" si="28"/>
        <v>13</v>
      </c>
      <c r="AB36" s="39">
        <f t="shared" si="28"/>
        <v>2</v>
      </c>
      <c r="AC36" s="39">
        <f t="shared" si="28"/>
        <v>54</v>
      </c>
      <c r="AD36" s="39">
        <f t="shared" si="28"/>
        <v>0</v>
      </c>
      <c r="AE36" s="40">
        <f t="shared" si="28"/>
        <v>146</v>
      </c>
      <c r="AF36" s="40">
        <f t="shared" si="28"/>
        <v>200</v>
      </c>
    </row>
    <row r="37" spans="2:32" ht="23.1" customHeight="1" x14ac:dyDescent="0.25">
      <c r="B37" s="45" t="s">
        <v>64</v>
      </c>
      <c r="C37" s="50">
        <v>8</v>
      </c>
      <c r="D37" s="50">
        <v>0</v>
      </c>
      <c r="E37" s="50">
        <v>1</v>
      </c>
      <c r="F37" s="50">
        <v>3</v>
      </c>
      <c r="G37" s="50">
        <v>0</v>
      </c>
      <c r="H37" s="50">
        <v>1</v>
      </c>
      <c r="I37" s="50">
        <v>4</v>
      </c>
      <c r="J37" s="50">
        <v>2</v>
      </c>
      <c r="K37" s="50">
        <v>2</v>
      </c>
      <c r="L37" s="50">
        <v>0</v>
      </c>
      <c r="M37" s="50">
        <v>12</v>
      </c>
      <c r="N37" s="50">
        <v>0</v>
      </c>
      <c r="O37" s="15">
        <f t="shared" si="0"/>
        <v>21</v>
      </c>
      <c r="P37" s="15">
        <f t="shared" si="1"/>
        <v>33</v>
      </c>
      <c r="R37" s="37" t="s">
        <v>85</v>
      </c>
      <c r="S37" s="35">
        <f t="shared" ref="S37:AF37" si="29">SUM(S10:S12)</f>
        <v>34</v>
      </c>
      <c r="T37" s="16">
        <f t="shared" si="29"/>
        <v>21</v>
      </c>
      <c r="U37" s="16">
        <f t="shared" si="29"/>
        <v>4</v>
      </c>
      <c r="V37" s="16">
        <f t="shared" si="29"/>
        <v>40</v>
      </c>
      <c r="W37" s="16">
        <f t="shared" si="29"/>
        <v>0</v>
      </c>
      <c r="X37" s="16">
        <f t="shared" si="29"/>
        <v>3</v>
      </c>
      <c r="Y37" s="16">
        <f t="shared" si="29"/>
        <v>7</v>
      </c>
      <c r="Z37" s="16">
        <f t="shared" si="29"/>
        <v>9</v>
      </c>
      <c r="AA37" s="16">
        <f t="shared" si="29"/>
        <v>20</v>
      </c>
      <c r="AB37" s="16">
        <f t="shared" si="29"/>
        <v>0</v>
      </c>
      <c r="AC37" s="16">
        <f t="shared" si="29"/>
        <v>165</v>
      </c>
      <c r="AD37" s="16">
        <f t="shared" si="29"/>
        <v>0</v>
      </c>
      <c r="AE37" s="32">
        <f t="shared" si="29"/>
        <v>138</v>
      </c>
      <c r="AF37" s="32">
        <f t="shared" si="29"/>
        <v>303</v>
      </c>
    </row>
    <row r="38" spans="2:32" ht="23.1" customHeight="1" x14ac:dyDescent="0.25">
      <c r="B38" s="46" t="s">
        <v>65</v>
      </c>
      <c r="C38" s="50">
        <v>7</v>
      </c>
      <c r="D38" s="50">
        <v>6</v>
      </c>
      <c r="E38" s="50">
        <v>3</v>
      </c>
      <c r="F38" s="50">
        <v>6</v>
      </c>
      <c r="G38" s="50">
        <v>0</v>
      </c>
      <c r="H38" s="50">
        <v>0</v>
      </c>
      <c r="I38" s="50">
        <v>0</v>
      </c>
      <c r="J38" s="50">
        <v>0</v>
      </c>
      <c r="K38" s="50">
        <v>4</v>
      </c>
      <c r="L38" s="50">
        <v>0</v>
      </c>
      <c r="M38" s="50">
        <v>11</v>
      </c>
      <c r="N38" s="50">
        <v>0</v>
      </c>
      <c r="O38" s="15">
        <f t="shared" si="0"/>
        <v>26</v>
      </c>
      <c r="P38" s="15">
        <f t="shared" si="1"/>
        <v>37</v>
      </c>
      <c r="R38" s="28" t="s">
        <v>86</v>
      </c>
      <c r="S38" s="16">
        <f t="shared" ref="S38:AF38" si="30">SUM(S13:S18)</f>
        <v>178</v>
      </c>
      <c r="T38" s="16">
        <f t="shared" si="30"/>
        <v>79</v>
      </c>
      <c r="U38" s="16">
        <f t="shared" si="30"/>
        <v>40</v>
      </c>
      <c r="V38" s="16">
        <f t="shared" si="30"/>
        <v>108</v>
      </c>
      <c r="W38" s="16">
        <f t="shared" si="30"/>
        <v>5</v>
      </c>
      <c r="X38" s="16">
        <f t="shared" si="30"/>
        <v>33</v>
      </c>
      <c r="Y38" s="16">
        <f t="shared" si="30"/>
        <v>22</v>
      </c>
      <c r="Z38" s="16">
        <f t="shared" si="30"/>
        <v>46</v>
      </c>
      <c r="AA38" s="16">
        <f t="shared" si="30"/>
        <v>49</v>
      </c>
      <c r="AB38" s="16">
        <f t="shared" si="30"/>
        <v>5</v>
      </c>
      <c r="AC38" s="16">
        <f t="shared" si="30"/>
        <v>196</v>
      </c>
      <c r="AD38" s="16">
        <f t="shared" si="30"/>
        <v>0</v>
      </c>
      <c r="AE38" s="32">
        <f t="shared" si="30"/>
        <v>565</v>
      </c>
      <c r="AF38" s="32">
        <f t="shared" si="30"/>
        <v>761</v>
      </c>
    </row>
    <row r="39" spans="2:32" ht="23.1" customHeight="1" x14ac:dyDescent="0.25">
      <c r="B39" s="46" t="s">
        <v>66</v>
      </c>
      <c r="C39" s="50">
        <v>2</v>
      </c>
      <c r="D39" s="50">
        <v>4</v>
      </c>
      <c r="E39" s="50">
        <v>1</v>
      </c>
      <c r="F39" s="50">
        <v>3</v>
      </c>
      <c r="G39" s="50">
        <v>0</v>
      </c>
      <c r="H39" s="50">
        <v>2</v>
      </c>
      <c r="I39" s="50">
        <v>1</v>
      </c>
      <c r="J39" s="50">
        <v>1</v>
      </c>
      <c r="K39" s="50">
        <v>0</v>
      </c>
      <c r="L39" s="50">
        <v>0</v>
      </c>
      <c r="M39" s="50">
        <v>7</v>
      </c>
      <c r="N39" s="50">
        <v>0</v>
      </c>
      <c r="O39" s="15">
        <f t="shared" si="0"/>
        <v>14</v>
      </c>
      <c r="P39" s="15">
        <f t="shared" si="1"/>
        <v>21</v>
      </c>
      <c r="R39" s="29" t="s">
        <v>87</v>
      </c>
      <c r="S39" s="16">
        <f t="shared" ref="S39:AF39" si="31">SUM(S19:S21)</f>
        <v>128</v>
      </c>
      <c r="T39" s="16">
        <f t="shared" si="31"/>
        <v>48</v>
      </c>
      <c r="U39" s="16">
        <f t="shared" si="31"/>
        <v>33</v>
      </c>
      <c r="V39" s="16">
        <f t="shared" si="31"/>
        <v>69</v>
      </c>
      <c r="W39" s="16">
        <f t="shared" si="31"/>
        <v>2</v>
      </c>
      <c r="X39" s="16">
        <f t="shared" si="31"/>
        <v>18</v>
      </c>
      <c r="Y39" s="16">
        <f t="shared" si="31"/>
        <v>29</v>
      </c>
      <c r="Z39" s="16">
        <f t="shared" si="31"/>
        <v>41</v>
      </c>
      <c r="AA39" s="16">
        <f t="shared" si="31"/>
        <v>23</v>
      </c>
      <c r="AB39" s="16">
        <f t="shared" si="31"/>
        <v>4</v>
      </c>
      <c r="AC39" s="16">
        <f t="shared" si="31"/>
        <v>129</v>
      </c>
      <c r="AD39" s="16">
        <f t="shared" si="31"/>
        <v>0</v>
      </c>
      <c r="AE39" s="32">
        <f t="shared" si="31"/>
        <v>395</v>
      </c>
      <c r="AF39" s="32">
        <f t="shared" si="31"/>
        <v>524</v>
      </c>
    </row>
    <row r="40" spans="2:32" ht="23.1" customHeight="1" x14ac:dyDescent="0.25">
      <c r="B40" s="46" t="s">
        <v>67</v>
      </c>
      <c r="C40" s="50">
        <v>10</v>
      </c>
      <c r="D40" s="50">
        <v>4</v>
      </c>
      <c r="E40" s="50">
        <v>3</v>
      </c>
      <c r="F40" s="50">
        <v>4</v>
      </c>
      <c r="G40" s="50">
        <v>0</v>
      </c>
      <c r="H40" s="50">
        <v>1</v>
      </c>
      <c r="I40" s="50">
        <v>1</v>
      </c>
      <c r="J40" s="50">
        <v>3</v>
      </c>
      <c r="K40" s="50">
        <v>4</v>
      </c>
      <c r="L40" s="50">
        <v>0</v>
      </c>
      <c r="M40" s="50">
        <v>8</v>
      </c>
      <c r="N40" s="50">
        <v>0</v>
      </c>
      <c r="O40" s="15">
        <f t="shared" si="0"/>
        <v>30</v>
      </c>
      <c r="P40" s="15">
        <f t="shared" si="1"/>
        <v>38</v>
      </c>
      <c r="R40" s="5" t="s">
        <v>17</v>
      </c>
      <c r="S40" s="16">
        <f t="shared" ref="S40:AF40" si="32">SUM(S10:S21)</f>
        <v>340</v>
      </c>
      <c r="T40" s="16">
        <f t="shared" si="32"/>
        <v>148</v>
      </c>
      <c r="U40" s="16">
        <f t="shared" si="32"/>
        <v>77</v>
      </c>
      <c r="V40" s="16">
        <f t="shared" si="32"/>
        <v>217</v>
      </c>
      <c r="W40" s="16">
        <f t="shared" si="32"/>
        <v>7</v>
      </c>
      <c r="X40" s="16">
        <f t="shared" si="32"/>
        <v>54</v>
      </c>
      <c r="Y40" s="16">
        <f t="shared" si="32"/>
        <v>58</v>
      </c>
      <c r="Z40" s="16">
        <f t="shared" si="32"/>
        <v>96</v>
      </c>
      <c r="AA40" s="16">
        <f t="shared" si="32"/>
        <v>92</v>
      </c>
      <c r="AB40" s="16">
        <f t="shared" si="32"/>
        <v>9</v>
      </c>
      <c r="AC40" s="16">
        <f t="shared" si="32"/>
        <v>490</v>
      </c>
      <c r="AD40" s="16">
        <f t="shared" si="32"/>
        <v>0</v>
      </c>
      <c r="AE40" s="32">
        <f t="shared" si="32"/>
        <v>1098</v>
      </c>
      <c r="AF40" s="32">
        <f t="shared" si="32"/>
        <v>1588</v>
      </c>
    </row>
    <row r="41" spans="2:32" ht="23.1" customHeight="1" x14ac:dyDescent="0.25">
      <c r="B41" s="45" t="s">
        <v>68</v>
      </c>
      <c r="C41" s="50">
        <v>9</v>
      </c>
      <c r="D41" s="50">
        <v>3</v>
      </c>
      <c r="E41" s="50">
        <v>3</v>
      </c>
      <c r="F41" s="50">
        <v>8</v>
      </c>
      <c r="G41" s="50">
        <v>0</v>
      </c>
      <c r="H41" s="50">
        <v>4</v>
      </c>
      <c r="I41" s="50">
        <v>1</v>
      </c>
      <c r="J41" s="50">
        <v>2</v>
      </c>
      <c r="K41" s="50">
        <v>4</v>
      </c>
      <c r="L41" s="50">
        <v>0</v>
      </c>
      <c r="M41" s="50">
        <v>14</v>
      </c>
      <c r="N41" s="50">
        <v>0</v>
      </c>
      <c r="O41" s="15">
        <f t="shared" si="0"/>
        <v>34</v>
      </c>
      <c r="P41" s="15">
        <f t="shared" si="1"/>
        <v>48</v>
      </c>
      <c r="R41" s="5" t="s">
        <v>159</v>
      </c>
      <c r="S41" s="16">
        <f>SUM(S10:S33)</f>
        <v>491</v>
      </c>
      <c r="T41" s="16">
        <f t="shared" ref="T41:AF41" si="33">SUM(T10:T33)</f>
        <v>192</v>
      </c>
      <c r="U41" s="16">
        <f t="shared" si="33"/>
        <v>118</v>
      </c>
      <c r="V41" s="16">
        <f t="shared" si="33"/>
        <v>283</v>
      </c>
      <c r="W41" s="16">
        <f t="shared" si="33"/>
        <v>13</v>
      </c>
      <c r="X41" s="16">
        <f t="shared" si="33"/>
        <v>114</v>
      </c>
      <c r="Y41" s="16">
        <f t="shared" si="33"/>
        <v>122</v>
      </c>
      <c r="Z41" s="16">
        <f t="shared" si="33"/>
        <v>295</v>
      </c>
      <c r="AA41" s="16">
        <f t="shared" si="33"/>
        <v>217</v>
      </c>
      <c r="AB41" s="16">
        <f t="shared" si="33"/>
        <v>15</v>
      </c>
      <c r="AC41" s="16">
        <f t="shared" si="33"/>
        <v>575</v>
      </c>
      <c r="AD41" s="16">
        <f t="shared" si="33"/>
        <v>0</v>
      </c>
      <c r="AE41" s="32">
        <f t="shared" si="33"/>
        <v>1860</v>
      </c>
      <c r="AF41" s="32">
        <f t="shared" si="33"/>
        <v>2435</v>
      </c>
    </row>
    <row r="42" spans="2:32" ht="23.1" customHeight="1" x14ac:dyDescent="0.25">
      <c r="B42" s="46" t="s">
        <v>69</v>
      </c>
      <c r="C42" s="50">
        <v>6</v>
      </c>
      <c r="D42" s="50">
        <v>2</v>
      </c>
      <c r="E42" s="50">
        <v>1</v>
      </c>
      <c r="F42" s="50">
        <v>2</v>
      </c>
      <c r="G42" s="50">
        <v>0</v>
      </c>
      <c r="H42" s="50">
        <v>3</v>
      </c>
      <c r="I42" s="50">
        <v>0</v>
      </c>
      <c r="J42" s="50">
        <v>2</v>
      </c>
      <c r="K42" s="50">
        <v>0</v>
      </c>
      <c r="L42" s="50">
        <v>0</v>
      </c>
      <c r="M42" s="50">
        <v>11</v>
      </c>
      <c r="N42" s="50">
        <v>0</v>
      </c>
      <c r="O42" s="15">
        <f t="shared" si="0"/>
        <v>16</v>
      </c>
      <c r="P42" s="15">
        <f t="shared" si="1"/>
        <v>27</v>
      </c>
      <c r="R42" s="5" t="s">
        <v>160</v>
      </c>
      <c r="S42" s="48">
        <f>S41/S40</f>
        <v>1.4441176470588235</v>
      </c>
      <c r="T42" s="48">
        <f t="shared" ref="T42:AF42" si="34">T41/T40</f>
        <v>1.2972972972972974</v>
      </c>
      <c r="U42" s="48">
        <f t="shared" si="34"/>
        <v>1.5324675324675325</v>
      </c>
      <c r="V42" s="48">
        <f t="shared" si="34"/>
        <v>1.304147465437788</v>
      </c>
      <c r="W42" s="48">
        <f t="shared" si="34"/>
        <v>1.8571428571428572</v>
      </c>
      <c r="X42" s="48">
        <f t="shared" si="34"/>
        <v>2.1111111111111112</v>
      </c>
      <c r="Y42" s="48">
        <f t="shared" si="34"/>
        <v>2.103448275862069</v>
      </c>
      <c r="Z42" s="48">
        <f t="shared" si="34"/>
        <v>3.0729166666666665</v>
      </c>
      <c r="AA42" s="48">
        <f t="shared" si="34"/>
        <v>2.3586956521739131</v>
      </c>
      <c r="AB42" s="48">
        <f t="shared" si="34"/>
        <v>1.6666666666666667</v>
      </c>
      <c r="AC42" s="48">
        <f t="shared" si="34"/>
        <v>1.1734693877551021</v>
      </c>
      <c r="AD42" s="48" t="e">
        <f t="shared" si="34"/>
        <v>#DIV/0!</v>
      </c>
      <c r="AE42" s="48">
        <f t="shared" si="34"/>
        <v>1.6939890710382515</v>
      </c>
      <c r="AF42" s="48">
        <f t="shared" si="34"/>
        <v>1.5333753148614611</v>
      </c>
    </row>
    <row r="43" spans="2:32" ht="23.1" customHeight="1" x14ac:dyDescent="0.25">
      <c r="B43" s="45" t="s">
        <v>70</v>
      </c>
      <c r="C43" s="50">
        <v>16</v>
      </c>
      <c r="D43" s="50">
        <v>7</v>
      </c>
      <c r="E43" s="50">
        <v>1</v>
      </c>
      <c r="F43" s="50">
        <v>6</v>
      </c>
      <c r="G43" s="50">
        <v>1</v>
      </c>
      <c r="H43" s="50">
        <v>2</v>
      </c>
      <c r="I43" s="50">
        <v>3</v>
      </c>
      <c r="J43" s="50">
        <v>2</v>
      </c>
      <c r="K43" s="50">
        <v>6</v>
      </c>
      <c r="L43" s="50">
        <v>2</v>
      </c>
      <c r="M43" s="50">
        <v>7</v>
      </c>
      <c r="N43" s="50">
        <v>0</v>
      </c>
      <c r="O43" s="15">
        <f t="shared" si="0"/>
        <v>46</v>
      </c>
      <c r="P43" s="15">
        <f t="shared" si="1"/>
        <v>53</v>
      </c>
    </row>
    <row r="44" spans="2:32" ht="23.1" customHeight="1" x14ac:dyDescent="0.25">
      <c r="B44" s="47" t="s">
        <v>71</v>
      </c>
      <c r="C44" s="50">
        <v>12</v>
      </c>
      <c r="D44" s="50">
        <v>2</v>
      </c>
      <c r="E44" s="50">
        <v>3</v>
      </c>
      <c r="F44" s="50">
        <v>10</v>
      </c>
      <c r="G44" s="50">
        <v>1</v>
      </c>
      <c r="H44" s="50">
        <v>1</v>
      </c>
      <c r="I44" s="50">
        <v>0</v>
      </c>
      <c r="J44" s="50">
        <v>5</v>
      </c>
      <c r="K44" s="50">
        <v>8</v>
      </c>
      <c r="L44" s="50">
        <v>1</v>
      </c>
      <c r="M44" s="50">
        <v>11</v>
      </c>
      <c r="N44" s="50">
        <v>0</v>
      </c>
      <c r="O44" s="15">
        <f t="shared" si="0"/>
        <v>43</v>
      </c>
      <c r="P44" s="15">
        <f t="shared" si="1"/>
        <v>54</v>
      </c>
    </row>
    <row r="45" spans="2:32" ht="23.1" customHeight="1" x14ac:dyDescent="0.25">
      <c r="B45" s="45" t="s">
        <v>72</v>
      </c>
      <c r="C45" s="50">
        <v>5</v>
      </c>
      <c r="D45" s="50">
        <v>7</v>
      </c>
      <c r="E45" s="50">
        <v>1</v>
      </c>
      <c r="F45" s="50">
        <v>5</v>
      </c>
      <c r="G45" s="50">
        <v>1</v>
      </c>
      <c r="H45" s="50">
        <v>1</v>
      </c>
      <c r="I45" s="50">
        <v>1</v>
      </c>
      <c r="J45" s="50">
        <v>2</v>
      </c>
      <c r="K45" s="50">
        <v>2</v>
      </c>
      <c r="L45" s="50">
        <v>0</v>
      </c>
      <c r="M45" s="50">
        <v>6</v>
      </c>
      <c r="N45" s="50">
        <v>0</v>
      </c>
      <c r="O45" s="15">
        <f t="shared" si="0"/>
        <v>25</v>
      </c>
      <c r="P45" s="15">
        <f t="shared" si="1"/>
        <v>31</v>
      </c>
    </row>
    <row r="46" spans="2:32" ht="23.1" customHeight="1" x14ac:dyDescent="0.25">
      <c r="B46" s="46" t="s">
        <v>73</v>
      </c>
      <c r="C46" s="50">
        <v>11</v>
      </c>
      <c r="D46" s="50">
        <v>2</v>
      </c>
      <c r="E46" s="50">
        <v>1</v>
      </c>
      <c r="F46" s="50">
        <v>6</v>
      </c>
      <c r="G46" s="50">
        <v>0</v>
      </c>
      <c r="H46" s="50">
        <v>2</v>
      </c>
      <c r="I46" s="50">
        <v>2</v>
      </c>
      <c r="J46" s="50">
        <v>2</v>
      </c>
      <c r="K46" s="50">
        <v>0</v>
      </c>
      <c r="L46" s="50">
        <v>0</v>
      </c>
      <c r="M46" s="50">
        <v>13</v>
      </c>
      <c r="N46" s="50">
        <v>0</v>
      </c>
      <c r="O46" s="15">
        <f t="shared" si="0"/>
        <v>26</v>
      </c>
      <c r="P46" s="15">
        <f t="shared" si="1"/>
        <v>39</v>
      </c>
      <c r="R46" s="8"/>
      <c r="T46"/>
    </row>
    <row r="47" spans="2:32" ht="23.1" customHeight="1" x14ac:dyDescent="0.25">
      <c r="B47" s="46" t="s">
        <v>74</v>
      </c>
      <c r="C47" s="50">
        <v>10</v>
      </c>
      <c r="D47" s="50">
        <v>2</v>
      </c>
      <c r="E47" s="50">
        <v>3</v>
      </c>
      <c r="F47" s="50">
        <v>5</v>
      </c>
      <c r="G47" s="50">
        <v>0</v>
      </c>
      <c r="H47" s="50">
        <v>2</v>
      </c>
      <c r="I47" s="50">
        <v>2</v>
      </c>
      <c r="J47" s="50">
        <v>1</v>
      </c>
      <c r="K47" s="50">
        <v>1</v>
      </c>
      <c r="L47" s="50">
        <v>0</v>
      </c>
      <c r="M47" s="50">
        <v>7</v>
      </c>
      <c r="N47" s="50">
        <v>0</v>
      </c>
      <c r="O47" s="15">
        <f t="shared" si="0"/>
        <v>26</v>
      </c>
      <c r="P47" s="15">
        <f t="shared" si="1"/>
        <v>33</v>
      </c>
      <c r="R47" s="8"/>
      <c r="T47"/>
    </row>
    <row r="48" spans="2:32" ht="23.1" customHeight="1" x14ac:dyDescent="0.25">
      <c r="B48" s="46" t="s">
        <v>75</v>
      </c>
      <c r="C48" s="50">
        <v>12</v>
      </c>
      <c r="D48" s="50">
        <v>5</v>
      </c>
      <c r="E48" s="50">
        <v>0</v>
      </c>
      <c r="F48" s="50">
        <v>6</v>
      </c>
      <c r="G48" s="50">
        <v>0</v>
      </c>
      <c r="H48" s="50">
        <v>4</v>
      </c>
      <c r="I48" s="50">
        <v>0</v>
      </c>
      <c r="J48" s="50">
        <v>5</v>
      </c>
      <c r="K48" s="50">
        <v>0</v>
      </c>
      <c r="L48" s="50">
        <v>0</v>
      </c>
      <c r="M48" s="50">
        <v>11</v>
      </c>
      <c r="N48" s="50">
        <v>0</v>
      </c>
      <c r="O48" s="15">
        <f t="shared" si="0"/>
        <v>32</v>
      </c>
      <c r="P48" s="15">
        <f t="shared" si="1"/>
        <v>43</v>
      </c>
      <c r="R48" s="8"/>
      <c r="T48"/>
    </row>
    <row r="49" spans="2:20" ht="23.1" customHeight="1" x14ac:dyDescent="0.25">
      <c r="B49" s="45" t="s">
        <v>76</v>
      </c>
      <c r="C49" s="50">
        <v>9</v>
      </c>
      <c r="D49" s="50">
        <v>4</v>
      </c>
      <c r="E49" s="50">
        <v>3</v>
      </c>
      <c r="F49" s="50">
        <v>6</v>
      </c>
      <c r="G49" s="50">
        <v>1</v>
      </c>
      <c r="H49" s="50">
        <v>1</v>
      </c>
      <c r="I49" s="50">
        <v>2</v>
      </c>
      <c r="J49" s="50">
        <v>6</v>
      </c>
      <c r="K49" s="50">
        <v>3</v>
      </c>
      <c r="L49" s="50">
        <v>0</v>
      </c>
      <c r="M49" s="50">
        <v>11</v>
      </c>
      <c r="N49" s="50">
        <v>0</v>
      </c>
      <c r="O49" s="15">
        <f t="shared" si="0"/>
        <v>35</v>
      </c>
      <c r="P49" s="15">
        <f t="shared" si="1"/>
        <v>46</v>
      </c>
      <c r="R49" s="8"/>
      <c r="T49"/>
    </row>
    <row r="50" spans="2:20" ht="23.1" customHeight="1" x14ac:dyDescent="0.25">
      <c r="B50" s="46" t="s">
        <v>77</v>
      </c>
      <c r="C50" s="50">
        <v>7</v>
      </c>
      <c r="D50" s="50">
        <v>5</v>
      </c>
      <c r="E50" s="50">
        <v>1</v>
      </c>
      <c r="F50" s="50">
        <v>10</v>
      </c>
      <c r="G50" s="50">
        <v>0</v>
      </c>
      <c r="H50" s="50">
        <v>0</v>
      </c>
      <c r="I50" s="50">
        <v>0</v>
      </c>
      <c r="J50" s="50">
        <v>2</v>
      </c>
      <c r="K50" s="50">
        <v>8</v>
      </c>
      <c r="L50" s="50">
        <v>0</v>
      </c>
      <c r="M50" s="50">
        <v>13</v>
      </c>
      <c r="N50" s="50">
        <v>0</v>
      </c>
      <c r="O50" s="15">
        <f t="shared" si="0"/>
        <v>33</v>
      </c>
      <c r="P50" s="15">
        <f t="shared" si="1"/>
        <v>46</v>
      </c>
      <c r="R50" s="8"/>
      <c r="T50"/>
    </row>
    <row r="51" spans="2:20" ht="23.1" customHeight="1" x14ac:dyDescent="0.25">
      <c r="B51" s="46" t="s">
        <v>78</v>
      </c>
      <c r="C51" s="50">
        <v>19</v>
      </c>
      <c r="D51" s="50">
        <v>6</v>
      </c>
      <c r="E51" s="50">
        <v>4</v>
      </c>
      <c r="F51" s="50">
        <v>5</v>
      </c>
      <c r="G51" s="50">
        <v>0</v>
      </c>
      <c r="H51" s="50">
        <v>2</v>
      </c>
      <c r="I51" s="50">
        <v>2</v>
      </c>
      <c r="J51" s="50">
        <v>3</v>
      </c>
      <c r="K51" s="50">
        <v>2</v>
      </c>
      <c r="L51" s="50">
        <v>1</v>
      </c>
      <c r="M51" s="50">
        <v>9</v>
      </c>
      <c r="N51" s="50">
        <v>0</v>
      </c>
      <c r="O51" s="15">
        <f t="shared" si="0"/>
        <v>44</v>
      </c>
      <c r="P51" s="15">
        <f t="shared" si="1"/>
        <v>53</v>
      </c>
      <c r="R51" s="8"/>
      <c r="T51"/>
    </row>
    <row r="52" spans="2:20" ht="23.1" customHeight="1" x14ac:dyDescent="0.25">
      <c r="B52" s="46" t="s">
        <v>79</v>
      </c>
      <c r="C52" s="50">
        <v>7</v>
      </c>
      <c r="D52" s="50">
        <v>2</v>
      </c>
      <c r="E52" s="50">
        <v>5</v>
      </c>
      <c r="F52" s="50">
        <v>3</v>
      </c>
      <c r="G52" s="50">
        <v>1</v>
      </c>
      <c r="H52" s="50">
        <v>2</v>
      </c>
      <c r="I52" s="50">
        <v>3</v>
      </c>
      <c r="J52" s="50">
        <v>3</v>
      </c>
      <c r="K52" s="50">
        <v>3</v>
      </c>
      <c r="L52" s="50">
        <v>0</v>
      </c>
      <c r="M52" s="50">
        <v>20</v>
      </c>
      <c r="N52" s="50">
        <v>0</v>
      </c>
      <c r="O52" s="15">
        <f t="shared" si="0"/>
        <v>29</v>
      </c>
      <c r="P52" s="15">
        <f t="shared" si="1"/>
        <v>49</v>
      </c>
      <c r="R52" s="8"/>
      <c r="T52"/>
    </row>
    <row r="53" spans="2:20" ht="23.1" customHeight="1" x14ac:dyDescent="0.25">
      <c r="B53" s="45" t="s">
        <v>80</v>
      </c>
      <c r="C53" s="50">
        <v>14</v>
      </c>
      <c r="D53" s="50">
        <v>6</v>
      </c>
      <c r="E53" s="50">
        <v>4</v>
      </c>
      <c r="F53" s="50">
        <v>8</v>
      </c>
      <c r="G53" s="50">
        <v>0</v>
      </c>
      <c r="H53" s="50">
        <v>0</v>
      </c>
      <c r="I53" s="50">
        <v>4</v>
      </c>
      <c r="J53" s="50">
        <v>3</v>
      </c>
      <c r="K53" s="50">
        <v>0</v>
      </c>
      <c r="L53" s="50">
        <v>1</v>
      </c>
      <c r="M53" s="50">
        <v>12</v>
      </c>
      <c r="N53" s="50">
        <v>0</v>
      </c>
      <c r="O53" s="15">
        <f t="shared" si="0"/>
        <v>40</v>
      </c>
      <c r="P53" s="15">
        <f t="shared" si="1"/>
        <v>52</v>
      </c>
      <c r="R53" s="8"/>
      <c r="T53"/>
    </row>
    <row r="54" spans="2:20" ht="23.1" customHeight="1" x14ac:dyDescent="0.25">
      <c r="B54" s="45" t="s">
        <v>81</v>
      </c>
      <c r="C54" s="50">
        <v>12</v>
      </c>
      <c r="D54" s="50">
        <v>4</v>
      </c>
      <c r="E54" s="50">
        <v>3</v>
      </c>
      <c r="F54" s="50">
        <v>12</v>
      </c>
      <c r="G54" s="50">
        <v>0</v>
      </c>
      <c r="H54" s="50">
        <v>3</v>
      </c>
      <c r="I54" s="50">
        <v>5</v>
      </c>
      <c r="J54" s="50">
        <v>7</v>
      </c>
      <c r="K54" s="50">
        <v>2</v>
      </c>
      <c r="L54" s="50">
        <v>0</v>
      </c>
      <c r="M54" s="50">
        <v>11</v>
      </c>
      <c r="N54" s="50">
        <v>0</v>
      </c>
      <c r="O54" s="15">
        <f t="shared" si="0"/>
        <v>48</v>
      </c>
      <c r="P54" s="15">
        <f t="shared" si="1"/>
        <v>59</v>
      </c>
      <c r="R54" s="8"/>
      <c r="T54"/>
    </row>
    <row r="55" spans="2:20" ht="23.1" customHeight="1" x14ac:dyDescent="0.25">
      <c r="B55" s="45" t="s">
        <v>82</v>
      </c>
      <c r="C55" s="50">
        <v>6</v>
      </c>
      <c r="D55" s="50">
        <v>6</v>
      </c>
      <c r="E55" s="50">
        <v>0</v>
      </c>
      <c r="F55" s="50">
        <v>2</v>
      </c>
      <c r="G55" s="50">
        <v>0</v>
      </c>
      <c r="H55" s="50">
        <v>1</v>
      </c>
      <c r="I55" s="50">
        <v>6</v>
      </c>
      <c r="J55" s="50">
        <v>2</v>
      </c>
      <c r="K55" s="50">
        <v>0</v>
      </c>
      <c r="L55" s="50">
        <v>0</v>
      </c>
      <c r="M55" s="50">
        <v>10</v>
      </c>
      <c r="N55" s="50">
        <v>0</v>
      </c>
      <c r="O55" s="15">
        <f t="shared" si="0"/>
        <v>23</v>
      </c>
      <c r="P55" s="15">
        <f t="shared" si="1"/>
        <v>33</v>
      </c>
      <c r="R55" s="8"/>
      <c r="T55"/>
    </row>
    <row r="56" spans="2:20" ht="23.1" customHeight="1" x14ac:dyDescent="0.25">
      <c r="B56" s="45" t="s">
        <v>83</v>
      </c>
      <c r="C56" s="50">
        <v>12</v>
      </c>
      <c r="D56" s="50">
        <v>2</v>
      </c>
      <c r="E56" s="50">
        <v>5</v>
      </c>
      <c r="F56" s="50">
        <v>3</v>
      </c>
      <c r="G56" s="50">
        <v>0</v>
      </c>
      <c r="H56" s="50">
        <v>0</v>
      </c>
      <c r="I56" s="50">
        <v>2</v>
      </c>
      <c r="J56" s="50">
        <v>3</v>
      </c>
      <c r="K56" s="50">
        <v>1</v>
      </c>
      <c r="L56" s="50">
        <v>1</v>
      </c>
      <c r="M56" s="50">
        <v>8</v>
      </c>
      <c r="N56" s="50">
        <v>0</v>
      </c>
      <c r="O56" s="15">
        <f t="shared" si="0"/>
        <v>29</v>
      </c>
      <c r="P56" s="15">
        <f t="shared" si="1"/>
        <v>37</v>
      </c>
      <c r="R56" s="8"/>
      <c r="T56"/>
    </row>
    <row r="57" spans="2:20" ht="23.1" customHeight="1" x14ac:dyDescent="0.25">
      <c r="B57" s="45" t="s">
        <v>84</v>
      </c>
      <c r="C57" s="50">
        <v>9</v>
      </c>
      <c r="D57" s="50">
        <v>4</v>
      </c>
      <c r="E57" s="50">
        <v>4</v>
      </c>
      <c r="F57" s="50">
        <v>3</v>
      </c>
      <c r="G57" s="50">
        <v>0</v>
      </c>
      <c r="H57" s="50">
        <v>1</v>
      </c>
      <c r="I57" s="50">
        <v>1</v>
      </c>
      <c r="J57" s="50">
        <v>4</v>
      </c>
      <c r="K57" s="50">
        <v>3</v>
      </c>
      <c r="L57" s="50">
        <v>1</v>
      </c>
      <c r="M57" s="50">
        <v>4</v>
      </c>
      <c r="N57" s="50">
        <v>0</v>
      </c>
      <c r="O57" s="15">
        <f t="shared" si="0"/>
        <v>30</v>
      </c>
      <c r="P57" s="15">
        <f t="shared" si="1"/>
        <v>34</v>
      </c>
      <c r="R57" s="8"/>
      <c r="T57"/>
    </row>
    <row r="58" spans="2:20" ht="23.1" customHeight="1" x14ac:dyDescent="0.25">
      <c r="B58" s="45" t="s">
        <v>99</v>
      </c>
      <c r="C58" s="50">
        <v>7</v>
      </c>
      <c r="D58" s="50">
        <v>1</v>
      </c>
      <c r="E58" s="50">
        <v>2</v>
      </c>
      <c r="F58" s="50">
        <v>4</v>
      </c>
      <c r="G58" s="50">
        <v>0</v>
      </c>
      <c r="H58" s="50">
        <v>2</v>
      </c>
      <c r="I58" s="50">
        <v>4</v>
      </c>
      <c r="J58" s="50">
        <v>3</v>
      </c>
      <c r="K58" s="50">
        <v>5</v>
      </c>
      <c r="L58" s="50">
        <v>0</v>
      </c>
      <c r="M58" s="50">
        <v>6</v>
      </c>
      <c r="N58" s="50">
        <v>0</v>
      </c>
      <c r="O58" s="15">
        <f t="shared" si="0"/>
        <v>28</v>
      </c>
      <c r="P58" s="15">
        <f t="shared" si="1"/>
        <v>34</v>
      </c>
      <c r="R58" s="8"/>
      <c r="T58"/>
    </row>
    <row r="59" spans="2:20" ht="23.1" customHeight="1" x14ac:dyDescent="0.25">
      <c r="B59" s="45" t="s">
        <v>100</v>
      </c>
      <c r="C59" s="50">
        <v>8</v>
      </c>
      <c r="D59" s="50">
        <v>1</v>
      </c>
      <c r="E59" s="50">
        <v>2</v>
      </c>
      <c r="F59" s="50">
        <v>2</v>
      </c>
      <c r="G59" s="50">
        <v>0</v>
      </c>
      <c r="H59" s="50">
        <v>0</v>
      </c>
      <c r="I59" s="50">
        <v>0</v>
      </c>
      <c r="J59" s="50">
        <v>1</v>
      </c>
      <c r="K59" s="50">
        <v>3</v>
      </c>
      <c r="L59" s="50">
        <v>0</v>
      </c>
      <c r="M59" s="50">
        <v>11</v>
      </c>
      <c r="N59" s="50">
        <v>0</v>
      </c>
      <c r="O59" s="15">
        <f t="shared" si="0"/>
        <v>17</v>
      </c>
      <c r="P59" s="15">
        <f t="shared" si="1"/>
        <v>28</v>
      </c>
      <c r="R59" s="8"/>
      <c r="T59"/>
    </row>
    <row r="60" spans="2:20" ht="23.1" customHeight="1" x14ac:dyDescent="0.25">
      <c r="B60" s="45" t="s">
        <v>101</v>
      </c>
      <c r="C60" s="50">
        <v>9</v>
      </c>
      <c r="D60" s="50">
        <v>3</v>
      </c>
      <c r="E60" s="50">
        <v>1</v>
      </c>
      <c r="F60" s="50">
        <v>6</v>
      </c>
      <c r="G60" s="50">
        <v>0</v>
      </c>
      <c r="H60" s="50">
        <v>1</v>
      </c>
      <c r="I60" s="50">
        <v>7</v>
      </c>
      <c r="J60" s="50">
        <v>1</v>
      </c>
      <c r="K60" s="50">
        <v>5</v>
      </c>
      <c r="L60" s="50">
        <v>1</v>
      </c>
      <c r="M60" s="50">
        <v>6</v>
      </c>
      <c r="N60" s="50">
        <v>0</v>
      </c>
      <c r="O60" s="15">
        <f t="shared" si="0"/>
        <v>34</v>
      </c>
      <c r="P60" s="15">
        <f t="shared" si="1"/>
        <v>40</v>
      </c>
      <c r="R60" s="8"/>
      <c r="T60"/>
    </row>
    <row r="61" spans="2:20" ht="23.1" customHeight="1" x14ac:dyDescent="0.25">
      <c r="B61" s="45" t="s">
        <v>102</v>
      </c>
      <c r="C61" s="50">
        <v>3</v>
      </c>
      <c r="D61" s="50">
        <v>3</v>
      </c>
      <c r="E61" s="50">
        <v>4</v>
      </c>
      <c r="F61" s="50">
        <v>4</v>
      </c>
      <c r="G61" s="50">
        <v>0</v>
      </c>
      <c r="H61" s="50">
        <v>2</v>
      </c>
      <c r="I61" s="50">
        <v>10</v>
      </c>
      <c r="J61" s="50">
        <v>2</v>
      </c>
      <c r="K61" s="50">
        <v>8</v>
      </c>
      <c r="L61" s="50">
        <v>0</v>
      </c>
      <c r="M61" s="50">
        <v>3</v>
      </c>
      <c r="N61" s="50">
        <v>0</v>
      </c>
      <c r="O61" s="15">
        <f t="shared" si="0"/>
        <v>36</v>
      </c>
      <c r="P61" s="15">
        <f t="shared" si="1"/>
        <v>39</v>
      </c>
      <c r="R61" s="8"/>
      <c r="T61"/>
    </row>
    <row r="62" spans="2:20" ht="23.1" customHeight="1" x14ac:dyDescent="0.25">
      <c r="B62" s="45" t="s">
        <v>107</v>
      </c>
      <c r="C62" s="50">
        <v>9</v>
      </c>
      <c r="D62" s="50">
        <v>2</v>
      </c>
      <c r="E62" s="50">
        <v>2</v>
      </c>
      <c r="F62" s="50">
        <v>3</v>
      </c>
      <c r="G62" s="50">
        <v>0</v>
      </c>
      <c r="H62" s="50">
        <v>1</v>
      </c>
      <c r="I62" s="50">
        <v>5</v>
      </c>
      <c r="J62" s="50">
        <v>0</v>
      </c>
      <c r="K62" s="50">
        <v>1</v>
      </c>
      <c r="L62" s="50">
        <v>0</v>
      </c>
      <c r="M62" s="50">
        <v>4</v>
      </c>
      <c r="N62" s="50">
        <v>0</v>
      </c>
      <c r="O62" s="15">
        <f t="shared" si="0"/>
        <v>23</v>
      </c>
      <c r="P62" s="15">
        <f t="shared" si="1"/>
        <v>27</v>
      </c>
      <c r="R62" s="8"/>
      <c r="T62"/>
    </row>
    <row r="63" spans="2:20" ht="23.1" customHeight="1" x14ac:dyDescent="0.25">
      <c r="B63" s="45" t="s">
        <v>108</v>
      </c>
      <c r="C63" s="50">
        <v>4</v>
      </c>
      <c r="D63" s="50">
        <v>1</v>
      </c>
      <c r="E63" s="50">
        <v>0</v>
      </c>
      <c r="F63" s="50">
        <v>3</v>
      </c>
      <c r="G63" s="50">
        <v>0</v>
      </c>
      <c r="H63" s="50">
        <v>0</v>
      </c>
      <c r="I63" s="50">
        <v>2</v>
      </c>
      <c r="J63" s="50">
        <v>1</v>
      </c>
      <c r="K63" s="50">
        <v>3</v>
      </c>
      <c r="L63" s="50">
        <v>0</v>
      </c>
      <c r="M63" s="50">
        <v>1</v>
      </c>
      <c r="N63" s="50">
        <v>0</v>
      </c>
      <c r="O63" s="15">
        <f t="shared" si="0"/>
        <v>14</v>
      </c>
      <c r="P63" s="15">
        <f t="shared" si="1"/>
        <v>15</v>
      </c>
      <c r="R63" s="8"/>
      <c r="T63"/>
    </row>
    <row r="64" spans="2:20" ht="23.1" customHeight="1" x14ac:dyDescent="0.25">
      <c r="B64" s="45" t="s">
        <v>109</v>
      </c>
      <c r="C64" s="50">
        <v>17</v>
      </c>
      <c r="D64" s="50">
        <v>5</v>
      </c>
      <c r="E64" s="50">
        <v>2</v>
      </c>
      <c r="F64" s="50">
        <v>8</v>
      </c>
      <c r="G64" s="50">
        <v>0</v>
      </c>
      <c r="H64" s="50">
        <v>1</v>
      </c>
      <c r="I64" s="50">
        <v>9</v>
      </c>
      <c r="J64" s="50">
        <v>1</v>
      </c>
      <c r="K64" s="50">
        <v>6</v>
      </c>
      <c r="L64" s="50">
        <v>0</v>
      </c>
      <c r="M64" s="50">
        <v>6</v>
      </c>
      <c r="N64" s="50">
        <v>0</v>
      </c>
      <c r="O64" s="15">
        <f t="shared" si="0"/>
        <v>49</v>
      </c>
      <c r="P64" s="15">
        <f t="shared" si="1"/>
        <v>55</v>
      </c>
      <c r="R64" s="8"/>
      <c r="T64"/>
    </row>
    <row r="65" spans="2:20" ht="23.1" customHeight="1" x14ac:dyDescent="0.25">
      <c r="B65" s="45" t="s">
        <v>158</v>
      </c>
      <c r="C65" s="50">
        <v>8</v>
      </c>
      <c r="D65" s="50">
        <v>0</v>
      </c>
      <c r="E65" s="50">
        <v>2</v>
      </c>
      <c r="F65" s="50">
        <v>2</v>
      </c>
      <c r="G65" s="50">
        <v>1</v>
      </c>
      <c r="H65" s="50">
        <v>2</v>
      </c>
      <c r="I65" s="50">
        <v>1</v>
      </c>
      <c r="J65" s="50">
        <v>5</v>
      </c>
      <c r="K65" s="50">
        <v>3</v>
      </c>
      <c r="L65" s="50">
        <v>0</v>
      </c>
      <c r="M65" s="50">
        <v>7</v>
      </c>
      <c r="N65" s="50">
        <v>0</v>
      </c>
      <c r="O65" s="15">
        <f t="shared" si="0"/>
        <v>24</v>
      </c>
      <c r="P65" s="15">
        <f t="shared" si="1"/>
        <v>31</v>
      </c>
      <c r="R65" s="8"/>
      <c r="T65"/>
    </row>
    <row r="66" spans="2:20" ht="23.1" customHeight="1" x14ac:dyDescent="0.25">
      <c r="B66" s="45" t="s">
        <v>103</v>
      </c>
      <c r="C66" s="50">
        <v>9</v>
      </c>
      <c r="D66" s="50">
        <v>1</v>
      </c>
      <c r="E66" s="50">
        <v>2</v>
      </c>
      <c r="F66" s="50">
        <v>4</v>
      </c>
      <c r="G66" s="50">
        <v>0</v>
      </c>
      <c r="H66" s="50">
        <v>1</v>
      </c>
      <c r="I66" s="50">
        <v>6</v>
      </c>
      <c r="J66" s="50">
        <v>5</v>
      </c>
      <c r="K66" s="50">
        <v>12</v>
      </c>
      <c r="L66" s="50">
        <v>0</v>
      </c>
      <c r="M66" s="50">
        <v>3</v>
      </c>
      <c r="N66" s="50">
        <v>0</v>
      </c>
      <c r="O66" s="15">
        <f t="shared" si="0"/>
        <v>40</v>
      </c>
      <c r="P66" s="15">
        <f t="shared" si="1"/>
        <v>43</v>
      </c>
      <c r="R66" s="8"/>
      <c r="T66"/>
    </row>
    <row r="67" spans="2:20" ht="23.1" customHeight="1" x14ac:dyDescent="0.25">
      <c r="B67" s="45" t="s">
        <v>104</v>
      </c>
      <c r="C67" s="50">
        <v>14</v>
      </c>
      <c r="D67" s="50">
        <v>2</v>
      </c>
      <c r="E67" s="50">
        <v>4</v>
      </c>
      <c r="F67" s="50">
        <v>2</v>
      </c>
      <c r="G67" s="50">
        <v>0</v>
      </c>
      <c r="H67" s="50">
        <v>2</v>
      </c>
      <c r="I67" s="50">
        <v>1</v>
      </c>
      <c r="J67" s="50">
        <v>9</v>
      </c>
      <c r="K67" s="50">
        <v>5</v>
      </c>
      <c r="L67" s="50">
        <v>0</v>
      </c>
      <c r="M67" s="50">
        <v>4</v>
      </c>
      <c r="N67" s="50">
        <v>0</v>
      </c>
      <c r="O67" s="15">
        <f t="shared" si="0"/>
        <v>39</v>
      </c>
      <c r="P67" s="15">
        <f t="shared" si="1"/>
        <v>43</v>
      </c>
      <c r="R67" s="8"/>
      <c r="T67"/>
    </row>
    <row r="68" spans="2:20" ht="23.1" customHeight="1" x14ac:dyDescent="0.25">
      <c r="B68" s="45" t="s">
        <v>105</v>
      </c>
      <c r="C68" s="50">
        <v>6</v>
      </c>
      <c r="D68" s="50">
        <v>1</v>
      </c>
      <c r="E68" s="50">
        <v>2</v>
      </c>
      <c r="F68" s="50">
        <v>0</v>
      </c>
      <c r="G68" s="50">
        <v>0</v>
      </c>
      <c r="H68" s="50">
        <v>0</v>
      </c>
      <c r="I68" s="50">
        <v>0</v>
      </c>
      <c r="J68" s="50">
        <v>3</v>
      </c>
      <c r="K68" s="50">
        <v>2</v>
      </c>
      <c r="L68" s="50">
        <v>0</v>
      </c>
      <c r="M68" s="50">
        <v>0</v>
      </c>
      <c r="N68" s="50">
        <v>0</v>
      </c>
      <c r="O68" s="15">
        <f t="shared" si="0"/>
        <v>14</v>
      </c>
      <c r="P68" s="15">
        <f t="shared" si="1"/>
        <v>14</v>
      </c>
      <c r="R68" s="8"/>
      <c r="T68"/>
    </row>
    <row r="69" spans="2:20" ht="23.1" customHeight="1" x14ac:dyDescent="0.25">
      <c r="B69" s="45" t="s">
        <v>106</v>
      </c>
      <c r="C69" s="50">
        <v>4</v>
      </c>
      <c r="D69" s="50">
        <v>3</v>
      </c>
      <c r="E69" s="50">
        <v>0</v>
      </c>
      <c r="F69" s="50">
        <v>2</v>
      </c>
      <c r="G69" s="50">
        <v>1</v>
      </c>
      <c r="H69" s="50">
        <v>0</v>
      </c>
      <c r="I69" s="50">
        <v>2</v>
      </c>
      <c r="J69" s="50">
        <v>15</v>
      </c>
      <c r="K69" s="50">
        <v>2</v>
      </c>
      <c r="L69" s="50">
        <v>0</v>
      </c>
      <c r="M69" s="50">
        <v>1</v>
      </c>
      <c r="N69" s="50">
        <v>0</v>
      </c>
      <c r="O69" s="15">
        <f t="shared" si="0"/>
        <v>29</v>
      </c>
      <c r="P69" s="15">
        <f t="shared" si="1"/>
        <v>30</v>
      </c>
      <c r="R69" s="8"/>
      <c r="T69"/>
    </row>
    <row r="70" spans="2:20" ht="23.1" customHeight="1" x14ac:dyDescent="0.25">
      <c r="B70" s="45" t="s">
        <v>110</v>
      </c>
      <c r="C70" s="50">
        <v>9</v>
      </c>
      <c r="D70" s="50">
        <v>5</v>
      </c>
      <c r="E70" s="50">
        <v>5</v>
      </c>
      <c r="F70" s="50">
        <v>0</v>
      </c>
      <c r="G70" s="50">
        <v>0</v>
      </c>
      <c r="H70" s="50">
        <v>1</v>
      </c>
      <c r="I70" s="50">
        <v>1</v>
      </c>
      <c r="J70" s="50">
        <v>2</v>
      </c>
      <c r="K70" s="50">
        <v>2</v>
      </c>
      <c r="L70" s="50">
        <v>0</v>
      </c>
      <c r="M70" s="50">
        <v>3</v>
      </c>
      <c r="N70" s="50">
        <v>0</v>
      </c>
      <c r="O70" s="15">
        <f t="shared" si="0"/>
        <v>25</v>
      </c>
      <c r="P70" s="15">
        <f t="shared" si="1"/>
        <v>28</v>
      </c>
      <c r="R70" s="8"/>
      <c r="T70"/>
    </row>
    <row r="71" spans="2:20" ht="23.1" customHeight="1" x14ac:dyDescent="0.25">
      <c r="B71" s="45" t="s">
        <v>111</v>
      </c>
      <c r="C71" s="50">
        <v>4</v>
      </c>
      <c r="D71" s="50">
        <v>2</v>
      </c>
      <c r="E71" s="50">
        <v>2</v>
      </c>
      <c r="F71" s="50">
        <v>1</v>
      </c>
      <c r="G71" s="50">
        <v>2</v>
      </c>
      <c r="H71" s="50">
        <v>0</v>
      </c>
      <c r="I71" s="50">
        <v>1</v>
      </c>
      <c r="J71" s="50">
        <v>5</v>
      </c>
      <c r="K71" s="50">
        <v>3</v>
      </c>
      <c r="L71" s="50">
        <v>0</v>
      </c>
      <c r="M71" s="50">
        <v>1</v>
      </c>
      <c r="N71" s="50">
        <v>0</v>
      </c>
      <c r="O71" s="15">
        <f t="shared" si="0"/>
        <v>20</v>
      </c>
      <c r="P71" s="15">
        <f t="shared" si="1"/>
        <v>21</v>
      </c>
      <c r="R71" s="8"/>
      <c r="T71"/>
    </row>
    <row r="72" spans="2:20" ht="23.1" customHeight="1" x14ac:dyDescent="0.25">
      <c r="B72" s="45" t="s">
        <v>112</v>
      </c>
      <c r="C72" s="50">
        <v>5</v>
      </c>
      <c r="D72" s="50">
        <v>0</v>
      </c>
      <c r="E72" s="50">
        <v>0</v>
      </c>
      <c r="F72" s="50">
        <v>2</v>
      </c>
      <c r="G72" s="50">
        <v>0</v>
      </c>
      <c r="H72" s="50">
        <v>2</v>
      </c>
      <c r="I72" s="50">
        <v>0</v>
      </c>
      <c r="J72" s="50">
        <v>10</v>
      </c>
      <c r="K72" s="50">
        <v>2</v>
      </c>
      <c r="L72" s="50">
        <v>0</v>
      </c>
      <c r="M72" s="50">
        <v>2</v>
      </c>
      <c r="N72" s="50">
        <v>0</v>
      </c>
      <c r="O72" s="15">
        <f t="shared" si="0"/>
        <v>21</v>
      </c>
      <c r="P72" s="15">
        <f t="shared" si="1"/>
        <v>23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1</v>
      </c>
      <c r="E73" s="50">
        <v>0</v>
      </c>
      <c r="F73" s="50">
        <v>1</v>
      </c>
      <c r="G73" s="50">
        <v>0</v>
      </c>
      <c r="H73" s="50">
        <v>0</v>
      </c>
      <c r="I73" s="50">
        <v>0</v>
      </c>
      <c r="J73" s="50">
        <v>4</v>
      </c>
      <c r="K73" s="50">
        <v>7</v>
      </c>
      <c r="L73" s="50">
        <v>0</v>
      </c>
      <c r="M73" s="50">
        <v>0</v>
      </c>
      <c r="N73" s="50">
        <v>0</v>
      </c>
      <c r="O73" s="15">
        <f t="shared" si="0"/>
        <v>14</v>
      </c>
      <c r="P73" s="15">
        <f t="shared" si="1"/>
        <v>14</v>
      </c>
      <c r="R73" s="8"/>
      <c r="T73"/>
    </row>
    <row r="74" spans="2:20" ht="23.1" customHeight="1" x14ac:dyDescent="0.25">
      <c r="B74" s="45" t="s">
        <v>114</v>
      </c>
      <c r="C74" s="50">
        <v>3</v>
      </c>
      <c r="D74" s="50">
        <v>4</v>
      </c>
      <c r="E74" s="50">
        <v>0</v>
      </c>
      <c r="F74" s="50">
        <v>0</v>
      </c>
      <c r="G74" s="50">
        <v>0</v>
      </c>
      <c r="H74" s="50">
        <v>1</v>
      </c>
      <c r="I74" s="50">
        <v>1</v>
      </c>
      <c r="J74" s="50">
        <v>11</v>
      </c>
      <c r="K74" s="50">
        <v>9</v>
      </c>
      <c r="L74" s="50">
        <v>0</v>
      </c>
      <c r="M74" s="50">
        <v>3</v>
      </c>
      <c r="N74" s="50">
        <v>0</v>
      </c>
      <c r="O74" s="15">
        <f t="shared" ref="O74:O105" si="35">SUM(C74:L74,N74)</f>
        <v>29</v>
      </c>
      <c r="P74" s="15">
        <f t="shared" ref="P74:P105" si="36">SUM(C74:N74)</f>
        <v>32</v>
      </c>
      <c r="R74" s="8"/>
      <c r="T74"/>
    </row>
    <row r="75" spans="2:20" ht="23.1" customHeight="1" x14ac:dyDescent="0.25">
      <c r="B75" s="45" t="s">
        <v>115</v>
      </c>
      <c r="C75" s="50">
        <v>3</v>
      </c>
      <c r="D75" s="50">
        <v>1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8</v>
      </c>
      <c r="K75" s="50">
        <v>6</v>
      </c>
      <c r="L75" s="50">
        <v>0</v>
      </c>
      <c r="M75" s="50">
        <v>1</v>
      </c>
      <c r="N75" s="50">
        <v>0</v>
      </c>
      <c r="O75" s="15">
        <f t="shared" si="35"/>
        <v>18</v>
      </c>
      <c r="P75" s="15">
        <f t="shared" si="36"/>
        <v>19</v>
      </c>
      <c r="R75" s="8"/>
      <c r="T75"/>
    </row>
    <row r="76" spans="2:20" ht="23.1" customHeight="1" x14ac:dyDescent="0.25">
      <c r="B76" s="45" t="s">
        <v>116</v>
      </c>
      <c r="C76" s="50">
        <v>3</v>
      </c>
      <c r="D76" s="50">
        <v>1</v>
      </c>
      <c r="E76" s="50">
        <v>0</v>
      </c>
      <c r="F76" s="50">
        <v>1</v>
      </c>
      <c r="G76" s="50">
        <v>0</v>
      </c>
      <c r="H76" s="50">
        <v>1</v>
      </c>
      <c r="I76" s="50">
        <v>1</v>
      </c>
      <c r="J76" s="50">
        <v>3</v>
      </c>
      <c r="K76" s="50">
        <v>6</v>
      </c>
      <c r="L76" s="50">
        <v>0</v>
      </c>
      <c r="M76" s="50">
        <v>2</v>
      </c>
      <c r="N76" s="50">
        <v>0</v>
      </c>
      <c r="O76" s="15">
        <f t="shared" si="35"/>
        <v>16</v>
      </c>
      <c r="P76" s="15">
        <f t="shared" si="36"/>
        <v>18</v>
      </c>
      <c r="R76" s="8"/>
      <c r="T76"/>
    </row>
    <row r="77" spans="2:20" ht="23.1" customHeight="1" x14ac:dyDescent="0.25">
      <c r="B77" s="45" t="s">
        <v>117</v>
      </c>
      <c r="C77" s="50">
        <v>5</v>
      </c>
      <c r="D77" s="50">
        <v>0</v>
      </c>
      <c r="E77" s="50">
        <v>0</v>
      </c>
      <c r="F77" s="50">
        <v>0</v>
      </c>
      <c r="G77" s="50">
        <v>0</v>
      </c>
      <c r="H77" s="50">
        <v>1</v>
      </c>
      <c r="I77" s="50">
        <v>1</v>
      </c>
      <c r="J77" s="50">
        <v>5</v>
      </c>
      <c r="K77" s="50">
        <v>4</v>
      </c>
      <c r="L77" s="50">
        <v>0</v>
      </c>
      <c r="M77" s="50">
        <v>1</v>
      </c>
      <c r="N77" s="50">
        <v>0</v>
      </c>
      <c r="O77" s="15">
        <f t="shared" si="35"/>
        <v>16</v>
      </c>
      <c r="P77" s="15">
        <f t="shared" si="36"/>
        <v>17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1</v>
      </c>
      <c r="E78" s="50">
        <v>1</v>
      </c>
      <c r="F78" s="50">
        <v>0</v>
      </c>
      <c r="G78" s="50">
        <v>0</v>
      </c>
      <c r="H78" s="50">
        <v>1</v>
      </c>
      <c r="I78" s="50">
        <v>1</v>
      </c>
      <c r="J78" s="50">
        <v>13</v>
      </c>
      <c r="K78" s="50">
        <v>3</v>
      </c>
      <c r="L78" s="50">
        <v>0</v>
      </c>
      <c r="M78" s="50">
        <v>0</v>
      </c>
      <c r="N78" s="50">
        <v>0</v>
      </c>
      <c r="O78" s="15">
        <f t="shared" si="35"/>
        <v>21</v>
      </c>
      <c r="P78" s="15">
        <f t="shared" si="36"/>
        <v>21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2</v>
      </c>
      <c r="G79" s="50">
        <v>0</v>
      </c>
      <c r="H79" s="50">
        <v>1</v>
      </c>
      <c r="I79" s="50">
        <v>0</v>
      </c>
      <c r="J79" s="50">
        <v>9</v>
      </c>
      <c r="K79" s="50">
        <v>2</v>
      </c>
      <c r="L79" s="50">
        <v>0</v>
      </c>
      <c r="M79" s="50">
        <v>0</v>
      </c>
      <c r="N79" s="50">
        <v>0</v>
      </c>
      <c r="O79" s="15">
        <f t="shared" si="35"/>
        <v>14</v>
      </c>
      <c r="P79" s="15">
        <f t="shared" si="36"/>
        <v>14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2</v>
      </c>
      <c r="E80" s="50">
        <v>1</v>
      </c>
      <c r="F80" s="50">
        <v>0</v>
      </c>
      <c r="G80" s="50">
        <v>0</v>
      </c>
      <c r="H80" s="50">
        <v>2</v>
      </c>
      <c r="I80" s="50">
        <v>0</v>
      </c>
      <c r="J80" s="50">
        <v>4</v>
      </c>
      <c r="K80" s="50">
        <v>3</v>
      </c>
      <c r="L80" s="50">
        <v>0</v>
      </c>
      <c r="M80" s="50">
        <v>0</v>
      </c>
      <c r="N80" s="50">
        <v>0</v>
      </c>
      <c r="O80" s="15">
        <f t="shared" si="35"/>
        <v>12</v>
      </c>
      <c r="P80" s="15">
        <f t="shared" si="36"/>
        <v>12</v>
      </c>
      <c r="R80" s="8"/>
      <c r="T80"/>
    </row>
    <row r="81" spans="2:20" ht="23.1" customHeight="1" x14ac:dyDescent="0.25">
      <c r="B81" s="45" t="s">
        <v>121</v>
      </c>
      <c r="C81" s="50">
        <v>2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14</v>
      </c>
      <c r="K81" s="50">
        <v>3</v>
      </c>
      <c r="L81" s="50">
        <v>0</v>
      </c>
      <c r="M81" s="50">
        <v>0</v>
      </c>
      <c r="N81" s="50">
        <v>0</v>
      </c>
      <c r="O81" s="15">
        <f t="shared" si="35"/>
        <v>19</v>
      </c>
      <c r="P81" s="15">
        <f t="shared" si="36"/>
        <v>19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2</v>
      </c>
      <c r="G82" s="50">
        <v>0</v>
      </c>
      <c r="H82" s="50">
        <v>3</v>
      </c>
      <c r="I82" s="50">
        <v>0</v>
      </c>
      <c r="J82" s="50">
        <v>4</v>
      </c>
      <c r="K82" s="50">
        <v>1</v>
      </c>
      <c r="L82" s="50">
        <v>0</v>
      </c>
      <c r="M82" s="50">
        <v>1</v>
      </c>
      <c r="N82" s="50">
        <v>0</v>
      </c>
      <c r="O82" s="15">
        <f t="shared" si="35"/>
        <v>10</v>
      </c>
      <c r="P82" s="15">
        <f t="shared" si="36"/>
        <v>11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2</v>
      </c>
      <c r="F83" s="50">
        <v>0</v>
      </c>
      <c r="G83" s="50">
        <v>0</v>
      </c>
      <c r="H83" s="50">
        <v>2</v>
      </c>
      <c r="I83" s="50">
        <v>0</v>
      </c>
      <c r="J83" s="50">
        <v>8</v>
      </c>
      <c r="K83" s="50">
        <v>1</v>
      </c>
      <c r="L83" s="50">
        <v>0</v>
      </c>
      <c r="M83" s="50">
        <v>1</v>
      </c>
      <c r="N83" s="50">
        <v>0</v>
      </c>
      <c r="O83" s="15">
        <f t="shared" si="35"/>
        <v>14</v>
      </c>
      <c r="P83" s="15">
        <f t="shared" si="36"/>
        <v>15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1</v>
      </c>
      <c r="I84" s="50">
        <v>2</v>
      </c>
      <c r="J84" s="50">
        <v>5</v>
      </c>
      <c r="K84" s="50">
        <v>1</v>
      </c>
      <c r="L84" s="50">
        <v>0</v>
      </c>
      <c r="M84" s="50">
        <v>0</v>
      </c>
      <c r="N84" s="50">
        <v>0</v>
      </c>
      <c r="O84" s="15">
        <f t="shared" si="35"/>
        <v>9</v>
      </c>
      <c r="P84" s="15">
        <f t="shared" si="36"/>
        <v>9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3</v>
      </c>
      <c r="I85" s="50">
        <v>1</v>
      </c>
      <c r="J85" s="50">
        <v>5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9</v>
      </c>
      <c r="P85" s="15">
        <f t="shared" si="36"/>
        <v>9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1</v>
      </c>
      <c r="F86" s="50">
        <v>1</v>
      </c>
      <c r="G86" s="50">
        <v>0</v>
      </c>
      <c r="H86" s="50">
        <v>3</v>
      </c>
      <c r="I86" s="50">
        <v>0</v>
      </c>
      <c r="J86" s="50">
        <v>6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11</v>
      </c>
      <c r="P86" s="15">
        <f t="shared" si="36"/>
        <v>11</v>
      </c>
      <c r="R86" s="8"/>
      <c r="T86"/>
    </row>
    <row r="87" spans="2:20" ht="23.1" customHeight="1" x14ac:dyDescent="0.25">
      <c r="B87" s="45" t="s">
        <v>127</v>
      </c>
      <c r="C87" s="50">
        <v>2</v>
      </c>
      <c r="D87" s="50">
        <v>0</v>
      </c>
      <c r="E87" s="50">
        <v>0</v>
      </c>
      <c r="F87" s="50">
        <v>0</v>
      </c>
      <c r="G87" s="50">
        <v>0</v>
      </c>
      <c r="H87" s="50">
        <v>1</v>
      </c>
      <c r="I87" s="50">
        <v>1</v>
      </c>
      <c r="J87" s="50">
        <v>9</v>
      </c>
      <c r="K87" s="50">
        <v>0</v>
      </c>
      <c r="L87" s="50">
        <v>1</v>
      </c>
      <c r="M87" s="50">
        <v>0</v>
      </c>
      <c r="N87" s="50">
        <v>0</v>
      </c>
      <c r="O87" s="15">
        <f t="shared" si="35"/>
        <v>14</v>
      </c>
      <c r="P87" s="15">
        <f t="shared" si="36"/>
        <v>14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1</v>
      </c>
      <c r="G88" s="50">
        <v>0</v>
      </c>
      <c r="H88" s="50">
        <v>5</v>
      </c>
      <c r="I88" s="50">
        <v>0</v>
      </c>
      <c r="J88" s="50">
        <v>10</v>
      </c>
      <c r="K88" s="50">
        <v>2</v>
      </c>
      <c r="L88" s="50">
        <v>0</v>
      </c>
      <c r="M88" s="50">
        <v>0</v>
      </c>
      <c r="N88" s="50">
        <v>0</v>
      </c>
      <c r="O88" s="15">
        <f t="shared" si="35"/>
        <v>18</v>
      </c>
      <c r="P88" s="15">
        <f t="shared" si="36"/>
        <v>18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1</v>
      </c>
      <c r="I89" s="50">
        <v>0</v>
      </c>
      <c r="J89" s="50">
        <v>1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2</v>
      </c>
      <c r="P89" s="15">
        <f t="shared" si="36"/>
        <v>2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5</v>
      </c>
      <c r="I90" s="50">
        <v>0</v>
      </c>
      <c r="J90" s="50">
        <v>3</v>
      </c>
      <c r="K90" s="50">
        <v>1</v>
      </c>
      <c r="L90" s="50">
        <v>0</v>
      </c>
      <c r="M90" s="50">
        <v>0</v>
      </c>
      <c r="N90" s="50">
        <v>0</v>
      </c>
      <c r="O90" s="15">
        <f t="shared" si="35"/>
        <v>9</v>
      </c>
      <c r="P90" s="15">
        <f t="shared" si="36"/>
        <v>9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1</v>
      </c>
      <c r="J91" s="50">
        <v>1</v>
      </c>
      <c r="K91" s="50">
        <v>2</v>
      </c>
      <c r="L91" s="50">
        <v>0</v>
      </c>
      <c r="M91" s="50">
        <v>0</v>
      </c>
      <c r="N91" s="50">
        <v>0</v>
      </c>
      <c r="O91" s="15">
        <f t="shared" si="35"/>
        <v>4</v>
      </c>
      <c r="P91" s="15">
        <f t="shared" si="36"/>
        <v>4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1</v>
      </c>
      <c r="I92" s="50">
        <v>0</v>
      </c>
      <c r="J92" s="50">
        <v>1</v>
      </c>
      <c r="K92" s="50">
        <v>1</v>
      </c>
      <c r="L92" s="50">
        <v>1</v>
      </c>
      <c r="M92" s="50">
        <v>0</v>
      </c>
      <c r="N92" s="50">
        <v>0</v>
      </c>
      <c r="O92" s="15">
        <f t="shared" si="35"/>
        <v>4</v>
      </c>
      <c r="P92" s="15">
        <f t="shared" si="36"/>
        <v>4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0</v>
      </c>
      <c r="E93" s="50">
        <v>0</v>
      </c>
      <c r="F93" s="50">
        <v>1</v>
      </c>
      <c r="G93" s="50">
        <v>1</v>
      </c>
      <c r="H93" s="50">
        <v>0</v>
      </c>
      <c r="I93" s="50">
        <v>0</v>
      </c>
      <c r="J93" s="50">
        <v>2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5</v>
      </c>
      <c r="P93" s="15">
        <f t="shared" si="36"/>
        <v>5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3</v>
      </c>
      <c r="I94" s="50">
        <v>1</v>
      </c>
      <c r="J94" s="50">
        <v>3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7</v>
      </c>
      <c r="P94" s="15">
        <f t="shared" si="36"/>
        <v>7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0</v>
      </c>
      <c r="F95" s="50">
        <v>0</v>
      </c>
      <c r="G95" s="50">
        <v>0</v>
      </c>
      <c r="H95" s="50">
        <v>3</v>
      </c>
      <c r="I95" s="50">
        <v>1</v>
      </c>
      <c r="J95" s="50">
        <v>2</v>
      </c>
      <c r="K95" s="50">
        <v>1</v>
      </c>
      <c r="L95" s="50">
        <v>0</v>
      </c>
      <c r="M95" s="50">
        <v>0</v>
      </c>
      <c r="N95" s="50">
        <v>0</v>
      </c>
      <c r="O95" s="15">
        <f t="shared" si="35"/>
        <v>8</v>
      </c>
      <c r="P95" s="15">
        <f t="shared" si="36"/>
        <v>8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2</v>
      </c>
      <c r="I96" s="50">
        <v>0</v>
      </c>
      <c r="J96" s="50">
        <v>0</v>
      </c>
      <c r="K96" s="50">
        <v>1</v>
      </c>
      <c r="L96" s="50">
        <v>0</v>
      </c>
      <c r="M96" s="50">
        <v>2</v>
      </c>
      <c r="N96" s="50">
        <v>0</v>
      </c>
      <c r="O96" s="15">
        <f t="shared" si="35"/>
        <v>3</v>
      </c>
      <c r="P96" s="15">
        <f t="shared" si="36"/>
        <v>5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1</v>
      </c>
      <c r="I97" s="50">
        <v>1</v>
      </c>
      <c r="J97" s="50">
        <v>2</v>
      </c>
      <c r="K97" s="50">
        <v>0</v>
      </c>
      <c r="L97" s="50">
        <v>0</v>
      </c>
      <c r="M97" s="50">
        <v>1</v>
      </c>
      <c r="N97" s="50">
        <v>0</v>
      </c>
      <c r="O97" s="15">
        <f t="shared" si="35"/>
        <v>4</v>
      </c>
      <c r="P97" s="15">
        <f t="shared" si="36"/>
        <v>5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2</v>
      </c>
      <c r="G98" s="50">
        <v>0</v>
      </c>
      <c r="H98" s="50">
        <v>1</v>
      </c>
      <c r="I98" s="50">
        <v>0</v>
      </c>
      <c r="J98" s="50">
        <v>0</v>
      </c>
      <c r="K98" s="50">
        <v>1</v>
      </c>
      <c r="L98" s="50">
        <v>1</v>
      </c>
      <c r="M98" s="50">
        <v>0</v>
      </c>
      <c r="N98" s="50">
        <v>0</v>
      </c>
      <c r="O98" s="15">
        <f t="shared" si="35"/>
        <v>5</v>
      </c>
      <c r="P98" s="15">
        <f t="shared" si="36"/>
        <v>5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1</v>
      </c>
      <c r="G99" s="50">
        <v>1</v>
      </c>
      <c r="H99" s="50">
        <v>0</v>
      </c>
      <c r="I99" s="50">
        <v>0</v>
      </c>
      <c r="J99" s="50">
        <v>1</v>
      </c>
      <c r="K99" s="50">
        <v>1</v>
      </c>
      <c r="L99" s="50">
        <v>0</v>
      </c>
      <c r="M99" s="50">
        <v>0</v>
      </c>
      <c r="N99" s="50">
        <v>0</v>
      </c>
      <c r="O99" s="15">
        <f t="shared" si="35"/>
        <v>4</v>
      </c>
      <c r="P99" s="15">
        <f t="shared" si="36"/>
        <v>4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1</v>
      </c>
      <c r="E100" s="50">
        <v>1</v>
      </c>
      <c r="F100" s="50">
        <v>0</v>
      </c>
      <c r="G100" s="50">
        <v>0</v>
      </c>
      <c r="H100" s="50">
        <v>1</v>
      </c>
      <c r="I100" s="50">
        <v>0</v>
      </c>
      <c r="J100" s="50">
        <v>1</v>
      </c>
      <c r="K100" s="50">
        <v>3</v>
      </c>
      <c r="L100" s="50">
        <v>1</v>
      </c>
      <c r="M100" s="50">
        <v>0</v>
      </c>
      <c r="N100" s="50">
        <v>0</v>
      </c>
      <c r="O100" s="15">
        <f t="shared" si="35"/>
        <v>8</v>
      </c>
      <c r="P100" s="15">
        <f t="shared" si="36"/>
        <v>8</v>
      </c>
      <c r="R100" s="8"/>
      <c r="T100"/>
    </row>
    <row r="101" spans="2:20" ht="23.1" customHeight="1" x14ac:dyDescent="0.25">
      <c r="B101" s="45" t="s">
        <v>141</v>
      </c>
      <c r="C101" s="50">
        <v>4</v>
      </c>
      <c r="D101" s="50">
        <v>0</v>
      </c>
      <c r="E101" s="50">
        <v>0</v>
      </c>
      <c r="F101" s="50">
        <v>1</v>
      </c>
      <c r="G101" s="50">
        <v>0</v>
      </c>
      <c r="H101" s="50">
        <v>1</v>
      </c>
      <c r="I101" s="50">
        <v>1</v>
      </c>
      <c r="J101" s="50">
        <v>0</v>
      </c>
      <c r="K101" s="50">
        <v>0</v>
      </c>
      <c r="L101" s="50">
        <v>1</v>
      </c>
      <c r="M101" s="50">
        <v>2</v>
      </c>
      <c r="N101" s="50">
        <v>0</v>
      </c>
      <c r="O101" s="15">
        <f t="shared" si="35"/>
        <v>8</v>
      </c>
      <c r="P101" s="15">
        <f t="shared" si="36"/>
        <v>10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2</v>
      </c>
      <c r="E102" s="50">
        <v>0</v>
      </c>
      <c r="F102" s="50">
        <v>1</v>
      </c>
      <c r="G102" s="50">
        <v>0</v>
      </c>
      <c r="H102" s="50">
        <v>0</v>
      </c>
      <c r="I102" s="50">
        <v>1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4</v>
      </c>
      <c r="P102" s="15">
        <f t="shared" si="36"/>
        <v>4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0</v>
      </c>
      <c r="E103" s="50">
        <v>0</v>
      </c>
      <c r="F103" s="50">
        <v>2</v>
      </c>
      <c r="G103" s="50">
        <v>0</v>
      </c>
      <c r="H103" s="50">
        <v>1</v>
      </c>
      <c r="I103" s="50">
        <v>1</v>
      </c>
      <c r="J103" s="50">
        <v>0</v>
      </c>
      <c r="K103" s="50">
        <v>2</v>
      </c>
      <c r="L103" s="50">
        <v>0</v>
      </c>
      <c r="M103" s="50">
        <v>3</v>
      </c>
      <c r="N103" s="50">
        <v>0</v>
      </c>
      <c r="O103" s="15">
        <f t="shared" si="35"/>
        <v>7</v>
      </c>
      <c r="P103" s="15">
        <f t="shared" si="36"/>
        <v>10</v>
      </c>
      <c r="R103" s="8"/>
      <c r="T103"/>
    </row>
    <row r="104" spans="2:20" ht="23.1" customHeight="1" x14ac:dyDescent="0.25">
      <c r="B104" s="47" t="s">
        <v>144</v>
      </c>
      <c r="C104" s="50">
        <v>3</v>
      </c>
      <c r="D104" s="50">
        <v>1</v>
      </c>
      <c r="E104" s="50">
        <v>2</v>
      </c>
      <c r="F104" s="50">
        <v>3</v>
      </c>
      <c r="G104" s="50">
        <v>0</v>
      </c>
      <c r="H104" s="50">
        <v>0</v>
      </c>
      <c r="I104" s="50">
        <v>0</v>
      </c>
      <c r="J104" s="50">
        <v>0</v>
      </c>
      <c r="K104" s="50">
        <v>1</v>
      </c>
      <c r="L104" s="50">
        <v>0</v>
      </c>
      <c r="M104" s="50">
        <v>4</v>
      </c>
      <c r="N104" s="50">
        <v>0</v>
      </c>
      <c r="O104" s="15">
        <f t="shared" si="35"/>
        <v>10</v>
      </c>
      <c r="P104" s="15">
        <f t="shared" si="36"/>
        <v>14</v>
      </c>
      <c r="R104" s="8"/>
      <c r="T104"/>
    </row>
    <row r="105" spans="2:20" ht="23.1" customHeight="1" x14ac:dyDescent="0.25">
      <c r="B105" s="45" t="s">
        <v>145</v>
      </c>
      <c r="C105" s="50">
        <v>4</v>
      </c>
      <c r="D105" s="50">
        <v>0</v>
      </c>
      <c r="E105" s="50">
        <v>3</v>
      </c>
      <c r="F105" s="50">
        <v>4</v>
      </c>
      <c r="G105" s="50">
        <v>0</v>
      </c>
      <c r="H105" s="50">
        <v>0</v>
      </c>
      <c r="I105" s="50">
        <v>0</v>
      </c>
      <c r="J105" s="50">
        <v>1</v>
      </c>
      <c r="K105" s="50">
        <v>1</v>
      </c>
      <c r="L105" s="50">
        <v>0</v>
      </c>
      <c r="M105" s="50">
        <v>6</v>
      </c>
      <c r="N105" s="50">
        <v>0</v>
      </c>
      <c r="O105" s="15">
        <f t="shared" si="35"/>
        <v>13</v>
      </c>
      <c r="P105" s="15">
        <f t="shared" si="36"/>
        <v>19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491</v>
      </c>
      <c r="D106" s="16">
        <f t="shared" ref="D106:P106" si="37">SUM(D10:D105)</f>
        <v>192</v>
      </c>
      <c r="E106" s="16">
        <f t="shared" si="37"/>
        <v>118</v>
      </c>
      <c r="F106" s="16">
        <f t="shared" si="37"/>
        <v>283</v>
      </c>
      <c r="G106" s="16">
        <f t="shared" si="37"/>
        <v>13</v>
      </c>
      <c r="H106" s="16">
        <f t="shared" si="37"/>
        <v>114</v>
      </c>
      <c r="I106" s="16">
        <f t="shared" si="37"/>
        <v>122</v>
      </c>
      <c r="J106" s="16">
        <f t="shared" si="37"/>
        <v>295</v>
      </c>
      <c r="K106" s="16">
        <f t="shared" si="37"/>
        <v>217</v>
      </c>
      <c r="L106" s="16">
        <f t="shared" si="37"/>
        <v>15</v>
      </c>
      <c r="M106" s="16">
        <f t="shared" si="37"/>
        <v>575</v>
      </c>
      <c r="N106" s="16">
        <f t="shared" si="37"/>
        <v>0</v>
      </c>
      <c r="O106" s="16">
        <f t="shared" si="37"/>
        <v>1860</v>
      </c>
      <c r="P106" s="16">
        <f t="shared" si="37"/>
        <v>2435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0.20164271047227927</v>
      </c>
      <c r="D107" s="43">
        <f t="shared" si="38"/>
        <v>7.8850102669404523E-2</v>
      </c>
      <c r="E107" s="43">
        <f t="shared" si="38"/>
        <v>4.8459958932238194E-2</v>
      </c>
      <c r="F107" s="43">
        <f t="shared" si="38"/>
        <v>0.1162217659137577</v>
      </c>
      <c r="G107" s="43">
        <f t="shared" si="38"/>
        <v>5.3388090349075976E-3</v>
      </c>
      <c r="H107" s="43">
        <f t="shared" si="38"/>
        <v>4.6817248459958931E-2</v>
      </c>
      <c r="I107" s="43">
        <f t="shared" si="38"/>
        <v>5.0102669404517457E-2</v>
      </c>
      <c r="J107" s="43">
        <f t="shared" si="38"/>
        <v>0.12114989733059549</v>
      </c>
      <c r="K107" s="43">
        <f t="shared" si="38"/>
        <v>8.9117043121149903E-2</v>
      </c>
      <c r="L107" s="43">
        <f t="shared" si="38"/>
        <v>6.1601642710472282E-3</v>
      </c>
      <c r="M107" s="43">
        <f t="shared" si="38"/>
        <v>0.23613963039014374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0.26397849462365591</v>
      </c>
      <c r="D108" s="44">
        <f t="shared" ref="D108:N108" si="39">D106/$O$106</f>
        <v>0.1032258064516129</v>
      </c>
      <c r="E108" s="44">
        <f t="shared" si="39"/>
        <v>6.3440860215053768E-2</v>
      </c>
      <c r="F108" s="44">
        <f t="shared" si="39"/>
        <v>0.15215053763440861</v>
      </c>
      <c r="G108" s="44">
        <f t="shared" si="39"/>
        <v>6.9892473118279572E-3</v>
      </c>
      <c r="H108" s="44">
        <f t="shared" si="39"/>
        <v>6.1290322580645158E-2</v>
      </c>
      <c r="I108" s="44">
        <f t="shared" si="39"/>
        <v>6.5591397849462371E-2</v>
      </c>
      <c r="J108" s="44">
        <f t="shared" si="39"/>
        <v>0.15860215053763441</v>
      </c>
      <c r="K108" s="44">
        <f t="shared" si="39"/>
        <v>0.11666666666666667</v>
      </c>
      <c r="L108" s="44">
        <f t="shared" si="39"/>
        <v>8.0645161290322578E-3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3" zoomScale="60" workbookViewId="0">
      <selection activeCell="H28" sqref="H2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3" t="s">
        <v>23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 spans="2:32" ht="20.100000000000001" customHeight="1" x14ac:dyDescent="0.25">
      <c r="B2" s="74" t="s">
        <v>95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</row>
    <row r="3" spans="2:32" ht="20.100000000000001" customHeight="1" x14ac:dyDescent="0.25">
      <c r="B3" s="22" t="s">
        <v>96</v>
      </c>
      <c r="C3" s="75" t="s">
        <v>175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'19.10 MBARARA-MASAKA-24H'!D5</f>
        <v>19.10.19</v>
      </c>
      <c r="E5" s="3"/>
      <c r="F5" s="41" t="s">
        <v>1</v>
      </c>
      <c r="G5" s="71" t="s">
        <v>173</v>
      </c>
      <c r="H5" s="72"/>
      <c r="I5" s="14"/>
      <c r="J5" s="2" t="s">
        <v>5</v>
      </c>
      <c r="K5" s="71" t="s">
        <v>171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">
        <v>166</v>
      </c>
      <c r="E6" s="72"/>
      <c r="F6" s="2" t="s">
        <v>2</v>
      </c>
      <c r="G6" s="71" t="s">
        <v>165</v>
      </c>
      <c r="H6" s="72"/>
      <c r="J6" s="2" t="s">
        <v>21</v>
      </c>
      <c r="K6" s="71" t="s">
        <v>174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5</v>
      </c>
      <c r="D10" s="50">
        <v>5</v>
      </c>
      <c r="E10" s="50">
        <v>0</v>
      </c>
      <c r="F10" s="50">
        <v>3</v>
      </c>
      <c r="G10" s="50">
        <v>0</v>
      </c>
      <c r="H10" s="50">
        <v>0</v>
      </c>
      <c r="I10" s="50">
        <v>1</v>
      </c>
      <c r="J10" s="50">
        <v>0</v>
      </c>
      <c r="K10" s="50">
        <v>2</v>
      </c>
      <c r="L10" s="50">
        <v>0</v>
      </c>
      <c r="M10" s="50">
        <v>6</v>
      </c>
      <c r="N10" s="50">
        <v>0</v>
      </c>
      <c r="O10" s="15">
        <f t="shared" ref="O10:O73" si="0">SUM(C10:L10,N10)</f>
        <v>16</v>
      </c>
      <c r="P10" s="15">
        <f t="shared" ref="P10:P73" si="1">SUM(C10:N10)</f>
        <v>22</v>
      </c>
      <c r="R10" s="1" t="s">
        <v>6</v>
      </c>
      <c r="S10" s="17">
        <f t="shared" ref="S10:AF10" si="2">SUM(C10:C13)</f>
        <v>21</v>
      </c>
      <c r="T10" s="17">
        <f t="shared" si="2"/>
        <v>15</v>
      </c>
      <c r="U10" s="17">
        <f t="shared" si="2"/>
        <v>2</v>
      </c>
      <c r="V10" s="17">
        <f t="shared" si="2"/>
        <v>9</v>
      </c>
      <c r="W10" s="17">
        <f t="shared" si="2"/>
        <v>1</v>
      </c>
      <c r="X10" s="17">
        <f t="shared" si="2"/>
        <v>0</v>
      </c>
      <c r="Y10" s="17">
        <f t="shared" si="2"/>
        <v>4</v>
      </c>
      <c r="Z10" s="17">
        <f t="shared" si="2"/>
        <v>0</v>
      </c>
      <c r="AA10" s="17">
        <f t="shared" si="2"/>
        <v>7</v>
      </c>
      <c r="AB10" s="17">
        <f t="shared" si="2"/>
        <v>1</v>
      </c>
      <c r="AC10" s="17">
        <f t="shared" si="2"/>
        <v>21</v>
      </c>
      <c r="AD10" s="17">
        <f t="shared" si="2"/>
        <v>0</v>
      </c>
      <c r="AE10" s="31">
        <f t="shared" si="2"/>
        <v>60</v>
      </c>
      <c r="AF10" s="31">
        <f t="shared" si="2"/>
        <v>81</v>
      </c>
    </row>
    <row r="11" spans="2:32" s="6" customFormat="1" ht="23.1" customHeight="1" x14ac:dyDescent="0.25">
      <c r="B11" s="45" t="s">
        <v>38</v>
      </c>
      <c r="C11" s="50">
        <v>4</v>
      </c>
      <c r="D11" s="50">
        <v>2</v>
      </c>
      <c r="E11" s="50">
        <v>0</v>
      </c>
      <c r="F11" s="50">
        <v>3</v>
      </c>
      <c r="G11" s="50">
        <v>0</v>
      </c>
      <c r="H11" s="50">
        <v>0</v>
      </c>
      <c r="I11" s="50">
        <v>2</v>
      </c>
      <c r="J11" s="50">
        <v>0</v>
      </c>
      <c r="K11" s="50">
        <v>2</v>
      </c>
      <c r="L11" s="50">
        <v>0</v>
      </c>
      <c r="M11" s="50">
        <v>7</v>
      </c>
      <c r="N11" s="50">
        <v>0</v>
      </c>
      <c r="O11" s="15">
        <f t="shared" si="0"/>
        <v>13</v>
      </c>
      <c r="P11" s="15">
        <f t="shared" si="1"/>
        <v>20</v>
      </c>
      <c r="R11" s="1" t="s">
        <v>7</v>
      </c>
      <c r="S11" s="17">
        <f t="shared" ref="S11:AF11" si="3">SUM(C14:C17)</f>
        <v>56</v>
      </c>
      <c r="T11" s="17">
        <f t="shared" si="3"/>
        <v>25</v>
      </c>
      <c r="U11" s="17">
        <f t="shared" si="3"/>
        <v>18</v>
      </c>
      <c r="V11" s="17">
        <f t="shared" si="3"/>
        <v>18</v>
      </c>
      <c r="W11" s="17">
        <f t="shared" si="3"/>
        <v>0</v>
      </c>
      <c r="X11" s="17">
        <f t="shared" si="3"/>
        <v>4</v>
      </c>
      <c r="Y11" s="17">
        <f t="shared" si="3"/>
        <v>10</v>
      </c>
      <c r="Z11" s="17">
        <f t="shared" si="3"/>
        <v>5</v>
      </c>
      <c r="AA11" s="17">
        <f t="shared" si="3"/>
        <v>4</v>
      </c>
      <c r="AB11" s="17">
        <f t="shared" si="3"/>
        <v>0</v>
      </c>
      <c r="AC11" s="17">
        <f t="shared" si="3"/>
        <v>19</v>
      </c>
      <c r="AD11" s="17">
        <f t="shared" si="3"/>
        <v>0</v>
      </c>
      <c r="AE11" s="31">
        <f t="shared" si="3"/>
        <v>140</v>
      </c>
      <c r="AF11" s="31">
        <f t="shared" si="3"/>
        <v>159</v>
      </c>
    </row>
    <row r="12" spans="2:32" ht="23.1" customHeight="1" x14ac:dyDescent="0.25">
      <c r="B12" s="45" t="s">
        <v>39</v>
      </c>
      <c r="C12" s="50">
        <v>7</v>
      </c>
      <c r="D12" s="50">
        <v>5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2</v>
      </c>
      <c r="L12" s="50">
        <v>1</v>
      </c>
      <c r="M12" s="50">
        <v>5</v>
      </c>
      <c r="N12" s="50">
        <v>0</v>
      </c>
      <c r="O12" s="15">
        <f t="shared" si="0"/>
        <v>15</v>
      </c>
      <c r="P12" s="15">
        <f t="shared" si="1"/>
        <v>20</v>
      </c>
      <c r="R12" s="1" t="s">
        <v>8</v>
      </c>
      <c r="S12" s="17">
        <f t="shared" ref="S12:AF12" si="4">SUM(C18:C21)</f>
        <v>47</v>
      </c>
      <c r="T12" s="17">
        <f t="shared" si="4"/>
        <v>19</v>
      </c>
      <c r="U12" s="17">
        <f t="shared" si="4"/>
        <v>13</v>
      </c>
      <c r="V12" s="17">
        <f t="shared" si="4"/>
        <v>18</v>
      </c>
      <c r="W12" s="17">
        <f t="shared" si="4"/>
        <v>2</v>
      </c>
      <c r="X12" s="17">
        <f t="shared" si="4"/>
        <v>6</v>
      </c>
      <c r="Y12" s="17">
        <f t="shared" si="4"/>
        <v>7</v>
      </c>
      <c r="Z12" s="17">
        <f t="shared" si="4"/>
        <v>2</v>
      </c>
      <c r="AA12" s="17">
        <f t="shared" si="4"/>
        <v>19</v>
      </c>
      <c r="AB12" s="17">
        <f t="shared" si="4"/>
        <v>0</v>
      </c>
      <c r="AC12" s="17">
        <f t="shared" si="4"/>
        <v>37</v>
      </c>
      <c r="AD12" s="17">
        <f t="shared" si="4"/>
        <v>0</v>
      </c>
      <c r="AE12" s="31">
        <f t="shared" si="4"/>
        <v>133</v>
      </c>
      <c r="AF12" s="31">
        <f t="shared" si="4"/>
        <v>170</v>
      </c>
    </row>
    <row r="13" spans="2:32" ht="23.1" customHeight="1" x14ac:dyDescent="0.25">
      <c r="B13" s="45" t="s">
        <v>40</v>
      </c>
      <c r="C13" s="50">
        <v>5</v>
      </c>
      <c r="D13" s="50">
        <v>3</v>
      </c>
      <c r="E13" s="50">
        <v>2</v>
      </c>
      <c r="F13" s="50">
        <v>3</v>
      </c>
      <c r="G13" s="50">
        <v>1</v>
      </c>
      <c r="H13" s="50">
        <v>0</v>
      </c>
      <c r="I13" s="50">
        <v>1</v>
      </c>
      <c r="J13" s="50">
        <v>0</v>
      </c>
      <c r="K13" s="50">
        <v>1</v>
      </c>
      <c r="L13" s="50">
        <v>0</v>
      </c>
      <c r="M13" s="50">
        <v>3</v>
      </c>
      <c r="N13" s="50">
        <v>0</v>
      </c>
      <c r="O13" s="15">
        <f t="shared" si="0"/>
        <v>16</v>
      </c>
      <c r="P13" s="15">
        <f t="shared" si="1"/>
        <v>19</v>
      </c>
      <c r="R13" s="1" t="s">
        <v>9</v>
      </c>
      <c r="S13" s="17">
        <f t="shared" ref="S13:AF13" si="5">SUM(C22:C25)</f>
        <v>48</v>
      </c>
      <c r="T13" s="17">
        <f t="shared" si="5"/>
        <v>27</v>
      </c>
      <c r="U13" s="17">
        <f t="shared" si="5"/>
        <v>17</v>
      </c>
      <c r="V13" s="17">
        <f t="shared" si="5"/>
        <v>31</v>
      </c>
      <c r="W13" s="17">
        <f t="shared" si="5"/>
        <v>2</v>
      </c>
      <c r="X13" s="17">
        <f t="shared" si="5"/>
        <v>3</v>
      </c>
      <c r="Y13" s="17">
        <f t="shared" si="5"/>
        <v>17</v>
      </c>
      <c r="Z13" s="17">
        <f t="shared" si="5"/>
        <v>2</v>
      </c>
      <c r="AA13" s="17">
        <f t="shared" si="5"/>
        <v>7</v>
      </c>
      <c r="AB13" s="17">
        <f t="shared" si="5"/>
        <v>1</v>
      </c>
      <c r="AC13" s="17">
        <f t="shared" si="5"/>
        <v>41</v>
      </c>
      <c r="AD13" s="17">
        <f t="shared" si="5"/>
        <v>0</v>
      </c>
      <c r="AE13" s="31">
        <f t="shared" si="5"/>
        <v>155</v>
      </c>
      <c r="AF13" s="31">
        <f t="shared" si="5"/>
        <v>196</v>
      </c>
    </row>
    <row r="14" spans="2:32" ht="23.1" customHeight="1" x14ac:dyDescent="0.25">
      <c r="B14" s="45" t="s">
        <v>41</v>
      </c>
      <c r="C14" s="50">
        <v>17</v>
      </c>
      <c r="D14" s="50">
        <v>6</v>
      </c>
      <c r="E14" s="50">
        <v>4</v>
      </c>
      <c r="F14" s="50">
        <v>3</v>
      </c>
      <c r="G14" s="50">
        <v>0</v>
      </c>
      <c r="H14" s="50">
        <v>2</v>
      </c>
      <c r="I14" s="50">
        <v>3</v>
      </c>
      <c r="J14" s="50">
        <v>1</v>
      </c>
      <c r="K14" s="50">
        <v>1</v>
      </c>
      <c r="L14" s="50">
        <v>0</v>
      </c>
      <c r="M14" s="50">
        <v>4</v>
      </c>
      <c r="N14" s="50">
        <v>0</v>
      </c>
      <c r="O14" s="15">
        <f t="shared" si="0"/>
        <v>37</v>
      </c>
      <c r="P14" s="15">
        <f t="shared" si="1"/>
        <v>41</v>
      </c>
      <c r="R14" s="1" t="s">
        <v>10</v>
      </c>
      <c r="S14" s="17">
        <f t="shared" ref="S14:AF14" si="6">SUM(C26:C29)</f>
        <v>43</v>
      </c>
      <c r="T14" s="17">
        <f t="shared" si="6"/>
        <v>16</v>
      </c>
      <c r="U14" s="17">
        <f t="shared" si="6"/>
        <v>19</v>
      </c>
      <c r="V14" s="17">
        <f t="shared" si="6"/>
        <v>23</v>
      </c>
      <c r="W14" s="17">
        <f t="shared" si="6"/>
        <v>2</v>
      </c>
      <c r="X14" s="17">
        <f t="shared" si="6"/>
        <v>4</v>
      </c>
      <c r="Y14" s="17">
        <f t="shared" si="6"/>
        <v>2</v>
      </c>
      <c r="Z14" s="17">
        <f t="shared" si="6"/>
        <v>1</v>
      </c>
      <c r="AA14" s="17">
        <f t="shared" si="6"/>
        <v>8</v>
      </c>
      <c r="AB14" s="17">
        <f t="shared" si="6"/>
        <v>1</v>
      </c>
      <c r="AC14" s="17">
        <f t="shared" si="6"/>
        <v>39</v>
      </c>
      <c r="AD14" s="17">
        <f t="shared" si="6"/>
        <v>0</v>
      </c>
      <c r="AE14" s="31">
        <f t="shared" si="6"/>
        <v>119</v>
      </c>
      <c r="AF14" s="31">
        <f t="shared" si="6"/>
        <v>158</v>
      </c>
    </row>
    <row r="15" spans="2:32" ht="23.1" customHeight="1" x14ac:dyDescent="0.25">
      <c r="B15" s="45" t="s">
        <v>42</v>
      </c>
      <c r="C15" s="50">
        <v>11</v>
      </c>
      <c r="D15" s="50">
        <v>7</v>
      </c>
      <c r="E15" s="50">
        <v>6</v>
      </c>
      <c r="F15" s="50">
        <v>5</v>
      </c>
      <c r="G15" s="50">
        <v>0</v>
      </c>
      <c r="H15" s="50">
        <v>0</v>
      </c>
      <c r="I15" s="50">
        <v>4</v>
      </c>
      <c r="J15" s="50">
        <v>2</v>
      </c>
      <c r="K15" s="50">
        <v>0</v>
      </c>
      <c r="L15" s="50">
        <v>0</v>
      </c>
      <c r="M15" s="50">
        <v>7</v>
      </c>
      <c r="N15" s="50">
        <v>0</v>
      </c>
      <c r="O15" s="15">
        <f t="shared" si="0"/>
        <v>35</v>
      </c>
      <c r="P15" s="15">
        <f t="shared" si="1"/>
        <v>42</v>
      </c>
      <c r="R15" s="1" t="s">
        <v>11</v>
      </c>
      <c r="S15" s="17">
        <f t="shared" ref="S15:AF15" si="7">SUM(C30:C33)</f>
        <v>37</v>
      </c>
      <c r="T15" s="17">
        <f t="shared" si="7"/>
        <v>8</v>
      </c>
      <c r="U15" s="17">
        <f t="shared" si="7"/>
        <v>9</v>
      </c>
      <c r="V15" s="17">
        <f t="shared" si="7"/>
        <v>20</v>
      </c>
      <c r="W15" s="17">
        <f t="shared" si="7"/>
        <v>0</v>
      </c>
      <c r="X15" s="17">
        <f t="shared" si="7"/>
        <v>9</v>
      </c>
      <c r="Y15" s="17">
        <f t="shared" si="7"/>
        <v>5</v>
      </c>
      <c r="Z15" s="17">
        <f t="shared" si="7"/>
        <v>5</v>
      </c>
      <c r="AA15" s="17">
        <f t="shared" si="7"/>
        <v>2</v>
      </c>
      <c r="AB15" s="17">
        <f t="shared" si="7"/>
        <v>0</v>
      </c>
      <c r="AC15" s="17">
        <f t="shared" si="7"/>
        <v>56</v>
      </c>
      <c r="AD15" s="17">
        <f t="shared" si="7"/>
        <v>0</v>
      </c>
      <c r="AE15" s="31">
        <f t="shared" si="7"/>
        <v>95</v>
      </c>
      <c r="AF15" s="31">
        <f t="shared" si="7"/>
        <v>151</v>
      </c>
    </row>
    <row r="16" spans="2:32" ht="23.1" customHeight="1" x14ac:dyDescent="0.25">
      <c r="B16" s="45" t="s">
        <v>43</v>
      </c>
      <c r="C16" s="50">
        <v>13</v>
      </c>
      <c r="D16" s="50">
        <v>3</v>
      </c>
      <c r="E16" s="50">
        <v>4</v>
      </c>
      <c r="F16" s="50">
        <v>3</v>
      </c>
      <c r="G16" s="50">
        <v>0</v>
      </c>
      <c r="H16" s="50">
        <v>2</v>
      </c>
      <c r="I16" s="50">
        <v>0</v>
      </c>
      <c r="J16" s="50">
        <v>1</v>
      </c>
      <c r="K16" s="50">
        <v>1</v>
      </c>
      <c r="L16" s="50">
        <v>0</v>
      </c>
      <c r="M16" s="50">
        <v>2</v>
      </c>
      <c r="N16" s="50">
        <v>0</v>
      </c>
      <c r="O16" s="15">
        <f t="shared" si="0"/>
        <v>27</v>
      </c>
      <c r="P16" s="15">
        <f t="shared" si="1"/>
        <v>29</v>
      </c>
      <c r="R16" s="1" t="s">
        <v>12</v>
      </c>
      <c r="S16" s="17">
        <f t="shared" ref="S16:AF16" si="8">SUM(C34:C37)</f>
        <v>28</v>
      </c>
      <c r="T16" s="17">
        <f t="shared" si="8"/>
        <v>11</v>
      </c>
      <c r="U16" s="17">
        <f t="shared" si="8"/>
        <v>11</v>
      </c>
      <c r="V16" s="17">
        <f t="shared" si="8"/>
        <v>20</v>
      </c>
      <c r="W16" s="17">
        <f t="shared" si="8"/>
        <v>1</v>
      </c>
      <c r="X16" s="17">
        <f t="shared" si="8"/>
        <v>6</v>
      </c>
      <c r="Y16" s="17">
        <f t="shared" si="8"/>
        <v>8</v>
      </c>
      <c r="Z16" s="17">
        <f t="shared" si="8"/>
        <v>4</v>
      </c>
      <c r="AA16" s="17">
        <f t="shared" si="8"/>
        <v>4</v>
      </c>
      <c r="AB16" s="17">
        <f t="shared" si="8"/>
        <v>0</v>
      </c>
      <c r="AC16" s="17">
        <f t="shared" si="8"/>
        <v>35</v>
      </c>
      <c r="AD16" s="17">
        <f t="shared" si="8"/>
        <v>0</v>
      </c>
      <c r="AE16" s="31">
        <f t="shared" si="8"/>
        <v>93</v>
      </c>
      <c r="AF16" s="31">
        <f t="shared" si="8"/>
        <v>128</v>
      </c>
    </row>
    <row r="17" spans="2:32" ht="23.1" customHeight="1" x14ac:dyDescent="0.25">
      <c r="B17" s="45" t="s">
        <v>44</v>
      </c>
      <c r="C17" s="50">
        <v>15</v>
      </c>
      <c r="D17" s="50">
        <v>9</v>
      </c>
      <c r="E17" s="50">
        <v>4</v>
      </c>
      <c r="F17" s="50">
        <v>7</v>
      </c>
      <c r="G17" s="50">
        <v>0</v>
      </c>
      <c r="H17" s="50">
        <v>0</v>
      </c>
      <c r="I17" s="50">
        <v>3</v>
      </c>
      <c r="J17" s="50">
        <v>1</v>
      </c>
      <c r="K17" s="50">
        <v>2</v>
      </c>
      <c r="L17" s="50">
        <v>0</v>
      </c>
      <c r="M17" s="50">
        <v>6</v>
      </c>
      <c r="N17" s="50">
        <v>0</v>
      </c>
      <c r="O17" s="15">
        <f t="shared" si="0"/>
        <v>41</v>
      </c>
      <c r="P17" s="15">
        <f t="shared" si="1"/>
        <v>47</v>
      </c>
      <c r="R17" s="1" t="s">
        <v>13</v>
      </c>
      <c r="S17" s="17">
        <f t="shared" ref="S17:AF17" si="9">SUM(C38:C41)</f>
        <v>22</v>
      </c>
      <c r="T17" s="17">
        <f t="shared" si="9"/>
        <v>13</v>
      </c>
      <c r="U17" s="17">
        <f t="shared" si="9"/>
        <v>8</v>
      </c>
      <c r="V17" s="17">
        <f t="shared" si="9"/>
        <v>15</v>
      </c>
      <c r="W17" s="17">
        <f t="shared" si="9"/>
        <v>2</v>
      </c>
      <c r="X17" s="17">
        <f t="shared" si="9"/>
        <v>6</v>
      </c>
      <c r="Y17" s="17">
        <f t="shared" si="9"/>
        <v>4</v>
      </c>
      <c r="Z17" s="17">
        <f t="shared" si="9"/>
        <v>9</v>
      </c>
      <c r="AA17" s="17">
        <f t="shared" si="9"/>
        <v>8</v>
      </c>
      <c r="AB17" s="17">
        <f t="shared" si="9"/>
        <v>0</v>
      </c>
      <c r="AC17" s="17">
        <f t="shared" si="9"/>
        <v>30</v>
      </c>
      <c r="AD17" s="17">
        <f t="shared" si="9"/>
        <v>0</v>
      </c>
      <c r="AE17" s="31">
        <f t="shared" si="9"/>
        <v>87</v>
      </c>
      <c r="AF17" s="31">
        <f t="shared" si="9"/>
        <v>117</v>
      </c>
    </row>
    <row r="18" spans="2:32" ht="23.1" customHeight="1" x14ac:dyDescent="0.25">
      <c r="B18" s="45" t="s">
        <v>45</v>
      </c>
      <c r="C18" s="50">
        <v>11</v>
      </c>
      <c r="D18" s="50">
        <v>3</v>
      </c>
      <c r="E18" s="50">
        <v>0</v>
      </c>
      <c r="F18" s="50">
        <v>3</v>
      </c>
      <c r="G18" s="50">
        <v>0</v>
      </c>
      <c r="H18" s="50">
        <v>2</v>
      </c>
      <c r="I18" s="50">
        <v>0</v>
      </c>
      <c r="J18" s="50">
        <v>2</v>
      </c>
      <c r="K18" s="50">
        <v>3</v>
      </c>
      <c r="L18" s="50">
        <v>0</v>
      </c>
      <c r="M18" s="50">
        <v>10</v>
      </c>
      <c r="N18" s="50">
        <v>0</v>
      </c>
      <c r="O18" s="15">
        <f t="shared" si="0"/>
        <v>24</v>
      </c>
      <c r="P18" s="15">
        <f t="shared" si="1"/>
        <v>34</v>
      </c>
      <c r="R18" s="1" t="s">
        <v>14</v>
      </c>
      <c r="S18" s="17">
        <f t="shared" ref="S18:AF18" si="10">SUM(C42:C45)</f>
        <v>40</v>
      </c>
      <c r="T18" s="17">
        <f t="shared" si="10"/>
        <v>18</v>
      </c>
      <c r="U18" s="17">
        <f t="shared" si="10"/>
        <v>11</v>
      </c>
      <c r="V18" s="17">
        <f t="shared" si="10"/>
        <v>23</v>
      </c>
      <c r="W18" s="17">
        <f t="shared" si="10"/>
        <v>1</v>
      </c>
      <c r="X18" s="17">
        <f t="shared" si="10"/>
        <v>7</v>
      </c>
      <c r="Y18" s="17">
        <f t="shared" si="10"/>
        <v>8</v>
      </c>
      <c r="Z18" s="17">
        <f t="shared" si="10"/>
        <v>3</v>
      </c>
      <c r="AA18" s="17">
        <f t="shared" si="10"/>
        <v>5</v>
      </c>
      <c r="AB18" s="17">
        <f t="shared" si="10"/>
        <v>1</v>
      </c>
      <c r="AC18" s="17">
        <f t="shared" si="10"/>
        <v>35</v>
      </c>
      <c r="AD18" s="17">
        <f t="shared" si="10"/>
        <v>0</v>
      </c>
      <c r="AE18" s="31">
        <f t="shared" si="10"/>
        <v>117</v>
      </c>
      <c r="AF18" s="31">
        <f t="shared" si="10"/>
        <v>152</v>
      </c>
    </row>
    <row r="19" spans="2:32" ht="23.1" customHeight="1" x14ac:dyDescent="0.25">
      <c r="B19" s="45" t="s">
        <v>46</v>
      </c>
      <c r="C19" s="50">
        <v>11</v>
      </c>
      <c r="D19" s="50">
        <v>5</v>
      </c>
      <c r="E19" s="50">
        <v>4</v>
      </c>
      <c r="F19" s="50">
        <v>3</v>
      </c>
      <c r="G19" s="50">
        <v>1</v>
      </c>
      <c r="H19" s="50">
        <v>1</v>
      </c>
      <c r="I19" s="50">
        <v>1</v>
      </c>
      <c r="J19" s="50">
        <v>0</v>
      </c>
      <c r="K19" s="50">
        <v>10</v>
      </c>
      <c r="L19" s="50">
        <v>0</v>
      </c>
      <c r="M19" s="50">
        <v>6</v>
      </c>
      <c r="N19" s="50">
        <v>0</v>
      </c>
      <c r="O19" s="15">
        <f t="shared" si="0"/>
        <v>36</v>
      </c>
      <c r="P19" s="15">
        <f t="shared" si="1"/>
        <v>42</v>
      </c>
      <c r="R19" s="1" t="s">
        <v>15</v>
      </c>
      <c r="S19" s="17">
        <f t="shared" ref="S19:AF19" si="11">SUM(C46:C49)</f>
        <v>42</v>
      </c>
      <c r="T19" s="17">
        <f t="shared" si="11"/>
        <v>23</v>
      </c>
      <c r="U19" s="17">
        <f t="shared" si="11"/>
        <v>7</v>
      </c>
      <c r="V19" s="17">
        <f t="shared" si="11"/>
        <v>17</v>
      </c>
      <c r="W19" s="17">
        <f t="shared" si="11"/>
        <v>0</v>
      </c>
      <c r="X19" s="17">
        <f t="shared" si="11"/>
        <v>8</v>
      </c>
      <c r="Y19" s="17">
        <f t="shared" si="11"/>
        <v>9</v>
      </c>
      <c r="Z19" s="17">
        <f t="shared" si="11"/>
        <v>9</v>
      </c>
      <c r="AA19" s="17">
        <f t="shared" si="11"/>
        <v>8</v>
      </c>
      <c r="AB19" s="17">
        <f t="shared" si="11"/>
        <v>1</v>
      </c>
      <c r="AC19" s="17">
        <f t="shared" si="11"/>
        <v>28</v>
      </c>
      <c r="AD19" s="17">
        <f t="shared" si="11"/>
        <v>0</v>
      </c>
      <c r="AE19" s="31">
        <f t="shared" si="11"/>
        <v>124</v>
      </c>
      <c r="AF19" s="31">
        <f t="shared" si="11"/>
        <v>152</v>
      </c>
    </row>
    <row r="20" spans="2:32" ht="23.1" customHeight="1" x14ac:dyDescent="0.25">
      <c r="B20" s="45" t="s">
        <v>47</v>
      </c>
      <c r="C20" s="50">
        <v>15</v>
      </c>
      <c r="D20" s="50">
        <v>1</v>
      </c>
      <c r="E20" s="50">
        <v>4</v>
      </c>
      <c r="F20" s="50">
        <v>7</v>
      </c>
      <c r="G20" s="50">
        <v>0</v>
      </c>
      <c r="H20" s="50">
        <v>3</v>
      </c>
      <c r="I20" s="50">
        <v>3</v>
      </c>
      <c r="J20" s="50">
        <v>0</v>
      </c>
      <c r="K20" s="50">
        <v>4</v>
      </c>
      <c r="L20" s="50">
        <v>0</v>
      </c>
      <c r="M20" s="50">
        <v>10</v>
      </c>
      <c r="N20" s="50">
        <v>0</v>
      </c>
      <c r="O20" s="15">
        <f t="shared" si="0"/>
        <v>37</v>
      </c>
      <c r="P20" s="15">
        <f t="shared" si="1"/>
        <v>47</v>
      </c>
      <c r="R20" s="1" t="s">
        <v>16</v>
      </c>
      <c r="S20" s="17">
        <f t="shared" ref="S20:AF20" si="12">SUM(C50:C53)</f>
        <v>40</v>
      </c>
      <c r="T20" s="17">
        <f t="shared" si="12"/>
        <v>22</v>
      </c>
      <c r="U20" s="17">
        <f t="shared" si="12"/>
        <v>6</v>
      </c>
      <c r="V20" s="17">
        <f t="shared" si="12"/>
        <v>30</v>
      </c>
      <c r="W20" s="17">
        <f t="shared" si="12"/>
        <v>0</v>
      </c>
      <c r="X20" s="17">
        <f t="shared" si="12"/>
        <v>4</v>
      </c>
      <c r="Y20" s="17">
        <f t="shared" si="12"/>
        <v>17</v>
      </c>
      <c r="Z20" s="17">
        <f t="shared" si="12"/>
        <v>14</v>
      </c>
      <c r="AA20" s="17">
        <f t="shared" si="12"/>
        <v>7</v>
      </c>
      <c r="AB20" s="17">
        <f t="shared" si="12"/>
        <v>3</v>
      </c>
      <c r="AC20" s="17">
        <f t="shared" si="12"/>
        <v>59</v>
      </c>
      <c r="AD20" s="17">
        <f t="shared" si="12"/>
        <v>0</v>
      </c>
      <c r="AE20" s="31">
        <f t="shared" si="12"/>
        <v>143</v>
      </c>
      <c r="AF20" s="31">
        <f t="shared" si="12"/>
        <v>202</v>
      </c>
    </row>
    <row r="21" spans="2:32" ht="23.1" customHeight="1" x14ac:dyDescent="0.25">
      <c r="B21" s="45" t="s">
        <v>48</v>
      </c>
      <c r="C21" s="50">
        <v>10</v>
      </c>
      <c r="D21" s="50">
        <v>10</v>
      </c>
      <c r="E21" s="50">
        <v>5</v>
      </c>
      <c r="F21" s="50">
        <v>5</v>
      </c>
      <c r="G21" s="50">
        <v>1</v>
      </c>
      <c r="H21" s="50">
        <v>0</v>
      </c>
      <c r="I21" s="50">
        <v>3</v>
      </c>
      <c r="J21" s="50">
        <v>0</v>
      </c>
      <c r="K21" s="50">
        <v>2</v>
      </c>
      <c r="L21" s="50">
        <v>0</v>
      </c>
      <c r="M21" s="50">
        <v>11</v>
      </c>
      <c r="N21" s="50">
        <v>0</v>
      </c>
      <c r="O21" s="15">
        <f t="shared" si="0"/>
        <v>36</v>
      </c>
      <c r="P21" s="15">
        <f t="shared" si="1"/>
        <v>47</v>
      </c>
      <c r="R21" s="36" t="s">
        <v>20</v>
      </c>
      <c r="S21" s="34">
        <f t="shared" ref="S21:AF21" si="13">SUM(C54:C57)</f>
        <v>41</v>
      </c>
      <c r="T21" s="17">
        <f t="shared" si="13"/>
        <v>14</v>
      </c>
      <c r="U21" s="17">
        <f t="shared" si="13"/>
        <v>10</v>
      </c>
      <c r="V21" s="17">
        <f t="shared" si="13"/>
        <v>11</v>
      </c>
      <c r="W21" s="17">
        <f t="shared" si="13"/>
        <v>0</v>
      </c>
      <c r="X21" s="17">
        <f t="shared" si="13"/>
        <v>4</v>
      </c>
      <c r="Y21" s="17">
        <f t="shared" si="13"/>
        <v>11</v>
      </c>
      <c r="Z21" s="17">
        <f t="shared" si="13"/>
        <v>12</v>
      </c>
      <c r="AA21" s="17">
        <f t="shared" si="13"/>
        <v>5</v>
      </c>
      <c r="AB21" s="17">
        <f t="shared" si="13"/>
        <v>4</v>
      </c>
      <c r="AC21" s="17">
        <f t="shared" si="13"/>
        <v>43</v>
      </c>
      <c r="AD21" s="17">
        <f t="shared" si="13"/>
        <v>0</v>
      </c>
      <c r="AE21" s="31">
        <f t="shared" si="13"/>
        <v>112</v>
      </c>
      <c r="AF21" s="31">
        <f t="shared" si="13"/>
        <v>155</v>
      </c>
    </row>
    <row r="22" spans="2:32" ht="23.1" customHeight="1" x14ac:dyDescent="0.25">
      <c r="B22" s="45" t="s">
        <v>49</v>
      </c>
      <c r="C22" s="50">
        <v>12</v>
      </c>
      <c r="D22" s="50">
        <v>8</v>
      </c>
      <c r="E22" s="50">
        <v>5</v>
      </c>
      <c r="F22" s="50">
        <v>14</v>
      </c>
      <c r="G22" s="50">
        <v>1</v>
      </c>
      <c r="H22" s="50">
        <v>1</v>
      </c>
      <c r="I22" s="50">
        <v>7</v>
      </c>
      <c r="J22" s="50">
        <v>1</v>
      </c>
      <c r="K22" s="50">
        <v>2</v>
      </c>
      <c r="L22" s="50">
        <v>0</v>
      </c>
      <c r="M22" s="50">
        <v>8</v>
      </c>
      <c r="N22" s="50">
        <v>0</v>
      </c>
      <c r="O22" s="15">
        <f t="shared" si="0"/>
        <v>51</v>
      </c>
      <c r="P22" s="15">
        <f t="shared" si="1"/>
        <v>59</v>
      </c>
      <c r="R22" s="36" t="s">
        <v>146</v>
      </c>
      <c r="S22" s="34">
        <f>SUM(C58:C61)</f>
        <v>34</v>
      </c>
      <c r="T22" s="34">
        <f t="shared" ref="T22:AF22" si="14">SUM(D58:D61)</f>
        <v>10</v>
      </c>
      <c r="U22" s="34">
        <f t="shared" si="14"/>
        <v>9</v>
      </c>
      <c r="V22" s="34">
        <f t="shared" si="14"/>
        <v>16</v>
      </c>
      <c r="W22" s="34">
        <f t="shared" si="14"/>
        <v>0</v>
      </c>
      <c r="X22" s="34">
        <f t="shared" si="14"/>
        <v>6</v>
      </c>
      <c r="Y22" s="34">
        <f t="shared" si="14"/>
        <v>7</v>
      </c>
      <c r="Z22" s="34">
        <f t="shared" si="14"/>
        <v>14</v>
      </c>
      <c r="AA22" s="34">
        <f t="shared" si="14"/>
        <v>15</v>
      </c>
      <c r="AB22" s="34">
        <f t="shared" si="14"/>
        <v>6</v>
      </c>
      <c r="AC22" s="34">
        <f t="shared" si="14"/>
        <v>32</v>
      </c>
      <c r="AD22" s="34">
        <f t="shared" si="14"/>
        <v>0</v>
      </c>
      <c r="AE22" s="31">
        <f t="shared" si="14"/>
        <v>117</v>
      </c>
      <c r="AF22" s="31">
        <f t="shared" si="14"/>
        <v>149</v>
      </c>
    </row>
    <row r="23" spans="2:32" ht="23.1" customHeight="1" x14ac:dyDescent="0.25">
      <c r="B23" s="45" t="s">
        <v>50</v>
      </c>
      <c r="C23" s="50">
        <v>16</v>
      </c>
      <c r="D23" s="50">
        <v>6</v>
      </c>
      <c r="E23" s="50">
        <v>6</v>
      </c>
      <c r="F23" s="50">
        <v>8</v>
      </c>
      <c r="G23" s="50">
        <v>0</v>
      </c>
      <c r="H23" s="50">
        <v>1</v>
      </c>
      <c r="I23" s="50">
        <v>5</v>
      </c>
      <c r="J23" s="50">
        <v>1</v>
      </c>
      <c r="K23" s="50">
        <v>2</v>
      </c>
      <c r="L23" s="50">
        <v>1</v>
      </c>
      <c r="M23" s="50">
        <v>7</v>
      </c>
      <c r="N23" s="50">
        <v>0</v>
      </c>
      <c r="O23" s="15">
        <f t="shared" si="0"/>
        <v>46</v>
      </c>
      <c r="P23" s="15">
        <f t="shared" si="1"/>
        <v>53</v>
      </c>
      <c r="R23" s="36" t="s">
        <v>147</v>
      </c>
      <c r="S23" s="34">
        <f>SUM(C62:C65)</f>
        <v>18</v>
      </c>
      <c r="T23" s="34">
        <f t="shared" ref="T23:AF23" si="15">SUM(D62:D65)</f>
        <v>6</v>
      </c>
      <c r="U23" s="34">
        <f t="shared" si="15"/>
        <v>6</v>
      </c>
      <c r="V23" s="34">
        <f t="shared" si="15"/>
        <v>14</v>
      </c>
      <c r="W23" s="34">
        <f t="shared" si="15"/>
        <v>0</v>
      </c>
      <c r="X23" s="34">
        <f t="shared" si="15"/>
        <v>4</v>
      </c>
      <c r="Y23" s="34">
        <f t="shared" si="15"/>
        <v>3</v>
      </c>
      <c r="Z23" s="34">
        <f t="shared" si="15"/>
        <v>16</v>
      </c>
      <c r="AA23" s="34">
        <f t="shared" si="15"/>
        <v>17</v>
      </c>
      <c r="AB23" s="34">
        <f t="shared" si="15"/>
        <v>6</v>
      </c>
      <c r="AC23" s="34">
        <f t="shared" si="15"/>
        <v>21</v>
      </c>
      <c r="AD23" s="34">
        <f t="shared" si="15"/>
        <v>0</v>
      </c>
      <c r="AE23" s="31">
        <f t="shared" si="15"/>
        <v>90</v>
      </c>
      <c r="AF23" s="31">
        <f t="shared" si="15"/>
        <v>111</v>
      </c>
    </row>
    <row r="24" spans="2:32" ht="23.1" customHeight="1" x14ac:dyDescent="0.25">
      <c r="B24" s="45" t="s">
        <v>51</v>
      </c>
      <c r="C24" s="50">
        <v>9</v>
      </c>
      <c r="D24" s="50">
        <v>10</v>
      </c>
      <c r="E24" s="50">
        <v>3</v>
      </c>
      <c r="F24" s="50">
        <v>6</v>
      </c>
      <c r="G24" s="50">
        <v>0</v>
      </c>
      <c r="H24" s="50">
        <v>0</v>
      </c>
      <c r="I24" s="50">
        <v>3</v>
      </c>
      <c r="J24" s="50">
        <v>0</v>
      </c>
      <c r="K24" s="50">
        <v>2</v>
      </c>
      <c r="L24" s="50">
        <v>0</v>
      </c>
      <c r="M24" s="50">
        <v>9</v>
      </c>
      <c r="N24" s="50">
        <v>0</v>
      </c>
      <c r="O24" s="15">
        <f t="shared" si="0"/>
        <v>33</v>
      </c>
      <c r="P24" s="15">
        <f t="shared" si="1"/>
        <v>42</v>
      </c>
      <c r="R24" s="36" t="s">
        <v>148</v>
      </c>
      <c r="S24" s="34">
        <f>SUM(C66:C69)</f>
        <v>16</v>
      </c>
      <c r="T24" s="34">
        <f t="shared" ref="T24:AF24" si="16">SUM(D66:D69)</f>
        <v>7</v>
      </c>
      <c r="U24" s="34">
        <f t="shared" si="16"/>
        <v>3</v>
      </c>
      <c r="V24" s="34">
        <f t="shared" si="16"/>
        <v>10</v>
      </c>
      <c r="W24" s="34">
        <f t="shared" si="16"/>
        <v>0</v>
      </c>
      <c r="X24" s="34">
        <f t="shared" si="16"/>
        <v>5</v>
      </c>
      <c r="Y24" s="34">
        <f t="shared" si="16"/>
        <v>3</v>
      </c>
      <c r="Z24" s="34">
        <f t="shared" si="16"/>
        <v>12</v>
      </c>
      <c r="AA24" s="34">
        <f t="shared" si="16"/>
        <v>17</v>
      </c>
      <c r="AB24" s="34">
        <f t="shared" si="16"/>
        <v>3</v>
      </c>
      <c r="AC24" s="34">
        <f t="shared" si="16"/>
        <v>14</v>
      </c>
      <c r="AD24" s="34">
        <f t="shared" si="16"/>
        <v>0</v>
      </c>
      <c r="AE24" s="31">
        <f t="shared" si="16"/>
        <v>76</v>
      </c>
      <c r="AF24" s="31">
        <f t="shared" si="16"/>
        <v>90</v>
      </c>
    </row>
    <row r="25" spans="2:32" ht="23.1" customHeight="1" x14ac:dyDescent="0.25">
      <c r="B25" s="45" t="s">
        <v>52</v>
      </c>
      <c r="C25" s="50">
        <v>11</v>
      </c>
      <c r="D25" s="50">
        <v>3</v>
      </c>
      <c r="E25" s="50">
        <v>3</v>
      </c>
      <c r="F25" s="50">
        <v>3</v>
      </c>
      <c r="G25" s="50">
        <v>1</v>
      </c>
      <c r="H25" s="50">
        <v>1</v>
      </c>
      <c r="I25" s="50">
        <v>2</v>
      </c>
      <c r="J25" s="50">
        <v>0</v>
      </c>
      <c r="K25" s="50">
        <v>1</v>
      </c>
      <c r="L25" s="50">
        <v>0</v>
      </c>
      <c r="M25" s="50">
        <v>17</v>
      </c>
      <c r="N25" s="50">
        <v>0</v>
      </c>
      <c r="O25" s="15">
        <f t="shared" si="0"/>
        <v>25</v>
      </c>
      <c r="P25" s="15">
        <f t="shared" si="1"/>
        <v>42</v>
      </c>
      <c r="R25" s="36" t="s">
        <v>149</v>
      </c>
      <c r="S25" s="34">
        <f>SUM(C70:C73)</f>
        <v>19</v>
      </c>
      <c r="T25" s="34">
        <f t="shared" ref="T25:AF25" si="17">SUM(D70:D73)</f>
        <v>3</v>
      </c>
      <c r="U25" s="34">
        <f t="shared" si="17"/>
        <v>2</v>
      </c>
      <c r="V25" s="34">
        <f t="shared" si="17"/>
        <v>0</v>
      </c>
      <c r="W25" s="34">
        <f t="shared" si="17"/>
        <v>3</v>
      </c>
      <c r="X25" s="34">
        <f t="shared" si="17"/>
        <v>4</v>
      </c>
      <c r="Y25" s="34">
        <f t="shared" si="17"/>
        <v>3</v>
      </c>
      <c r="Z25" s="34">
        <f t="shared" si="17"/>
        <v>18</v>
      </c>
      <c r="AA25" s="34">
        <f t="shared" si="17"/>
        <v>14</v>
      </c>
      <c r="AB25" s="34">
        <f t="shared" si="17"/>
        <v>0</v>
      </c>
      <c r="AC25" s="34">
        <f t="shared" si="17"/>
        <v>12</v>
      </c>
      <c r="AD25" s="34">
        <f t="shared" si="17"/>
        <v>0</v>
      </c>
      <c r="AE25" s="31">
        <f t="shared" si="17"/>
        <v>66</v>
      </c>
      <c r="AF25" s="31">
        <f t="shared" si="17"/>
        <v>78</v>
      </c>
    </row>
    <row r="26" spans="2:32" ht="23.1" customHeight="1" x14ac:dyDescent="0.25">
      <c r="B26" s="45" t="s">
        <v>53</v>
      </c>
      <c r="C26" s="50">
        <v>7</v>
      </c>
      <c r="D26" s="50">
        <v>3</v>
      </c>
      <c r="E26" s="50">
        <v>5</v>
      </c>
      <c r="F26" s="50">
        <v>4</v>
      </c>
      <c r="G26" s="50">
        <v>1</v>
      </c>
      <c r="H26" s="50">
        <v>0</v>
      </c>
      <c r="I26" s="50">
        <v>1</v>
      </c>
      <c r="J26" s="50">
        <v>0</v>
      </c>
      <c r="K26" s="50">
        <v>2</v>
      </c>
      <c r="L26" s="50">
        <v>1</v>
      </c>
      <c r="M26" s="50">
        <v>9</v>
      </c>
      <c r="N26" s="50">
        <v>0</v>
      </c>
      <c r="O26" s="15">
        <f t="shared" si="0"/>
        <v>24</v>
      </c>
      <c r="P26" s="15">
        <f t="shared" si="1"/>
        <v>33</v>
      </c>
      <c r="R26" s="36" t="s">
        <v>150</v>
      </c>
      <c r="S26" s="34">
        <f>SUM(C74:C77)</f>
        <v>12</v>
      </c>
      <c r="T26" s="34">
        <f t="shared" ref="T26:AF26" si="18">SUM(D74:D77)</f>
        <v>6</v>
      </c>
      <c r="U26" s="34">
        <f t="shared" si="18"/>
        <v>4</v>
      </c>
      <c r="V26" s="34">
        <f t="shared" si="18"/>
        <v>5</v>
      </c>
      <c r="W26" s="34">
        <f t="shared" si="18"/>
        <v>2</v>
      </c>
      <c r="X26" s="34">
        <f t="shared" si="18"/>
        <v>6</v>
      </c>
      <c r="Y26" s="34">
        <f t="shared" si="18"/>
        <v>2</v>
      </c>
      <c r="Z26" s="34">
        <f t="shared" si="18"/>
        <v>21</v>
      </c>
      <c r="AA26" s="34">
        <f t="shared" si="18"/>
        <v>9</v>
      </c>
      <c r="AB26" s="34">
        <f t="shared" si="18"/>
        <v>1</v>
      </c>
      <c r="AC26" s="34">
        <f t="shared" si="18"/>
        <v>5</v>
      </c>
      <c r="AD26" s="34">
        <f t="shared" si="18"/>
        <v>0</v>
      </c>
      <c r="AE26" s="31">
        <f t="shared" si="18"/>
        <v>68</v>
      </c>
      <c r="AF26" s="31">
        <f t="shared" si="18"/>
        <v>73</v>
      </c>
    </row>
    <row r="27" spans="2:32" ht="23.1" customHeight="1" x14ac:dyDescent="0.25">
      <c r="B27" s="45" t="s">
        <v>54</v>
      </c>
      <c r="C27" s="50">
        <v>11</v>
      </c>
      <c r="D27" s="50">
        <v>5</v>
      </c>
      <c r="E27" s="50">
        <v>5</v>
      </c>
      <c r="F27" s="50">
        <v>6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8</v>
      </c>
      <c r="N27" s="50">
        <v>0</v>
      </c>
      <c r="O27" s="15">
        <f t="shared" si="0"/>
        <v>28</v>
      </c>
      <c r="P27" s="15">
        <f t="shared" si="1"/>
        <v>36</v>
      </c>
      <c r="R27" s="36" t="s">
        <v>151</v>
      </c>
      <c r="S27" s="34">
        <f>SUM(C78:C81)</f>
        <v>12</v>
      </c>
      <c r="T27" s="34">
        <f t="shared" ref="T27:AF27" si="19">SUM(D78:D81)</f>
        <v>6</v>
      </c>
      <c r="U27" s="34">
        <f t="shared" si="19"/>
        <v>4</v>
      </c>
      <c r="V27" s="34">
        <f t="shared" si="19"/>
        <v>5</v>
      </c>
      <c r="W27" s="34">
        <f t="shared" si="19"/>
        <v>2</v>
      </c>
      <c r="X27" s="34">
        <f t="shared" si="19"/>
        <v>6</v>
      </c>
      <c r="Y27" s="34">
        <f t="shared" si="19"/>
        <v>2</v>
      </c>
      <c r="Z27" s="34">
        <f t="shared" si="19"/>
        <v>21</v>
      </c>
      <c r="AA27" s="34">
        <f t="shared" si="19"/>
        <v>9</v>
      </c>
      <c r="AB27" s="34">
        <f t="shared" si="19"/>
        <v>1</v>
      </c>
      <c r="AC27" s="34">
        <f t="shared" si="19"/>
        <v>5</v>
      </c>
      <c r="AD27" s="34">
        <f t="shared" si="19"/>
        <v>0</v>
      </c>
      <c r="AE27" s="31">
        <f t="shared" si="19"/>
        <v>68</v>
      </c>
      <c r="AF27" s="31">
        <f t="shared" si="19"/>
        <v>73</v>
      </c>
    </row>
    <row r="28" spans="2:32" ht="23.1" customHeight="1" x14ac:dyDescent="0.25">
      <c r="B28" s="45" t="s">
        <v>55</v>
      </c>
      <c r="C28" s="50">
        <v>9</v>
      </c>
      <c r="D28" s="50">
        <v>4</v>
      </c>
      <c r="E28" s="50">
        <v>5</v>
      </c>
      <c r="F28" s="50">
        <v>6</v>
      </c>
      <c r="G28" s="50">
        <v>0</v>
      </c>
      <c r="H28" s="50">
        <v>3</v>
      </c>
      <c r="I28" s="50">
        <v>0</v>
      </c>
      <c r="J28" s="50">
        <v>0</v>
      </c>
      <c r="K28" s="50">
        <v>4</v>
      </c>
      <c r="L28" s="50">
        <v>0</v>
      </c>
      <c r="M28" s="50">
        <v>12</v>
      </c>
      <c r="N28" s="50">
        <v>0</v>
      </c>
      <c r="O28" s="15">
        <f t="shared" si="0"/>
        <v>31</v>
      </c>
      <c r="P28" s="15">
        <f t="shared" si="1"/>
        <v>43</v>
      </c>
      <c r="R28" s="36" t="s">
        <v>152</v>
      </c>
      <c r="S28" s="34">
        <f>SUM(C82:C85)</f>
        <v>26</v>
      </c>
      <c r="T28" s="34">
        <f t="shared" ref="T28:AF28" si="20">SUM(D82:D85)</f>
        <v>13</v>
      </c>
      <c r="U28" s="34">
        <f t="shared" si="20"/>
        <v>12</v>
      </c>
      <c r="V28" s="34">
        <f t="shared" si="20"/>
        <v>3</v>
      </c>
      <c r="W28" s="34">
        <f t="shared" si="20"/>
        <v>0</v>
      </c>
      <c r="X28" s="34">
        <f t="shared" si="20"/>
        <v>4</v>
      </c>
      <c r="Y28" s="34">
        <f t="shared" si="20"/>
        <v>4</v>
      </c>
      <c r="Z28" s="34">
        <f t="shared" si="20"/>
        <v>7</v>
      </c>
      <c r="AA28" s="34">
        <f t="shared" si="20"/>
        <v>5</v>
      </c>
      <c r="AB28" s="34">
        <f t="shared" si="20"/>
        <v>2</v>
      </c>
      <c r="AC28" s="34">
        <f t="shared" si="20"/>
        <v>1</v>
      </c>
      <c r="AD28" s="34">
        <f t="shared" si="20"/>
        <v>0</v>
      </c>
      <c r="AE28" s="31">
        <f t="shared" si="20"/>
        <v>76</v>
      </c>
      <c r="AF28" s="31">
        <f t="shared" si="20"/>
        <v>77</v>
      </c>
    </row>
    <row r="29" spans="2:32" ht="23.1" customHeight="1" x14ac:dyDescent="0.25">
      <c r="B29" s="45" t="s">
        <v>56</v>
      </c>
      <c r="C29" s="50">
        <v>16</v>
      </c>
      <c r="D29" s="50">
        <v>4</v>
      </c>
      <c r="E29" s="50">
        <v>4</v>
      </c>
      <c r="F29" s="50">
        <v>7</v>
      </c>
      <c r="G29" s="50">
        <v>1</v>
      </c>
      <c r="H29" s="50">
        <v>1</v>
      </c>
      <c r="I29" s="50">
        <v>1</v>
      </c>
      <c r="J29" s="50">
        <v>0</v>
      </c>
      <c r="K29" s="50">
        <v>2</v>
      </c>
      <c r="L29" s="50">
        <v>0</v>
      </c>
      <c r="M29" s="50">
        <v>10</v>
      </c>
      <c r="N29" s="50">
        <v>0</v>
      </c>
      <c r="O29" s="15">
        <f t="shared" si="0"/>
        <v>36</v>
      </c>
      <c r="P29" s="15">
        <f t="shared" si="1"/>
        <v>46</v>
      </c>
      <c r="R29" s="36" t="s">
        <v>153</v>
      </c>
      <c r="S29" s="34">
        <f>SUM(C86:C89)</f>
        <v>11</v>
      </c>
      <c r="T29" s="34">
        <f t="shared" ref="T29:AF29" si="21">SUM(D86:D89)</f>
        <v>6</v>
      </c>
      <c r="U29" s="34">
        <f t="shared" si="21"/>
        <v>1</v>
      </c>
      <c r="V29" s="34">
        <f t="shared" si="21"/>
        <v>3</v>
      </c>
      <c r="W29" s="34">
        <f t="shared" si="21"/>
        <v>2</v>
      </c>
      <c r="X29" s="34">
        <f t="shared" si="21"/>
        <v>5</v>
      </c>
      <c r="Y29" s="34">
        <f t="shared" si="21"/>
        <v>3</v>
      </c>
      <c r="Z29" s="34">
        <f t="shared" si="21"/>
        <v>15</v>
      </c>
      <c r="AA29" s="34">
        <f t="shared" si="21"/>
        <v>5</v>
      </c>
      <c r="AB29" s="34">
        <f t="shared" si="21"/>
        <v>1</v>
      </c>
      <c r="AC29" s="34">
        <f t="shared" si="21"/>
        <v>1</v>
      </c>
      <c r="AD29" s="34">
        <f t="shared" si="21"/>
        <v>0</v>
      </c>
      <c r="AE29" s="31">
        <f t="shared" si="21"/>
        <v>52</v>
      </c>
      <c r="AF29" s="31">
        <f t="shared" si="21"/>
        <v>53</v>
      </c>
    </row>
    <row r="30" spans="2:32" ht="23.1" customHeight="1" x14ac:dyDescent="0.25">
      <c r="B30" s="45" t="s">
        <v>57</v>
      </c>
      <c r="C30" s="50">
        <v>10</v>
      </c>
      <c r="D30" s="50">
        <v>3</v>
      </c>
      <c r="E30" s="50">
        <v>2</v>
      </c>
      <c r="F30" s="50">
        <v>5</v>
      </c>
      <c r="G30" s="50">
        <v>0</v>
      </c>
      <c r="H30" s="50">
        <v>3</v>
      </c>
      <c r="I30" s="50">
        <v>2</v>
      </c>
      <c r="J30" s="50">
        <v>2</v>
      </c>
      <c r="K30" s="50">
        <v>0</v>
      </c>
      <c r="L30" s="50">
        <v>0</v>
      </c>
      <c r="M30" s="50">
        <v>20</v>
      </c>
      <c r="N30" s="50">
        <v>0</v>
      </c>
      <c r="O30" s="15">
        <f t="shared" si="0"/>
        <v>27</v>
      </c>
      <c r="P30" s="15">
        <f t="shared" si="1"/>
        <v>47</v>
      </c>
      <c r="R30" s="36" t="s">
        <v>154</v>
      </c>
      <c r="S30" s="34">
        <f>SUM(C90:C93)</f>
        <v>7</v>
      </c>
      <c r="T30" s="34">
        <f t="shared" ref="T30:AF30" si="22">SUM(D90:D93)</f>
        <v>7</v>
      </c>
      <c r="U30" s="34">
        <f t="shared" si="22"/>
        <v>3</v>
      </c>
      <c r="V30" s="34">
        <f t="shared" si="22"/>
        <v>3</v>
      </c>
      <c r="W30" s="34">
        <f t="shared" si="22"/>
        <v>0</v>
      </c>
      <c r="X30" s="34">
        <f t="shared" si="22"/>
        <v>9</v>
      </c>
      <c r="Y30" s="34">
        <f t="shared" si="22"/>
        <v>8</v>
      </c>
      <c r="Z30" s="34">
        <f t="shared" si="22"/>
        <v>7</v>
      </c>
      <c r="AA30" s="34">
        <f t="shared" si="22"/>
        <v>15</v>
      </c>
      <c r="AB30" s="34">
        <f t="shared" si="22"/>
        <v>1</v>
      </c>
      <c r="AC30" s="34">
        <f t="shared" si="22"/>
        <v>4</v>
      </c>
      <c r="AD30" s="34">
        <f t="shared" si="22"/>
        <v>0</v>
      </c>
      <c r="AE30" s="31">
        <f t="shared" si="22"/>
        <v>60</v>
      </c>
      <c r="AF30" s="31">
        <f t="shared" si="22"/>
        <v>64</v>
      </c>
    </row>
    <row r="31" spans="2:32" ht="23.1" customHeight="1" x14ac:dyDescent="0.25">
      <c r="B31" s="46" t="s">
        <v>58</v>
      </c>
      <c r="C31" s="50">
        <v>11</v>
      </c>
      <c r="D31" s="50">
        <v>1</v>
      </c>
      <c r="E31" s="50">
        <v>1</v>
      </c>
      <c r="F31" s="50">
        <v>5</v>
      </c>
      <c r="G31" s="50">
        <v>0</v>
      </c>
      <c r="H31" s="50">
        <v>2</v>
      </c>
      <c r="I31" s="50">
        <v>0</v>
      </c>
      <c r="J31" s="50">
        <v>0</v>
      </c>
      <c r="K31" s="50">
        <v>2</v>
      </c>
      <c r="L31" s="50">
        <v>0</v>
      </c>
      <c r="M31" s="50">
        <v>17</v>
      </c>
      <c r="N31" s="50">
        <v>0</v>
      </c>
      <c r="O31" s="15">
        <f t="shared" si="0"/>
        <v>22</v>
      </c>
      <c r="P31" s="15">
        <f t="shared" si="1"/>
        <v>39</v>
      </c>
      <c r="R31" s="36" t="s">
        <v>155</v>
      </c>
      <c r="S31" s="34">
        <f>SUM(C94:C97)</f>
        <v>23</v>
      </c>
      <c r="T31" s="34">
        <f t="shared" ref="T31:AF31" si="23">SUM(D94:D97)</f>
        <v>2</v>
      </c>
      <c r="U31" s="34">
        <f t="shared" si="23"/>
        <v>0</v>
      </c>
      <c r="V31" s="34">
        <f t="shared" si="23"/>
        <v>6</v>
      </c>
      <c r="W31" s="34">
        <f t="shared" si="23"/>
        <v>1</v>
      </c>
      <c r="X31" s="34">
        <f t="shared" si="23"/>
        <v>7</v>
      </c>
      <c r="Y31" s="34">
        <f t="shared" si="23"/>
        <v>0</v>
      </c>
      <c r="Z31" s="34">
        <f t="shared" si="23"/>
        <v>12</v>
      </c>
      <c r="AA31" s="34">
        <f t="shared" si="23"/>
        <v>3</v>
      </c>
      <c r="AB31" s="34">
        <f t="shared" si="23"/>
        <v>0</v>
      </c>
      <c r="AC31" s="34">
        <f t="shared" si="23"/>
        <v>4</v>
      </c>
      <c r="AD31" s="34">
        <f t="shared" si="23"/>
        <v>0</v>
      </c>
      <c r="AE31" s="31">
        <f t="shared" si="23"/>
        <v>54</v>
      </c>
      <c r="AF31" s="31">
        <f t="shared" si="23"/>
        <v>58</v>
      </c>
    </row>
    <row r="32" spans="2:32" ht="23.1" customHeight="1" x14ac:dyDescent="0.25">
      <c r="B32" s="46" t="s">
        <v>59</v>
      </c>
      <c r="C32" s="50">
        <v>8</v>
      </c>
      <c r="D32" s="50">
        <v>2</v>
      </c>
      <c r="E32" s="50">
        <v>1</v>
      </c>
      <c r="F32" s="50">
        <v>6</v>
      </c>
      <c r="G32" s="50">
        <v>0</v>
      </c>
      <c r="H32" s="50">
        <v>2</v>
      </c>
      <c r="I32" s="50">
        <v>1</v>
      </c>
      <c r="J32" s="50">
        <v>1</v>
      </c>
      <c r="K32" s="50">
        <v>0</v>
      </c>
      <c r="L32" s="50">
        <v>0</v>
      </c>
      <c r="M32" s="50">
        <v>14</v>
      </c>
      <c r="N32" s="50">
        <v>0</v>
      </c>
      <c r="O32" s="15">
        <f t="shared" si="0"/>
        <v>21</v>
      </c>
      <c r="P32" s="15">
        <f t="shared" si="1"/>
        <v>35</v>
      </c>
      <c r="R32" s="33" t="s">
        <v>156</v>
      </c>
      <c r="S32" s="34">
        <f>SUM(C98:C101)</f>
        <v>7</v>
      </c>
      <c r="T32" s="34">
        <f t="shared" ref="T32:AF32" si="24">SUM(D98:D101)</f>
        <v>1</v>
      </c>
      <c r="U32" s="34">
        <f t="shared" si="24"/>
        <v>3</v>
      </c>
      <c r="V32" s="34">
        <f t="shared" si="24"/>
        <v>7</v>
      </c>
      <c r="W32" s="34">
        <f t="shared" si="24"/>
        <v>0</v>
      </c>
      <c r="X32" s="34">
        <f t="shared" si="24"/>
        <v>6</v>
      </c>
      <c r="Y32" s="34">
        <f t="shared" si="24"/>
        <v>2</v>
      </c>
      <c r="Z32" s="34">
        <f t="shared" si="24"/>
        <v>12</v>
      </c>
      <c r="AA32" s="34">
        <f t="shared" si="24"/>
        <v>4</v>
      </c>
      <c r="AB32" s="34">
        <f t="shared" si="24"/>
        <v>1</v>
      </c>
      <c r="AC32" s="34">
        <f t="shared" si="24"/>
        <v>8</v>
      </c>
      <c r="AD32" s="34">
        <f t="shared" si="24"/>
        <v>0</v>
      </c>
      <c r="AE32" s="31">
        <f t="shared" si="24"/>
        <v>43</v>
      </c>
      <c r="AF32" s="31">
        <f t="shared" si="24"/>
        <v>51</v>
      </c>
    </row>
    <row r="33" spans="2:32" ht="23.1" customHeight="1" x14ac:dyDescent="0.25">
      <c r="B33" s="45" t="s">
        <v>60</v>
      </c>
      <c r="C33" s="50">
        <v>8</v>
      </c>
      <c r="D33" s="50">
        <v>2</v>
      </c>
      <c r="E33" s="50">
        <v>5</v>
      </c>
      <c r="F33" s="50">
        <v>4</v>
      </c>
      <c r="G33" s="50">
        <v>0</v>
      </c>
      <c r="H33" s="50">
        <v>2</v>
      </c>
      <c r="I33" s="50">
        <v>2</v>
      </c>
      <c r="J33" s="50">
        <v>2</v>
      </c>
      <c r="K33" s="50">
        <v>0</v>
      </c>
      <c r="L33" s="50">
        <v>0</v>
      </c>
      <c r="M33" s="50">
        <v>5</v>
      </c>
      <c r="N33" s="50">
        <v>0</v>
      </c>
      <c r="O33" s="15">
        <f t="shared" si="0"/>
        <v>25</v>
      </c>
      <c r="P33" s="15">
        <f t="shared" si="1"/>
        <v>30</v>
      </c>
      <c r="R33" s="33" t="s">
        <v>157</v>
      </c>
      <c r="S33" s="34">
        <f>SUM(C102:C105)</f>
        <v>15</v>
      </c>
      <c r="T33" s="34">
        <f t="shared" ref="T33:AF33" si="25">SUM(D102:D105)</f>
        <v>0</v>
      </c>
      <c r="U33" s="34">
        <f t="shared" si="25"/>
        <v>3</v>
      </c>
      <c r="V33" s="34">
        <f t="shared" si="25"/>
        <v>4</v>
      </c>
      <c r="W33" s="34">
        <f t="shared" si="25"/>
        <v>0</v>
      </c>
      <c r="X33" s="34">
        <f t="shared" si="25"/>
        <v>1</v>
      </c>
      <c r="Y33" s="34">
        <f t="shared" si="25"/>
        <v>5</v>
      </c>
      <c r="Z33" s="34">
        <f t="shared" si="25"/>
        <v>5</v>
      </c>
      <c r="AA33" s="34">
        <f t="shared" si="25"/>
        <v>12</v>
      </c>
      <c r="AB33" s="34">
        <f t="shared" si="25"/>
        <v>0</v>
      </c>
      <c r="AC33" s="34">
        <f t="shared" si="25"/>
        <v>24</v>
      </c>
      <c r="AD33" s="34">
        <f t="shared" si="25"/>
        <v>0</v>
      </c>
      <c r="AE33" s="31">
        <f t="shared" si="25"/>
        <v>45</v>
      </c>
      <c r="AF33" s="31">
        <f t="shared" si="25"/>
        <v>69</v>
      </c>
    </row>
    <row r="34" spans="2:32" ht="23.1" customHeight="1" x14ac:dyDescent="0.25">
      <c r="B34" s="46" t="s">
        <v>61</v>
      </c>
      <c r="C34" s="50">
        <v>11</v>
      </c>
      <c r="D34" s="50">
        <v>6</v>
      </c>
      <c r="E34" s="50">
        <v>3</v>
      </c>
      <c r="F34" s="50">
        <v>5</v>
      </c>
      <c r="G34" s="50">
        <v>0</v>
      </c>
      <c r="H34" s="50">
        <v>3</v>
      </c>
      <c r="I34" s="50">
        <v>2</v>
      </c>
      <c r="J34" s="50">
        <v>2</v>
      </c>
      <c r="K34" s="50">
        <v>2</v>
      </c>
      <c r="L34" s="50">
        <v>0</v>
      </c>
      <c r="M34" s="50">
        <v>10</v>
      </c>
      <c r="N34" s="50">
        <v>0</v>
      </c>
      <c r="O34" s="15">
        <f t="shared" si="0"/>
        <v>34</v>
      </c>
      <c r="P34" s="15">
        <f t="shared" si="1"/>
        <v>44</v>
      </c>
      <c r="R34" s="38" t="s">
        <v>90</v>
      </c>
      <c r="S34" s="39">
        <f t="shared" ref="S34:AF34" si="26">MAX(S10:S12)</f>
        <v>56</v>
      </c>
      <c r="T34" s="39">
        <f t="shared" si="26"/>
        <v>25</v>
      </c>
      <c r="U34" s="39">
        <f t="shared" si="26"/>
        <v>18</v>
      </c>
      <c r="V34" s="39">
        <f t="shared" si="26"/>
        <v>18</v>
      </c>
      <c r="W34" s="39">
        <f t="shared" si="26"/>
        <v>2</v>
      </c>
      <c r="X34" s="39">
        <f t="shared" si="26"/>
        <v>6</v>
      </c>
      <c r="Y34" s="39">
        <f t="shared" si="26"/>
        <v>10</v>
      </c>
      <c r="Z34" s="39">
        <f t="shared" si="26"/>
        <v>5</v>
      </c>
      <c r="AA34" s="39">
        <f t="shared" si="26"/>
        <v>19</v>
      </c>
      <c r="AB34" s="39">
        <f t="shared" si="26"/>
        <v>1</v>
      </c>
      <c r="AC34" s="39">
        <f t="shared" si="26"/>
        <v>37</v>
      </c>
      <c r="AD34" s="39">
        <f t="shared" si="26"/>
        <v>0</v>
      </c>
      <c r="AE34" s="40">
        <f t="shared" si="26"/>
        <v>140</v>
      </c>
      <c r="AF34" s="40">
        <f t="shared" si="26"/>
        <v>170</v>
      </c>
    </row>
    <row r="35" spans="2:32" ht="23.1" customHeight="1" x14ac:dyDescent="0.25">
      <c r="B35" s="46" t="s">
        <v>62</v>
      </c>
      <c r="C35" s="50">
        <v>5</v>
      </c>
      <c r="D35" s="50">
        <v>2</v>
      </c>
      <c r="E35" s="50">
        <v>2</v>
      </c>
      <c r="F35" s="50">
        <v>5</v>
      </c>
      <c r="G35" s="50">
        <v>0</v>
      </c>
      <c r="H35" s="50">
        <v>2</v>
      </c>
      <c r="I35" s="50">
        <v>1</v>
      </c>
      <c r="J35" s="50">
        <v>0</v>
      </c>
      <c r="K35" s="50">
        <v>0</v>
      </c>
      <c r="L35" s="50">
        <v>0</v>
      </c>
      <c r="M35" s="50">
        <v>8</v>
      </c>
      <c r="N35" s="50">
        <v>0</v>
      </c>
      <c r="O35" s="15">
        <f t="shared" si="0"/>
        <v>17</v>
      </c>
      <c r="P35" s="15">
        <f t="shared" si="1"/>
        <v>25</v>
      </c>
      <c r="R35" s="38" t="s">
        <v>91</v>
      </c>
      <c r="S35" s="39">
        <f t="shared" ref="S35:AF35" si="27">MAX(S13:S18)</f>
        <v>48</v>
      </c>
      <c r="T35" s="39">
        <f t="shared" si="27"/>
        <v>27</v>
      </c>
      <c r="U35" s="39">
        <f t="shared" si="27"/>
        <v>19</v>
      </c>
      <c r="V35" s="39">
        <f t="shared" si="27"/>
        <v>31</v>
      </c>
      <c r="W35" s="39">
        <f t="shared" si="27"/>
        <v>2</v>
      </c>
      <c r="X35" s="39">
        <f t="shared" si="27"/>
        <v>9</v>
      </c>
      <c r="Y35" s="39">
        <f t="shared" si="27"/>
        <v>17</v>
      </c>
      <c r="Z35" s="39">
        <f t="shared" si="27"/>
        <v>9</v>
      </c>
      <c r="AA35" s="39">
        <f t="shared" si="27"/>
        <v>8</v>
      </c>
      <c r="AB35" s="39">
        <f t="shared" si="27"/>
        <v>1</v>
      </c>
      <c r="AC35" s="39">
        <f t="shared" si="27"/>
        <v>56</v>
      </c>
      <c r="AD35" s="39">
        <f t="shared" si="27"/>
        <v>0</v>
      </c>
      <c r="AE35" s="40">
        <f t="shared" si="27"/>
        <v>155</v>
      </c>
      <c r="AF35" s="40">
        <f t="shared" si="27"/>
        <v>196</v>
      </c>
    </row>
    <row r="36" spans="2:32" ht="23.1" customHeight="1" x14ac:dyDescent="0.25">
      <c r="B36" s="46" t="s">
        <v>63</v>
      </c>
      <c r="C36" s="50">
        <v>8</v>
      </c>
      <c r="D36" s="50">
        <v>3</v>
      </c>
      <c r="E36" s="50">
        <v>5</v>
      </c>
      <c r="F36" s="50">
        <v>7</v>
      </c>
      <c r="G36" s="50">
        <v>1</v>
      </c>
      <c r="H36" s="50">
        <v>0</v>
      </c>
      <c r="I36" s="50">
        <v>4</v>
      </c>
      <c r="J36" s="50">
        <v>0</v>
      </c>
      <c r="K36" s="50">
        <v>2</v>
      </c>
      <c r="L36" s="50">
        <v>0</v>
      </c>
      <c r="M36" s="50">
        <v>10</v>
      </c>
      <c r="N36" s="50">
        <v>0</v>
      </c>
      <c r="O36" s="15">
        <f t="shared" si="0"/>
        <v>30</v>
      </c>
      <c r="P36" s="15">
        <f t="shared" si="1"/>
        <v>40</v>
      </c>
      <c r="R36" s="38" t="s">
        <v>92</v>
      </c>
      <c r="S36" s="39">
        <f t="shared" ref="S36:AF36" si="28">MAX(S19:S21)</f>
        <v>42</v>
      </c>
      <c r="T36" s="39">
        <f t="shared" si="28"/>
        <v>23</v>
      </c>
      <c r="U36" s="39">
        <f t="shared" si="28"/>
        <v>10</v>
      </c>
      <c r="V36" s="39">
        <f t="shared" si="28"/>
        <v>30</v>
      </c>
      <c r="W36" s="39">
        <f t="shared" si="28"/>
        <v>0</v>
      </c>
      <c r="X36" s="39">
        <f t="shared" si="28"/>
        <v>8</v>
      </c>
      <c r="Y36" s="39">
        <f t="shared" si="28"/>
        <v>17</v>
      </c>
      <c r="Z36" s="39">
        <f t="shared" si="28"/>
        <v>14</v>
      </c>
      <c r="AA36" s="39">
        <f t="shared" si="28"/>
        <v>8</v>
      </c>
      <c r="AB36" s="39">
        <f t="shared" si="28"/>
        <v>4</v>
      </c>
      <c r="AC36" s="39">
        <f t="shared" si="28"/>
        <v>59</v>
      </c>
      <c r="AD36" s="39">
        <f t="shared" si="28"/>
        <v>0</v>
      </c>
      <c r="AE36" s="40">
        <f t="shared" si="28"/>
        <v>143</v>
      </c>
      <c r="AF36" s="40">
        <f t="shared" si="28"/>
        <v>202</v>
      </c>
    </row>
    <row r="37" spans="2:32" ht="23.1" customHeight="1" x14ac:dyDescent="0.25">
      <c r="B37" s="45" t="s">
        <v>64</v>
      </c>
      <c r="C37" s="50">
        <v>4</v>
      </c>
      <c r="D37" s="50">
        <v>0</v>
      </c>
      <c r="E37" s="50">
        <v>1</v>
      </c>
      <c r="F37" s="50">
        <v>3</v>
      </c>
      <c r="G37" s="50">
        <v>0</v>
      </c>
      <c r="H37" s="50">
        <v>1</v>
      </c>
      <c r="I37" s="50">
        <v>1</v>
      </c>
      <c r="J37" s="50">
        <v>2</v>
      </c>
      <c r="K37" s="50">
        <v>0</v>
      </c>
      <c r="L37" s="50">
        <v>0</v>
      </c>
      <c r="M37" s="50">
        <v>7</v>
      </c>
      <c r="N37" s="50">
        <v>0</v>
      </c>
      <c r="O37" s="15">
        <f t="shared" si="0"/>
        <v>12</v>
      </c>
      <c r="P37" s="15">
        <f t="shared" si="1"/>
        <v>19</v>
      </c>
      <c r="R37" s="37" t="s">
        <v>85</v>
      </c>
      <c r="S37" s="35">
        <f t="shared" ref="S37:AF37" si="29">SUM(S10:S12)</f>
        <v>124</v>
      </c>
      <c r="T37" s="16">
        <f t="shared" si="29"/>
        <v>59</v>
      </c>
      <c r="U37" s="16">
        <f t="shared" si="29"/>
        <v>33</v>
      </c>
      <c r="V37" s="16">
        <f t="shared" si="29"/>
        <v>45</v>
      </c>
      <c r="W37" s="16">
        <f t="shared" si="29"/>
        <v>3</v>
      </c>
      <c r="X37" s="16">
        <f t="shared" si="29"/>
        <v>10</v>
      </c>
      <c r="Y37" s="16">
        <f t="shared" si="29"/>
        <v>21</v>
      </c>
      <c r="Z37" s="16">
        <f t="shared" si="29"/>
        <v>7</v>
      </c>
      <c r="AA37" s="16">
        <f t="shared" si="29"/>
        <v>30</v>
      </c>
      <c r="AB37" s="16">
        <f t="shared" si="29"/>
        <v>1</v>
      </c>
      <c r="AC37" s="16">
        <f t="shared" si="29"/>
        <v>77</v>
      </c>
      <c r="AD37" s="16">
        <f t="shared" si="29"/>
        <v>0</v>
      </c>
      <c r="AE37" s="32">
        <f t="shared" si="29"/>
        <v>333</v>
      </c>
      <c r="AF37" s="32">
        <f t="shared" si="29"/>
        <v>410</v>
      </c>
    </row>
    <row r="38" spans="2:32" ht="23.1" customHeight="1" x14ac:dyDescent="0.25">
      <c r="B38" s="46" t="s">
        <v>65</v>
      </c>
      <c r="C38" s="50">
        <v>3</v>
      </c>
      <c r="D38" s="50">
        <v>3</v>
      </c>
      <c r="E38" s="50">
        <v>0</v>
      </c>
      <c r="F38" s="50">
        <v>3</v>
      </c>
      <c r="G38" s="50">
        <v>0</v>
      </c>
      <c r="H38" s="50">
        <v>3</v>
      </c>
      <c r="I38" s="50">
        <v>1</v>
      </c>
      <c r="J38" s="50">
        <v>0</v>
      </c>
      <c r="K38" s="50">
        <v>0</v>
      </c>
      <c r="L38" s="50">
        <v>0</v>
      </c>
      <c r="M38" s="50">
        <v>4</v>
      </c>
      <c r="N38" s="50">
        <v>0</v>
      </c>
      <c r="O38" s="15">
        <f t="shared" si="0"/>
        <v>13</v>
      </c>
      <c r="P38" s="15">
        <f t="shared" si="1"/>
        <v>17</v>
      </c>
      <c r="R38" s="28" t="s">
        <v>86</v>
      </c>
      <c r="S38" s="16">
        <f t="shared" ref="S38:AF38" si="30">SUM(S13:S18)</f>
        <v>218</v>
      </c>
      <c r="T38" s="16">
        <f t="shared" si="30"/>
        <v>93</v>
      </c>
      <c r="U38" s="16">
        <f t="shared" si="30"/>
        <v>75</v>
      </c>
      <c r="V38" s="16">
        <f t="shared" si="30"/>
        <v>132</v>
      </c>
      <c r="W38" s="16">
        <f t="shared" si="30"/>
        <v>8</v>
      </c>
      <c r="X38" s="16">
        <f t="shared" si="30"/>
        <v>35</v>
      </c>
      <c r="Y38" s="16">
        <f t="shared" si="30"/>
        <v>44</v>
      </c>
      <c r="Z38" s="16">
        <f t="shared" si="30"/>
        <v>24</v>
      </c>
      <c r="AA38" s="16">
        <f t="shared" si="30"/>
        <v>34</v>
      </c>
      <c r="AB38" s="16">
        <f t="shared" si="30"/>
        <v>3</v>
      </c>
      <c r="AC38" s="16">
        <f t="shared" si="30"/>
        <v>236</v>
      </c>
      <c r="AD38" s="16">
        <f t="shared" si="30"/>
        <v>0</v>
      </c>
      <c r="AE38" s="32">
        <f t="shared" si="30"/>
        <v>666</v>
      </c>
      <c r="AF38" s="32">
        <f t="shared" si="30"/>
        <v>902</v>
      </c>
    </row>
    <row r="39" spans="2:32" ht="23.1" customHeight="1" x14ac:dyDescent="0.25">
      <c r="B39" s="46" t="s">
        <v>66</v>
      </c>
      <c r="C39" s="50">
        <v>10</v>
      </c>
      <c r="D39" s="50">
        <v>3</v>
      </c>
      <c r="E39" s="50">
        <v>3</v>
      </c>
      <c r="F39" s="50">
        <v>4</v>
      </c>
      <c r="G39" s="50">
        <v>0</v>
      </c>
      <c r="H39" s="50">
        <v>0</v>
      </c>
      <c r="I39" s="50">
        <v>2</v>
      </c>
      <c r="J39" s="50">
        <v>3</v>
      </c>
      <c r="K39" s="50">
        <v>5</v>
      </c>
      <c r="L39" s="50">
        <v>0</v>
      </c>
      <c r="M39" s="50">
        <v>14</v>
      </c>
      <c r="N39" s="50">
        <v>0</v>
      </c>
      <c r="O39" s="15">
        <f t="shared" si="0"/>
        <v>30</v>
      </c>
      <c r="P39" s="15">
        <f t="shared" si="1"/>
        <v>44</v>
      </c>
      <c r="R39" s="29" t="s">
        <v>87</v>
      </c>
      <c r="S39" s="16">
        <f t="shared" ref="S39:AF39" si="31">SUM(S19:S21)</f>
        <v>123</v>
      </c>
      <c r="T39" s="16">
        <f t="shared" si="31"/>
        <v>59</v>
      </c>
      <c r="U39" s="16">
        <f t="shared" si="31"/>
        <v>23</v>
      </c>
      <c r="V39" s="16">
        <f t="shared" si="31"/>
        <v>58</v>
      </c>
      <c r="W39" s="16">
        <f t="shared" si="31"/>
        <v>0</v>
      </c>
      <c r="X39" s="16">
        <f t="shared" si="31"/>
        <v>16</v>
      </c>
      <c r="Y39" s="16">
        <f t="shared" si="31"/>
        <v>37</v>
      </c>
      <c r="Z39" s="16">
        <f t="shared" si="31"/>
        <v>35</v>
      </c>
      <c r="AA39" s="16">
        <f t="shared" si="31"/>
        <v>20</v>
      </c>
      <c r="AB39" s="16">
        <f t="shared" si="31"/>
        <v>8</v>
      </c>
      <c r="AC39" s="16">
        <f t="shared" si="31"/>
        <v>130</v>
      </c>
      <c r="AD39" s="16">
        <f t="shared" si="31"/>
        <v>0</v>
      </c>
      <c r="AE39" s="32">
        <f t="shared" si="31"/>
        <v>379</v>
      </c>
      <c r="AF39" s="32">
        <f t="shared" si="31"/>
        <v>509</v>
      </c>
    </row>
    <row r="40" spans="2:32" ht="23.1" customHeight="1" x14ac:dyDescent="0.25">
      <c r="B40" s="46" t="s">
        <v>67</v>
      </c>
      <c r="C40" s="50">
        <v>6</v>
      </c>
      <c r="D40" s="50">
        <v>3</v>
      </c>
      <c r="E40" s="50">
        <v>3</v>
      </c>
      <c r="F40" s="50">
        <v>6</v>
      </c>
      <c r="G40" s="50">
        <v>2</v>
      </c>
      <c r="H40" s="50">
        <v>2</v>
      </c>
      <c r="I40" s="50">
        <v>0</v>
      </c>
      <c r="J40" s="50">
        <v>3</v>
      </c>
      <c r="K40" s="50">
        <v>2</v>
      </c>
      <c r="L40" s="50">
        <v>0</v>
      </c>
      <c r="M40" s="50">
        <v>8</v>
      </c>
      <c r="N40" s="50">
        <v>0</v>
      </c>
      <c r="O40" s="15">
        <f t="shared" si="0"/>
        <v>27</v>
      </c>
      <c r="P40" s="15">
        <f t="shared" si="1"/>
        <v>35</v>
      </c>
      <c r="R40" s="5" t="s">
        <v>17</v>
      </c>
      <c r="S40" s="16">
        <f t="shared" ref="S40:AF40" si="32">SUM(S10:S21)</f>
        <v>465</v>
      </c>
      <c r="T40" s="16">
        <f t="shared" si="32"/>
        <v>211</v>
      </c>
      <c r="U40" s="16">
        <f t="shared" si="32"/>
        <v>131</v>
      </c>
      <c r="V40" s="16">
        <f t="shared" si="32"/>
        <v>235</v>
      </c>
      <c r="W40" s="16">
        <f t="shared" si="32"/>
        <v>11</v>
      </c>
      <c r="X40" s="16">
        <f t="shared" si="32"/>
        <v>61</v>
      </c>
      <c r="Y40" s="16">
        <f t="shared" si="32"/>
        <v>102</v>
      </c>
      <c r="Z40" s="16">
        <f t="shared" si="32"/>
        <v>66</v>
      </c>
      <c r="AA40" s="16">
        <f t="shared" si="32"/>
        <v>84</v>
      </c>
      <c r="AB40" s="16">
        <f t="shared" si="32"/>
        <v>12</v>
      </c>
      <c r="AC40" s="16">
        <f t="shared" si="32"/>
        <v>443</v>
      </c>
      <c r="AD40" s="16">
        <f t="shared" si="32"/>
        <v>0</v>
      </c>
      <c r="AE40" s="32">
        <f t="shared" si="32"/>
        <v>1378</v>
      </c>
      <c r="AF40" s="32">
        <f t="shared" si="32"/>
        <v>1821</v>
      </c>
    </row>
    <row r="41" spans="2:32" ht="23.1" customHeight="1" x14ac:dyDescent="0.25">
      <c r="B41" s="45" t="s">
        <v>68</v>
      </c>
      <c r="C41" s="50">
        <v>3</v>
      </c>
      <c r="D41" s="50">
        <v>4</v>
      </c>
      <c r="E41" s="50">
        <v>2</v>
      </c>
      <c r="F41" s="50">
        <v>2</v>
      </c>
      <c r="G41" s="50">
        <v>0</v>
      </c>
      <c r="H41" s="50">
        <v>1</v>
      </c>
      <c r="I41" s="50">
        <v>1</v>
      </c>
      <c r="J41" s="50">
        <v>3</v>
      </c>
      <c r="K41" s="50">
        <v>1</v>
      </c>
      <c r="L41" s="50">
        <v>0</v>
      </c>
      <c r="M41" s="50">
        <v>4</v>
      </c>
      <c r="N41" s="50">
        <v>0</v>
      </c>
      <c r="O41" s="15">
        <f t="shared" si="0"/>
        <v>17</v>
      </c>
      <c r="P41" s="15">
        <f t="shared" si="1"/>
        <v>21</v>
      </c>
      <c r="R41" s="5" t="s">
        <v>159</v>
      </c>
      <c r="S41" s="16">
        <f>SUM(S10:S33)</f>
        <v>665</v>
      </c>
      <c r="T41" s="16">
        <f t="shared" ref="T41:AF41" si="33">SUM(T10:T33)</f>
        <v>278</v>
      </c>
      <c r="U41" s="16">
        <f t="shared" si="33"/>
        <v>181</v>
      </c>
      <c r="V41" s="16">
        <f t="shared" si="33"/>
        <v>311</v>
      </c>
      <c r="W41" s="16">
        <f t="shared" si="33"/>
        <v>21</v>
      </c>
      <c r="X41" s="16">
        <f t="shared" si="33"/>
        <v>124</v>
      </c>
      <c r="Y41" s="16">
        <f t="shared" si="33"/>
        <v>144</v>
      </c>
      <c r="Z41" s="16">
        <f t="shared" si="33"/>
        <v>226</v>
      </c>
      <c r="AA41" s="16">
        <f t="shared" si="33"/>
        <v>209</v>
      </c>
      <c r="AB41" s="16">
        <f t="shared" si="33"/>
        <v>34</v>
      </c>
      <c r="AC41" s="16">
        <f t="shared" si="33"/>
        <v>574</v>
      </c>
      <c r="AD41" s="16">
        <f t="shared" si="33"/>
        <v>0</v>
      </c>
      <c r="AE41" s="32">
        <f t="shared" si="33"/>
        <v>2193</v>
      </c>
      <c r="AF41" s="32">
        <f t="shared" si="33"/>
        <v>2767</v>
      </c>
    </row>
    <row r="42" spans="2:32" ht="23.1" customHeight="1" x14ac:dyDescent="0.25">
      <c r="B42" s="46" t="s">
        <v>69</v>
      </c>
      <c r="C42" s="50">
        <v>8</v>
      </c>
      <c r="D42" s="50">
        <v>6</v>
      </c>
      <c r="E42" s="50">
        <v>3</v>
      </c>
      <c r="F42" s="50">
        <v>6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9</v>
      </c>
      <c r="N42" s="50">
        <v>0</v>
      </c>
      <c r="O42" s="15">
        <f t="shared" si="0"/>
        <v>26</v>
      </c>
      <c r="P42" s="15">
        <f t="shared" si="1"/>
        <v>35</v>
      </c>
      <c r="R42" s="5" t="s">
        <v>160</v>
      </c>
      <c r="S42" s="48">
        <f>S41/S40</f>
        <v>1.4301075268817205</v>
      </c>
      <c r="T42" s="48">
        <f t="shared" ref="T42:AF42" si="34">T41/T40</f>
        <v>1.3175355450236967</v>
      </c>
      <c r="U42" s="48">
        <f t="shared" si="34"/>
        <v>1.3816793893129771</v>
      </c>
      <c r="V42" s="48">
        <f t="shared" si="34"/>
        <v>1.323404255319149</v>
      </c>
      <c r="W42" s="48">
        <f t="shared" si="34"/>
        <v>1.9090909090909092</v>
      </c>
      <c r="X42" s="48">
        <f t="shared" si="34"/>
        <v>2.0327868852459017</v>
      </c>
      <c r="Y42" s="48">
        <f t="shared" si="34"/>
        <v>1.411764705882353</v>
      </c>
      <c r="Z42" s="48">
        <f t="shared" si="34"/>
        <v>3.4242424242424243</v>
      </c>
      <c r="AA42" s="48">
        <f t="shared" si="34"/>
        <v>2.4880952380952381</v>
      </c>
      <c r="AB42" s="48">
        <f t="shared" si="34"/>
        <v>2.8333333333333335</v>
      </c>
      <c r="AC42" s="48">
        <f t="shared" si="34"/>
        <v>1.2957110609480813</v>
      </c>
      <c r="AD42" s="48" t="e">
        <f t="shared" si="34"/>
        <v>#DIV/0!</v>
      </c>
      <c r="AE42" s="48">
        <f t="shared" si="34"/>
        <v>1.5914368650217707</v>
      </c>
      <c r="AF42" s="48">
        <f t="shared" si="34"/>
        <v>1.5194947830862164</v>
      </c>
    </row>
    <row r="43" spans="2:32" ht="23.1" customHeight="1" x14ac:dyDescent="0.25">
      <c r="B43" s="45" t="s">
        <v>70</v>
      </c>
      <c r="C43" s="50">
        <v>6</v>
      </c>
      <c r="D43" s="50">
        <v>4</v>
      </c>
      <c r="E43" s="50">
        <v>2</v>
      </c>
      <c r="F43" s="50">
        <v>9</v>
      </c>
      <c r="G43" s="50">
        <v>1</v>
      </c>
      <c r="H43" s="50">
        <v>1</v>
      </c>
      <c r="I43" s="50">
        <v>1</v>
      </c>
      <c r="J43" s="50">
        <v>1</v>
      </c>
      <c r="K43" s="50">
        <v>3</v>
      </c>
      <c r="L43" s="50">
        <v>0</v>
      </c>
      <c r="M43" s="50">
        <v>9</v>
      </c>
      <c r="N43" s="50">
        <v>0</v>
      </c>
      <c r="O43" s="15">
        <f t="shared" si="0"/>
        <v>28</v>
      </c>
      <c r="P43" s="15">
        <f t="shared" si="1"/>
        <v>37</v>
      </c>
    </row>
    <row r="44" spans="2:32" ht="23.1" customHeight="1" x14ac:dyDescent="0.25">
      <c r="B44" s="47" t="s">
        <v>71</v>
      </c>
      <c r="C44" s="50">
        <v>16</v>
      </c>
      <c r="D44" s="50">
        <v>3</v>
      </c>
      <c r="E44" s="50">
        <v>1</v>
      </c>
      <c r="F44" s="50">
        <v>2</v>
      </c>
      <c r="G44" s="50">
        <v>0</v>
      </c>
      <c r="H44" s="50">
        <v>2</v>
      </c>
      <c r="I44" s="50">
        <v>1</v>
      </c>
      <c r="J44" s="50">
        <v>1</v>
      </c>
      <c r="K44" s="50">
        <v>1</v>
      </c>
      <c r="L44" s="50">
        <v>1</v>
      </c>
      <c r="M44" s="50">
        <v>10</v>
      </c>
      <c r="N44" s="50">
        <v>0</v>
      </c>
      <c r="O44" s="15">
        <f t="shared" si="0"/>
        <v>28</v>
      </c>
      <c r="P44" s="15">
        <f t="shared" si="1"/>
        <v>38</v>
      </c>
    </row>
    <row r="45" spans="2:32" ht="23.1" customHeight="1" x14ac:dyDescent="0.25">
      <c r="B45" s="45" t="s">
        <v>72</v>
      </c>
      <c r="C45" s="50">
        <v>10</v>
      </c>
      <c r="D45" s="50">
        <v>5</v>
      </c>
      <c r="E45" s="50">
        <v>5</v>
      </c>
      <c r="F45" s="50">
        <v>6</v>
      </c>
      <c r="G45" s="50">
        <v>0</v>
      </c>
      <c r="H45" s="50">
        <v>4</v>
      </c>
      <c r="I45" s="50">
        <v>3</v>
      </c>
      <c r="J45" s="50">
        <v>1</v>
      </c>
      <c r="K45" s="50">
        <v>1</v>
      </c>
      <c r="L45" s="50">
        <v>0</v>
      </c>
      <c r="M45" s="50">
        <v>7</v>
      </c>
      <c r="N45" s="50">
        <v>0</v>
      </c>
      <c r="O45" s="15">
        <f t="shared" si="0"/>
        <v>35</v>
      </c>
      <c r="P45" s="15">
        <f t="shared" si="1"/>
        <v>42</v>
      </c>
    </row>
    <row r="46" spans="2:32" ht="23.1" customHeight="1" x14ac:dyDescent="0.25">
      <c r="B46" s="46" t="s">
        <v>73</v>
      </c>
      <c r="C46" s="50">
        <v>12</v>
      </c>
      <c r="D46" s="50">
        <v>9</v>
      </c>
      <c r="E46" s="50">
        <v>1</v>
      </c>
      <c r="F46" s="50">
        <v>4</v>
      </c>
      <c r="G46" s="50">
        <v>0</v>
      </c>
      <c r="H46" s="50">
        <v>3</v>
      </c>
      <c r="I46" s="50">
        <v>2</v>
      </c>
      <c r="J46" s="50">
        <v>2</v>
      </c>
      <c r="K46" s="50">
        <v>1</v>
      </c>
      <c r="L46" s="50">
        <v>0</v>
      </c>
      <c r="M46" s="50">
        <v>9</v>
      </c>
      <c r="N46" s="50">
        <v>0</v>
      </c>
      <c r="O46" s="15">
        <f t="shared" si="0"/>
        <v>34</v>
      </c>
      <c r="P46" s="15">
        <f t="shared" si="1"/>
        <v>43</v>
      </c>
      <c r="R46" s="8"/>
      <c r="T46"/>
    </row>
    <row r="47" spans="2:32" ht="23.1" customHeight="1" x14ac:dyDescent="0.25">
      <c r="B47" s="46" t="s">
        <v>74</v>
      </c>
      <c r="C47" s="50">
        <v>14</v>
      </c>
      <c r="D47" s="50">
        <v>5</v>
      </c>
      <c r="E47" s="50">
        <v>1</v>
      </c>
      <c r="F47" s="50">
        <v>3</v>
      </c>
      <c r="G47" s="50">
        <v>0</v>
      </c>
      <c r="H47" s="50">
        <v>2</v>
      </c>
      <c r="I47" s="50">
        <v>4</v>
      </c>
      <c r="J47" s="50">
        <v>2</v>
      </c>
      <c r="K47" s="50">
        <v>3</v>
      </c>
      <c r="L47" s="50">
        <v>0</v>
      </c>
      <c r="M47" s="50">
        <v>13</v>
      </c>
      <c r="N47" s="50">
        <v>0</v>
      </c>
      <c r="O47" s="15">
        <f t="shared" si="0"/>
        <v>34</v>
      </c>
      <c r="P47" s="15">
        <f t="shared" si="1"/>
        <v>47</v>
      </c>
      <c r="R47" s="8"/>
      <c r="T47"/>
    </row>
    <row r="48" spans="2:32" ht="23.1" customHeight="1" x14ac:dyDescent="0.25">
      <c r="B48" s="46" t="s">
        <v>75</v>
      </c>
      <c r="C48" s="50">
        <v>6</v>
      </c>
      <c r="D48" s="50">
        <v>3</v>
      </c>
      <c r="E48" s="50">
        <v>4</v>
      </c>
      <c r="F48" s="50">
        <v>10</v>
      </c>
      <c r="G48" s="50">
        <v>0</v>
      </c>
      <c r="H48" s="50">
        <v>2</v>
      </c>
      <c r="I48" s="50">
        <v>2</v>
      </c>
      <c r="J48" s="50">
        <v>1</v>
      </c>
      <c r="K48" s="50">
        <v>3</v>
      </c>
      <c r="L48" s="50">
        <v>1</v>
      </c>
      <c r="M48" s="50">
        <v>4</v>
      </c>
      <c r="N48" s="50">
        <v>0</v>
      </c>
      <c r="O48" s="15">
        <f t="shared" si="0"/>
        <v>32</v>
      </c>
      <c r="P48" s="15">
        <f t="shared" si="1"/>
        <v>36</v>
      </c>
      <c r="R48" s="8"/>
      <c r="T48"/>
    </row>
    <row r="49" spans="2:20" ht="23.1" customHeight="1" x14ac:dyDescent="0.25">
      <c r="B49" s="45" t="s">
        <v>76</v>
      </c>
      <c r="C49" s="50">
        <v>10</v>
      </c>
      <c r="D49" s="50">
        <v>6</v>
      </c>
      <c r="E49" s="50">
        <v>1</v>
      </c>
      <c r="F49" s="50">
        <v>0</v>
      </c>
      <c r="G49" s="50">
        <v>0</v>
      </c>
      <c r="H49" s="50">
        <v>1</v>
      </c>
      <c r="I49" s="50">
        <v>1</v>
      </c>
      <c r="J49" s="50">
        <v>4</v>
      </c>
      <c r="K49" s="50">
        <v>1</v>
      </c>
      <c r="L49" s="50">
        <v>0</v>
      </c>
      <c r="M49" s="50">
        <v>2</v>
      </c>
      <c r="N49" s="50">
        <v>0</v>
      </c>
      <c r="O49" s="15">
        <f t="shared" si="0"/>
        <v>24</v>
      </c>
      <c r="P49" s="15">
        <f t="shared" si="1"/>
        <v>26</v>
      </c>
      <c r="R49" s="8"/>
      <c r="T49"/>
    </row>
    <row r="50" spans="2:20" ht="23.1" customHeight="1" x14ac:dyDescent="0.25">
      <c r="B50" s="46" t="s">
        <v>77</v>
      </c>
      <c r="C50" s="50">
        <v>6</v>
      </c>
      <c r="D50" s="50">
        <v>2</v>
      </c>
      <c r="E50" s="50">
        <v>2</v>
      </c>
      <c r="F50" s="50">
        <v>6</v>
      </c>
      <c r="G50" s="50">
        <v>0</v>
      </c>
      <c r="H50" s="50">
        <v>2</v>
      </c>
      <c r="I50" s="50">
        <v>1</v>
      </c>
      <c r="J50" s="50">
        <v>5</v>
      </c>
      <c r="K50" s="50">
        <v>5</v>
      </c>
      <c r="L50" s="50">
        <v>0</v>
      </c>
      <c r="M50" s="50">
        <v>15</v>
      </c>
      <c r="N50" s="50">
        <v>0</v>
      </c>
      <c r="O50" s="15">
        <f t="shared" si="0"/>
        <v>29</v>
      </c>
      <c r="P50" s="15">
        <f t="shared" si="1"/>
        <v>44</v>
      </c>
      <c r="R50" s="8"/>
      <c r="T50"/>
    </row>
    <row r="51" spans="2:20" ht="23.1" customHeight="1" x14ac:dyDescent="0.25">
      <c r="B51" s="46" t="s">
        <v>78</v>
      </c>
      <c r="C51" s="50">
        <v>8</v>
      </c>
      <c r="D51" s="50">
        <v>6</v>
      </c>
      <c r="E51" s="50">
        <v>2</v>
      </c>
      <c r="F51" s="50">
        <v>6</v>
      </c>
      <c r="G51" s="50">
        <v>0</v>
      </c>
      <c r="H51" s="50">
        <v>1</v>
      </c>
      <c r="I51" s="50">
        <v>5</v>
      </c>
      <c r="J51" s="50">
        <v>2</v>
      </c>
      <c r="K51" s="50">
        <v>0</v>
      </c>
      <c r="L51" s="50">
        <v>0</v>
      </c>
      <c r="M51" s="50">
        <v>23</v>
      </c>
      <c r="N51" s="50">
        <v>0</v>
      </c>
      <c r="O51" s="15">
        <f t="shared" si="0"/>
        <v>30</v>
      </c>
      <c r="P51" s="15">
        <f t="shared" si="1"/>
        <v>53</v>
      </c>
      <c r="R51" s="8"/>
      <c r="T51"/>
    </row>
    <row r="52" spans="2:20" ht="23.1" customHeight="1" x14ac:dyDescent="0.25">
      <c r="B52" s="46" t="s">
        <v>79</v>
      </c>
      <c r="C52" s="50">
        <v>6</v>
      </c>
      <c r="D52" s="50">
        <v>5</v>
      </c>
      <c r="E52" s="50">
        <v>0</v>
      </c>
      <c r="F52" s="50">
        <v>7</v>
      </c>
      <c r="G52" s="50">
        <v>0</v>
      </c>
      <c r="H52" s="50">
        <v>0</v>
      </c>
      <c r="I52" s="50">
        <v>6</v>
      </c>
      <c r="J52" s="50">
        <v>2</v>
      </c>
      <c r="K52" s="50">
        <v>0</v>
      </c>
      <c r="L52" s="50">
        <v>1</v>
      </c>
      <c r="M52" s="50">
        <v>9</v>
      </c>
      <c r="N52" s="50">
        <v>0</v>
      </c>
      <c r="O52" s="15">
        <f t="shared" si="0"/>
        <v>27</v>
      </c>
      <c r="P52" s="15">
        <f t="shared" si="1"/>
        <v>36</v>
      </c>
      <c r="R52" s="8"/>
      <c r="T52"/>
    </row>
    <row r="53" spans="2:20" ht="23.1" customHeight="1" x14ac:dyDescent="0.25">
      <c r="B53" s="45" t="s">
        <v>80</v>
      </c>
      <c r="C53" s="50">
        <v>20</v>
      </c>
      <c r="D53" s="50">
        <v>9</v>
      </c>
      <c r="E53" s="50">
        <v>2</v>
      </c>
      <c r="F53" s="50">
        <v>11</v>
      </c>
      <c r="G53" s="50">
        <v>0</v>
      </c>
      <c r="H53" s="50">
        <v>1</v>
      </c>
      <c r="I53" s="50">
        <v>5</v>
      </c>
      <c r="J53" s="50">
        <v>5</v>
      </c>
      <c r="K53" s="50">
        <v>2</v>
      </c>
      <c r="L53" s="50">
        <v>2</v>
      </c>
      <c r="M53" s="50">
        <v>12</v>
      </c>
      <c r="N53" s="50">
        <v>0</v>
      </c>
      <c r="O53" s="15">
        <f t="shared" si="0"/>
        <v>57</v>
      </c>
      <c r="P53" s="15">
        <f t="shared" si="1"/>
        <v>69</v>
      </c>
      <c r="R53" s="8"/>
      <c r="T53"/>
    </row>
    <row r="54" spans="2:20" ht="23.1" customHeight="1" x14ac:dyDescent="0.25">
      <c r="B54" s="45" t="s">
        <v>81</v>
      </c>
      <c r="C54" s="50">
        <v>11</v>
      </c>
      <c r="D54" s="50">
        <v>2</v>
      </c>
      <c r="E54" s="50">
        <v>5</v>
      </c>
      <c r="F54" s="50">
        <v>3</v>
      </c>
      <c r="G54" s="50">
        <v>0</v>
      </c>
      <c r="H54" s="50">
        <v>1</v>
      </c>
      <c r="I54" s="50">
        <v>3</v>
      </c>
      <c r="J54" s="50">
        <v>1</v>
      </c>
      <c r="K54" s="50">
        <v>0</v>
      </c>
      <c r="L54" s="50">
        <v>1</v>
      </c>
      <c r="M54" s="50">
        <v>9</v>
      </c>
      <c r="N54" s="50">
        <v>0</v>
      </c>
      <c r="O54" s="15">
        <f t="shared" si="0"/>
        <v>27</v>
      </c>
      <c r="P54" s="15">
        <f t="shared" si="1"/>
        <v>36</v>
      </c>
      <c r="R54" s="8"/>
      <c r="T54"/>
    </row>
    <row r="55" spans="2:20" ht="23.1" customHeight="1" x14ac:dyDescent="0.25">
      <c r="B55" s="45" t="s">
        <v>82</v>
      </c>
      <c r="C55" s="50">
        <v>9</v>
      </c>
      <c r="D55" s="50">
        <v>6</v>
      </c>
      <c r="E55" s="50">
        <v>1</v>
      </c>
      <c r="F55" s="50">
        <v>3</v>
      </c>
      <c r="G55" s="50">
        <v>0</v>
      </c>
      <c r="H55" s="50">
        <v>1</v>
      </c>
      <c r="I55" s="50">
        <v>3</v>
      </c>
      <c r="J55" s="50">
        <v>7</v>
      </c>
      <c r="K55" s="50">
        <v>2</v>
      </c>
      <c r="L55" s="50">
        <v>0</v>
      </c>
      <c r="M55" s="50">
        <v>12</v>
      </c>
      <c r="N55" s="50">
        <v>0</v>
      </c>
      <c r="O55" s="15">
        <f t="shared" si="0"/>
        <v>32</v>
      </c>
      <c r="P55" s="15">
        <f t="shared" si="1"/>
        <v>44</v>
      </c>
      <c r="R55" s="8"/>
      <c r="T55"/>
    </row>
    <row r="56" spans="2:20" ht="23.1" customHeight="1" x14ac:dyDescent="0.25">
      <c r="B56" s="45" t="s">
        <v>83</v>
      </c>
      <c r="C56" s="50">
        <v>13</v>
      </c>
      <c r="D56" s="50">
        <v>3</v>
      </c>
      <c r="E56" s="50">
        <v>3</v>
      </c>
      <c r="F56" s="50">
        <v>2</v>
      </c>
      <c r="G56" s="50">
        <v>0</v>
      </c>
      <c r="H56" s="50">
        <v>0</v>
      </c>
      <c r="I56" s="50">
        <v>3</v>
      </c>
      <c r="J56" s="50">
        <v>2</v>
      </c>
      <c r="K56" s="50">
        <v>0</v>
      </c>
      <c r="L56" s="50">
        <v>2</v>
      </c>
      <c r="M56" s="50">
        <v>9</v>
      </c>
      <c r="N56" s="50">
        <v>0</v>
      </c>
      <c r="O56" s="15">
        <f t="shared" si="0"/>
        <v>28</v>
      </c>
      <c r="P56" s="15">
        <f t="shared" si="1"/>
        <v>37</v>
      </c>
      <c r="R56" s="8"/>
      <c r="T56"/>
    </row>
    <row r="57" spans="2:20" ht="23.1" customHeight="1" x14ac:dyDescent="0.25">
      <c r="B57" s="45" t="s">
        <v>84</v>
      </c>
      <c r="C57" s="50">
        <v>8</v>
      </c>
      <c r="D57" s="50">
        <v>3</v>
      </c>
      <c r="E57" s="50">
        <v>1</v>
      </c>
      <c r="F57" s="50">
        <v>3</v>
      </c>
      <c r="G57" s="50">
        <v>0</v>
      </c>
      <c r="H57" s="50">
        <v>2</v>
      </c>
      <c r="I57" s="50">
        <v>2</v>
      </c>
      <c r="J57" s="50">
        <v>2</v>
      </c>
      <c r="K57" s="50">
        <v>3</v>
      </c>
      <c r="L57" s="50">
        <v>1</v>
      </c>
      <c r="M57" s="50">
        <v>13</v>
      </c>
      <c r="N57" s="50">
        <v>0</v>
      </c>
      <c r="O57" s="15">
        <f t="shared" si="0"/>
        <v>25</v>
      </c>
      <c r="P57" s="15">
        <f t="shared" si="1"/>
        <v>38</v>
      </c>
      <c r="R57" s="8"/>
      <c r="T57"/>
    </row>
    <row r="58" spans="2:20" ht="23.1" customHeight="1" x14ac:dyDescent="0.25">
      <c r="B58" s="45" t="s">
        <v>99</v>
      </c>
      <c r="C58" s="50">
        <v>11</v>
      </c>
      <c r="D58" s="50">
        <v>2</v>
      </c>
      <c r="E58" s="50">
        <v>3</v>
      </c>
      <c r="F58" s="50">
        <v>4</v>
      </c>
      <c r="G58" s="50">
        <v>0</v>
      </c>
      <c r="H58" s="50">
        <v>1</v>
      </c>
      <c r="I58" s="50">
        <v>1</v>
      </c>
      <c r="J58" s="50">
        <v>4</v>
      </c>
      <c r="K58" s="50">
        <v>0</v>
      </c>
      <c r="L58" s="50">
        <v>0</v>
      </c>
      <c r="M58" s="50">
        <v>9</v>
      </c>
      <c r="N58" s="50">
        <v>0</v>
      </c>
      <c r="O58" s="15">
        <f t="shared" si="0"/>
        <v>26</v>
      </c>
      <c r="P58" s="15">
        <f t="shared" si="1"/>
        <v>35</v>
      </c>
      <c r="R58" s="8"/>
      <c r="T58"/>
    </row>
    <row r="59" spans="2:20" ht="23.1" customHeight="1" x14ac:dyDescent="0.25">
      <c r="B59" s="45" t="s">
        <v>100</v>
      </c>
      <c r="C59" s="50">
        <v>8</v>
      </c>
      <c r="D59" s="50">
        <v>1</v>
      </c>
      <c r="E59" s="50">
        <v>1</v>
      </c>
      <c r="F59" s="50">
        <v>4</v>
      </c>
      <c r="G59" s="50">
        <v>0</v>
      </c>
      <c r="H59" s="50">
        <v>3</v>
      </c>
      <c r="I59" s="50">
        <v>3</v>
      </c>
      <c r="J59" s="50">
        <v>3</v>
      </c>
      <c r="K59" s="50">
        <v>6</v>
      </c>
      <c r="L59" s="50">
        <v>1</v>
      </c>
      <c r="M59" s="50">
        <v>13</v>
      </c>
      <c r="N59" s="50">
        <v>0</v>
      </c>
      <c r="O59" s="15">
        <f t="shared" si="0"/>
        <v>30</v>
      </c>
      <c r="P59" s="15">
        <f t="shared" si="1"/>
        <v>43</v>
      </c>
      <c r="R59" s="8"/>
      <c r="T59"/>
    </row>
    <row r="60" spans="2:20" ht="23.1" customHeight="1" x14ac:dyDescent="0.25">
      <c r="B60" s="45" t="s">
        <v>101</v>
      </c>
      <c r="C60" s="50">
        <v>8</v>
      </c>
      <c r="D60" s="50">
        <v>4</v>
      </c>
      <c r="E60" s="50">
        <v>2</v>
      </c>
      <c r="F60" s="50">
        <v>3</v>
      </c>
      <c r="G60" s="50">
        <v>0</v>
      </c>
      <c r="H60" s="50">
        <v>2</v>
      </c>
      <c r="I60" s="50">
        <v>1</v>
      </c>
      <c r="J60" s="50">
        <v>5</v>
      </c>
      <c r="K60" s="50">
        <v>8</v>
      </c>
      <c r="L60" s="50">
        <v>3</v>
      </c>
      <c r="M60" s="50">
        <v>4</v>
      </c>
      <c r="N60" s="50">
        <v>0</v>
      </c>
      <c r="O60" s="15">
        <f t="shared" si="0"/>
        <v>36</v>
      </c>
      <c r="P60" s="15">
        <f t="shared" si="1"/>
        <v>40</v>
      </c>
      <c r="R60" s="8"/>
      <c r="T60"/>
    </row>
    <row r="61" spans="2:20" ht="23.1" customHeight="1" x14ac:dyDescent="0.25">
      <c r="B61" s="45" t="s">
        <v>102</v>
      </c>
      <c r="C61" s="50">
        <v>7</v>
      </c>
      <c r="D61" s="50">
        <v>3</v>
      </c>
      <c r="E61" s="50">
        <v>3</v>
      </c>
      <c r="F61" s="50">
        <v>5</v>
      </c>
      <c r="G61" s="50">
        <v>0</v>
      </c>
      <c r="H61" s="50">
        <v>0</v>
      </c>
      <c r="I61" s="50">
        <v>2</v>
      </c>
      <c r="J61" s="50">
        <v>2</v>
      </c>
      <c r="K61" s="50">
        <v>1</v>
      </c>
      <c r="L61" s="50">
        <v>2</v>
      </c>
      <c r="M61" s="50">
        <v>6</v>
      </c>
      <c r="N61" s="50">
        <v>0</v>
      </c>
      <c r="O61" s="15">
        <f t="shared" si="0"/>
        <v>25</v>
      </c>
      <c r="P61" s="15">
        <f t="shared" si="1"/>
        <v>31</v>
      </c>
      <c r="R61" s="8"/>
      <c r="T61"/>
    </row>
    <row r="62" spans="2:20" ht="23.1" customHeight="1" x14ac:dyDescent="0.25">
      <c r="B62" s="45" t="s">
        <v>107</v>
      </c>
      <c r="C62" s="50">
        <v>7</v>
      </c>
      <c r="D62" s="50">
        <v>1</v>
      </c>
      <c r="E62" s="50">
        <v>2</v>
      </c>
      <c r="F62" s="50">
        <v>5</v>
      </c>
      <c r="G62" s="50">
        <v>0</v>
      </c>
      <c r="H62" s="50">
        <v>1</v>
      </c>
      <c r="I62" s="50">
        <v>1</v>
      </c>
      <c r="J62" s="50">
        <v>6</v>
      </c>
      <c r="K62" s="50">
        <v>3</v>
      </c>
      <c r="L62" s="50">
        <v>2</v>
      </c>
      <c r="M62" s="50">
        <v>5</v>
      </c>
      <c r="N62" s="50">
        <v>0</v>
      </c>
      <c r="O62" s="15">
        <f t="shared" si="0"/>
        <v>28</v>
      </c>
      <c r="P62" s="15">
        <f t="shared" si="1"/>
        <v>33</v>
      </c>
      <c r="R62" s="8"/>
      <c r="T62"/>
    </row>
    <row r="63" spans="2:20" ht="23.1" customHeight="1" x14ac:dyDescent="0.25">
      <c r="B63" s="45" t="s">
        <v>108</v>
      </c>
      <c r="C63" s="50">
        <v>3</v>
      </c>
      <c r="D63" s="50">
        <v>3</v>
      </c>
      <c r="E63" s="50">
        <v>1</v>
      </c>
      <c r="F63" s="50">
        <v>1</v>
      </c>
      <c r="G63" s="50">
        <v>0</v>
      </c>
      <c r="H63" s="50">
        <v>1</v>
      </c>
      <c r="I63" s="50">
        <v>0</v>
      </c>
      <c r="J63" s="50">
        <v>4</v>
      </c>
      <c r="K63" s="50">
        <v>6</v>
      </c>
      <c r="L63" s="50">
        <v>3</v>
      </c>
      <c r="M63" s="50">
        <v>4</v>
      </c>
      <c r="N63" s="50">
        <v>0</v>
      </c>
      <c r="O63" s="15">
        <f t="shared" si="0"/>
        <v>22</v>
      </c>
      <c r="P63" s="15">
        <f t="shared" si="1"/>
        <v>26</v>
      </c>
      <c r="R63" s="8"/>
      <c r="T63"/>
    </row>
    <row r="64" spans="2:20" ht="23.1" customHeight="1" x14ac:dyDescent="0.25">
      <c r="B64" s="45" t="s">
        <v>109</v>
      </c>
      <c r="C64" s="50">
        <v>3</v>
      </c>
      <c r="D64" s="50">
        <v>2</v>
      </c>
      <c r="E64" s="50">
        <v>1</v>
      </c>
      <c r="F64" s="50">
        <v>4</v>
      </c>
      <c r="G64" s="50">
        <v>0</v>
      </c>
      <c r="H64" s="50">
        <v>1</v>
      </c>
      <c r="I64" s="50">
        <v>0</v>
      </c>
      <c r="J64" s="50">
        <v>5</v>
      </c>
      <c r="K64" s="50">
        <v>0</v>
      </c>
      <c r="L64" s="50">
        <v>0</v>
      </c>
      <c r="M64" s="50">
        <v>6</v>
      </c>
      <c r="N64" s="50">
        <v>0</v>
      </c>
      <c r="O64" s="15">
        <f t="shared" si="0"/>
        <v>16</v>
      </c>
      <c r="P64" s="15">
        <f t="shared" si="1"/>
        <v>22</v>
      </c>
      <c r="R64" s="8"/>
      <c r="T64"/>
    </row>
    <row r="65" spans="2:20" ht="23.1" customHeight="1" x14ac:dyDescent="0.25">
      <c r="B65" s="45" t="s">
        <v>158</v>
      </c>
      <c r="C65" s="50">
        <v>5</v>
      </c>
      <c r="D65" s="50">
        <v>0</v>
      </c>
      <c r="E65" s="50">
        <v>2</v>
      </c>
      <c r="F65" s="50">
        <v>4</v>
      </c>
      <c r="G65" s="50">
        <v>0</v>
      </c>
      <c r="H65" s="50">
        <v>1</v>
      </c>
      <c r="I65" s="50">
        <v>2</v>
      </c>
      <c r="J65" s="50">
        <v>1</v>
      </c>
      <c r="K65" s="50">
        <v>8</v>
      </c>
      <c r="L65" s="50">
        <v>1</v>
      </c>
      <c r="M65" s="50">
        <v>6</v>
      </c>
      <c r="N65" s="50">
        <v>0</v>
      </c>
      <c r="O65" s="15">
        <f t="shared" si="0"/>
        <v>24</v>
      </c>
      <c r="P65" s="15">
        <f t="shared" si="1"/>
        <v>30</v>
      </c>
      <c r="R65" s="8"/>
      <c r="T65"/>
    </row>
    <row r="66" spans="2:20" ht="23.1" customHeight="1" x14ac:dyDescent="0.25">
      <c r="B66" s="45" t="s">
        <v>103</v>
      </c>
      <c r="C66" s="50">
        <v>4</v>
      </c>
      <c r="D66" s="50">
        <v>0</v>
      </c>
      <c r="E66" s="50">
        <v>1</v>
      </c>
      <c r="F66" s="50">
        <v>5</v>
      </c>
      <c r="G66" s="50">
        <v>0</v>
      </c>
      <c r="H66" s="50">
        <v>1</v>
      </c>
      <c r="I66" s="50">
        <v>1</v>
      </c>
      <c r="J66" s="50">
        <v>5</v>
      </c>
      <c r="K66" s="50">
        <v>9</v>
      </c>
      <c r="L66" s="50">
        <v>3</v>
      </c>
      <c r="M66" s="50">
        <v>2</v>
      </c>
      <c r="N66" s="50">
        <v>0</v>
      </c>
      <c r="O66" s="15">
        <f t="shared" si="0"/>
        <v>29</v>
      </c>
      <c r="P66" s="15">
        <f t="shared" si="1"/>
        <v>31</v>
      </c>
      <c r="R66" s="8"/>
      <c r="T66"/>
    </row>
    <row r="67" spans="2:20" ht="23.1" customHeight="1" x14ac:dyDescent="0.25">
      <c r="B67" s="45" t="s">
        <v>104</v>
      </c>
      <c r="C67" s="50">
        <v>6</v>
      </c>
      <c r="D67" s="50">
        <v>0</v>
      </c>
      <c r="E67" s="50">
        <v>1</v>
      </c>
      <c r="F67" s="50">
        <v>2</v>
      </c>
      <c r="G67" s="50">
        <v>0</v>
      </c>
      <c r="H67" s="50">
        <v>2</v>
      </c>
      <c r="I67" s="50">
        <v>0</v>
      </c>
      <c r="J67" s="50">
        <v>4</v>
      </c>
      <c r="K67" s="50">
        <v>4</v>
      </c>
      <c r="L67" s="50">
        <v>0</v>
      </c>
      <c r="M67" s="50">
        <v>1</v>
      </c>
      <c r="N67" s="50">
        <v>0</v>
      </c>
      <c r="O67" s="15">
        <f t="shared" si="0"/>
        <v>19</v>
      </c>
      <c r="P67" s="15">
        <f t="shared" si="1"/>
        <v>20</v>
      </c>
      <c r="R67" s="8"/>
      <c r="T67"/>
    </row>
    <row r="68" spans="2:20" ht="23.1" customHeight="1" x14ac:dyDescent="0.25">
      <c r="B68" s="45" t="s">
        <v>105</v>
      </c>
      <c r="C68" s="50">
        <v>3</v>
      </c>
      <c r="D68" s="50">
        <v>3</v>
      </c>
      <c r="E68" s="50">
        <v>1</v>
      </c>
      <c r="F68" s="50">
        <v>1</v>
      </c>
      <c r="G68" s="50">
        <v>0</v>
      </c>
      <c r="H68" s="50">
        <v>1</v>
      </c>
      <c r="I68" s="50">
        <v>1</v>
      </c>
      <c r="J68" s="50">
        <v>0</v>
      </c>
      <c r="K68" s="50">
        <v>4</v>
      </c>
      <c r="L68" s="50">
        <v>0</v>
      </c>
      <c r="M68" s="50">
        <v>5</v>
      </c>
      <c r="N68" s="50">
        <v>0</v>
      </c>
      <c r="O68" s="15">
        <f t="shared" si="0"/>
        <v>14</v>
      </c>
      <c r="P68" s="15">
        <f t="shared" si="1"/>
        <v>19</v>
      </c>
      <c r="R68" s="8"/>
      <c r="T68"/>
    </row>
    <row r="69" spans="2:20" ht="23.1" customHeight="1" x14ac:dyDescent="0.25">
      <c r="B69" s="45" t="s">
        <v>106</v>
      </c>
      <c r="C69" s="50">
        <v>3</v>
      </c>
      <c r="D69" s="50">
        <v>4</v>
      </c>
      <c r="E69" s="50">
        <v>0</v>
      </c>
      <c r="F69" s="50">
        <v>2</v>
      </c>
      <c r="G69" s="50">
        <v>0</v>
      </c>
      <c r="H69" s="50">
        <v>1</v>
      </c>
      <c r="I69" s="50">
        <v>1</v>
      </c>
      <c r="J69" s="50">
        <v>3</v>
      </c>
      <c r="K69" s="50">
        <v>0</v>
      </c>
      <c r="L69" s="50">
        <v>0</v>
      </c>
      <c r="M69" s="50">
        <v>6</v>
      </c>
      <c r="N69" s="50">
        <v>0</v>
      </c>
      <c r="O69" s="15">
        <f t="shared" si="0"/>
        <v>14</v>
      </c>
      <c r="P69" s="15">
        <f t="shared" si="1"/>
        <v>20</v>
      </c>
      <c r="R69" s="8"/>
      <c r="T69"/>
    </row>
    <row r="70" spans="2:20" ht="23.1" customHeight="1" x14ac:dyDescent="0.25">
      <c r="B70" s="45" t="s">
        <v>110</v>
      </c>
      <c r="C70" s="50">
        <v>6</v>
      </c>
      <c r="D70" s="50">
        <v>2</v>
      </c>
      <c r="E70" s="50">
        <v>0</v>
      </c>
      <c r="F70" s="50">
        <v>0</v>
      </c>
      <c r="G70" s="50">
        <v>1</v>
      </c>
      <c r="H70" s="50">
        <v>0</v>
      </c>
      <c r="I70" s="50">
        <v>1</v>
      </c>
      <c r="J70" s="50">
        <v>5</v>
      </c>
      <c r="K70" s="50">
        <v>4</v>
      </c>
      <c r="L70" s="50">
        <v>0</v>
      </c>
      <c r="M70" s="50">
        <v>5</v>
      </c>
      <c r="N70" s="50">
        <v>0</v>
      </c>
      <c r="O70" s="15">
        <f t="shared" si="0"/>
        <v>19</v>
      </c>
      <c r="P70" s="15">
        <f t="shared" si="1"/>
        <v>24</v>
      </c>
      <c r="R70" s="8"/>
      <c r="T70"/>
    </row>
    <row r="71" spans="2:20" ht="23.1" customHeight="1" x14ac:dyDescent="0.25">
      <c r="B71" s="45" t="s">
        <v>111</v>
      </c>
      <c r="C71" s="50">
        <v>4</v>
      </c>
      <c r="D71" s="50">
        <v>0</v>
      </c>
      <c r="E71" s="50">
        <v>1</v>
      </c>
      <c r="F71" s="50">
        <v>0</v>
      </c>
      <c r="G71" s="50">
        <v>1</v>
      </c>
      <c r="H71" s="50">
        <v>2</v>
      </c>
      <c r="I71" s="50">
        <v>1</v>
      </c>
      <c r="J71" s="50">
        <v>5</v>
      </c>
      <c r="K71" s="50">
        <v>3</v>
      </c>
      <c r="L71" s="50">
        <v>0</v>
      </c>
      <c r="M71" s="50">
        <v>2</v>
      </c>
      <c r="N71" s="50">
        <v>0</v>
      </c>
      <c r="O71" s="15">
        <f t="shared" si="0"/>
        <v>17</v>
      </c>
      <c r="P71" s="15">
        <f t="shared" si="1"/>
        <v>19</v>
      </c>
      <c r="R71" s="8"/>
      <c r="T71"/>
    </row>
    <row r="72" spans="2:20" ht="23.1" customHeight="1" x14ac:dyDescent="0.25">
      <c r="B72" s="45" t="s">
        <v>112</v>
      </c>
      <c r="C72" s="50">
        <v>6</v>
      </c>
      <c r="D72" s="50">
        <v>1</v>
      </c>
      <c r="E72" s="50">
        <v>0</v>
      </c>
      <c r="F72" s="50">
        <v>0</v>
      </c>
      <c r="G72" s="50">
        <v>1</v>
      </c>
      <c r="H72" s="50">
        <v>2</v>
      </c>
      <c r="I72" s="50">
        <v>1</v>
      </c>
      <c r="J72" s="50">
        <v>3</v>
      </c>
      <c r="K72" s="50">
        <v>3</v>
      </c>
      <c r="L72" s="50">
        <v>0</v>
      </c>
      <c r="M72" s="50">
        <v>3</v>
      </c>
      <c r="N72" s="50">
        <v>0</v>
      </c>
      <c r="O72" s="15">
        <f t="shared" si="0"/>
        <v>17</v>
      </c>
      <c r="P72" s="15">
        <f t="shared" si="1"/>
        <v>20</v>
      </c>
      <c r="R72" s="8"/>
      <c r="T72"/>
    </row>
    <row r="73" spans="2:20" ht="23.1" customHeight="1" x14ac:dyDescent="0.25">
      <c r="B73" s="45" t="s">
        <v>113</v>
      </c>
      <c r="C73" s="50">
        <v>3</v>
      </c>
      <c r="D73" s="50">
        <v>0</v>
      </c>
      <c r="E73" s="50">
        <v>1</v>
      </c>
      <c r="F73" s="50">
        <v>0</v>
      </c>
      <c r="G73" s="50">
        <v>0</v>
      </c>
      <c r="H73" s="50">
        <v>0</v>
      </c>
      <c r="I73" s="50">
        <v>0</v>
      </c>
      <c r="J73" s="50">
        <v>5</v>
      </c>
      <c r="K73" s="50">
        <v>4</v>
      </c>
      <c r="L73" s="50">
        <v>0</v>
      </c>
      <c r="M73" s="50">
        <v>2</v>
      </c>
      <c r="N73" s="50">
        <v>0</v>
      </c>
      <c r="O73" s="15">
        <f t="shared" si="0"/>
        <v>13</v>
      </c>
      <c r="P73" s="15">
        <f t="shared" si="1"/>
        <v>15</v>
      </c>
      <c r="R73" s="8"/>
      <c r="T73"/>
    </row>
    <row r="74" spans="2:20" ht="23.1" customHeight="1" x14ac:dyDescent="0.25">
      <c r="B74" s="45" t="s">
        <v>114</v>
      </c>
      <c r="C74" s="50">
        <v>3</v>
      </c>
      <c r="D74" s="50">
        <v>2</v>
      </c>
      <c r="E74" s="50">
        <v>3</v>
      </c>
      <c r="F74" s="50">
        <v>0</v>
      </c>
      <c r="G74" s="50">
        <v>0</v>
      </c>
      <c r="H74" s="50">
        <v>2</v>
      </c>
      <c r="I74" s="50">
        <v>1</v>
      </c>
      <c r="J74" s="50">
        <v>6</v>
      </c>
      <c r="K74" s="50">
        <v>2</v>
      </c>
      <c r="L74" s="50">
        <v>0</v>
      </c>
      <c r="M74" s="50">
        <v>0</v>
      </c>
      <c r="N74" s="50">
        <v>0</v>
      </c>
      <c r="O74" s="15">
        <f t="shared" ref="O74:O105" si="35">SUM(C74:L74,N74)</f>
        <v>19</v>
      </c>
      <c r="P74" s="15">
        <f t="shared" ref="P74:P105" si="36">SUM(C74:N74)</f>
        <v>19</v>
      </c>
      <c r="R74" s="8"/>
      <c r="T74"/>
    </row>
    <row r="75" spans="2:20" ht="23.1" customHeight="1" x14ac:dyDescent="0.25">
      <c r="B75" s="45" t="s">
        <v>115</v>
      </c>
      <c r="C75" s="50">
        <v>3</v>
      </c>
      <c r="D75" s="50">
        <v>1</v>
      </c>
      <c r="E75" s="50">
        <v>0</v>
      </c>
      <c r="F75" s="50">
        <v>1</v>
      </c>
      <c r="G75" s="50">
        <v>2</v>
      </c>
      <c r="H75" s="50">
        <v>1</v>
      </c>
      <c r="I75" s="50">
        <v>0</v>
      </c>
      <c r="J75" s="50">
        <v>3</v>
      </c>
      <c r="K75" s="50">
        <v>1</v>
      </c>
      <c r="L75" s="50">
        <v>0</v>
      </c>
      <c r="M75" s="50">
        <v>3</v>
      </c>
      <c r="N75" s="50">
        <v>0</v>
      </c>
      <c r="O75" s="15">
        <f t="shared" si="35"/>
        <v>12</v>
      </c>
      <c r="P75" s="15">
        <f t="shared" si="36"/>
        <v>15</v>
      </c>
      <c r="R75" s="8"/>
      <c r="T75"/>
    </row>
    <row r="76" spans="2:20" ht="23.1" customHeight="1" x14ac:dyDescent="0.25">
      <c r="B76" s="45" t="s">
        <v>116</v>
      </c>
      <c r="C76" s="50">
        <v>4</v>
      </c>
      <c r="D76" s="50">
        <v>0</v>
      </c>
      <c r="E76" s="50">
        <v>0</v>
      </c>
      <c r="F76" s="50">
        <v>3</v>
      </c>
      <c r="G76" s="50">
        <v>0</v>
      </c>
      <c r="H76" s="50">
        <v>1</v>
      </c>
      <c r="I76" s="50">
        <v>0</v>
      </c>
      <c r="J76" s="50">
        <v>5</v>
      </c>
      <c r="K76" s="50">
        <v>3</v>
      </c>
      <c r="L76" s="50">
        <v>0</v>
      </c>
      <c r="M76" s="50">
        <v>2</v>
      </c>
      <c r="N76" s="50">
        <v>0</v>
      </c>
      <c r="O76" s="15">
        <f t="shared" si="35"/>
        <v>16</v>
      </c>
      <c r="P76" s="15">
        <f t="shared" si="36"/>
        <v>18</v>
      </c>
      <c r="R76" s="8"/>
      <c r="T76"/>
    </row>
    <row r="77" spans="2:20" ht="23.1" customHeight="1" x14ac:dyDescent="0.25">
      <c r="B77" s="45" t="s">
        <v>117</v>
      </c>
      <c r="C77" s="50">
        <v>2</v>
      </c>
      <c r="D77" s="50">
        <v>3</v>
      </c>
      <c r="E77" s="50">
        <v>1</v>
      </c>
      <c r="F77" s="50">
        <v>1</v>
      </c>
      <c r="G77" s="50">
        <v>0</v>
      </c>
      <c r="H77" s="50">
        <v>2</v>
      </c>
      <c r="I77" s="50">
        <v>1</v>
      </c>
      <c r="J77" s="50">
        <v>7</v>
      </c>
      <c r="K77" s="50">
        <v>3</v>
      </c>
      <c r="L77" s="50">
        <v>1</v>
      </c>
      <c r="M77" s="50">
        <v>0</v>
      </c>
      <c r="N77" s="50">
        <v>0</v>
      </c>
      <c r="O77" s="15">
        <f t="shared" si="35"/>
        <v>21</v>
      </c>
      <c r="P77" s="15">
        <f t="shared" si="36"/>
        <v>21</v>
      </c>
      <c r="R77" s="8"/>
      <c r="T77"/>
    </row>
    <row r="78" spans="2:20" ht="23.1" customHeight="1" x14ac:dyDescent="0.25">
      <c r="B78" s="46" t="s">
        <v>118</v>
      </c>
      <c r="C78" s="50">
        <v>3</v>
      </c>
      <c r="D78" s="50">
        <v>2</v>
      </c>
      <c r="E78" s="50">
        <v>3</v>
      </c>
      <c r="F78" s="50">
        <v>0</v>
      </c>
      <c r="G78" s="50">
        <v>0</v>
      </c>
      <c r="H78" s="50">
        <v>2</v>
      </c>
      <c r="I78" s="50">
        <v>1</v>
      </c>
      <c r="J78" s="50">
        <v>6</v>
      </c>
      <c r="K78" s="50">
        <v>2</v>
      </c>
      <c r="L78" s="50">
        <v>0</v>
      </c>
      <c r="M78" s="50">
        <v>0</v>
      </c>
      <c r="N78" s="50">
        <v>0</v>
      </c>
      <c r="O78" s="15">
        <f t="shared" si="35"/>
        <v>19</v>
      </c>
      <c r="P78" s="15">
        <f t="shared" si="36"/>
        <v>19</v>
      </c>
      <c r="R78" s="8"/>
      <c r="T78"/>
    </row>
    <row r="79" spans="2:20" ht="23.1" customHeight="1" x14ac:dyDescent="0.25">
      <c r="B79" s="45" t="s">
        <v>119</v>
      </c>
      <c r="C79" s="50">
        <v>3</v>
      </c>
      <c r="D79" s="50">
        <v>1</v>
      </c>
      <c r="E79" s="50">
        <v>0</v>
      </c>
      <c r="F79" s="50">
        <v>1</v>
      </c>
      <c r="G79" s="50">
        <v>2</v>
      </c>
      <c r="H79" s="50">
        <v>1</v>
      </c>
      <c r="I79" s="50">
        <v>0</v>
      </c>
      <c r="J79" s="50">
        <v>3</v>
      </c>
      <c r="K79" s="50">
        <v>1</v>
      </c>
      <c r="L79" s="50">
        <v>0</v>
      </c>
      <c r="M79" s="50">
        <v>3</v>
      </c>
      <c r="N79" s="50">
        <v>0</v>
      </c>
      <c r="O79" s="15">
        <f t="shared" si="35"/>
        <v>12</v>
      </c>
      <c r="P79" s="15">
        <f t="shared" si="36"/>
        <v>15</v>
      </c>
      <c r="R79" s="8"/>
      <c r="T79"/>
    </row>
    <row r="80" spans="2:20" ht="23.1" customHeight="1" x14ac:dyDescent="0.25">
      <c r="B80" s="47" t="s">
        <v>120</v>
      </c>
      <c r="C80" s="50">
        <v>4</v>
      </c>
      <c r="D80" s="50">
        <v>0</v>
      </c>
      <c r="E80" s="50">
        <v>0</v>
      </c>
      <c r="F80" s="50">
        <v>3</v>
      </c>
      <c r="G80" s="50">
        <v>0</v>
      </c>
      <c r="H80" s="50">
        <v>1</v>
      </c>
      <c r="I80" s="50">
        <v>0</v>
      </c>
      <c r="J80" s="50">
        <v>5</v>
      </c>
      <c r="K80" s="50">
        <v>3</v>
      </c>
      <c r="L80" s="50">
        <v>0</v>
      </c>
      <c r="M80" s="50">
        <v>2</v>
      </c>
      <c r="N80" s="50">
        <v>0</v>
      </c>
      <c r="O80" s="15">
        <f t="shared" si="35"/>
        <v>16</v>
      </c>
      <c r="P80" s="15">
        <f t="shared" si="36"/>
        <v>18</v>
      </c>
      <c r="R80" s="8"/>
      <c r="T80"/>
    </row>
    <row r="81" spans="2:20" ht="23.1" customHeight="1" x14ac:dyDescent="0.25">
      <c r="B81" s="45" t="s">
        <v>121</v>
      </c>
      <c r="C81" s="50">
        <v>2</v>
      </c>
      <c r="D81" s="50">
        <v>3</v>
      </c>
      <c r="E81" s="50">
        <v>1</v>
      </c>
      <c r="F81" s="50">
        <v>1</v>
      </c>
      <c r="G81" s="50">
        <v>0</v>
      </c>
      <c r="H81" s="50">
        <v>2</v>
      </c>
      <c r="I81" s="50">
        <v>1</v>
      </c>
      <c r="J81" s="50">
        <v>7</v>
      </c>
      <c r="K81" s="50">
        <v>3</v>
      </c>
      <c r="L81" s="50">
        <v>1</v>
      </c>
      <c r="M81" s="50">
        <v>0</v>
      </c>
      <c r="N81" s="50">
        <v>0</v>
      </c>
      <c r="O81" s="15">
        <f t="shared" si="35"/>
        <v>21</v>
      </c>
      <c r="P81" s="15">
        <f t="shared" si="36"/>
        <v>21</v>
      </c>
      <c r="R81" s="8"/>
      <c r="T81"/>
    </row>
    <row r="82" spans="2:20" ht="23.1" customHeight="1" x14ac:dyDescent="0.25">
      <c r="B82" s="46" t="s">
        <v>168</v>
      </c>
      <c r="C82" s="50">
        <v>2</v>
      </c>
      <c r="D82" s="50">
        <v>4</v>
      </c>
      <c r="E82" s="50">
        <v>4</v>
      </c>
      <c r="F82" s="50">
        <v>0</v>
      </c>
      <c r="G82" s="50">
        <v>0</v>
      </c>
      <c r="H82" s="50">
        <v>2</v>
      </c>
      <c r="I82" s="50">
        <v>3</v>
      </c>
      <c r="J82" s="50">
        <v>4</v>
      </c>
      <c r="K82" s="50">
        <v>1</v>
      </c>
      <c r="L82" s="50">
        <v>0</v>
      </c>
      <c r="M82" s="50">
        <v>1</v>
      </c>
      <c r="N82" s="50">
        <v>0</v>
      </c>
      <c r="O82" s="15">
        <f t="shared" si="35"/>
        <v>20</v>
      </c>
      <c r="P82" s="15">
        <f t="shared" si="36"/>
        <v>21</v>
      </c>
      <c r="R82" s="8"/>
      <c r="T82"/>
    </row>
    <row r="83" spans="2:20" ht="23.1" customHeight="1" x14ac:dyDescent="0.25">
      <c r="B83" s="45" t="s">
        <v>169</v>
      </c>
      <c r="C83" s="50">
        <v>8</v>
      </c>
      <c r="D83" s="50">
        <v>4</v>
      </c>
      <c r="E83" s="50">
        <v>2</v>
      </c>
      <c r="F83" s="50">
        <v>1</v>
      </c>
      <c r="G83" s="50">
        <v>0</v>
      </c>
      <c r="H83" s="50">
        <v>1</v>
      </c>
      <c r="I83" s="50">
        <v>0</v>
      </c>
      <c r="J83" s="50">
        <v>3</v>
      </c>
      <c r="K83" s="50">
        <v>2</v>
      </c>
      <c r="L83" s="50">
        <v>2</v>
      </c>
      <c r="M83" s="50">
        <v>0</v>
      </c>
      <c r="N83" s="50">
        <v>0</v>
      </c>
      <c r="O83" s="15">
        <f t="shared" si="35"/>
        <v>23</v>
      </c>
      <c r="P83" s="15">
        <f t="shared" si="36"/>
        <v>23</v>
      </c>
      <c r="R83" s="8"/>
      <c r="T83"/>
    </row>
    <row r="84" spans="2:20" ht="23.1" customHeight="1" x14ac:dyDescent="0.25">
      <c r="B84" s="47" t="s">
        <v>124</v>
      </c>
      <c r="C84" s="50">
        <v>6</v>
      </c>
      <c r="D84" s="50">
        <v>2</v>
      </c>
      <c r="E84" s="50">
        <v>3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2</v>
      </c>
      <c r="L84" s="50">
        <v>0</v>
      </c>
      <c r="M84" s="50">
        <v>0</v>
      </c>
      <c r="N84" s="50">
        <v>0</v>
      </c>
      <c r="O84" s="15">
        <f t="shared" si="35"/>
        <v>13</v>
      </c>
      <c r="P84" s="15">
        <f t="shared" si="36"/>
        <v>13</v>
      </c>
      <c r="R84" s="8"/>
      <c r="T84"/>
    </row>
    <row r="85" spans="2:20" ht="23.1" customHeight="1" x14ac:dyDescent="0.25">
      <c r="B85" s="45" t="s">
        <v>125</v>
      </c>
      <c r="C85" s="50">
        <v>10</v>
      </c>
      <c r="D85" s="50">
        <v>3</v>
      </c>
      <c r="E85" s="50">
        <v>3</v>
      </c>
      <c r="F85" s="50">
        <v>2</v>
      </c>
      <c r="G85" s="50">
        <v>0</v>
      </c>
      <c r="H85" s="50">
        <v>1</v>
      </c>
      <c r="I85" s="50">
        <v>1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20</v>
      </c>
      <c r="P85" s="15">
        <f t="shared" si="36"/>
        <v>20</v>
      </c>
      <c r="R85" s="8"/>
      <c r="T85"/>
    </row>
    <row r="86" spans="2:20" ht="23.1" customHeight="1" x14ac:dyDescent="0.25">
      <c r="B86" s="46" t="s">
        <v>126</v>
      </c>
      <c r="C86" s="50">
        <v>8</v>
      </c>
      <c r="D86" s="50">
        <v>2</v>
      </c>
      <c r="E86" s="50">
        <v>0</v>
      </c>
      <c r="F86" s="50">
        <v>2</v>
      </c>
      <c r="G86" s="50">
        <v>0</v>
      </c>
      <c r="H86" s="50">
        <v>2</v>
      </c>
      <c r="I86" s="50">
        <v>3</v>
      </c>
      <c r="J86" s="50">
        <v>5</v>
      </c>
      <c r="K86" s="50">
        <v>2</v>
      </c>
      <c r="L86" s="50">
        <v>0</v>
      </c>
      <c r="M86" s="50">
        <v>1</v>
      </c>
      <c r="N86" s="50">
        <v>0</v>
      </c>
      <c r="O86" s="15">
        <f t="shared" si="35"/>
        <v>24</v>
      </c>
      <c r="P86" s="15">
        <f t="shared" si="36"/>
        <v>25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1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4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5</v>
      </c>
      <c r="P87" s="15">
        <f t="shared" si="36"/>
        <v>5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3</v>
      </c>
      <c r="E88" s="50">
        <v>0</v>
      </c>
      <c r="F88" s="50">
        <v>1</v>
      </c>
      <c r="G88" s="50">
        <v>2</v>
      </c>
      <c r="H88" s="50">
        <v>0</v>
      </c>
      <c r="I88" s="50">
        <v>0</v>
      </c>
      <c r="J88" s="50">
        <v>3</v>
      </c>
      <c r="K88" s="50">
        <v>0</v>
      </c>
      <c r="L88" s="50">
        <v>1</v>
      </c>
      <c r="M88" s="50">
        <v>0</v>
      </c>
      <c r="N88" s="50">
        <v>0</v>
      </c>
      <c r="O88" s="15">
        <f t="shared" si="35"/>
        <v>10</v>
      </c>
      <c r="P88" s="15">
        <f t="shared" si="36"/>
        <v>10</v>
      </c>
      <c r="R88" s="8"/>
      <c r="T88"/>
    </row>
    <row r="89" spans="2:20" ht="23.1" customHeight="1" x14ac:dyDescent="0.25">
      <c r="B89" s="45" t="s">
        <v>129</v>
      </c>
      <c r="C89" s="50">
        <v>3</v>
      </c>
      <c r="D89" s="50">
        <v>0</v>
      </c>
      <c r="E89" s="50">
        <v>1</v>
      </c>
      <c r="F89" s="50">
        <v>0</v>
      </c>
      <c r="G89" s="50">
        <v>0</v>
      </c>
      <c r="H89" s="50">
        <v>3</v>
      </c>
      <c r="I89" s="50">
        <v>0</v>
      </c>
      <c r="J89" s="50">
        <v>3</v>
      </c>
      <c r="K89" s="50">
        <v>3</v>
      </c>
      <c r="L89" s="50">
        <v>0</v>
      </c>
      <c r="M89" s="50">
        <v>0</v>
      </c>
      <c r="N89" s="50">
        <v>0</v>
      </c>
      <c r="O89" s="15">
        <f t="shared" si="35"/>
        <v>13</v>
      </c>
      <c r="P89" s="15">
        <f t="shared" si="36"/>
        <v>13</v>
      </c>
      <c r="R89" s="8"/>
      <c r="T89"/>
    </row>
    <row r="90" spans="2:20" ht="23.1" customHeight="1" x14ac:dyDescent="0.25">
      <c r="B90" s="46" t="s">
        <v>130</v>
      </c>
      <c r="C90" s="50">
        <v>2</v>
      </c>
      <c r="D90" s="50">
        <v>0</v>
      </c>
      <c r="E90" s="50">
        <v>0</v>
      </c>
      <c r="F90" s="50">
        <v>0</v>
      </c>
      <c r="G90" s="50">
        <v>0</v>
      </c>
      <c r="H90" s="50">
        <v>1</v>
      </c>
      <c r="I90" s="50">
        <v>0</v>
      </c>
      <c r="J90" s="50">
        <v>3</v>
      </c>
      <c r="K90" s="50">
        <v>0</v>
      </c>
      <c r="L90" s="50">
        <v>0</v>
      </c>
      <c r="M90" s="50">
        <v>3</v>
      </c>
      <c r="N90" s="50">
        <v>0</v>
      </c>
      <c r="O90" s="15">
        <f t="shared" si="35"/>
        <v>6</v>
      </c>
      <c r="P90" s="15">
        <f t="shared" si="36"/>
        <v>9</v>
      </c>
      <c r="R90" s="8"/>
      <c r="T90"/>
    </row>
    <row r="91" spans="2:20" ht="23.1" customHeight="1" x14ac:dyDescent="0.25">
      <c r="B91" s="45" t="s">
        <v>131</v>
      </c>
      <c r="C91" s="50">
        <v>3</v>
      </c>
      <c r="D91" s="50">
        <v>1</v>
      </c>
      <c r="E91" s="50">
        <v>0</v>
      </c>
      <c r="F91" s="50">
        <v>2</v>
      </c>
      <c r="G91" s="50">
        <v>0</v>
      </c>
      <c r="H91" s="50">
        <v>1</v>
      </c>
      <c r="I91" s="50">
        <v>2</v>
      </c>
      <c r="J91" s="50">
        <v>1</v>
      </c>
      <c r="K91" s="50">
        <v>5</v>
      </c>
      <c r="L91" s="50">
        <v>0</v>
      </c>
      <c r="M91" s="50">
        <v>0</v>
      </c>
      <c r="N91" s="50">
        <v>0</v>
      </c>
      <c r="O91" s="15">
        <f t="shared" si="35"/>
        <v>15</v>
      </c>
      <c r="P91" s="15">
        <f t="shared" si="36"/>
        <v>15</v>
      </c>
      <c r="R91" s="8"/>
      <c r="T91"/>
    </row>
    <row r="92" spans="2:20" ht="23.1" customHeight="1" x14ac:dyDescent="0.25">
      <c r="B92" s="47" t="s">
        <v>132</v>
      </c>
      <c r="C92" s="50">
        <v>2</v>
      </c>
      <c r="D92" s="50">
        <v>2</v>
      </c>
      <c r="E92" s="50">
        <v>3</v>
      </c>
      <c r="F92" s="50">
        <v>1</v>
      </c>
      <c r="G92" s="50">
        <v>0</v>
      </c>
      <c r="H92" s="50">
        <v>4</v>
      </c>
      <c r="I92" s="50">
        <v>3</v>
      </c>
      <c r="J92" s="50">
        <v>2</v>
      </c>
      <c r="K92" s="50">
        <v>3</v>
      </c>
      <c r="L92" s="50">
        <v>1</v>
      </c>
      <c r="M92" s="50">
        <v>0</v>
      </c>
      <c r="N92" s="50">
        <v>0</v>
      </c>
      <c r="O92" s="15">
        <f t="shared" si="35"/>
        <v>21</v>
      </c>
      <c r="P92" s="15">
        <f t="shared" si="36"/>
        <v>21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4</v>
      </c>
      <c r="E93" s="50">
        <v>0</v>
      </c>
      <c r="F93" s="50">
        <v>0</v>
      </c>
      <c r="G93" s="50">
        <v>0</v>
      </c>
      <c r="H93" s="50">
        <v>3</v>
      </c>
      <c r="I93" s="50">
        <v>3</v>
      </c>
      <c r="J93" s="50">
        <v>1</v>
      </c>
      <c r="K93" s="50">
        <v>7</v>
      </c>
      <c r="L93" s="50">
        <v>0</v>
      </c>
      <c r="M93" s="50">
        <v>1</v>
      </c>
      <c r="N93" s="50">
        <v>0</v>
      </c>
      <c r="O93" s="15">
        <f t="shared" si="35"/>
        <v>18</v>
      </c>
      <c r="P93" s="15">
        <f t="shared" si="36"/>
        <v>19</v>
      </c>
      <c r="R93" s="8"/>
      <c r="T93"/>
    </row>
    <row r="94" spans="2:20" ht="23.1" customHeight="1" x14ac:dyDescent="0.25">
      <c r="B94" s="46" t="s">
        <v>134</v>
      </c>
      <c r="C94" s="50">
        <v>3</v>
      </c>
      <c r="D94" s="50">
        <v>0</v>
      </c>
      <c r="E94" s="50">
        <v>0</v>
      </c>
      <c r="F94" s="50">
        <v>3</v>
      </c>
      <c r="G94" s="50">
        <v>0</v>
      </c>
      <c r="H94" s="50">
        <v>1</v>
      </c>
      <c r="I94" s="50">
        <v>0</v>
      </c>
      <c r="J94" s="50">
        <v>3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10</v>
      </c>
      <c r="P94" s="15">
        <f t="shared" si="36"/>
        <v>10</v>
      </c>
      <c r="R94" s="8"/>
      <c r="T94"/>
    </row>
    <row r="95" spans="2:20" ht="23.1" customHeight="1" x14ac:dyDescent="0.25">
      <c r="B95" s="45" t="s">
        <v>135</v>
      </c>
      <c r="C95" s="50">
        <v>10</v>
      </c>
      <c r="D95" s="50">
        <v>1</v>
      </c>
      <c r="E95" s="50">
        <v>0</v>
      </c>
      <c r="F95" s="50">
        <v>2</v>
      </c>
      <c r="G95" s="50">
        <v>0</v>
      </c>
      <c r="H95" s="50">
        <v>2</v>
      </c>
      <c r="I95" s="50">
        <v>0</v>
      </c>
      <c r="J95" s="50">
        <v>3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18</v>
      </c>
      <c r="P95" s="15">
        <f t="shared" si="36"/>
        <v>18</v>
      </c>
      <c r="R95" s="8"/>
      <c r="T95"/>
    </row>
    <row r="96" spans="2:20" ht="23.1" customHeight="1" x14ac:dyDescent="0.25">
      <c r="B96" s="47" t="s">
        <v>136</v>
      </c>
      <c r="C96" s="50">
        <v>4</v>
      </c>
      <c r="D96" s="50">
        <v>1</v>
      </c>
      <c r="E96" s="50">
        <v>0</v>
      </c>
      <c r="F96" s="50">
        <v>1</v>
      </c>
      <c r="G96" s="50">
        <v>1</v>
      </c>
      <c r="H96" s="50">
        <v>3</v>
      </c>
      <c r="I96" s="50">
        <v>0</v>
      </c>
      <c r="J96" s="50">
        <v>3</v>
      </c>
      <c r="K96" s="50">
        <v>2</v>
      </c>
      <c r="L96" s="50">
        <v>0</v>
      </c>
      <c r="M96" s="50">
        <v>0</v>
      </c>
      <c r="N96" s="50">
        <v>0</v>
      </c>
      <c r="O96" s="15">
        <f t="shared" si="35"/>
        <v>15</v>
      </c>
      <c r="P96" s="15">
        <f t="shared" si="36"/>
        <v>15</v>
      </c>
      <c r="R96" s="8"/>
      <c r="T96"/>
    </row>
    <row r="97" spans="2:20" ht="23.1" customHeight="1" x14ac:dyDescent="0.25">
      <c r="B97" s="45" t="s">
        <v>137</v>
      </c>
      <c r="C97" s="50">
        <v>6</v>
      </c>
      <c r="D97" s="50">
        <v>0</v>
      </c>
      <c r="E97" s="50">
        <v>0</v>
      </c>
      <c r="F97" s="50">
        <v>0</v>
      </c>
      <c r="G97" s="50">
        <v>0</v>
      </c>
      <c r="H97" s="50">
        <v>1</v>
      </c>
      <c r="I97" s="50">
        <v>0</v>
      </c>
      <c r="J97" s="50">
        <v>3</v>
      </c>
      <c r="K97" s="50">
        <v>1</v>
      </c>
      <c r="L97" s="50">
        <v>0</v>
      </c>
      <c r="M97" s="50">
        <v>4</v>
      </c>
      <c r="N97" s="50">
        <v>0</v>
      </c>
      <c r="O97" s="15">
        <f t="shared" si="35"/>
        <v>11</v>
      </c>
      <c r="P97" s="15">
        <f t="shared" si="36"/>
        <v>15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1</v>
      </c>
      <c r="F98" s="50">
        <v>2</v>
      </c>
      <c r="G98" s="50">
        <v>0</v>
      </c>
      <c r="H98" s="50">
        <v>1</v>
      </c>
      <c r="I98" s="50">
        <v>1</v>
      </c>
      <c r="J98" s="50">
        <v>3</v>
      </c>
      <c r="K98" s="50">
        <v>0</v>
      </c>
      <c r="L98" s="50">
        <v>1</v>
      </c>
      <c r="M98" s="50">
        <v>3</v>
      </c>
      <c r="N98" s="50">
        <v>0</v>
      </c>
      <c r="O98" s="15">
        <f t="shared" si="35"/>
        <v>9</v>
      </c>
      <c r="P98" s="15">
        <f t="shared" si="36"/>
        <v>12</v>
      </c>
      <c r="R98" s="8"/>
      <c r="T98"/>
    </row>
    <row r="99" spans="2:20" ht="23.1" customHeight="1" x14ac:dyDescent="0.25">
      <c r="B99" s="45" t="s">
        <v>139</v>
      </c>
      <c r="C99" s="50">
        <v>2</v>
      </c>
      <c r="D99" s="50">
        <v>1</v>
      </c>
      <c r="E99" s="50">
        <v>1</v>
      </c>
      <c r="F99" s="50">
        <v>1</v>
      </c>
      <c r="G99" s="50">
        <v>0</v>
      </c>
      <c r="H99" s="50">
        <v>2</v>
      </c>
      <c r="I99" s="50">
        <v>1</v>
      </c>
      <c r="J99" s="50">
        <v>3</v>
      </c>
      <c r="K99" s="50">
        <v>1</v>
      </c>
      <c r="L99" s="50">
        <v>0</v>
      </c>
      <c r="M99" s="50">
        <v>2</v>
      </c>
      <c r="N99" s="50">
        <v>0</v>
      </c>
      <c r="O99" s="15">
        <f t="shared" si="35"/>
        <v>12</v>
      </c>
      <c r="P99" s="15">
        <f t="shared" si="36"/>
        <v>14</v>
      </c>
      <c r="R99" s="8"/>
      <c r="T99"/>
    </row>
    <row r="100" spans="2:20" ht="23.1" customHeight="1" x14ac:dyDescent="0.25">
      <c r="B100" s="47" t="s">
        <v>140</v>
      </c>
      <c r="C100" s="50">
        <v>3</v>
      </c>
      <c r="D100" s="50">
        <v>0</v>
      </c>
      <c r="E100" s="50">
        <v>0</v>
      </c>
      <c r="F100" s="50">
        <v>4</v>
      </c>
      <c r="G100" s="50">
        <v>0</v>
      </c>
      <c r="H100" s="50">
        <v>3</v>
      </c>
      <c r="I100" s="50">
        <v>0</v>
      </c>
      <c r="J100" s="50">
        <v>5</v>
      </c>
      <c r="K100" s="50">
        <v>3</v>
      </c>
      <c r="L100" s="50">
        <v>0</v>
      </c>
      <c r="M100" s="50">
        <v>3</v>
      </c>
      <c r="N100" s="50">
        <v>0</v>
      </c>
      <c r="O100" s="15">
        <f t="shared" si="35"/>
        <v>18</v>
      </c>
      <c r="P100" s="15">
        <f t="shared" si="36"/>
        <v>21</v>
      </c>
      <c r="R100" s="8"/>
      <c r="T100"/>
    </row>
    <row r="101" spans="2:20" ht="23.1" customHeight="1" x14ac:dyDescent="0.25">
      <c r="B101" s="45" t="s">
        <v>141</v>
      </c>
      <c r="C101" s="50">
        <v>2</v>
      </c>
      <c r="D101" s="50">
        <v>0</v>
      </c>
      <c r="E101" s="50">
        <v>1</v>
      </c>
      <c r="F101" s="50">
        <v>0</v>
      </c>
      <c r="G101" s="50">
        <v>0</v>
      </c>
      <c r="H101" s="50">
        <v>0</v>
      </c>
      <c r="I101" s="50">
        <v>0</v>
      </c>
      <c r="J101" s="50">
        <v>1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4</v>
      </c>
      <c r="P101" s="15">
        <f t="shared" si="36"/>
        <v>4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2</v>
      </c>
      <c r="K102" s="50">
        <v>1</v>
      </c>
      <c r="L102" s="50">
        <v>0</v>
      </c>
      <c r="M102" s="50">
        <v>0</v>
      </c>
      <c r="N102" s="50">
        <v>0</v>
      </c>
      <c r="O102" s="15">
        <f t="shared" si="35"/>
        <v>4</v>
      </c>
      <c r="P102" s="15">
        <f t="shared" si="36"/>
        <v>4</v>
      </c>
      <c r="R102" s="8"/>
      <c r="T102"/>
    </row>
    <row r="103" spans="2:20" ht="23.1" customHeight="1" x14ac:dyDescent="0.25">
      <c r="B103" s="45" t="s">
        <v>143</v>
      </c>
      <c r="C103" s="50">
        <v>5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1</v>
      </c>
      <c r="J103" s="50">
        <v>2</v>
      </c>
      <c r="K103" s="50">
        <v>5</v>
      </c>
      <c r="L103" s="50">
        <v>0</v>
      </c>
      <c r="M103" s="50">
        <v>2</v>
      </c>
      <c r="N103" s="50">
        <v>0</v>
      </c>
      <c r="O103" s="15">
        <f t="shared" si="35"/>
        <v>13</v>
      </c>
      <c r="P103" s="15">
        <f t="shared" si="36"/>
        <v>15</v>
      </c>
      <c r="R103" s="8"/>
      <c r="T103"/>
    </row>
    <row r="104" spans="2:20" ht="23.1" customHeight="1" x14ac:dyDescent="0.25">
      <c r="B104" s="47" t="s">
        <v>144</v>
      </c>
      <c r="C104" s="50">
        <v>4</v>
      </c>
      <c r="D104" s="50">
        <v>0</v>
      </c>
      <c r="E104" s="50">
        <v>0</v>
      </c>
      <c r="F104" s="50">
        <v>0</v>
      </c>
      <c r="G104" s="50">
        <v>0</v>
      </c>
      <c r="H104" s="50">
        <v>1</v>
      </c>
      <c r="I104" s="50">
        <v>1</v>
      </c>
      <c r="J104" s="50">
        <v>0</v>
      </c>
      <c r="K104" s="50">
        <v>3</v>
      </c>
      <c r="L104" s="50">
        <v>0</v>
      </c>
      <c r="M104" s="50">
        <v>6</v>
      </c>
      <c r="N104" s="50">
        <v>0</v>
      </c>
      <c r="O104" s="15">
        <f t="shared" si="35"/>
        <v>9</v>
      </c>
      <c r="P104" s="15">
        <f t="shared" si="36"/>
        <v>15</v>
      </c>
      <c r="R104" s="8"/>
      <c r="T104"/>
    </row>
    <row r="105" spans="2:20" ht="23.1" customHeight="1" x14ac:dyDescent="0.25">
      <c r="B105" s="45" t="s">
        <v>145</v>
      </c>
      <c r="C105" s="50">
        <v>5</v>
      </c>
      <c r="D105" s="50">
        <v>0</v>
      </c>
      <c r="E105" s="50">
        <v>3</v>
      </c>
      <c r="F105" s="50">
        <v>4</v>
      </c>
      <c r="G105" s="50">
        <v>0</v>
      </c>
      <c r="H105" s="50">
        <v>0</v>
      </c>
      <c r="I105" s="50">
        <v>3</v>
      </c>
      <c r="J105" s="50">
        <v>1</v>
      </c>
      <c r="K105" s="50">
        <v>3</v>
      </c>
      <c r="L105" s="50">
        <v>0</v>
      </c>
      <c r="M105" s="50">
        <v>16</v>
      </c>
      <c r="N105" s="50">
        <v>0</v>
      </c>
      <c r="O105" s="15">
        <f t="shared" si="35"/>
        <v>19</v>
      </c>
      <c r="P105" s="15">
        <f t="shared" si="36"/>
        <v>35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665</v>
      </c>
      <c r="D106" s="16">
        <f t="shared" ref="D106:P106" si="37">SUM(D10:D105)</f>
        <v>278</v>
      </c>
      <c r="E106" s="16">
        <f t="shared" si="37"/>
        <v>181</v>
      </c>
      <c r="F106" s="16">
        <f t="shared" si="37"/>
        <v>311</v>
      </c>
      <c r="G106" s="16">
        <f t="shared" si="37"/>
        <v>21</v>
      </c>
      <c r="H106" s="16">
        <f t="shared" si="37"/>
        <v>124</v>
      </c>
      <c r="I106" s="16">
        <f t="shared" si="37"/>
        <v>144</v>
      </c>
      <c r="J106" s="16">
        <f t="shared" si="37"/>
        <v>226</v>
      </c>
      <c r="K106" s="16">
        <f t="shared" si="37"/>
        <v>209</v>
      </c>
      <c r="L106" s="16">
        <f t="shared" si="37"/>
        <v>34</v>
      </c>
      <c r="M106" s="16">
        <f t="shared" si="37"/>
        <v>574</v>
      </c>
      <c r="N106" s="16">
        <f t="shared" si="37"/>
        <v>0</v>
      </c>
      <c r="O106" s="16">
        <f t="shared" si="37"/>
        <v>2193</v>
      </c>
      <c r="P106" s="16">
        <f t="shared" si="37"/>
        <v>2767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0.24033249006143839</v>
      </c>
      <c r="D107" s="43">
        <f t="shared" si="38"/>
        <v>0.10046982291290206</v>
      </c>
      <c r="E107" s="43">
        <f t="shared" si="38"/>
        <v>6.5413805565594507E-2</v>
      </c>
      <c r="F107" s="43">
        <f t="shared" si="38"/>
        <v>0.1123960968558005</v>
      </c>
      <c r="G107" s="43">
        <f t="shared" si="38"/>
        <v>7.5894470545717387E-3</v>
      </c>
      <c r="H107" s="43">
        <f t="shared" si="38"/>
        <v>4.4813877846042648E-2</v>
      </c>
      <c r="I107" s="43">
        <f t="shared" si="38"/>
        <v>5.2041922659920491E-2</v>
      </c>
      <c r="J107" s="43">
        <f t="shared" si="38"/>
        <v>8.1676906396819654E-2</v>
      </c>
      <c r="K107" s="43">
        <f t="shared" si="38"/>
        <v>7.5533068305023487E-2</v>
      </c>
      <c r="L107" s="43">
        <f t="shared" si="38"/>
        <v>1.2287676183592338E-2</v>
      </c>
      <c r="M107" s="43">
        <f t="shared" si="38"/>
        <v>0.20744488615829418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0.30323757409940721</v>
      </c>
      <c r="D108" s="44">
        <f t="shared" ref="D108:N108" si="39">D106/$O$106</f>
        <v>0.12676698586411309</v>
      </c>
      <c r="E108" s="44">
        <f t="shared" si="39"/>
        <v>8.2535339717282261E-2</v>
      </c>
      <c r="F108" s="44">
        <f t="shared" si="39"/>
        <v>0.14181486548107616</v>
      </c>
      <c r="G108" s="44">
        <f t="shared" si="39"/>
        <v>9.575923392612859E-3</v>
      </c>
      <c r="H108" s="44">
        <f t="shared" si="39"/>
        <v>5.6543547651618786E-2</v>
      </c>
      <c r="I108" s="44">
        <f t="shared" si="39"/>
        <v>6.5663474692202461E-2</v>
      </c>
      <c r="J108" s="44">
        <f t="shared" si="39"/>
        <v>0.10305517555859553</v>
      </c>
      <c r="K108" s="44">
        <f t="shared" si="39"/>
        <v>9.5303237574099406E-2</v>
      </c>
      <c r="L108" s="44">
        <f t="shared" si="39"/>
        <v>1.5503875968992248E-2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3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3" t="s">
        <v>23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 spans="2:32" ht="20.100000000000001" customHeight="1" x14ac:dyDescent="0.25">
      <c r="B2" s="74" t="s">
        <v>95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</row>
    <row r="3" spans="2:32" ht="20.100000000000001" customHeight="1" x14ac:dyDescent="0.25">
      <c r="B3" s="22" t="s">
        <v>96</v>
      </c>
      <c r="C3" s="75" t="s">
        <v>176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71" t="s">
        <v>173</v>
      </c>
      <c r="H5" s="72"/>
      <c r="I5" s="14"/>
      <c r="J5" s="2" t="s">
        <v>5</v>
      </c>
      <c r="K5" s="71" t="s">
        <v>174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">
        <v>165</v>
      </c>
      <c r="E6" s="72"/>
      <c r="F6" s="2" t="s">
        <v>2</v>
      </c>
      <c r="G6" s="71" t="s">
        <v>166</v>
      </c>
      <c r="H6" s="72"/>
      <c r="J6" s="2" t="s">
        <v>21</v>
      </c>
      <c r="K6" s="71" t="s">
        <v>174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3</v>
      </c>
      <c r="F10" s="50">
        <v>4</v>
      </c>
      <c r="G10" s="50">
        <v>1</v>
      </c>
      <c r="H10" s="50">
        <v>0</v>
      </c>
      <c r="I10" s="50">
        <v>0</v>
      </c>
      <c r="J10" s="50">
        <v>0</v>
      </c>
      <c r="K10" s="50">
        <v>5</v>
      </c>
      <c r="L10" s="50">
        <v>0</v>
      </c>
      <c r="M10" s="50">
        <v>11</v>
      </c>
      <c r="N10" s="50">
        <v>0</v>
      </c>
      <c r="O10" s="15">
        <f t="shared" ref="O10:O57" si="0">SUM(C10:L10,N10)</f>
        <v>13</v>
      </c>
      <c r="P10" s="15">
        <f t="shared" ref="P10:P57" si="1">SUM(C10:N10)</f>
        <v>24</v>
      </c>
      <c r="R10" s="1" t="s">
        <v>6</v>
      </c>
      <c r="S10" s="17">
        <f t="shared" ref="S10:AF10" si="2">SUM(C10:C13)</f>
        <v>9</v>
      </c>
      <c r="T10" s="17">
        <f t="shared" si="2"/>
        <v>1</v>
      </c>
      <c r="U10" s="17">
        <f t="shared" si="2"/>
        <v>4</v>
      </c>
      <c r="V10" s="17">
        <f t="shared" si="2"/>
        <v>10</v>
      </c>
      <c r="W10" s="17">
        <f t="shared" si="2"/>
        <v>2</v>
      </c>
      <c r="X10" s="17">
        <f t="shared" si="2"/>
        <v>2</v>
      </c>
      <c r="Y10" s="17">
        <f t="shared" si="2"/>
        <v>1</v>
      </c>
      <c r="Z10" s="17">
        <f t="shared" si="2"/>
        <v>1</v>
      </c>
      <c r="AA10" s="17">
        <f t="shared" si="2"/>
        <v>7</v>
      </c>
      <c r="AB10" s="17">
        <f t="shared" si="2"/>
        <v>3</v>
      </c>
      <c r="AC10" s="17">
        <f t="shared" si="2"/>
        <v>23</v>
      </c>
      <c r="AD10" s="17">
        <f t="shared" si="2"/>
        <v>0</v>
      </c>
      <c r="AE10" s="31">
        <f t="shared" si="2"/>
        <v>40</v>
      </c>
      <c r="AF10" s="31">
        <f t="shared" si="2"/>
        <v>63</v>
      </c>
    </row>
    <row r="11" spans="2:32" s="6" customFormat="1" ht="23.1" customHeight="1" x14ac:dyDescent="0.25">
      <c r="B11" s="45" t="s">
        <v>38</v>
      </c>
      <c r="C11" s="50">
        <v>4</v>
      </c>
      <c r="D11" s="50">
        <v>1</v>
      </c>
      <c r="E11" s="50">
        <v>1</v>
      </c>
      <c r="F11" s="50">
        <v>4</v>
      </c>
      <c r="G11" s="50">
        <v>0</v>
      </c>
      <c r="H11" s="50">
        <v>1</v>
      </c>
      <c r="I11" s="50">
        <v>0</v>
      </c>
      <c r="J11" s="50">
        <v>0</v>
      </c>
      <c r="K11" s="50">
        <v>2</v>
      </c>
      <c r="L11" s="50">
        <v>1</v>
      </c>
      <c r="M11" s="50">
        <v>8</v>
      </c>
      <c r="N11" s="50">
        <v>0</v>
      </c>
      <c r="O11" s="15">
        <f t="shared" si="0"/>
        <v>14</v>
      </c>
      <c r="P11" s="15">
        <f t="shared" si="1"/>
        <v>22</v>
      </c>
      <c r="R11" s="1" t="s">
        <v>7</v>
      </c>
      <c r="S11" s="17">
        <f t="shared" ref="S11:AF11" si="3">SUM(C14:C17)</f>
        <v>17</v>
      </c>
      <c r="T11" s="17">
        <f t="shared" si="3"/>
        <v>7</v>
      </c>
      <c r="U11" s="17">
        <f t="shared" si="3"/>
        <v>2</v>
      </c>
      <c r="V11" s="17">
        <f t="shared" si="3"/>
        <v>9</v>
      </c>
      <c r="W11" s="17">
        <f t="shared" si="3"/>
        <v>0</v>
      </c>
      <c r="X11" s="17">
        <f t="shared" si="3"/>
        <v>1</v>
      </c>
      <c r="Y11" s="17">
        <f t="shared" si="3"/>
        <v>1</v>
      </c>
      <c r="Z11" s="17">
        <f t="shared" si="3"/>
        <v>3</v>
      </c>
      <c r="AA11" s="17">
        <f t="shared" si="3"/>
        <v>1</v>
      </c>
      <c r="AB11" s="17">
        <f t="shared" si="3"/>
        <v>1</v>
      </c>
      <c r="AC11" s="17">
        <f t="shared" si="3"/>
        <v>23</v>
      </c>
      <c r="AD11" s="17">
        <f t="shared" si="3"/>
        <v>0</v>
      </c>
      <c r="AE11" s="31">
        <f t="shared" si="3"/>
        <v>42</v>
      </c>
      <c r="AF11" s="31">
        <f t="shared" si="3"/>
        <v>65</v>
      </c>
    </row>
    <row r="12" spans="2:32" ht="23.1" customHeight="1" x14ac:dyDescent="0.25">
      <c r="B12" s="45" t="s">
        <v>39</v>
      </c>
      <c r="C12" s="50">
        <v>1</v>
      </c>
      <c r="D12" s="50">
        <v>0</v>
      </c>
      <c r="E12" s="50">
        <v>0</v>
      </c>
      <c r="F12" s="50">
        <v>2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2</v>
      </c>
      <c r="M12" s="50">
        <v>0</v>
      </c>
      <c r="N12" s="50">
        <v>0</v>
      </c>
      <c r="O12" s="15">
        <f t="shared" si="0"/>
        <v>5</v>
      </c>
      <c r="P12" s="15">
        <f t="shared" si="1"/>
        <v>5</v>
      </c>
      <c r="R12" s="1" t="s">
        <v>8</v>
      </c>
      <c r="S12" s="17">
        <f t="shared" ref="S12:AF12" si="4">SUM(C18:C21)</f>
        <v>33</v>
      </c>
      <c r="T12" s="17">
        <f t="shared" si="4"/>
        <v>13</v>
      </c>
      <c r="U12" s="17">
        <f t="shared" si="4"/>
        <v>7</v>
      </c>
      <c r="V12" s="17">
        <f t="shared" si="4"/>
        <v>20</v>
      </c>
      <c r="W12" s="17">
        <f t="shared" si="4"/>
        <v>1</v>
      </c>
      <c r="X12" s="17">
        <f t="shared" si="4"/>
        <v>3</v>
      </c>
      <c r="Y12" s="17">
        <f t="shared" si="4"/>
        <v>5</v>
      </c>
      <c r="Z12" s="17">
        <f t="shared" si="4"/>
        <v>3</v>
      </c>
      <c r="AA12" s="17">
        <f t="shared" si="4"/>
        <v>7</v>
      </c>
      <c r="AB12" s="17">
        <f t="shared" si="4"/>
        <v>0</v>
      </c>
      <c r="AC12" s="17">
        <f t="shared" si="4"/>
        <v>38</v>
      </c>
      <c r="AD12" s="17">
        <f t="shared" si="4"/>
        <v>0</v>
      </c>
      <c r="AE12" s="31">
        <f t="shared" si="4"/>
        <v>92</v>
      </c>
      <c r="AF12" s="31">
        <f t="shared" si="4"/>
        <v>130</v>
      </c>
    </row>
    <row r="13" spans="2:32" ht="23.1" customHeight="1" x14ac:dyDescent="0.25">
      <c r="B13" s="45" t="s">
        <v>40</v>
      </c>
      <c r="C13" s="50">
        <v>4</v>
      </c>
      <c r="D13" s="50">
        <v>0</v>
      </c>
      <c r="E13" s="50">
        <v>0</v>
      </c>
      <c r="F13" s="50">
        <v>0</v>
      </c>
      <c r="G13" s="50">
        <v>1</v>
      </c>
      <c r="H13" s="50">
        <v>1</v>
      </c>
      <c r="I13" s="50">
        <v>1</v>
      </c>
      <c r="J13" s="50">
        <v>1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8</v>
      </c>
      <c r="P13" s="15">
        <f t="shared" si="1"/>
        <v>12</v>
      </c>
      <c r="R13" s="1" t="s">
        <v>9</v>
      </c>
      <c r="S13" s="17">
        <f t="shared" ref="S13:AF13" si="5">SUM(C22:C25)</f>
        <v>32</v>
      </c>
      <c r="T13" s="17">
        <f t="shared" si="5"/>
        <v>28</v>
      </c>
      <c r="U13" s="17">
        <f t="shared" si="5"/>
        <v>13</v>
      </c>
      <c r="V13" s="17">
        <f t="shared" si="5"/>
        <v>20</v>
      </c>
      <c r="W13" s="17">
        <f t="shared" si="5"/>
        <v>2</v>
      </c>
      <c r="X13" s="17">
        <f t="shared" si="5"/>
        <v>6</v>
      </c>
      <c r="Y13" s="17">
        <f t="shared" si="5"/>
        <v>9</v>
      </c>
      <c r="Z13" s="17">
        <f t="shared" si="5"/>
        <v>6</v>
      </c>
      <c r="AA13" s="17">
        <f t="shared" si="5"/>
        <v>9</v>
      </c>
      <c r="AB13" s="17">
        <f t="shared" si="5"/>
        <v>0</v>
      </c>
      <c r="AC13" s="17">
        <f t="shared" si="5"/>
        <v>32</v>
      </c>
      <c r="AD13" s="17">
        <f t="shared" si="5"/>
        <v>0</v>
      </c>
      <c r="AE13" s="31">
        <f t="shared" si="5"/>
        <v>125</v>
      </c>
      <c r="AF13" s="31">
        <f t="shared" si="5"/>
        <v>157</v>
      </c>
    </row>
    <row r="14" spans="2:32" ht="23.1" customHeight="1" x14ac:dyDescent="0.25">
      <c r="B14" s="45" t="s">
        <v>41</v>
      </c>
      <c r="C14" s="50">
        <v>2</v>
      </c>
      <c r="D14" s="50">
        <v>1</v>
      </c>
      <c r="E14" s="50">
        <v>0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</v>
      </c>
      <c r="N14" s="50">
        <v>0</v>
      </c>
      <c r="O14" s="15">
        <f t="shared" si="0"/>
        <v>5</v>
      </c>
      <c r="P14" s="15">
        <f t="shared" si="1"/>
        <v>7</v>
      </c>
      <c r="R14" s="1" t="s">
        <v>10</v>
      </c>
      <c r="S14" s="17">
        <f t="shared" ref="S14:AF14" si="6">SUM(C26:C29)</f>
        <v>42</v>
      </c>
      <c r="T14" s="17">
        <f t="shared" si="6"/>
        <v>15</v>
      </c>
      <c r="U14" s="17">
        <f t="shared" si="6"/>
        <v>9</v>
      </c>
      <c r="V14" s="17">
        <f t="shared" si="6"/>
        <v>24</v>
      </c>
      <c r="W14" s="17">
        <f t="shared" si="6"/>
        <v>1</v>
      </c>
      <c r="X14" s="17">
        <f t="shared" si="6"/>
        <v>4</v>
      </c>
      <c r="Y14" s="17">
        <f t="shared" si="6"/>
        <v>3</v>
      </c>
      <c r="Z14" s="17">
        <f t="shared" si="6"/>
        <v>7</v>
      </c>
      <c r="AA14" s="17">
        <f t="shared" si="6"/>
        <v>7</v>
      </c>
      <c r="AB14" s="17">
        <f t="shared" si="6"/>
        <v>0</v>
      </c>
      <c r="AC14" s="17">
        <f t="shared" si="6"/>
        <v>40</v>
      </c>
      <c r="AD14" s="17">
        <f t="shared" si="6"/>
        <v>0</v>
      </c>
      <c r="AE14" s="31">
        <f t="shared" si="6"/>
        <v>112</v>
      </c>
      <c r="AF14" s="31">
        <f t="shared" si="6"/>
        <v>152</v>
      </c>
    </row>
    <row r="15" spans="2:32" ht="23.1" customHeight="1" x14ac:dyDescent="0.25">
      <c r="B15" s="45" t="s">
        <v>42</v>
      </c>
      <c r="C15" s="50">
        <v>5</v>
      </c>
      <c r="D15" s="50">
        <v>0</v>
      </c>
      <c r="E15" s="50">
        <v>0</v>
      </c>
      <c r="F15" s="50">
        <v>2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</v>
      </c>
      <c r="N15" s="50">
        <v>0</v>
      </c>
      <c r="O15" s="15">
        <f t="shared" si="0"/>
        <v>7</v>
      </c>
      <c r="P15" s="15">
        <f t="shared" si="1"/>
        <v>9</v>
      </c>
      <c r="R15" s="1" t="s">
        <v>11</v>
      </c>
      <c r="S15" s="17">
        <f t="shared" ref="S15:AF15" si="7">SUM(C30:C33)</f>
        <v>45</v>
      </c>
      <c r="T15" s="17">
        <f t="shared" si="7"/>
        <v>18</v>
      </c>
      <c r="U15" s="17">
        <f t="shared" si="7"/>
        <v>13</v>
      </c>
      <c r="V15" s="17">
        <f t="shared" si="7"/>
        <v>21</v>
      </c>
      <c r="W15" s="17">
        <f t="shared" si="7"/>
        <v>0</v>
      </c>
      <c r="X15" s="17">
        <f t="shared" si="7"/>
        <v>4</v>
      </c>
      <c r="Y15" s="17">
        <f t="shared" si="7"/>
        <v>5</v>
      </c>
      <c r="Z15" s="17">
        <f t="shared" si="7"/>
        <v>9</v>
      </c>
      <c r="AA15" s="17">
        <f t="shared" si="7"/>
        <v>9</v>
      </c>
      <c r="AB15" s="17">
        <f t="shared" si="7"/>
        <v>2</v>
      </c>
      <c r="AC15" s="17">
        <f t="shared" si="7"/>
        <v>46</v>
      </c>
      <c r="AD15" s="17">
        <f t="shared" si="7"/>
        <v>0</v>
      </c>
      <c r="AE15" s="31">
        <f t="shared" si="7"/>
        <v>126</v>
      </c>
      <c r="AF15" s="31">
        <f t="shared" si="7"/>
        <v>172</v>
      </c>
    </row>
    <row r="16" spans="2:32" ht="23.1" customHeight="1" x14ac:dyDescent="0.25">
      <c r="B16" s="45" t="s">
        <v>43</v>
      </c>
      <c r="C16" s="50">
        <v>4</v>
      </c>
      <c r="D16" s="50">
        <v>4</v>
      </c>
      <c r="E16" s="50">
        <v>1</v>
      </c>
      <c r="F16" s="50">
        <v>1</v>
      </c>
      <c r="G16" s="50">
        <v>0</v>
      </c>
      <c r="H16" s="50">
        <v>1</v>
      </c>
      <c r="I16" s="50">
        <v>0</v>
      </c>
      <c r="J16" s="50">
        <v>2</v>
      </c>
      <c r="K16" s="50">
        <v>1</v>
      </c>
      <c r="L16" s="50">
        <v>1</v>
      </c>
      <c r="M16" s="50">
        <v>6</v>
      </c>
      <c r="N16" s="50">
        <v>0</v>
      </c>
      <c r="O16" s="15">
        <f t="shared" si="0"/>
        <v>15</v>
      </c>
      <c r="P16" s="15">
        <f t="shared" si="1"/>
        <v>21</v>
      </c>
      <c r="R16" s="1" t="s">
        <v>12</v>
      </c>
      <c r="S16" s="17">
        <f t="shared" ref="S16:AF16" si="8">SUM(C34:C37)</f>
        <v>40</v>
      </c>
      <c r="T16" s="17">
        <f t="shared" si="8"/>
        <v>12</v>
      </c>
      <c r="U16" s="17">
        <f t="shared" si="8"/>
        <v>9</v>
      </c>
      <c r="V16" s="17">
        <f t="shared" si="8"/>
        <v>18</v>
      </c>
      <c r="W16" s="17">
        <f t="shared" si="8"/>
        <v>0</v>
      </c>
      <c r="X16" s="17">
        <f t="shared" si="8"/>
        <v>6</v>
      </c>
      <c r="Y16" s="17">
        <f t="shared" si="8"/>
        <v>9</v>
      </c>
      <c r="Z16" s="17">
        <f t="shared" si="8"/>
        <v>4</v>
      </c>
      <c r="AA16" s="17">
        <f t="shared" si="8"/>
        <v>8</v>
      </c>
      <c r="AB16" s="17">
        <f t="shared" si="8"/>
        <v>0</v>
      </c>
      <c r="AC16" s="17">
        <f t="shared" si="8"/>
        <v>52</v>
      </c>
      <c r="AD16" s="17">
        <f t="shared" si="8"/>
        <v>0</v>
      </c>
      <c r="AE16" s="31">
        <f t="shared" si="8"/>
        <v>106</v>
      </c>
      <c r="AF16" s="31">
        <f t="shared" si="8"/>
        <v>158</v>
      </c>
    </row>
    <row r="17" spans="2:32" ht="23.1" customHeight="1" x14ac:dyDescent="0.25">
      <c r="B17" s="45" t="s">
        <v>44</v>
      </c>
      <c r="C17" s="50">
        <v>6</v>
      </c>
      <c r="D17" s="50">
        <v>2</v>
      </c>
      <c r="E17" s="50">
        <v>1</v>
      </c>
      <c r="F17" s="50">
        <v>4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13</v>
      </c>
      <c r="N17" s="50">
        <v>0</v>
      </c>
      <c r="O17" s="15">
        <f t="shared" si="0"/>
        <v>15</v>
      </c>
      <c r="P17" s="15">
        <f t="shared" si="1"/>
        <v>28</v>
      </c>
      <c r="R17" s="1" t="s">
        <v>13</v>
      </c>
      <c r="S17" s="17">
        <f t="shared" ref="S17:AF17" si="9">SUM(C38:C41)</f>
        <v>29</v>
      </c>
      <c r="T17" s="17">
        <f t="shared" si="9"/>
        <v>12</v>
      </c>
      <c r="U17" s="17">
        <f t="shared" si="9"/>
        <v>6</v>
      </c>
      <c r="V17" s="17">
        <f t="shared" si="9"/>
        <v>16</v>
      </c>
      <c r="W17" s="17">
        <f t="shared" si="9"/>
        <v>0</v>
      </c>
      <c r="X17" s="17">
        <f t="shared" si="9"/>
        <v>4</v>
      </c>
      <c r="Y17" s="17">
        <f t="shared" si="9"/>
        <v>7</v>
      </c>
      <c r="Z17" s="17">
        <f t="shared" si="9"/>
        <v>5</v>
      </c>
      <c r="AA17" s="17">
        <f t="shared" si="9"/>
        <v>3</v>
      </c>
      <c r="AB17" s="17">
        <f t="shared" si="9"/>
        <v>0</v>
      </c>
      <c r="AC17" s="17">
        <f t="shared" si="9"/>
        <v>34</v>
      </c>
      <c r="AD17" s="17">
        <f t="shared" si="9"/>
        <v>0</v>
      </c>
      <c r="AE17" s="31">
        <f t="shared" si="9"/>
        <v>82</v>
      </c>
      <c r="AF17" s="31">
        <f t="shared" si="9"/>
        <v>116</v>
      </c>
    </row>
    <row r="18" spans="2:32" ht="23.1" customHeight="1" x14ac:dyDescent="0.25">
      <c r="B18" s="45" t="s">
        <v>45</v>
      </c>
      <c r="C18" s="50">
        <v>6</v>
      </c>
      <c r="D18" s="50">
        <v>7</v>
      </c>
      <c r="E18" s="50">
        <v>2</v>
      </c>
      <c r="F18" s="50">
        <v>4</v>
      </c>
      <c r="G18" s="50">
        <v>1</v>
      </c>
      <c r="H18" s="50">
        <v>1</v>
      </c>
      <c r="I18" s="50">
        <v>2</v>
      </c>
      <c r="J18" s="50">
        <v>0</v>
      </c>
      <c r="K18" s="50">
        <v>1</v>
      </c>
      <c r="L18" s="50">
        <v>0</v>
      </c>
      <c r="M18" s="50">
        <v>10</v>
      </c>
      <c r="N18" s="50">
        <v>0</v>
      </c>
      <c r="O18" s="15">
        <f t="shared" si="0"/>
        <v>24</v>
      </c>
      <c r="P18" s="15">
        <f t="shared" si="1"/>
        <v>34</v>
      </c>
      <c r="R18" s="1" t="s">
        <v>14</v>
      </c>
      <c r="S18" s="17">
        <f t="shared" ref="S18:AF18" si="10">SUM(C42:C45)</f>
        <v>35</v>
      </c>
      <c r="T18" s="17">
        <f t="shared" si="10"/>
        <v>12</v>
      </c>
      <c r="U18" s="17">
        <f t="shared" si="10"/>
        <v>8</v>
      </c>
      <c r="V18" s="17">
        <f t="shared" si="10"/>
        <v>13</v>
      </c>
      <c r="W18" s="17">
        <f t="shared" si="10"/>
        <v>1</v>
      </c>
      <c r="X18" s="17">
        <f t="shared" si="10"/>
        <v>7</v>
      </c>
      <c r="Y18" s="17">
        <f t="shared" si="10"/>
        <v>7</v>
      </c>
      <c r="Z18" s="17">
        <f t="shared" si="10"/>
        <v>5</v>
      </c>
      <c r="AA18" s="17">
        <f t="shared" si="10"/>
        <v>8</v>
      </c>
      <c r="AB18" s="17">
        <f t="shared" si="10"/>
        <v>0</v>
      </c>
      <c r="AC18" s="17">
        <f t="shared" si="10"/>
        <v>36</v>
      </c>
      <c r="AD18" s="17">
        <f t="shared" si="10"/>
        <v>0</v>
      </c>
      <c r="AE18" s="31">
        <f t="shared" si="10"/>
        <v>96</v>
      </c>
      <c r="AF18" s="31">
        <f t="shared" si="10"/>
        <v>132</v>
      </c>
    </row>
    <row r="19" spans="2:32" ht="23.1" customHeight="1" x14ac:dyDescent="0.25">
      <c r="B19" s="45" t="s">
        <v>46</v>
      </c>
      <c r="C19" s="50">
        <v>7</v>
      </c>
      <c r="D19" s="50">
        <v>0</v>
      </c>
      <c r="E19" s="50">
        <v>1</v>
      </c>
      <c r="F19" s="50">
        <v>6</v>
      </c>
      <c r="G19" s="50">
        <v>0</v>
      </c>
      <c r="H19" s="50">
        <v>0</v>
      </c>
      <c r="I19" s="50">
        <v>1</v>
      </c>
      <c r="J19" s="50">
        <v>1</v>
      </c>
      <c r="K19" s="50">
        <v>1</v>
      </c>
      <c r="L19" s="50">
        <v>0</v>
      </c>
      <c r="M19" s="50">
        <v>16</v>
      </c>
      <c r="N19" s="50">
        <v>0</v>
      </c>
      <c r="O19" s="15">
        <f t="shared" si="0"/>
        <v>17</v>
      </c>
      <c r="P19" s="15">
        <f t="shared" si="1"/>
        <v>33</v>
      </c>
      <c r="R19" s="1" t="s">
        <v>15</v>
      </c>
      <c r="S19" s="17">
        <f t="shared" ref="S19:AF19" si="11">SUM(C46:C49)</f>
        <v>39</v>
      </c>
      <c r="T19" s="17">
        <f t="shared" si="11"/>
        <v>13</v>
      </c>
      <c r="U19" s="17">
        <f t="shared" si="11"/>
        <v>22</v>
      </c>
      <c r="V19" s="17">
        <f t="shared" si="11"/>
        <v>17</v>
      </c>
      <c r="W19" s="17">
        <f t="shared" si="11"/>
        <v>0</v>
      </c>
      <c r="X19" s="17">
        <f t="shared" si="11"/>
        <v>5</v>
      </c>
      <c r="Y19" s="17">
        <f t="shared" si="11"/>
        <v>10</v>
      </c>
      <c r="Z19" s="17">
        <f t="shared" si="11"/>
        <v>4</v>
      </c>
      <c r="AA19" s="17">
        <f t="shared" si="11"/>
        <v>11</v>
      </c>
      <c r="AB19" s="17">
        <f t="shared" si="11"/>
        <v>0</v>
      </c>
      <c r="AC19" s="17">
        <f t="shared" si="11"/>
        <v>44</v>
      </c>
      <c r="AD19" s="17">
        <f t="shared" si="11"/>
        <v>0</v>
      </c>
      <c r="AE19" s="31">
        <f t="shared" si="11"/>
        <v>121</v>
      </c>
      <c r="AF19" s="31">
        <f t="shared" si="11"/>
        <v>165</v>
      </c>
    </row>
    <row r="20" spans="2:32" ht="23.1" customHeight="1" x14ac:dyDescent="0.25">
      <c r="B20" s="45" t="s">
        <v>47</v>
      </c>
      <c r="C20" s="50">
        <v>10</v>
      </c>
      <c r="D20" s="50">
        <v>3</v>
      </c>
      <c r="E20" s="50">
        <v>1</v>
      </c>
      <c r="F20" s="50">
        <v>8</v>
      </c>
      <c r="G20" s="50">
        <v>0</v>
      </c>
      <c r="H20" s="50">
        <v>0</v>
      </c>
      <c r="I20" s="50">
        <v>2</v>
      </c>
      <c r="J20" s="50">
        <v>1</v>
      </c>
      <c r="K20" s="50">
        <v>3</v>
      </c>
      <c r="L20" s="50">
        <v>0</v>
      </c>
      <c r="M20" s="50">
        <v>5</v>
      </c>
      <c r="N20" s="50">
        <v>0</v>
      </c>
      <c r="O20" s="15">
        <f t="shared" si="0"/>
        <v>28</v>
      </c>
      <c r="P20" s="15">
        <f t="shared" si="1"/>
        <v>33</v>
      </c>
      <c r="R20" s="1" t="s">
        <v>16</v>
      </c>
      <c r="S20" s="17">
        <f t="shared" ref="S20:AF20" si="12">SUM(C50:C53)</f>
        <v>35</v>
      </c>
      <c r="T20" s="17">
        <f t="shared" si="12"/>
        <v>25</v>
      </c>
      <c r="U20" s="17">
        <f t="shared" si="12"/>
        <v>5</v>
      </c>
      <c r="V20" s="17">
        <f t="shared" si="12"/>
        <v>17</v>
      </c>
      <c r="W20" s="17">
        <f t="shared" si="12"/>
        <v>0</v>
      </c>
      <c r="X20" s="17">
        <f t="shared" si="12"/>
        <v>6</v>
      </c>
      <c r="Y20" s="17">
        <f t="shared" si="12"/>
        <v>8</v>
      </c>
      <c r="Z20" s="17">
        <f t="shared" si="12"/>
        <v>14</v>
      </c>
      <c r="AA20" s="17">
        <f t="shared" si="12"/>
        <v>12</v>
      </c>
      <c r="AB20" s="17">
        <f t="shared" si="12"/>
        <v>0</v>
      </c>
      <c r="AC20" s="17">
        <f t="shared" si="12"/>
        <v>46</v>
      </c>
      <c r="AD20" s="17">
        <f t="shared" si="12"/>
        <v>0</v>
      </c>
      <c r="AE20" s="31">
        <f t="shared" si="12"/>
        <v>122</v>
      </c>
      <c r="AF20" s="31">
        <f t="shared" si="12"/>
        <v>168</v>
      </c>
    </row>
    <row r="21" spans="2:32" ht="23.1" customHeight="1" x14ac:dyDescent="0.25">
      <c r="B21" s="45" t="s">
        <v>48</v>
      </c>
      <c r="C21" s="50">
        <v>10</v>
      </c>
      <c r="D21" s="50">
        <v>3</v>
      </c>
      <c r="E21" s="50">
        <v>3</v>
      </c>
      <c r="F21" s="50">
        <v>2</v>
      </c>
      <c r="G21" s="50">
        <v>0</v>
      </c>
      <c r="H21" s="50">
        <v>2</v>
      </c>
      <c r="I21" s="50">
        <v>0</v>
      </c>
      <c r="J21" s="50">
        <v>1</v>
      </c>
      <c r="K21" s="50">
        <v>2</v>
      </c>
      <c r="L21" s="50">
        <v>0</v>
      </c>
      <c r="M21" s="50">
        <v>7</v>
      </c>
      <c r="N21" s="50">
        <v>0</v>
      </c>
      <c r="O21" s="15">
        <f t="shared" si="0"/>
        <v>23</v>
      </c>
      <c r="P21" s="15">
        <f t="shared" si="1"/>
        <v>30</v>
      </c>
      <c r="R21" s="36" t="s">
        <v>20</v>
      </c>
      <c r="S21" s="34">
        <f t="shared" ref="S21:AF21" si="13">SUM(C54:C57)</f>
        <v>37</v>
      </c>
      <c r="T21" s="17">
        <f t="shared" si="13"/>
        <v>11</v>
      </c>
      <c r="U21" s="17">
        <f t="shared" si="13"/>
        <v>13</v>
      </c>
      <c r="V21" s="17">
        <f t="shared" si="13"/>
        <v>21</v>
      </c>
      <c r="W21" s="17">
        <f t="shared" si="13"/>
        <v>2</v>
      </c>
      <c r="X21" s="17">
        <f t="shared" si="13"/>
        <v>3</v>
      </c>
      <c r="Y21" s="17">
        <f t="shared" si="13"/>
        <v>10</v>
      </c>
      <c r="Z21" s="17">
        <f t="shared" si="13"/>
        <v>11</v>
      </c>
      <c r="AA21" s="17">
        <f t="shared" si="13"/>
        <v>15</v>
      </c>
      <c r="AB21" s="17">
        <f t="shared" si="13"/>
        <v>2</v>
      </c>
      <c r="AC21" s="17">
        <f t="shared" si="13"/>
        <v>40</v>
      </c>
      <c r="AD21" s="17">
        <f t="shared" si="13"/>
        <v>0</v>
      </c>
      <c r="AE21" s="31">
        <f t="shared" si="13"/>
        <v>125</v>
      </c>
      <c r="AF21" s="31">
        <f t="shared" si="13"/>
        <v>165</v>
      </c>
    </row>
    <row r="22" spans="2:32" ht="23.1" customHeight="1" x14ac:dyDescent="0.25">
      <c r="B22" s="45" t="s">
        <v>49</v>
      </c>
      <c r="C22" s="50">
        <v>9</v>
      </c>
      <c r="D22" s="50">
        <v>10</v>
      </c>
      <c r="E22" s="50">
        <v>4</v>
      </c>
      <c r="F22" s="50">
        <v>6</v>
      </c>
      <c r="G22" s="50">
        <v>2</v>
      </c>
      <c r="H22" s="50">
        <v>0</v>
      </c>
      <c r="I22" s="50">
        <v>7</v>
      </c>
      <c r="J22" s="50">
        <v>1</v>
      </c>
      <c r="K22" s="50">
        <v>2</v>
      </c>
      <c r="L22" s="50">
        <v>0</v>
      </c>
      <c r="M22" s="50">
        <v>9</v>
      </c>
      <c r="N22" s="50">
        <v>0</v>
      </c>
      <c r="O22" s="15">
        <f t="shared" si="0"/>
        <v>41</v>
      </c>
      <c r="P22" s="15">
        <f t="shared" si="1"/>
        <v>50</v>
      </c>
      <c r="R22" s="36" t="s">
        <v>146</v>
      </c>
      <c r="S22" s="34">
        <f>SUM(C58:C61)</f>
        <v>40</v>
      </c>
      <c r="T22" s="34">
        <f t="shared" ref="T22:AF22" si="14">SUM(D58:D61)</f>
        <v>16</v>
      </c>
      <c r="U22" s="34">
        <f t="shared" si="14"/>
        <v>9</v>
      </c>
      <c r="V22" s="34">
        <f t="shared" si="14"/>
        <v>20</v>
      </c>
      <c r="W22" s="34">
        <f t="shared" si="14"/>
        <v>2</v>
      </c>
      <c r="X22" s="34">
        <f t="shared" si="14"/>
        <v>4</v>
      </c>
      <c r="Y22" s="34">
        <f t="shared" si="14"/>
        <v>10</v>
      </c>
      <c r="Z22" s="34">
        <f t="shared" si="14"/>
        <v>9</v>
      </c>
      <c r="AA22" s="34">
        <f t="shared" si="14"/>
        <v>14</v>
      </c>
      <c r="AB22" s="34">
        <f t="shared" si="14"/>
        <v>0</v>
      </c>
      <c r="AC22" s="34">
        <f t="shared" si="14"/>
        <v>56</v>
      </c>
      <c r="AD22" s="34">
        <f t="shared" si="14"/>
        <v>0</v>
      </c>
      <c r="AE22" s="31">
        <f t="shared" si="14"/>
        <v>124</v>
      </c>
      <c r="AF22" s="31">
        <f t="shared" si="14"/>
        <v>180</v>
      </c>
    </row>
    <row r="23" spans="2:32" ht="23.1" customHeight="1" x14ac:dyDescent="0.25">
      <c r="B23" s="45" t="s">
        <v>50</v>
      </c>
      <c r="C23" s="50">
        <v>11</v>
      </c>
      <c r="D23" s="50">
        <v>12</v>
      </c>
      <c r="E23" s="50">
        <v>4</v>
      </c>
      <c r="F23" s="50">
        <v>6</v>
      </c>
      <c r="G23" s="50">
        <v>0</v>
      </c>
      <c r="H23" s="50">
        <v>4</v>
      </c>
      <c r="I23" s="50">
        <v>2</v>
      </c>
      <c r="J23" s="50">
        <v>3</v>
      </c>
      <c r="K23" s="50">
        <v>2</v>
      </c>
      <c r="L23" s="50">
        <v>0</v>
      </c>
      <c r="M23" s="50">
        <v>9</v>
      </c>
      <c r="N23" s="50">
        <v>0</v>
      </c>
      <c r="O23" s="15">
        <f t="shared" si="0"/>
        <v>44</v>
      </c>
      <c r="P23" s="15">
        <f t="shared" si="1"/>
        <v>53</v>
      </c>
      <c r="R23" s="36" t="s">
        <v>147</v>
      </c>
      <c r="S23" s="34">
        <f>SUM(C62:C65)</f>
        <v>34</v>
      </c>
      <c r="T23" s="34">
        <f t="shared" ref="T23:AF23" si="15">SUM(D62:D65)</f>
        <v>13</v>
      </c>
      <c r="U23" s="34">
        <f t="shared" si="15"/>
        <v>7</v>
      </c>
      <c r="V23" s="34">
        <f t="shared" si="15"/>
        <v>22</v>
      </c>
      <c r="W23" s="34">
        <f t="shared" si="15"/>
        <v>2</v>
      </c>
      <c r="X23" s="34">
        <f t="shared" si="15"/>
        <v>4</v>
      </c>
      <c r="Y23" s="34">
        <f t="shared" si="15"/>
        <v>7</v>
      </c>
      <c r="Z23" s="34">
        <f t="shared" si="15"/>
        <v>22</v>
      </c>
      <c r="AA23" s="34">
        <f t="shared" si="15"/>
        <v>12</v>
      </c>
      <c r="AB23" s="34">
        <f t="shared" si="15"/>
        <v>0</v>
      </c>
      <c r="AC23" s="34">
        <f t="shared" si="15"/>
        <v>39</v>
      </c>
      <c r="AD23" s="34">
        <f t="shared" si="15"/>
        <v>0</v>
      </c>
      <c r="AE23" s="31">
        <f t="shared" si="15"/>
        <v>123</v>
      </c>
      <c r="AF23" s="31">
        <f t="shared" si="15"/>
        <v>162</v>
      </c>
    </row>
    <row r="24" spans="2:32" ht="23.1" customHeight="1" x14ac:dyDescent="0.25">
      <c r="B24" s="45" t="s">
        <v>51</v>
      </c>
      <c r="C24" s="50">
        <v>8</v>
      </c>
      <c r="D24" s="50">
        <v>4</v>
      </c>
      <c r="E24" s="50">
        <v>1</v>
      </c>
      <c r="F24" s="50">
        <v>3</v>
      </c>
      <c r="G24" s="50">
        <v>0</v>
      </c>
      <c r="H24" s="50">
        <v>0</v>
      </c>
      <c r="I24" s="50">
        <v>0</v>
      </c>
      <c r="J24" s="50">
        <v>2</v>
      </c>
      <c r="K24" s="50">
        <v>0</v>
      </c>
      <c r="L24" s="50">
        <v>0</v>
      </c>
      <c r="M24" s="50">
        <v>6</v>
      </c>
      <c r="N24" s="50">
        <v>0</v>
      </c>
      <c r="O24" s="15">
        <f t="shared" si="0"/>
        <v>18</v>
      </c>
      <c r="P24" s="15">
        <f t="shared" si="1"/>
        <v>24</v>
      </c>
      <c r="R24" s="36" t="s">
        <v>148</v>
      </c>
      <c r="S24" s="34">
        <f>SUM(C66:C69)</f>
        <v>30</v>
      </c>
      <c r="T24" s="34">
        <f t="shared" ref="T24:AF24" si="16">SUM(D66:D69)</f>
        <v>20</v>
      </c>
      <c r="U24" s="34">
        <f t="shared" si="16"/>
        <v>9</v>
      </c>
      <c r="V24" s="34">
        <f t="shared" si="16"/>
        <v>12</v>
      </c>
      <c r="W24" s="34">
        <f t="shared" si="16"/>
        <v>3</v>
      </c>
      <c r="X24" s="34">
        <f t="shared" si="16"/>
        <v>5</v>
      </c>
      <c r="Y24" s="34">
        <f t="shared" si="16"/>
        <v>7</v>
      </c>
      <c r="Z24" s="34">
        <f t="shared" si="16"/>
        <v>18</v>
      </c>
      <c r="AA24" s="34">
        <f t="shared" si="16"/>
        <v>12</v>
      </c>
      <c r="AB24" s="34">
        <f t="shared" si="16"/>
        <v>0</v>
      </c>
      <c r="AC24" s="34">
        <f t="shared" si="16"/>
        <v>22</v>
      </c>
      <c r="AD24" s="34">
        <f t="shared" si="16"/>
        <v>0</v>
      </c>
      <c r="AE24" s="31">
        <f t="shared" si="16"/>
        <v>116</v>
      </c>
      <c r="AF24" s="31">
        <f t="shared" si="16"/>
        <v>138</v>
      </c>
    </row>
    <row r="25" spans="2:32" ht="23.1" customHeight="1" x14ac:dyDescent="0.25">
      <c r="B25" s="45" t="s">
        <v>52</v>
      </c>
      <c r="C25" s="50">
        <v>4</v>
      </c>
      <c r="D25" s="50">
        <v>2</v>
      </c>
      <c r="E25" s="50">
        <v>4</v>
      </c>
      <c r="F25" s="50">
        <v>5</v>
      </c>
      <c r="G25" s="50">
        <v>0</v>
      </c>
      <c r="H25" s="50">
        <v>2</v>
      </c>
      <c r="I25" s="50">
        <v>0</v>
      </c>
      <c r="J25" s="50">
        <v>0</v>
      </c>
      <c r="K25" s="50">
        <v>5</v>
      </c>
      <c r="L25" s="50">
        <v>0</v>
      </c>
      <c r="M25" s="50">
        <v>8</v>
      </c>
      <c r="N25" s="50">
        <v>0</v>
      </c>
      <c r="O25" s="15">
        <f t="shared" si="0"/>
        <v>22</v>
      </c>
      <c r="P25" s="15">
        <f t="shared" si="1"/>
        <v>30</v>
      </c>
      <c r="R25" s="36" t="s">
        <v>149</v>
      </c>
      <c r="S25" s="34">
        <f>SUM(C70:C73)</f>
        <v>26</v>
      </c>
      <c r="T25" s="34">
        <f t="shared" ref="T25:AF25" si="17">SUM(D70:D73)</f>
        <v>6</v>
      </c>
      <c r="U25" s="34">
        <f t="shared" si="17"/>
        <v>3</v>
      </c>
      <c r="V25" s="34">
        <f t="shared" si="17"/>
        <v>5</v>
      </c>
      <c r="W25" s="34">
        <f t="shared" si="17"/>
        <v>2</v>
      </c>
      <c r="X25" s="34">
        <f t="shared" si="17"/>
        <v>2</v>
      </c>
      <c r="Y25" s="34">
        <f t="shared" si="17"/>
        <v>2</v>
      </c>
      <c r="Z25" s="34">
        <f t="shared" si="17"/>
        <v>20</v>
      </c>
      <c r="AA25" s="34">
        <f t="shared" si="17"/>
        <v>14</v>
      </c>
      <c r="AB25" s="34">
        <f t="shared" si="17"/>
        <v>0</v>
      </c>
      <c r="AC25" s="34">
        <f t="shared" si="17"/>
        <v>24</v>
      </c>
      <c r="AD25" s="34">
        <f t="shared" si="17"/>
        <v>0</v>
      </c>
      <c r="AE25" s="31">
        <f t="shared" si="17"/>
        <v>80</v>
      </c>
      <c r="AF25" s="31">
        <f t="shared" si="17"/>
        <v>104</v>
      </c>
    </row>
    <row r="26" spans="2:32" ht="23.1" customHeight="1" x14ac:dyDescent="0.25">
      <c r="B26" s="45" t="s">
        <v>53</v>
      </c>
      <c r="C26" s="50">
        <v>12</v>
      </c>
      <c r="D26" s="50">
        <v>5</v>
      </c>
      <c r="E26" s="50">
        <v>4</v>
      </c>
      <c r="F26" s="50">
        <v>2</v>
      </c>
      <c r="G26" s="50">
        <v>0</v>
      </c>
      <c r="H26" s="50">
        <v>1</v>
      </c>
      <c r="I26" s="50">
        <v>1</v>
      </c>
      <c r="J26" s="50">
        <v>1</v>
      </c>
      <c r="K26" s="50">
        <v>2</v>
      </c>
      <c r="L26" s="50">
        <v>0</v>
      </c>
      <c r="M26" s="50">
        <v>12</v>
      </c>
      <c r="N26" s="50">
        <v>0</v>
      </c>
      <c r="O26" s="15">
        <f t="shared" si="0"/>
        <v>28</v>
      </c>
      <c r="P26" s="15">
        <f t="shared" si="1"/>
        <v>40</v>
      </c>
      <c r="R26" s="36" t="s">
        <v>150</v>
      </c>
      <c r="S26" s="34">
        <f>SUM(C74:C77)</f>
        <v>22</v>
      </c>
      <c r="T26" s="34">
        <f t="shared" ref="T26:AF26" si="18">SUM(D74:D77)</f>
        <v>3</v>
      </c>
      <c r="U26" s="34">
        <f t="shared" si="18"/>
        <v>1</v>
      </c>
      <c r="V26" s="34">
        <f t="shared" si="18"/>
        <v>3</v>
      </c>
      <c r="W26" s="34">
        <f t="shared" si="18"/>
        <v>1</v>
      </c>
      <c r="X26" s="34">
        <f t="shared" si="18"/>
        <v>1</v>
      </c>
      <c r="Y26" s="34">
        <f t="shared" si="18"/>
        <v>3</v>
      </c>
      <c r="Z26" s="34">
        <f t="shared" si="18"/>
        <v>18</v>
      </c>
      <c r="AA26" s="34">
        <f t="shared" si="18"/>
        <v>9</v>
      </c>
      <c r="AB26" s="34">
        <f t="shared" si="18"/>
        <v>1</v>
      </c>
      <c r="AC26" s="34">
        <f t="shared" si="18"/>
        <v>6</v>
      </c>
      <c r="AD26" s="34">
        <f t="shared" si="18"/>
        <v>0</v>
      </c>
      <c r="AE26" s="31">
        <f t="shared" si="18"/>
        <v>62</v>
      </c>
      <c r="AF26" s="31">
        <f t="shared" si="18"/>
        <v>68</v>
      </c>
    </row>
    <row r="27" spans="2:32" ht="23.1" customHeight="1" x14ac:dyDescent="0.25">
      <c r="B27" s="45" t="s">
        <v>54</v>
      </c>
      <c r="C27" s="50">
        <v>10</v>
      </c>
      <c r="D27" s="50">
        <v>5</v>
      </c>
      <c r="E27" s="50">
        <v>1</v>
      </c>
      <c r="F27" s="50">
        <v>5</v>
      </c>
      <c r="G27" s="50">
        <v>1</v>
      </c>
      <c r="H27" s="50">
        <v>0</v>
      </c>
      <c r="I27" s="50">
        <v>0</v>
      </c>
      <c r="J27" s="50">
        <v>2</v>
      </c>
      <c r="K27" s="50">
        <v>2</v>
      </c>
      <c r="L27" s="50">
        <v>0</v>
      </c>
      <c r="M27" s="50">
        <v>9</v>
      </c>
      <c r="N27" s="50">
        <v>0</v>
      </c>
      <c r="O27" s="15">
        <f t="shared" si="0"/>
        <v>26</v>
      </c>
      <c r="P27" s="15">
        <f t="shared" si="1"/>
        <v>35</v>
      </c>
      <c r="R27" s="36" t="s">
        <v>151</v>
      </c>
      <c r="S27" s="34">
        <f>SUM(C78:C81)</f>
        <v>10</v>
      </c>
      <c r="T27" s="34">
        <f t="shared" ref="T27:AF27" si="19">SUM(D78:D81)</f>
        <v>6</v>
      </c>
      <c r="U27" s="34">
        <f t="shared" si="19"/>
        <v>3</v>
      </c>
      <c r="V27" s="34">
        <f t="shared" si="19"/>
        <v>2</v>
      </c>
      <c r="W27" s="34">
        <f t="shared" si="19"/>
        <v>1</v>
      </c>
      <c r="X27" s="34">
        <f t="shared" si="19"/>
        <v>6</v>
      </c>
      <c r="Y27" s="34">
        <f t="shared" si="19"/>
        <v>6</v>
      </c>
      <c r="Z27" s="34">
        <f t="shared" si="19"/>
        <v>14</v>
      </c>
      <c r="AA27" s="34">
        <f t="shared" si="19"/>
        <v>7</v>
      </c>
      <c r="AB27" s="34">
        <f t="shared" si="19"/>
        <v>2</v>
      </c>
      <c r="AC27" s="34">
        <f t="shared" si="19"/>
        <v>0</v>
      </c>
      <c r="AD27" s="34">
        <f t="shared" si="19"/>
        <v>0</v>
      </c>
      <c r="AE27" s="31">
        <f t="shared" si="19"/>
        <v>57</v>
      </c>
      <c r="AF27" s="31">
        <f t="shared" si="19"/>
        <v>57</v>
      </c>
    </row>
    <row r="28" spans="2:32" ht="23.1" customHeight="1" x14ac:dyDescent="0.25">
      <c r="B28" s="45" t="s">
        <v>55</v>
      </c>
      <c r="C28" s="50">
        <v>8</v>
      </c>
      <c r="D28" s="50">
        <v>2</v>
      </c>
      <c r="E28" s="50">
        <v>1</v>
      </c>
      <c r="F28" s="50">
        <v>5</v>
      </c>
      <c r="G28" s="50">
        <v>0</v>
      </c>
      <c r="H28" s="50">
        <v>3</v>
      </c>
      <c r="I28" s="50">
        <v>1</v>
      </c>
      <c r="J28" s="50">
        <v>3</v>
      </c>
      <c r="K28" s="50">
        <v>3</v>
      </c>
      <c r="L28" s="50">
        <v>0</v>
      </c>
      <c r="M28" s="50">
        <v>6</v>
      </c>
      <c r="N28" s="50">
        <v>0</v>
      </c>
      <c r="O28" s="15">
        <f t="shared" si="0"/>
        <v>26</v>
      </c>
      <c r="P28" s="15">
        <f t="shared" si="1"/>
        <v>32</v>
      </c>
      <c r="R28" s="36" t="s">
        <v>152</v>
      </c>
      <c r="S28" s="34">
        <f>SUM(C82:C85)</f>
        <v>10</v>
      </c>
      <c r="T28" s="34">
        <f t="shared" ref="T28:AF28" si="20">SUM(D82:D85)</f>
        <v>5</v>
      </c>
      <c r="U28" s="34">
        <f t="shared" si="20"/>
        <v>1</v>
      </c>
      <c r="V28" s="34">
        <f t="shared" si="20"/>
        <v>1</v>
      </c>
      <c r="W28" s="34">
        <f t="shared" si="20"/>
        <v>0</v>
      </c>
      <c r="X28" s="34">
        <f t="shared" si="20"/>
        <v>8</v>
      </c>
      <c r="Y28" s="34">
        <f t="shared" si="20"/>
        <v>2</v>
      </c>
      <c r="Z28" s="34">
        <f t="shared" si="20"/>
        <v>18</v>
      </c>
      <c r="AA28" s="34">
        <f t="shared" si="20"/>
        <v>4</v>
      </c>
      <c r="AB28" s="34">
        <f t="shared" si="20"/>
        <v>4</v>
      </c>
      <c r="AC28" s="34">
        <f t="shared" si="20"/>
        <v>3</v>
      </c>
      <c r="AD28" s="34">
        <f t="shared" si="20"/>
        <v>0</v>
      </c>
      <c r="AE28" s="31">
        <f t="shared" si="20"/>
        <v>53</v>
      </c>
      <c r="AF28" s="31">
        <f t="shared" si="20"/>
        <v>56</v>
      </c>
    </row>
    <row r="29" spans="2:32" ht="23.1" customHeight="1" x14ac:dyDescent="0.25">
      <c r="B29" s="45" t="s">
        <v>56</v>
      </c>
      <c r="C29" s="50">
        <v>12</v>
      </c>
      <c r="D29" s="50">
        <v>3</v>
      </c>
      <c r="E29" s="50">
        <v>3</v>
      </c>
      <c r="F29" s="50">
        <v>12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0</v>
      </c>
      <c r="M29" s="50">
        <v>13</v>
      </c>
      <c r="N29" s="50">
        <v>0</v>
      </c>
      <c r="O29" s="15">
        <f t="shared" si="0"/>
        <v>32</v>
      </c>
      <c r="P29" s="15">
        <f t="shared" si="1"/>
        <v>45</v>
      </c>
      <c r="R29" s="36" t="s">
        <v>153</v>
      </c>
      <c r="S29" s="34">
        <f>SUM(C86:C89)</f>
        <v>11</v>
      </c>
      <c r="T29" s="34">
        <f t="shared" ref="T29:AF29" si="21">SUM(D86:D89)</f>
        <v>3</v>
      </c>
      <c r="U29" s="34">
        <f t="shared" si="21"/>
        <v>3</v>
      </c>
      <c r="V29" s="34">
        <f t="shared" si="21"/>
        <v>0</v>
      </c>
      <c r="W29" s="34">
        <f t="shared" si="21"/>
        <v>5</v>
      </c>
      <c r="X29" s="34">
        <f t="shared" si="21"/>
        <v>3</v>
      </c>
      <c r="Y29" s="34">
        <f t="shared" si="21"/>
        <v>17</v>
      </c>
      <c r="Z29" s="34">
        <f t="shared" si="21"/>
        <v>8</v>
      </c>
      <c r="AA29" s="34">
        <f t="shared" si="21"/>
        <v>0</v>
      </c>
      <c r="AB29" s="34">
        <f t="shared" si="21"/>
        <v>1</v>
      </c>
      <c r="AC29" s="34">
        <f t="shared" si="21"/>
        <v>3</v>
      </c>
      <c r="AD29" s="34">
        <f t="shared" si="21"/>
        <v>0</v>
      </c>
      <c r="AE29" s="31">
        <f t="shared" si="21"/>
        <v>51</v>
      </c>
      <c r="AF29" s="31">
        <f t="shared" si="21"/>
        <v>54</v>
      </c>
    </row>
    <row r="30" spans="2:32" ht="23.1" customHeight="1" x14ac:dyDescent="0.25">
      <c r="B30" s="45" t="s">
        <v>57</v>
      </c>
      <c r="C30" s="50">
        <v>14</v>
      </c>
      <c r="D30" s="50">
        <v>12</v>
      </c>
      <c r="E30" s="50">
        <v>3</v>
      </c>
      <c r="F30" s="50">
        <v>4</v>
      </c>
      <c r="G30" s="50">
        <v>0</v>
      </c>
      <c r="H30" s="50">
        <v>1</v>
      </c>
      <c r="I30" s="50">
        <v>0</v>
      </c>
      <c r="J30" s="50">
        <v>1</v>
      </c>
      <c r="K30" s="50">
        <v>3</v>
      </c>
      <c r="L30" s="50">
        <v>0</v>
      </c>
      <c r="M30" s="50">
        <v>10</v>
      </c>
      <c r="N30" s="50">
        <v>0</v>
      </c>
      <c r="O30" s="15">
        <f t="shared" si="0"/>
        <v>38</v>
      </c>
      <c r="P30" s="15">
        <f t="shared" si="1"/>
        <v>48</v>
      </c>
      <c r="R30" s="36" t="s">
        <v>154</v>
      </c>
      <c r="S30" s="34">
        <f>SUM(C90:C93)</f>
        <v>16</v>
      </c>
      <c r="T30" s="34">
        <f t="shared" ref="T30:AF30" si="22">SUM(D90:D93)</f>
        <v>5</v>
      </c>
      <c r="U30" s="34">
        <f t="shared" si="22"/>
        <v>0</v>
      </c>
      <c r="V30" s="34">
        <f t="shared" si="22"/>
        <v>3</v>
      </c>
      <c r="W30" s="34">
        <f t="shared" si="22"/>
        <v>0</v>
      </c>
      <c r="X30" s="34">
        <f t="shared" si="22"/>
        <v>7</v>
      </c>
      <c r="Y30" s="34">
        <f t="shared" si="22"/>
        <v>0</v>
      </c>
      <c r="Z30" s="34">
        <f t="shared" si="22"/>
        <v>18</v>
      </c>
      <c r="AA30" s="34">
        <f t="shared" si="22"/>
        <v>2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51</v>
      </c>
      <c r="AF30" s="31">
        <f t="shared" si="22"/>
        <v>51</v>
      </c>
    </row>
    <row r="31" spans="2:32" ht="23.1" customHeight="1" x14ac:dyDescent="0.25">
      <c r="B31" s="46" t="s">
        <v>58</v>
      </c>
      <c r="C31" s="50">
        <v>5</v>
      </c>
      <c r="D31" s="50">
        <v>3</v>
      </c>
      <c r="E31" s="50">
        <v>4</v>
      </c>
      <c r="F31" s="50">
        <v>10</v>
      </c>
      <c r="G31" s="50">
        <v>0</v>
      </c>
      <c r="H31" s="50">
        <v>1</v>
      </c>
      <c r="I31" s="50">
        <v>1</v>
      </c>
      <c r="J31" s="50">
        <v>1</v>
      </c>
      <c r="K31" s="50">
        <v>3</v>
      </c>
      <c r="L31" s="50">
        <v>0</v>
      </c>
      <c r="M31" s="50">
        <v>16</v>
      </c>
      <c r="N31" s="50">
        <v>0</v>
      </c>
      <c r="O31" s="15">
        <f t="shared" si="0"/>
        <v>28</v>
      </c>
      <c r="P31" s="15">
        <f t="shared" si="1"/>
        <v>44</v>
      </c>
      <c r="R31" s="36" t="s">
        <v>155</v>
      </c>
      <c r="S31" s="34">
        <f>SUM(C94:C97)</f>
        <v>18</v>
      </c>
      <c r="T31" s="34">
        <f t="shared" ref="T31:AF31" si="23">SUM(D94:D97)</f>
        <v>4</v>
      </c>
      <c r="U31" s="34">
        <f t="shared" si="23"/>
        <v>5</v>
      </c>
      <c r="V31" s="34">
        <f t="shared" si="23"/>
        <v>6</v>
      </c>
      <c r="W31" s="34">
        <f t="shared" si="23"/>
        <v>6</v>
      </c>
      <c r="X31" s="34">
        <f t="shared" si="23"/>
        <v>6</v>
      </c>
      <c r="Y31" s="34">
        <f t="shared" si="23"/>
        <v>3</v>
      </c>
      <c r="Z31" s="34">
        <f t="shared" si="23"/>
        <v>3</v>
      </c>
      <c r="AA31" s="34">
        <f t="shared" si="23"/>
        <v>7</v>
      </c>
      <c r="AB31" s="34">
        <f t="shared" si="23"/>
        <v>0</v>
      </c>
      <c r="AC31" s="34">
        <f t="shared" si="23"/>
        <v>11</v>
      </c>
      <c r="AD31" s="34">
        <f t="shared" si="23"/>
        <v>0</v>
      </c>
      <c r="AE31" s="31">
        <f t="shared" si="23"/>
        <v>58</v>
      </c>
      <c r="AF31" s="31">
        <f t="shared" si="23"/>
        <v>69</v>
      </c>
    </row>
    <row r="32" spans="2:32" ht="23.1" customHeight="1" x14ac:dyDescent="0.25">
      <c r="B32" s="46" t="s">
        <v>59</v>
      </c>
      <c r="C32" s="50">
        <v>13</v>
      </c>
      <c r="D32" s="50">
        <v>3</v>
      </c>
      <c r="E32" s="50">
        <v>3</v>
      </c>
      <c r="F32" s="50">
        <v>5</v>
      </c>
      <c r="G32" s="50">
        <v>0</v>
      </c>
      <c r="H32" s="50">
        <v>1</v>
      </c>
      <c r="I32" s="50">
        <v>3</v>
      </c>
      <c r="J32" s="50">
        <v>4</v>
      </c>
      <c r="K32" s="50">
        <v>1</v>
      </c>
      <c r="L32" s="50">
        <v>1</v>
      </c>
      <c r="M32" s="50">
        <v>12</v>
      </c>
      <c r="N32" s="50">
        <v>0</v>
      </c>
      <c r="O32" s="15">
        <f t="shared" si="0"/>
        <v>34</v>
      </c>
      <c r="P32" s="15">
        <f t="shared" si="1"/>
        <v>46</v>
      </c>
      <c r="R32" s="33" t="s">
        <v>156</v>
      </c>
      <c r="S32" s="34">
        <f>SUM(C98:C101)</f>
        <v>3</v>
      </c>
      <c r="T32" s="34">
        <f t="shared" ref="T32:AF32" si="24">SUM(D98:D101)</f>
        <v>4</v>
      </c>
      <c r="U32" s="34">
        <f t="shared" si="24"/>
        <v>2</v>
      </c>
      <c r="V32" s="34">
        <f t="shared" si="24"/>
        <v>10</v>
      </c>
      <c r="W32" s="34">
        <f t="shared" si="24"/>
        <v>1</v>
      </c>
      <c r="X32" s="34">
        <f t="shared" si="24"/>
        <v>5</v>
      </c>
      <c r="Y32" s="34">
        <f t="shared" si="24"/>
        <v>1</v>
      </c>
      <c r="Z32" s="34">
        <f t="shared" si="24"/>
        <v>6</v>
      </c>
      <c r="AA32" s="34">
        <f t="shared" si="24"/>
        <v>7</v>
      </c>
      <c r="AB32" s="34">
        <f t="shared" si="24"/>
        <v>0</v>
      </c>
      <c r="AC32" s="34">
        <f t="shared" si="24"/>
        <v>11</v>
      </c>
      <c r="AD32" s="34">
        <f t="shared" si="24"/>
        <v>0</v>
      </c>
      <c r="AE32" s="31">
        <f t="shared" si="24"/>
        <v>39</v>
      </c>
      <c r="AF32" s="31">
        <f t="shared" si="24"/>
        <v>50</v>
      </c>
    </row>
    <row r="33" spans="2:32" ht="23.1" customHeight="1" x14ac:dyDescent="0.25">
      <c r="B33" s="45" t="s">
        <v>60</v>
      </c>
      <c r="C33" s="50">
        <v>13</v>
      </c>
      <c r="D33" s="50">
        <v>0</v>
      </c>
      <c r="E33" s="50">
        <v>3</v>
      </c>
      <c r="F33" s="50">
        <v>2</v>
      </c>
      <c r="G33" s="50">
        <v>0</v>
      </c>
      <c r="H33" s="50">
        <v>1</v>
      </c>
      <c r="I33" s="50">
        <v>1</v>
      </c>
      <c r="J33" s="50">
        <v>3</v>
      </c>
      <c r="K33" s="50">
        <v>2</v>
      </c>
      <c r="L33" s="50">
        <v>1</v>
      </c>
      <c r="M33" s="50">
        <v>8</v>
      </c>
      <c r="N33" s="50">
        <v>0</v>
      </c>
      <c r="O33" s="15">
        <f t="shared" si="0"/>
        <v>26</v>
      </c>
      <c r="P33" s="15">
        <f t="shared" si="1"/>
        <v>34</v>
      </c>
      <c r="R33" s="33" t="s">
        <v>157</v>
      </c>
      <c r="S33" s="34">
        <f>SUM(C102:C105)</f>
        <v>14</v>
      </c>
      <c r="T33" s="34">
        <f t="shared" ref="T33:AF33" si="25">SUM(D102:D105)</f>
        <v>1</v>
      </c>
      <c r="U33" s="34">
        <f t="shared" si="25"/>
        <v>1</v>
      </c>
      <c r="V33" s="34">
        <f t="shared" si="25"/>
        <v>12</v>
      </c>
      <c r="W33" s="34">
        <f t="shared" si="25"/>
        <v>0</v>
      </c>
      <c r="X33" s="34">
        <f t="shared" si="25"/>
        <v>1</v>
      </c>
      <c r="Y33" s="34">
        <f t="shared" si="25"/>
        <v>2</v>
      </c>
      <c r="Z33" s="34">
        <f t="shared" si="25"/>
        <v>7</v>
      </c>
      <c r="AA33" s="34">
        <f t="shared" si="25"/>
        <v>11</v>
      </c>
      <c r="AB33" s="34">
        <f t="shared" si="25"/>
        <v>0</v>
      </c>
      <c r="AC33" s="34">
        <f t="shared" si="25"/>
        <v>23</v>
      </c>
      <c r="AD33" s="34">
        <f t="shared" si="25"/>
        <v>0</v>
      </c>
      <c r="AE33" s="31">
        <f t="shared" si="25"/>
        <v>49</v>
      </c>
      <c r="AF33" s="31">
        <f t="shared" si="25"/>
        <v>72</v>
      </c>
    </row>
    <row r="34" spans="2:32" ht="23.1" customHeight="1" x14ac:dyDescent="0.25">
      <c r="B34" s="46" t="s">
        <v>61</v>
      </c>
      <c r="C34" s="50">
        <v>10</v>
      </c>
      <c r="D34" s="50">
        <v>7</v>
      </c>
      <c r="E34" s="50">
        <v>3</v>
      </c>
      <c r="F34" s="50">
        <v>7</v>
      </c>
      <c r="G34" s="50">
        <v>0</v>
      </c>
      <c r="H34" s="50">
        <v>1</v>
      </c>
      <c r="I34" s="50">
        <v>3</v>
      </c>
      <c r="J34" s="50">
        <v>1</v>
      </c>
      <c r="K34" s="50">
        <v>2</v>
      </c>
      <c r="L34" s="50">
        <v>0</v>
      </c>
      <c r="M34" s="50">
        <v>16</v>
      </c>
      <c r="N34" s="50">
        <v>0</v>
      </c>
      <c r="O34" s="15">
        <f t="shared" si="0"/>
        <v>34</v>
      </c>
      <c r="P34" s="15">
        <f t="shared" si="1"/>
        <v>50</v>
      </c>
      <c r="R34" s="38" t="s">
        <v>90</v>
      </c>
      <c r="S34" s="39">
        <f t="shared" ref="S34:AF34" si="26">MAX(S10:S12)</f>
        <v>33</v>
      </c>
      <c r="T34" s="39">
        <f t="shared" si="26"/>
        <v>13</v>
      </c>
      <c r="U34" s="39">
        <f t="shared" si="26"/>
        <v>7</v>
      </c>
      <c r="V34" s="39">
        <f t="shared" si="26"/>
        <v>20</v>
      </c>
      <c r="W34" s="39">
        <f t="shared" si="26"/>
        <v>2</v>
      </c>
      <c r="X34" s="39">
        <f t="shared" si="26"/>
        <v>3</v>
      </c>
      <c r="Y34" s="39">
        <f t="shared" si="26"/>
        <v>5</v>
      </c>
      <c r="Z34" s="39">
        <f t="shared" si="26"/>
        <v>3</v>
      </c>
      <c r="AA34" s="39">
        <f t="shared" si="26"/>
        <v>7</v>
      </c>
      <c r="AB34" s="39">
        <f t="shared" si="26"/>
        <v>3</v>
      </c>
      <c r="AC34" s="39">
        <f t="shared" si="26"/>
        <v>38</v>
      </c>
      <c r="AD34" s="39">
        <f t="shared" si="26"/>
        <v>0</v>
      </c>
      <c r="AE34" s="40">
        <f t="shared" si="26"/>
        <v>92</v>
      </c>
      <c r="AF34" s="40">
        <f t="shared" si="26"/>
        <v>130</v>
      </c>
    </row>
    <row r="35" spans="2:32" ht="23.1" customHeight="1" x14ac:dyDescent="0.25">
      <c r="B35" s="46" t="s">
        <v>62</v>
      </c>
      <c r="C35" s="50">
        <v>7</v>
      </c>
      <c r="D35" s="50">
        <v>2</v>
      </c>
      <c r="E35" s="50">
        <v>1</v>
      </c>
      <c r="F35" s="50">
        <v>1</v>
      </c>
      <c r="G35" s="50">
        <v>0</v>
      </c>
      <c r="H35" s="50">
        <v>2</v>
      </c>
      <c r="I35" s="50">
        <v>2</v>
      </c>
      <c r="J35" s="50">
        <v>0</v>
      </c>
      <c r="K35" s="50">
        <v>0</v>
      </c>
      <c r="L35" s="50">
        <v>0</v>
      </c>
      <c r="M35" s="50">
        <v>17</v>
      </c>
      <c r="N35" s="50">
        <v>0</v>
      </c>
      <c r="O35" s="15">
        <f t="shared" si="0"/>
        <v>15</v>
      </c>
      <c r="P35" s="15">
        <f t="shared" si="1"/>
        <v>32</v>
      </c>
      <c r="R35" s="38" t="s">
        <v>91</v>
      </c>
      <c r="S35" s="39">
        <f t="shared" ref="S35:AF35" si="27">MAX(S13:S18)</f>
        <v>45</v>
      </c>
      <c r="T35" s="39">
        <f t="shared" si="27"/>
        <v>28</v>
      </c>
      <c r="U35" s="39">
        <f t="shared" si="27"/>
        <v>13</v>
      </c>
      <c r="V35" s="39">
        <f t="shared" si="27"/>
        <v>24</v>
      </c>
      <c r="W35" s="39">
        <f t="shared" si="27"/>
        <v>2</v>
      </c>
      <c r="X35" s="39">
        <f t="shared" si="27"/>
        <v>7</v>
      </c>
      <c r="Y35" s="39">
        <f t="shared" si="27"/>
        <v>9</v>
      </c>
      <c r="Z35" s="39">
        <f t="shared" si="27"/>
        <v>9</v>
      </c>
      <c r="AA35" s="39">
        <f t="shared" si="27"/>
        <v>9</v>
      </c>
      <c r="AB35" s="39">
        <f t="shared" si="27"/>
        <v>2</v>
      </c>
      <c r="AC35" s="39">
        <f t="shared" si="27"/>
        <v>52</v>
      </c>
      <c r="AD35" s="39">
        <f t="shared" si="27"/>
        <v>0</v>
      </c>
      <c r="AE35" s="40">
        <f t="shared" si="27"/>
        <v>126</v>
      </c>
      <c r="AF35" s="40">
        <f t="shared" si="27"/>
        <v>172</v>
      </c>
    </row>
    <row r="36" spans="2:32" ht="23.1" customHeight="1" x14ac:dyDescent="0.25">
      <c r="B36" s="46" t="s">
        <v>63</v>
      </c>
      <c r="C36" s="50">
        <v>12</v>
      </c>
      <c r="D36" s="50">
        <v>1</v>
      </c>
      <c r="E36" s="50">
        <v>2</v>
      </c>
      <c r="F36" s="50">
        <v>7</v>
      </c>
      <c r="G36" s="50">
        <v>0</v>
      </c>
      <c r="H36" s="50">
        <v>2</v>
      </c>
      <c r="I36" s="50">
        <v>1</v>
      </c>
      <c r="J36" s="50">
        <v>1</v>
      </c>
      <c r="K36" s="50">
        <v>3</v>
      </c>
      <c r="L36" s="50">
        <v>0</v>
      </c>
      <c r="M36" s="50">
        <v>11</v>
      </c>
      <c r="N36" s="50">
        <v>0</v>
      </c>
      <c r="O36" s="15">
        <f t="shared" si="0"/>
        <v>29</v>
      </c>
      <c r="P36" s="15">
        <f t="shared" si="1"/>
        <v>40</v>
      </c>
      <c r="R36" s="38" t="s">
        <v>92</v>
      </c>
      <c r="S36" s="39">
        <f t="shared" ref="S36:AF36" si="28">MAX(S19:S21)</f>
        <v>39</v>
      </c>
      <c r="T36" s="39">
        <f t="shared" si="28"/>
        <v>25</v>
      </c>
      <c r="U36" s="39">
        <f t="shared" si="28"/>
        <v>22</v>
      </c>
      <c r="V36" s="39">
        <f t="shared" si="28"/>
        <v>21</v>
      </c>
      <c r="W36" s="39">
        <f t="shared" si="28"/>
        <v>2</v>
      </c>
      <c r="X36" s="39">
        <f t="shared" si="28"/>
        <v>6</v>
      </c>
      <c r="Y36" s="39">
        <f t="shared" si="28"/>
        <v>10</v>
      </c>
      <c r="Z36" s="39">
        <f t="shared" si="28"/>
        <v>14</v>
      </c>
      <c r="AA36" s="39">
        <f t="shared" si="28"/>
        <v>15</v>
      </c>
      <c r="AB36" s="39">
        <f t="shared" si="28"/>
        <v>2</v>
      </c>
      <c r="AC36" s="39">
        <f t="shared" si="28"/>
        <v>46</v>
      </c>
      <c r="AD36" s="39">
        <f t="shared" si="28"/>
        <v>0</v>
      </c>
      <c r="AE36" s="40">
        <f t="shared" si="28"/>
        <v>125</v>
      </c>
      <c r="AF36" s="40">
        <f t="shared" si="28"/>
        <v>168</v>
      </c>
    </row>
    <row r="37" spans="2:32" ht="23.1" customHeight="1" x14ac:dyDescent="0.25">
      <c r="B37" s="45" t="s">
        <v>64</v>
      </c>
      <c r="C37" s="50">
        <v>11</v>
      </c>
      <c r="D37" s="50">
        <v>2</v>
      </c>
      <c r="E37" s="50">
        <v>3</v>
      </c>
      <c r="F37" s="50">
        <v>3</v>
      </c>
      <c r="G37" s="50">
        <v>0</v>
      </c>
      <c r="H37" s="50">
        <v>1</v>
      </c>
      <c r="I37" s="50">
        <v>3</v>
      </c>
      <c r="J37" s="50">
        <v>2</v>
      </c>
      <c r="K37" s="50">
        <v>3</v>
      </c>
      <c r="L37" s="50">
        <v>0</v>
      </c>
      <c r="M37" s="50">
        <v>8</v>
      </c>
      <c r="N37" s="50">
        <v>0</v>
      </c>
      <c r="O37" s="15">
        <f t="shared" si="0"/>
        <v>28</v>
      </c>
      <c r="P37" s="15">
        <f t="shared" si="1"/>
        <v>36</v>
      </c>
      <c r="R37" s="37" t="s">
        <v>85</v>
      </c>
      <c r="S37" s="35">
        <f t="shared" ref="S37:AF37" si="29">SUM(S10:S12)</f>
        <v>59</v>
      </c>
      <c r="T37" s="16">
        <f t="shared" si="29"/>
        <v>21</v>
      </c>
      <c r="U37" s="16">
        <f t="shared" si="29"/>
        <v>13</v>
      </c>
      <c r="V37" s="16">
        <f t="shared" si="29"/>
        <v>39</v>
      </c>
      <c r="W37" s="16">
        <f t="shared" si="29"/>
        <v>3</v>
      </c>
      <c r="X37" s="16">
        <f t="shared" si="29"/>
        <v>6</v>
      </c>
      <c r="Y37" s="16">
        <f t="shared" si="29"/>
        <v>7</v>
      </c>
      <c r="Z37" s="16">
        <f t="shared" si="29"/>
        <v>7</v>
      </c>
      <c r="AA37" s="16">
        <f t="shared" si="29"/>
        <v>15</v>
      </c>
      <c r="AB37" s="16">
        <f t="shared" si="29"/>
        <v>4</v>
      </c>
      <c r="AC37" s="16">
        <f t="shared" si="29"/>
        <v>84</v>
      </c>
      <c r="AD37" s="16">
        <f t="shared" si="29"/>
        <v>0</v>
      </c>
      <c r="AE37" s="32">
        <f t="shared" si="29"/>
        <v>174</v>
      </c>
      <c r="AF37" s="32">
        <f t="shared" si="29"/>
        <v>258</v>
      </c>
    </row>
    <row r="38" spans="2:32" ht="23.1" customHeight="1" x14ac:dyDescent="0.25">
      <c r="B38" s="46" t="s">
        <v>65</v>
      </c>
      <c r="C38" s="50">
        <v>9</v>
      </c>
      <c r="D38" s="50">
        <v>4</v>
      </c>
      <c r="E38" s="50">
        <v>2</v>
      </c>
      <c r="F38" s="50">
        <v>6</v>
      </c>
      <c r="G38" s="50">
        <v>0</v>
      </c>
      <c r="H38" s="50">
        <v>1</v>
      </c>
      <c r="I38" s="50">
        <v>3</v>
      </c>
      <c r="J38" s="50">
        <v>1</v>
      </c>
      <c r="K38" s="50">
        <v>2</v>
      </c>
      <c r="L38" s="50">
        <v>0</v>
      </c>
      <c r="M38" s="50">
        <v>8</v>
      </c>
      <c r="N38" s="50">
        <v>0</v>
      </c>
      <c r="O38" s="15">
        <f t="shared" si="0"/>
        <v>28</v>
      </c>
      <c r="P38" s="15">
        <f t="shared" si="1"/>
        <v>36</v>
      </c>
      <c r="R38" s="28" t="s">
        <v>86</v>
      </c>
      <c r="S38" s="16">
        <f t="shared" ref="S38:AF38" si="30">SUM(S13:S18)</f>
        <v>223</v>
      </c>
      <c r="T38" s="16">
        <f t="shared" si="30"/>
        <v>97</v>
      </c>
      <c r="U38" s="16">
        <f t="shared" si="30"/>
        <v>58</v>
      </c>
      <c r="V38" s="16">
        <f t="shared" si="30"/>
        <v>112</v>
      </c>
      <c r="W38" s="16">
        <f t="shared" si="30"/>
        <v>4</v>
      </c>
      <c r="X38" s="16">
        <f t="shared" si="30"/>
        <v>31</v>
      </c>
      <c r="Y38" s="16">
        <f t="shared" si="30"/>
        <v>40</v>
      </c>
      <c r="Z38" s="16">
        <f t="shared" si="30"/>
        <v>36</v>
      </c>
      <c r="AA38" s="16">
        <f t="shared" si="30"/>
        <v>44</v>
      </c>
      <c r="AB38" s="16">
        <f t="shared" si="30"/>
        <v>2</v>
      </c>
      <c r="AC38" s="16">
        <f t="shared" si="30"/>
        <v>240</v>
      </c>
      <c r="AD38" s="16">
        <f t="shared" si="30"/>
        <v>0</v>
      </c>
      <c r="AE38" s="32">
        <f t="shared" si="30"/>
        <v>647</v>
      </c>
      <c r="AF38" s="32">
        <f t="shared" si="30"/>
        <v>887</v>
      </c>
    </row>
    <row r="39" spans="2:32" ht="23.1" customHeight="1" x14ac:dyDescent="0.25">
      <c r="B39" s="46" t="s">
        <v>66</v>
      </c>
      <c r="C39" s="50">
        <v>2</v>
      </c>
      <c r="D39" s="50">
        <v>0</v>
      </c>
      <c r="E39" s="50">
        <v>3</v>
      </c>
      <c r="F39" s="50">
        <v>3</v>
      </c>
      <c r="G39" s="50">
        <v>0</v>
      </c>
      <c r="H39" s="50">
        <v>1</v>
      </c>
      <c r="I39" s="50">
        <v>2</v>
      </c>
      <c r="J39" s="50">
        <v>1</v>
      </c>
      <c r="K39" s="50">
        <v>0</v>
      </c>
      <c r="L39" s="50">
        <v>0</v>
      </c>
      <c r="M39" s="50">
        <v>4</v>
      </c>
      <c r="N39" s="50">
        <v>0</v>
      </c>
      <c r="O39" s="15">
        <f t="shared" si="0"/>
        <v>12</v>
      </c>
      <c r="P39" s="15">
        <f t="shared" si="1"/>
        <v>16</v>
      </c>
      <c r="R39" s="29" t="s">
        <v>87</v>
      </c>
      <c r="S39" s="16">
        <f t="shared" ref="S39:AF39" si="31">SUM(S19:S21)</f>
        <v>111</v>
      </c>
      <c r="T39" s="16">
        <f t="shared" si="31"/>
        <v>49</v>
      </c>
      <c r="U39" s="16">
        <f t="shared" si="31"/>
        <v>40</v>
      </c>
      <c r="V39" s="16">
        <f t="shared" si="31"/>
        <v>55</v>
      </c>
      <c r="W39" s="16">
        <f t="shared" si="31"/>
        <v>2</v>
      </c>
      <c r="X39" s="16">
        <f t="shared" si="31"/>
        <v>14</v>
      </c>
      <c r="Y39" s="16">
        <f t="shared" si="31"/>
        <v>28</v>
      </c>
      <c r="Z39" s="16">
        <f t="shared" si="31"/>
        <v>29</v>
      </c>
      <c r="AA39" s="16">
        <f t="shared" si="31"/>
        <v>38</v>
      </c>
      <c r="AB39" s="16">
        <f t="shared" si="31"/>
        <v>2</v>
      </c>
      <c r="AC39" s="16">
        <f t="shared" si="31"/>
        <v>130</v>
      </c>
      <c r="AD39" s="16">
        <f t="shared" si="31"/>
        <v>0</v>
      </c>
      <c r="AE39" s="32">
        <f t="shared" si="31"/>
        <v>368</v>
      </c>
      <c r="AF39" s="32">
        <f t="shared" si="31"/>
        <v>498</v>
      </c>
    </row>
    <row r="40" spans="2:32" ht="23.1" customHeight="1" x14ac:dyDescent="0.25">
      <c r="B40" s="46" t="s">
        <v>67</v>
      </c>
      <c r="C40" s="50">
        <v>12</v>
      </c>
      <c r="D40" s="50">
        <v>5</v>
      </c>
      <c r="E40" s="50">
        <v>1</v>
      </c>
      <c r="F40" s="50">
        <v>3</v>
      </c>
      <c r="G40" s="50">
        <v>0</v>
      </c>
      <c r="H40" s="50">
        <v>2</v>
      </c>
      <c r="I40" s="50">
        <v>2</v>
      </c>
      <c r="J40" s="50">
        <v>2</v>
      </c>
      <c r="K40" s="50">
        <v>0</v>
      </c>
      <c r="L40" s="50">
        <v>0</v>
      </c>
      <c r="M40" s="50">
        <v>17</v>
      </c>
      <c r="N40" s="50">
        <v>0</v>
      </c>
      <c r="O40" s="15">
        <f t="shared" si="0"/>
        <v>27</v>
      </c>
      <c r="P40" s="15">
        <f t="shared" si="1"/>
        <v>44</v>
      </c>
      <c r="R40" s="5" t="s">
        <v>17</v>
      </c>
      <c r="S40" s="16">
        <f t="shared" ref="S40:AF40" si="32">SUM(S10:S21)</f>
        <v>393</v>
      </c>
      <c r="T40" s="16">
        <f t="shared" si="32"/>
        <v>167</v>
      </c>
      <c r="U40" s="16">
        <f t="shared" si="32"/>
        <v>111</v>
      </c>
      <c r="V40" s="16">
        <f t="shared" si="32"/>
        <v>206</v>
      </c>
      <c r="W40" s="16">
        <f t="shared" si="32"/>
        <v>9</v>
      </c>
      <c r="X40" s="16">
        <f t="shared" si="32"/>
        <v>51</v>
      </c>
      <c r="Y40" s="16">
        <f t="shared" si="32"/>
        <v>75</v>
      </c>
      <c r="Z40" s="16">
        <f t="shared" si="32"/>
        <v>72</v>
      </c>
      <c r="AA40" s="16">
        <f t="shared" si="32"/>
        <v>97</v>
      </c>
      <c r="AB40" s="16">
        <f t="shared" si="32"/>
        <v>8</v>
      </c>
      <c r="AC40" s="16">
        <f t="shared" si="32"/>
        <v>454</v>
      </c>
      <c r="AD40" s="16">
        <f t="shared" si="32"/>
        <v>0</v>
      </c>
      <c r="AE40" s="32">
        <f t="shared" si="32"/>
        <v>1189</v>
      </c>
      <c r="AF40" s="32">
        <f t="shared" si="32"/>
        <v>1643</v>
      </c>
    </row>
    <row r="41" spans="2:32" ht="23.1" customHeight="1" x14ac:dyDescent="0.25">
      <c r="B41" s="45" t="s">
        <v>68</v>
      </c>
      <c r="C41" s="50">
        <v>6</v>
      </c>
      <c r="D41" s="50">
        <v>3</v>
      </c>
      <c r="E41" s="50">
        <v>0</v>
      </c>
      <c r="F41" s="50">
        <v>4</v>
      </c>
      <c r="G41" s="50">
        <v>0</v>
      </c>
      <c r="H41" s="50">
        <v>0</v>
      </c>
      <c r="I41" s="50">
        <v>0</v>
      </c>
      <c r="J41" s="50">
        <v>1</v>
      </c>
      <c r="K41" s="50">
        <v>1</v>
      </c>
      <c r="L41" s="50">
        <v>0</v>
      </c>
      <c r="M41" s="50">
        <v>5</v>
      </c>
      <c r="N41" s="50">
        <v>0</v>
      </c>
      <c r="O41" s="15">
        <f t="shared" si="0"/>
        <v>15</v>
      </c>
      <c r="P41" s="15">
        <f t="shared" si="1"/>
        <v>20</v>
      </c>
      <c r="R41" s="5" t="s">
        <v>159</v>
      </c>
      <c r="S41" s="16">
        <f>SUM(S10:S33)</f>
        <v>627</v>
      </c>
      <c r="T41" s="16">
        <f t="shared" ref="T41:AF41" si="33">SUM(T10:T33)</f>
        <v>253</v>
      </c>
      <c r="U41" s="16">
        <f t="shared" si="33"/>
        <v>155</v>
      </c>
      <c r="V41" s="16">
        <f t="shared" si="33"/>
        <v>302</v>
      </c>
      <c r="W41" s="16">
        <f t="shared" si="33"/>
        <v>32</v>
      </c>
      <c r="X41" s="16">
        <f t="shared" si="33"/>
        <v>103</v>
      </c>
      <c r="Y41" s="16">
        <f t="shared" si="33"/>
        <v>135</v>
      </c>
      <c r="Z41" s="16">
        <f t="shared" si="33"/>
        <v>233</v>
      </c>
      <c r="AA41" s="16">
        <f t="shared" si="33"/>
        <v>196</v>
      </c>
      <c r="AB41" s="16">
        <f t="shared" si="33"/>
        <v>16</v>
      </c>
      <c r="AC41" s="16">
        <f t="shared" si="33"/>
        <v>652</v>
      </c>
      <c r="AD41" s="16">
        <f t="shared" si="33"/>
        <v>0</v>
      </c>
      <c r="AE41" s="32">
        <f t="shared" si="33"/>
        <v>2052</v>
      </c>
      <c r="AF41" s="32">
        <f t="shared" si="33"/>
        <v>2704</v>
      </c>
    </row>
    <row r="42" spans="2:32" ht="23.1" customHeight="1" x14ac:dyDescent="0.25">
      <c r="B42" s="46" t="s">
        <v>69</v>
      </c>
      <c r="C42" s="50">
        <v>8</v>
      </c>
      <c r="D42" s="50">
        <v>3</v>
      </c>
      <c r="E42" s="50">
        <v>2</v>
      </c>
      <c r="F42" s="50">
        <v>3</v>
      </c>
      <c r="G42" s="50">
        <v>0</v>
      </c>
      <c r="H42" s="50">
        <v>2</v>
      </c>
      <c r="I42" s="50">
        <v>1</v>
      </c>
      <c r="J42" s="50">
        <v>2</v>
      </c>
      <c r="K42" s="50">
        <v>2</v>
      </c>
      <c r="L42" s="50">
        <v>0</v>
      </c>
      <c r="M42" s="50">
        <v>8</v>
      </c>
      <c r="N42" s="50">
        <v>0</v>
      </c>
      <c r="O42" s="15">
        <f t="shared" si="0"/>
        <v>23</v>
      </c>
      <c r="P42" s="15">
        <f t="shared" si="1"/>
        <v>31</v>
      </c>
      <c r="R42" s="5" t="s">
        <v>160</v>
      </c>
      <c r="S42" s="48">
        <f>S41/S40</f>
        <v>1.5954198473282444</v>
      </c>
      <c r="T42" s="48">
        <f t="shared" ref="T42:AF42" si="34">T41/T40</f>
        <v>1.5149700598802396</v>
      </c>
      <c r="U42" s="48">
        <f t="shared" si="34"/>
        <v>1.3963963963963963</v>
      </c>
      <c r="V42" s="48">
        <f t="shared" si="34"/>
        <v>1.4660194174757282</v>
      </c>
      <c r="W42" s="48">
        <f t="shared" si="34"/>
        <v>3.5555555555555554</v>
      </c>
      <c r="X42" s="48">
        <f t="shared" si="34"/>
        <v>2.0196078431372548</v>
      </c>
      <c r="Y42" s="48">
        <f t="shared" si="34"/>
        <v>1.8</v>
      </c>
      <c r="Z42" s="48">
        <f t="shared" si="34"/>
        <v>3.2361111111111112</v>
      </c>
      <c r="AA42" s="48">
        <f t="shared" si="34"/>
        <v>2.0206185567010309</v>
      </c>
      <c r="AB42" s="48">
        <f t="shared" si="34"/>
        <v>2</v>
      </c>
      <c r="AC42" s="48">
        <f t="shared" si="34"/>
        <v>1.4361233480176212</v>
      </c>
      <c r="AD42" s="48" t="e">
        <f t="shared" si="34"/>
        <v>#DIV/0!</v>
      </c>
      <c r="AE42" s="48">
        <f t="shared" si="34"/>
        <v>1.7258200168208579</v>
      </c>
      <c r="AF42" s="48">
        <f t="shared" si="34"/>
        <v>1.6457699330493001</v>
      </c>
    </row>
    <row r="43" spans="2:32" ht="23.1" customHeight="1" x14ac:dyDescent="0.25">
      <c r="B43" s="45" t="s">
        <v>70</v>
      </c>
      <c r="C43" s="50">
        <v>11</v>
      </c>
      <c r="D43" s="50">
        <v>3</v>
      </c>
      <c r="E43" s="50">
        <v>3</v>
      </c>
      <c r="F43" s="50">
        <v>4</v>
      </c>
      <c r="G43" s="50">
        <v>0</v>
      </c>
      <c r="H43" s="50">
        <v>4</v>
      </c>
      <c r="I43" s="50">
        <v>2</v>
      </c>
      <c r="J43" s="50">
        <v>2</v>
      </c>
      <c r="K43" s="50">
        <v>4</v>
      </c>
      <c r="L43" s="50">
        <v>0</v>
      </c>
      <c r="M43" s="50">
        <v>10</v>
      </c>
      <c r="N43" s="50">
        <v>0</v>
      </c>
      <c r="O43" s="15">
        <f t="shared" si="0"/>
        <v>33</v>
      </c>
      <c r="P43" s="15">
        <f t="shared" si="1"/>
        <v>43</v>
      </c>
    </row>
    <row r="44" spans="2:32" ht="23.1" customHeight="1" x14ac:dyDescent="0.25">
      <c r="B44" s="47" t="s">
        <v>71</v>
      </c>
      <c r="C44" s="50">
        <v>9</v>
      </c>
      <c r="D44" s="50">
        <v>4</v>
      </c>
      <c r="E44" s="50">
        <v>0</v>
      </c>
      <c r="F44" s="50">
        <v>5</v>
      </c>
      <c r="G44" s="50">
        <v>0</v>
      </c>
      <c r="H44" s="50">
        <v>1</v>
      </c>
      <c r="I44" s="50">
        <v>0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19</v>
      </c>
      <c r="P44" s="15">
        <f t="shared" si="1"/>
        <v>29</v>
      </c>
    </row>
    <row r="45" spans="2:32" ht="23.1" customHeight="1" x14ac:dyDescent="0.25">
      <c r="B45" s="45" t="s">
        <v>72</v>
      </c>
      <c r="C45" s="50">
        <v>7</v>
      </c>
      <c r="D45" s="50">
        <v>2</v>
      </c>
      <c r="E45" s="50">
        <v>3</v>
      </c>
      <c r="F45" s="50">
        <v>1</v>
      </c>
      <c r="G45" s="50">
        <v>1</v>
      </c>
      <c r="H45" s="50">
        <v>0</v>
      </c>
      <c r="I45" s="50">
        <v>4</v>
      </c>
      <c r="J45" s="50">
        <v>1</v>
      </c>
      <c r="K45" s="50">
        <v>2</v>
      </c>
      <c r="L45" s="50">
        <v>0</v>
      </c>
      <c r="M45" s="50">
        <v>8</v>
      </c>
      <c r="N45" s="50">
        <v>0</v>
      </c>
      <c r="O45" s="15">
        <f t="shared" si="0"/>
        <v>21</v>
      </c>
      <c r="P45" s="15">
        <f t="shared" si="1"/>
        <v>29</v>
      </c>
    </row>
    <row r="46" spans="2:32" ht="23.1" customHeight="1" x14ac:dyDescent="0.25">
      <c r="B46" s="46" t="s">
        <v>73</v>
      </c>
      <c r="C46" s="50">
        <v>6</v>
      </c>
      <c r="D46" s="50">
        <v>3</v>
      </c>
      <c r="E46" s="50">
        <v>5</v>
      </c>
      <c r="F46" s="50">
        <v>2</v>
      </c>
      <c r="G46" s="50">
        <v>0</v>
      </c>
      <c r="H46" s="50">
        <v>1</v>
      </c>
      <c r="I46" s="50">
        <v>2</v>
      </c>
      <c r="J46" s="50">
        <v>1</v>
      </c>
      <c r="K46" s="50">
        <v>5</v>
      </c>
      <c r="L46" s="50">
        <v>0</v>
      </c>
      <c r="M46" s="50">
        <v>9</v>
      </c>
      <c r="N46" s="50">
        <v>0</v>
      </c>
      <c r="O46" s="15">
        <f t="shared" si="0"/>
        <v>25</v>
      </c>
      <c r="P46" s="15">
        <f t="shared" si="1"/>
        <v>34</v>
      </c>
      <c r="R46" s="8"/>
      <c r="T46"/>
    </row>
    <row r="47" spans="2:32" ht="23.1" customHeight="1" x14ac:dyDescent="0.25">
      <c r="B47" s="46" t="s">
        <v>74</v>
      </c>
      <c r="C47" s="50">
        <v>5</v>
      </c>
      <c r="D47" s="50">
        <v>2</v>
      </c>
      <c r="E47" s="50">
        <v>10</v>
      </c>
      <c r="F47" s="50">
        <v>7</v>
      </c>
      <c r="G47" s="50">
        <v>0</v>
      </c>
      <c r="H47" s="50">
        <v>1</v>
      </c>
      <c r="I47" s="50">
        <v>2</v>
      </c>
      <c r="J47" s="50">
        <v>1</v>
      </c>
      <c r="K47" s="50">
        <v>2</v>
      </c>
      <c r="L47" s="50">
        <v>0</v>
      </c>
      <c r="M47" s="50">
        <v>12</v>
      </c>
      <c r="N47" s="50">
        <v>0</v>
      </c>
      <c r="O47" s="15">
        <f t="shared" si="0"/>
        <v>30</v>
      </c>
      <c r="P47" s="15">
        <f t="shared" si="1"/>
        <v>42</v>
      </c>
      <c r="R47" s="8"/>
      <c r="T47"/>
    </row>
    <row r="48" spans="2:32" ht="23.1" customHeight="1" x14ac:dyDescent="0.25">
      <c r="B48" s="46" t="s">
        <v>75</v>
      </c>
      <c r="C48" s="50">
        <v>14</v>
      </c>
      <c r="D48" s="50">
        <v>2</v>
      </c>
      <c r="E48" s="50">
        <v>4</v>
      </c>
      <c r="F48" s="50">
        <v>6</v>
      </c>
      <c r="G48" s="50">
        <v>0</v>
      </c>
      <c r="H48" s="50">
        <v>2</v>
      </c>
      <c r="I48" s="50">
        <v>3</v>
      </c>
      <c r="J48" s="50">
        <v>2</v>
      </c>
      <c r="K48" s="50">
        <v>2</v>
      </c>
      <c r="L48" s="50">
        <v>0</v>
      </c>
      <c r="M48" s="50">
        <v>12</v>
      </c>
      <c r="N48" s="50">
        <v>0</v>
      </c>
      <c r="O48" s="15">
        <f t="shared" si="0"/>
        <v>35</v>
      </c>
      <c r="P48" s="15">
        <f t="shared" si="1"/>
        <v>47</v>
      </c>
      <c r="R48" s="8"/>
      <c r="T48"/>
    </row>
    <row r="49" spans="2:20" ht="23.1" customHeight="1" x14ac:dyDescent="0.25">
      <c r="B49" s="45" t="s">
        <v>76</v>
      </c>
      <c r="C49" s="50">
        <v>14</v>
      </c>
      <c r="D49" s="50">
        <v>6</v>
      </c>
      <c r="E49" s="50">
        <v>3</v>
      </c>
      <c r="F49" s="50">
        <v>2</v>
      </c>
      <c r="G49" s="50">
        <v>0</v>
      </c>
      <c r="H49" s="50">
        <v>1</v>
      </c>
      <c r="I49" s="50">
        <v>3</v>
      </c>
      <c r="J49" s="50">
        <v>0</v>
      </c>
      <c r="K49" s="50">
        <v>2</v>
      </c>
      <c r="L49" s="50">
        <v>0</v>
      </c>
      <c r="M49" s="50">
        <v>11</v>
      </c>
      <c r="N49" s="50">
        <v>0</v>
      </c>
      <c r="O49" s="15">
        <f t="shared" si="0"/>
        <v>31</v>
      </c>
      <c r="P49" s="15">
        <f t="shared" si="1"/>
        <v>42</v>
      </c>
      <c r="R49" s="8"/>
      <c r="T49"/>
    </row>
    <row r="50" spans="2:20" ht="23.1" customHeight="1" x14ac:dyDescent="0.25">
      <c r="B50" s="46" t="s">
        <v>77</v>
      </c>
      <c r="C50" s="50">
        <v>8</v>
      </c>
      <c r="D50" s="50">
        <v>8</v>
      </c>
      <c r="E50" s="50">
        <v>3</v>
      </c>
      <c r="F50" s="50">
        <v>8</v>
      </c>
      <c r="G50" s="50">
        <v>0</v>
      </c>
      <c r="H50" s="50">
        <v>2</v>
      </c>
      <c r="I50" s="50">
        <v>3</v>
      </c>
      <c r="J50" s="50">
        <v>2</v>
      </c>
      <c r="K50" s="50">
        <v>8</v>
      </c>
      <c r="L50" s="50">
        <v>0</v>
      </c>
      <c r="M50" s="50">
        <v>9</v>
      </c>
      <c r="N50" s="50">
        <v>0</v>
      </c>
      <c r="O50" s="15">
        <f t="shared" si="0"/>
        <v>42</v>
      </c>
      <c r="P50" s="15">
        <f t="shared" si="1"/>
        <v>51</v>
      </c>
      <c r="R50" s="8"/>
      <c r="T50"/>
    </row>
    <row r="51" spans="2:20" ht="23.1" customHeight="1" x14ac:dyDescent="0.25">
      <c r="B51" s="46" t="s">
        <v>78</v>
      </c>
      <c r="C51" s="50">
        <v>12</v>
      </c>
      <c r="D51" s="50">
        <v>6</v>
      </c>
      <c r="E51" s="50">
        <v>1</v>
      </c>
      <c r="F51" s="50">
        <v>3</v>
      </c>
      <c r="G51" s="50">
        <v>0</v>
      </c>
      <c r="H51" s="50">
        <v>1</v>
      </c>
      <c r="I51" s="50">
        <v>2</v>
      </c>
      <c r="J51" s="50">
        <v>3</v>
      </c>
      <c r="K51" s="50">
        <v>0</v>
      </c>
      <c r="L51" s="50">
        <v>0</v>
      </c>
      <c r="M51" s="50">
        <v>14</v>
      </c>
      <c r="N51" s="50">
        <v>0</v>
      </c>
      <c r="O51" s="15">
        <f t="shared" si="0"/>
        <v>28</v>
      </c>
      <c r="P51" s="15">
        <f t="shared" si="1"/>
        <v>42</v>
      </c>
      <c r="R51" s="8"/>
      <c r="T51"/>
    </row>
    <row r="52" spans="2:20" ht="23.1" customHeight="1" x14ac:dyDescent="0.25">
      <c r="B52" s="46" t="s">
        <v>79</v>
      </c>
      <c r="C52" s="50">
        <v>11</v>
      </c>
      <c r="D52" s="50">
        <v>7</v>
      </c>
      <c r="E52" s="50">
        <v>1</v>
      </c>
      <c r="F52" s="50">
        <v>4</v>
      </c>
      <c r="G52" s="50">
        <v>0</v>
      </c>
      <c r="H52" s="50">
        <v>2</v>
      </c>
      <c r="I52" s="50">
        <v>3</v>
      </c>
      <c r="J52" s="50">
        <v>4</v>
      </c>
      <c r="K52" s="50">
        <v>4</v>
      </c>
      <c r="L52" s="50">
        <v>0</v>
      </c>
      <c r="M52" s="50">
        <v>12</v>
      </c>
      <c r="N52" s="50">
        <v>0</v>
      </c>
      <c r="O52" s="15">
        <f t="shared" si="0"/>
        <v>36</v>
      </c>
      <c r="P52" s="15">
        <f t="shared" si="1"/>
        <v>48</v>
      </c>
      <c r="R52" s="8"/>
      <c r="T52"/>
    </row>
    <row r="53" spans="2:20" ht="23.1" customHeight="1" x14ac:dyDescent="0.25">
      <c r="B53" s="45" t="s">
        <v>80</v>
      </c>
      <c r="C53" s="50">
        <v>4</v>
      </c>
      <c r="D53" s="50">
        <v>4</v>
      </c>
      <c r="E53" s="50">
        <v>0</v>
      </c>
      <c r="F53" s="50">
        <v>2</v>
      </c>
      <c r="G53" s="50">
        <v>0</v>
      </c>
      <c r="H53" s="50">
        <v>1</v>
      </c>
      <c r="I53" s="50">
        <v>0</v>
      </c>
      <c r="J53" s="50">
        <v>5</v>
      </c>
      <c r="K53" s="50">
        <v>0</v>
      </c>
      <c r="L53" s="50">
        <v>0</v>
      </c>
      <c r="M53" s="50">
        <v>11</v>
      </c>
      <c r="N53" s="50">
        <v>0</v>
      </c>
      <c r="O53" s="15">
        <f t="shared" si="0"/>
        <v>16</v>
      </c>
      <c r="P53" s="15">
        <f t="shared" si="1"/>
        <v>27</v>
      </c>
      <c r="R53" s="8"/>
      <c r="T53"/>
    </row>
    <row r="54" spans="2:20" ht="23.1" customHeight="1" x14ac:dyDescent="0.25">
      <c r="B54" s="45" t="s">
        <v>81</v>
      </c>
      <c r="C54" s="50">
        <v>3</v>
      </c>
      <c r="D54" s="50">
        <v>2</v>
      </c>
      <c r="E54" s="50">
        <v>4</v>
      </c>
      <c r="F54" s="50">
        <v>4</v>
      </c>
      <c r="G54" s="50">
        <v>0</v>
      </c>
      <c r="H54" s="50">
        <v>1</v>
      </c>
      <c r="I54" s="50">
        <v>1</v>
      </c>
      <c r="J54" s="50">
        <v>4</v>
      </c>
      <c r="K54" s="50">
        <v>3</v>
      </c>
      <c r="L54" s="50">
        <v>0</v>
      </c>
      <c r="M54" s="50">
        <v>10</v>
      </c>
      <c r="N54" s="50">
        <v>0</v>
      </c>
      <c r="O54" s="15">
        <f t="shared" si="0"/>
        <v>22</v>
      </c>
      <c r="P54" s="15">
        <f t="shared" si="1"/>
        <v>32</v>
      </c>
      <c r="R54" s="8"/>
      <c r="T54"/>
    </row>
    <row r="55" spans="2:20" ht="23.1" customHeight="1" x14ac:dyDescent="0.25">
      <c r="B55" s="45" t="s">
        <v>82</v>
      </c>
      <c r="C55" s="50">
        <v>10</v>
      </c>
      <c r="D55" s="50">
        <v>3</v>
      </c>
      <c r="E55" s="50">
        <v>2</v>
      </c>
      <c r="F55" s="50">
        <v>7</v>
      </c>
      <c r="G55" s="50">
        <v>0</v>
      </c>
      <c r="H55" s="50">
        <v>1</v>
      </c>
      <c r="I55" s="50">
        <v>4</v>
      </c>
      <c r="J55" s="50">
        <v>4</v>
      </c>
      <c r="K55" s="50">
        <v>2</v>
      </c>
      <c r="L55" s="50">
        <v>0</v>
      </c>
      <c r="M55" s="50">
        <v>7</v>
      </c>
      <c r="N55" s="50">
        <v>0</v>
      </c>
      <c r="O55" s="15">
        <f t="shared" si="0"/>
        <v>33</v>
      </c>
      <c r="P55" s="15">
        <f t="shared" si="1"/>
        <v>40</v>
      </c>
      <c r="R55" s="8"/>
      <c r="T55"/>
    </row>
    <row r="56" spans="2:20" ht="23.1" customHeight="1" x14ac:dyDescent="0.25">
      <c r="B56" s="45" t="s">
        <v>83</v>
      </c>
      <c r="C56" s="50">
        <v>8</v>
      </c>
      <c r="D56" s="50">
        <v>2</v>
      </c>
      <c r="E56" s="50">
        <v>3</v>
      </c>
      <c r="F56" s="50">
        <v>3</v>
      </c>
      <c r="G56" s="50">
        <v>1</v>
      </c>
      <c r="H56" s="50">
        <v>1</v>
      </c>
      <c r="I56" s="50">
        <v>3</v>
      </c>
      <c r="J56" s="50">
        <v>1</v>
      </c>
      <c r="K56" s="50">
        <v>6</v>
      </c>
      <c r="L56" s="50">
        <v>1</v>
      </c>
      <c r="M56" s="50">
        <v>12</v>
      </c>
      <c r="N56" s="50">
        <v>0</v>
      </c>
      <c r="O56" s="15">
        <f t="shared" si="0"/>
        <v>29</v>
      </c>
      <c r="P56" s="15">
        <f t="shared" si="1"/>
        <v>41</v>
      </c>
      <c r="R56" s="8"/>
      <c r="T56"/>
    </row>
    <row r="57" spans="2:20" ht="23.1" customHeight="1" x14ac:dyDescent="0.25">
      <c r="B57" s="45" t="s">
        <v>84</v>
      </c>
      <c r="C57" s="50">
        <v>16</v>
      </c>
      <c r="D57" s="50">
        <v>4</v>
      </c>
      <c r="E57" s="50">
        <v>4</v>
      </c>
      <c r="F57" s="50">
        <v>7</v>
      </c>
      <c r="G57" s="50">
        <v>1</v>
      </c>
      <c r="H57" s="50">
        <v>0</v>
      </c>
      <c r="I57" s="50">
        <v>2</v>
      </c>
      <c r="J57" s="50">
        <v>2</v>
      </c>
      <c r="K57" s="50">
        <v>4</v>
      </c>
      <c r="L57" s="50">
        <v>1</v>
      </c>
      <c r="M57" s="50">
        <v>11</v>
      </c>
      <c r="N57" s="50">
        <v>0</v>
      </c>
      <c r="O57" s="15">
        <f t="shared" si="0"/>
        <v>41</v>
      </c>
      <c r="P57" s="15">
        <f t="shared" si="1"/>
        <v>52</v>
      </c>
      <c r="R57" s="8"/>
      <c r="T57"/>
    </row>
    <row r="58" spans="2:20" ht="23.1" customHeight="1" x14ac:dyDescent="0.25">
      <c r="B58" s="45" t="s">
        <v>99</v>
      </c>
      <c r="C58" s="50">
        <v>4</v>
      </c>
      <c r="D58" s="50">
        <v>1</v>
      </c>
      <c r="E58" s="50">
        <v>3</v>
      </c>
      <c r="F58" s="50">
        <v>1</v>
      </c>
      <c r="G58" s="50">
        <v>1</v>
      </c>
      <c r="H58" s="50">
        <v>1</v>
      </c>
      <c r="I58" s="50">
        <v>3</v>
      </c>
      <c r="J58" s="50">
        <v>2</v>
      </c>
      <c r="K58" s="50">
        <v>3</v>
      </c>
      <c r="L58" s="50">
        <v>0</v>
      </c>
      <c r="M58" s="50">
        <v>10</v>
      </c>
      <c r="N58" s="50">
        <v>0</v>
      </c>
      <c r="O58" s="15">
        <f t="shared" ref="O58:O105" si="35">SUM(C58:L58,N58)</f>
        <v>19</v>
      </c>
      <c r="P58" s="15">
        <f t="shared" ref="P58:P105" si="36">SUM(C58:N58)</f>
        <v>29</v>
      </c>
      <c r="R58" s="8"/>
      <c r="T58"/>
    </row>
    <row r="59" spans="2:20" ht="23.1" customHeight="1" x14ac:dyDescent="0.25">
      <c r="B59" s="45" t="s">
        <v>100</v>
      </c>
      <c r="C59" s="50">
        <v>15</v>
      </c>
      <c r="D59" s="50">
        <v>5</v>
      </c>
      <c r="E59" s="50">
        <v>1</v>
      </c>
      <c r="F59" s="50">
        <v>7</v>
      </c>
      <c r="G59" s="50">
        <v>1</v>
      </c>
      <c r="H59" s="50">
        <v>0</v>
      </c>
      <c r="I59" s="50">
        <v>4</v>
      </c>
      <c r="J59" s="50">
        <v>4</v>
      </c>
      <c r="K59" s="50">
        <v>6</v>
      </c>
      <c r="L59" s="50">
        <v>0</v>
      </c>
      <c r="M59" s="50">
        <v>20</v>
      </c>
      <c r="N59" s="50">
        <v>0</v>
      </c>
      <c r="O59" s="15">
        <f t="shared" si="35"/>
        <v>43</v>
      </c>
      <c r="P59" s="15">
        <f t="shared" si="36"/>
        <v>63</v>
      </c>
      <c r="R59" s="8"/>
      <c r="T59"/>
    </row>
    <row r="60" spans="2:20" ht="23.1" customHeight="1" x14ac:dyDescent="0.25">
      <c r="B60" s="45" t="s">
        <v>101</v>
      </c>
      <c r="C60" s="50">
        <v>12</v>
      </c>
      <c r="D60" s="50">
        <v>4</v>
      </c>
      <c r="E60" s="50">
        <v>2</v>
      </c>
      <c r="F60" s="50">
        <v>7</v>
      </c>
      <c r="G60" s="50">
        <v>0</v>
      </c>
      <c r="H60" s="50">
        <v>2</v>
      </c>
      <c r="I60" s="50">
        <v>2</v>
      </c>
      <c r="J60" s="50">
        <v>2</v>
      </c>
      <c r="K60" s="50">
        <v>1</v>
      </c>
      <c r="L60" s="50">
        <v>0</v>
      </c>
      <c r="M60" s="50">
        <v>12</v>
      </c>
      <c r="N60" s="50">
        <v>0</v>
      </c>
      <c r="O60" s="15">
        <f t="shared" si="35"/>
        <v>32</v>
      </c>
      <c r="P60" s="15">
        <f t="shared" si="36"/>
        <v>44</v>
      </c>
      <c r="R60" s="8"/>
      <c r="T60"/>
    </row>
    <row r="61" spans="2:20" ht="23.1" customHeight="1" x14ac:dyDescent="0.25">
      <c r="B61" s="45" t="s">
        <v>102</v>
      </c>
      <c r="C61" s="50">
        <v>9</v>
      </c>
      <c r="D61" s="50">
        <v>6</v>
      </c>
      <c r="E61" s="50">
        <v>3</v>
      </c>
      <c r="F61" s="50">
        <v>5</v>
      </c>
      <c r="G61" s="50">
        <v>0</v>
      </c>
      <c r="H61" s="50">
        <v>1</v>
      </c>
      <c r="I61" s="50">
        <v>1</v>
      </c>
      <c r="J61" s="50">
        <v>1</v>
      </c>
      <c r="K61" s="50">
        <v>4</v>
      </c>
      <c r="L61" s="50">
        <v>0</v>
      </c>
      <c r="M61" s="50">
        <v>14</v>
      </c>
      <c r="N61" s="50">
        <v>0</v>
      </c>
      <c r="O61" s="15">
        <f t="shared" si="35"/>
        <v>30</v>
      </c>
      <c r="P61" s="15">
        <f t="shared" si="36"/>
        <v>44</v>
      </c>
      <c r="R61" s="8"/>
      <c r="T61"/>
    </row>
    <row r="62" spans="2:20" ht="23.1" customHeight="1" x14ac:dyDescent="0.25">
      <c r="B62" s="45" t="s">
        <v>107</v>
      </c>
      <c r="C62" s="50">
        <v>7</v>
      </c>
      <c r="D62" s="50">
        <v>2</v>
      </c>
      <c r="E62" s="50">
        <v>1</v>
      </c>
      <c r="F62" s="50">
        <v>5</v>
      </c>
      <c r="G62" s="50">
        <v>0</v>
      </c>
      <c r="H62" s="50">
        <v>2</v>
      </c>
      <c r="I62" s="50">
        <v>3</v>
      </c>
      <c r="J62" s="50">
        <v>9</v>
      </c>
      <c r="K62" s="50">
        <v>2</v>
      </c>
      <c r="L62" s="50">
        <v>0</v>
      </c>
      <c r="M62" s="50">
        <v>4</v>
      </c>
      <c r="N62" s="50">
        <v>0</v>
      </c>
      <c r="O62" s="15">
        <f t="shared" si="35"/>
        <v>31</v>
      </c>
      <c r="P62" s="15">
        <f t="shared" si="36"/>
        <v>35</v>
      </c>
      <c r="R62" s="8"/>
      <c r="T62"/>
    </row>
    <row r="63" spans="2:20" ht="23.1" customHeight="1" x14ac:dyDescent="0.25">
      <c r="B63" s="45" t="s">
        <v>108</v>
      </c>
      <c r="C63" s="50">
        <v>13</v>
      </c>
      <c r="D63" s="50">
        <v>5</v>
      </c>
      <c r="E63" s="50">
        <v>2</v>
      </c>
      <c r="F63" s="50">
        <v>8</v>
      </c>
      <c r="G63" s="50">
        <v>1</v>
      </c>
      <c r="H63" s="50">
        <v>0</v>
      </c>
      <c r="I63" s="50">
        <v>1</v>
      </c>
      <c r="J63" s="50">
        <v>6</v>
      </c>
      <c r="K63" s="50">
        <v>5</v>
      </c>
      <c r="L63" s="50">
        <v>0</v>
      </c>
      <c r="M63" s="50">
        <v>12</v>
      </c>
      <c r="N63" s="50">
        <v>0</v>
      </c>
      <c r="O63" s="15">
        <f t="shared" si="35"/>
        <v>41</v>
      </c>
      <c r="P63" s="15">
        <f t="shared" si="36"/>
        <v>53</v>
      </c>
      <c r="R63" s="8"/>
      <c r="T63"/>
    </row>
    <row r="64" spans="2:20" ht="23.1" customHeight="1" x14ac:dyDescent="0.25">
      <c r="B64" s="45" t="s">
        <v>109</v>
      </c>
      <c r="C64" s="50">
        <v>3</v>
      </c>
      <c r="D64" s="50">
        <v>2</v>
      </c>
      <c r="E64" s="50">
        <v>2</v>
      </c>
      <c r="F64" s="50">
        <v>3</v>
      </c>
      <c r="G64" s="50">
        <v>1</v>
      </c>
      <c r="H64" s="50">
        <v>1</v>
      </c>
      <c r="I64" s="50">
        <v>2</v>
      </c>
      <c r="J64" s="50">
        <v>3</v>
      </c>
      <c r="K64" s="50">
        <v>4</v>
      </c>
      <c r="L64" s="50">
        <v>0</v>
      </c>
      <c r="M64" s="50">
        <v>11</v>
      </c>
      <c r="N64" s="50">
        <v>0</v>
      </c>
      <c r="O64" s="15">
        <f t="shared" si="35"/>
        <v>21</v>
      </c>
      <c r="P64" s="15">
        <f t="shared" si="36"/>
        <v>32</v>
      </c>
      <c r="R64" s="8"/>
      <c r="T64"/>
    </row>
    <row r="65" spans="2:20" ht="23.1" customHeight="1" x14ac:dyDescent="0.25">
      <c r="B65" s="45" t="s">
        <v>158</v>
      </c>
      <c r="C65" s="50">
        <v>11</v>
      </c>
      <c r="D65" s="50">
        <v>4</v>
      </c>
      <c r="E65" s="50">
        <v>2</v>
      </c>
      <c r="F65" s="50">
        <v>6</v>
      </c>
      <c r="G65" s="50">
        <v>0</v>
      </c>
      <c r="H65" s="50">
        <v>1</v>
      </c>
      <c r="I65" s="50">
        <v>1</v>
      </c>
      <c r="J65" s="50">
        <v>4</v>
      </c>
      <c r="K65" s="50">
        <v>1</v>
      </c>
      <c r="L65" s="50">
        <v>0</v>
      </c>
      <c r="M65" s="50">
        <v>12</v>
      </c>
      <c r="N65" s="50">
        <v>0</v>
      </c>
      <c r="O65" s="15">
        <f t="shared" si="35"/>
        <v>30</v>
      </c>
      <c r="P65" s="15">
        <f t="shared" si="36"/>
        <v>42</v>
      </c>
      <c r="R65" s="8"/>
      <c r="T65"/>
    </row>
    <row r="66" spans="2:20" ht="23.1" customHeight="1" x14ac:dyDescent="0.25">
      <c r="B66" s="45" t="s">
        <v>103</v>
      </c>
      <c r="C66" s="50">
        <v>11</v>
      </c>
      <c r="D66" s="50">
        <v>6</v>
      </c>
      <c r="E66" s="50">
        <v>1</v>
      </c>
      <c r="F66" s="50">
        <v>2</v>
      </c>
      <c r="G66" s="50">
        <v>1</v>
      </c>
      <c r="H66" s="50">
        <v>1</v>
      </c>
      <c r="I66" s="50">
        <v>1</v>
      </c>
      <c r="J66" s="50">
        <v>6</v>
      </c>
      <c r="K66" s="50">
        <v>0</v>
      </c>
      <c r="L66" s="50">
        <v>0</v>
      </c>
      <c r="M66" s="50">
        <v>5</v>
      </c>
      <c r="N66" s="50">
        <v>0</v>
      </c>
      <c r="O66" s="15">
        <f t="shared" si="35"/>
        <v>29</v>
      </c>
      <c r="P66" s="15">
        <f t="shared" si="36"/>
        <v>34</v>
      </c>
      <c r="R66" s="8"/>
      <c r="T66"/>
    </row>
    <row r="67" spans="2:20" ht="23.1" customHeight="1" x14ac:dyDescent="0.25">
      <c r="B67" s="45" t="s">
        <v>104</v>
      </c>
      <c r="C67" s="50">
        <v>11</v>
      </c>
      <c r="D67" s="50">
        <v>11</v>
      </c>
      <c r="E67" s="50">
        <v>4</v>
      </c>
      <c r="F67" s="50">
        <v>4</v>
      </c>
      <c r="G67" s="50">
        <v>0</v>
      </c>
      <c r="H67" s="50">
        <v>2</v>
      </c>
      <c r="I67" s="50">
        <v>1</v>
      </c>
      <c r="J67" s="50">
        <v>4</v>
      </c>
      <c r="K67" s="50">
        <v>3</v>
      </c>
      <c r="L67" s="50">
        <v>0</v>
      </c>
      <c r="M67" s="50">
        <v>4</v>
      </c>
      <c r="N67" s="50">
        <v>0</v>
      </c>
      <c r="O67" s="15">
        <f t="shared" si="35"/>
        <v>40</v>
      </c>
      <c r="P67" s="15">
        <f t="shared" si="36"/>
        <v>44</v>
      </c>
      <c r="R67" s="8"/>
      <c r="T67"/>
    </row>
    <row r="68" spans="2:20" ht="23.1" customHeight="1" x14ac:dyDescent="0.25">
      <c r="B68" s="45" t="s">
        <v>105</v>
      </c>
      <c r="C68" s="50">
        <v>3</v>
      </c>
      <c r="D68" s="50">
        <v>1</v>
      </c>
      <c r="E68" s="50">
        <v>3</v>
      </c>
      <c r="F68" s="50">
        <v>2</v>
      </c>
      <c r="G68" s="50">
        <v>2</v>
      </c>
      <c r="H68" s="50">
        <v>0</v>
      </c>
      <c r="I68" s="50">
        <v>2</v>
      </c>
      <c r="J68" s="50">
        <v>6</v>
      </c>
      <c r="K68" s="50">
        <v>1</v>
      </c>
      <c r="L68" s="50">
        <v>0</v>
      </c>
      <c r="M68" s="50">
        <v>9</v>
      </c>
      <c r="N68" s="50">
        <v>0</v>
      </c>
      <c r="O68" s="15">
        <f t="shared" si="35"/>
        <v>20</v>
      </c>
      <c r="P68" s="15">
        <f t="shared" si="36"/>
        <v>29</v>
      </c>
      <c r="R68" s="8"/>
      <c r="T68"/>
    </row>
    <row r="69" spans="2:20" ht="23.1" customHeight="1" x14ac:dyDescent="0.25">
      <c r="B69" s="45" t="s">
        <v>106</v>
      </c>
      <c r="C69" s="50">
        <v>5</v>
      </c>
      <c r="D69" s="50">
        <v>2</v>
      </c>
      <c r="E69" s="50">
        <v>1</v>
      </c>
      <c r="F69" s="50">
        <v>4</v>
      </c>
      <c r="G69" s="50">
        <v>0</v>
      </c>
      <c r="H69" s="50">
        <v>2</v>
      </c>
      <c r="I69" s="50">
        <v>3</v>
      </c>
      <c r="J69" s="50">
        <v>2</v>
      </c>
      <c r="K69" s="50">
        <v>8</v>
      </c>
      <c r="L69" s="50">
        <v>0</v>
      </c>
      <c r="M69" s="50">
        <v>4</v>
      </c>
      <c r="N69" s="50">
        <v>0</v>
      </c>
      <c r="O69" s="15">
        <f t="shared" si="35"/>
        <v>27</v>
      </c>
      <c r="P69" s="15">
        <f t="shared" si="36"/>
        <v>31</v>
      </c>
      <c r="R69" s="8"/>
      <c r="T69"/>
    </row>
    <row r="70" spans="2:20" ht="23.1" customHeight="1" x14ac:dyDescent="0.25">
      <c r="B70" s="45" t="s">
        <v>110</v>
      </c>
      <c r="C70" s="50">
        <v>7</v>
      </c>
      <c r="D70" s="50">
        <v>2</v>
      </c>
      <c r="E70" s="50">
        <v>2</v>
      </c>
      <c r="F70" s="50">
        <v>0</v>
      </c>
      <c r="G70" s="50">
        <v>1</v>
      </c>
      <c r="H70" s="50">
        <v>0</v>
      </c>
      <c r="I70" s="50">
        <v>1</v>
      </c>
      <c r="J70" s="50">
        <v>4</v>
      </c>
      <c r="K70" s="50">
        <v>6</v>
      </c>
      <c r="L70" s="50">
        <v>0</v>
      </c>
      <c r="M70" s="50">
        <v>9</v>
      </c>
      <c r="N70" s="50">
        <v>0</v>
      </c>
      <c r="O70" s="15">
        <f t="shared" si="35"/>
        <v>23</v>
      </c>
      <c r="P70" s="15">
        <f t="shared" si="36"/>
        <v>32</v>
      </c>
      <c r="R70" s="8"/>
      <c r="T70"/>
    </row>
    <row r="71" spans="2:20" ht="23.1" customHeight="1" x14ac:dyDescent="0.25">
      <c r="B71" s="45" t="s">
        <v>111</v>
      </c>
      <c r="C71" s="50">
        <v>9</v>
      </c>
      <c r="D71" s="50">
        <v>1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10</v>
      </c>
      <c r="K71" s="50">
        <v>1</v>
      </c>
      <c r="L71" s="50">
        <v>0</v>
      </c>
      <c r="M71" s="50">
        <v>1</v>
      </c>
      <c r="N71" s="50">
        <v>0</v>
      </c>
      <c r="O71" s="15">
        <f t="shared" si="35"/>
        <v>21</v>
      </c>
      <c r="P71" s="15">
        <f t="shared" si="36"/>
        <v>22</v>
      </c>
      <c r="R71" s="8"/>
      <c r="T71"/>
    </row>
    <row r="72" spans="2:20" ht="23.1" customHeight="1" x14ac:dyDescent="0.25">
      <c r="B72" s="45" t="s">
        <v>112</v>
      </c>
      <c r="C72" s="50">
        <v>3</v>
      </c>
      <c r="D72" s="50">
        <v>2</v>
      </c>
      <c r="E72" s="50">
        <v>0</v>
      </c>
      <c r="F72" s="50">
        <v>1</v>
      </c>
      <c r="G72" s="50">
        <v>0</v>
      </c>
      <c r="H72" s="50">
        <v>2</v>
      </c>
      <c r="I72" s="50">
        <v>0</v>
      </c>
      <c r="J72" s="50">
        <v>1</v>
      </c>
      <c r="K72" s="50">
        <v>2</v>
      </c>
      <c r="L72" s="50">
        <v>0</v>
      </c>
      <c r="M72" s="50">
        <v>9</v>
      </c>
      <c r="N72" s="50">
        <v>0</v>
      </c>
      <c r="O72" s="15">
        <f t="shared" si="35"/>
        <v>11</v>
      </c>
      <c r="P72" s="15">
        <f t="shared" si="36"/>
        <v>20</v>
      </c>
      <c r="R72" s="8"/>
      <c r="T72"/>
    </row>
    <row r="73" spans="2:20" ht="23.1" customHeight="1" x14ac:dyDescent="0.25">
      <c r="B73" s="45" t="s">
        <v>113</v>
      </c>
      <c r="C73" s="50">
        <v>7</v>
      </c>
      <c r="D73" s="50">
        <v>1</v>
      </c>
      <c r="E73" s="50">
        <v>1</v>
      </c>
      <c r="F73" s="50">
        <v>4</v>
      </c>
      <c r="G73" s="50">
        <v>1</v>
      </c>
      <c r="H73" s="50">
        <v>0</v>
      </c>
      <c r="I73" s="50">
        <v>1</v>
      </c>
      <c r="J73" s="50">
        <v>5</v>
      </c>
      <c r="K73" s="50">
        <v>5</v>
      </c>
      <c r="L73" s="50">
        <v>0</v>
      </c>
      <c r="M73" s="50">
        <v>5</v>
      </c>
      <c r="N73" s="50">
        <v>0</v>
      </c>
      <c r="O73" s="15">
        <f t="shared" si="35"/>
        <v>25</v>
      </c>
      <c r="P73" s="15">
        <f t="shared" si="36"/>
        <v>30</v>
      </c>
      <c r="R73" s="8"/>
      <c r="T73"/>
    </row>
    <row r="74" spans="2:20" ht="23.1" customHeight="1" x14ac:dyDescent="0.25">
      <c r="B74" s="45" t="s">
        <v>114</v>
      </c>
      <c r="C74" s="50">
        <v>3</v>
      </c>
      <c r="D74" s="50">
        <v>0</v>
      </c>
      <c r="E74" s="50">
        <v>0</v>
      </c>
      <c r="F74" s="50">
        <v>2</v>
      </c>
      <c r="G74" s="50">
        <v>0</v>
      </c>
      <c r="H74" s="50">
        <v>1</v>
      </c>
      <c r="I74" s="50">
        <v>1</v>
      </c>
      <c r="J74" s="50">
        <v>7</v>
      </c>
      <c r="K74" s="50">
        <v>0</v>
      </c>
      <c r="L74" s="50">
        <v>0</v>
      </c>
      <c r="M74" s="50">
        <v>2</v>
      </c>
      <c r="N74" s="50">
        <v>0</v>
      </c>
      <c r="O74" s="15">
        <f t="shared" si="35"/>
        <v>14</v>
      </c>
      <c r="P74" s="15">
        <f t="shared" si="36"/>
        <v>16</v>
      </c>
      <c r="R74" s="8"/>
      <c r="T74"/>
    </row>
    <row r="75" spans="2:20" ht="23.1" customHeight="1" x14ac:dyDescent="0.25">
      <c r="B75" s="45" t="s">
        <v>115</v>
      </c>
      <c r="C75" s="50">
        <v>7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2</v>
      </c>
      <c r="J75" s="50">
        <v>6</v>
      </c>
      <c r="K75" s="50">
        <v>5</v>
      </c>
      <c r="L75" s="50">
        <v>0</v>
      </c>
      <c r="M75" s="50">
        <v>3</v>
      </c>
      <c r="N75" s="50">
        <v>0</v>
      </c>
      <c r="O75" s="15">
        <f t="shared" si="35"/>
        <v>20</v>
      </c>
      <c r="P75" s="15">
        <f t="shared" si="36"/>
        <v>23</v>
      </c>
      <c r="R75" s="8"/>
      <c r="T75"/>
    </row>
    <row r="76" spans="2:20" ht="23.1" customHeight="1" x14ac:dyDescent="0.25">
      <c r="B76" s="45" t="s">
        <v>116</v>
      </c>
      <c r="C76" s="50">
        <v>7</v>
      </c>
      <c r="D76" s="50">
        <v>3</v>
      </c>
      <c r="E76" s="50">
        <v>1</v>
      </c>
      <c r="F76" s="50">
        <v>0</v>
      </c>
      <c r="G76" s="50">
        <v>1</v>
      </c>
      <c r="H76" s="50">
        <v>0</v>
      </c>
      <c r="I76" s="50">
        <v>0</v>
      </c>
      <c r="J76" s="50">
        <v>3</v>
      </c>
      <c r="K76" s="50">
        <v>2</v>
      </c>
      <c r="L76" s="50">
        <v>1</v>
      </c>
      <c r="M76" s="50">
        <v>1</v>
      </c>
      <c r="N76" s="50">
        <v>0</v>
      </c>
      <c r="O76" s="15">
        <f t="shared" si="35"/>
        <v>18</v>
      </c>
      <c r="P76" s="15">
        <f t="shared" si="36"/>
        <v>19</v>
      </c>
      <c r="R76" s="8"/>
      <c r="T76"/>
    </row>
    <row r="77" spans="2:20" ht="23.1" customHeight="1" x14ac:dyDescent="0.25">
      <c r="B77" s="45" t="s">
        <v>117</v>
      </c>
      <c r="C77" s="50">
        <v>5</v>
      </c>
      <c r="D77" s="50">
        <v>0</v>
      </c>
      <c r="E77" s="50">
        <v>0</v>
      </c>
      <c r="F77" s="50">
        <v>1</v>
      </c>
      <c r="G77" s="50">
        <v>0</v>
      </c>
      <c r="H77" s="50">
        <v>0</v>
      </c>
      <c r="I77" s="50">
        <v>0</v>
      </c>
      <c r="J77" s="50">
        <v>2</v>
      </c>
      <c r="K77" s="50">
        <v>2</v>
      </c>
      <c r="L77" s="50">
        <v>0</v>
      </c>
      <c r="M77" s="50">
        <v>0</v>
      </c>
      <c r="N77" s="50">
        <v>0</v>
      </c>
      <c r="O77" s="15">
        <f t="shared" si="35"/>
        <v>10</v>
      </c>
      <c r="P77" s="15">
        <f t="shared" si="36"/>
        <v>10</v>
      </c>
      <c r="R77" s="8"/>
      <c r="T77"/>
    </row>
    <row r="78" spans="2:20" ht="23.1" customHeight="1" x14ac:dyDescent="0.25">
      <c r="B78" s="46" t="s">
        <v>118</v>
      </c>
      <c r="C78" s="50">
        <v>2</v>
      </c>
      <c r="D78" s="50">
        <v>1</v>
      </c>
      <c r="E78" s="50">
        <v>1</v>
      </c>
      <c r="F78" s="50">
        <v>0</v>
      </c>
      <c r="G78" s="50">
        <v>0</v>
      </c>
      <c r="H78" s="50">
        <v>2</v>
      </c>
      <c r="I78" s="50">
        <v>3</v>
      </c>
      <c r="J78" s="50">
        <v>2</v>
      </c>
      <c r="K78" s="50">
        <v>1</v>
      </c>
      <c r="L78" s="50">
        <v>0</v>
      </c>
      <c r="M78" s="50">
        <v>0</v>
      </c>
      <c r="N78" s="50">
        <v>0</v>
      </c>
      <c r="O78" s="15">
        <f t="shared" si="35"/>
        <v>12</v>
      </c>
      <c r="P78" s="15">
        <f t="shared" si="36"/>
        <v>12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2</v>
      </c>
      <c r="E79" s="50">
        <v>0</v>
      </c>
      <c r="F79" s="50">
        <v>2</v>
      </c>
      <c r="G79" s="50">
        <v>0</v>
      </c>
      <c r="H79" s="50">
        <v>1</v>
      </c>
      <c r="I79" s="50">
        <v>3</v>
      </c>
      <c r="J79" s="50">
        <v>4</v>
      </c>
      <c r="K79" s="50">
        <v>2</v>
      </c>
      <c r="L79" s="50">
        <v>0</v>
      </c>
      <c r="M79" s="50">
        <v>0</v>
      </c>
      <c r="N79" s="50">
        <v>0</v>
      </c>
      <c r="O79" s="15">
        <f t="shared" si="35"/>
        <v>15</v>
      </c>
      <c r="P79" s="15">
        <f t="shared" si="36"/>
        <v>15</v>
      </c>
      <c r="R79" s="8"/>
      <c r="T79"/>
    </row>
    <row r="80" spans="2:20" ht="23.1" customHeight="1" x14ac:dyDescent="0.25">
      <c r="B80" s="47" t="s">
        <v>120</v>
      </c>
      <c r="C80" s="50">
        <v>4</v>
      </c>
      <c r="D80" s="50">
        <v>3</v>
      </c>
      <c r="E80" s="50">
        <v>1</v>
      </c>
      <c r="F80" s="50">
        <v>0</v>
      </c>
      <c r="G80" s="50">
        <v>0</v>
      </c>
      <c r="H80" s="50">
        <v>3</v>
      </c>
      <c r="I80" s="50">
        <v>0</v>
      </c>
      <c r="J80" s="50">
        <v>5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16</v>
      </c>
      <c r="P80" s="15">
        <f t="shared" si="36"/>
        <v>16</v>
      </c>
      <c r="R80" s="8"/>
      <c r="T80"/>
    </row>
    <row r="81" spans="2:20" ht="23.1" customHeight="1" x14ac:dyDescent="0.25">
      <c r="B81" s="45" t="s">
        <v>121</v>
      </c>
      <c r="C81" s="50">
        <v>3</v>
      </c>
      <c r="D81" s="50">
        <v>0</v>
      </c>
      <c r="E81" s="50">
        <v>1</v>
      </c>
      <c r="F81" s="50">
        <v>0</v>
      </c>
      <c r="G81" s="50">
        <v>1</v>
      </c>
      <c r="H81" s="50">
        <v>0</v>
      </c>
      <c r="I81" s="50">
        <v>0</v>
      </c>
      <c r="J81" s="50">
        <v>3</v>
      </c>
      <c r="K81" s="50">
        <v>4</v>
      </c>
      <c r="L81" s="50">
        <v>2</v>
      </c>
      <c r="M81" s="50">
        <v>0</v>
      </c>
      <c r="N81" s="50">
        <v>0</v>
      </c>
      <c r="O81" s="15">
        <f t="shared" si="35"/>
        <v>14</v>
      </c>
      <c r="P81" s="15">
        <f t="shared" si="36"/>
        <v>14</v>
      </c>
      <c r="R81" s="8"/>
      <c r="T81"/>
    </row>
    <row r="82" spans="2:20" ht="23.1" customHeight="1" x14ac:dyDescent="0.25">
      <c r="B82" s="46" t="s">
        <v>122</v>
      </c>
      <c r="C82" s="50">
        <v>2</v>
      </c>
      <c r="D82" s="50">
        <v>3</v>
      </c>
      <c r="E82" s="50">
        <v>1</v>
      </c>
      <c r="F82" s="50">
        <v>0</v>
      </c>
      <c r="G82" s="50">
        <v>0</v>
      </c>
      <c r="H82" s="50">
        <v>2</v>
      </c>
      <c r="I82" s="50">
        <v>2</v>
      </c>
      <c r="J82" s="50">
        <v>3</v>
      </c>
      <c r="K82" s="50">
        <v>2</v>
      </c>
      <c r="L82" s="50">
        <v>1</v>
      </c>
      <c r="M82" s="50">
        <v>2</v>
      </c>
      <c r="N82" s="50">
        <v>0</v>
      </c>
      <c r="O82" s="15">
        <f t="shared" si="35"/>
        <v>16</v>
      </c>
      <c r="P82" s="15">
        <f t="shared" si="36"/>
        <v>18</v>
      </c>
      <c r="R82" s="8"/>
      <c r="T82"/>
    </row>
    <row r="83" spans="2:20" ht="23.1" customHeight="1" x14ac:dyDescent="0.25">
      <c r="B83" s="45" t="s">
        <v>123</v>
      </c>
      <c r="C83" s="50">
        <v>4</v>
      </c>
      <c r="D83" s="50">
        <v>0</v>
      </c>
      <c r="E83" s="50">
        <v>0</v>
      </c>
      <c r="F83" s="50">
        <v>1</v>
      </c>
      <c r="G83" s="50">
        <v>0</v>
      </c>
      <c r="H83" s="50">
        <v>3</v>
      </c>
      <c r="I83" s="50">
        <v>0</v>
      </c>
      <c r="J83" s="50">
        <v>8</v>
      </c>
      <c r="K83" s="50">
        <v>0</v>
      </c>
      <c r="L83" s="50">
        <v>3</v>
      </c>
      <c r="M83" s="50">
        <v>1</v>
      </c>
      <c r="N83" s="50">
        <v>0</v>
      </c>
      <c r="O83" s="15">
        <f t="shared" si="35"/>
        <v>19</v>
      </c>
      <c r="P83" s="15">
        <f t="shared" si="36"/>
        <v>20</v>
      </c>
      <c r="R83" s="8"/>
      <c r="T83"/>
    </row>
    <row r="84" spans="2:20" ht="23.1" customHeight="1" x14ac:dyDescent="0.25">
      <c r="B84" s="47" t="s">
        <v>124</v>
      </c>
      <c r="C84" s="50">
        <v>2</v>
      </c>
      <c r="D84" s="50">
        <v>0</v>
      </c>
      <c r="E84" s="50">
        <v>0</v>
      </c>
      <c r="F84" s="50">
        <v>0</v>
      </c>
      <c r="G84" s="50">
        <v>0</v>
      </c>
      <c r="H84" s="50">
        <v>2</v>
      </c>
      <c r="I84" s="50">
        <v>0</v>
      </c>
      <c r="J84" s="50">
        <v>3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7</v>
      </c>
      <c r="P84" s="15">
        <f t="shared" si="36"/>
        <v>7</v>
      </c>
      <c r="R84" s="8"/>
      <c r="T84"/>
    </row>
    <row r="85" spans="2:20" ht="23.1" customHeight="1" x14ac:dyDescent="0.25">
      <c r="B85" s="45" t="s">
        <v>125</v>
      </c>
      <c r="C85" s="50">
        <v>2</v>
      </c>
      <c r="D85" s="50">
        <v>2</v>
      </c>
      <c r="E85" s="50">
        <v>0</v>
      </c>
      <c r="F85" s="50">
        <v>0</v>
      </c>
      <c r="G85" s="50">
        <v>0</v>
      </c>
      <c r="H85" s="50">
        <v>1</v>
      </c>
      <c r="I85" s="50">
        <v>0</v>
      </c>
      <c r="J85" s="50">
        <v>4</v>
      </c>
      <c r="K85" s="50">
        <v>2</v>
      </c>
      <c r="L85" s="50">
        <v>0</v>
      </c>
      <c r="M85" s="50">
        <v>0</v>
      </c>
      <c r="N85" s="50">
        <v>0</v>
      </c>
      <c r="O85" s="15">
        <f t="shared" si="35"/>
        <v>11</v>
      </c>
      <c r="P85" s="15">
        <f t="shared" si="36"/>
        <v>11</v>
      </c>
      <c r="R85" s="8"/>
      <c r="T85"/>
    </row>
    <row r="86" spans="2:20" ht="23.1" customHeight="1" x14ac:dyDescent="0.25">
      <c r="B86" s="46" t="s">
        <v>126</v>
      </c>
      <c r="C86" s="50">
        <v>4</v>
      </c>
      <c r="D86" s="50">
        <v>3</v>
      </c>
      <c r="E86" s="50">
        <v>1</v>
      </c>
      <c r="F86" s="50">
        <v>0</v>
      </c>
      <c r="G86" s="50">
        <v>0</v>
      </c>
      <c r="H86" s="50">
        <v>2</v>
      </c>
      <c r="I86" s="50">
        <v>1</v>
      </c>
      <c r="J86" s="50">
        <v>3</v>
      </c>
      <c r="K86" s="50">
        <v>0</v>
      </c>
      <c r="L86" s="50">
        <v>0</v>
      </c>
      <c r="M86" s="50">
        <v>2</v>
      </c>
      <c r="N86" s="50">
        <v>0</v>
      </c>
      <c r="O86" s="15">
        <f t="shared" si="35"/>
        <v>14</v>
      </c>
      <c r="P86" s="15">
        <f t="shared" si="36"/>
        <v>16</v>
      </c>
      <c r="R86" s="8"/>
      <c r="T86"/>
    </row>
    <row r="87" spans="2:20" ht="23.1" customHeight="1" x14ac:dyDescent="0.25">
      <c r="B87" s="45" t="s">
        <v>127</v>
      </c>
      <c r="C87" s="50">
        <v>2</v>
      </c>
      <c r="D87" s="50">
        <v>0</v>
      </c>
      <c r="E87" s="50">
        <v>2</v>
      </c>
      <c r="F87" s="50">
        <v>0</v>
      </c>
      <c r="G87" s="50">
        <v>0</v>
      </c>
      <c r="H87" s="50">
        <v>1</v>
      </c>
      <c r="I87" s="50">
        <v>3</v>
      </c>
      <c r="J87" s="50">
        <v>5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13</v>
      </c>
      <c r="P87" s="15">
        <f t="shared" si="36"/>
        <v>13</v>
      </c>
      <c r="R87" s="8"/>
      <c r="T87"/>
    </row>
    <row r="88" spans="2:20" ht="23.1" customHeight="1" x14ac:dyDescent="0.25">
      <c r="B88" s="47" t="s">
        <v>128</v>
      </c>
      <c r="C88" s="50">
        <v>2</v>
      </c>
      <c r="D88" s="50">
        <v>0</v>
      </c>
      <c r="E88" s="50">
        <v>0</v>
      </c>
      <c r="F88" s="50">
        <v>0</v>
      </c>
      <c r="G88" s="50">
        <v>2</v>
      </c>
      <c r="H88" s="50">
        <v>0</v>
      </c>
      <c r="I88" s="50">
        <v>6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10</v>
      </c>
      <c r="P88" s="15">
        <f t="shared" si="36"/>
        <v>10</v>
      </c>
      <c r="R88" s="8"/>
      <c r="T88"/>
    </row>
    <row r="89" spans="2:20" ht="23.1" customHeight="1" x14ac:dyDescent="0.25">
      <c r="B89" s="45" t="s">
        <v>129</v>
      </c>
      <c r="C89" s="50">
        <v>3</v>
      </c>
      <c r="D89" s="50">
        <v>0</v>
      </c>
      <c r="E89" s="50">
        <v>0</v>
      </c>
      <c r="F89" s="50">
        <v>0</v>
      </c>
      <c r="G89" s="50">
        <v>3</v>
      </c>
      <c r="H89" s="50">
        <v>0</v>
      </c>
      <c r="I89" s="50">
        <v>7</v>
      </c>
      <c r="J89" s="50">
        <v>0</v>
      </c>
      <c r="K89" s="50">
        <v>0</v>
      </c>
      <c r="L89" s="50">
        <v>1</v>
      </c>
      <c r="M89" s="50">
        <v>1</v>
      </c>
      <c r="N89" s="50">
        <v>0</v>
      </c>
      <c r="O89" s="15">
        <f t="shared" si="35"/>
        <v>14</v>
      </c>
      <c r="P89" s="15">
        <f t="shared" si="36"/>
        <v>15</v>
      </c>
      <c r="R89" s="8"/>
      <c r="T89"/>
    </row>
    <row r="90" spans="2:20" ht="23.1" customHeight="1" x14ac:dyDescent="0.25">
      <c r="B90" s="46" t="s">
        <v>130</v>
      </c>
      <c r="C90" s="50">
        <v>6</v>
      </c>
      <c r="D90" s="50">
        <v>2</v>
      </c>
      <c r="E90" s="50">
        <v>0</v>
      </c>
      <c r="F90" s="50">
        <v>1</v>
      </c>
      <c r="G90" s="50">
        <v>0</v>
      </c>
      <c r="H90" s="50">
        <v>1</v>
      </c>
      <c r="I90" s="50">
        <v>0</v>
      </c>
      <c r="J90" s="50">
        <v>3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13</v>
      </c>
      <c r="P90" s="15">
        <f t="shared" si="36"/>
        <v>13</v>
      </c>
      <c r="R90" s="8"/>
      <c r="T90"/>
    </row>
    <row r="91" spans="2:20" ht="23.1" customHeight="1" x14ac:dyDescent="0.25">
      <c r="B91" s="45" t="s">
        <v>131</v>
      </c>
      <c r="C91" s="50">
        <v>4</v>
      </c>
      <c r="D91" s="50">
        <v>1</v>
      </c>
      <c r="E91" s="50">
        <v>0</v>
      </c>
      <c r="F91" s="50">
        <v>0</v>
      </c>
      <c r="G91" s="50">
        <v>0</v>
      </c>
      <c r="H91" s="50">
        <v>1</v>
      </c>
      <c r="I91" s="50">
        <v>0</v>
      </c>
      <c r="J91" s="50">
        <v>6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12</v>
      </c>
      <c r="P91" s="15">
        <f t="shared" si="36"/>
        <v>12</v>
      </c>
      <c r="R91" s="8"/>
      <c r="T91"/>
    </row>
    <row r="92" spans="2:20" ht="23.1" customHeight="1" x14ac:dyDescent="0.25">
      <c r="B92" s="47" t="s">
        <v>132</v>
      </c>
      <c r="C92" s="50">
        <v>3</v>
      </c>
      <c r="D92" s="50">
        <v>1</v>
      </c>
      <c r="E92" s="50">
        <v>0</v>
      </c>
      <c r="F92" s="50">
        <v>0</v>
      </c>
      <c r="G92" s="50">
        <v>0</v>
      </c>
      <c r="H92" s="50">
        <v>2</v>
      </c>
      <c r="I92" s="50">
        <v>0</v>
      </c>
      <c r="J92" s="50">
        <v>3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9</v>
      </c>
      <c r="P92" s="15">
        <f t="shared" si="36"/>
        <v>9</v>
      </c>
      <c r="R92" s="8"/>
      <c r="T92"/>
    </row>
    <row r="93" spans="2:20" ht="23.1" customHeight="1" x14ac:dyDescent="0.25">
      <c r="B93" s="45" t="s">
        <v>133</v>
      </c>
      <c r="C93" s="50">
        <v>3</v>
      </c>
      <c r="D93" s="50">
        <v>1</v>
      </c>
      <c r="E93" s="50">
        <v>0</v>
      </c>
      <c r="F93" s="50">
        <v>2</v>
      </c>
      <c r="G93" s="50">
        <v>0</v>
      </c>
      <c r="H93" s="50">
        <v>3</v>
      </c>
      <c r="I93" s="50">
        <v>0</v>
      </c>
      <c r="J93" s="50">
        <v>6</v>
      </c>
      <c r="K93" s="50">
        <v>2</v>
      </c>
      <c r="L93" s="50">
        <v>0</v>
      </c>
      <c r="M93" s="50">
        <v>0</v>
      </c>
      <c r="N93" s="50">
        <v>0</v>
      </c>
      <c r="O93" s="15">
        <f t="shared" si="35"/>
        <v>17</v>
      </c>
      <c r="P93" s="15">
        <f t="shared" si="36"/>
        <v>17</v>
      </c>
      <c r="R93" s="8"/>
      <c r="T93"/>
    </row>
    <row r="94" spans="2:20" ht="23.1" customHeight="1" x14ac:dyDescent="0.25">
      <c r="B94" s="46" t="s">
        <v>134</v>
      </c>
      <c r="C94" s="50">
        <v>3</v>
      </c>
      <c r="D94" s="50">
        <v>2</v>
      </c>
      <c r="E94" s="50">
        <v>2</v>
      </c>
      <c r="F94" s="50">
        <v>1</v>
      </c>
      <c r="G94" s="50">
        <v>1</v>
      </c>
      <c r="H94" s="50">
        <v>1</v>
      </c>
      <c r="I94" s="50">
        <v>1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11</v>
      </c>
      <c r="P94" s="15">
        <f t="shared" si="36"/>
        <v>11</v>
      </c>
      <c r="R94" s="8"/>
      <c r="T94"/>
    </row>
    <row r="95" spans="2:20" ht="23.1" customHeight="1" x14ac:dyDescent="0.25">
      <c r="B95" s="45" t="s">
        <v>135</v>
      </c>
      <c r="C95" s="50">
        <v>8</v>
      </c>
      <c r="D95" s="50">
        <v>1</v>
      </c>
      <c r="E95" s="50">
        <v>3</v>
      </c>
      <c r="F95" s="50">
        <v>3</v>
      </c>
      <c r="G95" s="50">
        <v>2</v>
      </c>
      <c r="H95" s="50">
        <v>2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19</v>
      </c>
      <c r="P95" s="15">
        <f t="shared" si="36"/>
        <v>19</v>
      </c>
      <c r="R95" s="8"/>
      <c r="T95"/>
    </row>
    <row r="96" spans="2:20" ht="23.1" customHeight="1" x14ac:dyDescent="0.25">
      <c r="B96" s="47" t="s">
        <v>136</v>
      </c>
      <c r="C96" s="50">
        <v>4</v>
      </c>
      <c r="D96" s="50">
        <v>1</v>
      </c>
      <c r="E96" s="50">
        <v>0</v>
      </c>
      <c r="F96" s="50">
        <v>2</v>
      </c>
      <c r="G96" s="50">
        <v>3</v>
      </c>
      <c r="H96" s="50">
        <v>0</v>
      </c>
      <c r="I96" s="50">
        <v>0</v>
      </c>
      <c r="J96" s="50">
        <v>0</v>
      </c>
      <c r="K96" s="50">
        <v>3</v>
      </c>
      <c r="L96" s="50">
        <v>0</v>
      </c>
      <c r="M96" s="50">
        <v>6</v>
      </c>
      <c r="N96" s="50">
        <v>0</v>
      </c>
      <c r="O96" s="15">
        <f t="shared" si="35"/>
        <v>13</v>
      </c>
      <c r="P96" s="15">
        <f t="shared" si="36"/>
        <v>19</v>
      </c>
      <c r="R96" s="8"/>
      <c r="T96"/>
    </row>
    <row r="97" spans="2:20" ht="23.1" customHeight="1" x14ac:dyDescent="0.25">
      <c r="B97" s="45" t="s">
        <v>137</v>
      </c>
      <c r="C97" s="50">
        <v>3</v>
      </c>
      <c r="D97" s="50">
        <v>0</v>
      </c>
      <c r="E97" s="50">
        <v>0</v>
      </c>
      <c r="F97" s="50">
        <v>0</v>
      </c>
      <c r="G97" s="50">
        <v>0</v>
      </c>
      <c r="H97" s="50">
        <v>3</v>
      </c>
      <c r="I97" s="50">
        <v>2</v>
      </c>
      <c r="J97" s="50">
        <v>3</v>
      </c>
      <c r="K97" s="50">
        <v>4</v>
      </c>
      <c r="L97" s="50">
        <v>0</v>
      </c>
      <c r="M97" s="50">
        <v>5</v>
      </c>
      <c r="N97" s="50">
        <v>0</v>
      </c>
      <c r="O97" s="15">
        <f t="shared" si="35"/>
        <v>15</v>
      </c>
      <c r="P97" s="15">
        <f t="shared" si="36"/>
        <v>20</v>
      </c>
      <c r="R97" s="8"/>
      <c r="T97"/>
    </row>
    <row r="98" spans="2:20" ht="23.1" customHeight="1" x14ac:dyDescent="0.25">
      <c r="B98" s="46" t="s">
        <v>138</v>
      </c>
      <c r="C98" s="50">
        <v>2</v>
      </c>
      <c r="D98" s="50">
        <v>2</v>
      </c>
      <c r="E98" s="50">
        <v>0</v>
      </c>
      <c r="F98" s="50">
        <v>2</v>
      </c>
      <c r="G98" s="50">
        <v>0</v>
      </c>
      <c r="H98" s="50">
        <v>1</v>
      </c>
      <c r="I98" s="50">
        <v>1</v>
      </c>
      <c r="J98" s="50">
        <v>2</v>
      </c>
      <c r="K98" s="50">
        <v>1</v>
      </c>
      <c r="L98" s="50">
        <v>0</v>
      </c>
      <c r="M98" s="50">
        <v>3</v>
      </c>
      <c r="N98" s="50">
        <v>0</v>
      </c>
      <c r="O98" s="15">
        <f t="shared" si="35"/>
        <v>11</v>
      </c>
      <c r="P98" s="15">
        <f t="shared" si="36"/>
        <v>14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1</v>
      </c>
      <c r="E99" s="50">
        <v>0</v>
      </c>
      <c r="F99" s="50">
        <v>2</v>
      </c>
      <c r="G99" s="50">
        <v>0</v>
      </c>
      <c r="H99" s="50">
        <v>1</v>
      </c>
      <c r="I99" s="50">
        <v>0</v>
      </c>
      <c r="J99" s="50">
        <v>4</v>
      </c>
      <c r="K99" s="50">
        <v>3</v>
      </c>
      <c r="L99" s="50">
        <v>0</v>
      </c>
      <c r="M99" s="50">
        <v>5</v>
      </c>
      <c r="N99" s="50">
        <v>0</v>
      </c>
      <c r="O99" s="15">
        <f t="shared" si="35"/>
        <v>11</v>
      </c>
      <c r="P99" s="15">
        <f t="shared" si="36"/>
        <v>16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2</v>
      </c>
      <c r="F100" s="50">
        <v>3</v>
      </c>
      <c r="G100" s="50">
        <v>1</v>
      </c>
      <c r="H100" s="50">
        <v>2</v>
      </c>
      <c r="I100" s="50">
        <v>0</v>
      </c>
      <c r="J100" s="50">
        <v>0</v>
      </c>
      <c r="K100" s="50">
        <v>2</v>
      </c>
      <c r="L100" s="50">
        <v>0</v>
      </c>
      <c r="M100" s="50">
        <v>3</v>
      </c>
      <c r="N100" s="50">
        <v>0</v>
      </c>
      <c r="O100" s="15">
        <f t="shared" si="35"/>
        <v>10</v>
      </c>
      <c r="P100" s="15">
        <f t="shared" si="36"/>
        <v>13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1</v>
      </c>
      <c r="E101" s="50">
        <v>0</v>
      </c>
      <c r="F101" s="50">
        <v>3</v>
      </c>
      <c r="G101" s="50">
        <v>0</v>
      </c>
      <c r="H101" s="50">
        <v>1</v>
      </c>
      <c r="I101" s="50">
        <v>0</v>
      </c>
      <c r="J101" s="50">
        <v>0</v>
      </c>
      <c r="K101" s="50">
        <v>1</v>
      </c>
      <c r="L101" s="50">
        <v>0</v>
      </c>
      <c r="M101" s="50">
        <v>0</v>
      </c>
      <c r="N101" s="50">
        <v>0</v>
      </c>
      <c r="O101" s="15">
        <f t="shared" si="35"/>
        <v>7</v>
      </c>
      <c r="P101" s="15">
        <f t="shared" si="36"/>
        <v>7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1</v>
      </c>
      <c r="K102" s="50">
        <v>3</v>
      </c>
      <c r="L102" s="50">
        <v>0</v>
      </c>
      <c r="M102" s="50">
        <v>1</v>
      </c>
      <c r="N102" s="50">
        <v>0</v>
      </c>
      <c r="O102" s="15">
        <f t="shared" si="35"/>
        <v>5</v>
      </c>
      <c r="P102" s="15">
        <f t="shared" si="36"/>
        <v>6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0</v>
      </c>
      <c r="E103" s="50">
        <v>0</v>
      </c>
      <c r="F103" s="50">
        <v>5</v>
      </c>
      <c r="G103" s="50">
        <v>0</v>
      </c>
      <c r="H103" s="50">
        <v>1</v>
      </c>
      <c r="I103" s="50">
        <v>1</v>
      </c>
      <c r="J103" s="50">
        <v>3</v>
      </c>
      <c r="K103" s="50">
        <v>3</v>
      </c>
      <c r="L103" s="50">
        <v>0</v>
      </c>
      <c r="M103" s="50">
        <v>2</v>
      </c>
      <c r="N103" s="50">
        <v>0</v>
      </c>
      <c r="O103" s="15">
        <f t="shared" si="35"/>
        <v>14</v>
      </c>
      <c r="P103" s="15">
        <f t="shared" si="36"/>
        <v>16</v>
      </c>
      <c r="R103" s="8"/>
      <c r="T103"/>
    </row>
    <row r="104" spans="2:20" ht="23.1" customHeight="1" x14ac:dyDescent="0.25">
      <c r="B104" s="47" t="s">
        <v>144</v>
      </c>
      <c r="C104" s="50">
        <v>5</v>
      </c>
      <c r="D104" s="50">
        <v>1</v>
      </c>
      <c r="E104" s="50">
        <v>0</v>
      </c>
      <c r="F104" s="50">
        <v>2</v>
      </c>
      <c r="G104" s="50">
        <v>0</v>
      </c>
      <c r="H104" s="50">
        <v>0</v>
      </c>
      <c r="I104" s="50">
        <v>1</v>
      </c>
      <c r="J104" s="50">
        <v>3</v>
      </c>
      <c r="K104" s="50">
        <v>3</v>
      </c>
      <c r="L104" s="50">
        <v>0</v>
      </c>
      <c r="M104" s="50">
        <v>5</v>
      </c>
      <c r="N104" s="50">
        <v>0</v>
      </c>
      <c r="O104" s="15">
        <f t="shared" si="35"/>
        <v>15</v>
      </c>
      <c r="P104" s="15">
        <f t="shared" si="36"/>
        <v>20</v>
      </c>
      <c r="R104" s="8"/>
      <c r="T104"/>
    </row>
    <row r="105" spans="2:20" ht="23.1" customHeight="1" x14ac:dyDescent="0.25">
      <c r="B105" s="45" t="s">
        <v>145</v>
      </c>
      <c r="C105" s="50">
        <v>7</v>
      </c>
      <c r="D105" s="50">
        <v>0</v>
      </c>
      <c r="E105" s="50">
        <v>1</v>
      </c>
      <c r="F105" s="50">
        <v>5</v>
      </c>
      <c r="G105" s="50">
        <v>0</v>
      </c>
      <c r="H105" s="50">
        <v>0</v>
      </c>
      <c r="I105" s="50">
        <v>0</v>
      </c>
      <c r="J105" s="50">
        <v>0</v>
      </c>
      <c r="K105" s="50">
        <v>2</v>
      </c>
      <c r="L105" s="50">
        <v>0</v>
      </c>
      <c r="M105" s="50">
        <v>15</v>
      </c>
      <c r="N105" s="50">
        <v>0</v>
      </c>
      <c r="O105" s="15">
        <f t="shared" si="35"/>
        <v>15</v>
      </c>
      <c r="P105" s="15">
        <f t="shared" si="36"/>
        <v>30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627</v>
      </c>
      <c r="D106" s="16">
        <f t="shared" ref="D106:P106" si="37">SUM(D10:D105)</f>
        <v>253</v>
      </c>
      <c r="E106" s="16">
        <f t="shared" si="37"/>
        <v>155</v>
      </c>
      <c r="F106" s="16">
        <f t="shared" si="37"/>
        <v>302</v>
      </c>
      <c r="G106" s="16">
        <f t="shared" si="37"/>
        <v>32</v>
      </c>
      <c r="H106" s="16">
        <f t="shared" si="37"/>
        <v>103</v>
      </c>
      <c r="I106" s="16">
        <f t="shared" si="37"/>
        <v>135</v>
      </c>
      <c r="J106" s="16">
        <f t="shared" si="37"/>
        <v>233</v>
      </c>
      <c r="K106" s="16">
        <f t="shared" si="37"/>
        <v>196</v>
      </c>
      <c r="L106" s="16">
        <f t="shared" si="37"/>
        <v>16</v>
      </c>
      <c r="M106" s="16">
        <f t="shared" si="37"/>
        <v>652</v>
      </c>
      <c r="N106" s="16">
        <f t="shared" si="37"/>
        <v>0</v>
      </c>
      <c r="O106" s="16">
        <f t="shared" si="37"/>
        <v>2052</v>
      </c>
      <c r="P106" s="16">
        <f t="shared" si="37"/>
        <v>2704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0.23187869822485208</v>
      </c>
      <c r="D107" s="43">
        <f t="shared" si="38"/>
        <v>9.3565088757396456E-2</v>
      </c>
      <c r="E107" s="43">
        <f t="shared" si="38"/>
        <v>5.7322485207100593E-2</v>
      </c>
      <c r="F107" s="43">
        <f t="shared" si="38"/>
        <v>0.11168639053254438</v>
      </c>
      <c r="G107" s="43">
        <f t="shared" si="38"/>
        <v>1.1834319526627219E-2</v>
      </c>
      <c r="H107" s="43">
        <f t="shared" si="38"/>
        <v>3.8091715976331361E-2</v>
      </c>
      <c r="I107" s="43">
        <f t="shared" si="38"/>
        <v>4.9926035502958578E-2</v>
      </c>
      <c r="J107" s="43">
        <f t="shared" si="38"/>
        <v>8.6168639053254434E-2</v>
      </c>
      <c r="K107" s="43">
        <f t="shared" si="38"/>
        <v>7.2485207100591711E-2</v>
      </c>
      <c r="L107" s="43">
        <f t="shared" si="38"/>
        <v>5.9171597633136093E-3</v>
      </c>
      <c r="M107" s="43">
        <f t="shared" si="38"/>
        <v>0.2411242603550296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0.30555555555555558</v>
      </c>
      <c r="D108" s="44">
        <f t="shared" ref="D108:N108" si="39">D106/$O$106</f>
        <v>0.1232943469785575</v>
      </c>
      <c r="E108" s="44">
        <f t="shared" si="39"/>
        <v>7.5536062378167637E-2</v>
      </c>
      <c r="F108" s="44">
        <f t="shared" si="39"/>
        <v>0.14717348927875243</v>
      </c>
      <c r="G108" s="44">
        <f t="shared" si="39"/>
        <v>1.5594541910331383E-2</v>
      </c>
      <c r="H108" s="44">
        <f t="shared" si="39"/>
        <v>5.019493177387914E-2</v>
      </c>
      <c r="I108" s="44">
        <f t="shared" si="39"/>
        <v>6.5789473684210523E-2</v>
      </c>
      <c r="J108" s="44">
        <f t="shared" si="39"/>
        <v>0.11354775828460038</v>
      </c>
      <c r="K108" s="44">
        <f t="shared" si="39"/>
        <v>9.5516569200779722E-2</v>
      </c>
      <c r="L108" s="44">
        <f t="shared" si="39"/>
        <v>7.7972709551656916E-3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G6" sqref="G6:H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3" t="s">
        <v>23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 spans="2:32" ht="20.100000000000001" customHeight="1" x14ac:dyDescent="0.25">
      <c r="B2" s="74" t="s">
        <v>95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</row>
    <row r="3" spans="2:32" ht="20.100000000000001" customHeight="1" x14ac:dyDescent="0.25">
      <c r="B3" s="22" t="s">
        <v>96</v>
      </c>
      <c r="C3" s="75" t="s">
        <v>176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71" t="str">
        <f>'22.10 MBARARA-MASAKA'!G5:H5</f>
        <v>KINONI</v>
      </c>
      <c r="H5" s="72"/>
      <c r="I5" s="14"/>
      <c r="J5" s="2" t="s">
        <v>5</v>
      </c>
      <c r="K5" s="71" t="s">
        <v>183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">
        <v>166</v>
      </c>
      <c r="E6" s="72"/>
      <c r="F6" s="2" t="s">
        <v>2</v>
      </c>
      <c r="G6" s="71" t="s">
        <v>165</v>
      </c>
      <c r="H6" s="72"/>
      <c r="J6" s="2" t="s">
        <v>21</v>
      </c>
      <c r="K6" s="71" t="str">
        <f>'22.10 MBARARA-MASAKA'!K6:L6</f>
        <v>SANDRA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1</v>
      </c>
      <c r="E10" s="50">
        <v>1</v>
      </c>
      <c r="F10" s="50">
        <v>3</v>
      </c>
      <c r="G10" s="50">
        <v>0</v>
      </c>
      <c r="H10" s="50">
        <v>1</v>
      </c>
      <c r="I10" s="50">
        <v>1</v>
      </c>
      <c r="J10" s="50">
        <v>1</v>
      </c>
      <c r="K10" s="50">
        <v>2</v>
      </c>
      <c r="L10" s="50">
        <v>0</v>
      </c>
      <c r="M10" s="50">
        <v>8</v>
      </c>
      <c r="N10" s="50">
        <v>0</v>
      </c>
      <c r="O10" s="15">
        <f t="shared" ref="O10:O57" si="0">SUM(C10:L10,N10)</f>
        <v>12</v>
      </c>
      <c r="P10" s="15">
        <f t="shared" ref="P10:P57" si="1">SUM(C10:N10)</f>
        <v>20</v>
      </c>
      <c r="R10" s="1" t="s">
        <v>6</v>
      </c>
      <c r="S10" s="17">
        <f t="shared" ref="S10:AF10" si="2">SUM(C10:C13)</f>
        <v>16</v>
      </c>
      <c r="T10" s="17">
        <f t="shared" si="2"/>
        <v>11</v>
      </c>
      <c r="U10" s="17">
        <f t="shared" si="2"/>
        <v>6</v>
      </c>
      <c r="V10" s="17">
        <f t="shared" si="2"/>
        <v>8</v>
      </c>
      <c r="W10" s="17">
        <f t="shared" si="2"/>
        <v>0</v>
      </c>
      <c r="X10" s="17">
        <f t="shared" si="2"/>
        <v>1</v>
      </c>
      <c r="Y10" s="17">
        <f t="shared" si="2"/>
        <v>7</v>
      </c>
      <c r="Z10" s="17">
        <f t="shared" si="2"/>
        <v>3</v>
      </c>
      <c r="AA10" s="17">
        <f t="shared" si="2"/>
        <v>5</v>
      </c>
      <c r="AB10" s="17">
        <f t="shared" si="2"/>
        <v>6</v>
      </c>
      <c r="AC10" s="17">
        <f t="shared" si="2"/>
        <v>31</v>
      </c>
      <c r="AD10" s="17">
        <f t="shared" si="2"/>
        <v>0</v>
      </c>
      <c r="AE10" s="31">
        <f t="shared" si="2"/>
        <v>63</v>
      </c>
      <c r="AF10" s="31">
        <f t="shared" si="2"/>
        <v>94</v>
      </c>
    </row>
    <row r="11" spans="2:32" s="6" customFormat="1" ht="23.1" customHeight="1" x14ac:dyDescent="0.25">
      <c r="B11" s="23" t="s">
        <v>38</v>
      </c>
      <c r="C11" s="50">
        <v>4</v>
      </c>
      <c r="D11" s="50">
        <v>3</v>
      </c>
      <c r="E11" s="50">
        <v>2</v>
      </c>
      <c r="F11" s="50">
        <v>1</v>
      </c>
      <c r="G11" s="50">
        <v>0</v>
      </c>
      <c r="H11" s="50">
        <v>0</v>
      </c>
      <c r="I11" s="50">
        <v>2</v>
      </c>
      <c r="J11" s="50">
        <v>2</v>
      </c>
      <c r="K11" s="50">
        <v>3</v>
      </c>
      <c r="L11" s="50">
        <v>0</v>
      </c>
      <c r="M11" s="50">
        <v>5</v>
      </c>
      <c r="N11" s="50">
        <v>0</v>
      </c>
      <c r="O11" s="15">
        <f t="shared" si="0"/>
        <v>17</v>
      </c>
      <c r="P11" s="15">
        <f t="shared" si="1"/>
        <v>22</v>
      </c>
      <c r="R11" s="1" t="s">
        <v>7</v>
      </c>
      <c r="S11" s="17">
        <f t="shared" ref="S11:AF11" si="3">SUM(C14:C17)</f>
        <v>24</v>
      </c>
      <c r="T11" s="17">
        <f t="shared" si="3"/>
        <v>25</v>
      </c>
      <c r="U11" s="17">
        <f t="shared" si="3"/>
        <v>10</v>
      </c>
      <c r="V11" s="17">
        <f t="shared" si="3"/>
        <v>15</v>
      </c>
      <c r="W11" s="17">
        <f t="shared" si="3"/>
        <v>1</v>
      </c>
      <c r="X11" s="17">
        <f t="shared" si="3"/>
        <v>2</v>
      </c>
      <c r="Y11" s="17">
        <f t="shared" si="3"/>
        <v>5</v>
      </c>
      <c r="Z11" s="17">
        <f t="shared" si="3"/>
        <v>5</v>
      </c>
      <c r="AA11" s="17">
        <f t="shared" si="3"/>
        <v>1</v>
      </c>
      <c r="AB11" s="17">
        <f t="shared" si="3"/>
        <v>1</v>
      </c>
      <c r="AC11" s="17">
        <f t="shared" si="3"/>
        <v>38</v>
      </c>
      <c r="AD11" s="17">
        <f t="shared" si="3"/>
        <v>0</v>
      </c>
      <c r="AE11" s="31">
        <f t="shared" si="3"/>
        <v>89</v>
      </c>
      <c r="AF11" s="31">
        <f t="shared" si="3"/>
        <v>127</v>
      </c>
    </row>
    <row r="12" spans="2:32" ht="23.1" customHeight="1" x14ac:dyDescent="0.25">
      <c r="B12" s="23" t="s">
        <v>39</v>
      </c>
      <c r="C12" s="50">
        <v>8</v>
      </c>
      <c r="D12" s="50">
        <v>5</v>
      </c>
      <c r="E12" s="50">
        <v>2</v>
      </c>
      <c r="F12" s="50">
        <v>1</v>
      </c>
      <c r="G12" s="50">
        <v>0</v>
      </c>
      <c r="H12" s="50">
        <v>0</v>
      </c>
      <c r="I12" s="50">
        <v>4</v>
      </c>
      <c r="J12" s="50">
        <v>0</v>
      </c>
      <c r="K12" s="50">
        <v>0</v>
      </c>
      <c r="L12" s="50">
        <v>6</v>
      </c>
      <c r="M12" s="50">
        <v>14</v>
      </c>
      <c r="N12" s="50">
        <v>0</v>
      </c>
      <c r="O12" s="15">
        <f t="shared" si="0"/>
        <v>26</v>
      </c>
      <c r="P12" s="15">
        <f t="shared" si="1"/>
        <v>40</v>
      </c>
      <c r="R12" s="1" t="s">
        <v>8</v>
      </c>
      <c r="S12" s="17">
        <f t="shared" ref="S12:AF12" si="4">SUM(C18:C21)</f>
        <v>28</v>
      </c>
      <c r="T12" s="17">
        <f t="shared" si="4"/>
        <v>23</v>
      </c>
      <c r="U12" s="17">
        <f t="shared" si="4"/>
        <v>7</v>
      </c>
      <c r="V12" s="17">
        <f t="shared" si="4"/>
        <v>11</v>
      </c>
      <c r="W12" s="17">
        <f t="shared" si="4"/>
        <v>0</v>
      </c>
      <c r="X12" s="17">
        <f t="shared" si="4"/>
        <v>4</v>
      </c>
      <c r="Y12" s="17">
        <f t="shared" si="4"/>
        <v>8</v>
      </c>
      <c r="Z12" s="17">
        <f t="shared" si="4"/>
        <v>3</v>
      </c>
      <c r="AA12" s="17">
        <f t="shared" si="4"/>
        <v>0</v>
      </c>
      <c r="AB12" s="17">
        <f t="shared" si="4"/>
        <v>10</v>
      </c>
      <c r="AC12" s="17">
        <f t="shared" si="4"/>
        <v>45</v>
      </c>
      <c r="AD12" s="17">
        <f t="shared" si="4"/>
        <v>0</v>
      </c>
      <c r="AE12" s="31">
        <f t="shared" si="4"/>
        <v>94</v>
      </c>
      <c r="AF12" s="31">
        <f t="shared" si="4"/>
        <v>139</v>
      </c>
    </row>
    <row r="13" spans="2:32" ht="23.1" customHeight="1" x14ac:dyDescent="0.25">
      <c r="B13" s="23" t="s">
        <v>40</v>
      </c>
      <c r="C13" s="50">
        <v>2</v>
      </c>
      <c r="D13" s="50">
        <v>2</v>
      </c>
      <c r="E13" s="50">
        <v>1</v>
      </c>
      <c r="F13" s="50">
        <v>3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8</v>
      </c>
      <c r="P13" s="15">
        <f t="shared" si="1"/>
        <v>12</v>
      </c>
      <c r="R13" s="1" t="s">
        <v>9</v>
      </c>
      <c r="S13" s="17">
        <f t="shared" ref="S13:AF13" si="5">SUM(C22:C25)</f>
        <v>27</v>
      </c>
      <c r="T13" s="17">
        <f t="shared" si="5"/>
        <v>7</v>
      </c>
      <c r="U13" s="17">
        <f t="shared" si="5"/>
        <v>18</v>
      </c>
      <c r="V13" s="17">
        <f t="shared" si="5"/>
        <v>22</v>
      </c>
      <c r="W13" s="17">
        <f t="shared" si="5"/>
        <v>1</v>
      </c>
      <c r="X13" s="17">
        <f t="shared" si="5"/>
        <v>4</v>
      </c>
      <c r="Y13" s="17">
        <f t="shared" si="5"/>
        <v>4</v>
      </c>
      <c r="Z13" s="17">
        <f t="shared" si="5"/>
        <v>4</v>
      </c>
      <c r="AA13" s="17">
        <f t="shared" si="5"/>
        <v>7</v>
      </c>
      <c r="AB13" s="17">
        <f t="shared" si="5"/>
        <v>9</v>
      </c>
      <c r="AC13" s="17">
        <f t="shared" si="5"/>
        <v>34</v>
      </c>
      <c r="AD13" s="17">
        <f t="shared" si="5"/>
        <v>0</v>
      </c>
      <c r="AE13" s="31">
        <f t="shared" si="5"/>
        <v>103</v>
      </c>
      <c r="AF13" s="31">
        <f t="shared" si="5"/>
        <v>137</v>
      </c>
    </row>
    <row r="14" spans="2:32" ht="23.1" customHeight="1" x14ac:dyDescent="0.25">
      <c r="B14" s="23" t="s">
        <v>41</v>
      </c>
      <c r="C14" s="50">
        <v>10</v>
      </c>
      <c r="D14" s="50">
        <v>5</v>
      </c>
      <c r="E14" s="50">
        <v>2</v>
      </c>
      <c r="F14" s="50">
        <v>2</v>
      </c>
      <c r="G14" s="50">
        <v>0</v>
      </c>
      <c r="H14" s="50">
        <v>0</v>
      </c>
      <c r="I14" s="50">
        <v>1</v>
      </c>
      <c r="J14" s="50">
        <v>1</v>
      </c>
      <c r="K14" s="50">
        <v>1</v>
      </c>
      <c r="L14" s="50">
        <v>1</v>
      </c>
      <c r="M14" s="50">
        <v>10</v>
      </c>
      <c r="N14" s="50">
        <v>0</v>
      </c>
      <c r="O14" s="15">
        <f t="shared" si="0"/>
        <v>23</v>
      </c>
      <c r="P14" s="15">
        <f t="shared" si="1"/>
        <v>33</v>
      </c>
      <c r="R14" s="1" t="s">
        <v>10</v>
      </c>
      <c r="S14" s="17">
        <f t="shared" ref="S14:AF14" si="6">SUM(C26:C29)</f>
        <v>37</v>
      </c>
      <c r="T14" s="17">
        <f t="shared" si="6"/>
        <v>11</v>
      </c>
      <c r="U14" s="17">
        <f t="shared" si="6"/>
        <v>9</v>
      </c>
      <c r="V14" s="17">
        <f t="shared" si="6"/>
        <v>18</v>
      </c>
      <c r="W14" s="17">
        <f t="shared" si="6"/>
        <v>0</v>
      </c>
      <c r="X14" s="17">
        <f t="shared" si="6"/>
        <v>3</v>
      </c>
      <c r="Y14" s="17">
        <f t="shared" si="6"/>
        <v>0</v>
      </c>
      <c r="Z14" s="17">
        <f t="shared" si="6"/>
        <v>4</v>
      </c>
      <c r="AA14" s="17">
        <f t="shared" si="6"/>
        <v>13</v>
      </c>
      <c r="AB14" s="17">
        <f t="shared" si="6"/>
        <v>6</v>
      </c>
      <c r="AC14" s="17">
        <f t="shared" si="6"/>
        <v>24</v>
      </c>
      <c r="AD14" s="17">
        <f t="shared" si="6"/>
        <v>0</v>
      </c>
      <c r="AE14" s="31">
        <f t="shared" si="6"/>
        <v>101</v>
      </c>
      <c r="AF14" s="31">
        <f t="shared" si="6"/>
        <v>125</v>
      </c>
    </row>
    <row r="15" spans="2:32" ht="23.1" customHeight="1" x14ac:dyDescent="0.25">
      <c r="B15" s="23" t="s">
        <v>42</v>
      </c>
      <c r="C15" s="50">
        <v>6</v>
      </c>
      <c r="D15" s="50">
        <v>6</v>
      </c>
      <c r="E15" s="50">
        <v>3</v>
      </c>
      <c r="F15" s="50">
        <v>3</v>
      </c>
      <c r="G15" s="50">
        <v>0</v>
      </c>
      <c r="H15" s="50">
        <v>1</v>
      </c>
      <c r="I15" s="50">
        <v>2</v>
      </c>
      <c r="J15" s="50">
        <v>0</v>
      </c>
      <c r="K15" s="50">
        <v>0</v>
      </c>
      <c r="L15" s="50">
        <v>0</v>
      </c>
      <c r="M15" s="50">
        <v>7</v>
      </c>
      <c r="N15" s="50">
        <v>0</v>
      </c>
      <c r="O15" s="15">
        <f t="shared" si="0"/>
        <v>21</v>
      </c>
      <c r="P15" s="15">
        <f t="shared" si="1"/>
        <v>28</v>
      </c>
      <c r="R15" s="1" t="s">
        <v>11</v>
      </c>
      <c r="S15" s="17">
        <f t="shared" ref="S15:AF15" si="7">SUM(C30:C33)</f>
        <v>18</v>
      </c>
      <c r="T15" s="17">
        <f t="shared" si="7"/>
        <v>14</v>
      </c>
      <c r="U15" s="17">
        <f t="shared" si="7"/>
        <v>7</v>
      </c>
      <c r="V15" s="17">
        <f t="shared" si="7"/>
        <v>17</v>
      </c>
      <c r="W15" s="17">
        <f t="shared" si="7"/>
        <v>2</v>
      </c>
      <c r="X15" s="17">
        <f t="shared" si="7"/>
        <v>6</v>
      </c>
      <c r="Y15" s="17">
        <f t="shared" si="7"/>
        <v>7</v>
      </c>
      <c r="Z15" s="17">
        <f t="shared" si="7"/>
        <v>2</v>
      </c>
      <c r="AA15" s="17">
        <f t="shared" si="7"/>
        <v>1</v>
      </c>
      <c r="AB15" s="17">
        <f t="shared" si="7"/>
        <v>12</v>
      </c>
      <c r="AC15" s="17">
        <f t="shared" si="7"/>
        <v>40</v>
      </c>
      <c r="AD15" s="17">
        <f t="shared" si="7"/>
        <v>0</v>
      </c>
      <c r="AE15" s="31">
        <f t="shared" si="7"/>
        <v>86</v>
      </c>
      <c r="AF15" s="31">
        <f t="shared" si="7"/>
        <v>126</v>
      </c>
    </row>
    <row r="16" spans="2:32" ht="23.1" customHeight="1" x14ac:dyDescent="0.25">
      <c r="B16" s="23" t="s">
        <v>43</v>
      </c>
      <c r="C16" s="50">
        <v>5</v>
      </c>
      <c r="D16" s="50">
        <v>3</v>
      </c>
      <c r="E16" s="50">
        <v>4</v>
      </c>
      <c r="F16" s="50">
        <v>4</v>
      </c>
      <c r="G16" s="50">
        <v>0</v>
      </c>
      <c r="H16" s="50">
        <v>1</v>
      </c>
      <c r="I16" s="50">
        <v>2</v>
      </c>
      <c r="J16" s="50">
        <v>3</v>
      </c>
      <c r="K16" s="50">
        <v>0</v>
      </c>
      <c r="L16" s="50">
        <v>0</v>
      </c>
      <c r="M16" s="50">
        <v>11</v>
      </c>
      <c r="N16" s="50">
        <v>0</v>
      </c>
      <c r="O16" s="15">
        <f t="shared" si="0"/>
        <v>22</v>
      </c>
      <c r="P16" s="15">
        <f t="shared" si="1"/>
        <v>33</v>
      </c>
      <c r="R16" s="1" t="s">
        <v>12</v>
      </c>
      <c r="S16" s="17">
        <f t="shared" ref="S16:AF16" si="8">SUM(C34:C37)</f>
        <v>38</v>
      </c>
      <c r="T16" s="17">
        <f t="shared" si="8"/>
        <v>13</v>
      </c>
      <c r="U16" s="17">
        <f t="shared" si="8"/>
        <v>6</v>
      </c>
      <c r="V16" s="17">
        <f t="shared" si="8"/>
        <v>16</v>
      </c>
      <c r="W16" s="17">
        <f t="shared" si="8"/>
        <v>0</v>
      </c>
      <c r="X16" s="17">
        <f t="shared" si="8"/>
        <v>3</v>
      </c>
      <c r="Y16" s="17">
        <f t="shared" si="8"/>
        <v>7</v>
      </c>
      <c r="Z16" s="17">
        <f t="shared" si="8"/>
        <v>5</v>
      </c>
      <c r="AA16" s="17">
        <f t="shared" si="8"/>
        <v>1</v>
      </c>
      <c r="AB16" s="17">
        <f t="shared" si="8"/>
        <v>7</v>
      </c>
      <c r="AC16" s="17">
        <f t="shared" si="8"/>
        <v>46</v>
      </c>
      <c r="AD16" s="17">
        <f t="shared" si="8"/>
        <v>0</v>
      </c>
      <c r="AE16" s="31">
        <f t="shared" si="8"/>
        <v>96</v>
      </c>
      <c r="AF16" s="31">
        <f t="shared" si="8"/>
        <v>142</v>
      </c>
    </row>
    <row r="17" spans="2:32" ht="23.1" customHeight="1" x14ac:dyDescent="0.25">
      <c r="B17" s="23" t="s">
        <v>44</v>
      </c>
      <c r="C17" s="50">
        <v>3</v>
      </c>
      <c r="D17" s="50">
        <v>11</v>
      </c>
      <c r="E17" s="50">
        <v>1</v>
      </c>
      <c r="F17" s="50">
        <v>6</v>
      </c>
      <c r="G17" s="50">
        <v>1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10</v>
      </c>
      <c r="N17" s="50">
        <v>0</v>
      </c>
      <c r="O17" s="15">
        <f t="shared" si="0"/>
        <v>23</v>
      </c>
      <c r="P17" s="15">
        <f t="shared" si="1"/>
        <v>33</v>
      </c>
      <c r="R17" s="1" t="s">
        <v>13</v>
      </c>
      <c r="S17" s="17">
        <f t="shared" ref="S17:AF17" si="9">SUM(C38:C41)</f>
        <v>37</v>
      </c>
      <c r="T17" s="17">
        <f t="shared" si="9"/>
        <v>14</v>
      </c>
      <c r="U17" s="17">
        <f t="shared" si="9"/>
        <v>7</v>
      </c>
      <c r="V17" s="17">
        <f t="shared" si="9"/>
        <v>20</v>
      </c>
      <c r="W17" s="17">
        <f t="shared" si="9"/>
        <v>0</v>
      </c>
      <c r="X17" s="17">
        <f t="shared" si="9"/>
        <v>3</v>
      </c>
      <c r="Y17" s="17">
        <f t="shared" si="9"/>
        <v>5</v>
      </c>
      <c r="Z17" s="17">
        <f t="shared" si="9"/>
        <v>5</v>
      </c>
      <c r="AA17" s="17">
        <f t="shared" si="9"/>
        <v>3</v>
      </c>
      <c r="AB17" s="17">
        <f t="shared" si="9"/>
        <v>9</v>
      </c>
      <c r="AC17" s="17">
        <f t="shared" si="9"/>
        <v>47</v>
      </c>
      <c r="AD17" s="17">
        <f t="shared" si="9"/>
        <v>0</v>
      </c>
      <c r="AE17" s="31">
        <f t="shared" si="9"/>
        <v>103</v>
      </c>
      <c r="AF17" s="31">
        <f t="shared" si="9"/>
        <v>150</v>
      </c>
    </row>
    <row r="18" spans="2:32" ht="23.1" customHeight="1" x14ac:dyDescent="0.25">
      <c r="B18" s="23" t="s">
        <v>45</v>
      </c>
      <c r="C18" s="50">
        <v>7</v>
      </c>
      <c r="D18" s="50">
        <v>6</v>
      </c>
      <c r="E18" s="50">
        <v>1</v>
      </c>
      <c r="F18" s="50">
        <v>3</v>
      </c>
      <c r="G18" s="50">
        <v>0</v>
      </c>
      <c r="H18" s="50">
        <v>1</v>
      </c>
      <c r="I18" s="50">
        <v>0</v>
      </c>
      <c r="J18" s="50">
        <v>0</v>
      </c>
      <c r="K18" s="50">
        <v>0</v>
      </c>
      <c r="L18" s="50">
        <v>2</v>
      </c>
      <c r="M18" s="50">
        <v>7</v>
      </c>
      <c r="N18" s="50">
        <v>0</v>
      </c>
      <c r="O18" s="15">
        <f t="shared" si="0"/>
        <v>20</v>
      </c>
      <c r="P18" s="15">
        <f t="shared" si="1"/>
        <v>27</v>
      </c>
      <c r="R18" s="1" t="s">
        <v>14</v>
      </c>
      <c r="S18" s="17">
        <f t="shared" ref="S18:AF18" si="10">SUM(C42:C45)</f>
        <v>35</v>
      </c>
      <c r="T18" s="17">
        <f t="shared" si="10"/>
        <v>17</v>
      </c>
      <c r="U18" s="17">
        <f t="shared" si="10"/>
        <v>6</v>
      </c>
      <c r="V18" s="17">
        <f t="shared" si="10"/>
        <v>19</v>
      </c>
      <c r="W18" s="17">
        <f t="shared" si="10"/>
        <v>0</v>
      </c>
      <c r="X18" s="17">
        <f t="shared" si="10"/>
        <v>7</v>
      </c>
      <c r="Y18" s="17">
        <f t="shared" si="10"/>
        <v>9</v>
      </c>
      <c r="Z18" s="17">
        <f t="shared" si="10"/>
        <v>7</v>
      </c>
      <c r="AA18" s="17">
        <f t="shared" si="10"/>
        <v>0</v>
      </c>
      <c r="AB18" s="17">
        <f t="shared" si="10"/>
        <v>3</v>
      </c>
      <c r="AC18" s="17">
        <f t="shared" si="10"/>
        <v>28</v>
      </c>
      <c r="AD18" s="17">
        <f t="shared" si="10"/>
        <v>1</v>
      </c>
      <c r="AE18" s="31">
        <f t="shared" si="10"/>
        <v>104</v>
      </c>
      <c r="AF18" s="31">
        <f t="shared" si="10"/>
        <v>132</v>
      </c>
    </row>
    <row r="19" spans="2:32" ht="23.1" customHeight="1" x14ac:dyDescent="0.25">
      <c r="B19" s="23" t="s">
        <v>46</v>
      </c>
      <c r="C19" s="50">
        <v>10</v>
      </c>
      <c r="D19" s="50">
        <v>5</v>
      </c>
      <c r="E19" s="50">
        <v>2</v>
      </c>
      <c r="F19" s="50">
        <v>3</v>
      </c>
      <c r="G19" s="50">
        <v>0</v>
      </c>
      <c r="H19" s="50">
        <v>2</v>
      </c>
      <c r="I19" s="50">
        <v>3</v>
      </c>
      <c r="J19" s="50">
        <v>1</v>
      </c>
      <c r="K19" s="50">
        <v>0</v>
      </c>
      <c r="L19" s="50">
        <v>3</v>
      </c>
      <c r="M19" s="50">
        <v>12</v>
      </c>
      <c r="N19" s="50">
        <v>0</v>
      </c>
      <c r="O19" s="15">
        <f t="shared" si="0"/>
        <v>29</v>
      </c>
      <c r="P19" s="15">
        <f t="shared" si="1"/>
        <v>41</v>
      </c>
      <c r="R19" s="1" t="s">
        <v>15</v>
      </c>
      <c r="S19" s="17">
        <f t="shared" ref="S19:AF19" si="11">SUM(C46:C49)</f>
        <v>30</v>
      </c>
      <c r="T19" s="17">
        <f t="shared" si="11"/>
        <v>25</v>
      </c>
      <c r="U19" s="17">
        <f t="shared" si="11"/>
        <v>8</v>
      </c>
      <c r="V19" s="17">
        <f t="shared" si="11"/>
        <v>15</v>
      </c>
      <c r="W19" s="17">
        <f t="shared" si="11"/>
        <v>0</v>
      </c>
      <c r="X19" s="17">
        <f t="shared" si="11"/>
        <v>8</v>
      </c>
      <c r="Y19" s="17">
        <f t="shared" si="11"/>
        <v>4</v>
      </c>
      <c r="Z19" s="17">
        <f t="shared" si="11"/>
        <v>7</v>
      </c>
      <c r="AA19" s="17">
        <f t="shared" si="11"/>
        <v>3</v>
      </c>
      <c r="AB19" s="17">
        <f t="shared" si="11"/>
        <v>5</v>
      </c>
      <c r="AC19" s="17">
        <f t="shared" si="11"/>
        <v>69</v>
      </c>
      <c r="AD19" s="17">
        <f t="shared" si="11"/>
        <v>0</v>
      </c>
      <c r="AE19" s="31">
        <f t="shared" si="11"/>
        <v>105</v>
      </c>
      <c r="AF19" s="31">
        <f t="shared" si="11"/>
        <v>174</v>
      </c>
    </row>
    <row r="20" spans="2:32" ht="23.1" customHeight="1" x14ac:dyDescent="0.25">
      <c r="B20" s="23" t="s">
        <v>47</v>
      </c>
      <c r="C20" s="50">
        <v>6</v>
      </c>
      <c r="D20" s="50">
        <v>5</v>
      </c>
      <c r="E20" s="50">
        <v>1</v>
      </c>
      <c r="F20" s="50">
        <v>2</v>
      </c>
      <c r="G20" s="50">
        <v>0</v>
      </c>
      <c r="H20" s="50">
        <v>1</v>
      </c>
      <c r="I20" s="50">
        <v>1</v>
      </c>
      <c r="J20" s="50">
        <v>1</v>
      </c>
      <c r="K20" s="50">
        <v>0</v>
      </c>
      <c r="L20" s="50">
        <v>2</v>
      </c>
      <c r="M20" s="50">
        <v>11</v>
      </c>
      <c r="N20" s="50">
        <v>0</v>
      </c>
      <c r="O20" s="15">
        <f t="shared" si="0"/>
        <v>19</v>
      </c>
      <c r="P20" s="15">
        <f t="shared" si="1"/>
        <v>30</v>
      </c>
      <c r="R20" s="1" t="s">
        <v>16</v>
      </c>
      <c r="S20" s="17">
        <f t="shared" ref="S20:AF20" si="12">SUM(C50:C53)</f>
        <v>48</v>
      </c>
      <c r="T20" s="17">
        <f t="shared" si="12"/>
        <v>32</v>
      </c>
      <c r="U20" s="17">
        <f t="shared" si="12"/>
        <v>11</v>
      </c>
      <c r="V20" s="17">
        <f t="shared" si="12"/>
        <v>22</v>
      </c>
      <c r="W20" s="17">
        <f t="shared" si="12"/>
        <v>1</v>
      </c>
      <c r="X20" s="17">
        <f t="shared" si="12"/>
        <v>6</v>
      </c>
      <c r="Y20" s="17">
        <f t="shared" si="12"/>
        <v>6</v>
      </c>
      <c r="Z20" s="17">
        <f t="shared" si="12"/>
        <v>11</v>
      </c>
      <c r="AA20" s="17">
        <f t="shared" si="12"/>
        <v>0</v>
      </c>
      <c r="AB20" s="17">
        <f t="shared" si="12"/>
        <v>4</v>
      </c>
      <c r="AC20" s="17">
        <f t="shared" si="12"/>
        <v>73</v>
      </c>
      <c r="AD20" s="17">
        <f t="shared" si="12"/>
        <v>0</v>
      </c>
      <c r="AE20" s="31">
        <f t="shared" si="12"/>
        <v>141</v>
      </c>
      <c r="AF20" s="31">
        <f t="shared" si="12"/>
        <v>214</v>
      </c>
    </row>
    <row r="21" spans="2:32" ht="23.1" customHeight="1" x14ac:dyDescent="0.25">
      <c r="B21" s="23" t="s">
        <v>48</v>
      </c>
      <c r="C21" s="50">
        <v>5</v>
      </c>
      <c r="D21" s="50">
        <v>7</v>
      </c>
      <c r="E21" s="50">
        <v>3</v>
      </c>
      <c r="F21" s="50">
        <v>3</v>
      </c>
      <c r="G21" s="50">
        <v>0</v>
      </c>
      <c r="H21" s="50">
        <v>0</v>
      </c>
      <c r="I21" s="50">
        <v>4</v>
      </c>
      <c r="J21" s="50">
        <v>1</v>
      </c>
      <c r="K21" s="50">
        <v>0</v>
      </c>
      <c r="L21" s="50">
        <v>3</v>
      </c>
      <c r="M21" s="50">
        <v>15</v>
      </c>
      <c r="N21" s="50">
        <v>0</v>
      </c>
      <c r="O21" s="15">
        <f t="shared" si="0"/>
        <v>26</v>
      </c>
      <c r="P21" s="15">
        <f t="shared" si="1"/>
        <v>41</v>
      </c>
      <c r="R21" s="36" t="s">
        <v>20</v>
      </c>
      <c r="S21" s="34">
        <f t="shared" ref="S21:AF21" si="13">SUM(C54:C57)</f>
        <v>63</v>
      </c>
      <c r="T21" s="17">
        <f t="shared" si="13"/>
        <v>19</v>
      </c>
      <c r="U21" s="17">
        <f t="shared" si="13"/>
        <v>12</v>
      </c>
      <c r="V21" s="17">
        <f t="shared" si="13"/>
        <v>26</v>
      </c>
      <c r="W21" s="17">
        <f t="shared" si="13"/>
        <v>1</v>
      </c>
      <c r="X21" s="17">
        <f t="shared" si="13"/>
        <v>7</v>
      </c>
      <c r="Y21" s="17">
        <f t="shared" si="13"/>
        <v>5</v>
      </c>
      <c r="Z21" s="17">
        <f t="shared" si="13"/>
        <v>7</v>
      </c>
      <c r="AA21" s="17">
        <f t="shared" si="13"/>
        <v>4</v>
      </c>
      <c r="AB21" s="17">
        <f t="shared" si="13"/>
        <v>7</v>
      </c>
      <c r="AC21" s="17">
        <f t="shared" si="13"/>
        <v>79</v>
      </c>
      <c r="AD21" s="17">
        <f t="shared" si="13"/>
        <v>0</v>
      </c>
      <c r="AE21" s="31">
        <f t="shared" si="13"/>
        <v>151</v>
      </c>
      <c r="AF21" s="31">
        <f t="shared" si="13"/>
        <v>230</v>
      </c>
    </row>
    <row r="22" spans="2:32" ht="23.1" customHeight="1" x14ac:dyDescent="0.25">
      <c r="B22" s="23" t="s">
        <v>49</v>
      </c>
      <c r="C22" s="50">
        <v>8</v>
      </c>
      <c r="D22" s="50">
        <v>1</v>
      </c>
      <c r="E22" s="50">
        <v>10</v>
      </c>
      <c r="F22" s="50">
        <v>7</v>
      </c>
      <c r="G22" s="50">
        <v>0</v>
      </c>
      <c r="H22" s="50">
        <v>0</v>
      </c>
      <c r="I22" s="50">
        <v>0</v>
      </c>
      <c r="J22" s="50">
        <v>2</v>
      </c>
      <c r="K22" s="50">
        <v>4</v>
      </c>
      <c r="L22" s="50">
        <v>5</v>
      </c>
      <c r="M22" s="50">
        <v>7</v>
      </c>
      <c r="N22" s="50">
        <v>0</v>
      </c>
      <c r="O22" s="15">
        <f t="shared" si="0"/>
        <v>37</v>
      </c>
      <c r="P22" s="15">
        <f t="shared" si="1"/>
        <v>44</v>
      </c>
      <c r="R22" s="38" t="s">
        <v>90</v>
      </c>
      <c r="S22" s="39">
        <f>MAX(S10:S12)</f>
        <v>28</v>
      </c>
      <c r="T22" s="39">
        <f t="shared" ref="T22:AF22" si="14">MAX(T10:T12)</f>
        <v>25</v>
      </c>
      <c r="U22" s="39">
        <f t="shared" si="14"/>
        <v>10</v>
      </c>
      <c r="V22" s="39">
        <f t="shared" si="14"/>
        <v>15</v>
      </c>
      <c r="W22" s="39">
        <f t="shared" si="14"/>
        <v>1</v>
      </c>
      <c r="X22" s="39">
        <f t="shared" si="14"/>
        <v>4</v>
      </c>
      <c r="Y22" s="39">
        <f t="shared" si="14"/>
        <v>8</v>
      </c>
      <c r="Z22" s="39">
        <f t="shared" si="14"/>
        <v>5</v>
      </c>
      <c r="AA22" s="39">
        <f t="shared" si="14"/>
        <v>5</v>
      </c>
      <c r="AB22" s="39">
        <f t="shared" si="14"/>
        <v>10</v>
      </c>
      <c r="AC22" s="39">
        <f t="shared" si="14"/>
        <v>45</v>
      </c>
      <c r="AD22" s="39">
        <f t="shared" si="14"/>
        <v>0</v>
      </c>
      <c r="AE22" s="40">
        <f t="shared" si="14"/>
        <v>94</v>
      </c>
      <c r="AF22" s="40">
        <f t="shared" si="14"/>
        <v>139</v>
      </c>
    </row>
    <row r="23" spans="2:32" ht="23.1" customHeight="1" x14ac:dyDescent="0.25">
      <c r="B23" s="23" t="s">
        <v>50</v>
      </c>
      <c r="C23" s="50">
        <v>6</v>
      </c>
      <c r="D23" s="50">
        <v>2</v>
      </c>
      <c r="E23" s="50">
        <v>3</v>
      </c>
      <c r="F23" s="50">
        <v>6</v>
      </c>
      <c r="G23" s="50">
        <v>0</v>
      </c>
      <c r="H23" s="50">
        <v>1</v>
      </c>
      <c r="I23" s="50">
        <v>3</v>
      </c>
      <c r="J23" s="50">
        <v>0</v>
      </c>
      <c r="K23" s="50">
        <v>0</v>
      </c>
      <c r="L23" s="50">
        <v>1</v>
      </c>
      <c r="M23" s="50">
        <v>10</v>
      </c>
      <c r="N23" s="50">
        <v>0</v>
      </c>
      <c r="O23" s="15">
        <f t="shared" si="0"/>
        <v>22</v>
      </c>
      <c r="P23" s="15">
        <f t="shared" si="1"/>
        <v>32</v>
      </c>
      <c r="R23" s="38" t="s">
        <v>91</v>
      </c>
      <c r="S23" s="39">
        <f>MAX(S13:S18)</f>
        <v>38</v>
      </c>
      <c r="T23" s="39">
        <f t="shared" ref="T23:AF23" si="15">MAX(T13:T18)</f>
        <v>17</v>
      </c>
      <c r="U23" s="39">
        <f t="shared" si="15"/>
        <v>18</v>
      </c>
      <c r="V23" s="39">
        <f t="shared" si="15"/>
        <v>22</v>
      </c>
      <c r="W23" s="39">
        <f t="shared" si="15"/>
        <v>2</v>
      </c>
      <c r="X23" s="39">
        <f t="shared" si="15"/>
        <v>7</v>
      </c>
      <c r="Y23" s="39">
        <f t="shared" si="15"/>
        <v>9</v>
      </c>
      <c r="Z23" s="39">
        <f t="shared" si="15"/>
        <v>7</v>
      </c>
      <c r="AA23" s="39">
        <f t="shared" si="15"/>
        <v>13</v>
      </c>
      <c r="AB23" s="39">
        <f t="shared" si="15"/>
        <v>12</v>
      </c>
      <c r="AC23" s="39">
        <f t="shared" si="15"/>
        <v>47</v>
      </c>
      <c r="AD23" s="39">
        <f t="shared" si="15"/>
        <v>1</v>
      </c>
      <c r="AE23" s="40">
        <f t="shared" si="15"/>
        <v>104</v>
      </c>
      <c r="AF23" s="40">
        <f t="shared" si="15"/>
        <v>150</v>
      </c>
    </row>
    <row r="24" spans="2:32" ht="23.1" customHeight="1" x14ac:dyDescent="0.25">
      <c r="B24" s="23" t="s">
        <v>51</v>
      </c>
      <c r="C24" s="50">
        <v>5</v>
      </c>
      <c r="D24" s="50">
        <v>1</v>
      </c>
      <c r="E24" s="50">
        <v>4</v>
      </c>
      <c r="F24" s="50">
        <v>4</v>
      </c>
      <c r="G24" s="50">
        <v>1</v>
      </c>
      <c r="H24" s="50">
        <v>2</v>
      </c>
      <c r="I24" s="50">
        <v>1</v>
      </c>
      <c r="J24" s="50">
        <v>2</v>
      </c>
      <c r="K24" s="50">
        <v>3</v>
      </c>
      <c r="L24" s="50">
        <v>2</v>
      </c>
      <c r="M24" s="50">
        <v>10</v>
      </c>
      <c r="N24" s="50">
        <v>0</v>
      </c>
      <c r="O24" s="15">
        <f t="shared" si="0"/>
        <v>25</v>
      </c>
      <c r="P24" s="15">
        <f t="shared" si="1"/>
        <v>35</v>
      </c>
      <c r="R24" s="38" t="s">
        <v>92</v>
      </c>
      <c r="S24" s="39">
        <f>MAX(S19:S21)</f>
        <v>63</v>
      </c>
      <c r="T24" s="39">
        <f t="shared" ref="T24:AF24" si="16">MAX(T19:T21)</f>
        <v>32</v>
      </c>
      <c r="U24" s="39">
        <f t="shared" si="16"/>
        <v>12</v>
      </c>
      <c r="V24" s="39">
        <f t="shared" si="16"/>
        <v>26</v>
      </c>
      <c r="W24" s="39">
        <f t="shared" si="16"/>
        <v>1</v>
      </c>
      <c r="X24" s="39">
        <f t="shared" si="16"/>
        <v>8</v>
      </c>
      <c r="Y24" s="39">
        <f t="shared" si="16"/>
        <v>6</v>
      </c>
      <c r="Z24" s="39">
        <f t="shared" si="16"/>
        <v>11</v>
      </c>
      <c r="AA24" s="39">
        <f t="shared" si="16"/>
        <v>4</v>
      </c>
      <c r="AB24" s="39">
        <f t="shared" si="16"/>
        <v>7</v>
      </c>
      <c r="AC24" s="39">
        <f t="shared" si="16"/>
        <v>79</v>
      </c>
      <c r="AD24" s="39">
        <f t="shared" si="16"/>
        <v>0</v>
      </c>
      <c r="AE24" s="40">
        <f t="shared" si="16"/>
        <v>151</v>
      </c>
      <c r="AF24" s="40">
        <f t="shared" si="16"/>
        <v>230</v>
      </c>
    </row>
    <row r="25" spans="2:32" ht="23.1" customHeight="1" x14ac:dyDescent="0.25">
      <c r="B25" s="23" t="s">
        <v>52</v>
      </c>
      <c r="C25" s="50">
        <v>8</v>
      </c>
      <c r="D25" s="50">
        <v>3</v>
      </c>
      <c r="E25" s="50">
        <v>1</v>
      </c>
      <c r="F25" s="50">
        <v>5</v>
      </c>
      <c r="G25" s="50">
        <v>0</v>
      </c>
      <c r="H25" s="50">
        <v>1</v>
      </c>
      <c r="I25" s="50">
        <v>0</v>
      </c>
      <c r="J25" s="50">
        <v>0</v>
      </c>
      <c r="K25" s="50">
        <v>0</v>
      </c>
      <c r="L25" s="50">
        <v>1</v>
      </c>
      <c r="M25" s="50">
        <v>7</v>
      </c>
      <c r="N25" s="50">
        <v>0</v>
      </c>
      <c r="O25" s="15">
        <f t="shared" si="0"/>
        <v>19</v>
      </c>
      <c r="P25" s="15">
        <f t="shared" si="1"/>
        <v>26</v>
      </c>
      <c r="R25" s="37" t="s">
        <v>85</v>
      </c>
      <c r="S25" s="35">
        <f t="shared" ref="S25:AF25" si="17">SUM(S10:S12)</f>
        <v>68</v>
      </c>
      <c r="T25" s="16">
        <f t="shared" si="17"/>
        <v>59</v>
      </c>
      <c r="U25" s="16">
        <f t="shared" si="17"/>
        <v>23</v>
      </c>
      <c r="V25" s="16">
        <f t="shared" si="17"/>
        <v>34</v>
      </c>
      <c r="W25" s="16">
        <f t="shared" si="17"/>
        <v>1</v>
      </c>
      <c r="X25" s="16">
        <f t="shared" si="17"/>
        <v>7</v>
      </c>
      <c r="Y25" s="16">
        <f t="shared" si="17"/>
        <v>20</v>
      </c>
      <c r="Z25" s="16">
        <f t="shared" si="17"/>
        <v>11</v>
      </c>
      <c r="AA25" s="16">
        <f t="shared" si="17"/>
        <v>6</v>
      </c>
      <c r="AB25" s="16">
        <f t="shared" si="17"/>
        <v>17</v>
      </c>
      <c r="AC25" s="16">
        <f t="shared" si="17"/>
        <v>114</v>
      </c>
      <c r="AD25" s="16">
        <f t="shared" si="17"/>
        <v>0</v>
      </c>
      <c r="AE25" s="32">
        <f t="shared" si="17"/>
        <v>246</v>
      </c>
      <c r="AF25" s="32">
        <f t="shared" si="17"/>
        <v>360</v>
      </c>
    </row>
    <row r="26" spans="2:32" ht="23.1" customHeight="1" x14ac:dyDescent="0.25">
      <c r="B26" s="23" t="s">
        <v>53</v>
      </c>
      <c r="C26" s="50">
        <v>10</v>
      </c>
      <c r="D26" s="50">
        <v>4</v>
      </c>
      <c r="E26" s="50">
        <v>4</v>
      </c>
      <c r="F26" s="50">
        <v>4</v>
      </c>
      <c r="G26" s="50">
        <v>0</v>
      </c>
      <c r="H26" s="50">
        <v>1</v>
      </c>
      <c r="I26" s="50">
        <v>0</v>
      </c>
      <c r="J26" s="50">
        <v>1</v>
      </c>
      <c r="K26" s="50">
        <v>10</v>
      </c>
      <c r="L26" s="50">
        <v>2</v>
      </c>
      <c r="M26" s="50">
        <v>11</v>
      </c>
      <c r="N26" s="50">
        <v>0</v>
      </c>
      <c r="O26" s="15">
        <f t="shared" si="0"/>
        <v>36</v>
      </c>
      <c r="P26" s="15">
        <f t="shared" si="1"/>
        <v>47</v>
      </c>
      <c r="R26" s="28" t="s">
        <v>86</v>
      </c>
      <c r="S26" s="16">
        <f t="shared" ref="S26:AF26" si="18">SUM(S13:S18)</f>
        <v>192</v>
      </c>
      <c r="T26" s="16">
        <f t="shared" si="18"/>
        <v>76</v>
      </c>
      <c r="U26" s="16">
        <f t="shared" si="18"/>
        <v>53</v>
      </c>
      <c r="V26" s="16">
        <f t="shared" si="18"/>
        <v>112</v>
      </c>
      <c r="W26" s="16">
        <f t="shared" si="18"/>
        <v>3</v>
      </c>
      <c r="X26" s="16">
        <f t="shared" si="18"/>
        <v>26</v>
      </c>
      <c r="Y26" s="16">
        <f t="shared" si="18"/>
        <v>32</v>
      </c>
      <c r="Z26" s="16">
        <f t="shared" si="18"/>
        <v>27</v>
      </c>
      <c r="AA26" s="16">
        <f t="shared" si="18"/>
        <v>25</v>
      </c>
      <c r="AB26" s="16">
        <f t="shared" si="18"/>
        <v>46</v>
      </c>
      <c r="AC26" s="16">
        <f t="shared" si="18"/>
        <v>219</v>
      </c>
      <c r="AD26" s="16">
        <f t="shared" si="18"/>
        <v>1</v>
      </c>
      <c r="AE26" s="32">
        <f t="shared" si="18"/>
        <v>593</v>
      </c>
      <c r="AF26" s="32">
        <f t="shared" si="18"/>
        <v>812</v>
      </c>
    </row>
    <row r="27" spans="2:32" ht="23.1" customHeight="1" x14ac:dyDescent="0.25">
      <c r="B27" s="23" t="s">
        <v>54</v>
      </c>
      <c r="C27" s="50">
        <v>7</v>
      </c>
      <c r="D27" s="50">
        <v>5</v>
      </c>
      <c r="E27" s="50">
        <v>1</v>
      </c>
      <c r="F27" s="50">
        <v>2</v>
      </c>
      <c r="G27" s="50">
        <v>0</v>
      </c>
      <c r="H27" s="50">
        <v>1</v>
      </c>
      <c r="I27" s="50">
        <v>0</v>
      </c>
      <c r="J27" s="50">
        <v>1</v>
      </c>
      <c r="K27" s="50">
        <v>1</v>
      </c>
      <c r="L27" s="50">
        <v>1</v>
      </c>
      <c r="M27" s="50">
        <v>4</v>
      </c>
      <c r="N27" s="50">
        <v>0</v>
      </c>
      <c r="O27" s="15">
        <f t="shared" si="0"/>
        <v>19</v>
      </c>
      <c r="P27" s="15">
        <f t="shared" si="1"/>
        <v>23</v>
      </c>
      <c r="R27" s="29" t="s">
        <v>87</v>
      </c>
      <c r="S27" s="16">
        <f t="shared" ref="S27:AF27" si="19">SUM(S19:S21)</f>
        <v>141</v>
      </c>
      <c r="T27" s="16">
        <f t="shared" si="19"/>
        <v>76</v>
      </c>
      <c r="U27" s="16">
        <f t="shared" si="19"/>
        <v>31</v>
      </c>
      <c r="V27" s="16">
        <f t="shared" si="19"/>
        <v>63</v>
      </c>
      <c r="W27" s="16">
        <f t="shared" si="19"/>
        <v>2</v>
      </c>
      <c r="X27" s="16">
        <f t="shared" si="19"/>
        <v>21</v>
      </c>
      <c r="Y27" s="16">
        <f t="shared" si="19"/>
        <v>15</v>
      </c>
      <c r="Z27" s="16">
        <f t="shared" si="19"/>
        <v>25</v>
      </c>
      <c r="AA27" s="16">
        <f t="shared" si="19"/>
        <v>7</v>
      </c>
      <c r="AB27" s="16">
        <f t="shared" si="19"/>
        <v>16</v>
      </c>
      <c r="AC27" s="16">
        <f t="shared" si="19"/>
        <v>221</v>
      </c>
      <c r="AD27" s="16">
        <f t="shared" si="19"/>
        <v>0</v>
      </c>
      <c r="AE27" s="32">
        <f t="shared" si="19"/>
        <v>397</v>
      </c>
      <c r="AF27" s="32">
        <f t="shared" si="19"/>
        <v>618</v>
      </c>
    </row>
    <row r="28" spans="2:32" ht="23.1" customHeight="1" x14ac:dyDescent="0.25">
      <c r="B28" s="23" t="s">
        <v>55</v>
      </c>
      <c r="C28" s="50">
        <v>10</v>
      </c>
      <c r="D28" s="50">
        <v>1</v>
      </c>
      <c r="E28" s="50">
        <v>2</v>
      </c>
      <c r="F28" s="50">
        <v>7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6</v>
      </c>
      <c r="N28" s="50">
        <v>0</v>
      </c>
      <c r="O28" s="15">
        <f t="shared" si="0"/>
        <v>20</v>
      </c>
      <c r="P28" s="15">
        <f t="shared" si="1"/>
        <v>26</v>
      </c>
      <c r="R28" s="5" t="s">
        <v>17</v>
      </c>
      <c r="S28" s="16">
        <f t="shared" ref="S28:AF28" si="20">SUM(S10:S21)</f>
        <v>401</v>
      </c>
      <c r="T28" s="16">
        <f t="shared" si="20"/>
        <v>211</v>
      </c>
      <c r="U28" s="16">
        <f t="shared" si="20"/>
        <v>107</v>
      </c>
      <c r="V28" s="16">
        <f t="shared" si="20"/>
        <v>209</v>
      </c>
      <c r="W28" s="16">
        <f t="shared" si="20"/>
        <v>6</v>
      </c>
      <c r="X28" s="16">
        <f t="shared" si="20"/>
        <v>54</v>
      </c>
      <c r="Y28" s="16">
        <f t="shared" si="20"/>
        <v>67</v>
      </c>
      <c r="Z28" s="16">
        <f t="shared" si="20"/>
        <v>63</v>
      </c>
      <c r="AA28" s="16">
        <f t="shared" si="20"/>
        <v>38</v>
      </c>
      <c r="AB28" s="16">
        <f t="shared" si="20"/>
        <v>79</v>
      </c>
      <c r="AC28" s="16">
        <f t="shared" si="20"/>
        <v>554</v>
      </c>
      <c r="AD28" s="16">
        <f t="shared" si="20"/>
        <v>1</v>
      </c>
      <c r="AE28" s="32">
        <f t="shared" si="20"/>
        <v>1236</v>
      </c>
      <c r="AF28" s="32">
        <f t="shared" si="20"/>
        <v>1790</v>
      </c>
    </row>
    <row r="29" spans="2:32" ht="23.1" customHeight="1" x14ac:dyDescent="0.25">
      <c r="B29" s="23" t="s">
        <v>56</v>
      </c>
      <c r="C29" s="50">
        <v>10</v>
      </c>
      <c r="D29" s="50">
        <v>1</v>
      </c>
      <c r="E29" s="50">
        <v>2</v>
      </c>
      <c r="F29" s="50">
        <v>5</v>
      </c>
      <c r="G29" s="50">
        <v>0</v>
      </c>
      <c r="H29" s="50">
        <v>1</v>
      </c>
      <c r="I29" s="50">
        <v>0</v>
      </c>
      <c r="J29" s="50">
        <v>2</v>
      </c>
      <c r="K29" s="50">
        <v>2</v>
      </c>
      <c r="L29" s="50">
        <v>3</v>
      </c>
      <c r="M29" s="50">
        <v>3</v>
      </c>
      <c r="N29" s="50">
        <v>0</v>
      </c>
      <c r="O29" s="15">
        <f t="shared" si="0"/>
        <v>26</v>
      </c>
      <c r="P29" s="15">
        <f t="shared" si="1"/>
        <v>29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5</v>
      </c>
      <c r="E30" s="50">
        <v>5</v>
      </c>
      <c r="F30" s="50">
        <v>2</v>
      </c>
      <c r="G30" s="50">
        <v>0</v>
      </c>
      <c r="H30" s="50">
        <v>2</v>
      </c>
      <c r="I30" s="50">
        <v>2</v>
      </c>
      <c r="J30" s="50">
        <v>2</v>
      </c>
      <c r="K30" s="50">
        <v>1</v>
      </c>
      <c r="L30" s="50">
        <v>3</v>
      </c>
      <c r="M30" s="50">
        <v>8</v>
      </c>
      <c r="N30" s="50">
        <v>0</v>
      </c>
      <c r="O30" s="15">
        <f t="shared" si="0"/>
        <v>25</v>
      </c>
      <c r="P30" s="15">
        <f t="shared" si="1"/>
        <v>33</v>
      </c>
    </row>
    <row r="31" spans="2:32" ht="23.1" customHeight="1" x14ac:dyDescent="0.25">
      <c r="B31" s="24" t="s">
        <v>58</v>
      </c>
      <c r="C31" s="50">
        <v>4</v>
      </c>
      <c r="D31" s="50">
        <v>3</v>
      </c>
      <c r="E31" s="50">
        <v>1</v>
      </c>
      <c r="F31" s="50">
        <v>6</v>
      </c>
      <c r="G31" s="50">
        <v>0</v>
      </c>
      <c r="H31" s="50">
        <v>2</v>
      </c>
      <c r="I31" s="50">
        <v>3</v>
      </c>
      <c r="J31" s="50">
        <v>0</v>
      </c>
      <c r="K31" s="50">
        <v>0</v>
      </c>
      <c r="L31" s="50">
        <v>4</v>
      </c>
      <c r="M31" s="50">
        <v>7</v>
      </c>
      <c r="N31" s="50">
        <v>0</v>
      </c>
      <c r="O31" s="15">
        <f t="shared" si="0"/>
        <v>23</v>
      </c>
      <c r="P31" s="15">
        <f t="shared" si="1"/>
        <v>30</v>
      </c>
    </row>
    <row r="32" spans="2:32" ht="23.1" customHeight="1" x14ac:dyDescent="0.25">
      <c r="B32" s="24" t="s">
        <v>59</v>
      </c>
      <c r="C32" s="50">
        <v>4</v>
      </c>
      <c r="D32" s="50">
        <v>2</v>
      </c>
      <c r="E32" s="50">
        <v>0</v>
      </c>
      <c r="F32" s="50">
        <v>4</v>
      </c>
      <c r="G32" s="50">
        <v>0</v>
      </c>
      <c r="H32" s="50">
        <v>1</v>
      </c>
      <c r="I32" s="50">
        <v>2</v>
      </c>
      <c r="J32" s="50">
        <v>0</v>
      </c>
      <c r="K32" s="50">
        <v>0</v>
      </c>
      <c r="L32" s="50">
        <v>3</v>
      </c>
      <c r="M32" s="50">
        <v>11</v>
      </c>
      <c r="N32" s="50">
        <v>0</v>
      </c>
      <c r="O32" s="15">
        <f t="shared" si="0"/>
        <v>16</v>
      </c>
      <c r="P32" s="15">
        <f t="shared" si="1"/>
        <v>27</v>
      </c>
    </row>
    <row r="33" spans="2:20" ht="23.1" customHeight="1" x14ac:dyDescent="0.25">
      <c r="B33" s="23" t="s">
        <v>60</v>
      </c>
      <c r="C33" s="50">
        <v>7</v>
      </c>
      <c r="D33" s="50">
        <v>4</v>
      </c>
      <c r="E33" s="50">
        <v>1</v>
      </c>
      <c r="F33" s="50">
        <v>5</v>
      </c>
      <c r="G33" s="50">
        <v>2</v>
      </c>
      <c r="H33" s="50">
        <v>1</v>
      </c>
      <c r="I33" s="50">
        <v>0</v>
      </c>
      <c r="J33" s="50">
        <v>0</v>
      </c>
      <c r="K33" s="50">
        <v>0</v>
      </c>
      <c r="L33" s="50">
        <v>2</v>
      </c>
      <c r="M33" s="50">
        <v>14</v>
      </c>
      <c r="N33" s="50">
        <v>0</v>
      </c>
      <c r="O33" s="15">
        <f t="shared" si="0"/>
        <v>22</v>
      </c>
      <c r="P33" s="15">
        <f t="shared" si="1"/>
        <v>36</v>
      </c>
    </row>
    <row r="34" spans="2:20" ht="23.1" customHeight="1" x14ac:dyDescent="0.25">
      <c r="B34" s="24" t="s">
        <v>61</v>
      </c>
      <c r="C34" s="50">
        <v>8</v>
      </c>
      <c r="D34" s="50">
        <v>2</v>
      </c>
      <c r="E34" s="50">
        <v>0</v>
      </c>
      <c r="F34" s="50">
        <v>5</v>
      </c>
      <c r="G34" s="50">
        <v>0</v>
      </c>
      <c r="H34" s="50">
        <v>1</v>
      </c>
      <c r="I34" s="50">
        <v>0</v>
      </c>
      <c r="J34" s="50">
        <v>0</v>
      </c>
      <c r="K34" s="50">
        <v>0</v>
      </c>
      <c r="L34" s="50">
        <v>0</v>
      </c>
      <c r="M34" s="50">
        <v>15</v>
      </c>
      <c r="N34" s="50">
        <v>0</v>
      </c>
      <c r="O34" s="15">
        <f t="shared" si="0"/>
        <v>16</v>
      </c>
      <c r="P34" s="15">
        <f t="shared" si="1"/>
        <v>31</v>
      </c>
    </row>
    <row r="35" spans="2:20" ht="23.1" customHeight="1" x14ac:dyDescent="0.25">
      <c r="B35" s="24" t="s">
        <v>62</v>
      </c>
      <c r="C35" s="50">
        <v>9</v>
      </c>
      <c r="D35" s="50">
        <v>5</v>
      </c>
      <c r="E35" s="50">
        <v>2</v>
      </c>
      <c r="F35" s="50">
        <v>6</v>
      </c>
      <c r="G35" s="50">
        <v>0</v>
      </c>
      <c r="H35" s="50">
        <v>1</v>
      </c>
      <c r="I35" s="50">
        <v>1</v>
      </c>
      <c r="J35" s="50">
        <v>2</v>
      </c>
      <c r="K35" s="50">
        <v>1</v>
      </c>
      <c r="L35" s="50">
        <v>5</v>
      </c>
      <c r="M35" s="50">
        <v>9</v>
      </c>
      <c r="N35" s="50">
        <v>0</v>
      </c>
      <c r="O35" s="15">
        <f t="shared" si="0"/>
        <v>32</v>
      </c>
      <c r="P35" s="15">
        <f t="shared" si="1"/>
        <v>41</v>
      </c>
    </row>
    <row r="36" spans="2:20" ht="23.1" customHeight="1" x14ac:dyDescent="0.25">
      <c r="B36" s="24" t="s">
        <v>63</v>
      </c>
      <c r="C36" s="50">
        <v>17</v>
      </c>
      <c r="D36" s="50">
        <v>5</v>
      </c>
      <c r="E36" s="50">
        <v>4</v>
      </c>
      <c r="F36" s="50">
        <v>2</v>
      </c>
      <c r="G36" s="50">
        <v>0</v>
      </c>
      <c r="H36" s="50">
        <v>0</v>
      </c>
      <c r="I36" s="50">
        <v>3</v>
      </c>
      <c r="J36" s="50">
        <v>1</v>
      </c>
      <c r="K36" s="50">
        <v>0</v>
      </c>
      <c r="L36" s="50">
        <v>2</v>
      </c>
      <c r="M36" s="50">
        <v>9</v>
      </c>
      <c r="N36" s="50">
        <v>0</v>
      </c>
      <c r="O36" s="15">
        <f t="shared" si="0"/>
        <v>34</v>
      </c>
      <c r="P36" s="15">
        <f t="shared" si="1"/>
        <v>43</v>
      </c>
    </row>
    <row r="37" spans="2:20" ht="23.1" customHeight="1" x14ac:dyDescent="0.25">
      <c r="B37" s="23" t="s">
        <v>64</v>
      </c>
      <c r="C37" s="50">
        <v>4</v>
      </c>
      <c r="D37" s="50">
        <v>1</v>
      </c>
      <c r="E37" s="50">
        <v>0</v>
      </c>
      <c r="F37" s="50">
        <v>3</v>
      </c>
      <c r="G37" s="50">
        <v>0</v>
      </c>
      <c r="H37" s="50">
        <v>1</v>
      </c>
      <c r="I37" s="50">
        <v>3</v>
      </c>
      <c r="J37" s="50">
        <v>2</v>
      </c>
      <c r="K37" s="50">
        <v>0</v>
      </c>
      <c r="L37" s="50">
        <v>0</v>
      </c>
      <c r="M37" s="50">
        <v>13</v>
      </c>
      <c r="N37" s="50">
        <v>0</v>
      </c>
      <c r="O37" s="15">
        <f t="shared" si="0"/>
        <v>14</v>
      </c>
      <c r="P37" s="15">
        <f t="shared" si="1"/>
        <v>27</v>
      </c>
    </row>
    <row r="38" spans="2:20" ht="23.1" customHeight="1" x14ac:dyDescent="0.25">
      <c r="B38" s="24" t="s">
        <v>65</v>
      </c>
      <c r="C38" s="50">
        <v>7</v>
      </c>
      <c r="D38" s="50">
        <v>3</v>
      </c>
      <c r="E38" s="50">
        <v>1</v>
      </c>
      <c r="F38" s="50">
        <v>8</v>
      </c>
      <c r="G38" s="50">
        <v>0</v>
      </c>
      <c r="H38" s="50">
        <v>0</v>
      </c>
      <c r="I38" s="50">
        <v>3</v>
      </c>
      <c r="J38" s="50">
        <v>1</v>
      </c>
      <c r="K38" s="50">
        <v>0</v>
      </c>
      <c r="L38" s="50">
        <v>3</v>
      </c>
      <c r="M38" s="50">
        <v>10</v>
      </c>
      <c r="N38" s="50">
        <v>0</v>
      </c>
      <c r="O38" s="15">
        <f t="shared" si="0"/>
        <v>26</v>
      </c>
      <c r="P38" s="15">
        <f t="shared" si="1"/>
        <v>36</v>
      </c>
    </row>
    <row r="39" spans="2:20" ht="23.1" customHeight="1" x14ac:dyDescent="0.25">
      <c r="B39" s="24" t="s">
        <v>66</v>
      </c>
      <c r="C39" s="50">
        <v>6</v>
      </c>
      <c r="D39" s="50">
        <v>5</v>
      </c>
      <c r="E39" s="50">
        <v>3</v>
      </c>
      <c r="F39" s="50">
        <v>4</v>
      </c>
      <c r="G39" s="50">
        <v>0</v>
      </c>
      <c r="H39" s="50">
        <v>2</v>
      </c>
      <c r="I39" s="50">
        <v>0</v>
      </c>
      <c r="J39" s="50">
        <v>2</v>
      </c>
      <c r="K39" s="50">
        <v>0</v>
      </c>
      <c r="L39" s="50">
        <v>1</v>
      </c>
      <c r="M39" s="50">
        <v>18</v>
      </c>
      <c r="N39" s="50">
        <v>0</v>
      </c>
      <c r="O39" s="15">
        <f t="shared" si="0"/>
        <v>23</v>
      </c>
      <c r="P39" s="15">
        <f t="shared" si="1"/>
        <v>41</v>
      </c>
    </row>
    <row r="40" spans="2:20" ht="23.1" customHeight="1" x14ac:dyDescent="0.25">
      <c r="B40" s="24" t="s">
        <v>67</v>
      </c>
      <c r="C40" s="50">
        <v>11</v>
      </c>
      <c r="D40" s="50">
        <v>2</v>
      </c>
      <c r="E40" s="50">
        <v>1</v>
      </c>
      <c r="F40" s="50">
        <v>3</v>
      </c>
      <c r="G40" s="50">
        <v>0</v>
      </c>
      <c r="H40" s="50">
        <v>1</v>
      </c>
      <c r="I40" s="50">
        <v>2</v>
      </c>
      <c r="J40" s="50">
        <v>2</v>
      </c>
      <c r="K40" s="50">
        <v>0</v>
      </c>
      <c r="L40" s="50">
        <v>3</v>
      </c>
      <c r="M40" s="50">
        <v>10</v>
      </c>
      <c r="N40" s="50">
        <v>0</v>
      </c>
      <c r="O40" s="15">
        <f t="shared" si="0"/>
        <v>25</v>
      </c>
      <c r="P40" s="15">
        <f t="shared" si="1"/>
        <v>35</v>
      </c>
    </row>
    <row r="41" spans="2:20" ht="23.1" customHeight="1" x14ac:dyDescent="0.25">
      <c r="B41" s="23" t="s">
        <v>68</v>
      </c>
      <c r="C41" s="50">
        <v>13</v>
      </c>
      <c r="D41" s="50">
        <v>4</v>
      </c>
      <c r="E41" s="50">
        <v>2</v>
      </c>
      <c r="F41" s="50">
        <v>5</v>
      </c>
      <c r="G41" s="50">
        <v>0</v>
      </c>
      <c r="H41" s="50">
        <v>0</v>
      </c>
      <c r="I41" s="50">
        <v>0</v>
      </c>
      <c r="J41" s="50">
        <v>0</v>
      </c>
      <c r="K41" s="50">
        <v>3</v>
      </c>
      <c r="L41" s="50">
        <v>2</v>
      </c>
      <c r="M41" s="50">
        <v>9</v>
      </c>
      <c r="N41" s="50">
        <v>0</v>
      </c>
      <c r="O41" s="15">
        <f t="shared" si="0"/>
        <v>29</v>
      </c>
      <c r="P41" s="15">
        <f t="shared" si="1"/>
        <v>38</v>
      </c>
    </row>
    <row r="42" spans="2:20" ht="23.1" customHeight="1" x14ac:dyDescent="0.25">
      <c r="B42" s="24" t="s">
        <v>69</v>
      </c>
      <c r="C42" s="50">
        <v>11</v>
      </c>
      <c r="D42" s="50">
        <v>6</v>
      </c>
      <c r="E42" s="50">
        <v>3</v>
      </c>
      <c r="F42" s="50">
        <v>4</v>
      </c>
      <c r="G42" s="50">
        <v>0</v>
      </c>
      <c r="H42" s="50">
        <v>2</v>
      </c>
      <c r="I42" s="50">
        <v>4</v>
      </c>
      <c r="J42" s="50">
        <v>0</v>
      </c>
      <c r="K42" s="50">
        <v>0</v>
      </c>
      <c r="L42" s="50">
        <v>1</v>
      </c>
      <c r="M42" s="50">
        <v>8</v>
      </c>
      <c r="N42" s="50">
        <v>0</v>
      </c>
      <c r="O42" s="15">
        <f t="shared" si="0"/>
        <v>31</v>
      </c>
      <c r="P42" s="15">
        <f t="shared" si="1"/>
        <v>39</v>
      </c>
    </row>
    <row r="43" spans="2:20" ht="23.1" customHeight="1" x14ac:dyDescent="0.25">
      <c r="B43" s="23" t="s">
        <v>70</v>
      </c>
      <c r="C43" s="50">
        <v>5</v>
      </c>
      <c r="D43" s="50">
        <v>4</v>
      </c>
      <c r="E43" s="50">
        <v>0</v>
      </c>
      <c r="F43" s="50">
        <v>5</v>
      </c>
      <c r="G43" s="50">
        <v>0</v>
      </c>
      <c r="H43" s="50">
        <v>2</v>
      </c>
      <c r="I43" s="50">
        <v>1</v>
      </c>
      <c r="J43" s="50">
        <v>0</v>
      </c>
      <c r="K43" s="50">
        <v>0</v>
      </c>
      <c r="L43" s="50">
        <v>0</v>
      </c>
      <c r="M43" s="50">
        <v>2</v>
      </c>
      <c r="N43" s="50">
        <v>1</v>
      </c>
      <c r="O43" s="15">
        <f t="shared" si="0"/>
        <v>18</v>
      </c>
      <c r="P43" s="15">
        <f t="shared" si="1"/>
        <v>20</v>
      </c>
    </row>
    <row r="44" spans="2:20" ht="23.1" customHeight="1" x14ac:dyDescent="0.25">
      <c r="B44" s="25" t="s">
        <v>71</v>
      </c>
      <c r="C44" s="50">
        <v>12</v>
      </c>
      <c r="D44" s="50">
        <v>4</v>
      </c>
      <c r="E44" s="50">
        <v>0</v>
      </c>
      <c r="F44" s="50">
        <v>5</v>
      </c>
      <c r="G44" s="50">
        <v>0</v>
      </c>
      <c r="H44" s="50">
        <v>1</v>
      </c>
      <c r="I44" s="50">
        <v>3</v>
      </c>
      <c r="J44" s="50">
        <v>2</v>
      </c>
      <c r="K44" s="50">
        <v>0</v>
      </c>
      <c r="L44" s="50">
        <v>1</v>
      </c>
      <c r="M44" s="50">
        <v>6</v>
      </c>
      <c r="N44" s="50">
        <v>0</v>
      </c>
      <c r="O44" s="15">
        <f t="shared" si="0"/>
        <v>28</v>
      </c>
      <c r="P44" s="15">
        <f t="shared" si="1"/>
        <v>34</v>
      </c>
    </row>
    <row r="45" spans="2:20" ht="23.1" customHeight="1" x14ac:dyDescent="0.25">
      <c r="B45" s="23" t="s">
        <v>72</v>
      </c>
      <c r="C45" s="50">
        <v>7</v>
      </c>
      <c r="D45" s="50">
        <v>3</v>
      </c>
      <c r="E45" s="50">
        <v>3</v>
      </c>
      <c r="F45" s="50">
        <v>5</v>
      </c>
      <c r="G45" s="50">
        <v>0</v>
      </c>
      <c r="H45" s="50">
        <v>2</v>
      </c>
      <c r="I45" s="50">
        <v>1</v>
      </c>
      <c r="J45" s="50">
        <v>5</v>
      </c>
      <c r="K45" s="50">
        <v>0</v>
      </c>
      <c r="L45" s="50">
        <v>1</v>
      </c>
      <c r="M45" s="50">
        <v>12</v>
      </c>
      <c r="N45" s="50">
        <v>0</v>
      </c>
      <c r="O45" s="15">
        <f t="shared" si="0"/>
        <v>27</v>
      </c>
      <c r="P45" s="15">
        <f t="shared" si="1"/>
        <v>39</v>
      </c>
    </row>
    <row r="46" spans="2:20" ht="23.1" customHeight="1" x14ac:dyDescent="0.25">
      <c r="B46" s="24" t="s">
        <v>73</v>
      </c>
      <c r="C46" s="50">
        <v>5</v>
      </c>
      <c r="D46" s="50">
        <v>2</v>
      </c>
      <c r="E46" s="50">
        <v>3</v>
      </c>
      <c r="F46" s="50">
        <v>1</v>
      </c>
      <c r="G46" s="50">
        <v>0</v>
      </c>
      <c r="H46" s="50">
        <v>2</v>
      </c>
      <c r="I46" s="50">
        <v>1</v>
      </c>
      <c r="J46" s="50">
        <v>2</v>
      </c>
      <c r="K46" s="50">
        <v>3</v>
      </c>
      <c r="L46" s="50">
        <v>0</v>
      </c>
      <c r="M46" s="50">
        <v>21</v>
      </c>
      <c r="N46" s="50">
        <v>0</v>
      </c>
      <c r="O46" s="15">
        <f t="shared" si="0"/>
        <v>19</v>
      </c>
      <c r="P46" s="15">
        <f t="shared" si="1"/>
        <v>40</v>
      </c>
      <c r="R46" s="8"/>
      <c r="T46"/>
    </row>
    <row r="47" spans="2:20" ht="23.1" customHeight="1" x14ac:dyDescent="0.25">
      <c r="B47" s="24" t="s">
        <v>74</v>
      </c>
      <c r="C47" s="50">
        <v>8</v>
      </c>
      <c r="D47" s="50">
        <v>1</v>
      </c>
      <c r="E47" s="50">
        <v>2</v>
      </c>
      <c r="F47" s="50">
        <v>5</v>
      </c>
      <c r="G47" s="50">
        <v>0</v>
      </c>
      <c r="H47" s="50">
        <v>2</v>
      </c>
      <c r="I47" s="50">
        <v>1</v>
      </c>
      <c r="J47" s="50">
        <v>1</v>
      </c>
      <c r="K47" s="50">
        <v>0</v>
      </c>
      <c r="L47" s="50">
        <v>3</v>
      </c>
      <c r="M47" s="50">
        <v>16</v>
      </c>
      <c r="N47" s="50">
        <v>0</v>
      </c>
      <c r="O47" s="15">
        <f t="shared" si="0"/>
        <v>23</v>
      </c>
      <c r="P47" s="15">
        <f t="shared" si="1"/>
        <v>39</v>
      </c>
      <c r="R47" s="8"/>
      <c r="T47"/>
    </row>
    <row r="48" spans="2:20" ht="23.1" customHeight="1" x14ac:dyDescent="0.25">
      <c r="B48" s="24" t="s">
        <v>75</v>
      </c>
      <c r="C48" s="50">
        <v>7</v>
      </c>
      <c r="D48" s="50">
        <v>11</v>
      </c>
      <c r="E48" s="50">
        <v>0</v>
      </c>
      <c r="F48" s="50">
        <v>4</v>
      </c>
      <c r="G48" s="50">
        <v>0</v>
      </c>
      <c r="H48" s="50">
        <v>3</v>
      </c>
      <c r="I48" s="50">
        <v>2</v>
      </c>
      <c r="J48" s="50">
        <v>2</v>
      </c>
      <c r="K48" s="50">
        <v>0</v>
      </c>
      <c r="L48" s="50">
        <v>2</v>
      </c>
      <c r="M48" s="50">
        <v>14</v>
      </c>
      <c r="N48" s="50">
        <v>0</v>
      </c>
      <c r="O48" s="15">
        <f t="shared" si="0"/>
        <v>31</v>
      </c>
      <c r="P48" s="15">
        <f t="shared" si="1"/>
        <v>45</v>
      </c>
      <c r="R48" s="8"/>
      <c r="T48"/>
    </row>
    <row r="49" spans="2:20" ht="23.1" customHeight="1" x14ac:dyDescent="0.25">
      <c r="B49" s="23" t="s">
        <v>76</v>
      </c>
      <c r="C49" s="50">
        <v>10</v>
      </c>
      <c r="D49" s="50">
        <v>11</v>
      </c>
      <c r="E49" s="50">
        <v>3</v>
      </c>
      <c r="F49" s="50">
        <v>5</v>
      </c>
      <c r="G49" s="50">
        <v>0</v>
      </c>
      <c r="H49" s="50">
        <v>1</v>
      </c>
      <c r="I49" s="50">
        <v>0</v>
      </c>
      <c r="J49" s="50">
        <v>2</v>
      </c>
      <c r="K49" s="50">
        <v>0</v>
      </c>
      <c r="L49" s="50">
        <v>0</v>
      </c>
      <c r="M49" s="50">
        <v>18</v>
      </c>
      <c r="N49" s="50">
        <v>0</v>
      </c>
      <c r="O49" s="15">
        <f t="shared" si="0"/>
        <v>32</v>
      </c>
      <c r="P49" s="15">
        <f t="shared" si="1"/>
        <v>50</v>
      </c>
      <c r="R49" s="8"/>
      <c r="T49"/>
    </row>
    <row r="50" spans="2:20" ht="23.1" customHeight="1" x14ac:dyDescent="0.25">
      <c r="B50" s="24" t="s">
        <v>77</v>
      </c>
      <c r="C50" s="50">
        <v>11</v>
      </c>
      <c r="D50" s="50">
        <v>7</v>
      </c>
      <c r="E50" s="50">
        <v>1</v>
      </c>
      <c r="F50" s="50">
        <v>6</v>
      </c>
      <c r="G50" s="50">
        <v>0</v>
      </c>
      <c r="H50" s="50">
        <v>1</v>
      </c>
      <c r="I50" s="50">
        <v>2</v>
      </c>
      <c r="J50" s="50">
        <v>0</v>
      </c>
      <c r="K50" s="50">
        <v>0</v>
      </c>
      <c r="L50" s="50">
        <v>0</v>
      </c>
      <c r="M50" s="50">
        <v>15</v>
      </c>
      <c r="N50" s="50">
        <v>0</v>
      </c>
      <c r="O50" s="15">
        <f t="shared" si="0"/>
        <v>28</v>
      </c>
      <c r="P50" s="15">
        <f t="shared" si="1"/>
        <v>43</v>
      </c>
      <c r="R50" s="8"/>
      <c r="T50"/>
    </row>
    <row r="51" spans="2:20" ht="23.1" customHeight="1" x14ac:dyDescent="0.25">
      <c r="B51" s="24" t="s">
        <v>78</v>
      </c>
      <c r="C51" s="50">
        <v>13</v>
      </c>
      <c r="D51" s="50">
        <v>12</v>
      </c>
      <c r="E51" s="50">
        <v>4</v>
      </c>
      <c r="F51" s="50">
        <v>7</v>
      </c>
      <c r="G51" s="50">
        <v>1</v>
      </c>
      <c r="H51" s="50">
        <v>2</v>
      </c>
      <c r="I51" s="50">
        <v>2</v>
      </c>
      <c r="J51" s="50">
        <v>4</v>
      </c>
      <c r="K51" s="50">
        <v>0</v>
      </c>
      <c r="L51" s="50">
        <v>2</v>
      </c>
      <c r="M51" s="50">
        <v>16</v>
      </c>
      <c r="N51" s="50">
        <v>0</v>
      </c>
      <c r="O51" s="15">
        <f t="shared" si="0"/>
        <v>47</v>
      </c>
      <c r="P51" s="15">
        <f t="shared" si="1"/>
        <v>63</v>
      </c>
      <c r="R51" s="8"/>
      <c r="T51"/>
    </row>
    <row r="52" spans="2:20" ht="23.1" customHeight="1" x14ac:dyDescent="0.25">
      <c r="B52" s="24" t="s">
        <v>79</v>
      </c>
      <c r="C52" s="50">
        <v>14</v>
      </c>
      <c r="D52" s="50">
        <v>4</v>
      </c>
      <c r="E52" s="50">
        <v>4</v>
      </c>
      <c r="F52" s="50">
        <v>3</v>
      </c>
      <c r="G52" s="50">
        <v>0</v>
      </c>
      <c r="H52" s="50">
        <v>0</v>
      </c>
      <c r="I52" s="50">
        <v>1</v>
      </c>
      <c r="J52" s="50">
        <v>3</v>
      </c>
      <c r="K52" s="50">
        <v>0</v>
      </c>
      <c r="L52" s="50">
        <v>2</v>
      </c>
      <c r="M52" s="50">
        <v>18</v>
      </c>
      <c r="N52" s="50">
        <v>0</v>
      </c>
      <c r="O52" s="15">
        <f t="shared" si="0"/>
        <v>31</v>
      </c>
      <c r="P52" s="15">
        <f t="shared" si="1"/>
        <v>49</v>
      </c>
      <c r="R52" s="8"/>
      <c r="T52"/>
    </row>
    <row r="53" spans="2:20" ht="23.1" customHeight="1" x14ac:dyDescent="0.25">
      <c r="B53" s="23" t="s">
        <v>80</v>
      </c>
      <c r="C53" s="50">
        <v>10</v>
      </c>
      <c r="D53" s="50">
        <v>9</v>
      </c>
      <c r="E53" s="50">
        <v>2</v>
      </c>
      <c r="F53" s="50">
        <v>6</v>
      </c>
      <c r="G53" s="50">
        <v>0</v>
      </c>
      <c r="H53" s="50">
        <v>3</v>
      </c>
      <c r="I53" s="50">
        <v>1</v>
      </c>
      <c r="J53" s="50">
        <v>4</v>
      </c>
      <c r="K53" s="50">
        <v>0</v>
      </c>
      <c r="L53" s="50">
        <v>0</v>
      </c>
      <c r="M53" s="50">
        <v>24</v>
      </c>
      <c r="N53" s="50">
        <v>0</v>
      </c>
      <c r="O53" s="15">
        <f t="shared" si="0"/>
        <v>35</v>
      </c>
      <c r="P53" s="15">
        <f t="shared" si="1"/>
        <v>59</v>
      </c>
      <c r="R53" s="8"/>
      <c r="T53"/>
    </row>
    <row r="54" spans="2:20" ht="23.1" customHeight="1" x14ac:dyDescent="0.25">
      <c r="B54" s="23" t="s">
        <v>81</v>
      </c>
      <c r="C54" s="50">
        <v>10</v>
      </c>
      <c r="D54" s="50">
        <v>6</v>
      </c>
      <c r="E54" s="50">
        <v>4</v>
      </c>
      <c r="F54" s="50">
        <v>7</v>
      </c>
      <c r="G54" s="50">
        <v>0</v>
      </c>
      <c r="H54" s="50">
        <v>3</v>
      </c>
      <c r="I54" s="50">
        <v>3</v>
      </c>
      <c r="J54" s="50">
        <v>3</v>
      </c>
      <c r="K54" s="50">
        <v>0</v>
      </c>
      <c r="L54" s="50">
        <v>1</v>
      </c>
      <c r="M54" s="50">
        <v>10</v>
      </c>
      <c r="N54" s="50">
        <v>0</v>
      </c>
      <c r="O54" s="15">
        <f t="shared" si="0"/>
        <v>37</v>
      </c>
      <c r="P54" s="15">
        <f t="shared" si="1"/>
        <v>47</v>
      </c>
      <c r="R54" s="8"/>
      <c r="T54"/>
    </row>
    <row r="55" spans="2:20" ht="23.1" customHeight="1" x14ac:dyDescent="0.25">
      <c r="B55" s="23" t="s">
        <v>82</v>
      </c>
      <c r="C55" s="50">
        <v>16</v>
      </c>
      <c r="D55" s="50">
        <v>4</v>
      </c>
      <c r="E55" s="50">
        <v>3</v>
      </c>
      <c r="F55" s="50">
        <v>8</v>
      </c>
      <c r="G55" s="50">
        <v>1</v>
      </c>
      <c r="H55" s="50">
        <v>2</v>
      </c>
      <c r="I55" s="50">
        <v>1</v>
      </c>
      <c r="J55" s="50">
        <v>3</v>
      </c>
      <c r="K55" s="50">
        <v>0</v>
      </c>
      <c r="L55" s="50">
        <v>5</v>
      </c>
      <c r="M55" s="50">
        <v>21</v>
      </c>
      <c r="N55" s="50">
        <v>0</v>
      </c>
      <c r="O55" s="15">
        <f t="shared" si="0"/>
        <v>43</v>
      </c>
      <c r="P55" s="15">
        <f t="shared" si="1"/>
        <v>64</v>
      </c>
      <c r="R55" s="8"/>
      <c r="T55"/>
    </row>
    <row r="56" spans="2:20" ht="23.1" customHeight="1" x14ac:dyDescent="0.25">
      <c r="B56" s="23" t="s">
        <v>83</v>
      </c>
      <c r="C56" s="50">
        <v>21</v>
      </c>
      <c r="D56" s="50">
        <v>4</v>
      </c>
      <c r="E56" s="50">
        <v>3</v>
      </c>
      <c r="F56" s="50">
        <v>5</v>
      </c>
      <c r="G56" s="50">
        <v>0</v>
      </c>
      <c r="H56" s="50">
        <v>1</v>
      </c>
      <c r="I56" s="50">
        <v>0</v>
      </c>
      <c r="J56" s="50">
        <v>1</v>
      </c>
      <c r="K56" s="50">
        <v>4</v>
      </c>
      <c r="L56" s="50">
        <v>1</v>
      </c>
      <c r="M56" s="50">
        <v>26</v>
      </c>
      <c r="N56" s="50">
        <v>0</v>
      </c>
      <c r="O56" s="15">
        <f t="shared" si="0"/>
        <v>40</v>
      </c>
      <c r="P56" s="15">
        <f t="shared" si="1"/>
        <v>66</v>
      </c>
      <c r="R56" s="8"/>
      <c r="T56"/>
    </row>
    <row r="57" spans="2:20" ht="23.1" customHeight="1" x14ac:dyDescent="0.25">
      <c r="B57" s="23" t="s">
        <v>84</v>
      </c>
      <c r="C57" s="50">
        <v>16</v>
      </c>
      <c r="D57" s="50">
        <v>5</v>
      </c>
      <c r="E57" s="50">
        <v>2</v>
      </c>
      <c r="F57" s="50">
        <v>6</v>
      </c>
      <c r="G57" s="50">
        <v>0</v>
      </c>
      <c r="H57" s="50">
        <v>1</v>
      </c>
      <c r="I57" s="50">
        <v>1</v>
      </c>
      <c r="J57" s="50">
        <v>0</v>
      </c>
      <c r="K57" s="50">
        <v>0</v>
      </c>
      <c r="L57" s="50">
        <v>0</v>
      </c>
      <c r="M57" s="50">
        <v>22</v>
      </c>
      <c r="N57" s="50">
        <v>0</v>
      </c>
      <c r="O57" s="15">
        <f t="shared" si="0"/>
        <v>31</v>
      </c>
      <c r="P57" s="15">
        <f t="shared" si="1"/>
        <v>53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401</v>
      </c>
      <c r="D58" s="16">
        <f t="shared" si="21"/>
        <v>211</v>
      </c>
      <c r="E58" s="16">
        <f t="shared" si="21"/>
        <v>107</v>
      </c>
      <c r="F58" s="16">
        <f t="shared" si="21"/>
        <v>209</v>
      </c>
      <c r="G58" s="16">
        <f t="shared" si="21"/>
        <v>6</v>
      </c>
      <c r="H58" s="16">
        <f t="shared" si="21"/>
        <v>54</v>
      </c>
      <c r="I58" s="16">
        <f t="shared" si="21"/>
        <v>67</v>
      </c>
      <c r="J58" s="16">
        <f t="shared" si="21"/>
        <v>63</v>
      </c>
      <c r="K58" s="16">
        <f t="shared" si="21"/>
        <v>38</v>
      </c>
      <c r="L58" s="16">
        <f t="shared" si="21"/>
        <v>79</v>
      </c>
      <c r="M58" s="16">
        <f t="shared" si="21"/>
        <v>554</v>
      </c>
      <c r="N58" s="16">
        <f t="shared" si="21"/>
        <v>1</v>
      </c>
      <c r="O58" s="16">
        <f t="shared" si="21"/>
        <v>1236</v>
      </c>
      <c r="P58" s="16">
        <f t="shared" si="21"/>
        <v>1790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0.2240223463687151</v>
      </c>
      <c r="D59" s="43">
        <f t="shared" si="22"/>
        <v>0.11787709497206704</v>
      </c>
      <c r="E59" s="43">
        <f t="shared" si="22"/>
        <v>5.9776536312849161E-2</v>
      </c>
      <c r="F59" s="43">
        <f t="shared" si="22"/>
        <v>0.11675977653631285</v>
      </c>
      <c r="G59" s="43">
        <f t="shared" si="22"/>
        <v>3.3519553072625698E-3</v>
      </c>
      <c r="H59" s="43">
        <f t="shared" si="22"/>
        <v>3.0167597765363128E-2</v>
      </c>
      <c r="I59" s="43">
        <f t="shared" si="22"/>
        <v>3.7430167597765365E-2</v>
      </c>
      <c r="J59" s="43">
        <f t="shared" si="22"/>
        <v>3.5195530726256981E-2</v>
      </c>
      <c r="K59" s="43">
        <f t="shared" si="22"/>
        <v>2.1229050279329607E-2</v>
      </c>
      <c r="L59" s="43">
        <f t="shared" si="22"/>
        <v>4.4134078212290505E-2</v>
      </c>
      <c r="M59" s="43">
        <f t="shared" si="22"/>
        <v>0.30949720670391062</v>
      </c>
      <c r="N59" s="43">
        <f t="shared" si="22"/>
        <v>5.5865921787709492E-4</v>
      </c>
      <c r="R59" s="8"/>
      <c r="T59"/>
    </row>
    <row r="60" spans="2:20" ht="23.1" customHeight="1" x14ac:dyDescent="0.25">
      <c r="B60" s="42" t="s">
        <v>94</v>
      </c>
      <c r="C60" s="44">
        <f>C58/$O$58</f>
        <v>0.32443365695792881</v>
      </c>
      <c r="D60" s="44">
        <f t="shared" ref="D60:N60" si="23">D58/$O$58</f>
        <v>0.17071197411003236</v>
      </c>
      <c r="E60" s="44">
        <f t="shared" si="23"/>
        <v>8.6569579288025889E-2</v>
      </c>
      <c r="F60" s="44">
        <f t="shared" si="23"/>
        <v>0.16909385113268607</v>
      </c>
      <c r="G60" s="44">
        <f t="shared" si="23"/>
        <v>4.8543689320388345E-3</v>
      </c>
      <c r="H60" s="44">
        <f t="shared" si="23"/>
        <v>4.3689320388349516E-2</v>
      </c>
      <c r="I60" s="44">
        <f t="shared" si="23"/>
        <v>5.4207119741100325E-2</v>
      </c>
      <c r="J60" s="44">
        <f t="shared" si="23"/>
        <v>5.0970873786407765E-2</v>
      </c>
      <c r="K60" s="44">
        <f t="shared" si="23"/>
        <v>3.0744336569579287E-2</v>
      </c>
      <c r="L60" s="44">
        <f t="shared" si="23"/>
        <v>6.3915857605177998E-2</v>
      </c>
      <c r="M60" s="44"/>
      <c r="N60" s="44">
        <f t="shared" si="23"/>
        <v>8.090614886731392E-4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3" t="s">
        <v>23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 spans="2:32" ht="20.100000000000001" customHeight="1" x14ac:dyDescent="0.25">
      <c r="B2" s="74" t="s">
        <v>95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</row>
    <row r="3" spans="2:32" ht="20.100000000000001" customHeight="1" x14ac:dyDescent="0.25">
      <c r="B3" s="22" t="s">
        <v>96</v>
      </c>
      <c r="C3" s="75" t="str">
        <f>'23.10 MASAKA-MBARARA'!C3:G3</f>
        <v>MASAKA-MBARARA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'20.10 MASAKA-MBARARA'!D5</f>
        <v>20.10.19</v>
      </c>
      <c r="E5" s="3"/>
      <c r="F5" s="41" t="s">
        <v>1</v>
      </c>
      <c r="G5" s="71" t="str">
        <f>'20.10 MASAKA-MBARARA'!G5:H5</f>
        <v>KINONI</v>
      </c>
      <c r="H5" s="72"/>
      <c r="I5" s="14"/>
      <c r="J5" s="2" t="s">
        <v>5</v>
      </c>
      <c r="K5" s="71" t="s">
        <v>174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">
        <v>165</v>
      </c>
      <c r="E6" s="72"/>
      <c r="F6" s="2" t="s">
        <v>2</v>
      </c>
      <c r="G6" s="71" t="s">
        <v>166</v>
      </c>
      <c r="H6" s="72"/>
      <c r="J6" s="2" t="s">
        <v>21</v>
      </c>
      <c r="K6" s="71" t="str">
        <f>'20.10 MASAKA-MBARARA'!K6:L6</f>
        <v>SANDRA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8</v>
      </c>
      <c r="D10" s="50">
        <v>2</v>
      </c>
      <c r="E10" s="50">
        <v>0</v>
      </c>
      <c r="F10" s="50">
        <v>2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5</v>
      </c>
      <c r="N10" s="50">
        <v>0</v>
      </c>
      <c r="O10" s="15">
        <f t="shared" ref="O10:O57" si="0">SUM(C10:L10,N10)</f>
        <v>12</v>
      </c>
      <c r="P10" s="15">
        <f t="shared" ref="P10:P57" si="1">SUM(C10:N10)</f>
        <v>17</v>
      </c>
      <c r="R10" s="1" t="s">
        <v>6</v>
      </c>
      <c r="S10" s="17">
        <f t="shared" ref="S10:AF10" si="2">SUM(C10:C13)</f>
        <v>22</v>
      </c>
      <c r="T10" s="17">
        <f t="shared" si="2"/>
        <v>8</v>
      </c>
      <c r="U10" s="17">
        <f t="shared" si="2"/>
        <v>3</v>
      </c>
      <c r="V10" s="17">
        <f t="shared" si="2"/>
        <v>10</v>
      </c>
      <c r="W10" s="17">
        <f t="shared" si="2"/>
        <v>0</v>
      </c>
      <c r="X10" s="17">
        <f t="shared" si="2"/>
        <v>1</v>
      </c>
      <c r="Y10" s="17">
        <f t="shared" si="2"/>
        <v>3</v>
      </c>
      <c r="Z10" s="17">
        <f t="shared" si="2"/>
        <v>1</v>
      </c>
      <c r="AA10" s="17">
        <f t="shared" si="2"/>
        <v>1</v>
      </c>
      <c r="AB10" s="17">
        <f t="shared" si="2"/>
        <v>1</v>
      </c>
      <c r="AC10" s="17">
        <f t="shared" si="2"/>
        <v>52</v>
      </c>
      <c r="AD10" s="17">
        <f t="shared" si="2"/>
        <v>0</v>
      </c>
      <c r="AE10" s="31">
        <f t="shared" si="2"/>
        <v>50</v>
      </c>
      <c r="AF10" s="31">
        <f t="shared" si="2"/>
        <v>102</v>
      </c>
    </row>
    <row r="11" spans="2:32" s="6" customFormat="1" ht="23.1" customHeight="1" x14ac:dyDescent="0.25">
      <c r="B11" s="23" t="s">
        <v>38</v>
      </c>
      <c r="C11" s="50">
        <v>4</v>
      </c>
      <c r="D11" s="50">
        <v>4</v>
      </c>
      <c r="E11" s="50">
        <v>0</v>
      </c>
      <c r="F11" s="50">
        <v>4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15</v>
      </c>
      <c r="N11" s="50">
        <v>0</v>
      </c>
      <c r="O11" s="15">
        <f t="shared" si="0"/>
        <v>14</v>
      </c>
      <c r="P11" s="15">
        <f t="shared" si="1"/>
        <v>29</v>
      </c>
      <c r="R11" s="1" t="s">
        <v>7</v>
      </c>
      <c r="S11" s="17">
        <f t="shared" ref="S11:AF11" si="3">SUM(C14:C17)</f>
        <v>26</v>
      </c>
      <c r="T11" s="17">
        <f t="shared" si="3"/>
        <v>7</v>
      </c>
      <c r="U11" s="17">
        <f t="shared" si="3"/>
        <v>4</v>
      </c>
      <c r="V11" s="17">
        <f t="shared" si="3"/>
        <v>20</v>
      </c>
      <c r="W11" s="17">
        <f t="shared" si="3"/>
        <v>0</v>
      </c>
      <c r="X11" s="17">
        <f t="shared" si="3"/>
        <v>1</v>
      </c>
      <c r="Y11" s="17">
        <f t="shared" si="3"/>
        <v>6</v>
      </c>
      <c r="Z11" s="17">
        <f t="shared" si="3"/>
        <v>1</v>
      </c>
      <c r="AA11" s="17">
        <f t="shared" si="3"/>
        <v>2</v>
      </c>
      <c r="AB11" s="17">
        <f t="shared" si="3"/>
        <v>1</v>
      </c>
      <c r="AC11" s="17">
        <f t="shared" si="3"/>
        <v>40</v>
      </c>
      <c r="AD11" s="17">
        <f t="shared" si="3"/>
        <v>0</v>
      </c>
      <c r="AE11" s="31">
        <f t="shared" si="3"/>
        <v>68</v>
      </c>
      <c r="AF11" s="31">
        <f t="shared" si="3"/>
        <v>108</v>
      </c>
    </row>
    <row r="12" spans="2:32" ht="23.1" customHeight="1" x14ac:dyDescent="0.25">
      <c r="B12" s="23" t="s">
        <v>39</v>
      </c>
      <c r="C12" s="50">
        <v>6</v>
      </c>
      <c r="D12" s="50">
        <v>1</v>
      </c>
      <c r="E12" s="50">
        <v>0</v>
      </c>
      <c r="F12" s="50">
        <v>3</v>
      </c>
      <c r="G12" s="50">
        <v>0</v>
      </c>
      <c r="H12" s="50">
        <v>1</v>
      </c>
      <c r="I12" s="50">
        <v>1</v>
      </c>
      <c r="J12" s="50">
        <v>0</v>
      </c>
      <c r="K12" s="50">
        <v>0</v>
      </c>
      <c r="L12" s="50">
        <v>1</v>
      </c>
      <c r="M12" s="50">
        <v>18</v>
      </c>
      <c r="N12" s="50">
        <v>0</v>
      </c>
      <c r="O12" s="15">
        <f t="shared" si="0"/>
        <v>13</v>
      </c>
      <c r="P12" s="15">
        <f t="shared" si="1"/>
        <v>31</v>
      </c>
      <c r="R12" s="1" t="s">
        <v>8</v>
      </c>
      <c r="S12" s="17">
        <f t="shared" ref="S12:AF12" si="4">SUM(C18:C21)</f>
        <v>23</v>
      </c>
      <c r="T12" s="17">
        <f t="shared" si="4"/>
        <v>12</v>
      </c>
      <c r="U12" s="17">
        <f t="shared" si="4"/>
        <v>7</v>
      </c>
      <c r="V12" s="17">
        <f t="shared" si="4"/>
        <v>17</v>
      </c>
      <c r="W12" s="17">
        <f t="shared" si="4"/>
        <v>0</v>
      </c>
      <c r="X12" s="17">
        <f t="shared" si="4"/>
        <v>1</v>
      </c>
      <c r="Y12" s="17">
        <f t="shared" si="4"/>
        <v>4</v>
      </c>
      <c r="Z12" s="17">
        <f t="shared" si="4"/>
        <v>4</v>
      </c>
      <c r="AA12" s="17">
        <f t="shared" si="4"/>
        <v>2</v>
      </c>
      <c r="AB12" s="17">
        <f t="shared" si="4"/>
        <v>0</v>
      </c>
      <c r="AC12" s="17">
        <f t="shared" si="4"/>
        <v>51</v>
      </c>
      <c r="AD12" s="17">
        <f t="shared" si="4"/>
        <v>0</v>
      </c>
      <c r="AE12" s="31">
        <f t="shared" si="4"/>
        <v>70</v>
      </c>
      <c r="AF12" s="31">
        <f t="shared" si="4"/>
        <v>121</v>
      </c>
    </row>
    <row r="13" spans="2:32" ht="23.1" customHeight="1" x14ac:dyDescent="0.25">
      <c r="B13" s="23" t="s">
        <v>40</v>
      </c>
      <c r="C13" s="50">
        <v>4</v>
      </c>
      <c r="D13" s="50">
        <v>1</v>
      </c>
      <c r="E13" s="50">
        <v>3</v>
      </c>
      <c r="F13" s="50">
        <v>1</v>
      </c>
      <c r="G13" s="50">
        <v>0</v>
      </c>
      <c r="H13" s="50">
        <v>0</v>
      </c>
      <c r="I13" s="50">
        <v>0</v>
      </c>
      <c r="J13" s="50">
        <v>1</v>
      </c>
      <c r="K13" s="50">
        <v>1</v>
      </c>
      <c r="L13" s="50">
        <v>0</v>
      </c>
      <c r="M13" s="50">
        <v>14</v>
      </c>
      <c r="N13" s="50">
        <v>0</v>
      </c>
      <c r="O13" s="15">
        <f t="shared" si="0"/>
        <v>11</v>
      </c>
      <c r="P13" s="15">
        <f t="shared" si="1"/>
        <v>25</v>
      </c>
      <c r="R13" s="1" t="s">
        <v>9</v>
      </c>
      <c r="S13" s="17">
        <f t="shared" ref="S13:AF13" si="5">SUM(C22:C25)</f>
        <v>45</v>
      </c>
      <c r="T13" s="17">
        <f t="shared" si="5"/>
        <v>16</v>
      </c>
      <c r="U13" s="17">
        <f t="shared" si="5"/>
        <v>3</v>
      </c>
      <c r="V13" s="17">
        <f t="shared" si="5"/>
        <v>16</v>
      </c>
      <c r="W13" s="17">
        <f t="shared" si="5"/>
        <v>0</v>
      </c>
      <c r="X13" s="17">
        <f t="shared" si="5"/>
        <v>3</v>
      </c>
      <c r="Y13" s="17">
        <f t="shared" si="5"/>
        <v>3</v>
      </c>
      <c r="Z13" s="17">
        <f t="shared" si="5"/>
        <v>1</v>
      </c>
      <c r="AA13" s="17">
        <f t="shared" si="5"/>
        <v>9</v>
      </c>
      <c r="AB13" s="17">
        <f t="shared" si="5"/>
        <v>1</v>
      </c>
      <c r="AC13" s="17">
        <f t="shared" si="5"/>
        <v>65</v>
      </c>
      <c r="AD13" s="17">
        <f t="shared" si="5"/>
        <v>0</v>
      </c>
      <c r="AE13" s="31">
        <f t="shared" si="5"/>
        <v>97</v>
      </c>
      <c r="AF13" s="31">
        <f t="shared" si="5"/>
        <v>162</v>
      </c>
    </row>
    <row r="14" spans="2:32" ht="23.1" customHeight="1" x14ac:dyDescent="0.25">
      <c r="B14" s="23" t="s">
        <v>41</v>
      </c>
      <c r="C14" s="50">
        <v>6</v>
      </c>
      <c r="D14" s="50">
        <v>2</v>
      </c>
      <c r="E14" s="50">
        <v>1</v>
      </c>
      <c r="F14" s="50">
        <v>3</v>
      </c>
      <c r="G14" s="50">
        <v>0</v>
      </c>
      <c r="H14" s="50">
        <v>0</v>
      </c>
      <c r="I14" s="50">
        <v>2</v>
      </c>
      <c r="J14" s="50">
        <v>0</v>
      </c>
      <c r="K14" s="50">
        <v>1</v>
      </c>
      <c r="L14" s="50">
        <v>0</v>
      </c>
      <c r="M14" s="50">
        <v>12</v>
      </c>
      <c r="N14" s="50">
        <v>0</v>
      </c>
      <c r="O14" s="15">
        <f t="shared" si="0"/>
        <v>15</v>
      </c>
      <c r="P14" s="15">
        <f t="shared" si="1"/>
        <v>27</v>
      </c>
      <c r="R14" s="1" t="s">
        <v>10</v>
      </c>
      <c r="S14" s="17">
        <f t="shared" ref="S14:AF14" si="6">SUM(C26:C29)</f>
        <v>55</v>
      </c>
      <c r="T14" s="17">
        <f t="shared" si="6"/>
        <v>29</v>
      </c>
      <c r="U14" s="17">
        <f t="shared" si="6"/>
        <v>14</v>
      </c>
      <c r="V14" s="17">
        <f t="shared" si="6"/>
        <v>23</v>
      </c>
      <c r="W14" s="17">
        <f t="shared" si="6"/>
        <v>2</v>
      </c>
      <c r="X14" s="17">
        <f t="shared" si="6"/>
        <v>6</v>
      </c>
      <c r="Y14" s="17">
        <f t="shared" si="6"/>
        <v>7</v>
      </c>
      <c r="Z14" s="17">
        <f t="shared" si="6"/>
        <v>7</v>
      </c>
      <c r="AA14" s="17">
        <f t="shared" si="6"/>
        <v>1</v>
      </c>
      <c r="AB14" s="17">
        <f t="shared" si="6"/>
        <v>9</v>
      </c>
      <c r="AC14" s="17">
        <f t="shared" si="6"/>
        <v>34</v>
      </c>
      <c r="AD14" s="17">
        <f t="shared" si="6"/>
        <v>0</v>
      </c>
      <c r="AE14" s="31">
        <f t="shared" si="6"/>
        <v>153</v>
      </c>
      <c r="AF14" s="31">
        <f t="shared" si="6"/>
        <v>187</v>
      </c>
    </row>
    <row r="15" spans="2:32" ht="23.1" customHeight="1" x14ac:dyDescent="0.25">
      <c r="B15" s="23" t="s">
        <v>42</v>
      </c>
      <c r="C15" s="50">
        <v>8</v>
      </c>
      <c r="D15" s="50">
        <v>0</v>
      </c>
      <c r="E15" s="50">
        <v>0</v>
      </c>
      <c r="F15" s="50">
        <v>4</v>
      </c>
      <c r="G15" s="50">
        <v>0</v>
      </c>
      <c r="H15" s="50">
        <v>1</v>
      </c>
      <c r="I15" s="50">
        <v>1</v>
      </c>
      <c r="J15" s="50">
        <v>0</v>
      </c>
      <c r="K15" s="50">
        <v>0</v>
      </c>
      <c r="L15" s="50">
        <v>0</v>
      </c>
      <c r="M15" s="50">
        <v>13</v>
      </c>
      <c r="N15" s="50">
        <v>0</v>
      </c>
      <c r="O15" s="15">
        <f t="shared" si="0"/>
        <v>14</v>
      </c>
      <c r="P15" s="15">
        <f t="shared" si="1"/>
        <v>27</v>
      </c>
      <c r="R15" s="1" t="s">
        <v>11</v>
      </c>
      <c r="S15" s="17">
        <f t="shared" ref="S15:AF15" si="7">SUM(C30:C33)</f>
        <v>63</v>
      </c>
      <c r="T15" s="17">
        <f t="shared" si="7"/>
        <v>35</v>
      </c>
      <c r="U15" s="17">
        <f t="shared" si="7"/>
        <v>15</v>
      </c>
      <c r="V15" s="17">
        <f t="shared" si="7"/>
        <v>26</v>
      </c>
      <c r="W15" s="17">
        <f t="shared" si="7"/>
        <v>0</v>
      </c>
      <c r="X15" s="17">
        <f t="shared" si="7"/>
        <v>4</v>
      </c>
      <c r="Y15" s="17">
        <f t="shared" si="7"/>
        <v>2</v>
      </c>
      <c r="Z15" s="17">
        <f t="shared" si="7"/>
        <v>12</v>
      </c>
      <c r="AA15" s="17">
        <f t="shared" si="7"/>
        <v>6</v>
      </c>
      <c r="AB15" s="17">
        <f t="shared" si="7"/>
        <v>5</v>
      </c>
      <c r="AC15" s="17">
        <f t="shared" si="7"/>
        <v>63</v>
      </c>
      <c r="AD15" s="17">
        <f t="shared" si="7"/>
        <v>0</v>
      </c>
      <c r="AE15" s="31">
        <f t="shared" si="7"/>
        <v>168</v>
      </c>
      <c r="AF15" s="31">
        <f t="shared" si="7"/>
        <v>231</v>
      </c>
    </row>
    <row r="16" spans="2:32" ht="23.1" customHeight="1" x14ac:dyDescent="0.25">
      <c r="B16" s="23" t="s">
        <v>43</v>
      </c>
      <c r="C16" s="50">
        <v>3</v>
      </c>
      <c r="D16" s="50">
        <v>1</v>
      </c>
      <c r="E16" s="50">
        <v>1</v>
      </c>
      <c r="F16" s="50">
        <v>5</v>
      </c>
      <c r="G16" s="50">
        <v>0</v>
      </c>
      <c r="H16" s="50">
        <v>0</v>
      </c>
      <c r="I16" s="50">
        <v>2</v>
      </c>
      <c r="J16" s="50">
        <v>0</v>
      </c>
      <c r="K16" s="50">
        <v>1</v>
      </c>
      <c r="L16" s="50">
        <v>1</v>
      </c>
      <c r="M16" s="50">
        <v>9</v>
      </c>
      <c r="N16" s="50">
        <v>0</v>
      </c>
      <c r="O16" s="15">
        <f t="shared" si="0"/>
        <v>14</v>
      </c>
      <c r="P16" s="15">
        <f t="shared" si="1"/>
        <v>23</v>
      </c>
      <c r="R16" s="1" t="s">
        <v>12</v>
      </c>
      <c r="S16" s="17">
        <f t="shared" ref="S16:AF16" si="8">SUM(C34:C37)</f>
        <v>77</v>
      </c>
      <c r="T16" s="17">
        <f t="shared" si="8"/>
        <v>37</v>
      </c>
      <c r="U16" s="17">
        <f t="shared" si="8"/>
        <v>20</v>
      </c>
      <c r="V16" s="17">
        <f t="shared" si="8"/>
        <v>26</v>
      </c>
      <c r="W16" s="17">
        <f t="shared" si="8"/>
        <v>4</v>
      </c>
      <c r="X16" s="17">
        <f t="shared" si="8"/>
        <v>11</v>
      </c>
      <c r="Y16" s="17">
        <f t="shared" si="8"/>
        <v>4</v>
      </c>
      <c r="Z16" s="17">
        <f t="shared" si="8"/>
        <v>12</v>
      </c>
      <c r="AA16" s="17">
        <f t="shared" si="8"/>
        <v>6</v>
      </c>
      <c r="AB16" s="17">
        <f t="shared" si="8"/>
        <v>0</v>
      </c>
      <c r="AC16" s="17">
        <f t="shared" si="8"/>
        <v>68</v>
      </c>
      <c r="AD16" s="17">
        <f t="shared" si="8"/>
        <v>0</v>
      </c>
      <c r="AE16" s="31">
        <f t="shared" si="8"/>
        <v>197</v>
      </c>
      <c r="AF16" s="31">
        <f t="shared" si="8"/>
        <v>265</v>
      </c>
    </row>
    <row r="17" spans="2:32" ht="23.1" customHeight="1" x14ac:dyDescent="0.25">
      <c r="B17" s="23" t="s">
        <v>44</v>
      </c>
      <c r="C17" s="50">
        <v>9</v>
      </c>
      <c r="D17" s="50">
        <v>4</v>
      </c>
      <c r="E17" s="50">
        <v>2</v>
      </c>
      <c r="F17" s="50">
        <v>8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6</v>
      </c>
      <c r="N17" s="50">
        <v>0</v>
      </c>
      <c r="O17" s="15">
        <f t="shared" si="0"/>
        <v>25</v>
      </c>
      <c r="P17" s="15">
        <f t="shared" si="1"/>
        <v>31</v>
      </c>
      <c r="R17" s="1" t="s">
        <v>13</v>
      </c>
      <c r="S17" s="17">
        <f t="shared" ref="S17:AF17" si="9">SUM(C38:C41)</f>
        <v>75</v>
      </c>
      <c r="T17" s="17">
        <f t="shared" si="9"/>
        <v>46</v>
      </c>
      <c r="U17" s="17">
        <f t="shared" si="9"/>
        <v>18</v>
      </c>
      <c r="V17" s="17">
        <f t="shared" si="9"/>
        <v>22</v>
      </c>
      <c r="W17" s="17">
        <f t="shared" si="9"/>
        <v>1</v>
      </c>
      <c r="X17" s="17">
        <f t="shared" si="9"/>
        <v>10</v>
      </c>
      <c r="Y17" s="17">
        <f t="shared" si="9"/>
        <v>3</v>
      </c>
      <c r="Z17" s="17">
        <f t="shared" si="9"/>
        <v>6</v>
      </c>
      <c r="AA17" s="17">
        <f t="shared" si="9"/>
        <v>5</v>
      </c>
      <c r="AB17" s="17">
        <f t="shared" si="9"/>
        <v>2</v>
      </c>
      <c r="AC17" s="17">
        <f t="shared" si="9"/>
        <v>66</v>
      </c>
      <c r="AD17" s="17">
        <f t="shared" si="9"/>
        <v>0</v>
      </c>
      <c r="AE17" s="31">
        <f t="shared" si="9"/>
        <v>188</v>
      </c>
      <c r="AF17" s="31">
        <f t="shared" si="9"/>
        <v>254</v>
      </c>
    </row>
    <row r="18" spans="2:32" ht="23.1" customHeight="1" x14ac:dyDescent="0.25">
      <c r="B18" s="23" t="s">
        <v>45</v>
      </c>
      <c r="C18" s="50">
        <v>3</v>
      </c>
      <c r="D18" s="50">
        <v>2</v>
      </c>
      <c r="E18" s="50">
        <v>2</v>
      </c>
      <c r="F18" s="50">
        <v>2</v>
      </c>
      <c r="G18" s="50">
        <v>0</v>
      </c>
      <c r="H18" s="50">
        <v>1</v>
      </c>
      <c r="I18" s="50">
        <v>0</v>
      </c>
      <c r="J18" s="50">
        <v>2</v>
      </c>
      <c r="K18" s="50">
        <v>0</v>
      </c>
      <c r="L18" s="50">
        <v>0</v>
      </c>
      <c r="M18" s="50">
        <v>7</v>
      </c>
      <c r="N18" s="50">
        <v>0</v>
      </c>
      <c r="O18" s="15">
        <f t="shared" si="0"/>
        <v>12</v>
      </c>
      <c r="P18" s="15">
        <f t="shared" si="1"/>
        <v>19</v>
      </c>
      <c r="R18" s="1" t="s">
        <v>14</v>
      </c>
      <c r="S18" s="17">
        <f t="shared" ref="S18:AF18" si="10">SUM(C42:C45)</f>
        <v>53</v>
      </c>
      <c r="T18" s="17">
        <f t="shared" si="10"/>
        <v>30</v>
      </c>
      <c r="U18" s="17">
        <f t="shared" si="10"/>
        <v>21</v>
      </c>
      <c r="V18" s="17">
        <f t="shared" si="10"/>
        <v>26</v>
      </c>
      <c r="W18" s="17">
        <f t="shared" si="10"/>
        <v>0</v>
      </c>
      <c r="X18" s="17">
        <f t="shared" si="10"/>
        <v>6</v>
      </c>
      <c r="Y18" s="17">
        <f t="shared" si="10"/>
        <v>8</v>
      </c>
      <c r="Z18" s="17">
        <f t="shared" si="10"/>
        <v>8</v>
      </c>
      <c r="AA18" s="17">
        <f t="shared" si="10"/>
        <v>9</v>
      </c>
      <c r="AB18" s="17">
        <f t="shared" si="10"/>
        <v>6</v>
      </c>
      <c r="AC18" s="17">
        <f t="shared" si="10"/>
        <v>38</v>
      </c>
      <c r="AD18" s="17">
        <f t="shared" si="10"/>
        <v>0</v>
      </c>
      <c r="AE18" s="31">
        <f t="shared" si="10"/>
        <v>167</v>
      </c>
      <c r="AF18" s="31">
        <f t="shared" si="10"/>
        <v>205</v>
      </c>
    </row>
    <row r="19" spans="2:32" ht="23.1" customHeight="1" x14ac:dyDescent="0.25">
      <c r="B19" s="23" t="s">
        <v>46</v>
      </c>
      <c r="C19" s="50">
        <v>10</v>
      </c>
      <c r="D19" s="50">
        <v>5</v>
      </c>
      <c r="E19" s="50">
        <v>1</v>
      </c>
      <c r="F19" s="50">
        <v>6</v>
      </c>
      <c r="G19" s="50">
        <v>0</v>
      </c>
      <c r="H19" s="50">
        <v>0</v>
      </c>
      <c r="I19" s="50">
        <v>2</v>
      </c>
      <c r="J19" s="50">
        <v>0</v>
      </c>
      <c r="K19" s="50">
        <v>1</v>
      </c>
      <c r="L19" s="50">
        <v>0</v>
      </c>
      <c r="M19" s="50">
        <v>9</v>
      </c>
      <c r="N19" s="50">
        <v>0</v>
      </c>
      <c r="O19" s="15">
        <f t="shared" si="0"/>
        <v>25</v>
      </c>
      <c r="P19" s="15">
        <f t="shared" si="1"/>
        <v>34</v>
      </c>
      <c r="R19" s="1" t="s">
        <v>15</v>
      </c>
      <c r="S19" s="17">
        <f t="shared" ref="S19:AF19" si="11">SUM(C46:C49)</f>
        <v>62</v>
      </c>
      <c r="T19" s="17">
        <f t="shared" si="11"/>
        <v>28</v>
      </c>
      <c r="U19" s="17">
        <f t="shared" si="11"/>
        <v>16</v>
      </c>
      <c r="V19" s="17">
        <f t="shared" si="11"/>
        <v>22</v>
      </c>
      <c r="W19" s="17">
        <f t="shared" si="11"/>
        <v>0</v>
      </c>
      <c r="X19" s="17">
        <f t="shared" si="11"/>
        <v>5</v>
      </c>
      <c r="Y19" s="17">
        <f t="shared" si="11"/>
        <v>2</v>
      </c>
      <c r="Z19" s="17">
        <f t="shared" si="11"/>
        <v>10</v>
      </c>
      <c r="AA19" s="17">
        <f t="shared" si="11"/>
        <v>11</v>
      </c>
      <c r="AB19" s="17">
        <f t="shared" si="11"/>
        <v>1</v>
      </c>
      <c r="AC19" s="17">
        <f t="shared" si="11"/>
        <v>63</v>
      </c>
      <c r="AD19" s="17">
        <f t="shared" si="11"/>
        <v>0</v>
      </c>
      <c r="AE19" s="31">
        <f t="shared" si="11"/>
        <v>157</v>
      </c>
      <c r="AF19" s="31">
        <f t="shared" si="11"/>
        <v>220</v>
      </c>
    </row>
    <row r="20" spans="2:32" ht="23.1" customHeight="1" x14ac:dyDescent="0.25">
      <c r="B20" s="23" t="s">
        <v>47</v>
      </c>
      <c r="C20" s="50">
        <v>5</v>
      </c>
      <c r="D20" s="50">
        <v>2</v>
      </c>
      <c r="E20" s="50">
        <v>1</v>
      </c>
      <c r="F20" s="50">
        <v>3</v>
      </c>
      <c r="G20" s="50">
        <v>0</v>
      </c>
      <c r="H20" s="50">
        <v>0</v>
      </c>
      <c r="I20" s="50">
        <v>1</v>
      </c>
      <c r="J20" s="50">
        <v>2</v>
      </c>
      <c r="K20" s="50">
        <v>1</v>
      </c>
      <c r="L20" s="50">
        <v>0</v>
      </c>
      <c r="M20" s="50">
        <v>19</v>
      </c>
      <c r="N20" s="50">
        <v>0</v>
      </c>
      <c r="O20" s="15">
        <f t="shared" si="0"/>
        <v>15</v>
      </c>
      <c r="P20" s="15">
        <f t="shared" si="1"/>
        <v>34</v>
      </c>
      <c r="R20" s="1" t="s">
        <v>16</v>
      </c>
      <c r="S20" s="17">
        <f t="shared" ref="S20:AF20" si="12">SUM(C50:C53)</f>
        <v>65</v>
      </c>
      <c r="T20" s="17">
        <f t="shared" si="12"/>
        <v>33</v>
      </c>
      <c r="U20" s="17">
        <f t="shared" si="12"/>
        <v>38</v>
      </c>
      <c r="V20" s="17">
        <f t="shared" si="12"/>
        <v>24</v>
      </c>
      <c r="W20" s="17">
        <f t="shared" si="12"/>
        <v>1</v>
      </c>
      <c r="X20" s="17">
        <f t="shared" si="12"/>
        <v>6</v>
      </c>
      <c r="Y20" s="17">
        <f t="shared" si="12"/>
        <v>6</v>
      </c>
      <c r="Z20" s="17">
        <f t="shared" si="12"/>
        <v>11</v>
      </c>
      <c r="AA20" s="17">
        <f t="shared" si="12"/>
        <v>13</v>
      </c>
      <c r="AB20" s="17">
        <f t="shared" si="12"/>
        <v>3</v>
      </c>
      <c r="AC20" s="17">
        <f t="shared" si="12"/>
        <v>98</v>
      </c>
      <c r="AD20" s="17">
        <f t="shared" si="12"/>
        <v>0</v>
      </c>
      <c r="AE20" s="31">
        <f t="shared" si="12"/>
        <v>200</v>
      </c>
      <c r="AF20" s="31">
        <f t="shared" si="12"/>
        <v>298</v>
      </c>
    </row>
    <row r="21" spans="2:32" ht="23.1" customHeight="1" x14ac:dyDescent="0.25">
      <c r="B21" s="23" t="s">
        <v>48</v>
      </c>
      <c r="C21" s="50">
        <v>5</v>
      </c>
      <c r="D21" s="50">
        <v>3</v>
      </c>
      <c r="E21" s="50">
        <v>3</v>
      </c>
      <c r="F21" s="50">
        <v>6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16</v>
      </c>
      <c r="N21" s="50">
        <v>0</v>
      </c>
      <c r="O21" s="15">
        <f t="shared" si="0"/>
        <v>18</v>
      </c>
      <c r="P21" s="15">
        <f t="shared" si="1"/>
        <v>34</v>
      </c>
      <c r="R21" s="36" t="s">
        <v>20</v>
      </c>
      <c r="S21" s="34">
        <f t="shared" ref="S21:AF21" si="13">SUM(C54:C57)</f>
        <v>90</v>
      </c>
      <c r="T21" s="17">
        <f t="shared" si="13"/>
        <v>21</v>
      </c>
      <c r="U21" s="17">
        <f t="shared" si="13"/>
        <v>18</v>
      </c>
      <c r="V21" s="17">
        <f t="shared" si="13"/>
        <v>27</v>
      </c>
      <c r="W21" s="17">
        <f t="shared" si="13"/>
        <v>3</v>
      </c>
      <c r="X21" s="17">
        <f t="shared" si="13"/>
        <v>6</v>
      </c>
      <c r="Y21" s="17">
        <f t="shared" si="13"/>
        <v>13</v>
      </c>
      <c r="Z21" s="17">
        <f t="shared" si="13"/>
        <v>14</v>
      </c>
      <c r="AA21" s="17">
        <f t="shared" si="13"/>
        <v>13</v>
      </c>
      <c r="AB21" s="17">
        <f t="shared" si="13"/>
        <v>0</v>
      </c>
      <c r="AC21" s="17">
        <f t="shared" si="13"/>
        <v>114</v>
      </c>
      <c r="AD21" s="17">
        <f t="shared" si="13"/>
        <v>0</v>
      </c>
      <c r="AE21" s="31">
        <f t="shared" si="13"/>
        <v>205</v>
      </c>
      <c r="AF21" s="31">
        <f t="shared" si="13"/>
        <v>319</v>
      </c>
    </row>
    <row r="22" spans="2:32" ht="23.1" customHeight="1" x14ac:dyDescent="0.25">
      <c r="B22" s="23" t="s">
        <v>49</v>
      </c>
      <c r="C22" s="50">
        <v>9</v>
      </c>
      <c r="D22" s="50">
        <v>5</v>
      </c>
      <c r="E22" s="50">
        <v>0</v>
      </c>
      <c r="F22" s="50">
        <v>3</v>
      </c>
      <c r="G22" s="50">
        <v>0</v>
      </c>
      <c r="H22" s="50">
        <v>2</v>
      </c>
      <c r="I22" s="50">
        <v>1</v>
      </c>
      <c r="J22" s="50">
        <v>0</v>
      </c>
      <c r="K22" s="50">
        <v>1</v>
      </c>
      <c r="L22" s="50">
        <v>0</v>
      </c>
      <c r="M22" s="50">
        <v>10</v>
      </c>
      <c r="N22" s="50">
        <v>0</v>
      </c>
      <c r="O22" s="15">
        <f t="shared" si="0"/>
        <v>21</v>
      </c>
      <c r="P22" s="15">
        <f t="shared" si="1"/>
        <v>31</v>
      </c>
      <c r="R22" s="38" t="s">
        <v>90</v>
      </c>
      <c r="S22" s="39">
        <f>MAX(S10:S12)</f>
        <v>26</v>
      </c>
      <c r="T22" s="39">
        <f t="shared" ref="T22:AF22" si="14">MAX(T10:T12)</f>
        <v>12</v>
      </c>
      <c r="U22" s="39">
        <f t="shared" si="14"/>
        <v>7</v>
      </c>
      <c r="V22" s="39">
        <f t="shared" si="14"/>
        <v>20</v>
      </c>
      <c r="W22" s="39">
        <f t="shared" si="14"/>
        <v>0</v>
      </c>
      <c r="X22" s="39">
        <f t="shared" si="14"/>
        <v>1</v>
      </c>
      <c r="Y22" s="39">
        <f t="shared" si="14"/>
        <v>6</v>
      </c>
      <c r="Z22" s="39">
        <f t="shared" si="14"/>
        <v>4</v>
      </c>
      <c r="AA22" s="39">
        <f t="shared" si="14"/>
        <v>2</v>
      </c>
      <c r="AB22" s="39">
        <f t="shared" si="14"/>
        <v>1</v>
      </c>
      <c r="AC22" s="39">
        <f t="shared" si="14"/>
        <v>52</v>
      </c>
      <c r="AD22" s="39">
        <f t="shared" si="14"/>
        <v>0</v>
      </c>
      <c r="AE22" s="40">
        <f t="shared" si="14"/>
        <v>70</v>
      </c>
      <c r="AF22" s="40">
        <f t="shared" si="14"/>
        <v>121</v>
      </c>
    </row>
    <row r="23" spans="2:32" ht="23.1" customHeight="1" x14ac:dyDescent="0.25">
      <c r="B23" s="23" t="s">
        <v>50</v>
      </c>
      <c r="C23" s="50">
        <v>15</v>
      </c>
      <c r="D23" s="50">
        <v>6</v>
      </c>
      <c r="E23" s="50">
        <v>0</v>
      </c>
      <c r="F23" s="50">
        <v>4</v>
      </c>
      <c r="G23" s="50">
        <v>0</v>
      </c>
      <c r="H23" s="50">
        <v>0</v>
      </c>
      <c r="I23" s="50">
        <v>0</v>
      </c>
      <c r="J23" s="50">
        <v>0</v>
      </c>
      <c r="K23" s="50">
        <v>4</v>
      </c>
      <c r="L23" s="50">
        <v>0</v>
      </c>
      <c r="M23" s="50">
        <v>14</v>
      </c>
      <c r="N23" s="50">
        <v>0</v>
      </c>
      <c r="O23" s="15">
        <f t="shared" si="0"/>
        <v>29</v>
      </c>
      <c r="P23" s="15">
        <f t="shared" si="1"/>
        <v>43</v>
      </c>
      <c r="R23" s="38" t="s">
        <v>91</v>
      </c>
      <c r="S23" s="39">
        <f>MAX(S13:S18)</f>
        <v>77</v>
      </c>
      <c r="T23" s="39">
        <f t="shared" ref="T23:AF23" si="15">MAX(T13:T18)</f>
        <v>46</v>
      </c>
      <c r="U23" s="39">
        <f t="shared" si="15"/>
        <v>21</v>
      </c>
      <c r="V23" s="39">
        <f t="shared" si="15"/>
        <v>26</v>
      </c>
      <c r="W23" s="39">
        <f t="shared" si="15"/>
        <v>4</v>
      </c>
      <c r="X23" s="39">
        <f t="shared" si="15"/>
        <v>11</v>
      </c>
      <c r="Y23" s="39">
        <f t="shared" si="15"/>
        <v>8</v>
      </c>
      <c r="Z23" s="39">
        <f t="shared" si="15"/>
        <v>12</v>
      </c>
      <c r="AA23" s="39">
        <f t="shared" si="15"/>
        <v>9</v>
      </c>
      <c r="AB23" s="39">
        <f t="shared" si="15"/>
        <v>9</v>
      </c>
      <c r="AC23" s="39">
        <f t="shared" si="15"/>
        <v>68</v>
      </c>
      <c r="AD23" s="39">
        <f t="shared" si="15"/>
        <v>0</v>
      </c>
      <c r="AE23" s="40">
        <f t="shared" si="15"/>
        <v>197</v>
      </c>
      <c r="AF23" s="40">
        <f t="shared" si="15"/>
        <v>265</v>
      </c>
    </row>
    <row r="24" spans="2:32" ht="23.1" customHeight="1" x14ac:dyDescent="0.25">
      <c r="B24" s="23" t="s">
        <v>51</v>
      </c>
      <c r="C24" s="50">
        <v>7</v>
      </c>
      <c r="D24" s="50">
        <v>2</v>
      </c>
      <c r="E24" s="50">
        <v>2</v>
      </c>
      <c r="F24" s="50">
        <v>4</v>
      </c>
      <c r="G24" s="50">
        <v>0</v>
      </c>
      <c r="H24" s="50">
        <v>1</v>
      </c>
      <c r="I24" s="50">
        <v>1</v>
      </c>
      <c r="J24" s="50">
        <v>1</v>
      </c>
      <c r="K24" s="50">
        <v>2</v>
      </c>
      <c r="L24" s="50">
        <v>1</v>
      </c>
      <c r="M24" s="50">
        <v>11</v>
      </c>
      <c r="N24" s="50">
        <v>0</v>
      </c>
      <c r="O24" s="15">
        <f t="shared" si="0"/>
        <v>21</v>
      </c>
      <c r="P24" s="15">
        <f t="shared" si="1"/>
        <v>32</v>
      </c>
      <c r="R24" s="38" t="s">
        <v>92</v>
      </c>
      <c r="S24" s="39">
        <f>MAX(S19:S21)</f>
        <v>90</v>
      </c>
      <c r="T24" s="39">
        <f t="shared" ref="T24:AF24" si="16">MAX(T19:T21)</f>
        <v>33</v>
      </c>
      <c r="U24" s="39">
        <f t="shared" si="16"/>
        <v>38</v>
      </c>
      <c r="V24" s="39">
        <f t="shared" si="16"/>
        <v>27</v>
      </c>
      <c r="W24" s="39">
        <f t="shared" si="16"/>
        <v>3</v>
      </c>
      <c r="X24" s="39">
        <f t="shared" si="16"/>
        <v>6</v>
      </c>
      <c r="Y24" s="39">
        <f t="shared" si="16"/>
        <v>13</v>
      </c>
      <c r="Z24" s="39">
        <f t="shared" si="16"/>
        <v>14</v>
      </c>
      <c r="AA24" s="39">
        <f t="shared" si="16"/>
        <v>13</v>
      </c>
      <c r="AB24" s="39">
        <f t="shared" si="16"/>
        <v>3</v>
      </c>
      <c r="AC24" s="39">
        <f t="shared" si="16"/>
        <v>114</v>
      </c>
      <c r="AD24" s="39">
        <f t="shared" si="16"/>
        <v>0</v>
      </c>
      <c r="AE24" s="40">
        <f t="shared" si="16"/>
        <v>205</v>
      </c>
      <c r="AF24" s="40">
        <f t="shared" si="16"/>
        <v>319</v>
      </c>
    </row>
    <row r="25" spans="2:32" ht="23.1" customHeight="1" x14ac:dyDescent="0.25">
      <c r="B25" s="23" t="s">
        <v>52</v>
      </c>
      <c r="C25" s="50">
        <v>14</v>
      </c>
      <c r="D25" s="50">
        <v>3</v>
      </c>
      <c r="E25" s="50">
        <v>1</v>
      </c>
      <c r="F25" s="50">
        <v>5</v>
      </c>
      <c r="G25" s="50">
        <v>0</v>
      </c>
      <c r="H25" s="50">
        <v>0</v>
      </c>
      <c r="I25" s="50">
        <v>1</v>
      </c>
      <c r="J25" s="50">
        <v>0</v>
      </c>
      <c r="K25" s="50">
        <v>2</v>
      </c>
      <c r="L25" s="50">
        <v>0</v>
      </c>
      <c r="M25" s="50">
        <v>30</v>
      </c>
      <c r="N25" s="50">
        <v>0</v>
      </c>
      <c r="O25" s="15">
        <f t="shared" si="0"/>
        <v>26</v>
      </c>
      <c r="P25" s="15">
        <f t="shared" si="1"/>
        <v>56</v>
      </c>
      <c r="R25" s="37" t="s">
        <v>85</v>
      </c>
      <c r="S25" s="35">
        <f t="shared" ref="S25:AF25" si="17">SUM(S10:S12)</f>
        <v>71</v>
      </c>
      <c r="T25" s="16">
        <f t="shared" si="17"/>
        <v>27</v>
      </c>
      <c r="U25" s="16">
        <f t="shared" si="17"/>
        <v>14</v>
      </c>
      <c r="V25" s="16">
        <f t="shared" si="17"/>
        <v>47</v>
      </c>
      <c r="W25" s="16">
        <f t="shared" si="17"/>
        <v>0</v>
      </c>
      <c r="X25" s="16">
        <f t="shared" si="17"/>
        <v>3</v>
      </c>
      <c r="Y25" s="16">
        <f t="shared" si="17"/>
        <v>13</v>
      </c>
      <c r="Z25" s="16">
        <f t="shared" si="17"/>
        <v>6</v>
      </c>
      <c r="AA25" s="16">
        <f t="shared" si="17"/>
        <v>5</v>
      </c>
      <c r="AB25" s="16">
        <f t="shared" si="17"/>
        <v>2</v>
      </c>
      <c r="AC25" s="16">
        <f t="shared" si="17"/>
        <v>143</v>
      </c>
      <c r="AD25" s="16">
        <f t="shared" si="17"/>
        <v>0</v>
      </c>
      <c r="AE25" s="32">
        <f t="shared" si="17"/>
        <v>188</v>
      </c>
      <c r="AF25" s="32">
        <f t="shared" si="17"/>
        <v>331</v>
      </c>
    </row>
    <row r="26" spans="2:32" ht="23.1" customHeight="1" x14ac:dyDescent="0.25">
      <c r="B26" s="23" t="s">
        <v>53</v>
      </c>
      <c r="C26" s="50">
        <v>15</v>
      </c>
      <c r="D26" s="50">
        <v>8</v>
      </c>
      <c r="E26" s="50">
        <v>0</v>
      </c>
      <c r="F26" s="50">
        <v>5</v>
      </c>
      <c r="G26" s="50">
        <v>0</v>
      </c>
      <c r="H26" s="50">
        <v>3</v>
      </c>
      <c r="I26" s="50">
        <v>2</v>
      </c>
      <c r="J26" s="50">
        <v>4</v>
      </c>
      <c r="K26" s="50">
        <v>0</v>
      </c>
      <c r="L26" s="50">
        <v>5</v>
      </c>
      <c r="M26" s="50">
        <v>13</v>
      </c>
      <c r="N26" s="50">
        <v>0</v>
      </c>
      <c r="O26" s="15">
        <f t="shared" si="0"/>
        <v>42</v>
      </c>
      <c r="P26" s="15">
        <f t="shared" si="1"/>
        <v>55</v>
      </c>
      <c r="R26" s="28" t="s">
        <v>86</v>
      </c>
      <c r="S26" s="16">
        <f t="shared" ref="S26:AF26" si="18">SUM(S13:S18)</f>
        <v>368</v>
      </c>
      <c r="T26" s="16">
        <f t="shared" si="18"/>
        <v>193</v>
      </c>
      <c r="U26" s="16">
        <f t="shared" si="18"/>
        <v>91</v>
      </c>
      <c r="V26" s="16">
        <f t="shared" si="18"/>
        <v>139</v>
      </c>
      <c r="W26" s="16">
        <f t="shared" si="18"/>
        <v>7</v>
      </c>
      <c r="X26" s="16">
        <f t="shared" si="18"/>
        <v>40</v>
      </c>
      <c r="Y26" s="16">
        <f t="shared" si="18"/>
        <v>27</v>
      </c>
      <c r="Z26" s="16">
        <f t="shared" si="18"/>
        <v>46</v>
      </c>
      <c r="AA26" s="16">
        <f t="shared" si="18"/>
        <v>36</v>
      </c>
      <c r="AB26" s="16">
        <f t="shared" si="18"/>
        <v>23</v>
      </c>
      <c r="AC26" s="16">
        <f t="shared" si="18"/>
        <v>334</v>
      </c>
      <c r="AD26" s="16">
        <f t="shared" si="18"/>
        <v>0</v>
      </c>
      <c r="AE26" s="32">
        <f t="shared" si="18"/>
        <v>970</v>
      </c>
      <c r="AF26" s="32">
        <f t="shared" si="18"/>
        <v>1304</v>
      </c>
    </row>
    <row r="27" spans="2:32" ht="23.1" customHeight="1" x14ac:dyDescent="0.25">
      <c r="B27" s="23" t="s">
        <v>54</v>
      </c>
      <c r="C27" s="50">
        <v>6</v>
      </c>
      <c r="D27" s="50">
        <v>6</v>
      </c>
      <c r="E27" s="50">
        <v>5</v>
      </c>
      <c r="F27" s="50">
        <v>5</v>
      </c>
      <c r="G27" s="50">
        <v>1</v>
      </c>
      <c r="H27" s="50">
        <v>1</v>
      </c>
      <c r="I27" s="50">
        <v>2</v>
      </c>
      <c r="J27" s="50">
        <v>1</v>
      </c>
      <c r="K27" s="50">
        <v>0</v>
      </c>
      <c r="L27" s="50">
        <v>2</v>
      </c>
      <c r="M27" s="50">
        <v>2</v>
      </c>
      <c r="N27" s="50">
        <v>0</v>
      </c>
      <c r="O27" s="15">
        <f t="shared" si="0"/>
        <v>29</v>
      </c>
      <c r="P27" s="15">
        <f t="shared" si="1"/>
        <v>31</v>
      </c>
      <c r="R27" s="29" t="s">
        <v>87</v>
      </c>
      <c r="S27" s="16">
        <f t="shared" ref="S27:AF27" si="19">SUM(S19:S21)</f>
        <v>217</v>
      </c>
      <c r="T27" s="16">
        <f t="shared" si="19"/>
        <v>82</v>
      </c>
      <c r="U27" s="16">
        <f t="shared" si="19"/>
        <v>72</v>
      </c>
      <c r="V27" s="16">
        <f t="shared" si="19"/>
        <v>73</v>
      </c>
      <c r="W27" s="16">
        <f t="shared" si="19"/>
        <v>4</v>
      </c>
      <c r="X27" s="16">
        <f t="shared" si="19"/>
        <v>17</v>
      </c>
      <c r="Y27" s="16">
        <f t="shared" si="19"/>
        <v>21</v>
      </c>
      <c r="Z27" s="16">
        <f t="shared" si="19"/>
        <v>35</v>
      </c>
      <c r="AA27" s="16">
        <f t="shared" si="19"/>
        <v>37</v>
      </c>
      <c r="AB27" s="16">
        <f t="shared" si="19"/>
        <v>4</v>
      </c>
      <c r="AC27" s="16">
        <f t="shared" si="19"/>
        <v>275</v>
      </c>
      <c r="AD27" s="16">
        <f t="shared" si="19"/>
        <v>0</v>
      </c>
      <c r="AE27" s="32">
        <f t="shared" si="19"/>
        <v>562</v>
      </c>
      <c r="AF27" s="32">
        <f t="shared" si="19"/>
        <v>837</v>
      </c>
    </row>
    <row r="28" spans="2:32" ht="23.1" customHeight="1" x14ac:dyDescent="0.25">
      <c r="B28" s="23" t="s">
        <v>55</v>
      </c>
      <c r="C28" s="50">
        <v>20</v>
      </c>
      <c r="D28" s="50">
        <v>6</v>
      </c>
      <c r="E28" s="50">
        <v>4</v>
      </c>
      <c r="F28" s="50">
        <v>2</v>
      </c>
      <c r="G28" s="50">
        <v>0</v>
      </c>
      <c r="H28" s="50">
        <v>1</v>
      </c>
      <c r="I28" s="50">
        <v>1</v>
      </c>
      <c r="J28" s="50">
        <v>0</v>
      </c>
      <c r="K28" s="50">
        <v>0</v>
      </c>
      <c r="L28" s="50">
        <v>1</v>
      </c>
      <c r="M28" s="50">
        <v>1</v>
      </c>
      <c r="N28" s="50">
        <v>0</v>
      </c>
      <c r="O28" s="15">
        <f t="shared" si="0"/>
        <v>35</v>
      </c>
      <c r="P28" s="15">
        <f t="shared" si="1"/>
        <v>36</v>
      </c>
      <c r="R28" s="5" t="s">
        <v>17</v>
      </c>
      <c r="S28" s="16">
        <f t="shared" ref="S28:AF28" si="20">SUM(S10:S21)</f>
        <v>656</v>
      </c>
      <c r="T28" s="16">
        <f t="shared" si="20"/>
        <v>302</v>
      </c>
      <c r="U28" s="16">
        <f t="shared" si="20"/>
        <v>177</v>
      </c>
      <c r="V28" s="16">
        <f t="shared" si="20"/>
        <v>259</v>
      </c>
      <c r="W28" s="16">
        <f t="shared" si="20"/>
        <v>11</v>
      </c>
      <c r="X28" s="16">
        <f t="shared" si="20"/>
        <v>60</v>
      </c>
      <c r="Y28" s="16">
        <f t="shared" si="20"/>
        <v>61</v>
      </c>
      <c r="Z28" s="16">
        <f t="shared" si="20"/>
        <v>87</v>
      </c>
      <c r="AA28" s="16">
        <f t="shared" si="20"/>
        <v>78</v>
      </c>
      <c r="AB28" s="16">
        <f t="shared" si="20"/>
        <v>29</v>
      </c>
      <c r="AC28" s="16">
        <f t="shared" si="20"/>
        <v>752</v>
      </c>
      <c r="AD28" s="16">
        <f t="shared" si="20"/>
        <v>0</v>
      </c>
      <c r="AE28" s="32">
        <f t="shared" si="20"/>
        <v>1720</v>
      </c>
      <c r="AF28" s="32">
        <f t="shared" si="20"/>
        <v>2472</v>
      </c>
    </row>
    <row r="29" spans="2:32" ht="23.1" customHeight="1" x14ac:dyDescent="0.25">
      <c r="B29" s="23" t="s">
        <v>56</v>
      </c>
      <c r="C29" s="50">
        <v>14</v>
      </c>
      <c r="D29" s="50">
        <v>9</v>
      </c>
      <c r="E29" s="50">
        <v>5</v>
      </c>
      <c r="F29" s="50">
        <v>11</v>
      </c>
      <c r="G29" s="50">
        <v>1</v>
      </c>
      <c r="H29" s="50">
        <v>1</v>
      </c>
      <c r="I29" s="50">
        <v>2</v>
      </c>
      <c r="J29" s="50">
        <v>2</v>
      </c>
      <c r="K29" s="50">
        <v>1</v>
      </c>
      <c r="L29" s="50">
        <v>1</v>
      </c>
      <c r="M29" s="50">
        <v>18</v>
      </c>
      <c r="N29" s="50">
        <v>0</v>
      </c>
      <c r="O29" s="15">
        <f t="shared" si="0"/>
        <v>47</v>
      </c>
      <c r="P29" s="15">
        <f t="shared" si="1"/>
        <v>65</v>
      </c>
      <c r="R29"/>
      <c r="S29" s="20"/>
      <c r="T29" s="19"/>
    </row>
    <row r="30" spans="2:32" ht="23.1" customHeight="1" x14ac:dyDescent="0.25">
      <c r="B30" s="23" t="s">
        <v>57</v>
      </c>
      <c r="C30" s="50">
        <v>12</v>
      </c>
      <c r="D30" s="50">
        <v>5</v>
      </c>
      <c r="E30" s="50">
        <v>0</v>
      </c>
      <c r="F30" s="50">
        <v>6</v>
      </c>
      <c r="G30" s="50">
        <v>0</v>
      </c>
      <c r="H30" s="50">
        <v>2</v>
      </c>
      <c r="I30" s="50">
        <v>1</v>
      </c>
      <c r="J30" s="50">
        <v>1</v>
      </c>
      <c r="K30" s="50">
        <v>1</v>
      </c>
      <c r="L30" s="50">
        <v>5</v>
      </c>
      <c r="M30" s="50">
        <v>16</v>
      </c>
      <c r="N30" s="50">
        <v>0</v>
      </c>
      <c r="O30" s="15">
        <f t="shared" si="0"/>
        <v>33</v>
      </c>
      <c r="P30" s="15">
        <f t="shared" si="1"/>
        <v>49</v>
      </c>
    </row>
    <row r="31" spans="2:32" ht="23.1" customHeight="1" x14ac:dyDescent="0.25">
      <c r="B31" s="24" t="s">
        <v>58</v>
      </c>
      <c r="C31" s="50">
        <v>15</v>
      </c>
      <c r="D31" s="50">
        <v>7</v>
      </c>
      <c r="E31" s="50">
        <v>4</v>
      </c>
      <c r="F31" s="50">
        <v>12</v>
      </c>
      <c r="G31" s="50">
        <v>0</v>
      </c>
      <c r="H31" s="50">
        <v>0</v>
      </c>
      <c r="I31" s="50">
        <v>0</v>
      </c>
      <c r="J31" s="50">
        <v>5</v>
      </c>
      <c r="K31" s="50">
        <v>3</v>
      </c>
      <c r="L31" s="50">
        <v>0</v>
      </c>
      <c r="M31" s="50">
        <v>22</v>
      </c>
      <c r="N31" s="50">
        <v>0</v>
      </c>
      <c r="O31" s="15">
        <f t="shared" si="0"/>
        <v>46</v>
      </c>
      <c r="P31" s="15">
        <f t="shared" si="1"/>
        <v>68</v>
      </c>
    </row>
    <row r="32" spans="2:32" ht="23.1" customHeight="1" x14ac:dyDescent="0.25">
      <c r="B32" s="24" t="s">
        <v>59</v>
      </c>
      <c r="C32" s="50">
        <v>18</v>
      </c>
      <c r="D32" s="50">
        <v>12</v>
      </c>
      <c r="E32" s="50">
        <v>5</v>
      </c>
      <c r="F32" s="50">
        <v>2</v>
      </c>
      <c r="G32" s="50">
        <v>0</v>
      </c>
      <c r="H32" s="50">
        <v>2</v>
      </c>
      <c r="I32" s="50">
        <v>1</v>
      </c>
      <c r="J32" s="50">
        <v>1</v>
      </c>
      <c r="K32" s="50">
        <v>1</v>
      </c>
      <c r="L32" s="50">
        <v>0</v>
      </c>
      <c r="M32" s="50">
        <v>15</v>
      </c>
      <c r="N32" s="50">
        <v>0</v>
      </c>
      <c r="O32" s="15">
        <f t="shared" si="0"/>
        <v>42</v>
      </c>
      <c r="P32" s="15">
        <f t="shared" si="1"/>
        <v>57</v>
      </c>
    </row>
    <row r="33" spans="2:20" ht="23.1" customHeight="1" x14ac:dyDescent="0.25">
      <c r="B33" s="23" t="s">
        <v>60</v>
      </c>
      <c r="C33" s="50">
        <v>18</v>
      </c>
      <c r="D33" s="50">
        <v>11</v>
      </c>
      <c r="E33" s="50">
        <v>6</v>
      </c>
      <c r="F33" s="50">
        <v>6</v>
      </c>
      <c r="G33" s="50">
        <v>0</v>
      </c>
      <c r="H33" s="50">
        <v>0</v>
      </c>
      <c r="I33" s="50">
        <v>0</v>
      </c>
      <c r="J33" s="50">
        <v>5</v>
      </c>
      <c r="K33" s="50">
        <v>1</v>
      </c>
      <c r="L33" s="50">
        <v>0</v>
      </c>
      <c r="M33" s="50">
        <v>10</v>
      </c>
      <c r="N33" s="50">
        <v>0</v>
      </c>
      <c r="O33" s="15">
        <f t="shared" si="0"/>
        <v>47</v>
      </c>
      <c r="P33" s="15">
        <f t="shared" si="1"/>
        <v>57</v>
      </c>
    </row>
    <row r="34" spans="2:20" ht="23.1" customHeight="1" x14ac:dyDescent="0.25">
      <c r="B34" s="24" t="s">
        <v>61</v>
      </c>
      <c r="C34" s="50">
        <v>24</v>
      </c>
      <c r="D34" s="50">
        <v>6</v>
      </c>
      <c r="E34" s="50">
        <v>6</v>
      </c>
      <c r="F34" s="50">
        <v>8</v>
      </c>
      <c r="G34" s="50">
        <v>0</v>
      </c>
      <c r="H34" s="50">
        <v>5</v>
      </c>
      <c r="I34" s="50">
        <v>2</v>
      </c>
      <c r="J34" s="50">
        <v>7</v>
      </c>
      <c r="K34" s="50">
        <v>4</v>
      </c>
      <c r="L34" s="50">
        <v>0</v>
      </c>
      <c r="M34" s="50">
        <v>16</v>
      </c>
      <c r="N34" s="50">
        <v>0</v>
      </c>
      <c r="O34" s="15">
        <f t="shared" si="0"/>
        <v>62</v>
      </c>
      <c r="P34" s="15">
        <f t="shared" si="1"/>
        <v>78</v>
      </c>
    </row>
    <row r="35" spans="2:20" ht="23.1" customHeight="1" x14ac:dyDescent="0.25">
      <c r="B35" s="24" t="s">
        <v>62</v>
      </c>
      <c r="C35" s="50">
        <v>23</v>
      </c>
      <c r="D35" s="50">
        <v>13</v>
      </c>
      <c r="E35" s="50">
        <v>8</v>
      </c>
      <c r="F35" s="50">
        <v>8</v>
      </c>
      <c r="G35" s="50">
        <v>1</v>
      </c>
      <c r="H35" s="50">
        <v>2</v>
      </c>
      <c r="I35" s="50">
        <v>2</v>
      </c>
      <c r="J35" s="50">
        <v>0</v>
      </c>
      <c r="K35" s="50">
        <v>1</v>
      </c>
      <c r="L35" s="50">
        <v>0</v>
      </c>
      <c r="M35" s="50">
        <v>25</v>
      </c>
      <c r="N35" s="50">
        <v>0</v>
      </c>
      <c r="O35" s="15">
        <f t="shared" si="0"/>
        <v>58</v>
      </c>
      <c r="P35" s="15">
        <f t="shared" si="1"/>
        <v>83</v>
      </c>
    </row>
    <row r="36" spans="2:20" ht="23.1" customHeight="1" x14ac:dyDescent="0.25">
      <c r="B36" s="24" t="s">
        <v>63</v>
      </c>
      <c r="C36" s="50">
        <v>15</v>
      </c>
      <c r="D36" s="50">
        <v>9</v>
      </c>
      <c r="E36" s="50">
        <v>3</v>
      </c>
      <c r="F36" s="50">
        <v>2</v>
      </c>
      <c r="G36" s="50">
        <v>0</v>
      </c>
      <c r="H36" s="50">
        <v>1</v>
      </c>
      <c r="I36" s="50">
        <v>0</v>
      </c>
      <c r="J36" s="50">
        <v>1</v>
      </c>
      <c r="K36" s="50">
        <v>0</v>
      </c>
      <c r="L36" s="50">
        <v>0</v>
      </c>
      <c r="M36" s="50">
        <v>13</v>
      </c>
      <c r="N36" s="50">
        <v>0</v>
      </c>
      <c r="O36" s="15">
        <f t="shared" si="0"/>
        <v>31</v>
      </c>
      <c r="P36" s="15">
        <f t="shared" si="1"/>
        <v>44</v>
      </c>
    </row>
    <row r="37" spans="2:20" ht="23.1" customHeight="1" x14ac:dyDescent="0.25">
      <c r="B37" s="23" t="s">
        <v>64</v>
      </c>
      <c r="C37" s="50">
        <v>15</v>
      </c>
      <c r="D37" s="50">
        <v>9</v>
      </c>
      <c r="E37" s="50">
        <v>3</v>
      </c>
      <c r="F37" s="50">
        <v>8</v>
      </c>
      <c r="G37" s="50">
        <v>3</v>
      </c>
      <c r="H37" s="50">
        <v>3</v>
      </c>
      <c r="I37" s="50">
        <v>0</v>
      </c>
      <c r="J37" s="50">
        <v>4</v>
      </c>
      <c r="K37" s="50">
        <v>1</v>
      </c>
      <c r="L37" s="50">
        <v>0</v>
      </c>
      <c r="M37" s="50">
        <v>14</v>
      </c>
      <c r="N37" s="50">
        <v>0</v>
      </c>
      <c r="O37" s="15">
        <f t="shared" si="0"/>
        <v>46</v>
      </c>
      <c r="P37" s="15">
        <f t="shared" si="1"/>
        <v>60</v>
      </c>
    </row>
    <row r="38" spans="2:20" ht="23.1" customHeight="1" x14ac:dyDescent="0.25">
      <c r="B38" s="24" t="s">
        <v>65</v>
      </c>
      <c r="C38" s="50">
        <v>16</v>
      </c>
      <c r="D38" s="50">
        <v>8</v>
      </c>
      <c r="E38" s="50">
        <v>6</v>
      </c>
      <c r="F38" s="50">
        <v>4</v>
      </c>
      <c r="G38" s="50">
        <v>1</v>
      </c>
      <c r="H38" s="50">
        <v>0</v>
      </c>
      <c r="I38" s="50">
        <v>2</v>
      </c>
      <c r="J38" s="50">
        <v>2</v>
      </c>
      <c r="K38" s="50">
        <v>0</v>
      </c>
      <c r="L38" s="50">
        <v>0</v>
      </c>
      <c r="M38" s="50">
        <v>21</v>
      </c>
      <c r="N38" s="50">
        <v>0</v>
      </c>
      <c r="O38" s="15">
        <f t="shared" si="0"/>
        <v>39</v>
      </c>
      <c r="P38" s="15">
        <f t="shared" si="1"/>
        <v>60</v>
      </c>
    </row>
    <row r="39" spans="2:20" ht="23.1" customHeight="1" x14ac:dyDescent="0.25">
      <c r="B39" s="24" t="s">
        <v>66</v>
      </c>
      <c r="C39" s="50">
        <v>24</v>
      </c>
      <c r="D39" s="50">
        <v>20</v>
      </c>
      <c r="E39" s="50">
        <v>3</v>
      </c>
      <c r="F39" s="50">
        <v>6</v>
      </c>
      <c r="G39" s="50">
        <v>0</v>
      </c>
      <c r="H39" s="50">
        <v>3</v>
      </c>
      <c r="I39" s="50">
        <v>0</v>
      </c>
      <c r="J39" s="50">
        <v>0</v>
      </c>
      <c r="K39" s="50">
        <v>1</v>
      </c>
      <c r="L39" s="50">
        <v>2</v>
      </c>
      <c r="M39" s="50">
        <v>8</v>
      </c>
      <c r="N39" s="50">
        <v>0</v>
      </c>
      <c r="O39" s="15">
        <f t="shared" si="0"/>
        <v>59</v>
      </c>
      <c r="P39" s="15">
        <f t="shared" si="1"/>
        <v>67</v>
      </c>
    </row>
    <row r="40" spans="2:20" ht="23.1" customHeight="1" x14ac:dyDescent="0.25">
      <c r="B40" s="24" t="s">
        <v>67</v>
      </c>
      <c r="C40" s="50">
        <v>14</v>
      </c>
      <c r="D40" s="50">
        <v>3</v>
      </c>
      <c r="E40" s="50">
        <v>6</v>
      </c>
      <c r="F40" s="50">
        <v>3</v>
      </c>
      <c r="G40" s="50">
        <v>0</v>
      </c>
      <c r="H40" s="50">
        <v>3</v>
      </c>
      <c r="I40" s="50">
        <v>1</v>
      </c>
      <c r="J40" s="50">
        <v>3</v>
      </c>
      <c r="K40" s="50">
        <v>1</v>
      </c>
      <c r="L40" s="50">
        <v>0</v>
      </c>
      <c r="M40" s="50">
        <v>15</v>
      </c>
      <c r="N40" s="50">
        <v>0</v>
      </c>
      <c r="O40" s="15">
        <f t="shared" si="0"/>
        <v>34</v>
      </c>
      <c r="P40" s="15">
        <f t="shared" si="1"/>
        <v>49</v>
      </c>
    </row>
    <row r="41" spans="2:20" ht="23.1" customHeight="1" x14ac:dyDescent="0.25">
      <c r="B41" s="23" t="s">
        <v>68</v>
      </c>
      <c r="C41" s="50">
        <v>21</v>
      </c>
      <c r="D41" s="50">
        <v>15</v>
      </c>
      <c r="E41" s="50">
        <v>3</v>
      </c>
      <c r="F41" s="50">
        <v>9</v>
      </c>
      <c r="G41" s="50">
        <v>0</v>
      </c>
      <c r="H41" s="50">
        <v>4</v>
      </c>
      <c r="I41" s="50">
        <v>0</v>
      </c>
      <c r="J41" s="50">
        <v>1</v>
      </c>
      <c r="K41" s="50">
        <v>3</v>
      </c>
      <c r="L41" s="50">
        <v>0</v>
      </c>
      <c r="M41" s="50">
        <v>22</v>
      </c>
      <c r="N41" s="50">
        <v>0</v>
      </c>
      <c r="O41" s="15">
        <f t="shared" si="0"/>
        <v>56</v>
      </c>
      <c r="P41" s="15">
        <f t="shared" si="1"/>
        <v>78</v>
      </c>
    </row>
    <row r="42" spans="2:20" ht="23.1" customHeight="1" x14ac:dyDescent="0.25">
      <c r="B42" s="24" t="s">
        <v>69</v>
      </c>
      <c r="C42" s="50">
        <v>12</v>
      </c>
      <c r="D42" s="50">
        <v>2</v>
      </c>
      <c r="E42" s="50">
        <v>4</v>
      </c>
      <c r="F42" s="50">
        <v>5</v>
      </c>
      <c r="G42" s="50">
        <v>0</v>
      </c>
      <c r="H42" s="50">
        <v>1</v>
      </c>
      <c r="I42" s="50">
        <v>0</v>
      </c>
      <c r="J42" s="50">
        <v>1</v>
      </c>
      <c r="K42" s="50">
        <v>3</v>
      </c>
      <c r="L42" s="50">
        <v>0</v>
      </c>
      <c r="M42" s="50">
        <v>14</v>
      </c>
      <c r="N42" s="50">
        <v>0</v>
      </c>
      <c r="O42" s="15">
        <f t="shared" si="0"/>
        <v>28</v>
      </c>
      <c r="P42" s="15">
        <f t="shared" si="1"/>
        <v>42</v>
      </c>
    </row>
    <row r="43" spans="2:20" ht="23.1" customHeight="1" x14ac:dyDescent="0.25">
      <c r="B43" s="23" t="s">
        <v>70</v>
      </c>
      <c r="C43" s="50">
        <v>18</v>
      </c>
      <c r="D43" s="50">
        <v>8</v>
      </c>
      <c r="E43" s="50">
        <v>5</v>
      </c>
      <c r="F43" s="50">
        <v>3</v>
      </c>
      <c r="G43" s="50">
        <v>0</v>
      </c>
      <c r="H43" s="50">
        <v>2</v>
      </c>
      <c r="I43" s="50">
        <v>2</v>
      </c>
      <c r="J43" s="50">
        <v>1</v>
      </c>
      <c r="K43" s="50">
        <v>3</v>
      </c>
      <c r="L43" s="50">
        <v>4</v>
      </c>
      <c r="M43" s="50">
        <v>4</v>
      </c>
      <c r="N43" s="50">
        <v>0</v>
      </c>
      <c r="O43" s="15">
        <f t="shared" si="0"/>
        <v>46</v>
      </c>
      <c r="P43" s="15">
        <f t="shared" si="1"/>
        <v>50</v>
      </c>
    </row>
    <row r="44" spans="2:20" ht="23.1" customHeight="1" x14ac:dyDescent="0.25">
      <c r="B44" s="25" t="s">
        <v>71</v>
      </c>
      <c r="C44" s="50">
        <v>11</v>
      </c>
      <c r="D44" s="50">
        <v>9</v>
      </c>
      <c r="E44" s="50">
        <v>6</v>
      </c>
      <c r="F44" s="50">
        <v>10</v>
      </c>
      <c r="G44" s="50">
        <v>0</v>
      </c>
      <c r="H44" s="50">
        <v>2</v>
      </c>
      <c r="I44" s="50">
        <v>3</v>
      </c>
      <c r="J44" s="50">
        <v>0</v>
      </c>
      <c r="K44" s="50">
        <v>2</v>
      </c>
      <c r="L44" s="50">
        <v>2</v>
      </c>
      <c r="M44" s="50">
        <v>6</v>
      </c>
      <c r="N44" s="50">
        <v>0</v>
      </c>
      <c r="O44" s="15">
        <f t="shared" si="0"/>
        <v>45</v>
      </c>
      <c r="P44" s="15">
        <f t="shared" si="1"/>
        <v>51</v>
      </c>
    </row>
    <row r="45" spans="2:20" ht="23.1" customHeight="1" x14ac:dyDescent="0.25">
      <c r="B45" s="23" t="s">
        <v>72</v>
      </c>
      <c r="C45" s="50">
        <v>12</v>
      </c>
      <c r="D45" s="50">
        <v>11</v>
      </c>
      <c r="E45" s="50">
        <v>6</v>
      </c>
      <c r="F45" s="50">
        <v>8</v>
      </c>
      <c r="G45" s="50">
        <v>0</v>
      </c>
      <c r="H45" s="50">
        <v>1</v>
      </c>
      <c r="I45" s="50">
        <v>3</v>
      </c>
      <c r="J45" s="50">
        <v>6</v>
      </c>
      <c r="K45" s="50">
        <v>1</v>
      </c>
      <c r="L45" s="50">
        <v>0</v>
      </c>
      <c r="M45" s="50">
        <v>14</v>
      </c>
      <c r="N45" s="50">
        <v>0</v>
      </c>
      <c r="O45" s="15">
        <f t="shared" si="0"/>
        <v>48</v>
      </c>
      <c r="P45" s="15">
        <f t="shared" si="1"/>
        <v>62</v>
      </c>
    </row>
    <row r="46" spans="2:20" ht="23.1" customHeight="1" x14ac:dyDescent="0.25">
      <c r="B46" s="24" t="s">
        <v>73</v>
      </c>
      <c r="C46" s="50">
        <v>17</v>
      </c>
      <c r="D46" s="50">
        <v>3</v>
      </c>
      <c r="E46" s="50">
        <v>5</v>
      </c>
      <c r="F46" s="50">
        <v>4</v>
      </c>
      <c r="G46" s="50">
        <v>0</v>
      </c>
      <c r="H46" s="50">
        <v>1</v>
      </c>
      <c r="I46" s="50">
        <v>0</v>
      </c>
      <c r="J46" s="50">
        <v>2</v>
      </c>
      <c r="K46" s="50">
        <v>1</v>
      </c>
      <c r="L46" s="50">
        <v>0</v>
      </c>
      <c r="M46" s="50">
        <v>11</v>
      </c>
      <c r="N46" s="50">
        <v>0</v>
      </c>
      <c r="O46" s="15">
        <f t="shared" si="0"/>
        <v>33</v>
      </c>
      <c r="P46" s="15">
        <f t="shared" si="1"/>
        <v>44</v>
      </c>
      <c r="R46" s="8"/>
      <c r="T46"/>
    </row>
    <row r="47" spans="2:20" ht="23.1" customHeight="1" x14ac:dyDescent="0.25">
      <c r="B47" s="24" t="s">
        <v>74</v>
      </c>
      <c r="C47" s="50">
        <v>15</v>
      </c>
      <c r="D47" s="50">
        <v>5</v>
      </c>
      <c r="E47" s="50">
        <v>4</v>
      </c>
      <c r="F47" s="50">
        <v>5</v>
      </c>
      <c r="G47" s="50">
        <v>0</v>
      </c>
      <c r="H47" s="50">
        <v>3</v>
      </c>
      <c r="I47" s="50">
        <v>1</v>
      </c>
      <c r="J47" s="50">
        <v>3</v>
      </c>
      <c r="K47" s="50">
        <v>2</v>
      </c>
      <c r="L47" s="50">
        <v>1</v>
      </c>
      <c r="M47" s="50">
        <v>10</v>
      </c>
      <c r="N47" s="50">
        <v>0</v>
      </c>
      <c r="O47" s="15">
        <f t="shared" si="0"/>
        <v>39</v>
      </c>
      <c r="P47" s="15">
        <f t="shared" si="1"/>
        <v>49</v>
      </c>
      <c r="R47" s="8"/>
      <c r="T47"/>
    </row>
    <row r="48" spans="2:20" ht="23.1" customHeight="1" x14ac:dyDescent="0.25">
      <c r="B48" s="24" t="s">
        <v>75</v>
      </c>
      <c r="C48" s="50">
        <v>10</v>
      </c>
      <c r="D48" s="50">
        <v>10</v>
      </c>
      <c r="E48" s="50">
        <v>2</v>
      </c>
      <c r="F48" s="50">
        <v>6</v>
      </c>
      <c r="G48" s="50">
        <v>0</v>
      </c>
      <c r="H48" s="50">
        <v>1</v>
      </c>
      <c r="I48" s="50">
        <v>1</v>
      </c>
      <c r="J48" s="50">
        <v>2</v>
      </c>
      <c r="K48" s="50">
        <v>5</v>
      </c>
      <c r="L48" s="50">
        <v>0</v>
      </c>
      <c r="M48" s="50">
        <v>21</v>
      </c>
      <c r="N48" s="50">
        <v>0</v>
      </c>
      <c r="O48" s="15">
        <f t="shared" si="0"/>
        <v>37</v>
      </c>
      <c r="P48" s="15">
        <f t="shared" si="1"/>
        <v>58</v>
      </c>
      <c r="R48" s="8"/>
      <c r="T48"/>
    </row>
    <row r="49" spans="2:20" ht="23.1" customHeight="1" x14ac:dyDescent="0.25">
      <c r="B49" s="23" t="s">
        <v>76</v>
      </c>
      <c r="C49" s="50">
        <v>20</v>
      </c>
      <c r="D49" s="50">
        <v>10</v>
      </c>
      <c r="E49" s="50">
        <v>5</v>
      </c>
      <c r="F49" s="50">
        <v>7</v>
      </c>
      <c r="G49" s="50">
        <v>0</v>
      </c>
      <c r="H49" s="50">
        <v>0</v>
      </c>
      <c r="I49" s="50">
        <v>0</v>
      </c>
      <c r="J49" s="50">
        <v>3</v>
      </c>
      <c r="K49" s="50">
        <v>3</v>
      </c>
      <c r="L49" s="50">
        <v>0</v>
      </c>
      <c r="M49" s="50">
        <v>21</v>
      </c>
      <c r="N49" s="50">
        <v>0</v>
      </c>
      <c r="O49" s="15">
        <f t="shared" si="0"/>
        <v>48</v>
      </c>
      <c r="P49" s="15">
        <f t="shared" si="1"/>
        <v>69</v>
      </c>
      <c r="R49" s="8"/>
      <c r="T49"/>
    </row>
    <row r="50" spans="2:20" ht="23.1" customHeight="1" x14ac:dyDescent="0.25">
      <c r="B50" s="24" t="s">
        <v>77</v>
      </c>
      <c r="C50" s="50">
        <v>21</v>
      </c>
      <c r="D50" s="50">
        <v>10</v>
      </c>
      <c r="E50" s="50">
        <v>21</v>
      </c>
      <c r="F50" s="50">
        <v>5</v>
      </c>
      <c r="G50" s="50">
        <v>1</v>
      </c>
      <c r="H50" s="50">
        <v>1</v>
      </c>
      <c r="I50" s="50">
        <v>1</v>
      </c>
      <c r="J50" s="50">
        <v>1</v>
      </c>
      <c r="K50" s="50">
        <v>2</v>
      </c>
      <c r="L50" s="50">
        <v>2</v>
      </c>
      <c r="M50" s="50">
        <v>31</v>
      </c>
      <c r="N50" s="50">
        <v>0</v>
      </c>
      <c r="O50" s="15">
        <f t="shared" si="0"/>
        <v>65</v>
      </c>
      <c r="P50" s="15">
        <f t="shared" si="1"/>
        <v>96</v>
      </c>
      <c r="R50" s="8"/>
      <c r="T50"/>
    </row>
    <row r="51" spans="2:20" ht="23.1" customHeight="1" x14ac:dyDescent="0.25">
      <c r="B51" s="24" t="s">
        <v>78</v>
      </c>
      <c r="C51" s="50">
        <v>12</v>
      </c>
      <c r="D51" s="50">
        <v>10</v>
      </c>
      <c r="E51" s="50">
        <v>7</v>
      </c>
      <c r="F51" s="50">
        <v>7</v>
      </c>
      <c r="G51" s="50">
        <v>0</v>
      </c>
      <c r="H51" s="50">
        <v>2</v>
      </c>
      <c r="I51" s="50">
        <v>0</v>
      </c>
      <c r="J51" s="50">
        <v>2</v>
      </c>
      <c r="K51" s="50">
        <v>2</v>
      </c>
      <c r="L51" s="50">
        <v>0</v>
      </c>
      <c r="M51" s="50">
        <v>20</v>
      </c>
      <c r="N51" s="50">
        <v>0</v>
      </c>
      <c r="O51" s="15">
        <f t="shared" si="0"/>
        <v>42</v>
      </c>
      <c r="P51" s="15">
        <f t="shared" si="1"/>
        <v>62</v>
      </c>
      <c r="R51" s="8"/>
      <c r="T51"/>
    </row>
    <row r="52" spans="2:20" ht="23.1" customHeight="1" x14ac:dyDescent="0.25">
      <c r="B52" s="24" t="s">
        <v>79</v>
      </c>
      <c r="C52" s="50">
        <v>15</v>
      </c>
      <c r="D52" s="50">
        <v>9</v>
      </c>
      <c r="E52" s="50">
        <v>4</v>
      </c>
      <c r="F52" s="50">
        <v>3</v>
      </c>
      <c r="G52" s="50">
        <v>0</v>
      </c>
      <c r="H52" s="50">
        <v>1</v>
      </c>
      <c r="I52" s="50">
        <v>3</v>
      </c>
      <c r="J52" s="50">
        <v>5</v>
      </c>
      <c r="K52" s="50">
        <v>6</v>
      </c>
      <c r="L52" s="50">
        <v>0</v>
      </c>
      <c r="M52" s="50">
        <v>23</v>
      </c>
      <c r="N52" s="50">
        <v>0</v>
      </c>
      <c r="O52" s="15">
        <f t="shared" si="0"/>
        <v>46</v>
      </c>
      <c r="P52" s="15">
        <f t="shared" si="1"/>
        <v>69</v>
      </c>
      <c r="R52" s="8"/>
      <c r="T52"/>
    </row>
    <row r="53" spans="2:20" ht="23.1" customHeight="1" x14ac:dyDescent="0.25">
      <c r="B53" s="23" t="s">
        <v>80</v>
      </c>
      <c r="C53" s="50">
        <v>17</v>
      </c>
      <c r="D53" s="50">
        <v>4</v>
      </c>
      <c r="E53" s="50">
        <v>6</v>
      </c>
      <c r="F53" s="50">
        <v>9</v>
      </c>
      <c r="G53" s="50">
        <v>0</v>
      </c>
      <c r="H53" s="50">
        <v>2</v>
      </c>
      <c r="I53" s="50">
        <v>2</v>
      </c>
      <c r="J53" s="50">
        <v>3</v>
      </c>
      <c r="K53" s="50">
        <v>3</v>
      </c>
      <c r="L53" s="50">
        <v>1</v>
      </c>
      <c r="M53" s="50">
        <v>24</v>
      </c>
      <c r="N53" s="50">
        <v>0</v>
      </c>
      <c r="O53" s="15">
        <f t="shared" si="0"/>
        <v>47</v>
      </c>
      <c r="P53" s="15">
        <f t="shared" si="1"/>
        <v>71</v>
      </c>
      <c r="R53" s="8"/>
      <c r="T53"/>
    </row>
    <row r="54" spans="2:20" ht="23.1" customHeight="1" x14ac:dyDescent="0.25">
      <c r="B54" s="23" t="s">
        <v>81</v>
      </c>
      <c r="C54" s="50">
        <v>27</v>
      </c>
      <c r="D54" s="50">
        <v>5</v>
      </c>
      <c r="E54" s="50">
        <v>9</v>
      </c>
      <c r="F54" s="50">
        <v>7</v>
      </c>
      <c r="G54" s="50">
        <v>1</v>
      </c>
      <c r="H54" s="50">
        <v>1</v>
      </c>
      <c r="I54" s="50">
        <v>4</v>
      </c>
      <c r="J54" s="50">
        <v>8</v>
      </c>
      <c r="K54" s="50">
        <v>1</v>
      </c>
      <c r="L54" s="50">
        <v>0</v>
      </c>
      <c r="M54" s="50">
        <v>30</v>
      </c>
      <c r="N54" s="50">
        <v>0</v>
      </c>
      <c r="O54" s="15">
        <f t="shared" si="0"/>
        <v>63</v>
      </c>
      <c r="P54" s="15">
        <f t="shared" si="1"/>
        <v>93</v>
      </c>
      <c r="R54" s="8"/>
      <c r="T54"/>
    </row>
    <row r="55" spans="2:20" ht="23.1" customHeight="1" x14ac:dyDescent="0.25">
      <c r="B55" s="23" t="s">
        <v>82</v>
      </c>
      <c r="C55" s="50">
        <v>23</v>
      </c>
      <c r="D55" s="50">
        <v>7</v>
      </c>
      <c r="E55" s="50">
        <v>1</v>
      </c>
      <c r="F55" s="50">
        <v>8</v>
      </c>
      <c r="G55" s="50">
        <v>1</v>
      </c>
      <c r="H55" s="50">
        <v>0</v>
      </c>
      <c r="I55" s="50">
        <v>3</v>
      </c>
      <c r="J55" s="50">
        <v>2</v>
      </c>
      <c r="K55" s="50">
        <v>6</v>
      </c>
      <c r="L55" s="50">
        <v>0</v>
      </c>
      <c r="M55" s="50">
        <v>30</v>
      </c>
      <c r="N55" s="50">
        <v>0</v>
      </c>
      <c r="O55" s="15">
        <f t="shared" si="0"/>
        <v>51</v>
      </c>
      <c r="P55" s="15">
        <f t="shared" si="1"/>
        <v>81</v>
      </c>
      <c r="R55" s="8"/>
      <c r="T55"/>
    </row>
    <row r="56" spans="2:20" ht="23.1" customHeight="1" x14ac:dyDescent="0.25">
      <c r="B56" s="23" t="s">
        <v>83</v>
      </c>
      <c r="C56" s="50">
        <v>22</v>
      </c>
      <c r="D56" s="50">
        <v>5</v>
      </c>
      <c r="E56" s="50">
        <v>6</v>
      </c>
      <c r="F56" s="50">
        <v>9</v>
      </c>
      <c r="G56" s="50">
        <v>1</v>
      </c>
      <c r="H56" s="50">
        <v>2</v>
      </c>
      <c r="I56" s="50">
        <v>5</v>
      </c>
      <c r="J56" s="50">
        <v>2</v>
      </c>
      <c r="K56" s="50">
        <v>4</v>
      </c>
      <c r="L56" s="50">
        <v>0</v>
      </c>
      <c r="M56" s="50">
        <v>26</v>
      </c>
      <c r="N56" s="50">
        <v>0</v>
      </c>
      <c r="O56" s="15">
        <f t="shared" si="0"/>
        <v>56</v>
      </c>
      <c r="P56" s="15">
        <f t="shared" si="1"/>
        <v>82</v>
      </c>
      <c r="R56" s="8"/>
      <c r="T56"/>
    </row>
    <row r="57" spans="2:20" ht="23.1" customHeight="1" x14ac:dyDescent="0.25">
      <c r="B57" s="23" t="s">
        <v>84</v>
      </c>
      <c r="C57" s="50">
        <v>18</v>
      </c>
      <c r="D57" s="50">
        <v>4</v>
      </c>
      <c r="E57" s="50">
        <v>2</v>
      </c>
      <c r="F57" s="50">
        <v>3</v>
      </c>
      <c r="G57" s="50">
        <v>0</v>
      </c>
      <c r="H57" s="50">
        <v>3</v>
      </c>
      <c r="I57" s="50">
        <v>1</v>
      </c>
      <c r="J57" s="50">
        <v>2</v>
      </c>
      <c r="K57" s="50">
        <v>2</v>
      </c>
      <c r="L57" s="50">
        <v>0</v>
      </c>
      <c r="M57" s="50">
        <v>28</v>
      </c>
      <c r="N57" s="50">
        <v>0</v>
      </c>
      <c r="O57" s="15">
        <f t="shared" si="0"/>
        <v>35</v>
      </c>
      <c r="P57" s="15">
        <f t="shared" si="1"/>
        <v>63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656</v>
      </c>
      <c r="D58" s="16">
        <f t="shared" si="21"/>
        <v>302</v>
      </c>
      <c r="E58" s="16">
        <f t="shared" si="21"/>
        <v>177</v>
      </c>
      <c r="F58" s="16">
        <f t="shared" si="21"/>
        <v>259</v>
      </c>
      <c r="G58" s="16">
        <f t="shared" si="21"/>
        <v>11</v>
      </c>
      <c r="H58" s="16">
        <f t="shared" si="21"/>
        <v>60</v>
      </c>
      <c r="I58" s="16">
        <f t="shared" si="21"/>
        <v>61</v>
      </c>
      <c r="J58" s="16">
        <f t="shared" si="21"/>
        <v>87</v>
      </c>
      <c r="K58" s="16">
        <f t="shared" si="21"/>
        <v>78</v>
      </c>
      <c r="L58" s="16">
        <f t="shared" si="21"/>
        <v>29</v>
      </c>
      <c r="M58" s="16">
        <f t="shared" si="21"/>
        <v>752</v>
      </c>
      <c r="N58" s="16">
        <f t="shared" si="21"/>
        <v>0</v>
      </c>
      <c r="O58" s="16">
        <f t="shared" si="21"/>
        <v>1720</v>
      </c>
      <c r="P58" s="16">
        <f t="shared" si="21"/>
        <v>2472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0.26537216828478966</v>
      </c>
      <c r="D59" s="43">
        <f t="shared" si="22"/>
        <v>0.12216828478964402</v>
      </c>
      <c r="E59" s="43">
        <f t="shared" si="22"/>
        <v>7.1601941747572811E-2</v>
      </c>
      <c r="F59" s="43">
        <f t="shared" si="22"/>
        <v>0.10477346278317153</v>
      </c>
      <c r="G59" s="43">
        <f t="shared" si="22"/>
        <v>4.4498381877022654E-3</v>
      </c>
      <c r="H59" s="43">
        <f t="shared" si="22"/>
        <v>2.4271844660194174E-2</v>
      </c>
      <c r="I59" s="43">
        <f t="shared" si="22"/>
        <v>2.4676375404530743E-2</v>
      </c>
      <c r="J59" s="43">
        <f t="shared" si="22"/>
        <v>3.5194174757281552E-2</v>
      </c>
      <c r="K59" s="43">
        <f t="shared" si="22"/>
        <v>3.1553398058252427E-2</v>
      </c>
      <c r="L59" s="43">
        <f t="shared" si="22"/>
        <v>1.1731391585760517E-2</v>
      </c>
      <c r="M59" s="43">
        <f t="shared" si="22"/>
        <v>0.30420711974110032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0.38139534883720932</v>
      </c>
      <c r="D60" s="44">
        <f t="shared" ref="D60:N60" si="23">D58/$O$58</f>
        <v>0.17558139534883721</v>
      </c>
      <c r="E60" s="44">
        <f t="shared" si="23"/>
        <v>0.10290697674418604</v>
      </c>
      <c r="F60" s="44">
        <f t="shared" si="23"/>
        <v>0.15058139534883722</v>
      </c>
      <c r="G60" s="44">
        <f t="shared" si="23"/>
        <v>6.3953488372093022E-3</v>
      </c>
      <c r="H60" s="44">
        <f t="shared" si="23"/>
        <v>3.4883720930232558E-2</v>
      </c>
      <c r="I60" s="44">
        <f t="shared" si="23"/>
        <v>3.5465116279069765E-2</v>
      </c>
      <c r="J60" s="44">
        <f t="shared" si="23"/>
        <v>5.058139534883721E-2</v>
      </c>
      <c r="K60" s="44">
        <f t="shared" si="23"/>
        <v>4.5348837209302328E-2</v>
      </c>
      <c r="L60" s="44">
        <f t="shared" si="23"/>
        <v>1.6860465116279071E-2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11" sqref="C1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3" t="s">
        <v>23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 spans="2:32" ht="20.100000000000001" customHeight="1" x14ac:dyDescent="0.25">
      <c r="B2" s="74" t="s">
        <v>95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</row>
    <row r="3" spans="2:32" ht="20.100000000000001" customHeight="1" x14ac:dyDescent="0.25">
      <c r="B3" s="22" t="s">
        <v>96</v>
      </c>
      <c r="C3" s="75" t="s">
        <v>176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177</v>
      </c>
      <c r="E5" s="3"/>
      <c r="F5" s="41" t="s">
        <v>1</v>
      </c>
      <c r="G5" s="71" t="s">
        <v>173</v>
      </c>
      <c r="H5" s="72"/>
      <c r="I5" s="14"/>
      <c r="J5" s="2" t="s">
        <v>5</v>
      </c>
      <c r="K5" s="71" t="s">
        <v>180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">
        <v>166</v>
      </c>
      <c r="E6" s="72"/>
      <c r="F6" s="2" t="s">
        <v>2</v>
      </c>
      <c r="G6" s="71" t="s">
        <v>165</v>
      </c>
      <c r="H6" s="72"/>
      <c r="J6" s="2" t="s">
        <v>21</v>
      </c>
      <c r="K6" s="71" t="s">
        <v>174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13</v>
      </c>
      <c r="D10" s="50">
        <v>3</v>
      </c>
      <c r="E10" s="50">
        <v>2</v>
      </c>
      <c r="F10" s="50">
        <v>4</v>
      </c>
      <c r="G10" s="50">
        <v>0</v>
      </c>
      <c r="H10" s="50">
        <v>1</v>
      </c>
      <c r="I10" s="50">
        <v>1</v>
      </c>
      <c r="J10" s="50">
        <v>1</v>
      </c>
      <c r="K10" s="50">
        <v>1</v>
      </c>
      <c r="L10" s="50">
        <v>0</v>
      </c>
      <c r="M10" s="50">
        <v>24</v>
      </c>
      <c r="N10" s="50">
        <v>0</v>
      </c>
      <c r="O10" s="15">
        <f t="shared" ref="O10:O57" si="0">SUM(C10:L10,N10)</f>
        <v>26</v>
      </c>
      <c r="P10" s="15">
        <f t="shared" ref="P10:P57" si="1">SUM(C10:N10)</f>
        <v>50</v>
      </c>
      <c r="R10" s="1" t="s">
        <v>6</v>
      </c>
      <c r="S10" s="17">
        <f t="shared" ref="S10:AF10" si="2">SUM(C10:C13)</f>
        <v>30</v>
      </c>
      <c r="T10" s="17">
        <f t="shared" si="2"/>
        <v>12</v>
      </c>
      <c r="U10" s="17">
        <f t="shared" si="2"/>
        <v>5</v>
      </c>
      <c r="V10" s="17">
        <f t="shared" si="2"/>
        <v>11</v>
      </c>
      <c r="W10" s="17">
        <f t="shared" si="2"/>
        <v>2</v>
      </c>
      <c r="X10" s="17">
        <f t="shared" si="2"/>
        <v>1</v>
      </c>
      <c r="Y10" s="17">
        <f t="shared" si="2"/>
        <v>8</v>
      </c>
      <c r="Z10" s="17">
        <f t="shared" si="2"/>
        <v>3</v>
      </c>
      <c r="AA10" s="17">
        <f t="shared" si="2"/>
        <v>3</v>
      </c>
      <c r="AB10" s="17">
        <f t="shared" si="2"/>
        <v>0</v>
      </c>
      <c r="AC10" s="17">
        <f t="shared" si="2"/>
        <v>74</v>
      </c>
      <c r="AD10" s="17">
        <f t="shared" si="2"/>
        <v>0</v>
      </c>
      <c r="AE10" s="31">
        <f t="shared" si="2"/>
        <v>75</v>
      </c>
      <c r="AF10" s="31">
        <f t="shared" si="2"/>
        <v>149</v>
      </c>
    </row>
    <row r="11" spans="2:32" s="6" customFormat="1" ht="23.1" customHeight="1" x14ac:dyDescent="0.25">
      <c r="B11" s="23" t="s">
        <v>38</v>
      </c>
      <c r="C11" s="50">
        <v>9</v>
      </c>
      <c r="D11" s="50">
        <v>3</v>
      </c>
      <c r="E11" s="50">
        <v>1</v>
      </c>
      <c r="F11" s="50">
        <v>4</v>
      </c>
      <c r="G11" s="50">
        <v>2</v>
      </c>
      <c r="H11" s="50">
        <v>0</v>
      </c>
      <c r="I11" s="50">
        <v>1</v>
      </c>
      <c r="J11" s="50">
        <v>2</v>
      </c>
      <c r="K11" s="50">
        <v>1</v>
      </c>
      <c r="L11" s="50">
        <v>0</v>
      </c>
      <c r="M11" s="50">
        <v>18</v>
      </c>
      <c r="N11" s="50">
        <v>0</v>
      </c>
      <c r="O11" s="15">
        <f t="shared" si="0"/>
        <v>23</v>
      </c>
      <c r="P11" s="15">
        <f t="shared" si="1"/>
        <v>41</v>
      </c>
      <c r="R11" s="1" t="s">
        <v>7</v>
      </c>
      <c r="S11" s="17">
        <f t="shared" ref="S11:AF11" si="3">SUM(C14:C17)</f>
        <v>27</v>
      </c>
      <c r="T11" s="17">
        <f t="shared" si="3"/>
        <v>9</v>
      </c>
      <c r="U11" s="17">
        <f t="shared" si="3"/>
        <v>7</v>
      </c>
      <c r="V11" s="17">
        <f t="shared" si="3"/>
        <v>16</v>
      </c>
      <c r="W11" s="17">
        <f t="shared" si="3"/>
        <v>0</v>
      </c>
      <c r="X11" s="17">
        <f t="shared" si="3"/>
        <v>2</v>
      </c>
      <c r="Y11" s="17">
        <f t="shared" si="3"/>
        <v>10</v>
      </c>
      <c r="Z11" s="17">
        <f t="shared" si="3"/>
        <v>13</v>
      </c>
      <c r="AA11" s="17">
        <f t="shared" si="3"/>
        <v>10</v>
      </c>
      <c r="AB11" s="17">
        <f t="shared" si="3"/>
        <v>1</v>
      </c>
      <c r="AC11" s="17">
        <f t="shared" si="3"/>
        <v>72</v>
      </c>
      <c r="AD11" s="17">
        <f t="shared" si="3"/>
        <v>0</v>
      </c>
      <c r="AE11" s="31">
        <f t="shared" si="3"/>
        <v>95</v>
      </c>
      <c r="AF11" s="31">
        <f t="shared" si="3"/>
        <v>167</v>
      </c>
    </row>
    <row r="12" spans="2:32" ht="23.1" customHeight="1" x14ac:dyDescent="0.25">
      <c r="B12" s="23" t="s">
        <v>39</v>
      </c>
      <c r="C12" s="50">
        <v>3</v>
      </c>
      <c r="D12" s="50">
        <v>2</v>
      </c>
      <c r="E12" s="50">
        <v>0</v>
      </c>
      <c r="F12" s="50">
        <v>0</v>
      </c>
      <c r="G12" s="50">
        <v>0</v>
      </c>
      <c r="H12" s="50">
        <v>0</v>
      </c>
      <c r="I12" s="50">
        <v>2</v>
      </c>
      <c r="J12" s="50">
        <v>0</v>
      </c>
      <c r="K12" s="50">
        <v>1</v>
      </c>
      <c r="L12" s="50">
        <v>0</v>
      </c>
      <c r="M12" s="50">
        <v>14</v>
      </c>
      <c r="N12" s="50">
        <v>0</v>
      </c>
      <c r="O12" s="15">
        <f t="shared" si="0"/>
        <v>8</v>
      </c>
      <c r="P12" s="15">
        <f t="shared" si="1"/>
        <v>22</v>
      </c>
      <c r="R12" s="1" t="s">
        <v>8</v>
      </c>
      <c r="S12" s="17">
        <f t="shared" ref="S12:AF12" si="4">SUM(C18:C21)</f>
        <v>32</v>
      </c>
      <c r="T12" s="17">
        <f t="shared" si="4"/>
        <v>14</v>
      </c>
      <c r="U12" s="17">
        <f t="shared" si="4"/>
        <v>6</v>
      </c>
      <c r="V12" s="17">
        <f t="shared" si="4"/>
        <v>15</v>
      </c>
      <c r="W12" s="17">
        <f t="shared" si="4"/>
        <v>1</v>
      </c>
      <c r="X12" s="17">
        <f t="shared" si="4"/>
        <v>3</v>
      </c>
      <c r="Y12" s="17">
        <f t="shared" si="4"/>
        <v>3</v>
      </c>
      <c r="Z12" s="17">
        <f t="shared" si="4"/>
        <v>4</v>
      </c>
      <c r="AA12" s="17">
        <f t="shared" si="4"/>
        <v>3</v>
      </c>
      <c r="AB12" s="17">
        <f t="shared" si="4"/>
        <v>0</v>
      </c>
      <c r="AC12" s="17">
        <f t="shared" si="4"/>
        <v>62</v>
      </c>
      <c r="AD12" s="17">
        <f t="shared" si="4"/>
        <v>0</v>
      </c>
      <c r="AE12" s="31">
        <f t="shared" si="4"/>
        <v>81</v>
      </c>
      <c r="AF12" s="31">
        <f t="shared" si="4"/>
        <v>143</v>
      </c>
    </row>
    <row r="13" spans="2:32" ht="23.1" customHeight="1" x14ac:dyDescent="0.25">
      <c r="B13" s="23" t="s">
        <v>40</v>
      </c>
      <c r="C13" s="50">
        <v>5</v>
      </c>
      <c r="D13" s="50">
        <v>4</v>
      </c>
      <c r="E13" s="50">
        <v>2</v>
      </c>
      <c r="F13" s="50">
        <v>3</v>
      </c>
      <c r="G13" s="50">
        <v>0</v>
      </c>
      <c r="H13" s="50">
        <v>0</v>
      </c>
      <c r="I13" s="50">
        <v>4</v>
      </c>
      <c r="J13" s="50">
        <v>0</v>
      </c>
      <c r="K13" s="50">
        <v>0</v>
      </c>
      <c r="L13" s="50">
        <v>0</v>
      </c>
      <c r="M13" s="50">
        <v>18</v>
      </c>
      <c r="N13" s="50">
        <v>0</v>
      </c>
      <c r="O13" s="15">
        <f t="shared" si="0"/>
        <v>18</v>
      </c>
      <c r="P13" s="15">
        <f t="shared" si="1"/>
        <v>36</v>
      </c>
      <c r="R13" s="1" t="s">
        <v>9</v>
      </c>
      <c r="S13" s="17">
        <f t="shared" ref="S13:AF13" si="5">SUM(C22:C25)</f>
        <v>29</v>
      </c>
      <c r="T13" s="17">
        <f t="shared" si="5"/>
        <v>22</v>
      </c>
      <c r="U13" s="17">
        <f t="shared" si="5"/>
        <v>15</v>
      </c>
      <c r="V13" s="17">
        <f t="shared" si="5"/>
        <v>18</v>
      </c>
      <c r="W13" s="17">
        <f t="shared" si="5"/>
        <v>1</v>
      </c>
      <c r="X13" s="17">
        <f t="shared" si="5"/>
        <v>2</v>
      </c>
      <c r="Y13" s="17">
        <f t="shared" si="5"/>
        <v>6</v>
      </c>
      <c r="Z13" s="17">
        <f t="shared" si="5"/>
        <v>13</v>
      </c>
      <c r="AA13" s="17">
        <f t="shared" si="5"/>
        <v>9</v>
      </c>
      <c r="AB13" s="17">
        <f t="shared" si="5"/>
        <v>0</v>
      </c>
      <c r="AC13" s="17">
        <f t="shared" si="5"/>
        <v>88</v>
      </c>
      <c r="AD13" s="17">
        <f t="shared" si="5"/>
        <v>0</v>
      </c>
      <c r="AE13" s="31">
        <f t="shared" si="5"/>
        <v>115</v>
      </c>
      <c r="AF13" s="31">
        <f t="shared" si="5"/>
        <v>203</v>
      </c>
    </row>
    <row r="14" spans="2:32" ht="23.1" customHeight="1" x14ac:dyDescent="0.25">
      <c r="B14" s="23" t="s">
        <v>41</v>
      </c>
      <c r="C14" s="50">
        <v>5</v>
      </c>
      <c r="D14" s="50">
        <v>2</v>
      </c>
      <c r="E14" s="50">
        <v>3</v>
      </c>
      <c r="F14" s="50">
        <v>4</v>
      </c>
      <c r="G14" s="50">
        <v>0</v>
      </c>
      <c r="H14" s="50">
        <v>0</v>
      </c>
      <c r="I14" s="50">
        <v>1</v>
      </c>
      <c r="J14" s="50">
        <v>3</v>
      </c>
      <c r="K14" s="50">
        <v>3</v>
      </c>
      <c r="L14" s="50">
        <v>0</v>
      </c>
      <c r="M14" s="50">
        <v>11</v>
      </c>
      <c r="N14" s="50">
        <v>0</v>
      </c>
      <c r="O14" s="15">
        <f t="shared" si="0"/>
        <v>21</v>
      </c>
      <c r="P14" s="15">
        <f t="shared" si="1"/>
        <v>32</v>
      </c>
      <c r="R14" s="1" t="s">
        <v>10</v>
      </c>
      <c r="S14" s="17">
        <f t="shared" ref="S14:AF14" si="6">SUM(C26:C29)</f>
        <v>34</v>
      </c>
      <c r="T14" s="17">
        <f t="shared" si="6"/>
        <v>8</v>
      </c>
      <c r="U14" s="17">
        <f t="shared" si="6"/>
        <v>10</v>
      </c>
      <c r="V14" s="17">
        <f t="shared" si="6"/>
        <v>20</v>
      </c>
      <c r="W14" s="17">
        <f t="shared" si="6"/>
        <v>0</v>
      </c>
      <c r="X14" s="17">
        <f t="shared" si="6"/>
        <v>6</v>
      </c>
      <c r="Y14" s="17">
        <f t="shared" si="6"/>
        <v>5</v>
      </c>
      <c r="Z14" s="17">
        <f t="shared" si="6"/>
        <v>1</v>
      </c>
      <c r="AA14" s="17">
        <f t="shared" si="6"/>
        <v>2</v>
      </c>
      <c r="AB14" s="17">
        <f t="shared" si="6"/>
        <v>0</v>
      </c>
      <c r="AC14" s="17">
        <f t="shared" si="6"/>
        <v>53</v>
      </c>
      <c r="AD14" s="17">
        <f t="shared" si="6"/>
        <v>0</v>
      </c>
      <c r="AE14" s="31">
        <f t="shared" si="6"/>
        <v>86</v>
      </c>
      <c r="AF14" s="31">
        <f t="shared" si="6"/>
        <v>139</v>
      </c>
    </row>
    <row r="15" spans="2:32" ht="23.1" customHeight="1" x14ac:dyDescent="0.25">
      <c r="B15" s="23" t="s">
        <v>42</v>
      </c>
      <c r="C15" s="50">
        <v>5</v>
      </c>
      <c r="D15" s="50">
        <v>3</v>
      </c>
      <c r="E15" s="50">
        <v>2</v>
      </c>
      <c r="F15" s="50">
        <v>3</v>
      </c>
      <c r="G15" s="50">
        <v>0</v>
      </c>
      <c r="H15" s="50">
        <v>1</v>
      </c>
      <c r="I15" s="50">
        <v>1</v>
      </c>
      <c r="J15" s="50">
        <v>2</v>
      </c>
      <c r="K15" s="50">
        <v>4</v>
      </c>
      <c r="L15" s="50">
        <v>1</v>
      </c>
      <c r="M15" s="50">
        <v>27</v>
      </c>
      <c r="N15" s="50">
        <v>0</v>
      </c>
      <c r="O15" s="15">
        <f t="shared" si="0"/>
        <v>22</v>
      </c>
      <c r="P15" s="15">
        <f t="shared" si="1"/>
        <v>49</v>
      </c>
      <c r="R15" s="1" t="s">
        <v>11</v>
      </c>
      <c r="S15" s="17">
        <f t="shared" ref="S15:AF15" si="7">SUM(C30:C33)</f>
        <v>20</v>
      </c>
      <c r="T15" s="17">
        <f t="shared" si="7"/>
        <v>16</v>
      </c>
      <c r="U15" s="17">
        <f t="shared" si="7"/>
        <v>14</v>
      </c>
      <c r="V15" s="17">
        <f t="shared" si="7"/>
        <v>21</v>
      </c>
      <c r="W15" s="17">
        <f t="shared" si="7"/>
        <v>0</v>
      </c>
      <c r="X15" s="17">
        <f t="shared" si="7"/>
        <v>6</v>
      </c>
      <c r="Y15" s="17">
        <f t="shared" si="7"/>
        <v>6</v>
      </c>
      <c r="Z15" s="17">
        <f t="shared" si="7"/>
        <v>4</v>
      </c>
      <c r="AA15" s="17">
        <f t="shared" si="7"/>
        <v>3</v>
      </c>
      <c r="AB15" s="17">
        <f t="shared" si="7"/>
        <v>1</v>
      </c>
      <c r="AC15" s="17">
        <f t="shared" si="7"/>
        <v>67</v>
      </c>
      <c r="AD15" s="17">
        <f t="shared" si="7"/>
        <v>0</v>
      </c>
      <c r="AE15" s="31">
        <f t="shared" si="7"/>
        <v>91</v>
      </c>
      <c r="AF15" s="31">
        <f t="shared" si="7"/>
        <v>158</v>
      </c>
    </row>
    <row r="16" spans="2:32" ht="23.1" customHeight="1" x14ac:dyDescent="0.25">
      <c r="B16" s="23" t="s">
        <v>43</v>
      </c>
      <c r="C16" s="50">
        <v>12</v>
      </c>
      <c r="D16" s="50">
        <v>2</v>
      </c>
      <c r="E16" s="50">
        <v>1</v>
      </c>
      <c r="F16" s="50">
        <v>5</v>
      </c>
      <c r="G16" s="50">
        <v>0</v>
      </c>
      <c r="H16" s="50">
        <v>1</v>
      </c>
      <c r="I16" s="50">
        <v>5</v>
      </c>
      <c r="J16" s="50">
        <v>6</v>
      </c>
      <c r="K16" s="50">
        <v>1</v>
      </c>
      <c r="L16" s="50">
        <v>0</v>
      </c>
      <c r="M16" s="50">
        <v>18</v>
      </c>
      <c r="N16" s="50">
        <v>0</v>
      </c>
      <c r="O16" s="15">
        <f t="shared" si="0"/>
        <v>33</v>
      </c>
      <c r="P16" s="15">
        <f t="shared" si="1"/>
        <v>51</v>
      </c>
      <c r="R16" s="1" t="s">
        <v>12</v>
      </c>
      <c r="S16" s="17">
        <f t="shared" ref="S16:AF16" si="8">SUM(C34:C37)</f>
        <v>50</v>
      </c>
      <c r="T16" s="17">
        <f t="shared" si="8"/>
        <v>12</v>
      </c>
      <c r="U16" s="17">
        <f t="shared" si="8"/>
        <v>11</v>
      </c>
      <c r="V16" s="17">
        <f t="shared" si="8"/>
        <v>18</v>
      </c>
      <c r="W16" s="17">
        <f t="shared" si="8"/>
        <v>0</v>
      </c>
      <c r="X16" s="17">
        <f t="shared" si="8"/>
        <v>5</v>
      </c>
      <c r="Y16" s="17">
        <f t="shared" si="8"/>
        <v>6</v>
      </c>
      <c r="Z16" s="17">
        <f t="shared" si="8"/>
        <v>5</v>
      </c>
      <c r="AA16" s="17">
        <f t="shared" si="8"/>
        <v>3</v>
      </c>
      <c r="AB16" s="17">
        <f t="shared" si="8"/>
        <v>0</v>
      </c>
      <c r="AC16" s="17">
        <f t="shared" si="8"/>
        <v>105</v>
      </c>
      <c r="AD16" s="17">
        <f t="shared" si="8"/>
        <v>0</v>
      </c>
      <c r="AE16" s="31">
        <f t="shared" si="8"/>
        <v>110</v>
      </c>
      <c r="AF16" s="31">
        <f t="shared" si="8"/>
        <v>215</v>
      </c>
    </row>
    <row r="17" spans="2:32" ht="23.1" customHeight="1" x14ac:dyDescent="0.25">
      <c r="B17" s="23" t="s">
        <v>44</v>
      </c>
      <c r="C17" s="50">
        <v>5</v>
      </c>
      <c r="D17" s="50">
        <v>2</v>
      </c>
      <c r="E17" s="50">
        <v>1</v>
      </c>
      <c r="F17" s="50">
        <v>4</v>
      </c>
      <c r="G17" s="50">
        <v>0</v>
      </c>
      <c r="H17" s="50">
        <v>0</v>
      </c>
      <c r="I17" s="50">
        <v>3</v>
      </c>
      <c r="J17" s="50">
        <v>2</v>
      </c>
      <c r="K17" s="50">
        <v>2</v>
      </c>
      <c r="L17" s="50">
        <v>0</v>
      </c>
      <c r="M17" s="50">
        <v>16</v>
      </c>
      <c r="N17" s="50">
        <v>0</v>
      </c>
      <c r="O17" s="15">
        <f t="shared" si="0"/>
        <v>19</v>
      </c>
      <c r="P17" s="15">
        <f t="shared" si="1"/>
        <v>35</v>
      </c>
      <c r="R17" s="1" t="s">
        <v>13</v>
      </c>
      <c r="S17" s="17">
        <f t="shared" ref="S17:AF17" si="9">SUM(C38:C41)</f>
        <v>42</v>
      </c>
      <c r="T17" s="17">
        <f t="shared" si="9"/>
        <v>21</v>
      </c>
      <c r="U17" s="17">
        <f t="shared" si="9"/>
        <v>13</v>
      </c>
      <c r="V17" s="17">
        <f t="shared" si="9"/>
        <v>26</v>
      </c>
      <c r="W17" s="17">
        <f t="shared" si="9"/>
        <v>2</v>
      </c>
      <c r="X17" s="17">
        <f t="shared" si="9"/>
        <v>7</v>
      </c>
      <c r="Y17" s="17">
        <f t="shared" si="9"/>
        <v>9</v>
      </c>
      <c r="Z17" s="17">
        <f t="shared" si="9"/>
        <v>2</v>
      </c>
      <c r="AA17" s="17">
        <f t="shared" si="9"/>
        <v>9</v>
      </c>
      <c r="AB17" s="17">
        <f t="shared" si="9"/>
        <v>0</v>
      </c>
      <c r="AC17" s="17">
        <f t="shared" si="9"/>
        <v>89</v>
      </c>
      <c r="AD17" s="17">
        <f t="shared" si="9"/>
        <v>0</v>
      </c>
      <c r="AE17" s="31">
        <f t="shared" si="9"/>
        <v>131</v>
      </c>
      <c r="AF17" s="31">
        <f t="shared" si="9"/>
        <v>220</v>
      </c>
    </row>
    <row r="18" spans="2:32" ht="23.1" customHeight="1" x14ac:dyDescent="0.25">
      <c r="B18" s="23" t="s">
        <v>45</v>
      </c>
      <c r="C18" s="50">
        <v>5</v>
      </c>
      <c r="D18" s="50">
        <v>1</v>
      </c>
      <c r="E18" s="50">
        <v>2</v>
      </c>
      <c r="F18" s="50">
        <v>3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14</v>
      </c>
      <c r="N18" s="50">
        <v>0</v>
      </c>
      <c r="O18" s="15">
        <f t="shared" si="0"/>
        <v>12</v>
      </c>
      <c r="P18" s="15">
        <f t="shared" si="1"/>
        <v>26</v>
      </c>
      <c r="R18" s="1" t="s">
        <v>14</v>
      </c>
      <c r="S18" s="17">
        <f t="shared" ref="S18:AF18" si="10">SUM(C42:C45)</f>
        <v>37</v>
      </c>
      <c r="T18" s="17">
        <f t="shared" si="10"/>
        <v>17</v>
      </c>
      <c r="U18" s="17">
        <f t="shared" si="10"/>
        <v>15</v>
      </c>
      <c r="V18" s="17">
        <f t="shared" si="10"/>
        <v>21</v>
      </c>
      <c r="W18" s="17">
        <f t="shared" si="10"/>
        <v>1</v>
      </c>
      <c r="X18" s="17">
        <f t="shared" si="10"/>
        <v>9</v>
      </c>
      <c r="Y18" s="17">
        <f t="shared" si="10"/>
        <v>7</v>
      </c>
      <c r="Z18" s="17">
        <f t="shared" si="10"/>
        <v>4</v>
      </c>
      <c r="AA18" s="17">
        <f t="shared" si="10"/>
        <v>7</v>
      </c>
      <c r="AB18" s="17">
        <f t="shared" si="10"/>
        <v>0</v>
      </c>
      <c r="AC18" s="17">
        <f t="shared" si="10"/>
        <v>105</v>
      </c>
      <c r="AD18" s="17">
        <f t="shared" si="10"/>
        <v>0</v>
      </c>
      <c r="AE18" s="31">
        <f t="shared" si="10"/>
        <v>118</v>
      </c>
      <c r="AF18" s="31">
        <f t="shared" si="10"/>
        <v>223</v>
      </c>
    </row>
    <row r="19" spans="2:32" ht="23.1" customHeight="1" x14ac:dyDescent="0.25">
      <c r="B19" s="23" t="s">
        <v>46</v>
      </c>
      <c r="C19" s="50">
        <v>7</v>
      </c>
      <c r="D19" s="50">
        <v>5</v>
      </c>
      <c r="E19" s="50">
        <v>1</v>
      </c>
      <c r="F19" s="50">
        <v>3</v>
      </c>
      <c r="G19" s="50">
        <v>0</v>
      </c>
      <c r="H19" s="50">
        <v>1</v>
      </c>
      <c r="I19" s="50">
        <v>2</v>
      </c>
      <c r="J19" s="50">
        <v>2</v>
      </c>
      <c r="K19" s="50">
        <v>2</v>
      </c>
      <c r="L19" s="50">
        <v>0</v>
      </c>
      <c r="M19" s="50">
        <v>12</v>
      </c>
      <c r="N19" s="50">
        <v>0</v>
      </c>
      <c r="O19" s="15">
        <f t="shared" si="0"/>
        <v>23</v>
      </c>
      <c r="P19" s="15">
        <f t="shared" si="1"/>
        <v>35</v>
      </c>
      <c r="R19" s="1" t="s">
        <v>15</v>
      </c>
      <c r="S19" s="17">
        <f t="shared" ref="S19:AF19" si="11">SUM(C46:C49)</f>
        <v>39</v>
      </c>
      <c r="T19" s="17">
        <f t="shared" si="11"/>
        <v>8</v>
      </c>
      <c r="U19" s="17">
        <f t="shared" si="11"/>
        <v>13</v>
      </c>
      <c r="V19" s="17">
        <f t="shared" si="11"/>
        <v>21</v>
      </c>
      <c r="W19" s="17">
        <f t="shared" si="11"/>
        <v>0</v>
      </c>
      <c r="X19" s="17">
        <f t="shared" si="11"/>
        <v>10</v>
      </c>
      <c r="Y19" s="17">
        <f t="shared" si="11"/>
        <v>4</v>
      </c>
      <c r="Z19" s="17">
        <f t="shared" si="11"/>
        <v>7</v>
      </c>
      <c r="AA19" s="17">
        <f t="shared" si="11"/>
        <v>5</v>
      </c>
      <c r="AB19" s="17">
        <f t="shared" si="11"/>
        <v>1</v>
      </c>
      <c r="AC19" s="17">
        <f t="shared" si="11"/>
        <v>96</v>
      </c>
      <c r="AD19" s="17">
        <f t="shared" si="11"/>
        <v>0</v>
      </c>
      <c r="AE19" s="31">
        <f t="shared" si="11"/>
        <v>108</v>
      </c>
      <c r="AF19" s="31">
        <f t="shared" si="11"/>
        <v>204</v>
      </c>
    </row>
    <row r="20" spans="2:32" ht="23.1" customHeight="1" x14ac:dyDescent="0.25">
      <c r="B20" s="23" t="s">
        <v>47</v>
      </c>
      <c r="C20" s="50">
        <v>11</v>
      </c>
      <c r="D20" s="50">
        <v>7</v>
      </c>
      <c r="E20" s="50">
        <v>3</v>
      </c>
      <c r="F20" s="50">
        <v>6</v>
      </c>
      <c r="G20" s="50">
        <v>0</v>
      </c>
      <c r="H20" s="50">
        <v>1</v>
      </c>
      <c r="I20" s="50">
        <v>1</v>
      </c>
      <c r="J20" s="50">
        <v>0</v>
      </c>
      <c r="K20" s="50">
        <v>1</v>
      </c>
      <c r="L20" s="50">
        <v>0</v>
      </c>
      <c r="M20" s="50">
        <v>30</v>
      </c>
      <c r="N20" s="50">
        <v>0</v>
      </c>
      <c r="O20" s="15">
        <f t="shared" si="0"/>
        <v>30</v>
      </c>
      <c r="P20" s="15">
        <f t="shared" si="1"/>
        <v>60</v>
      </c>
      <c r="R20" s="1" t="s">
        <v>16</v>
      </c>
      <c r="S20" s="17">
        <f t="shared" ref="S20:AF20" si="12">SUM(C50:C53)</f>
        <v>45</v>
      </c>
      <c r="T20" s="17">
        <f t="shared" si="12"/>
        <v>8</v>
      </c>
      <c r="U20" s="17">
        <f t="shared" si="12"/>
        <v>8</v>
      </c>
      <c r="V20" s="17">
        <f t="shared" si="12"/>
        <v>16</v>
      </c>
      <c r="W20" s="17">
        <f t="shared" si="12"/>
        <v>0</v>
      </c>
      <c r="X20" s="17">
        <f t="shared" si="12"/>
        <v>4</v>
      </c>
      <c r="Y20" s="17">
        <f t="shared" si="12"/>
        <v>11</v>
      </c>
      <c r="Z20" s="17">
        <f t="shared" si="12"/>
        <v>9</v>
      </c>
      <c r="AA20" s="17">
        <f t="shared" si="12"/>
        <v>10</v>
      </c>
      <c r="AB20" s="17">
        <f t="shared" si="12"/>
        <v>0</v>
      </c>
      <c r="AC20" s="17">
        <f t="shared" si="12"/>
        <v>68</v>
      </c>
      <c r="AD20" s="17">
        <f t="shared" si="12"/>
        <v>0</v>
      </c>
      <c r="AE20" s="31">
        <f t="shared" si="12"/>
        <v>111</v>
      </c>
      <c r="AF20" s="31">
        <f t="shared" si="12"/>
        <v>179</v>
      </c>
    </row>
    <row r="21" spans="2:32" ht="23.1" customHeight="1" x14ac:dyDescent="0.25">
      <c r="B21" s="23" t="s">
        <v>48</v>
      </c>
      <c r="C21" s="50">
        <v>9</v>
      </c>
      <c r="D21" s="50">
        <v>1</v>
      </c>
      <c r="E21" s="50">
        <v>0</v>
      </c>
      <c r="F21" s="50">
        <v>3</v>
      </c>
      <c r="G21" s="50">
        <v>1</v>
      </c>
      <c r="H21" s="50">
        <v>1</v>
      </c>
      <c r="I21" s="50">
        <v>0</v>
      </c>
      <c r="J21" s="50">
        <v>1</v>
      </c>
      <c r="K21" s="50">
        <v>0</v>
      </c>
      <c r="L21" s="50">
        <v>0</v>
      </c>
      <c r="M21" s="50">
        <v>6</v>
      </c>
      <c r="N21" s="50">
        <v>0</v>
      </c>
      <c r="O21" s="15">
        <f t="shared" si="0"/>
        <v>16</v>
      </c>
      <c r="P21" s="15">
        <f t="shared" si="1"/>
        <v>22</v>
      </c>
      <c r="R21" s="36" t="s">
        <v>20</v>
      </c>
      <c r="S21" s="34">
        <f t="shared" ref="S21:AF21" si="13">SUM(C54:C57)</f>
        <v>46</v>
      </c>
      <c r="T21" s="17">
        <f t="shared" si="13"/>
        <v>12</v>
      </c>
      <c r="U21" s="17">
        <f t="shared" si="13"/>
        <v>9</v>
      </c>
      <c r="V21" s="17">
        <f t="shared" si="13"/>
        <v>23</v>
      </c>
      <c r="W21" s="17">
        <f t="shared" si="13"/>
        <v>4</v>
      </c>
      <c r="X21" s="17">
        <f t="shared" si="13"/>
        <v>7</v>
      </c>
      <c r="Y21" s="17">
        <f t="shared" si="13"/>
        <v>9</v>
      </c>
      <c r="Z21" s="17">
        <f t="shared" si="13"/>
        <v>13</v>
      </c>
      <c r="AA21" s="17">
        <f t="shared" si="13"/>
        <v>7</v>
      </c>
      <c r="AB21" s="17">
        <f t="shared" si="13"/>
        <v>0</v>
      </c>
      <c r="AC21" s="17">
        <f t="shared" si="13"/>
        <v>93</v>
      </c>
      <c r="AD21" s="17">
        <f t="shared" si="13"/>
        <v>0</v>
      </c>
      <c r="AE21" s="31">
        <f t="shared" si="13"/>
        <v>130</v>
      </c>
      <c r="AF21" s="31">
        <f t="shared" si="13"/>
        <v>223</v>
      </c>
    </row>
    <row r="22" spans="2:32" ht="23.1" customHeight="1" x14ac:dyDescent="0.25">
      <c r="B22" s="23" t="s">
        <v>49</v>
      </c>
      <c r="C22" s="50">
        <v>5</v>
      </c>
      <c r="D22" s="50">
        <v>2</v>
      </c>
      <c r="E22" s="50">
        <v>5</v>
      </c>
      <c r="F22" s="50">
        <v>4</v>
      </c>
      <c r="G22" s="50">
        <v>0</v>
      </c>
      <c r="H22" s="50">
        <v>0</v>
      </c>
      <c r="I22" s="50">
        <v>1</v>
      </c>
      <c r="J22" s="50">
        <v>4</v>
      </c>
      <c r="K22" s="50">
        <v>2</v>
      </c>
      <c r="L22" s="50">
        <v>0</v>
      </c>
      <c r="M22" s="50">
        <v>17</v>
      </c>
      <c r="N22" s="50">
        <v>0</v>
      </c>
      <c r="O22" s="15">
        <f t="shared" si="0"/>
        <v>23</v>
      </c>
      <c r="P22" s="15">
        <f t="shared" si="1"/>
        <v>40</v>
      </c>
      <c r="R22" s="38" t="s">
        <v>90</v>
      </c>
      <c r="S22" s="39">
        <f>MAX(S10:S12)</f>
        <v>32</v>
      </c>
      <c r="T22" s="39">
        <f t="shared" ref="T22:AF22" si="14">MAX(T10:T12)</f>
        <v>14</v>
      </c>
      <c r="U22" s="39">
        <f t="shared" si="14"/>
        <v>7</v>
      </c>
      <c r="V22" s="39">
        <f t="shared" si="14"/>
        <v>16</v>
      </c>
      <c r="W22" s="39">
        <f t="shared" si="14"/>
        <v>2</v>
      </c>
      <c r="X22" s="39">
        <f t="shared" si="14"/>
        <v>3</v>
      </c>
      <c r="Y22" s="39">
        <f t="shared" si="14"/>
        <v>10</v>
      </c>
      <c r="Z22" s="39">
        <f t="shared" si="14"/>
        <v>13</v>
      </c>
      <c r="AA22" s="39">
        <f t="shared" si="14"/>
        <v>10</v>
      </c>
      <c r="AB22" s="39">
        <f t="shared" si="14"/>
        <v>1</v>
      </c>
      <c r="AC22" s="39">
        <f t="shared" si="14"/>
        <v>74</v>
      </c>
      <c r="AD22" s="39">
        <f t="shared" si="14"/>
        <v>0</v>
      </c>
      <c r="AE22" s="40">
        <f t="shared" si="14"/>
        <v>95</v>
      </c>
      <c r="AF22" s="40">
        <f t="shared" si="14"/>
        <v>167</v>
      </c>
    </row>
    <row r="23" spans="2:32" ht="23.1" customHeight="1" x14ac:dyDescent="0.25">
      <c r="B23" s="23" t="s">
        <v>50</v>
      </c>
      <c r="C23" s="50">
        <v>9</v>
      </c>
      <c r="D23" s="50">
        <v>9</v>
      </c>
      <c r="E23" s="50">
        <v>4</v>
      </c>
      <c r="F23" s="50">
        <v>6</v>
      </c>
      <c r="G23" s="50">
        <v>1</v>
      </c>
      <c r="H23" s="50">
        <v>0</v>
      </c>
      <c r="I23" s="50">
        <v>1</v>
      </c>
      <c r="J23" s="50">
        <v>5</v>
      </c>
      <c r="K23" s="50">
        <v>0</v>
      </c>
      <c r="L23" s="50">
        <v>0</v>
      </c>
      <c r="M23" s="50">
        <v>25</v>
      </c>
      <c r="N23" s="50">
        <v>0</v>
      </c>
      <c r="O23" s="15">
        <f t="shared" si="0"/>
        <v>35</v>
      </c>
      <c r="P23" s="15">
        <f t="shared" si="1"/>
        <v>60</v>
      </c>
      <c r="R23" s="38" t="s">
        <v>91</v>
      </c>
      <c r="S23" s="39">
        <f>MAX(S13:S18)</f>
        <v>50</v>
      </c>
      <c r="T23" s="39">
        <f t="shared" ref="T23:AF23" si="15">MAX(T13:T18)</f>
        <v>22</v>
      </c>
      <c r="U23" s="39">
        <f t="shared" si="15"/>
        <v>15</v>
      </c>
      <c r="V23" s="39">
        <f t="shared" si="15"/>
        <v>26</v>
      </c>
      <c r="W23" s="39">
        <f t="shared" si="15"/>
        <v>2</v>
      </c>
      <c r="X23" s="39">
        <f t="shared" si="15"/>
        <v>9</v>
      </c>
      <c r="Y23" s="39">
        <f t="shared" si="15"/>
        <v>9</v>
      </c>
      <c r="Z23" s="39">
        <f t="shared" si="15"/>
        <v>13</v>
      </c>
      <c r="AA23" s="39">
        <f t="shared" si="15"/>
        <v>9</v>
      </c>
      <c r="AB23" s="39">
        <f t="shared" si="15"/>
        <v>1</v>
      </c>
      <c r="AC23" s="39">
        <f t="shared" si="15"/>
        <v>105</v>
      </c>
      <c r="AD23" s="39">
        <f t="shared" si="15"/>
        <v>0</v>
      </c>
      <c r="AE23" s="40">
        <f t="shared" si="15"/>
        <v>131</v>
      </c>
      <c r="AF23" s="40">
        <f t="shared" si="15"/>
        <v>223</v>
      </c>
    </row>
    <row r="24" spans="2:32" ht="23.1" customHeight="1" x14ac:dyDescent="0.25">
      <c r="B24" s="23" t="s">
        <v>51</v>
      </c>
      <c r="C24" s="50">
        <v>7</v>
      </c>
      <c r="D24" s="50">
        <v>5</v>
      </c>
      <c r="E24" s="50">
        <v>1</v>
      </c>
      <c r="F24" s="50">
        <v>3</v>
      </c>
      <c r="G24" s="50">
        <v>0</v>
      </c>
      <c r="H24" s="50">
        <v>1</v>
      </c>
      <c r="I24" s="50">
        <v>3</v>
      </c>
      <c r="J24" s="50">
        <v>3</v>
      </c>
      <c r="K24" s="50">
        <v>3</v>
      </c>
      <c r="L24" s="50">
        <v>0</v>
      </c>
      <c r="M24" s="50">
        <v>16</v>
      </c>
      <c r="N24" s="50">
        <v>0</v>
      </c>
      <c r="O24" s="15">
        <f t="shared" si="0"/>
        <v>26</v>
      </c>
      <c r="P24" s="15">
        <f t="shared" si="1"/>
        <v>42</v>
      </c>
      <c r="R24" s="38" t="s">
        <v>92</v>
      </c>
      <c r="S24" s="39">
        <f>MAX(S19:S21)</f>
        <v>46</v>
      </c>
      <c r="T24" s="39">
        <f t="shared" ref="T24:AF24" si="16">MAX(T19:T21)</f>
        <v>12</v>
      </c>
      <c r="U24" s="39">
        <f t="shared" si="16"/>
        <v>13</v>
      </c>
      <c r="V24" s="39">
        <f t="shared" si="16"/>
        <v>23</v>
      </c>
      <c r="W24" s="39">
        <f t="shared" si="16"/>
        <v>4</v>
      </c>
      <c r="X24" s="39">
        <f t="shared" si="16"/>
        <v>10</v>
      </c>
      <c r="Y24" s="39">
        <f t="shared" si="16"/>
        <v>11</v>
      </c>
      <c r="Z24" s="39">
        <f t="shared" si="16"/>
        <v>13</v>
      </c>
      <c r="AA24" s="39">
        <f t="shared" si="16"/>
        <v>10</v>
      </c>
      <c r="AB24" s="39">
        <f t="shared" si="16"/>
        <v>1</v>
      </c>
      <c r="AC24" s="39">
        <f t="shared" si="16"/>
        <v>96</v>
      </c>
      <c r="AD24" s="39">
        <f t="shared" si="16"/>
        <v>0</v>
      </c>
      <c r="AE24" s="40">
        <f t="shared" si="16"/>
        <v>130</v>
      </c>
      <c r="AF24" s="40">
        <f t="shared" si="16"/>
        <v>223</v>
      </c>
    </row>
    <row r="25" spans="2:32" ht="23.1" customHeight="1" x14ac:dyDescent="0.25">
      <c r="B25" s="23" t="s">
        <v>52</v>
      </c>
      <c r="C25" s="50">
        <v>8</v>
      </c>
      <c r="D25" s="50">
        <v>6</v>
      </c>
      <c r="E25" s="50">
        <v>5</v>
      </c>
      <c r="F25" s="50">
        <v>5</v>
      </c>
      <c r="G25" s="50">
        <v>0</v>
      </c>
      <c r="H25" s="50">
        <v>1</v>
      </c>
      <c r="I25" s="50">
        <v>1</v>
      </c>
      <c r="J25" s="50">
        <v>1</v>
      </c>
      <c r="K25" s="50">
        <v>4</v>
      </c>
      <c r="L25" s="50">
        <v>0</v>
      </c>
      <c r="M25" s="50">
        <v>30</v>
      </c>
      <c r="N25" s="50">
        <v>0</v>
      </c>
      <c r="O25" s="15">
        <f t="shared" si="0"/>
        <v>31</v>
      </c>
      <c r="P25" s="15">
        <f t="shared" si="1"/>
        <v>61</v>
      </c>
      <c r="R25" s="37" t="s">
        <v>85</v>
      </c>
      <c r="S25" s="35">
        <f t="shared" ref="S25:AF25" si="17">SUM(S10:S12)</f>
        <v>89</v>
      </c>
      <c r="T25" s="16">
        <f t="shared" si="17"/>
        <v>35</v>
      </c>
      <c r="U25" s="16">
        <f t="shared" si="17"/>
        <v>18</v>
      </c>
      <c r="V25" s="16">
        <f t="shared" si="17"/>
        <v>42</v>
      </c>
      <c r="W25" s="16">
        <f t="shared" si="17"/>
        <v>3</v>
      </c>
      <c r="X25" s="16">
        <f t="shared" si="17"/>
        <v>6</v>
      </c>
      <c r="Y25" s="16">
        <f t="shared" si="17"/>
        <v>21</v>
      </c>
      <c r="Z25" s="16">
        <f t="shared" si="17"/>
        <v>20</v>
      </c>
      <c r="AA25" s="16">
        <f t="shared" si="17"/>
        <v>16</v>
      </c>
      <c r="AB25" s="16">
        <f t="shared" si="17"/>
        <v>1</v>
      </c>
      <c r="AC25" s="16">
        <f t="shared" si="17"/>
        <v>208</v>
      </c>
      <c r="AD25" s="16">
        <f t="shared" si="17"/>
        <v>0</v>
      </c>
      <c r="AE25" s="32">
        <f t="shared" si="17"/>
        <v>251</v>
      </c>
      <c r="AF25" s="32">
        <f t="shared" si="17"/>
        <v>459</v>
      </c>
    </row>
    <row r="26" spans="2:32" ht="23.1" customHeight="1" x14ac:dyDescent="0.25">
      <c r="B26" s="23" t="s">
        <v>53</v>
      </c>
      <c r="C26" s="50">
        <v>12</v>
      </c>
      <c r="D26" s="50">
        <v>2</v>
      </c>
      <c r="E26" s="50">
        <v>3</v>
      </c>
      <c r="F26" s="50">
        <v>6</v>
      </c>
      <c r="G26" s="50">
        <v>0</v>
      </c>
      <c r="H26" s="50">
        <v>2</v>
      </c>
      <c r="I26" s="50">
        <v>1</v>
      </c>
      <c r="J26" s="50">
        <v>0</v>
      </c>
      <c r="K26" s="50">
        <v>1</v>
      </c>
      <c r="L26" s="50">
        <v>0</v>
      </c>
      <c r="M26" s="50">
        <v>11</v>
      </c>
      <c r="N26" s="50">
        <v>0</v>
      </c>
      <c r="O26" s="15">
        <f t="shared" si="0"/>
        <v>27</v>
      </c>
      <c r="P26" s="15">
        <f t="shared" si="1"/>
        <v>38</v>
      </c>
      <c r="R26" s="28" t="s">
        <v>86</v>
      </c>
      <c r="S26" s="16">
        <f t="shared" ref="S26:AF26" si="18">SUM(S13:S18)</f>
        <v>212</v>
      </c>
      <c r="T26" s="16">
        <f t="shared" si="18"/>
        <v>96</v>
      </c>
      <c r="U26" s="16">
        <f t="shared" si="18"/>
        <v>78</v>
      </c>
      <c r="V26" s="16">
        <f t="shared" si="18"/>
        <v>124</v>
      </c>
      <c r="W26" s="16">
        <f t="shared" si="18"/>
        <v>4</v>
      </c>
      <c r="X26" s="16">
        <f t="shared" si="18"/>
        <v>35</v>
      </c>
      <c r="Y26" s="16">
        <f t="shared" si="18"/>
        <v>39</v>
      </c>
      <c r="Z26" s="16">
        <f t="shared" si="18"/>
        <v>29</v>
      </c>
      <c r="AA26" s="16">
        <f t="shared" si="18"/>
        <v>33</v>
      </c>
      <c r="AB26" s="16">
        <f t="shared" si="18"/>
        <v>1</v>
      </c>
      <c r="AC26" s="16">
        <f t="shared" si="18"/>
        <v>507</v>
      </c>
      <c r="AD26" s="16">
        <f t="shared" si="18"/>
        <v>0</v>
      </c>
      <c r="AE26" s="32">
        <f t="shared" si="18"/>
        <v>651</v>
      </c>
      <c r="AF26" s="32">
        <f t="shared" si="18"/>
        <v>1158</v>
      </c>
    </row>
    <row r="27" spans="2:32" ht="23.1" customHeight="1" x14ac:dyDescent="0.25">
      <c r="B27" s="23" t="s">
        <v>54</v>
      </c>
      <c r="C27" s="50">
        <v>5</v>
      </c>
      <c r="D27" s="50">
        <v>3</v>
      </c>
      <c r="E27" s="50">
        <v>1</v>
      </c>
      <c r="F27" s="50">
        <v>4</v>
      </c>
      <c r="G27" s="50">
        <v>0</v>
      </c>
      <c r="H27" s="50">
        <v>1</v>
      </c>
      <c r="I27" s="50">
        <v>1</v>
      </c>
      <c r="J27" s="50">
        <v>1</v>
      </c>
      <c r="K27" s="50">
        <v>0</v>
      </c>
      <c r="L27" s="50">
        <v>0</v>
      </c>
      <c r="M27" s="50">
        <v>8</v>
      </c>
      <c r="N27" s="50">
        <v>0</v>
      </c>
      <c r="O27" s="15">
        <f t="shared" si="0"/>
        <v>16</v>
      </c>
      <c r="P27" s="15">
        <f t="shared" si="1"/>
        <v>24</v>
      </c>
      <c r="R27" s="29" t="s">
        <v>87</v>
      </c>
      <c r="S27" s="16">
        <f t="shared" ref="S27:AF27" si="19">SUM(S19:S21)</f>
        <v>130</v>
      </c>
      <c r="T27" s="16">
        <f t="shared" si="19"/>
        <v>28</v>
      </c>
      <c r="U27" s="16">
        <f t="shared" si="19"/>
        <v>30</v>
      </c>
      <c r="V27" s="16">
        <f t="shared" si="19"/>
        <v>60</v>
      </c>
      <c r="W27" s="16">
        <f t="shared" si="19"/>
        <v>4</v>
      </c>
      <c r="X27" s="16">
        <f t="shared" si="19"/>
        <v>21</v>
      </c>
      <c r="Y27" s="16">
        <f t="shared" si="19"/>
        <v>24</v>
      </c>
      <c r="Z27" s="16">
        <f t="shared" si="19"/>
        <v>29</v>
      </c>
      <c r="AA27" s="16">
        <f t="shared" si="19"/>
        <v>22</v>
      </c>
      <c r="AB27" s="16">
        <f t="shared" si="19"/>
        <v>1</v>
      </c>
      <c r="AC27" s="16">
        <f t="shared" si="19"/>
        <v>257</v>
      </c>
      <c r="AD27" s="16">
        <f t="shared" si="19"/>
        <v>0</v>
      </c>
      <c r="AE27" s="32">
        <f t="shared" si="19"/>
        <v>349</v>
      </c>
      <c r="AF27" s="32">
        <f t="shared" si="19"/>
        <v>606</v>
      </c>
    </row>
    <row r="28" spans="2:32" ht="23.1" customHeight="1" x14ac:dyDescent="0.25">
      <c r="B28" s="23" t="s">
        <v>55</v>
      </c>
      <c r="C28" s="50">
        <v>10</v>
      </c>
      <c r="D28" s="50">
        <v>2</v>
      </c>
      <c r="E28" s="50">
        <v>5</v>
      </c>
      <c r="F28" s="50">
        <v>7</v>
      </c>
      <c r="G28" s="50">
        <v>0</v>
      </c>
      <c r="H28" s="50">
        <v>0</v>
      </c>
      <c r="I28" s="50">
        <v>0</v>
      </c>
      <c r="J28" s="50">
        <v>0</v>
      </c>
      <c r="K28" s="50">
        <v>1</v>
      </c>
      <c r="L28" s="50">
        <v>0</v>
      </c>
      <c r="M28" s="50">
        <v>14</v>
      </c>
      <c r="N28" s="50">
        <v>0</v>
      </c>
      <c r="O28" s="15">
        <f t="shared" si="0"/>
        <v>25</v>
      </c>
      <c r="P28" s="15">
        <f t="shared" si="1"/>
        <v>39</v>
      </c>
      <c r="R28" s="5" t="s">
        <v>17</v>
      </c>
      <c r="S28" s="16">
        <f t="shared" ref="S28:AF28" si="20">SUM(S10:S21)</f>
        <v>431</v>
      </c>
      <c r="T28" s="16">
        <f t="shared" si="20"/>
        <v>159</v>
      </c>
      <c r="U28" s="16">
        <f t="shared" si="20"/>
        <v>126</v>
      </c>
      <c r="V28" s="16">
        <f t="shared" si="20"/>
        <v>226</v>
      </c>
      <c r="W28" s="16">
        <f t="shared" si="20"/>
        <v>11</v>
      </c>
      <c r="X28" s="16">
        <f t="shared" si="20"/>
        <v>62</v>
      </c>
      <c r="Y28" s="16">
        <f t="shared" si="20"/>
        <v>84</v>
      </c>
      <c r="Z28" s="16">
        <f t="shared" si="20"/>
        <v>78</v>
      </c>
      <c r="AA28" s="16">
        <f t="shared" si="20"/>
        <v>71</v>
      </c>
      <c r="AB28" s="16">
        <f t="shared" si="20"/>
        <v>3</v>
      </c>
      <c r="AC28" s="16">
        <f t="shared" si="20"/>
        <v>972</v>
      </c>
      <c r="AD28" s="16">
        <f t="shared" si="20"/>
        <v>0</v>
      </c>
      <c r="AE28" s="32">
        <f t="shared" si="20"/>
        <v>1251</v>
      </c>
      <c r="AF28" s="32">
        <f t="shared" si="20"/>
        <v>2223</v>
      </c>
    </row>
    <row r="29" spans="2:32" ht="23.1" customHeight="1" x14ac:dyDescent="0.25">
      <c r="B29" s="23" t="s">
        <v>56</v>
      </c>
      <c r="C29" s="50">
        <v>7</v>
      </c>
      <c r="D29" s="50">
        <v>1</v>
      </c>
      <c r="E29" s="50">
        <v>1</v>
      </c>
      <c r="F29" s="50">
        <v>3</v>
      </c>
      <c r="G29" s="50">
        <v>0</v>
      </c>
      <c r="H29" s="50">
        <v>3</v>
      </c>
      <c r="I29" s="50">
        <v>3</v>
      </c>
      <c r="J29" s="50">
        <v>0</v>
      </c>
      <c r="K29" s="50">
        <v>0</v>
      </c>
      <c r="L29" s="50">
        <v>0</v>
      </c>
      <c r="M29" s="50">
        <v>20</v>
      </c>
      <c r="N29" s="50">
        <v>0</v>
      </c>
      <c r="O29" s="15">
        <f t="shared" si="0"/>
        <v>18</v>
      </c>
      <c r="P29" s="15">
        <f t="shared" si="1"/>
        <v>38</v>
      </c>
      <c r="R29"/>
      <c r="S29" s="20"/>
      <c r="T29" s="19"/>
    </row>
    <row r="30" spans="2:32" ht="23.1" customHeight="1" x14ac:dyDescent="0.25">
      <c r="B30" s="23" t="s">
        <v>57</v>
      </c>
      <c r="C30" s="50">
        <v>6</v>
      </c>
      <c r="D30" s="50">
        <v>3</v>
      </c>
      <c r="E30" s="50">
        <v>5</v>
      </c>
      <c r="F30" s="50">
        <v>1</v>
      </c>
      <c r="G30" s="50">
        <v>0</v>
      </c>
      <c r="H30" s="50">
        <v>2</v>
      </c>
      <c r="I30" s="50">
        <v>2</v>
      </c>
      <c r="J30" s="50">
        <v>0</v>
      </c>
      <c r="K30" s="50">
        <v>2</v>
      </c>
      <c r="L30" s="50">
        <v>1</v>
      </c>
      <c r="M30" s="50">
        <v>23</v>
      </c>
      <c r="N30" s="50">
        <v>0</v>
      </c>
      <c r="O30" s="15">
        <f t="shared" si="0"/>
        <v>22</v>
      </c>
      <c r="P30" s="15">
        <f t="shared" si="1"/>
        <v>45</v>
      </c>
    </row>
    <row r="31" spans="2:32" ht="23.1" customHeight="1" x14ac:dyDescent="0.25">
      <c r="B31" s="24" t="s">
        <v>58</v>
      </c>
      <c r="C31" s="50">
        <v>7</v>
      </c>
      <c r="D31" s="50">
        <v>1</v>
      </c>
      <c r="E31" s="50">
        <v>2</v>
      </c>
      <c r="F31" s="50">
        <v>5</v>
      </c>
      <c r="G31" s="50">
        <v>0</v>
      </c>
      <c r="H31" s="50">
        <v>0</v>
      </c>
      <c r="I31" s="50">
        <v>1</v>
      </c>
      <c r="J31" s="50">
        <v>2</v>
      </c>
      <c r="K31" s="50">
        <v>0</v>
      </c>
      <c r="L31" s="50">
        <v>0</v>
      </c>
      <c r="M31" s="50">
        <v>14</v>
      </c>
      <c r="N31" s="50">
        <v>0</v>
      </c>
      <c r="O31" s="15">
        <f t="shared" si="0"/>
        <v>18</v>
      </c>
      <c r="P31" s="15">
        <f t="shared" si="1"/>
        <v>32</v>
      </c>
    </row>
    <row r="32" spans="2:32" ht="23.1" customHeight="1" x14ac:dyDescent="0.25">
      <c r="B32" s="24" t="s">
        <v>59</v>
      </c>
      <c r="C32" s="50">
        <v>3</v>
      </c>
      <c r="D32" s="50">
        <v>5</v>
      </c>
      <c r="E32" s="50">
        <v>6</v>
      </c>
      <c r="F32" s="50">
        <v>7</v>
      </c>
      <c r="G32" s="50">
        <v>0</v>
      </c>
      <c r="H32" s="50">
        <v>2</v>
      </c>
      <c r="I32" s="50">
        <v>1</v>
      </c>
      <c r="J32" s="50">
        <v>1</v>
      </c>
      <c r="K32" s="50">
        <v>0</v>
      </c>
      <c r="L32" s="50">
        <v>0</v>
      </c>
      <c r="M32" s="50">
        <v>15</v>
      </c>
      <c r="N32" s="50">
        <v>0</v>
      </c>
      <c r="O32" s="15">
        <f t="shared" si="0"/>
        <v>25</v>
      </c>
      <c r="P32" s="15">
        <f t="shared" si="1"/>
        <v>40</v>
      </c>
    </row>
    <row r="33" spans="2:20" ht="23.1" customHeight="1" x14ac:dyDescent="0.25">
      <c r="B33" s="23" t="s">
        <v>60</v>
      </c>
      <c r="C33" s="50">
        <v>4</v>
      </c>
      <c r="D33" s="50">
        <v>7</v>
      </c>
      <c r="E33" s="50">
        <v>1</v>
      </c>
      <c r="F33" s="50">
        <v>8</v>
      </c>
      <c r="G33" s="50">
        <v>0</v>
      </c>
      <c r="H33" s="50">
        <v>2</v>
      </c>
      <c r="I33" s="50">
        <v>2</v>
      </c>
      <c r="J33" s="50">
        <v>1</v>
      </c>
      <c r="K33" s="50">
        <v>1</v>
      </c>
      <c r="L33" s="50">
        <v>0</v>
      </c>
      <c r="M33" s="50">
        <v>15</v>
      </c>
      <c r="N33" s="50">
        <v>0</v>
      </c>
      <c r="O33" s="15">
        <f t="shared" si="0"/>
        <v>26</v>
      </c>
      <c r="P33" s="15">
        <f t="shared" si="1"/>
        <v>41</v>
      </c>
    </row>
    <row r="34" spans="2:20" ht="23.1" customHeight="1" x14ac:dyDescent="0.25">
      <c r="B34" s="24" t="s">
        <v>61</v>
      </c>
      <c r="C34" s="50">
        <v>14</v>
      </c>
      <c r="D34" s="50">
        <v>3</v>
      </c>
      <c r="E34" s="50">
        <v>2</v>
      </c>
      <c r="F34" s="50">
        <v>5</v>
      </c>
      <c r="G34" s="50">
        <v>0</v>
      </c>
      <c r="H34" s="50">
        <v>0</v>
      </c>
      <c r="I34" s="50">
        <v>1</v>
      </c>
      <c r="J34" s="50">
        <v>2</v>
      </c>
      <c r="K34" s="50">
        <v>2</v>
      </c>
      <c r="L34" s="50">
        <v>0</v>
      </c>
      <c r="M34" s="50">
        <v>13</v>
      </c>
      <c r="N34" s="50">
        <v>0</v>
      </c>
      <c r="O34" s="15">
        <f t="shared" si="0"/>
        <v>29</v>
      </c>
      <c r="P34" s="15">
        <f t="shared" si="1"/>
        <v>42</v>
      </c>
    </row>
    <row r="35" spans="2:20" ht="23.1" customHeight="1" x14ac:dyDescent="0.25">
      <c r="B35" s="24" t="s">
        <v>62</v>
      </c>
      <c r="C35" s="50">
        <v>8</v>
      </c>
      <c r="D35" s="50">
        <v>2</v>
      </c>
      <c r="E35" s="50">
        <v>3</v>
      </c>
      <c r="F35" s="50">
        <v>4</v>
      </c>
      <c r="G35" s="50">
        <v>0</v>
      </c>
      <c r="H35" s="50">
        <v>0</v>
      </c>
      <c r="I35" s="50">
        <v>3</v>
      </c>
      <c r="J35" s="50">
        <v>1</v>
      </c>
      <c r="K35" s="50">
        <v>0</v>
      </c>
      <c r="L35" s="50">
        <v>0</v>
      </c>
      <c r="M35" s="50">
        <v>29</v>
      </c>
      <c r="N35" s="50">
        <v>0</v>
      </c>
      <c r="O35" s="15">
        <f t="shared" si="0"/>
        <v>21</v>
      </c>
      <c r="P35" s="15">
        <f t="shared" si="1"/>
        <v>50</v>
      </c>
    </row>
    <row r="36" spans="2:20" ht="23.1" customHeight="1" x14ac:dyDescent="0.25">
      <c r="B36" s="24" t="s">
        <v>63</v>
      </c>
      <c r="C36" s="50">
        <v>16</v>
      </c>
      <c r="D36" s="50">
        <v>2</v>
      </c>
      <c r="E36" s="50">
        <v>2</v>
      </c>
      <c r="F36" s="50">
        <v>8</v>
      </c>
      <c r="G36" s="50">
        <v>0</v>
      </c>
      <c r="H36" s="50">
        <v>3</v>
      </c>
      <c r="I36" s="50">
        <v>1</v>
      </c>
      <c r="J36" s="50">
        <v>2</v>
      </c>
      <c r="K36" s="50">
        <v>0</v>
      </c>
      <c r="L36" s="50">
        <v>0</v>
      </c>
      <c r="M36" s="50">
        <v>32</v>
      </c>
      <c r="N36" s="50">
        <v>0</v>
      </c>
      <c r="O36" s="15">
        <f t="shared" si="0"/>
        <v>34</v>
      </c>
      <c r="P36" s="15">
        <f t="shared" si="1"/>
        <v>66</v>
      </c>
    </row>
    <row r="37" spans="2:20" ht="23.1" customHeight="1" x14ac:dyDescent="0.25">
      <c r="B37" s="23" t="s">
        <v>64</v>
      </c>
      <c r="C37" s="50">
        <v>12</v>
      </c>
      <c r="D37" s="50">
        <v>5</v>
      </c>
      <c r="E37" s="50">
        <v>4</v>
      </c>
      <c r="F37" s="50">
        <v>1</v>
      </c>
      <c r="G37" s="50">
        <v>0</v>
      </c>
      <c r="H37" s="50">
        <v>2</v>
      </c>
      <c r="I37" s="50">
        <v>1</v>
      </c>
      <c r="J37" s="50">
        <v>0</v>
      </c>
      <c r="K37" s="50">
        <v>1</v>
      </c>
      <c r="L37" s="50">
        <v>0</v>
      </c>
      <c r="M37" s="50">
        <v>31</v>
      </c>
      <c r="N37" s="50">
        <v>0</v>
      </c>
      <c r="O37" s="15">
        <f t="shared" si="0"/>
        <v>26</v>
      </c>
      <c r="P37" s="15">
        <f t="shared" si="1"/>
        <v>57</v>
      </c>
    </row>
    <row r="38" spans="2:20" ht="23.1" customHeight="1" x14ac:dyDescent="0.25">
      <c r="B38" s="24" t="s">
        <v>65</v>
      </c>
      <c r="C38" s="50">
        <v>11</v>
      </c>
      <c r="D38" s="50">
        <v>7</v>
      </c>
      <c r="E38" s="50">
        <v>2</v>
      </c>
      <c r="F38" s="50">
        <v>7</v>
      </c>
      <c r="G38" s="50">
        <v>1</v>
      </c>
      <c r="H38" s="50">
        <v>2</v>
      </c>
      <c r="I38" s="50">
        <v>3</v>
      </c>
      <c r="J38" s="50">
        <v>2</v>
      </c>
      <c r="K38" s="50">
        <v>5</v>
      </c>
      <c r="L38" s="50">
        <v>0</v>
      </c>
      <c r="M38" s="50">
        <v>26</v>
      </c>
      <c r="N38" s="50">
        <v>0</v>
      </c>
      <c r="O38" s="15">
        <f t="shared" si="0"/>
        <v>40</v>
      </c>
      <c r="P38" s="15">
        <f t="shared" si="1"/>
        <v>66</v>
      </c>
    </row>
    <row r="39" spans="2:20" ht="23.1" customHeight="1" x14ac:dyDescent="0.25">
      <c r="B39" s="24" t="s">
        <v>66</v>
      </c>
      <c r="C39" s="50">
        <v>7</v>
      </c>
      <c r="D39" s="50">
        <v>5</v>
      </c>
      <c r="E39" s="50">
        <v>0</v>
      </c>
      <c r="F39" s="50">
        <v>5</v>
      </c>
      <c r="G39" s="50">
        <v>1</v>
      </c>
      <c r="H39" s="50">
        <v>1</v>
      </c>
      <c r="I39" s="50">
        <v>2</v>
      </c>
      <c r="J39" s="50">
        <v>0</v>
      </c>
      <c r="K39" s="50">
        <v>1</v>
      </c>
      <c r="L39" s="50">
        <v>0</v>
      </c>
      <c r="M39" s="50">
        <v>17</v>
      </c>
      <c r="N39" s="50">
        <v>0</v>
      </c>
      <c r="O39" s="15">
        <f t="shared" si="0"/>
        <v>22</v>
      </c>
      <c r="P39" s="15">
        <f t="shared" si="1"/>
        <v>39</v>
      </c>
    </row>
    <row r="40" spans="2:20" ht="23.1" customHeight="1" x14ac:dyDescent="0.25">
      <c r="B40" s="24" t="s">
        <v>67</v>
      </c>
      <c r="C40" s="50">
        <v>11</v>
      </c>
      <c r="D40" s="50">
        <v>6</v>
      </c>
      <c r="E40" s="50">
        <v>7</v>
      </c>
      <c r="F40" s="50">
        <v>10</v>
      </c>
      <c r="G40" s="50">
        <v>0</v>
      </c>
      <c r="H40" s="50">
        <v>3</v>
      </c>
      <c r="I40" s="50">
        <v>2</v>
      </c>
      <c r="J40" s="50">
        <v>0</v>
      </c>
      <c r="K40" s="50">
        <v>0</v>
      </c>
      <c r="L40" s="50">
        <v>0</v>
      </c>
      <c r="M40" s="50">
        <v>24</v>
      </c>
      <c r="N40" s="50">
        <v>0</v>
      </c>
      <c r="O40" s="15">
        <f t="shared" si="0"/>
        <v>39</v>
      </c>
      <c r="P40" s="15">
        <f t="shared" si="1"/>
        <v>63</v>
      </c>
    </row>
    <row r="41" spans="2:20" ht="23.1" customHeight="1" x14ac:dyDescent="0.25">
      <c r="B41" s="23" t="s">
        <v>68</v>
      </c>
      <c r="C41" s="50">
        <v>13</v>
      </c>
      <c r="D41" s="50">
        <v>3</v>
      </c>
      <c r="E41" s="50">
        <v>4</v>
      </c>
      <c r="F41" s="50">
        <v>4</v>
      </c>
      <c r="G41" s="50">
        <v>0</v>
      </c>
      <c r="H41" s="50">
        <v>1</v>
      </c>
      <c r="I41" s="50">
        <v>2</v>
      </c>
      <c r="J41" s="50">
        <v>0</v>
      </c>
      <c r="K41" s="50">
        <v>3</v>
      </c>
      <c r="L41" s="50">
        <v>0</v>
      </c>
      <c r="M41" s="50">
        <v>22</v>
      </c>
      <c r="N41" s="50">
        <v>0</v>
      </c>
      <c r="O41" s="15">
        <f t="shared" si="0"/>
        <v>30</v>
      </c>
      <c r="P41" s="15">
        <f t="shared" si="1"/>
        <v>52</v>
      </c>
    </row>
    <row r="42" spans="2:20" ht="23.1" customHeight="1" x14ac:dyDescent="0.25">
      <c r="B42" s="24" t="s">
        <v>69</v>
      </c>
      <c r="C42" s="50">
        <v>12</v>
      </c>
      <c r="D42" s="50">
        <v>0</v>
      </c>
      <c r="E42" s="50">
        <v>1</v>
      </c>
      <c r="F42" s="50">
        <v>6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28</v>
      </c>
      <c r="N42" s="50">
        <v>0</v>
      </c>
      <c r="O42" s="15">
        <f t="shared" si="0"/>
        <v>20</v>
      </c>
      <c r="P42" s="15">
        <f t="shared" si="1"/>
        <v>48</v>
      </c>
    </row>
    <row r="43" spans="2:20" ht="23.1" customHeight="1" x14ac:dyDescent="0.25">
      <c r="B43" s="23" t="s">
        <v>70</v>
      </c>
      <c r="C43" s="50">
        <v>9</v>
      </c>
      <c r="D43" s="50">
        <v>9</v>
      </c>
      <c r="E43" s="50">
        <v>6</v>
      </c>
      <c r="F43" s="50">
        <v>5</v>
      </c>
      <c r="G43" s="50">
        <v>1</v>
      </c>
      <c r="H43" s="50">
        <v>3</v>
      </c>
      <c r="I43" s="50">
        <v>1</v>
      </c>
      <c r="J43" s="50">
        <v>1</v>
      </c>
      <c r="K43" s="50">
        <v>2</v>
      </c>
      <c r="L43" s="50">
        <v>0</v>
      </c>
      <c r="M43" s="50">
        <v>19</v>
      </c>
      <c r="N43" s="50">
        <v>0</v>
      </c>
      <c r="O43" s="15">
        <f t="shared" si="0"/>
        <v>37</v>
      </c>
      <c r="P43" s="15">
        <f t="shared" si="1"/>
        <v>56</v>
      </c>
    </row>
    <row r="44" spans="2:20" ht="23.1" customHeight="1" x14ac:dyDescent="0.25">
      <c r="B44" s="25" t="s">
        <v>71</v>
      </c>
      <c r="C44" s="50">
        <v>6</v>
      </c>
      <c r="D44" s="50">
        <v>3</v>
      </c>
      <c r="E44" s="50">
        <v>6</v>
      </c>
      <c r="F44" s="50">
        <v>5</v>
      </c>
      <c r="G44" s="50">
        <v>0</v>
      </c>
      <c r="H44" s="50">
        <v>1</v>
      </c>
      <c r="I44" s="50">
        <v>2</v>
      </c>
      <c r="J44" s="50">
        <v>2</v>
      </c>
      <c r="K44" s="50">
        <v>3</v>
      </c>
      <c r="L44" s="50">
        <v>0</v>
      </c>
      <c r="M44" s="50">
        <v>32</v>
      </c>
      <c r="N44" s="50">
        <v>0</v>
      </c>
      <c r="O44" s="15">
        <f t="shared" si="0"/>
        <v>28</v>
      </c>
      <c r="P44" s="15">
        <f t="shared" si="1"/>
        <v>60</v>
      </c>
    </row>
    <row r="45" spans="2:20" ht="23.1" customHeight="1" x14ac:dyDescent="0.25">
      <c r="B45" s="23" t="s">
        <v>72</v>
      </c>
      <c r="C45" s="50">
        <v>10</v>
      </c>
      <c r="D45" s="50">
        <v>5</v>
      </c>
      <c r="E45" s="50">
        <v>2</v>
      </c>
      <c r="F45" s="50">
        <v>5</v>
      </c>
      <c r="G45" s="50">
        <v>0</v>
      </c>
      <c r="H45" s="50">
        <v>5</v>
      </c>
      <c r="I45" s="50">
        <v>3</v>
      </c>
      <c r="J45" s="50">
        <v>1</v>
      </c>
      <c r="K45" s="50">
        <v>2</v>
      </c>
      <c r="L45" s="50">
        <v>0</v>
      </c>
      <c r="M45" s="50">
        <v>26</v>
      </c>
      <c r="N45" s="50">
        <v>0</v>
      </c>
      <c r="O45" s="15">
        <f t="shared" si="0"/>
        <v>33</v>
      </c>
      <c r="P45" s="15">
        <f t="shared" si="1"/>
        <v>59</v>
      </c>
    </row>
    <row r="46" spans="2:20" ht="23.1" customHeight="1" x14ac:dyDescent="0.25">
      <c r="B46" s="24" t="s">
        <v>73</v>
      </c>
      <c r="C46" s="50">
        <v>12</v>
      </c>
      <c r="D46" s="50">
        <v>1</v>
      </c>
      <c r="E46" s="50">
        <v>3</v>
      </c>
      <c r="F46" s="50">
        <v>8</v>
      </c>
      <c r="G46" s="50">
        <v>0</v>
      </c>
      <c r="H46" s="50">
        <v>4</v>
      </c>
      <c r="I46" s="50">
        <v>3</v>
      </c>
      <c r="J46" s="50">
        <v>3</v>
      </c>
      <c r="K46" s="50">
        <v>2</v>
      </c>
      <c r="L46" s="50">
        <v>0</v>
      </c>
      <c r="M46" s="50">
        <v>31</v>
      </c>
      <c r="N46" s="50">
        <v>0</v>
      </c>
      <c r="O46" s="15">
        <f t="shared" si="0"/>
        <v>36</v>
      </c>
      <c r="P46" s="15">
        <f t="shared" si="1"/>
        <v>67</v>
      </c>
      <c r="R46" s="8"/>
      <c r="T46"/>
    </row>
    <row r="47" spans="2:20" ht="23.1" customHeight="1" x14ac:dyDescent="0.25">
      <c r="B47" s="24" t="s">
        <v>74</v>
      </c>
      <c r="C47" s="50">
        <v>6</v>
      </c>
      <c r="D47" s="50">
        <v>4</v>
      </c>
      <c r="E47" s="50">
        <v>4</v>
      </c>
      <c r="F47" s="50">
        <v>4</v>
      </c>
      <c r="G47" s="50">
        <v>0</v>
      </c>
      <c r="H47" s="50">
        <v>2</v>
      </c>
      <c r="I47" s="50">
        <v>0</v>
      </c>
      <c r="J47" s="50">
        <v>0</v>
      </c>
      <c r="K47" s="50">
        <v>0</v>
      </c>
      <c r="L47" s="50">
        <v>0</v>
      </c>
      <c r="M47" s="50">
        <v>24</v>
      </c>
      <c r="N47" s="50">
        <v>0</v>
      </c>
      <c r="O47" s="15">
        <f t="shared" si="0"/>
        <v>20</v>
      </c>
      <c r="P47" s="15">
        <f t="shared" si="1"/>
        <v>44</v>
      </c>
      <c r="R47" s="8"/>
      <c r="T47"/>
    </row>
    <row r="48" spans="2:20" ht="23.1" customHeight="1" x14ac:dyDescent="0.25">
      <c r="B48" s="24" t="s">
        <v>75</v>
      </c>
      <c r="C48" s="50">
        <v>13</v>
      </c>
      <c r="D48" s="50">
        <v>3</v>
      </c>
      <c r="E48" s="50">
        <v>5</v>
      </c>
      <c r="F48" s="50">
        <v>4</v>
      </c>
      <c r="G48" s="50">
        <v>0</v>
      </c>
      <c r="H48" s="50">
        <v>2</v>
      </c>
      <c r="I48" s="50">
        <v>1</v>
      </c>
      <c r="J48" s="50">
        <v>4</v>
      </c>
      <c r="K48" s="50">
        <v>3</v>
      </c>
      <c r="L48" s="50">
        <v>0</v>
      </c>
      <c r="M48" s="50">
        <v>20</v>
      </c>
      <c r="N48" s="50">
        <v>0</v>
      </c>
      <c r="O48" s="15">
        <f t="shared" si="0"/>
        <v>35</v>
      </c>
      <c r="P48" s="15">
        <f t="shared" si="1"/>
        <v>55</v>
      </c>
      <c r="R48" s="8"/>
      <c r="T48"/>
    </row>
    <row r="49" spans="2:20" ht="23.1" customHeight="1" x14ac:dyDescent="0.25">
      <c r="B49" s="23" t="s">
        <v>76</v>
      </c>
      <c r="C49" s="50">
        <v>8</v>
      </c>
      <c r="D49" s="50">
        <v>0</v>
      </c>
      <c r="E49" s="50">
        <v>1</v>
      </c>
      <c r="F49" s="50">
        <v>5</v>
      </c>
      <c r="G49" s="50">
        <v>0</v>
      </c>
      <c r="H49" s="50">
        <v>2</v>
      </c>
      <c r="I49" s="50">
        <v>0</v>
      </c>
      <c r="J49" s="50">
        <v>0</v>
      </c>
      <c r="K49" s="50">
        <v>0</v>
      </c>
      <c r="L49" s="50">
        <v>1</v>
      </c>
      <c r="M49" s="50">
        <v>21</v>
      </c>
      <c r="N49" s="50">
        <v>0</v>
      </c>
      <c r="O49" s="15">
        <f t="shared" si="0"/>
        <v>17</v>
      </c>
      <c r="P49" s="15">
        <f t="shared" si="1"/>
        <v>38</v>
      </c>
      <c r="R49" s="8"/>
      <c r="T49"/>
    </row>
    <row r="50" spans="2:20" ht="23.1" customHeight="1" x14ac:dyDescent="0.25">
      <c r="B50" s="24" t="s">
        <v>77</v>
      </c>
      <c r="C50" s="50">
        <v>16</v>
      </c>
      <c r="D50" s="50">
        <v>1</v>
      </c>
      <c r="E50" s="50">
        <v>3</v>
      </c>
      <c r="F50" s="50">
        <v>4</v>
      </c>
      <c r="G50" s="50">
        <v>0</v>
      </c>
      <c r="H50" s="50">
        <v>1</v>
      </c>
      <c r="I50" s="50">
        <v>3</v>
      </c>
      <c r="J50" s="50">
        <v>3</v>
      </c>
      <c r="K50" s="50">
        <v>5</v>
      </c>
      <c r="L50" s="50">
        <v>0</v>
      </c>
      <c r="M50" s="50">
        <v>17</v>
      </c>
      <c r="N50" s="50">
        <v>0</v>
      </c>
      <c r="O50" s="15">
        <f t="shared" si="0"/>
        <v>36</v>
      </c>
      <c r="P50" s="15">
        <f t="shared" si="1"/>
        <v>53</v>
      </c>
      <c r="R50" s="8"/>
      <c r="T50"/>
    </row>
    <row r="51" spans="2:20" ht="23.1" customHeight="1" x14ac:dyDescent="0.25">
      <c r="B51" s="24" t="s">
        <v>78</v>
      </c>
      <c r="C51" s="50">
        <v>15</v>
      </c>
      <c r="D51" s="50">
        <v>5</v>
      </c>
      <c r="E51" s="50">
        <v>1</v>
      </c>
      <c r="F51" s="50">
        <v>4</v>
      </c>
      <c r="G51" s="50">
        <v>0</v>
      </c>
      <c r="H51" s="50">
        <v>1</v>
      </c>
      <c r="I51" s="50">
        <v>2</v>
      </c>
      <c r="J51" s="50">
        <v>2</v>
      </c>
      <c r="K51" s="50">
        <v>2</v>
      </c>
      <c r="L51" s="50">
        <v>0</v>
      </c>
      <c r="M51" s="50">
        <v>14</v>
      </c>
      <c r="N51" s="50">
        <v>0</v>
      </c>
      <c r="O51" s="15">
        <f t="shared" si="0"/>
        <v>32</v>
      </c>
      <c r="P51" s="15">
        <f t="shared" si="1"/>
        <v>46</v>
      </c>
      <c r="R51" s="8"/>
      <c r="T51"/>
    </row>
    <row r="52" spans="2:20" ht="23.1" customHeight="1" x14ac:dyDescent="0.25">
      <c r="B52" s="24" t="s">
        <v>79</v>
      </c>
      <c r="C52" s="50">
        <v>7</v>
      </c>
      <c r="D52" s="50">
        <v>2</v>
      </c>
      <c r="E52" s="50">
        <v>2</v>
      </c>
      <c r="F52" s="50">
        <v>7</v>
      </c>
      <c r="G52" s="50">
        <v>0</v>
      </c>
      <c r="H52" s="50">
        <v>1</v>
      </c>
      <c r="I52" s="50">
        <v>0</v>
      </c>
      <c r="J52" s="50">
        <v>3</v>
      </c>
      <c r="K52" s="50">
        <v>0</v>
      </c>
      <c r="L52" s="50">
        <v>0</v>
      </c>
      <c r="M52" s="50">
        <v>23</v>
      </c>
      <c r="N52" s="50">
        <v>0</v>
      </c>
      <c r="O52" s="15">
        <f t="shared" si="0"/>
        <v>22</v>
      </c>
      <c r="P52" s="15">
        <f t="shared" si="1"/>
        <v>45</v>
      </c>
      <c r="R52" s="8"/>
      <c r="T52"/>
    </row>
    <row r="53" spans="2:20" ht="23.1" customHeight="1" x14ac:dyDescent="0.25">
      <c r="B53" s="23" t="s">
        <v>80</v>
      </c>
      <c r="C53" s="50">
        <v>7</v>
      </c>
      <c r="D53" s="50">
        <v>0</v>
      </c>
      <c r="E53" s="50">
        <v>2</v>
      </c>
      <c r="F53" s="50">
        <v>1</v>
      </c>
      <c r="G53" s="50">
        <v>0</v>
      </c>
      <c r="H53" s="50">
        <v>1</v>
      </c>
      <c r="I53" s="50">
        <v>6</v>
      </c>
      <c r="J53" s="50">
        <v>1</v>
      </c>
      <c r="K53" s="50">
        <v>3</v>
      </c>
      <c r="L53" s="50">
        <v>0</v>
      </c>
      <c r="M53" s="50">
        <v>14</v>
      </c>
      <c r="N53" s="50">
        <v>0</v>
      </c>
      <c r="O53" s="15">
        <f t="shared" si="0"/>
        <v>21</v>
      </c>
      <c r="P53" s="15">
        <f t="shared" si="1"/>
        <v>35</v>
      </c>
      <c r="R53" s="8"/>
      <c r="T53"/>
    </row>
    <row r="54" spans="2:20" ht="23.1" customHeight="1" x14ac:dyDescent="0.25">
      <c r="B54" s="23" t="s">
        <v>81</v>
      </c>
      <c r="C54" s="50">
        <v>15</v>
      </c>
      <c r="D54" s="50">
        <v>3</v>
      </c>
      <c r="E54" s="50">
        <v>3</v>
      </c>
      <c r="F54" s="50">
        <v>9</v>
      </c>
      <c r="G54" s="50">
        <v>1</v>
      </c>
      <c r="H54" s="50">
        <v>2</v>
      </c>
      <c r="I54" s="50">
        <v>5</v>
      </c>
      <c r="J54" s="50">
        <v>4</v>
      </c>
      <c r="K54" s="50">
        <v>4</v>
      </c>
      <c r="L54" s="50">
        <v>0</v>
      </c>
      <c r="M54" s="50">
        <v>9</v>
      </c>
      <c r="N54" s="50">
        <v>0</v>
      </c>
      <c r="O54" s="15">
        <f t="shared" si="0"/>
        <v>46</v>
      </c>
      <c r="P54" s="15">
        <f t="shared" si="1"/>
        <v>55</v>
      </c>
      <c r="R54" s="8"/>
      <c r="T54"/>
    </row>
    <row r="55" spans="2:20" ht="23.1" customHeight="1" x14ac:dyDescent="0.25">
      <c r="B55" s="23" t="s">
        <v>82</v>
      </c>
      <c r="C55" s="50">
        <v>17</v>
      </c>
      <c r="D55" s="50">
        <v>3</v>
      </c>
      <c r="E55" s="50">
        <v>2</v>
      </c>
      <c r="F55" s="50">
        <v>4</v>
      </c>
      <c r="G55" s="50">
        <v>1</v>
      </c>
      <c r="H55" s="50">
        <v>1</v>
      </c>
      <c r="I55" s="50">
        <v>1</v>
      </c>
      <c r="J55" s="50">
        <v>3</v>
      </c>
      <c r="K55" s="50">
        <v>1</v>
      </c>
      <c r="L55" s="50">
        <v>0</v>
      </c>
      <c r="M55" s="50">
        <v>33</v>
      </c>
      <c r="N55" s="50">
        <v>0</v>
      </c>
      <c r="O55" s="15">
        <f t="shared" si="0"/>
        <v>33</v>
      </c>
      <c r="P55" s="15">
        <f t="shared" si="1"/>
        <v>66</v>
      </c>
      <c r="R55" s="8"/>
      <c r="T55"/>
    </row>
    <row r="56" spans="2:20" ht="23.1" customHeight="1" x14ac:dyDescent="0.25">
      <c r="B56" s="23" t="s">
        <v>83</v>
      </c>
      <c r="C56" s="50">
        <v>9</v>
      </c>
      <c r="D56" s="50">
        <v>5</v>
      </c>
      <c r="E56" s="50">
        <v>4</v>
      </c>
      <c r="F56" s="50">
        <v>5</v>
      </c>
      <c r="G56" s="50">
        <v>1</v>
      </c>
      <c r="H56" s="50">
        <v>3</v>
      </c>
      <c r="I56" s="50">
        <v>2</v>
      </c>
      <c r="J56" s="50">
        <v>3</v>
      </c>
      <c r="K56" s="50">
        <v>2</v>
      </c>
      <c r="L56" s="50">
        <v>0</v>
      </c>
      <c r="M56" s="50">
        <v>31</v>
      </c>
      <c r="N56" s="50">
        <v>0</v>
      </c>
      <c r="O56" s="15">
        <f t="shared" si="0"/>
        <v>34</v>
      </c>
      <c r="P56" s="15">
        <f t="shared" si="1"/>
        <v>65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1</v>
      </c>
      <c r="E57" s="50">
        <v>0</v>
      </c>
      <c r="F57" s="50">
        <v>5</v>
      </c>
      <c r="G57" s="50">
        <v>1</v>
      </c>
      <c r="H57" s="50">
        <v>1</v>
      </c>
      <c r="I57" s="50">
        <v>1</v>
      </c>
      <c r="J57" s="50">
        <v>3</v>
      </c>
      <c r="K57" s="50">
        <v>0</v>
      </c>
      <c r="L57" s="50">
        <v>0</v>
      </c>
      <c r="M57" s="50">
        <v>20</v>
      </c>
      <c r="N57" s="50">
        <v>0</v>
      </c>
      <c r="O57" s="15">
        <f t="shared" si="0"/>
        <v>17</v>
      </c>
      <c r="P57" s="15">
        <f t="shared" si="1"/>
        <v>37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431</v>
      </c>
      <c r="D58" s="16">
        <f t="shared" si="21"/>
        <v>159</v>
      </c>
      <c r="E58" s="16">
        <f t="shared" si="21"/>
        <v>126</v>
      </c>
      <c r="F58" s="16">
        <f t="shared" si="21"/>
        <v>226</v>
      </c>
      <c r="G58" s="16">
        <f t="shared" si="21"/>
        <v>11</v>
      </c>
      <c r="H58" s="16">
        <f t="shared" si="21"/>
        <v>62</v>
      </c>
      <c r="I58" s="16">
        <f t="shared" si="21"/>
        <v>84</v>
      </c>
      <c r="J58" s="16">
        <f t="shared" si="21"/>
        <v>78</v>
      </c>
      <c r="K58" s="16">
        <f t="shared" si="21"/>
        <v>71</v>
      </c>
      <c r="L58" s="16">
        <f t="shared" si="21"/>
        <v>3</v>
      </c>
      <c r="M58" s="16">
        <f t="shared" si="21"/>
        <v>972</v>
      </c>
      <c r="N58" s="16">
        <f t="shared" si="21"/>
        <v>0</v>
      </c>
      <c r="O58" s="16">
        <f t="shared" si="21"/>
        <v>1251</v>
      </c>
      <c r="P58" s="16">
        <f t="shared" si="21"/>
        <v>2223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0.1938821412505623</v>
      </c>
      <c r="D59" s="43">
        <f t="shared" si="22"/>
        <v>7.1524966261808362E-2</v>
      </c>
      <c r="E59" s="43">
        <f t="shared" si="22"/>
        <v>5.6680161943319839E-2</v>
      </c>
      <c r="F59" s="43">
        <f t="shared" si="22"/>
        <v>0.10166441745389114</v>
      </c>
      <c r="G59" s="43">
        <f t="shared" si="22"/>
        <v>4.9482681061628429E-3</v>
      </c>
      <c r="H59" s="43">
        <f t="shared" si="22"/>
        <v>2.7890238416554206E-2</v>
      </c>
      <c r="I59" s="43">
        <f t="shared" si="22"/>
        <v>3.7786774628879895E-2</v>
      </c>
      <c r="J59" s="43">
        <f t="shared" si="22"/>
        <v>3.5087719298245612E-2</v>
      </c>
      <c r="K59" s="43">
        <f t="shared" si="22"/>
        <v>3.1938821412505626E-2</v>
      </c>
      <c r="L59" s="43">
        <f t="shared" si="22"/>
        <v>1.3495276653171389E-3</v>
      </c>
      <c r="M59" s="43">
        <f t="shared" si="22"/>
        <v>0.43724696356275305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0.34452438049560352</v>
      </c>
      <c r="D60" s="44">
        <f t="shared" ref="D60:N60" si="23">D58/$O$58</f>
        <v>0.12709832134292565</v>
      </c>
      <c r="E60" s="44">
        <f t="shared" si="23"/>
        <v>0.10071942446043165</v>
      </c>
      <c r="F60" s="44">
        <f t="shared" si="23"/>
        <v>0.1806554756195044</v>
      </c>
      <c r="G60" s="44">
        <f t="shared" si="23"/>
        <v>8.7929656274980013E-3</v>
      </c>
      <c r="H60" s="44">
        <f t="shared" si="23"/>
        <v>4.9560351718625099E-2</v>
      </c>
      <c r="I60" s="44">
        <f t="shared" si="23"/>
        <v>6.7146282973621102E-2</v>
      </c>
      <c r="J60" s="44">
        <f t="shared" si="23"/>
        <v>6.235011990407674E-2</v>
      </c>
      <c r="K60" s="44">
        <f t="shared" si="23"/>
        <v>5.675459632294165E-2</v>
      </c>
      <c r="L60" s="44">
        <f t="shared" si="23"/>
        <v>2.3980815347721821E-3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3" t="s">
        <v>23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 spans="2:32" ht="20.100000000000001" customHeight="1" x14ac:dyDescent="0.25">
      <c r="B2" s="74" t="s">
        <v>95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</row>
    <row r="3" spans="2:32" ht="20.100000000000001" customHeight="1" x14ac:dyDescent="0.25">
      <c r="B3" s="22" t="s">
        <v>96</v>
      </c>
      <c r="C3" s="75" t="s">
        <v>176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177</v>
      </c>
      <c r="E5" s="3"/>
      <c r="F5" s="41" t="s">
        <v>1</v>
      </c>
      <c r="G5" s="71" t="s">
        <v>178</v>
      </c>
      <c r="H5" s="72"/>
      <c r="I5" s="14"/>
      <c r="J5" s="2" t="s">
        <v>5</v>
      </c>
      <c r="K5" s="71" t="s">
        <v>179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">
        <v>165</v>
      </c>
      <c r="E6" s="72"/>
      <c r="F6" s="2" t="s">
        <v>2</v>
      </c>
      <c r="G6" s="71" t="s">
        <v>166</v>
      </c>
      <c r="H6" s="72"/>
      <c r="J6" s="2" t="s">
        <v>21</v>
      </c>
      <c r="K6" s="71" t="s">
        <v>174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</v>
      </c>
      <c r="D10" s="50">
        <v>2</v>
      </c>
      <c r="E10" s="50">
        <v>1</v>
      </c>
      <c r="F10" s="50">
        <v>6</v>
      </c>
      <c r="G10" s="50">
        <v>0</v>
      </c>
      <c r="H10" s="50">
        <v>1</v>
      </c>
      <c r="I10" s="50">
        <v>0</v>
      </c>
      <c r="J10" s="50">
        <v>0</v>
      </c>
      <c r="K10" s="50">
        <v>2</v>
      </c>
      <c r="L10" s="50">
        <v>1</v>
      </c>
      <c r="M10" s="50">
        <v>35</v>
      </c>
      <c r="N10" s="50">
        <v>0</v>
      </c>
      <c r="O10" s="15">
        <f t="shared" ref="O10:O57" si="0">SUM(C10:L10,N10)</f>
        <v>18</v>
      </c>
      <c r="P10" s="15">
        <f t="shared" ref="P10:P57" si="1">SUM(C10:N10)</f>
        <v>53</v>
      </c>
      <c r="R10" s="1" t="s">
        <v>6</v>
      </c>
      <c r="S10" s="17">
        <f t="shared" ref="S10:AF10" si="2">SUM(C10:C13)</f>
        <v>21</v>
      </c>
      <c r="T10" s="17">
        <f t="shared" si="2"/>
        <v>7</v>
      </c>
      <c r="U10" s="17">
        <f t="shared" si="2"/>
        <v>5</v>
      </c>
      <c r="V10" s="17">
        <f t="shared" si="2"/>
        <v>13</v>
      </c>
      <c r="W10" s="17">
        <f t="shared" si="2"/>
        <v>0</v>
      </c>
      <c r="X10" s="17">
        <f t="shared" si="2"/>
        <v>2</v>
      </c>
      <c r="Y10" s="17">
        <f t="shared" si="2"/>
        <v>3</v>
      </c>
      <c r="Z10" s="17">
        <f t="shared" si="2"/>
        <v>2</v>
      </c>
      <c r="AA10" s="17">
        <f t="shared" si="2"/>
        <v>8</v>
      </c>
      <c r="AB10" s="17">
        <f t="shared" si="2"/>
        <v>1</v>
      </c>
      <c r="AC10" s="17">
        <f t="shared" si="2"/>
        <v>97</v>
      </c>
      <c r="AD10" s="17">
        <f t="shared" si="2"/>
        <v>0</v>
      </c>
      <c r="AE10" s="31">
        <f t="shared" si="2"/>
        <v>62</v>
      </c>
      <c r="AF10" s="31">
        <f t="shared" si="2"/>
        <v>159</v>
      </c>
    </row>
    <row r="11" spans="2:32" s="6" customFormat="1" ht="23.1" customHeight="1" x14ac:dyDescent="0.25">
      <c r="B11" s="23" t="s">
        <v>38</v>
      </c>
      <c r="C11" s="50">
        <v>4</v>
      </c>
      <c r="D11" s="50">
        <v>3</v>
      </c>
      <c r="E11" s="50">
        <v>0</v>
      </c>
      <c r="F11" s="50">
        <v>3</v>
      </c>
      <c r="G11" s="50">
        <v>0</v>
      </c>
      <c r="H11" s="50">
        <v>0</v>
      </c>
      <c r="I11" s="50">
        <v>2</v>
      </c>
      <c r="J11" s="50">
        <v>0</v>
      </c>
      <c r="K11" s="50">
        <v>3</v>
      </c>
      <c r="L11" s="50">
        <v>0</v>
      </c>
      <c r="M11" s="50">
        <v>22</v>
      </c>
      <c r="N11" s="50">
        <v>0</v>
      </c>
      <c r="O11" s="15">
        <f t="shared" si="0"/>
        <v>15</v>
      </c>
      <c r="P11" s="15">
        <f t="shared" si="1"/>
        <v>37</v>
      </c>
      <c r="R11" s="1" t="s">
        <v>7</v>
      </c>
      <c r="S11" s="17">
        <f t="shared" ref="S11:AF11" si="3">SUM(C14:C17)</f>
        <v>21</v>
      </c>
      <c r="T11" s="17">
        <f t="shared" si="3"/>
        <v>6</v>
      </c>
      <c r="U11" s="17">
        <f t="shared" si="3"/>
        <v>8</v>
      </c>
      <c r="V11" s="17">
        <f t="shared" si="3"/>
        <v>15</v>
      </c>
      <c r="W11" s="17">
        <f t="shared" si="3"/>
        <v>1</v>
      </c>
      <c r="X11" s="17">
        <f t="shared" si="3"/>
        <v>2</v>
      </c>
      <c r="Y11" s="17">
        <f t="shared" si="3"/>
        <v>7</v>
      </c>
      <c r="Z11" s="17">
        <f t="shared" si="3"/>
        <v>4</v>
      </c>
      <c r="AA11" s="17">
        <f t="shared" si="3"/>
        <v>2</v>
      </c>
      <c r="AB11" s="17">
        <f t="shared" si="3"/>
        <v>0</v>
      </c>
      <c r="AC11" s="17">
        <f t="shared" si="3"/>
        <v>87</v>
      </c>
      <c r="AD11" s="17">
        <f t="shared" si="3"/>
        <v>0</v>
      </c>
      <c r="AE11" s="31">
        <f t="shared" si="3"/>
        <v>66</v>
      </c>
      <c r="AF11" s="31">
        <f t="shared" si="3"/>
        <v>153</v>
      </c>
    </row>
    <row r="12" spans="2:32" ht="23.1" customHeight="1" x14ac:dyDescent="0.25">
      <c r="B12" s="23" t="s">
        <v>39</v>
      </c>
      <c r="C12" s="50">
        <v>7</v>
      </c>
      <c r="D12" s="50">
        <v>2</v>
      </c>
      <c r="E12" s="50">
        <v>1</v>
      </c>
      <c r="F12" s="50">
        <v>2</v>
      </c>
      <c r="G12" s="50">
        <v>0</v>
      </c>
      <c r="H12" s="50">
        <v>1</v>
      </c>
      <c r="I12" s="50">
        <v>1</v>
      </c>
      <c r="J12" s="50">
        <v>0</v>
      </c>
      <c r="K12" s="50">
        <v>2</v>
      </c>
      <c r="L12" s="50">
        <v>0</v>
      </c>
      <c r="M12" s="50">
        <v>22</v>
      </c>
      <c r="N12" s="50">
        <v>0</v>
      </c>
      <c r="O12" s="15">
        <f t="shared" si="0"/>
        <v>16</v>
      </c>
      <c r="P12" s="15">
        <f t="shared" si="1"/>
        <v>38</v>
      </c>
      <c r="R12" s="1" t="s">
        <v>8</v>
      </c>
      <c r="S12" s="17">
        <f t="shared" ref="S12:AF12" si="4">SUM(C18:C21)</f>
        <v>30</v>
      </c>
      <c r="T12" s="17">
        <f t="shared" si="4"/>
        <v>10</v>
      </c>
      <c r="U12" s="17">
        <f t="shared" si="4"/>
        <v>9</v>
      </c>
      <c r="V12" s="17">
        <f t="shared" si="4"/>
        <v>25</v>
      </c>
      <c r="W12" s="17">
        <f t="shared" si="4"/>
        <v>1</v>
      </c>
      <c r="X12" s="17">
        <f t="shared" si="4"/>
        <v>4</v>
      </c>
      <c r="Y12" s="17">
        <f t="shared" si="4"/>
        <v>4</v>
      </c>
      <c r="Z12" s="17">
        <f t="shared" si="4"/>
        <v>1</v>
      </c>
      <c r="AA12" s="17">
        <f t="shared" si="4"/>
        <v>4</v>
      </c>
      <c r="AB12" s="17">
        <f t="shared" si="4"/>
        <v>2</v>
      </c>
      <c r="AC12" s="17">
        <f t="shared" si="4"/>
        <v>101</v>
      </c>
      <c r="AD12" s="17">
        <f t="shared" si="4"/>
        <v>0</v>
      </c>
      <c r="AE12" s="31">
        <f t="shared" si="4"/>
        <v>90</v>
      </c>
      <c r="AF12" s="31">
        <f t="shared" si="4"/>
        <v>191</v>
      </c>
    </row>
    <row r="13" spans="2:32" ht="23.1" customHeight="1" x14ac:dyDescent="0.25">
      <c r="B13" s="23" t="s">
        <v>40</v>
      </c>
      <c r="C13" s="50">
        <v>5</v>
      </c>
      <c r="D13" s="50">
        <v>0</v>
      </c>
      <c r="E13" s="50">
        <v>3</v>
      </c>
      <c r="F13" s="50">
        <v>2</v>
      </c>
      <c r="G13" s="50">
        <v>0</v>
      </c>
      <c r="H13" s="50">
        <v>0</v>
      </c>
      <c r="I13" s="50">
        <v>0</v>
      </c>
      <c r="J13" s="50">
        <v>2</v>
      </c>
      <c r="K13" s="50">
        <v>1</v>
      </c>
      <c r="L13" s="50">
        <v>0</v>
      </c>
      <c r="M13" s="50">
        <v>18</v>
      </c>
      <c r="N13" s="50">
        <v>0</v>
      </c>
      <c r="O13" s="15">
        <f t="shared" si="0"/>
        <v>13</v>
      </c>
      <c r="P13" s="15">
        <f t="shared" si="1"/>
        <v>31</v>
      </c>
      <c r="R13" s="1" t="s">
        <v>9</v>
      </c>
      <c r="S13" s="17">
        <f t="shared" ref="S13:AF13" si="5">SUM(C22:C25)</f>
        <v>31</v>
      </c>
      <c r="T13" s="17">
        <f t="shared" si="5"/>
        <v>13</v>
      </c>
      <c r="U13" s="17">
        <f t="shared" si="5"/>
        <v>10</v>
      </c>
      <c r="V13" s="17">
        <f t="shared" si="5"/>
        <v>20</v>
      </c>
      <c r="W13" s="17">
        <f t="shared" si="5"/>
        <v>0</v>
      </c>
      <c r="X13" s="17">
        <f t="shared" si="5"/>
        <v>6</v>
      </c>
      <c r="Y13" s="17">
        <f t="shared" si="5"/>
        <v>5</v>
      </c>
      <c r="Z13" s="17">
        <f t="shared" si="5"/>
        <v>4</v>
      </c>
      <c r="AA13" s="17">
        <f t="shared" si="5"/>
        <v>2</v>
      </c>
      <c r="AB13" s="17">
        <f t="shared" si="5"/>
        <v>0</v>
      </c>
      <c r="AC13" s="17">
        <f t="shared" si="5"/>
        <v>93</v>
      </c>
      <c r="AD13" s="17">
        <f t="shared" si="5"/>
        <v>0</v>
      </c>
      <c r="AE13" s="31">
        <f t="shared" si="5"/>
        <v>91</v>
      </c>
      <c r="AF13" s="31">
        <f t="shared" si="5"/>
        <v>184</v>
      </c>
    </row>
    <row r="14" spans="2:32" ht="23.1" customHeight="1" x14ac:dyDescent="0.25">
      <c r="B14" s="23" t="s">
        <v>41</v>
      </c>
      <c r="C14" s="50">
        <v>4</v>
      </c>
      <c r="D14" s="50">
        <v>1</v>
      </c>
      <c r="E14" s="50">
        <v>1</v>
      </c>
      <c r="F14" s="50">
        <v>4</v>
      </c>
      <c r="G14" s="50">
        <v>0</v>
      </c>
      <c r="H14" s="50">
        <v>1</v>
      </c>
      <c r="I14" s="50">
        <v>2</v>
      </c>
      <c r="J14" s="50">
        <v>0</v>
      </c>
      <c r="K14" s="50">
        <v>0</v>
      </c>
      <c r="L14" s="50">
        <v>0</v>
      </c>
      <c r="M14" s="50">
        <v>16</v>
      </c>
      <c r="N14" s="50">
        <v>0</v>
      </c>
      <c r="O14" s="15">
        <f t="shared" si="0"/>
        <v>13</v>
      </c>
      <c r="P14" s="15">
        <f t="shared" si="1"/>
        <v>29</v>
      </c>
      <c r="R14" s="1" t="s">
        <v>10</v>
      </c>
      <c r="S14" s="17">
        <f t="shared" ref="S14:AF14" si="6">SUM(C26:C29)</f>
        <v>32</v>
      </c>
      <c r="T14" s="17">
        <f t="shared" si="6"/>
        <v>21</v>
      </c>
      <c r="U14" s="17">
        <f t="shared" si="6"/>
        <v>7</v>
      </c>
      <c r="V14" s="17">
        <f t="shared" si="6"/>
        <v>17</v>
      </c>
      <c r="W14" s="17">
        <f t="shared" si="6"/>
        <v>0</v>
      </c>
      <c r="X14" s="17">
        <f t="shared" si="6"/>
        <v>7</v>
      </c>
      <c r="Y14" s="17">
        <f t="shared" si="6"/>
        <v>9</v>
      </c>
      <c r="Z14" s="17">
        <f t="shared" si="6"/>
        <v>4</v>
      </c>
      <c r="AA14" s="17">
        <f t="shared" si="6"/>
        <v>2</v>
      </c>
      <c r="AB14" s="17">
        <f t="shared" si="6"/>
        <v>0</v>
      </c>
      <c r="AC14" s="17">
        <f t="shared" si="6"/>
        <v>70</v>
      </c>
      <c r="AD14" s="17">
        <f t="shared" si="6"/>
        <v>0</v>
      </c>
      <c r="AE14" s="31">
        <f t="shared" si="6"/>
        <v>99</v>
      </c>
      <c r="AF14" s="31">
        <f t="shared" si="6"/>
        <v>169</v>
      </c>
    </row>
    <row r="15" spans="2:32" ht="23.1" customHeight="1" x14ac:dyDescent="0.25">
      <c r="B15" s="23" t="s">
        <v>42</v>
      </c>
      <c r="C15" s="50">
        <v>6</v>
      </c>
      <c r="D15" s="50">
        <v>3</v>
      </c>
      <c r="E15" s="50">
        <v>2</v>
      </c>
      <c r="F15" s="50">
        <v>3</v>
      </c>
      <c r="G15" s="50">
        <v>0</v>
      </c>
      <c r="H15" s="50">
        <v>0</v>
      </c>
      <c r="I15" s="50">
        <v>1</v>
      </c>
      <c r="J15" s="50">
        <v>2</v>
      </c>
      <c r="K15" s="50">
        <v>1</v>
      </c>
      <c r="L15" s="50">
        <v>0</v>
      </c>
      <c r="M15" s="50">
        <v>29</v>
      </c>
      <c r="N15" s="50">
        <v>0</v>
      </c>
      <c r="O15" s="15">
        <f t="shared" si="0"/>
        <v>18</v>
      </c>
      <c r="P15" s="15">
        <f t="shared" si="1"/>
        <v>47</v>
      </c>
      <c r="R15" s="1" t="s">
        <v>11</v>
      </c>
      <c r="S15" s="17">
        <f t="shared" ref="S15:AF15" si="7">SUM(C30:C33)</f>
        <v>37</v>
      </c>
      <c r="T15" s="17">
        <f t="shared" si="7"/>
        <v>22</v>
      </c>
      <c r="U15" s="17">
        <f t="shared" si="7"/>
        <v>12</v>
      </c>
      <c r="V15" s="17">
        <f t="shared" si="7"/>
        <v>33</v>
      </c>
      <c r="W15" s="17">
        <f t="shared" si="7"/>
        <v>0</v>
      </c>
      <c r="X15" s="17">
        <f t="shared" si="7"/>
        <v>5</v>
      </c>
      <c r="Y15" s="17">
        <f t="shared" si="7"/>
        <v>1</v>
      </c>
      <c r="Z15" s="17">
        <f t="shared" si="7"/>
        <v>1</v>
      </c>
      <c r="AA15" s="17">
        <f t="shared" si="7"/>
        <v>3</v>
      </c>
      <c r="AB15" s="17">
        <f t="shared" si="7"/>
        <v>0</v>
      </c>
      <c r="AC15" s="17">
        <f t="shared" si="7"/>
        <v>60</v>
      </c>
      <c r="AD15" s="17">
        <f t="shared" si="7"/>
        <v>0</v>
      </c>
      <c r="AE15" s="31">
        <f t="shared" si="7"/>
        <v>114</v>
      </c>
      <c r="AF15" s="31">
        <f t="shared" si="7"/>
        <v>174</v>
      </c>
    </row>
    <row r="16" spans="2:32" ht="23.1" customHeight="1" x14ac:dyDescent="0.25">
      <c r="B16" s="23" t="s">
        <v>43</v>
      </c>
      <c r="C16" s="50">
        <v>3</v>
      </c>
      <c r="D16" s="50">
        <v>2</v>
      </c>
      <c r="E16" s="50">
        <v>3</v>
      </c>
      <c r="F16" s="50">
        <v>4</v>
      </c>
      <c r="G16" s="50">
        <v>1</v>
      </c>
      <c r="H16" s="50">
        <v>1</v>
      </c>
      <c r="I16" s="50">
        <v>4</v>
      </c>
      <c r="J16" s="50">
        <v>1</v>
      </c>
      <c r="K16" s="50">
        <v>1</v>
      </c>
      <c r="L16" s="50">
        <v>0</v>
      </c>
      <c r="M16" s="50">
        <v>16</v>
      </c>
      <c r="N16" s="50">
        <v>0</v>
      </c>
      <c r="O16" s="15">
        <f t="shared" si="0"/>
        <v>20</v>
      </c>
      <c r="P16" s="15">
        <f t="shared" si="1"/>
        <v>36</v>
      </c>
      <c r="R16" s="1" t="s">
        <v>12</v>
      </c>
      <c r="S16" s="17">
        <f t="shared" ref="S16:AF16" si="8">SUM(C34:C37)</f>
        <v>43</v>
      </c>
      <c r="T16" s="17">
        <f t="shared" si="8"/>
        <v>6</v>
      </c>
      <c r="U16" s="17">
        <f t="shared" si="8"/>
        <v>8</v>
      </c>
      <c r="V16" s="17">
        <f t="shared" si="8"/>
        <v>22</v>
      </c>
      <c r="W16" s="17">
        <f t="shared" si="8"/>
        <v>0</v>
      </c>
      <c r="X16" s="17">
        <f t="shared" si="8"/>
        <v>9</v>
      </c>
      <c r="Y16" s="17">
        <f t="shared" si="8"/>
        <v>8</v>
      </c>
      <c r="Z16" s="17">
        <f t="shared" si="8"/>
        <v>3</v>
      </c>
      <c r="AA16" s="17">
        <f t="shared" si="8"/>
        <v>0</v>
      </c>
      <c r="AB16" s="17">
        <f t="shared" si="8"/>
        <v>0</v>
      </c>
      <c r="AC16" s="17">
        <f t="shared" si="8"/>
        <v>117</v>
      </c>
      <c r="AD16" s="17">
        <f t="shared" si="8"/>
        <v>0</v>
      </c>
      <c r="AE16" s="31">
        <f t="shared" si="8"/>
        <v>99</v>
      </c>
      <c r="AF16" s="31">
        <f t="shared" si="8"/>
        <v>216</v>
      </c>
    </row>
    <row r="17" spans="2:32" ht="23.1" customHeight="1" x14ac:dyDescent="0.25">
      <c r="B17" s="23" t="s">
        <v>44</v>
      </c>
      <c r="C17" s="50">
        <v>8</v>
      </c>
      <c r="D17" s="50">
        <v>0</v>
      </c>
      <c r="E17" s="50">
        <v>2</v>
      </c>
      <c r="F17" s="50">
        <v>4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26</v>
      </c>
      <c r="N17" s="50">
        <v>0</v>
      </c>
      <c r="O17" s="15">
        <f t="shared" si="0"/>
        <v>15</v>
      </c>
      <c r="P17" s="15">
        <f t="shared" si="1"/>
        <v>41</v>
      </c>
      <c r="R17" s="1" t="s">
        <v>13</v>
      </c>
      <c r="S17" s="17">
        <f t="shared" ref="S17:AF17" si="9">SUM(C38:C41)</f>
        <v>36</v>
      </c>
      <c r="T17" s="17">
        <f t="shared" si="9"/>
        <v>15</v>
      </c>
      <c r="U17" s="17">
        <f t="shared" si="9"/>
        <v>9</v>
      </c>
      <c r="V17" s="17">
        <f t="shared" si="9"/>
        <v>23</v>
      </c>
      <c r="W17" s="17">
        <f t="shared" si="9"/>
        <v>0</v>
      </c>
      <c r="X17" s="17">
        <f t="shared" si="9"/>
        <v>7</v>
      </c>
      <c r="Y17" s="17">
        <f t="shared" si="9"/>
        <v>9</v>
      </c>
      <c r="Z17" s="17">
        <f t="shared" si="9"/>
        <v>5</v>
      </c>
      <c r="AA17" s="17">
        <f t="shared" si="9"/>
        <v>3</v>
      </c>
      <c r="AB17" s="17">
        <f t="shared" si="9"/>
        <v>0</v>
      </c>
      <c r="AC17" s="17">
        <f t="shared" si="9"/>
        <v>99</v>
      </c>
      <c r="AD17" s="17">
        <f t="shared" si="9"/>
        <v>0</v>
      </c>
      <c r="AE17" s="31">
        <f t="shared" si="9"/>
        <v>107</v>
      </c>
      <c r="AF17" s="31">
        <f t="shared" si="9"/>
        <v>206</v>
      </c>
    </row>
    <row r="18" spans="2:32" ht="23.1" customHeight="1" x14ac:dyDescent="0.25">
      <c r="B18" s="23" t="s">
        <v>45</v>
      </c>
      <c r="C18" s="50">
        <v>10</v>
      </c>
      <c r="D18" s="50">
        <v>3</v>
      </c>
      <c r="E18" s="50">
        <v>4</v>
      </c>
      <c r="F18" s="50">
        <v>9</v>
      </c>
      <c r="G18" s="50">
        <v>0</v>
      </c>
      <c r="H18" s="50">
        <v>1</v>
      </c>
      <c r="I18" s="50">
        <v>0</v>
      </c>
      <c r="J18" s="50">
        <v>0</v>
      </c>
      <c r="K18" s="50">
        <v>0</v>
      </c>
      <c r="L18" s="50">
        <v>0</v>
      </c>
      <c r="M18" s="50">
        <v>37</v>
      </c>
      <c r="N18" s="50">
        <v>0</v>
      </c>
      <c r="O18" s="15">
        <f t="shared" si="0"/>
        <v>27</v>
      </c>
      <c r="P18" s="15">
        <f t="shared" si="1"/>
        <v>64</v>
      </c>
      <c r="R18" s="1" t="s">
        <v>14</v>
      </c>
      <c r="S18" s="17">
        <f t="shared" ref="S18:AF18" si="10">SUM(C42:C45)</f>
        <v>46</v>
      </c>
      <c r="T18" s="17">
        <f t="shared" si="10"/>
        <v>26</v>
      </c>
      <c r="U18" s="17">
        <f t="shared" si="10"/>
        <v>11</v>
      </c>
      <c r="V18" s="17">
        <f t="shared" si="10"/>
        <v>14</v>
      </c>
      <c r="W18" s="17">
        <f t="shared" si="10"/>
        <v>0</v>
      </c>
      <c r="X18" s="17">
        <f t="shared" si="10"/>
        <v>5</v>
      </c>
      <c r="Y18" s="17">
        <f t="shared" si="10"/>
        <v>5</v>
      </c>
      <c r="Z18" s="17">
        <f t="shared" si="10"/>
        <v>8</v>
      </c>
      <c r="AA18" s="17">
        <f t="shared" si="10"/>
        <v>9</v>
      </c>
      <c r="AB18" s="17">
        <f t="shared" si="10"/>
        <v>0</v>
      </c>
      <c r="AC18" s="17">
        <f t="shared" si="10"/>
        <v>109</v>
      </c>
      <c r="AD18" s="17">
        <f t="shared" si="10"/>
        <v>0</v>
      </c>
      <c r="AE18" s="31">
        <f t="shared" si="10"/>
        <v>124</v>
      </c>
      <c r="AF18" s="31">
        <f t="shared" si="10"/>
        <v>233</v>
      </c>
    </row>
    <row r="19" spans="2:32" ht="23.1" customHeight="1" x14ac:dyDescent="0.25">
      <c r="B19" s="23" t="s">
        <v>46</v>
      </c>
      <c r="C19" s="50">
        <v>6</v>
      </c>
      <c r="D19" s="50">
        <v>2</v>
      </c>
      <c r="E19" s="50">
        <v>3</v>
      </c>
      <c r="F19" s="50">
        <v>5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1</v>
      </c>
      <c r="M19" s="50">
        <v>29</v>
      </c>
      <c r="N19" s="50">
        <v>0</v>
      </c>
      <c r="O19" s="15">
        <f t="shared" si="0"/>
        <v>18</v>
      </c>
      <c r="P19" s="15">
        <f t="shared" si="1"/>
        <v>47</v>
      </c>
      <c r="R19" s="1" t="s">
        <v>15</v>
      </c>
      <c r="S19" s="17">
        <f t="shared" ref="S19:AF19" si="11">SUM(C46:C49)</f>
        <v>49</v>
      </c>
      <c r="T19" s="17">
        <f t="shared" si="11"/>
        <v>16</v>
      </c>
      <c r="U19" s="17">
        <f t="shared" si="11"/>
        <v>13</v>
      </c>
      <c r="V19" s="17">
        <f t="shared" si="11"/>
        <v>16</v>
      </c>
      <c r="W19" s="17">
        <f t="shared" si="11"/>
        <v>0</v>
      </c>
      <c r="X19" s="17">
        <f t="shared" si="11"/>
        <v>4</v>
      </c>
      <c r="Y19" s="17">
        <f t="shared" si="11"/>
        <v>5</v>
      </c>
      <c r="Z19" s="17">
        <f t="shared" si="11"/>
        <v>8</v>
      </c>
      <c r="AA19" s="17">
        <f t="shared" si="11"/>
        <v>7</v>
      </c>
      <c r="AB19" s="17">
        <f t="shared" si="11"/>
        <v>1</v>
      </c>
      <c r="AC19" s="17">
        <f t="shared" si="11"/>
        <v>118</v>
      </c>
      <c r="AD19" s="17">
        <f t="shared" si="11"/>
        <v>0</v>
      </c>
      <c r="AE19" s="31">
        <f t="shared" si="11"/>
        <v>119</v>
      </c>
      <c r="AF19" s="31">
        <f t="shared" si="11"/>
        <v>237</v>
      </c>
    </row>
    <row r="20" spans="2:32" ht="23.1" customHeight="1" x14ac:dyDescent="0.25">
      <c r="B20" s="23" t="s">
        <v>47</v>
      </c>
      <c r="C20" s="50">
        <v>7</v>
      </c>
      <c r="D20" s="50">
        <v>3</v>
      </c>
      <c r="E20" s="50">
        <v>1</v>
      </c>
      <c r="F20" s="50">
        <v>5</v>
      </c>
      <c r="G20" s="50">
        <v>0</v>
      </c>
      <c r="H20" s="50">
        <v>1</v>
      </c>
      <c r="I20" s="50">
        <v>0</v>
      </c>
      <c r="J20" s="50">
        <v>0</v>
      </c>
      <c r="K20" s="50">
        <v>1</v>
      </c>
      <c r="L20" s="50">
        <v>1</v>
      </c>
      <c r="M20" s="50">
        <v>11</v>
      </c>
      <c r="N20" s="50">
        <v>0</v>
      </c>
      <c r="O20" s="15">
        <f t="shared" si="0"/>
        <v>19</v>
      </c>
      <c r="P20" s="15">
        <f t="shared" si="1"/>
        <v>30</v>
      </c>
      <c r="R20" s="1" t="s">
        <v>16</v>
      </c>
      <c r="S20" s="17">
        <f t="shared" ref="S20:AF20" si="12">SUM(C50:C53)</f>
        <v>61</v>
      </c>
      <c r="T20" s="17">
        <f t="shared" si="12"/>
        <v>13</v>
      </c>
      <c r="U20" s="17">
        <f t="shared" si="12"/>
        <v>15</v>
      </c>
      <c r="V20" s="17">
        <f t="shared" si="12"/>
        <v>23</v>
      </c>
      <c r="W20" s="17">
        <f t="shared" si="12"/>
        <v>1</v>
      </c>
      <c r="X20" s="17">
        <f t="shared" si="12"/>
        <v>8</v>
      </c>
      <c r="Y20" s="17">
        <f t="shared" si="12"/>
        <v>12</v>
      </c>
      <c r="Z20" s="17">
        <f t="shared" si="12"/>
        <v>16</v>
      </c>
      <c r="AA20" s="17">
        <f t="shared" si="12"/>
        <v>9</v>
      </c>
      <c r="AB20" s="17">
        <f t="shared" si="12"/>
        <v>0</v>
      </c>
      <c r="AC20" s="17">
        <f t="shared" si="12"/>
        <v>95</v>
      </c>
      <c r="AD20" s="17">
        <f t="shared" si="12"/>
        <v>0</v>
      </c>
      <c r="AE20" s="31">
        <f t="shared" si="12"/>
        <v>158</v>
      </c>
      <c r="AF20" s="31">
        <f t="shared" si="12"/>
        <v>253</v>
      </c>
    </row>
    <row r="21" spans="2:32" ht="23.1" customHeight="1" x14ac:dyDescent="0.25">
      <c r="B21" s="23" t="s">
        <v>48</v>
      </c>
      <c r="C21" s="50">
        <v>7</v>
      </c>
      <c r="D21" s="50">
        <v>2</v>
      </c>
      <c r="E21" s="50">
        <v>1</v>
      </c>
      <c r="F21" s="50">
        <v>6</v>
      </c>
      <c r="G21" s="50">
        <v>1</v>
      </c>
      <c r="H21" s="50">
        <v>2</v>
      </c>
      <c r="I21" s="50">
        <v>3</v>
      </c>
      <c r="J21" s="50">
        <v>1</v>
      </c>
      <c r="K21" s="50">
        <v>3</v>
      </c>
      <c r="L21" s="50">
        <v>0</v>
      </c>
      <c r="M21" s="50">
        <v>24</v>
      </c>
      <c r="N21" s="50">
        <v>0</v>
      </c>
      <c r="O21" s="15">
        <f t="shared" si="0"/>
        <v>26</v>
      </c>
      <c r="P21" s="15">
        <f t="shared" si="1"/>
        <v>50</v>
      </c>
      <c r="R21" s="36" t="s">
        <v>20</v>
      </c>
      <c r="S21" s="34">
        <f t="shared" ref="S21:AF21" si="13">SUM(C54:C57)</f>
        <v>52</v>
      </c>
      <c r="T21" s="17">
        <f t="shared" si="13"/>
        <v>21</v>
      </c>
      <c r="U21" s="17">
        <f t="shared" si="13"/>
        <v>15</v>
      </c>
      <c r="V21" s="17">
        <f t="shared" si="13"/>
        <v>26</v>
      </c>
      <c r="W21" s="17">
        <f t="shared" si="13"/>
        <v>3</v>
      </c>
      <c r="X21" s="17">
        <f t="shared" si="13"/>
        <v>4</v>
      </c>
      <c r="Y21" s="17">
        <f t="shared" si="13"/>
        <v>11</v>
      </c>
      <c r="Z21" s="17">
        <f t="shared" si="13"/>
        <v>20</v>
      </c>
      <c r="AA21" s="17">
        <f t="shared" si="13"/>
        <v>19</v>
      </c>
      <c r="AB21" s="17">
        <f t="shared" si="13"/>
        <v>2</v>
      </c>
      <c r="AC21" s="17">
        <f t="shared" si="13"/>
        <v>117</v>
      </c>
      <c r="AD21" s="17">
        <f t="shared" si="13"/>
        <v>0</v>
      </c>
      <c r="AE21" s="31">
        <f t="shared" si="13"/>
        <v>173</v>
      </c>
      <c r="AF21" s="31">
        <f t="shared" si="13"/>
        <v>290</v>
      </c>
    </row>
    <row r="22" spans="2:32" ht="23.1" customHeight="1" x14ac:dyDescent="0.25">
      <c r="B22" s="23" t="s">
        <v>49</v>
      </c>
      <c r="C22" s="50">
        <v>11</v>
      </c>
      <c r="D22" s="50">
        <v>2</v>
      </c>
      <c r="E22" s="50">
        <v>1</v>
      </c>
      <c r="F22" s="50">
        <v>8</v>
      </c>
      <c r="G22" s="50">
        <v>0</v>
      </c>
      <c r="H22" s="50">
        <v>2</v>
      </c>
      <c r="I22" s="50">
        <v>2</v>
      </c>
      <c r="J22" s="50">
        <v>0</v>
      </c>
      <c r="K22" s="50">
        <v>0</v>
      </c>
      <c r="L22" s="50">
        <v>0</v>
      </c>
      <c r="M22" s="50">
        <v>29</v>
      </c>
      <c r="N22" s="50">
        <v>0</v>
      </c>
      <c r="O22" s="15">
        <f t="shared" si="0"/>
        <v>26</v>
      </c>
      <c r="P22" s="15">
        <f t="shared" si="1"/>
        <v>55</v>
      </c>
      <c r="R22" s="38" t="s">
        <v>90</v>
      </c>
      <c r="S22" s="39">
        <f>MAX(S10:S12)</f>
        <v>30</v>
      </c>
      <c r="T22" s="39">
        <f t="shared" ref="T22:AF22" si="14">MAX(T10:T12)</f>
        <v>10</v>
      </c>
      <c r="U22" s="39">
        <f t="shared" si="14"/>
        <v>9</v>
      </c>
      <c r="V22" s="39">
        <f t="shared" si="14"/>
        <v>25</v>
      </c>
      <c r="W22" s="39">
        <f t="shared" si="14"/>
        <v>1</v>
      </c>
      <c r="X22" s="39">
        <f t="shared" si="14"/>
        <v>4</v>
      </c>
      <c r="Y22" s="39">
        <f t="shared" si="14"/>
        <v>7</v>
      </c>
      <c r="Z22" s="39">
        <f t="shared" si="14"/>
        <v>4</v>
      </c>
      <c r="AA22" s="39">
        <f t="shared" si="14"/>
        <v>8</v>
      </c>
      <c r="AB22" s="39">
        <f t="shared" si="14"/>
        <v>2</v>
      </c>
      <c r="AC22" s="39">
        <f t="shared" si="14"/>
        <v>101</v>
      </c>
      <c r="AD22" s="39">
        <f t="shared" si="14"/>
        <v>0</v>
      </c>
      <c r="AE22" s="40">
        <f t="shared" si="14"/>
        <v>90</v>
      </c>
      <c r="AF22" s="40">
        <f t="shared" si="14"/>
        <v>191</v>
      </c>
    </row>
    <row r="23" spans="2:32" ht="23.1" customHeight="1" x14ac:dyDescent="0.25">
      <c r="B23" s="23" t="s">
        <v>50</v>
      </c>
      <c r="C23" s="50">
        <v>6</v>
      </c>
      <c r="D23" s="50">
        <v>3</v>
      </c>
      <c r="E23" s="50">
        <v>3</v>
      </c>
      <c r="F23" s="50">
        <v>5</v>
      </c>
      <c r="G23" s="50">
        <v>0</v>
      </c>
      <c r="H23" s="50">
        <v>0</v>
      </c>
      <c r="I23" s="50">
        <v>0</v>
      </c>
      <c r="J23" s="50">
        <v>3</v>
      </c>
      <c r="K23" s="50">
        <v>1</v>
      </c>
      <c r="L23" s="50">
        <v>0</v>
      </c>
      <c r="M23" s="50">
        <v>18</v>
      </c>
      <c r="N23" s="50">
        <v>0</v>
      </c>
      <c r="O23" s="15">
        <f t="shared" si="0"/>
        <v>21</v>
      </c>
      <c r="P23" s="15">
        <f t="shared" si="1"/>
        <v>39</v>
      </c>
      <c r="R23" s="38" t="s">
        <v>91</v>
      </c>
      <c r="S23" s="39">
        <f>MAX(S13:S18)</f>
        <v>46</v>
      </c>
      <c r="T23" s="39">
        <f t="shared" ref="T23:AF23" si="15">MAX(T13:T18)</f>
        <v>26</v>
      </c>
      <c r="U23" s="39">
        <f t="shared" si="15"/>
        <v>12</v>
      </c>
      <c r="V23" s="39">
        <f t="shared" si="15"/>
        <v>33</v>
      </c>
      <c r="W23" s="39">
        <f t="shared" si="15"/>
        <v>0</v>
      </c>
      <c r="X23" s="39">
        <f t="shared" si="15"/>
        <v>9</v>
      </c>
      <c r="Y23" s="39">
        <f t="shared" si="15"/>
        <v>9</v>
      </c>
      <c r="Z23" s="39">
        <f t="shared" si="15"/>
        <v>8</v>
      </c>
      <c r="AA23" s="39">
        <f t="shared" si="15"/>
        <v>9</v>
      </c>
      <c r="AB23" s="39">
        <f t="shared" si="15"/>
        <v>0</v>
      </c>
      <c r="AC23" s="39">
        <f t="shared" si="15"/>
        <v>117</v>
      </c>
      <c r="AD23" s="39">
        <f t="shared" si="15"/>
        <v>0</v>
      </c>
      <c r="AE23" s="40">
        <f t="shared" si="15"/>
        <v>124</v>
      </c>
      <c r="AF23" s="40">
        <f t="shared" si="15"/>
        <v>233</v>
      </c>
    </row>
    <row r="24" spans="2:32" ht="23.1" customHeight="1" x14ac:dyDescent="0.25">
      <c r="B24" s="23" t="s">
        <v>51</v>
      </c>
      <c r="C24" s="50">
        <v>6</v>
      </c>
      <c r="D24" s="50">
        <v>3</v>
      </c>
      <c r="E24" s="50">
        <v>5</v>
      </c>
      <c r="F24" s="50">
        <v>5</v>
      </c>
      <c r="G24" s="50">
        <v>0</v>
      </c>
      <c r="H24" s="50">
        <v>2</v>
      </c>
      <c r="I24" s="50">
        <v>2</v>
      </c>
      <c r="J24" s="50">
        <v>1</v>
      </c>
      <c r="K24" s="50">
        <v>1</v>
      </c>
      <c r="L24" s="50">
        <v>0</v>
      </c>
      <c r="M24" s="50">
        <v>24</v>
      </c>
      <c r="N24" s="50">
        <v>0</v>
      </c>
      <c r="O24" s="15">
        <f t="shared" si="0"/>
        <v>25</v>
      </c>
      <c r="P24" s="15">
        <f t="shared" si="1"/>
        <v>49</v>
      </c>
      <c r="R24" s="38" t="s">
        <v>92</v>
      </c>
      <c r="S24" s="39">
        <f>MAX(S19:S21)</f>
        <v>61</v>
      </c>
      <c r="T24" s="39">
        <f t="shared" ref="T24:AF24" si="16">MAX(T19:T21)</f>
        <v>21</v>
      </c>
      <c r="U24" s="39">
        <f t="shared" si="16"/>
        <v>15</v>
      </c>
      <c r="V24" s="39">
        <f t="shared" si="16"/>
        <v>26</v>
      </c>
      <c r="W24" s="39">
        <f t="shared" si="16"/>
        <v>3</v>
      </c>
      <c r="X24" s="39">
        <f t="shared" si="16"/>
        <v>8</v>
      </c>
      <c r="Y24" s="39">
        <f t="shared" si="16"/>
        <v>12</v>
      </c>
      <c r="Z24" s="39">
        <f t="shared" si="16"/>
        <v>20</v>
      </c>
      <c r="AA24" s="39">
        <f t="shared" si="16"/>
        <v>19</v>
      </c>
      <c r="AB24" s="39">
        <f t="shared" si="16"/>
        <v>2</v>
      </c>
      <c r="AC24" s="39">
        <f t="shared" si="16"/>
        <v>118</v>
      </c>
      <c r="AD24" s="39">
        <f t="shared" si="16"/>
        <v>0</v>
      </c>
      <c r="AE24" s="40">
        <f t="shared" si="16"/>
        <v>173</v>
      </c>
      <c r="AF24" s="40">
        <f t="shared" si="16"/>
        <v>290</v>
      </c>
    </row>
    <row r="25" spans="2:32" ht="23.1" customHeight="1" x14ac:dyDescent="0.25">
      <c r="B25" s="23" t="s">
        <v>52</v>
      </c>
      <c r="C25" s="50">
        <v>8</v>
      </c>
      <c r="D25" s="50">
        <v>5</v>
      </c>
      <c r="E25" s="50">
        <v>1</v>
      </c>
      <c r="F25" s="50">
        <v>2</v>
      </c>
      <c r="G25" s="50">
        <v>0</v>
      </c>
      <c r="H25" s="50">
        <v>2</v>
      </c>
      <c r="I25" s="50">
        <v>1</v>
      </c>
      <c r="J25" s="50">
        <v>0</v>
      </c>
      <c r="K25" s="50">
        <v>0</v>
      </c>
      <c r="L25" s="50">
        <v>0</v>
      </c>
      <c r="M25" s="50">
        <v>22</v>
      </c>
      <c r="N25" s="50">
        <v>0</v>
      </c>
      <c r="O25" s="15">
        <f t="shared" si="0"/>
        <v>19</v>
      </c>
      <c r="P25" s="15">
        <f t="shared" si="1"/>
        <v>41</v>
      </c>
      <c r="R25" s="37" t="s">
        <v>85</v>
      </c>
      <c r="S25" s="35">
        <f t="shared" ref="S25:AF25" si="17">SUM(S10:S12)</f>
        <v>72</v>
      </c>
      <c r="T25" s="16">
        <f t="shared" si="17"/>
        <v>23</v>
      </c>
      <c r="U25" s="16">
        <f t="shared" si="17"/>
        <v>22</v>
      </c>
      <c r="V25" s="16">
        <f t="shared" si="17"/>
        <v>53</v>
      </c>
      <c r="W25" s="16">
        <f t="shared" si="17"/>
        <v>2</v>
      </c>
      <c r="X25" s="16">
        <f t="shared" si="17"/>
        <v>8</v>
      </c>
      <c r="Y25" s="16">
        <f t="shared" si="17"/>
        <v>14</v>
      </c>
      <c r="Z25" s="16">
        <f t="shared" si="17"/>
        <v>7</v>
      </c>
      <c r="AA25" s="16">
        <f t="shared" si="17"/>
        <v>14</v>
      </c>
      <c r="AB25" s="16">
        <f t="shared" si="17"/>
        <v>3</v>
      </c>
      <c r="AC25" s="16">
        <f t="shared" si="17"/>
        <v>285</v>
      </c>
      <c r="AD25" s="16">
        <f t="shared" si="17"/>
        <v>0</v>
      </c>
      <c r="AE25" s="32">
        <f t="shared" si="17"/>
        <v>218</v>
      </c>
      <c r="AF25" s="32">
        <f t="shared" si="17"/>
        <v>503</v>
      </c>
    </row>
    <row r="26" spans="2:32" ht="23.1" customHeight="1" x14ac:dyDescent="0.25">
      <c r="B26" s="23" t="s">
        <v>53</v>
      </c>
      <c r="C26" s="50">
        <v>14</v>
      </c>
      <c r="D26" s="50">
        <v>4</v>
      </c>
      <c r="E26" s="50">
        <v>1</v>
      </c>
      <c r="F26" s="50">
        <v>6</v>
      </c>
      <c r="G26" s="50">
        <v>0</v>
      </c>
      <c r="H26" s="50">
        <v>1</v>
      </c>
      <c r="I26" s="50">
        <v>4</v>
      </c>
      <c r="J26" s="50">
        <v>2</v>
      </c>
      <c r="K26" s="50">
        <v>0</v>
      </c>
      <c r="L26" s="50">
        <v>0</v>
      </c>
      <c r="M26" s="50">
        <v>24</v>
      </c>
      <c r="N26" s="50">
        <v>0</v>
      </c>
      <c r="O26" s="15">
        <f t="shared" si="0"/>
        <v>32</v>
      </c>
      <c r="P26" s="15">
        <f t="shared" si="1"/>
        <v>56</v>
      </c>
      <c r="R26" s="28" t="s">
        <v>86</v>
      </c>
      <c r="S26" s="16">
        <f t="shared" ref="S26:AF26" si="18">SUM(S13:S18)</f>
        <v>225</v>
      </c>
      <c r="T26" s="16">
        <f t="shared" si="18"/>
        <v>103</v>
      </c>
      <c r="U26" s="16">
        <f t="shared" si="18"/>
        <v>57</v>
      </c>
      <c r="V26" s="16">
        <f t="shared" si="18"/>
        <v>129</v>
      </c>
      <c r="W26" s="16">
        <f t="shared" si="18"/>
        <v>0</v>
      </c>
      <c r="X26" s="16">
        <f t="shared" si="18"/>
        <v>39</v>
      </c>
      <c r="Y26" s="16">
        <f t="shared" si="18"/>
        <v>37</v>
      </c>
      <c r="Z26" s="16">
        <f t="shared" si="18"/>
        <v>25</v>
      </c>
      <c r="AA26" s="16">
        <f t="shared" si="18"/>
        <v>19</v>
      </c>
      <c r="AB26" s="16">
        <f t="shared" si="18"/>
        <v>0</v>
      </c>
      <c r="AC26" s="16">
        <f t="shared" si="18"/>
        <v>548</v>
      </c>
      <c r="AD26" s="16">
        <f t="shared" si="18"/>
        <v>0</v>
      </c>
      <c r="AE26" s="32">
        <f t="shared" si="18"/>
        <v>634</v>
      </c>
      <c r="AF26" s="32">
        <f t="shared" si="18"/>
        <v>1182</v>
      </c>
    </row>
    <row r="27" spans="2:32" ht="23.1" customHeight="1" x14ac:dyDescent="0.25">
      <c r="B27" s="23" t="s">
        <v>54</v>
      </c>
      <c r="C27" s="50">
        <v>5</v>
      </c>
      <c r="D27" s="50">
        <v>7</v>
      </c>
      <c r="E27" s="50">
        <v>1</v>
      </c>
      <c r="F27" s="50">
        <v>4</v>
      </c>
      <c r="G27" s="50">
        <v>0</v>
      </c>
      <c r="H27" s="50">
        <v>0</v>
      </c>
      <c r="I27" s="50">
        <v>1</v>
      </c>
      <c r="J27" s="50">
        <v>1</v>
      </c>
      <c r="K27" s="50">
        <v>0</v>
      </c>
      <c r="L27" s="50">
        <v>0</v>
      </c>
      <c r="M27" s="50">
        <v>19</v>
      </c>
      <c r="N27" s="50">
        <v>0</v>
      </c>
      <c r="O27" s="15">
        <f t="shared" si="0"/>
        <v>19</v>
      </c>
      <c r="P27" s="15">
        <f t="shared" si="1"/>
        <v>38</v>
      </c>
      <c r="R27" s="29" t="s">
        <v>87</v>
      </c>
      <c r="S27" s="16">
        <f t="shared" ref="S27:AF27" si="19">SUM(S19:S21)</f>
        <v>162</v>
      </c>
      <c r="T27" s="16">
        <f t="shared" si="19"/>
        <v>50</v>
      </c>
      <c r="U27" s="16">
        <f t="shared" si="19"/>
        <v>43</v>
      </c>
      <c r="V27" s="16">
        <f t="shared" si="19"/>
        <v>65</v>
      </c>
      <c r="W27" s="16">
        <f t="shared" si="19"/>
        <v>4</v>
      </c>
      <c r="X27" s="16">
        <f t="shared" si="19"/>
        <v>16</v>
      </c>
      <c r="Y27" s="16">
        <f t="shared" si="19"/>
        <v>28</v>
      </c>
      <c r="Z27" s="16">
        <f t="shared" si="19"/>
        <v>44</v>
      </c>
      <c r="AA27" s="16">
        <f t="shared" si="19"/>
        <v>35</v>
      </c>
      <c r="AB27" s="16">
        <f t="shared" si="19"/>
        <v>3</v>
      </c>
      <c r="AC27" s="16">
        <f t="shared" si="19"/>
        <v>330</v>
      </c>
      <c r="AD27" s="16">
        <f t="shared" si="19"/>
        <v>0</v>
      </c>
      <c r="AE27" s="32">
        <f t="shared" si="19"/>
        <v>450</v>
      </c>
      <c r="AF27" s="32">
        <f t="shared" si="19"/>
        <v>780</v>
      </c>
    </row>
    <row r="28" spans="2:32" ht="23.1" customHeight="1" x14ac:dyDescent="0.25">
      <c r="B28" s="23" t="s">
        <v>55</v>
      </c>
      <c r="C28" s="50">
        <v>8</v>
      </c>
      <c r="D28" s="50">
        <v>5</v>
      </c>
      <c r="E28" s="50">
        <v>2</v>
      </c>
      <c r="F28" s="50">
        <v>3</v>
      </c>
      <c r="G28" s="50">
        <v>0</v>
      </c>
      <c r="H28" s="50">
        <v>2</v>
      </c>
      <c r="I28" s="50">
        <v>2</v>
      </c>
      <c r="J28" s="50">
        <v>1</v>
      </c>
      <c r="K28" s="50">
        <v>1</v>
      </c>
      <c r="L28" s="50">
        <v>0</v>
      </c>
      <c r="M28" s="50">
        <v>12</v>
      </c>
      <c r="N28" s="50">
        <v>0</v>
      </c>
      <c r="O28" s="15">
        <f t="shared" si="0"/>
        <v>24</v>
      </c>
      <c r="P28" s="15">
        <f t="shared" si="1"/>
        <v>36</v>
      </c>
      <c r="R28" s="5" t="s">
        <v>17</v>
      </c>
      <c r="S28" s="16">
        <f t="shared" ref="S28:AF28" si="20">SUM(S10:S21)</f>
        <v>459</v>
      </c>
      <c r="T28" s="16">
        <f t="shared" si="20"/>
        <v>176</v>
      </c>
      <c r="U28" s="16">
        <f t="shared" si="20"/>
        <v>122</v>
      </c>
      <c r="V28" s="16">
        <f t="shared" si="20"/>
        <v>247</v>
      </c>
      <c r="W28" s="16">
        <f t="shared" si="20"/>
        <v>6</v>
      </c>
      <c r="X28" s="16">
        <f t="shared" si="20"/>
        <v>63</v>
      </c>
      <c r="Y28" s="16">
        <f t="shared" si="20"/>
        <v>79</v>
      </c>
      <c r="Z28" s="16">
        <f t="shared" si="20"/>
        <v>76</v>
      </c>
      <c r="AA28" s="16">
        <f t="shared" si="20"/>
        <v>68</v>
      </c>
      <c r="AB28" s="16">
        <f t="shared" si="20"/>
        <v>6</v>
      </c>
      <c r="AC28" s="16">
        <f t="shared" si="20"/>
        <v>1163</v>
      </c>
      <c r="AD28" s="16">
        <f t="shared" si="20"/>
        <v>0</v>
      </c>
      <c r="AE28" s="32">
        <f t="shared" si="20"/>
        <v>1302</v>
      </c>
      <c r="AF28" s="32">
        <f t="shared" si="20"/>
        <v>2465</v>
      </c>
    </row>
    <row r="29" spans="2:32" ht="23.1" customHeight="1" x14ac:dyDescent="0.25">
      <c r="B29" s="23" t="s">
        <v>56</v>
      </c>
      <c r="C29" s="50">
        <v>5</v>
      </c>
      <c r="D29" s="50">
        <v>5</v>
      </c>
      <c r="E29" s="50">
        <v>3</v>
      </c>
      <c r="F29" s="50">
        <v>4</v>
      </c>
      <c r="G29" s="50">
        <v>0</v>
      </c>
      <c r="H29" s="50">
        <v>4</v>
      </c>
      <c r="I29" s="50">
        <v>2</v>
      </c>
      <c r="J29" s="50">
        <v>0</v>
      </c>
      <c r="K29" s="50">
        <v>1</v>
      </c>
      <c r="L29" s="50">
        <v>0</v>
      </c>
      <c r="M29" s="50">
        <v>15</v>
      </c>
      <c r="N29" s="50">
        <v>0</v>
      </c>
      <c r="O29" s="15">
        <f t="shared" si="0"/>
        <v>24</v>
      </c>
      <c r="P29" s="15">
        <f t="shared" si="1"/>
        <v>39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6</v>
      </c>
      <c r="E30" s="50">
        <v>4</v>
      </c>
      <c r="F30" s="50">
        <v>9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23</v>
      </c>
      <c r="N30" s="50">
        <v>0</v>
      </c>
      <c r="O30" s="15">
        <f t="shared" si="0"/>
        <v>23</v>
      </c>
      <c r="P30" s="15">
        <f t="shared" si="1"/>
        <v>46</v>
      </c>
    </row>
    <row r="31" spans="2:32" ht="23.1" customHeight="1" x14ac:dyDescent="0.25">
      <c r="B31" s="24" t="s">
        <v>58</v>
      </c>
      <c r="C31" s="50">
        <v>14</v>
      </c>
      <c r="D31" s="50">
        <v>5</v>
      </c>
      <c r="E31" s="50">
        <v>4</v>
      </c>
      <c r="F31" s="50">
        <v>9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15">
        <f t="shared" si="0"/>
        <v>32</v>
      </c>
      <c r="P31" s="15">
        <f t="shared" si="1"/>
        <v>32</v>
      </c>
    </row>
    <row r="32" spans="2:32" ht="23.1" customHeight="1" x14ac:dyDescent="0.25">
      <c r="B32" s="24" t="s">
        <v>59</v>
      </c>
      <c r="C32" s="50">
        <v>14</v>
      </c>
      <c r="D32" s="50">
        <v>4</v>
      </c>
      <c r="E32" s="50">
        <v>2</v>
      </c>
      <c r="F32" s="50">
        <v>5</v>
      </c>
      <c r="G32" s="50">
        <v>0</v>
      </c>
      <c r="H32" s="50">
        <v>2</v>
      </c>
      <c r="I32" s="50">
        <v>0</v>
      </c>
      <c r="J32" s="50">
        <v>1</v>
      </c>
      <c r="K32" s="50">
        <v>1</v>
      </c>
      <c r="L32" s="50">
        <v>0</v>
      </c>
      <c r="M32" s="50">
        <v>21</v>
      </c>
      <c r="N32" s="50">
        <v>0</v>
      </c>
      <c r="O32" s="15">
        <f t="shared" si="0"/>
        <v>29</v>
      </c>
      <c r="P32" s="15">
        <f t="shared" si="1"/>
        <v>50</v>
      </c>
    </row>
    <row r="33" spans="2:20" ht="23.1" customHeight="1" x14ac:dyDescent="0.25">
      <c r="B33" s="23" t="s">
        <v>60</v>
      </c>
      <c r="C33" s="50">
        <v>5</v>
      </c>
      <c r="D33" s="50">
        <v>7</v>
      </c>
      <c r="E33" s="50">
        <v>2</v>
      </c>
      <c r="F33" s="50">
        <v>10</v>
      </c>
      <c r="G33" s="50">
        <v>0</v>
      </c>
      <c r="H33" s="50">
        <v>3</v>
      </c>
      <c r="I33" s="50">
        <v>1</v>
      </c>
      <c r="J33" s="50">
        <v>0</v>
      </c>
      <c r="K33" s="50">
        <v>2</v>
      </c>
      <c r="L33" s="50">
        <v>0</v>
      </c>
      <c r="M33" s="50">
        <v>16</v>
      </c>
      <c r="N33" s="50">
        <v>0</v>
      </c>
      <c r="O33" s="15">
        <f t="shared" si="0"/>
        <v>30</v>
      </c>
      <c r="P33" s="15">
        <f t="shared" si="1"/>
        <v>46</v>
      </c>
    </row>
    <row r="34" spans="2:20" ht="23.1" customHeight="1" x14ac:dyDescent="0.25">
      <c r="B34" s="24" t="s">
        <v>61</v>
      </c>
      <c r="C34" s="50">
        <v>12</v>
      </c>
      <c r="D34" s="50">
        <v>1</v>
      </c>
      <c r="E34" s="50">
        <v>2</v>
      </c>
      <c r="F34" s="50">
        <v>9</v>
      </c>
      <c r="G34" s="50">
        <v>0</v>
      </c>
      <c r="H34" s="50">
        <v>3</v>
      </c>
      <c r="I34" s="50">
        <v>4</v>
      </c>
      <c r="J34" s="50">
        <v>1</v>
      </c>
      <c r="K34" s="50">
        <v>0</v>
      </c>
      <c r="L34" s="50">
        <v>0</v>
      </c>
      <c r="M34" s="50">
        <v>24</v>
      </c>
      <c r="N34" s="50">
        <v>0</v>
      </c>
      <c r="O34" s="15">
        <f t="shared" si="0"/>
        <v>32</v>
      </c>
      <c r="P34" s="15">
        <f t="shared" si="1"/>
        <v>56</v>
      </c>
    </row>
    <row r="35" spans="2:20" ht="23.1" customHeight="1" x14ac:dyDescent="0.25">
      <c r="B35" s="24" t="s">
        <v>62</v>
      </c>
      <c r="C35" s="50">
        <v>7</v>
      </c>
      <c r="D35" s="50">
        <v>0</v>
      </c>
      <c r="E35" s="50">
        <v>3</v>
      </c>
      <c r="F35" s="50">
        <v>3</v>
      </c>
      <c r="G35" s="50">
        <v>0</v>
      </c>
      <c r="H35" s="50">
        <v>1</v>
      </c>
      <c r="I35" s="50">
        <v>2</v>
      </c>
      <c r="J35" s="50">
        <v>0</v>
      </c>
      <c r="K35" s="50">
        <v>0</v>
      </c>
      <c r="L35" s="50">
        <v>0</v>
      </c>
      <c r="M35" s="50">
        <v>35</v>
      </c>
      <c r="N35" s="50">
        <v>0</v>
      </c>
      <c r="O35" s="15">
        <f t="shared" si="0"/>
        <v>16</v>
      </c>
      <c r="P35" s="15">
        <f t="shared" si="1"/>
        <v>51</v>
      </c>
    </row>
    <row r="36" spans="2:20" ht="23.1" customHeight="1" x14ac:dyDescent="0.25">
      <c r="B36" s="24" t="s">
        <v>63</v>
      </c>
      <c r="C36" s="50">
        <v>12</v>
      </c>
      <c r="D36" s="50">
        <v>2</v>
      </c>
      <c r="E36" s="50">
        <v>2</v>
      </c>
      <c r="F36" s="50">
        <v>5</v>
      </c>
      <c r="G36" s="50">
        <v>0</v>
      </c>
      <c r="H36" s="50">
        <v>1</v>
      </c>
      <c r="I36" s="50">
        <v>1</v>
      </c>
      <c r="J36" s="50">
        <v>1</v>
      </c>
      <c r="K36" s="50">
        <v>0</v>
      </c>
      <c r="L36" s="50">
        <v>0</v>
      </c>
      <c r="M36" s="50">
        <v>31</v>
      </c>
      <c r="N36" s="50">
        <v>0</v>
      </c>
      <c r="O36" s="15">
        <f t="shared" si="0"/>
        <v>24</v>
      </c>
      <c r="P36" s="15">
        <f t="shared" si="1"/>
        <v>55</v>
      </c>
    </row>
    <row r="37" spans="2:20" ht="23.1" customHeight="1" x14ac:dyDescent="0.25">
      <c r="B37" s="23" t="s">
        <v>64</v>
      </c>
      <c r="C37" s="50">
        <v>12</v>
      </c>
      <c r="D37" s="50">
        <v>3</v>
      </c>
      <c r="E37" s="50">
        <v>1</v>
      </c>
      <c r="F37" s="50">
        <v>5</v>
      </c>
      <c r="G37" s="50">
        <v>0</v>
      </c>
      <c r="H37" s="50">
        <v>4</v>
      </c>
      <c r="I37" s="50">
        <v>1</v>
      </c>
      <c r="J37" s="50">
        <v>1</v>
      </c>
      <c r="K37" s="50">
        <v>0</v>
      </c>
      <c r="L37" s="50">
        <v>0</v>
      </c>
      <c r="M37" s="50">
        <v>27</v>
      </c>
      <c r="N37" s="50">
        <v>0</v>
      </c>
      <c r="O37" s="15">
        <f t="shared" si="0"/>
        <v>27</v>
      </c>
      <c r="P37" s="15">
        <f t="shared" si="1"/>
        <v>54</v>
      </c>
    </row>
    <row r="38" spans="2:20" ht="23.1" customHeight="1" x14ac:dyDescent="0.25">
      <c r="B38" s="24" t="s">
        <v>65</v>
      </c>
      <c r="C38" s="50">
        <v>12</v>
      </c>
      <c r="D38" s="50">
        <v>4</v>
      </c>
      <c r="E38" s="50">
        <v>3</v>
      </c>
      <c r="F38" s="50">
        <v>4</v>
      </c>
      <c r="G38" s="50">
        <v>0</v>
      </c>
      <c r="H38" s="50">
        <v>2</v>
      </c>
      <c r="I38" s="50">
        <v>1</v>
      </c>
      <c r="J38" s="50">
        <v>0</v>
      </c>
      <c r="K38" s="50">
        <v>0</v>
      </c>
      <c r="L38" s="50">
        <v>0</v>
      </c>
      <c r="M38" s="50">
        <v>26</v>
      </c>
      <c r="N38" s="50">
        <v>0</v>
      </c>
      <c r="O38" s="15">
        <f t="shared" si="0"/>
        <v>26</v>
      </c>
      <c r="P38" s="15">
        <f t="shared" si="1"/>
        <v>52</v>
      </c>
    </row>
    <row r="39" spans="2:20" ht="23.1" customHeight="1" x14ac:dyDescent="0.25">
      <c r="B39" s="24" t="s">
        <v>66</v>
      </c>
      <c r="C39" s="50">
        <v>17</v>
      </c>
      <c r="D39" s="50">
        <v>4</v>
      </c>
      <c r="E39" s="50">
        <v>2</v>
      </c>
      <c r="F39" s="50">
        <v>7</v>
      </c>
      <c r="G39" s="50">
        <v>0</v>
      </c>
      <c r="H39" s="50">
        <v>2</v>
      </c>
      <c r="I39" s="50">
        <v>2</v>
      </c>
      <c r="J39" s="50">
        <v>1</v>
      </c>
      <c r="K39" s="50">
        <v>2</v>
      </c>
      <c r="L39" s="50">
        <v>0</v>
      </c>
      <c r="M39" s="50">
        <v>21</v>
      </c>
      <c r="N39" s="50">
        <v>0</v>
      </c>
      <c r="O39" s="15">
        <f t="shared" si="0"/>
        <v>37</v>
      </c>
      <c r="P39" s="15">
        <f t="shared" si="1"/>
        <v>58</v>
      </c>
    </row>
    <row r="40" spans="2:20" ht="23.1" customHeight="1" x14ac:dyDescent="0.25">
      <c r="B40" s="24" t="s">
        <v>67</v>
      </c>
      <c r="C40" s="50">
        <v>5</v>
      </c>
      <c r="D40" s="50">
        <v>2</v>
      </c>
      <c r="E40" s="50">
        <v>1</v>
      </c>
      <c r="F40" s="50">
        <v>7</v>
      </c>
      <c r="G40" s="50">
        <v>0</v>
      </c>
      <c r="H40" s="50">
        <v>2</v>
      </c>
      <c r="I40" s="50">
        <v>3</v>
      </c>
      <c r="J40" s="50">
        <v>1</v>
      </c>
      <c r="K40" s="50">
        <v>0</v>
      </c>
      <c r="L40" s="50">
        <v>0</v>
      </c>
      <c r="M40" s="50">
        <v>28</v>
      </c>
      <c r="N40" s="50">
        <v>0</v>
      </c>
      <c r="O40" s="15">
        <f t="shared" si="0"/>
        <v>21</v>
      </c>
      <c r="P40" s="15">
        <f t="shared" si="1"/>
        <v>49</v>
      </c>
    </row>
    <row r="41" spans="2:20" ht="23.1" customHeight="1" x14ac:dyDescent="0.25">
      <c r="B41" s="23" t="s">
        <v>68</v>
      </c>
      <c r="C41" s="50">
        <v>2</v>
      </c>
      <c r="D41" s="50">
        <v>5</v>
      </c>
      <c r="E41" s="50">
        <v>3</v>
      </c>
      <c r="F41" s="50">
        <v>5</v>
      </c>
      <c r="G41" s="50">
        <v>0</v>
      </c>
      <c r="H41" s="50">
        <v>1</v>
      </c>
      <c r="I41" s="50">
        <v>3</v>
      </c>
      <c r="J41" s="50">
        <v>3</v>
      </c>
      <c r="K41" s="50">
        <v>1</v>
      </c>
      <c r="L41" s="50">
        <v>0</v>
      </c>
      <c r="M41" s="50">
        <v>24</v>
      </c>
      <c r="N41" s="50">
        <v>0</v>
      </c>
      <c r="O41" s="15">
        <f t="shared" si="0"/>
        <v>23</v>
      </c>
      <c r="P41" s="15">
        <f t="shared" si="1"/>
        <v>47</v>
      </c>
    </row>
    <row r="42" spans="2:20" ht="23.1" customHeight="1" x14ac:dyDescent="0.25">
      <c r="B42" s="24" t="s">
        <v>69</v>
      </c>
      <c r="C42" s="50">
        <v>7</v>
      </c>
      <c r="D42" s="50">
        <v>6</v>
      </c>
      <c r="E42" s="50">
        <v>4</v>
      </c>
      <c r="F42" s="50">
        <v>5</v>
      </c>
      <c r="G42" s="50">
        <v>0</v>
      </c>
      <c r="H42" s="50">
        <v>2</v>
      </c>
      <c r="I42" s="50">
        <v>1</v>
      </c>
      <c r="J42" s="50">
        <v>2</v>
      </c>
      <c r="K42" s="50">
        <v>3</v>
      </c>
      <c r="L42" s="50">
        <v>0</v>
      </c>
      <c r="M42" s="50">
        <v>31</v>
      </c>
      <c r="N42" s="50">
        <v>0</v>
      </c>
      <c r="O42" s="15">
        <f t="shared" si="0"/>
        <v>30</v>
      </c>
      <c r="P42" s="15">
        <f t="shared" si="1"/>
        <v>61</v>
      </c>
    </row>
    <row r="43" spans="2:20" ht="23.1" customHeight="1" x14ac:dyDescent="0.25">
      <c r="B43" s="23" t="s">
        <v>70</v>
      </c>
      <c r="C43" s="50">
        <v>6</v>
      </c>
      <c r="D43" s="50">
        <v>3</v>
      </c>
      <c r="E43" s="50">
        <v>1</v>
      </c>
      <c r="F43" s="50">
        <v>5</v>
      </c>
      <c r="G43" s="50">
        <v>0</v>
      </c>
      <c r="H43" s="50">
        <v>0</v>
      </c>
      <c r="I43" s="50">
        <v>3</v>
      </c>
      <c r="J43" s="50">
        <v>3</v>
      </c>
      <c r="K43" s="50">
        <v>0</v>
      </c>
      <c r="L43" s="50">
        <v>0</v>
      </c>
      <c r="M43" s="50">
        <v>20</v>
      </c>
      <c r="N43" s="50">
        <v>0</v>
      </c>
      <c r="O43" s="15">
        <f t="shared" si="0"/>
        <v>21</v>
      </c>
      <c r="P43" s="15">
        <f t="shared" si="1"/>
        <v>41</v>
      </c>
    </row>
    <row r="44" spans="2:20" ht="23.1" customHeight="1" x14ac:dyDescent="0.25">
      <c r="B44" s="25" t="s">
        <v>71</v>
      </c>
      <c r="C44" s="50">
        <v>16</v>
      </c>
      <c r="D44" s="50">
        <v>9</v>
      </c>
      <c r="E44" s="50">
        <v>1</v>
      </c>
      <c r="F44" s="50">
        <v>3</v>
      </c>
      <c r="G44" s="50">
        <v>0</v>
      </c>
      <c r="H44" s="50">
        <v>2</v>
      </c>
      <c r="I44" s="50">
        <v>1</v>
      </c>
      <c r="J44" s="50">
        <v>3</v>
      </c>
      <c r="K44" s="50">
        <v>6</v>
      </c>
      <c r="L44" s="50">
        <v>0</v>
      </c>
      <c r="M44" s="50">
        <v>36</v>
      </c>
      <c r="N44" s="50">
        <v>0</v>
      </c>
      <c r="O44" s="15">
        <f t="shared" si="0"/>
        <v>41</v>
      </c>
      <c r="P44" s="15">
        <f t="shared" si="1"/>
        <v>77</v>
      </c>
    </row>
    <row r="45" spans="2:20" ht="23.1" customHeight="1" x14ac:dyDescent="0.25">
      <c r="B45" s="23" t="s">
        <v>72</v>
      </c>
      <c r="C45" s="50">
        <v>17</v>
      </c>
      <c r="D45" s="50">
        <v>8</v>
      </c>
      <c r="E45" s="50">
        <v>5</v>
      </c>
      <c r="F45" s="50">
        <v>1</v>
      </c>
      <c r="G45" s="50">
        <v>0</v>
      </c>
      <c r="H45" s="50">
        <v>1</v>
      </c>
      <c r="I45" s="50">
        <v>0</v>
      </c>
      <c r="J45" s="50">
        <v>0</v>
      </c>
      <c r="K45" s="50">
        <v>0</v>
      </c>
      <c r="L45" s="50">
        <v>0</v>
      </c>
      <c r="M45" s="50">
        <v>22</v>
      </c>
      <c r="N45" s="50">
        <v>0</v>
      </c>
      <c r="O45" s="15">
        <f t="shared" si="0"/>
        <v>32</v>
      </c>
      <c r="P45" s="15">
        <f t="shared" si="1"/>
        <v>54</v>
      </c>
    </row>
    <row r="46" spans="2:20" ht="23.1" customHeight="1" x14ac:dyDescent="0.25">
      <c r="B46" s="24" t="s">
        <v>73</v>
      </c>
      <c r="C46" s="50">
        <v>13</v>
      </c>
      <c r="D46" s="50">
        <v>9</v>
      </c>
      <c r="E46" s="50">
        <v>3</v>
      </c>
      <c r="F46" s="50">
        <v>4</v>
      </c>
      <c r="G46" s="50">
        <v>0</v>
      </c>
      <c r="H46" s="50">
        <v>3</v>
      </c>
      <c r="I46" s="50">
        <v>1</v>
      </c>
      <c r="J46" s="50">
        <v>1</v>
      </c>
      <c r="K46" s="50">
        <v>1</v>
      </c>
      <c r="L46" s="50">
        <v>0</v>
      </c>
      <c r="M46" s="50">
        <v>34</v>
      </c>
      <c r="N46" s="50">
        <v>0</v>
      </c>
      <c r="O46" s="15">
        <f t="shared" si="0"/>
        <v>35</v>
      </c>
      <c r="P46" s="15">
        <f t="shared" si="1"/>
        <v>69</v>
      </c>
      <c r="R46" s="8"/>
      <c r="T46"/>
    </row>
    <row r="47" spans="2:20" ht="23.1" customHeight="1" x14ac:dyDescent="0.25">
      <c r="B47" s="24" t="s">
        <v>74</v>
      </c>
      <c r="C47" s="50">
        <v>11</v>
      </c>
      <c r="D47" s="50">
        <v>2</v>
      </c>
      <c r="E47" s="50">
        <v>2</v>
      </c>
      <c r="F47" s="50">
        <v>3</v>
      </c>
      <c r="G47" s="50">
        <v>0</v>
      </c>
      <c r="H47" s="50">
        <v>0</v>
      </c>
      <c r="I47" s="50">
        <v>1</v>
      </c>
      <c r="J47" s="50">
        <v>2</v>
      </c>
      <c r="K47" s="50">
        <v>3</v>
      </c>
      <c r="L47" s="50">
        <v>1</v>
      </c>
      <c r="M47" s="50">
        <v>22</v>
      </c>
      <c r="N47" s="50">
        <v>0</v>
      </c>
      <c r="O47" s="15">
        <f t="shared" si="0"/>
        <v>25</v>
      </c>
      <c r="P47" s="15">
        <f t="shared" si="1"/>
        <v>47</v>
      </c>
      <c r="R47" s="8"/>
      <c r="T47"/>
    </row>
    <row r="48" spans="2:20" ht="23.1" customHeight="1" x14ac:dyDescent="0.25">
      <c r="B48" s="24" t="s">
        <v>75</v>
      </c>
      <c r="C48" s="50">
        <v>14</v>
      </c>
      <c r="D48" s="50">
        <v>2</v>
      </c>
      <c r="E48" s="50">
        <v>3</v>
      </c>
      <c r="F48" s="50">
        <v>3</v>
      </c>
      <c r="G48" s="50">
        <v>0</v>
      </c>
      <c r="H48" s="50">
        <v>0</v>
      </c>
      <c r="I48" s="50">
        <v>2</v>
      </c>
      <c r="J48" s="50">
        <v>3</v>
      </c>
      <c r="K48" s="50">
        <v>1</v>
      </c>
      <c r="L48" s="50">
        <v>0</v>
      </c>
      <c r="M48" s="50">
        <v>25</v>
      </c>
      <c r="N48" s="50">
        <v>0</v>
      </c>
      <c r="O48" s="15">
        <f t="shared" si="0"/>
        <v>28</v>
      </c>
      <c r="P48" s="15">
        <f t="shared" si="1"/>
        <v>53</v>
      </c>
      <c r="R48" s="8"/>
      <c r="T48"/>
    </row>
    <row r="49" spans="2:20" ht="23.1" customHeight="1" x14ac:dyDescent="0.25">
      <c r="B49" s="23" t="s">
        <v>76</v>
      </c>
      <c r="C49" s="50">
        <v>11</v>
      </c>
      <c r="D49" s="50">
        <v>3</v>
      </c>
      <c r="E49" s="50">
        <v>5</v>
      </c>
      <c r="F49" s="50">
        <v>6</v>
      </c>
      <c r="G49" s="50">
        <v>0</v>
      </c>
      <c r="H49" s="50">
        <v>1</v>
      </c>
      <c r="I49" s="50">
        <v>1</v>
      </c>
      <c r="J49" s="50">
        <v>2</v>
      </c>
      <c r="K49" s="50">
        <v>2</v>
      </c>
      <c r="L49" s="50">
        <v>0</v>
      </c>
      <c r="M49" s="50">
        <v>37</v>
      </c>
      <c r="N49" s="50">
        <v>0</v>
      </c>
      <c r="O49" s="15">
        <f t="shared" si="0"/>
        <v>31</v>
      </c>
      <c r="P49" s="15">
        <f t="shared" si="1"/>
        <v>68</v>
      </c>
      <c r="R49" s="8"/>
      <c r="T49"/>
    </row>
    <row r="50" spans="2:20" ht="23.1" customHeight="1" x14ac:dyDescent="0.25">
      <c r="B50" s="24" t="s">
        <v>77</v>
      </c>
      <c r="C50" s="50">
        <v>9</v>
      </c>
      <c r="D50" s="50">
        <v>1</v>
      </c>
      <c r="E50" s="50">
        <v>6</v>
      </c>
      <c r="F50" s="50">
        <v>5</v>
      </c>
      <c r="G50" s="50">
        <v>0</v>
      </c>
      <c r="H50" s="50">
        <v>4</v>
      </c>
      <c r="I50" s="50">
        <v>1</v>
      </c>
      <c r="J50" s="50">
        <v>5</v>
      </c>
      <c r="K50" s="50">
        <v>0</v>
      </c>
      <c r="L50" s="50">
        <v>0</v>
      </c>
      <c r="M50" s="50">
        <v>20</v>
      </c>
      <c r="N50" s="50">
        <v>0</v>
      </c>
      <c r="O50" s="15">
        <f t="shared" si="0"/>
        <v>31</v>
      </c>
      <c r="P50" s="15">
        <f t="shared" si="1"/>
        <v>51</v>
      </c>
      <c r="R50" s="8"/>
      <c r="T50"/>
    </row>
    <row r="51" spans="2:20" ht="23.1" customHeight="1" x14ac:dyDescent="0.25">
      <c r="B51" s="24" t="s">
        <v>78</v>
      </c>
      <c r="C51" s="50">
        <v>21</v>
      </c>
      <c r="D51" s="50">
        <v>2</v>
      </c>
      <c r="E51" s="50">
        <v>2</v>
      </c>
      <c r="F51" s="50">
        <v>6</v>
      </c>
      <c r="G51" s="50">
        <v>0</v>
      </c>
      <c r="H51" s="50">
        <v>1</v>
      </c>
      <c r="I51" s="50">
        <v>5</v>
      </c>
      <c r="J51" s="50">
        <v>4</v>
      </c>
      <c r="K51" s="50">
        <v>1</v>
      </c>
      <c r="L51" s="50">
        <v>0</v>
      </c>
      <c r="M51" s="50">
        <v>20</v>
      </c>
      <c r="N51" s="50">
        <v>0</v>
      </c>
      <c r="O51" s="15">
        <f t="shared" si="0"/>
        <v>42</v>
      </c>
      <c r="P51" s="15">
        <f t="shared" si="1"/>
        <v>62</v>
      </c>
      <c r="R51" s="8"/>
      <c r="T51"/>
    </row>
    <row r="52" spans="2:20" ht="23.1" customHeight="1" x14ac:dyDescent="0.25">
      <c r="B52" s="24" t="s">
        <v>79</v>
      </c>
      <c r="C52" s="50">
        <v>17</v>
      </c>
      <c r="D52" s="50">
        <v>5</v>
      </c>
      <c r="E52" s="50">
        <v>4</v>
      </c>
      <c r="F52" s="50">
        <v>6</v>
      </c>
      <c r="G52" s="50">
        <v>1</v>
      </c>
      <c r="H52" s="50">
        <v>2</v>
      </c>
      <c r="I52" s="50">
        <v>5</v>
      </c>
      <c r="J52" s="50">
        <v>4</v>
      </c>
      <c r="K52" s="50">
        <v>3</v>
      </c>
      <c r="L52" s="50">
        <v>0</v>
      </c>
      <c r="M52" s="50">
        <v>25</v>
      </c>
      <c r="N52" s="50">
        <v>0</v>
      </c>
      <c r="O52" s="15">
        <f t="shared" si="0"/>
        <v>47</v>
      </c>
      <c r="P52" s="15">
        <f t="shared" si="1"/>
        <v>72</v>
      </c>
      <c r="R52" s="8"/>
      <c r="T52"/>
    </row>
    <row r="53" spans="2:20" ht="23.1" customHeight="1" x14ac:dyDescent="0.25">
      <c r="B53" s="23" t="s">
        <v>80</v>
      </c>
      <c r="C53" s="50">
        <v>14</v>
      </c>
      <c r="D53" s="50">
        <v>5</v>
      </c>
      <c r="E53" s="50">
        <v>3</v>
      </c>
      <c r="F53" s="50">
        <v>6</v>
      </c>
      <c r="G53" s="50">
        <v>0</v>
      </c>
      <c r="H53" s="50">
        <v>1</v>
      </c>
      <c r="I53" s="50">
        <v>1</v>
      </c>
      <c r="J53" s="50">
        <v>3</v>
      </c>
      <c r="K53" s="50">
        <v>5</v>
      </c>
      <c r="L53" s="50">
        <v>0</v>
      </c>
      <c r="M53" s="50">
        <v>30</v>
      </c>
      <c r="N53" s="50">
        <v>0</v>
      </c>
      <c r="O53" s="15">
        <f t="shared" si="0"/>
        <v>38</v>
      </c>
      <c r="P53" s="15">
        <f t="shared" si="1"/>
        <v>68</v>
      </c>
      <c r="R53" s="8"/>
      <c r="T53"/>
    </row>
    <row r="54" spans="2:20" ht="23.1" customHeight="1" x14ac:dyDescent="0.25">
      <c r="B54" s="23" t="s">
        <v>81</v>
      </c>
      <c r="C54" s="50">
        <v>11</v>
      </c>
      <c r="D54" s="50">
        <v>2</v>
      </c>
      <c r="E54" s="50">
        <v>3</v>
      </c>
      <c r="F54" s="50">
        <v>6</v>
      </c>
      <c r="G54" s="50">
        <v>1</v>
      </c>
      <c r="H54" s="50">
        <v>1</v>
      </c>
      <c r="I54" s="50">
        <v>4</v>
      </c>
      <c r="J54" s="50">
        <v>6</v>
      </c>
      <c r="K54" s="50">
        <v>6</v>
      </c>
      <c r="L54" s="50">
        <v>1</v>
      </c>
      <c r="M54" s="50">
        <v>17</v>
      </c>
      <c r="N54" s="50">
        <v>0</v>
      </c>
      <c r="O54" s="15">
        <f t="shared" si="0"/>
        <v>41</v>
      </c>
      <c r="P54" s="15">
        <f t="shared" si="1"/>
        <v>58</v>
      </c>
      <c r="R54" s="8"/>
      <c r="T54"/>
    </row>
    <row r="55" spans="2:20" ht="23.1" customHeight="1" x14ac:dyDescent="0.25">
      <c r="B55" s="23" t="s">
        <v>82</v>
      </c>
      <c r="C55" s="50">
        <v>15</v>
      </c>
      <c r="D55" s="50">
        <v>4</v>
      </c>
      <c r="E55" s="50">
        <v>3</v>
      </c>
      <c r="F55" s="50">
        <v>3</v>
      </c>
      <c r="G55" s="50">
        <v>0</v>
      </c>
      <c r="H55" s="50">
        <v>0</v>
      </c>
      <c r="I55" s="50">
        <v>1</v>
      </c>
      <c r="J55" s="50">
        <v>3</v>
      </c>
      <c r="K55" s="50">
        <v>0</v>
      </c>
      <c r="L55" s="50">
        <v>0</v>
      </c>
      <c r="M55" s="50">
        <v>28</v>
      </c>
      <c r="N55" s="50">
        <v>0</v>
      </c>
      <c r="O55" s="15">
        <f t="shared" si="0"/>
        <v>29</v>
      </c>
      <c r="P55" s="15">
        <f t="shared" si="1"/>
        <v>57</v>
      </c>
      <c r="R55" s="8"/>
      <c r="T55"/>
    </row>
    <row r="56" spans="2:20" ht="23.1" customHeight="1" x14ac:dyDescent="0.25">
      <c r="B56" s="23" t="s">
        <v>83</v>
      </c>
      <c r="C56" s="50">
        <v>12</v>
      </c>
      <c r="D56" s="50">
        <v>10</v>
      </c>
      <c r="E56" s="50">
        <v>3</v>
      </c>
      <c r="F56" s="50">
        <v>9</v>
      </c>
      <c r="G56" s="50">
        <v>2</v>
      </c>
      <c r="H56" s="50">
        <v>2</v>
      </c>
      <c r="I56" s="50">
        <v>2</v>
      </c>
      <c r="J56" s="50">
        <v>5</v>
      </c>
      <c r="K56" s="50">
        <v>10</v>
      </c>
      <c r="L56" s="50">
        <v>0</v>
      </c>
      <c r="M56" s="50">
        <v>47</v>
      </c>
      <c r="N56" s="50">
        <v>0</v>
      </c>
      <c r="O56" s="15">
        <f t="shared" si="0"/>
        <v>55</v>
      </c>
      <c r="P56" s="15">
        <f t="shared" si="1"/>
        <v>102</v>
      </c>
      <c r="R56" s="8"/>
      <c r="T56"/>
    </row>
    <row r="57" spans="2:20" ht="23.1" customHeight="1" x14ac:dyDescent="0.25">
      <c r="B57" s="23" t="s">
        <v>84</v>
      </c>
      <c r="C57" s="50">
        <v>14</v>
      </c>
      <c r="D57" s="50">
        <v>5</v>
      </c>
      <c r="E57" s="50">
        <v>6</v>
      </c>
      <c r="F57" s="50">
        <v>8</v>
      </c>
      <c r="G57" s="50">
        <v>0</v>
      </c>
      <c r="H57" s="50">
        <v>1</v>
      </c>
      <c r="I57" s="50">
        <v>4</v>
      </c>
      <c r="J57" s="50">
        <v>6</v>
      </c>
      <c r="K57" s="50">
        <v>3</v>
      </c>
      <c r="L57" s="50">
        <v>1</v>
      </c>
      <c r="M57" s="50">
        <v>25</v>
      </c>
      <c r="N57" s="50">
        <v>0</v>
      </c>
      <c r="O57" s="15">
        <f t="shared" si="0"/>
        <v>48</v>
      </c>
      <c r="P57" s="15">
        <f t="shared" si="1"/>
        <v>73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459</v>
      </c>
      <c r="D58" s="16">
        <f t="shared" si="21"/>
        <v>176</v>
      </c>
      <c r="E58" s="16">
        <f t="shared" si="21"/>
        <v>122</v>
      </c>
      <c r="F58" s="16">
        <f t="shared" si="21"/>
        <v>247</v>
      </c>
      <c r="G58" s="16">
        <f t="shared" si="21"/>
        <v>6</v>
      </c>
      <c r="H58" s="16">
        <f t="shared" si="21"/>
        <v>63</v>
      </c>
      <c r="I58" s="16">
        <f t="shared" si="21"/>
        <v>79</v>
      </c>
      <c r="J58" s="16">
        <f t="shared" si="21"/>
        <v>76</v>
      </c>
      <c r="K58" s="16">
        <f t="shared" si="21"/>
        <v>68</v>
      </c>
      <c r="L58" s="16">
        <f t="shared" si="21"/>
        <v>6</v>
      </c>
      <c r="M58" s="16">
        <f t="shared" si="21"/>
        <v>1163</v>
      </c>
      <c r="N58" s="16">
        <f t="shared" si="21"/>
        <v>0</v>
      </c>
      <c r="O58" s="16">
        <f t="shared" si="21"/>
        <v>1302</v>
      </c>
      <c r="P58" s="16">
        <f t="shared" si="21"/>
        <v>2465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0.18620689655172415</v>
      </c>
      <c r="D59" s="43">
        <f t="shared" si="22"/>
        <v>7.1399594320486814E-2</v>
      </c>
      <c r="E59" s="43">
        <f t="shared" si="22"/>
        <v>4.9492900608519269E-2</v>
      </c>
      <c r="F59" s="43">
        <f t="shared" si="22"/>
        <v>0.10020283975659229</v>
      </c>
      <c r="G59" s="43">
        <f t="shared" si="22"/>
        <v>2.434077079107505E-3</v>
      </c>
      <c r="H59" s="43">
        <f t="shared" si="22"/>
        <v>2.5557809330628803E-2</v>
      </c>
      <c r="I59" s="43">
        <f t="shared" si="22"/>
        <v>3.204868154158215E-2</v>
      </c>
      <c r="J59" s="43">
        <f t="shared" si="22"/>
        <v>3.0831643002028397E-2</v>
      </c>
      <c r="K59" s="43">
        <f t="shared" si="22"/>
        <v>2.7586206896551724E-2</v>
      </c>
      <c r="L59" s="43">
        <f t="shared" si="22"/>
        <v>2.434077079107505E-3</v>
      </c>
      <c r="M59" s="43">
        <f t="shared" si="22"/>
        <v>0.47180527383367138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0.35253456221198154</v>
      </c>
      <c r="D60" s="44">
        <f t="shared" ref="D60:N60" si="23">D58/$O$58</f>
        <v>0.13517665130568357</v>
      </c>
      <c r="E60" s="44">
        <f t="shared" si="23"/>
        <v>9.3701996927803385E-2</v>
      </c>
      <c r="F60" s="44">
        <f t="shared" si="23"/>
        <v>0.18970814132104455</v>
      </c>
      <c r="G60" s="44">
        <f t="shared" si="23"/>
        <v>4.608294930875576E-3</v>
      </c>
      <c r="H60" s="44">
        <f t="shared" si="23"/>
        <v>4.8387096774193547E-2</v>
      </c>
      <c r="I60" s="44">
        <f t="shared" si="23"/>
        <v>6.0675883256528416E-2</v>
      </c>
      <c r="J60" s="44">
        <f t="shared" si="23"/>
        <v>5.8371735791090631E-2</v>
      </c>
      <c r="K60" s="44">
        <f t="shared" si="23"/>
        <v>5.2227342549923193E-2</v>
      </c>
      <c r="L60" s="44">
        <f t="shared" si="23"/>
        <v>4.608294930875576E-3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3" t="s">
        <v>23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 spans="2:32" ht="20.100000000000001" customHeight="1" x14ac:dyDescent="0.25">
      <c r="B2" s="74" t="s">
        <v>95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</row>
    <row r="3" spans="2:32" ht="20.100000000000001" customHeight="1" x14ac:dyDescent="0.25">
      <c r="B3" s="22" t="s">
        <v>96</v>
      </c>
      <c r="C3" s="75" t="str">
        <f>'23.10 MASAKA-MBARARA'!C3:G3</f>
        <v>MASAKA-MBARARA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181</v>
      </c>
      <c r="E5" s="3"/>
      <c r="F5" s="41" t="s">
        <v>1</v>
      </c>
      <c r="G5" s="71" t="s">
        <v>173</v>
      </c>
      <c r="H5" s="72"/>
      <c r="I5" s="14"/>
      <c r="J5" s="2" t="s">
        <v>5</v>
      </c>
      <c r="K5" s="71" t="s">
        <v>180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">
        <v>166</v>
      </c>
      <c r="E6" s="72"/>
      <c r="F6" s="2" t="s">
        <v>2</v>
      </c>
      <c r="G6" s="71" t="s">
        <v>165</v>
      </c>
      <c r="H6" s="72"/>
      <c r="J6" s="2" t="s">
        <v>21</v>
      </c>
      <c r="K6" s="71" t="s">
        <v>174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1</v>
      </c>
      <c r="E10" s="50">
        <v>0</v>
      </c>
      <c r="F10" s="50">
        <v>0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15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19</v>
      </c>
      <c r="R10" s="1" t="s">
        <v>6</v>
      </c>
      <c r="S10" s="17">
        <f t="shared" ref="S10:AF10" si="2">SUM(C10:C13)</f>
        <v>25</v>
      </c>
      <c r="T10" s="17">
        <f t="shared" si="2"/>
        <v>10</v>
      </c>
      <c r="U10" s="17">
        <f t="shared" si="2"/>
        <v>10</v>
      </c>
      <c r="V10" s="17">
        <f t="shared" si="2"/>
        <v>9</v>
      </c>
      <c r="W10" s="17">
        <f t="shared" si="2"/>
        <v>3</v>
      </c>
      <c r="X10" s="17">
        <f t="shared" si="2"/>
        <v>0</v>
      </c>
      <c r="Y10" s="17">
        <f t="shared" si="2"/>
        <v>5</v>
      </c>
      <c r="Z10" s="17">
        <f t="shared" si="2"/>
        <v>2</v>
      </c>
      <c r="AA10" s="17">
        <f t="shared" si="2"/>
        <v>13</v>
      </c>
      <c r="AB10" s="17">
        <f t="shared" si="2"/>
        <v>0</v>
      </c>
      <c r="AC10" s="17">
        <f t="shared" si="2"/>
        <v>60</v>
      </c>
      <c r="AD10" s="17">
        <f t="shared" si="2"/>
        <v>0</v>
      </c>
      <c r="AE10" s="31">
        <f t="shared" si="2"/>
        <v>77</v>
      </c>
      <c r="AF10" s="31">
        <f t="shared" si="2"/>
        <v>137</v>
      </c>
    </row>
    <row r="11" spans="2:32" s="6" customFormat="1" ht="23.1" customHeight="1" x14ac:dyDescent="0.25">
      <c r="B11" s="23" t="s">
        <v>38</v>
      </c>
      <c r="C11" s="50">
        <v>9</v>
      </c>
      <c r="D11" s="50">
        <v>3</v>
      </c>
      <c r="E11" s="50">
        <v>1</v>
      </c>
      <c r="F11" s="50">
        <v>7</v>
      </c>
      <c r="G11" s="50">
        <v>1</v>
      </c>
      <c r="H11" s="50">
        <v>0</v>
      </c>
      <c r="I11" s="50">
        <v>1</v>
      </c>
      <c r="J11" s="50">
        <v>0</v>
      </c>
      <c r="K11" s="50">
        <v>1</v>
      </c>
      <c r="L11" s="50">
        <v>0</v>
      </c>
      <c r="M11" s="50">
        <v>15</v>
      </c>
      <c r="N11" s="50">
        <v>0</v>
      </c>
      <c r="O11" s="15">
        <f t="shared" si="0"/>
        <v>23</v>
      </c>
      <c r="P11" s="15">
        <f t="shared" si="1"/>
        <v>38</v>
      </c>
      <c r="R11" s="1" t="s">
        <v>7</v>
      </c>
      <c r="S11" s="17">
        <f t="shared" ref="S11:AF11" si="3">SUM(C14:C17)</f>
        <v>25</v>
      </c>
      <c r="T11" s="17">
        <f t="shared" si="3"/>
        <v>20</v>
      </c>
      <c r="U11" s="17">
        <f t="shared" si="3"/>
        <v>8</v>
      </c>
      <c r="V11" s="17">
        <f t="shared" si="3"/>
        <v>19</v>
      </c>
      <c r="W11" s="17">
        <f t="shared" si="3"/>
        <v>0</v>
      </c>
      <c r="X11" s="17">
        <f t="shared" si="3"/>
        <v>1</v>
      </c>
      <c r="Y11" s="17">
        <f t="shared" si="3"/>
        <v>6</v>
      </c>
      <c r="Z11" s="17">
        <f t="shared" si="3"/>
        <v>1</v>
      </c>
      <c r="AA11" s="17">
        <f t="shared" si="3"/>
        <v>7</v>
      </c>
      <c r="AB11" s="17">
        <f t="shared" si="3"/>
        <v>0</v>
      </c>
      <c r="AC11" s="17">
        <f t="shared" si="3"/>
        <v>58</v>
      </c>
      <c r="AD11" s="17">
        <f t="shared" si="3"/>
        <v>0</v>
      </c>
      <c r="AE11" s="31">
        <f t="shared" si="3"/>
        <v>87</v>
      </c>
      <c r="AF11" s="31">
        <f t="shared" si="3"/>
        <v>145</v>
      </c>
    </row>
    <row r="12" spans="2:32" ht="23.1" customHeight="1" x14ac:dyDescent="0.25">
      <c r="B12" s="23" t="s">
        <v>39</v>
      </c>
      <c r="C12" s="50">
        <v>6</v>
      </c>
      <c r="D12" s="50">
        <v>1</v>
      </c>
      <c r="E12" s="50">
        <v>2</v>
      </c>
      <c r="F12" s="50">
        <v>1</v>
      </c>
      <c r="G12" s="50">
        <v>0</v>
      </c>
      <c r="H12" s="50">
        <v>0</v>
      </c>
      <c r="I12" s="50">
        <v>1</v>
      </c>
      <c r="J12" s="50">
        <v>2</v>
      </c>
      <c r="K12" s="50">
        <v>3</v>
      </c>
      <c r="L12" s="50">
        <v>0</v>
      </c>
      <c r="M12" s="50">
        <v>16</v>
      </c>
      <c r="N12" s="50">
        <v>0</v>
      </c>
      <c r="O12" s="15">
        <f t="shared" si="0"/>
        <v>16</v>
      </c>
      <c r="P12" s="15">
        <f t="shared" si="1"/>
        <v>32</v>
      </c>
      <c r="R12" s="1" t="s">
        <v>8</v>
      </c>
      <c r="S12" s="17">
        <f t="shared" ref="S12:AF12" si="4">SUM(C18:C21)</f>
        <v>39</v>
      </c>
      <c r="T12" s="17">
        <f t="shared" si="4"/>
        <v>24</v>
      </c>
      <c r="U12" s="17">
        <f t="shared" si="4"/>
        <v>13</v>
      </c>
      <c r="V12" s="17">
        <f t="shared" si="4"/>
        <v>15</v>
      </c>
      <c r="W12" s="17">
        <f t="shared" si="4"/>
        <v>1</v>
      </c>
      <c r="X12" s="17">
        <f t="shared" si="4"/>
        <v>4</v>
      </c>
      <c r="Y12" s="17">
        <f t="shared" si="4"/>
        <v>8</v>
      </c>
      <c r="Z12" s="17">
        <f t="shared" si="4"/>
        <v>8</v>
      </c>
      <c r="AA12" s="17">
        <f t="shared" si="4"/>
        <v>7</v>
      </c>
      <c r="AB12" s="17">
        <f t="shared" si="4"/>
        <v>0</v>
      </c>
      <c r="AC12" s="17">
        <f t="shared" si="4"/>
        <v>69</v>
      </c>
      <c r="AD12" s="17">
        <f t="shared" si="4"/>
        <v>0</v>
      </c>
      <c r="AE12" s="31">
        <f t="shared" si="4"/>
        <v>119</v>
      </c>
      <c r="AF12" s="31">
        <f t="shared" si="4"/>
        <v>188</v>
      </c>
    </row>
    <row r="13" spans="2:32" ht="23.1" customHeight="1" x14ac:dyDescent="0.25">
      <c r="B13" s="23" t="s">
        <v>40</v>
      </c>
      <c r="C13" s="50">
        <v>8</v>
      </c>
      <c r="D13" s="50">
        <v>5</v>
      </c>
      <c r="E13" s="50">
        <v>7</v>
      </c>
      <c r="F13" s="50">
        <v>1</v>
      </c>
      <c r="G13" s="50">
        <v>1</v>
      </c>
      <c r="H13" s="50">
        <v>0</v>
      </c>
      <c r="I13" s="50">
        <v>3</v>
      </c>
      <c r="J13" s="50">
        <v>0</v>
      </c>
      <c r="K13" s="50">
        <v>9</v>
      </c>
      <c r="L13" s="50">
        <v>0</v>
      </c>
      <c r="M13" s="50">
        <v>14</v>
      </c>
      <c r="N13" s="50">
        <v>0</v>
      </c>
      <c r="O13" s="15">
        <f t="shared" si="0"/>
        <v>34</v>
      </c>
      <c r="P13" s="15">
        <f t="shared" si="1"/>
        <v>48</v>
      </c>
      <c r="R13" s="1" t="s">
        <v>9</v>
      </c>
      <c r="S13" s="17">
        <f t="shared" ref="S13:AF13" si="5">SUM(C22:C25)</f>
        <v>29</v>
      </c>
      <c r="T13" s="17">
        <f t="shared" si="5"/>
        <v>21</v>
      </c>
      <c r="U13" s="17">
        <f t="shared" si="5"/>
        <v>12</v>
      </c>
      <c r="V13" s="17">
        <f t="shared" si="5"/>
        <v>20</v>
      </c>
      <c r="W13" s="17">
        <f t="shared" si="5"/>
        <v>1</v>
      </c>
      <c r="X13" s="17">
        <f t="shared" si="5"/>
        <v>5</v>
      </c>
      <c r="Y13" s="17">
        <f t="shared" si="5"/>
        <v>7</v>
      </c>
      <c r="Z13" s="17">
        <f t="shared" si="5"/>
        <v>5</v>
      </c>
      <c r="AA13" s="17">
        <f t="shared" si="5"/>
        <v>4</v>
      </c>
      <c r="AB13" s="17">
        <f t="shared" si="5"/>
        <v>0</v>
      </c>
      <c r="AC13" s="17">
        <f t="shared" si="5"/>
        <v>60</v>
      </c>
      <c r="AD13" s="17">
        <f t="shared" si="5"/>
        <v>0</v>
      </c>
      <c r="AE13" s="31">
        <f t="shared" si="5"/>
        <v>104</v>
      </c>
      <c r="AF13" s="31">
        <f t="shared" si="5"/>
        <v>164</v>
      </c>
    </row>
    <row r="14" spans="2:32" ht="23.1" customHeight="1" x14ac:dyDescent="0.25">
      <c r="B14" s="23" t="s">
        <v>41</v>
      </c>
      <c r="C14" s="50">
        <v>5</v>
      </c>
      <c r="D14" s="50">
        <v>3</v>
      </c>
      <c r="E14" s="50">
        <v>0</v>
      </c>
      <c r="F14" s="50">
        <v>7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10</v>
      </c>
      <c r="N14" s="50">
        <v>0</v>
      </c>
      <c r="O14" s="15">
        <f t="shared" si="0"/>
        <v>17</v>
      </c>
      <c r="P14" s="15">
        <f t="shared" si="1"/>
        <v>27</v>
      </c>
      <c r="R14" s="1" t="s">
        <v>10</v>
      </c>
      <c r="S14" s="17">
        <f t="shared" ref="S14:AF14" si="6">SUM(C26:C29)</f>
        <v>32</v>
      </c>
      <c r="T14" s="17">
        <f t="shared" si="6"/>
        <v>14</v>
      </c>
      <c r="U14" s="17">
        <f t="shared" si="6"/>
        <v>14</v>
      </c>
      <c r="V14" s="17">
        <f t="shared" si="6"/>
        <v>23</v>
      </c>
      <c r="W14" s="17">
        <f t="shared" si="6"/>
        <v>0</v>
      </c>
      <c r="X14" s="17">
        <f t="shared" si="6"/>
        <v>5</v>
      </c>
      <c r="Y14" s="17">
        <f t="shared" si="6"/>
        <v>3</v>
      </c>
      <c r="Z14" s="17">
        <f t="shared" si="6"/>
        <v>4</v>
      </c>
      <c r="AA14" s="17">
        <f t="shared" si="6"/>
        <v>8</v>
      </c>
      <c r="AB14" s="17">
        <f t="shared" si="6"/>
        <v>0</v>
      </c>
      <c r="AC14" s="17">
        <f t="shared" si="6"/>
        <v>64</v>
      </c>
      <c r="AD14" s="17">
        <f t="shared" si="6"/>
        <v>0</v>
      </c>
      <c r="AE14" s="31">
        <f t="shared" si="6"/>
        <v>103</v>
      </c>
      <c r="AF14" s="31">
        <f t="shared" si="6"/>
        <v>167</v>
      </c>
    </row>
    <row r="15" spans="2:32" ht="23.1" customHeight="1" x14ac:dyDescent="0.25">
      <c r="B15" s="23" t="s">
        <v>42</v>
      </c>
      <c r="C15" s="50">
        <v>8</v>
      </c>
      <c r="D15" s="50">
        <v>11</v>
      </c>
      <c r="E15" s="50">
        <v>3</v>
      </c>
      <c r="F15" s="50">
        <v>4</v>
      </c>
      <c r="G15" s="50">
        <v>0</v>
      </c>
      <c r="H15" s="50">
        <v>1</v>
      </c>
      <c r="I15" s="50">
        <v>0</v>
      </c>
      <c r="J15" s="50">
        <v>0</v>
      </c>
      <c r="K15" s="50">
        <v>2</v>
      </c>
      <c r="L15" s="50">
        <v>0</v>
      </c>
      <c r="M15" s="50">
        <v>18</v>
      </c>
      <c r="N15" s="50">
        <v>0</v>
      </c>
      <c r="O15" s="15">
        <f t="shared" si="0"/>
        <v>29</v>
      </c>
      <c r="P15" s="15">
        <f t="shared" si="1"/>
        <v>47</v>
      </c>
      <c r="R15" s="1" t="s">
        <v>11</v>
      </c>
      <c r="S15" s="17">
        <f t="shared" ref="S15:AF15" si="7">SUM(C30:C33)</f>
        <v>45</v>
      </c>
      <c r="T15" s="17">
        <f t="shared" si="7"/>
        <v>14</v>
      </c>
      <c r="U15" s="17">
        <f t="shared" si="7"/>
        <v>14</v>
      </c>
      <c r="V15" s="17">
        <f t="shared" si="7"/>
        <v>26</v>
      </c>
      <c r="W15" s="17">
        <f t="shared" si="7"/>
        <v>2</v>
      </c>
      <c r="X15" s="17">
        <f t="shared" si="7"/>
        <v>5</v>
      </c>
      <c r="Y15" s="17">
        <f t="shared" si="7"/>
        <v>6</v>
      </c>
      <c r="Z15" s="17">
        <f t="shared" si="7"/>
        <v>5</v>
      </c>
      <c r="AA15" s="17">
        <f t="shared" si="7"/>
        <v>6</v>
      </c>
      <c r="AB15" s="17">
        <f t="shared" si="7"/>
        <v>1</v>
      </c>
      <c r="AC15" s="17">
        <f t="shared" si="7"/>
        <v>98</v>
      </c>
      <c r="AD15" s="17">
        <f t="shared" si="7"/>
        <v>0</v>
      </c>
      <c r="AE15" s="31">
        <f t="shared" si="7"/>
        <v>124</v>
      </c>
      <c r="AF15" s="31">
        <f t="shared" si="7"/>
        <v>222</v>
      </c>
    </row>
    <row r="16" spans="2:32" ht="23.1" customHeight="1" x14ac:dyDescent="0.25">
      <c r="B16" s="23" t="s">
        <v>43</v>
      </c>
      <c r="C16" s="50">
        <v>7</v>
      </c>
      <c r="D16" s="50">
        <v>4</v>
      </c>
      <c r="E16" s="50">
        <v>3</v>
      </c>
      <c r="F16" s="50">
        <v>5</v>
      </c>
      <c r="G16" s="50">
        <v>0</v>
      </c>
      <c r="H16" s="50">
        <v>0</v>
      </c>
      <c r="I16" s="50">
        <v>1</v>
      </c>
      <c r="J16" s="50">
        <v>1</v>
      </c>
      <c r="K16" s="50">
        <v>4</v>
      </c>
      <c r="L16" s="50">
        <v>0</v>
      </c>
      <c r="M16" s="50">
        <v>14</v>
      </c>
      <c r="N16" s="50">
        <v>0</v>
      </c>
      <c r="O16" s="15">
        <f t="shared" si="0"/>
        <v>25</v>
      </c>
      <c r="P16" s="15">
        <f t="shared" si="1"/>
        <v>39</v>
      </c>
      <c r="R16" s="1" t="s">
        <v>12</v>
      </c>
      <c r="S16" s="17">
        <f t="shared" ref="S16:AF16" si="8">SUM(C34:C37)</f>
        <v>41</v>
      </c>
      <c r="T16" s="17">
        <f t="shared" si="8"/>
        <v>8</v>
      </c>
      <c r="U16" s="17">
        <f t="shared" si="8"/>
        <v>8</v>
      </c>
      <c r="V16" s="17">
        <f t="shared" si="8"/>
        <v>22</v>
      </c>
      <c r="W16" s="17">
        <f t="shared" si="8"/>
        <v>1</v>
      </c>
      <c r="X16" s="17">
        <f t="shared" si="8"/>
        <v>6</v>
      </c>
      <c r="Y16" s="17">
        <f t="shared" si="8"/>
        <v>16</v>
      </c>
      <c r="Z16" s="17">
        <f t="shared" si="8"/>
        <v>6</v>
      </c>
      <c r="AA16" s="17">
        <f t="shared" si="8"/>
        <v>10</v>
      </c>
      <c r="AB16" s="17">
        <f t="shared" si="8"/>
        <v>0</v>
      </c>
      <c r="AC16" s="17">
        <f t="shared" si="8"/>
        <v>72</v>
      </c>
      <c r="AD16" s="17">
        <f t="shared" si="8"/>
        <v>0</v>
      </c>
      <c r="AE16" s="31">
        <f t="shared" si="8"/>
        <v>118</v>
      </c>
      <c r="AF16" s="31">
        <f t="shared" si="8"/>
        <v>190</v>
      </c>
    </row>
    <row r="17" spans="2:32" ht="23.1" customHeight="1" x14ac:dyDescent="0.25">
      <c r="B17" s="23" t="s">
        <v>44</v>
      </c>
      <c r="C17" s="50">
        <v>5</v>
      </c>
      <c r="D17" s="50">
        <v>2</v>
      </c>
      <c r="E17" s="50">
        <v>2</v>
      </c>
      <c r="F17" s="50">
        <v>3</v>
      </c>
      <c r="G17" s="50">
        <v>0</v>
      </c>
      <c r="H17" s="50">
        <v>0</v>
      </c>
      <c r="I17" s="50">
        <v>3</v>
      </c>
      <c r="J17" s="50">
        <v>0</v>
      </c>
      <c r="K17" s="50">
        <v>1</v>
      </c>
      <c r="L17" s="50">
        <v>0</v>
      </c>
      <c r="M17" s="50">
        <v>16</v>
      </c>
      <c r="N17" s="50">
        <v>0</v>
      </c>
      <c r="O17" s="15">
        <f t="shared" si="0"/>
        <v>16</v>
      </c>
      <c r="P17" s="15">
        <f t="shared" si="1"/>
        <v>32</v>
      </c>
      <c r="R17" s="1" t="s">
        <v>13</v>
      </c>
      <c r="S17" s="17">
        <f t="shared" ref="S17:AF17" si="9">SUM(C38:C41)</f>
        <v>30</v>
      </c>
      <c r="T17" s="17">
        <f t="shared" si="9"/>
        <v>10</v>
      </c>
      <c r="U17" s="17">
        <f t="shared" si="9"/>
        <v>5</v>
      </c>
      <c r="V17" s="17">
        <f t="shared" si="9"/>
        <v>10</v>
      </c>
      <c r="W17" s="17">
        <f t="shared" si="9"/>
        <v>0</v>
      </c>
      <c r="X17" s="17">
        <f t="shared" si="9"/>
        <v>8</v>
      </c>
      <c r="Y17" s="17">
        <f t="shared" si="9"/>
        <v>7</v>
      </c>
      <c r="Z17" s="17">
        <f t="shared" si="9"/>
        <v>9</v>
      </c>
      <c r="AA17" s="17">
        <f t="shared" si="9"/>
        <v>3</v>
      </c>
      <c r="AB17" s="17">
        <f t="shared" si="9"/>
        <v>0</v>
      </c>
      <c r="AC17" s="17">
        <f t="shared" si="9"/>
        <v>74</v>
      </c>
      <c r="AD17" s="17">
        <f t="shared" si="9"/>
        <v>0</v>
      </c>
      <c r="AE17" s="31">
        <f t="shared" si="9"/>
        <v>82</v>
      </c>
      <c r="AF17" s="31">
        <f t="shared" si="9"/>
        <v>156</v>
      </c>
    </row>
    <row r="18" spans="2:32" ht="23.1" customHeight="1" x14ac:dyDescent="0.25">
      <c r="B18" s="23" t="s">
        <v>45</v>
      </c>
      <c r="C18" s="50">
        <v>12</v>
      </c>
      <c r="D18" s="50">
        <v>5</v>
      </c>
      <c r="E18" s="50">
        <v>0</v>
      </c>
      <c r="F18" s="50">
        <v>5</v>
      </c>
      <c r="G18" s="50">
        <v>1</v>
      </c>
      <c r="H18" s="50">
        <v>2</v>
      </c>
      <c r="I18" s="50">
        <v>3</v>
      </c>
      <c r="J18" s="50">
        <v>4</v>
      </c>
      <c r="K18" s="50">
        <v>2</v>
      </c>
      <c r="L18" s="50">
        <v>0</v>
      </c>
      <c r="M18" s="50">
        <v>21</v>
      </c>
      <c r="N18" s="50">
        <v>0</v>
      </c>
      <c r="O18" s="15">
        <f t="shared" si="0"/>
        <v>34</v>
      </c>
      <c r="P18" s="15">
        <f t="shared" si="1"/>
        <v>55</v>
      </c>
      <c r="R18" s="1" t="s">
        <v>14</v>
      </c>
      <c r="S18" s="17">
        <f t="shared" ref="S18:AF18" si="10">SUM(C42:C45)</f>
        <v>32</v>
      </c>
      <c r="T18" s="17">
        <f t="shared" si="10"/>
        <v>19</v>
      </c>
      <c r="U18" s="17">
        <f t="shared" si="10"/>
        <v>10</v>
      </c>
      <c r="V18" s="17">
        <f t="shared" si="10"/>
        <v>23</v>
      </c>
      <c r="W18" s="17">
        <f t="shared" si="10"/>
        <v>1</v>
      </c>
      <c r="X18" s="17">
        <f t="shared" si="10"/>
        <v>8</v>
      </c>
      <c r="Y18" s="17">
        <f t="shared" si="10"/>
        <v>13</v>
      </c>
      <c r="Z18" s="17">
        <f t="shared" si="10"/>
        <v>6</v>
      </c>
      <c r="AA18" s="17">
        <f t="shared" si="10"/>
        <v>10</v>
      </c>
      <c r="AB18" s="17">
        <f t="shared" si="10"/>
        <v>1</v>
      </c>
      <c r="AC18" s="17">
        <f t="shared" si="10"/>
        <v>67</v>
      </c>
      <c r="AD18" s="17">
        <f t="shared" si="10"/>
        <v>0</v>
      </c>
      <c r="AE18" s="31">
        <f t="shared" si="10"/>
        <v>123</v>
      </c>
      <c r="AF18" s="31">
        <f t="shared" si="10"/>
        <v>190</v>
      </c>
    </row>
    <row r="19" spans="2:32" ht="23.1" customHeight="1" x14ac:dyDescent="0.25">
      <c r="B19" s="23" t="s">
        <v>46</v>
      </c>
      <c r="C19" s="50">
        <v>6</v>
      </c>
      <c r="D19" s="50">
        <v>4</v>
      </c>
      <c r="E19" s="50">
        <v>7</v>
      </c>
      <c r="F19" s="50">
        <v>5</v>
      </c>
      <c r="G19" s="50">
        <v>0</v>
      </c>
      <c r="H19" s="50">
        <v>1</v>
      </c>
      <c r="I19" s="50">
        <v>3</v>
      </c>
      <c r="J19" s="50">
        <v>3</v>
      </c>
      <c r="K19" s="50">
        <v>2</v>
      </c>
      <c r="L19" s="50">
        <v>0</v>
      </c>
      <c r="M19" s="50">
        <v>13</v>
      </c>
      <c r="N19" s="50">
        <v>0</v>
      </c>
      <c r="O19" s="15">
        <f t="shared" si="0"/>
        <v>31</v>
      </c>
      <c r="P19" s="15">
        <f t="shared" si="1"/>
        <v>44</v>
      </c>
      <c r="R19" s="1" t="s">
        <v>15</v>
      </c>
      <c r="S19" s="17">
        <f t="shared" ref="S19:AF19" si="11">SUM(C46:C49)</f>
        <v>38</v>
      </c>
      <c r="T19" s="17">
        <f t="shared" si="11"/>
        <v>19</v>
      </c>
      <c r="U19" s="17">
        <f t="shared" si="11"/>
        <v>11</v>
      </c>
      <c r="V19" s="17">
        <f t="shared" si="11"/>
        <v>20</v>
      </c>
      <c r="W19" s="17">
        <f t="shared" si="11"/>
        <v>0</v>
      </c>
      <c r="X19" s="17">
        <f t="shared" si="11"/>
        <v>5</v>
      </c>
      <c r="Y19" s="17">
        <f t="shared" si="11"/>
        <v>13</v>
      </c>
      <c r="Z19" s="17">
        <f t="shared" si="11"/>
        <v>10</v>
      </c>
      <c r="AA19" s="17">
        <f t="shared" si="11"/>
        <v>14</v>
      </c>
      <c r="AB19" s="17">
        <f t="shared" si="11"/>
        <v>3</v>
      </c>
      <c r="AC19" s="17">
        <f t="shared" si="11"/>
        <v>82</v>
      </c>
      <c r="AD19" s="17">
        <f t="shared" si="11"/>
        <v>0</v>
      </c>
      <c r="AE19" s="31">
        <f t="shared" si="11"/>
        <v>133</v>
      </c>
      <c r="AF19" s="31">
        <f t="shared" si="11"/>
        <v>215</v>
      </c>
    </row>
    <row r="20" spans="2:32" ht="23.1" customHeight="1" x14ac:dyDescent="0.25">
      <c r="B20" s="23" t="s">
        <v>47</v>
      </c>
      <c r="C20" s="50">
        <v>14</v>
      </c>
      <c r="D20" s="50">
        <v>8</v>
      </c>
      <c r="E20" s="50">
        <v>2</v>
      </c>
      <c r="F20" s="50">
        <v>4</v>
      </c>
      <c r="G20" s="50">
        <v>0</v>
      </c>
      <c r="H20" s="50">
        <v>1</v>
      </c>
      <c r="I20" s="50">
        <v>2</v>
      </c>
      <c r="J20" s="50">
        <v>1</v>
      </c>
      <c r="K20" s="50">
        <v>3</v>
      </c>
      <c r="L20" s="50">
        <v>0</v>
      </c>
      <c r="M20" s="50">
        <v>22</v>
      </c>
      <c r="N20" s="50">
        <v>0</v>
      </c>
      <c r="O20" s="15">
        <f t="shared" si="0"/>
        <v>35</v>
      </c>
      <c r="P20" s="15">
        <f t="shared" si="1"/>
        <v>57</v>
      </c>
      <c r="R20" s="1" t="s">
        <v>16</v>
      </c>
      <c r="S20" s="17">
        <f t="shared" ref="S20:AF20" si="12">SUM(C50:C53)</f>
        <v>32</v>
      </c>
      <c r="T20" s="17">
        <f t="shared" si="12"/>
        <v>13</v>
      </c>
      <c r="U20" s="17">
        <f t="shared" si="12"/>
        <v>11</v>
      </c>
      <c r="V20" s="17">
        <f t="shared" si="12"/>
        <v>16</v>
      </c>
      <c r="W20" s="17">
        <f t="shared" si="12"/>
        <v>0</v>
      </c>
      <c r="X20" s="17">
        <f t="shared" si="12"/>
        <v>9</v>
      </c>
      <c r="Y20" s="17">
        <f t="shared" si="12"/>
        <v>12</v>
      </c>
      <c r="Z20" s="17">
        <f t="shared" si="12"/>
        <v>8</v>
      </c>
      <c r="AA20" s="17">
        <f t="shared" si="12"/>
        <v>12</v>
      </c>
      <c r="AB20" s="17">
        <f t="shared" si="12"/>
        <v>3</v>
      </c>
      <c r="AC20" s="17">
        <f t="shared" si="12"/>
        <v>70</v>
      </c>
      <c r="AD20" s="17">
        <f t="shared" si="12"/>
        <v>0</v>
      </c>
      <c r="AE20" s="31">
        <f t="shared" si="12"/>
        <v>116</v>
      </c>
      <c r="AF20" s="31">
        <f t="shared" si="12"/>
        <v>186</v>
      </c>
    </row>
    <row r="21" spans="2:32" ht="23.1" customHeight="1" x14ac:dyDescent="0.25">
      <c r="B21" s="23" t="s">
        <v>48</v>
      </c>
      <c r="C21" s="50">
        <v>7</v>
      </c>
      <c r="D21" s="50">
        <v>7</v>
      </c>
      <c r="E21" s="50">
        <v>4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13</v>
      </c>
      <c r="N21" s="50">
        <v>0</v>
      </c>
      <c r="O21" s="15">
        <f t="shared" si="0"/>
        <v>19</v>
      </c>
      <c r="P21" s="15">
        <f t="shared" si="1"/>
        <v>32</v>
      </c>
      <c r="R21" s="36" t="s">
        <v>20</v>
      </c>
      <c r="S21" s="34">
        <f t="shared" ref="S21:AF21" si="13">SUM(C54:C57)</f>
        <v>25</v>
      </c>
      <c r="T21" s="17">
        <f t="shared" si="13"/>
        <v>5</v>
      </c>
      <c r="U21" s="17">
        <f t="shared" si="13"/>
        <v>11</v>
      </c>
      <c r="V21" s="17">
        <f t="shared" si="13"/>
        <v>16</v>
      </c>
      <c r="W21" s="17">
        <f t="shared" si="13"/>
        <v>3</v>
      </c>
      <c r="X21" s="17">
        <f t="shared" si="13"/>
        <v>3</v>
      </c>
      <c r="Y21" s="17">
        <f t="shared" si="13"/>
        <v>8</v>
      </c>
      <c r="Z21" s="17">
        <f t="shared" si="13"/>
        <v>9</v>
      </c>
      <c r="AA21" s="17">
        <f t="shared" si="13"/>
        <v>11</v>
      </c>
      <c r="AB21" s="17">
        <f t="shared" si="13"/>
        <v>0</v>
      </c>
      <c r="AC21" s="17">
        <f t="shared" si="13"/>
        <v>64</v>
      </c>
      <c r="AD21" s="17">
        <f t="shared" si="13"/>
        <v>0</v>
      </c>
      <c r="AE21" s="31">
        <f t="shared" si="13"/>
        <v>91</v>
      </c>
      <c r="AF21" s="31">
        <f t="shared" si="13"/>
        <v>155</v>
      </c>
    </row>
    <row r="22" spans="2:32" ht="23.1" customHeight="1" x14ac:dyDescent="0.25">
      <c r="B22" s="23" t="s">
        <v>49</v>
      </c>
      <c r="C22" s="50">
        <v>10</v>
      </c>
      <c r="D22" s="50">
        <v>6</v>
      </c>
      <c r="E22" s="50">
        <v>6</v>
      </c>
      <c r="F22" s="50">
        <v>4</v>
      </c>
      <c r="G22" s="50">
        <v>1</v>
      </c>
      <c r="H22" s="50">
        <v>2</v>
      </c>
      <c r="I22" s="50">
        <v>4</v>
      </c>
      <c r="J22" s="50">
        <v>4</v>
      </c>
      <c r="K22" s="50">
        <v>1</v>
      </c>
      <c r="L22" s="50">
        <v>0</v>
      </c>
      <c r="M22" s="50">
        <v>19</v>
      </c>
      <c r="N22" s="50">
        <v>0</v>
      </c>
      <c r="O22" s="15">
        <f t="shared" si="0"/>
        <v>38</v>
      </c>
      <c r="P22" s="15">
        <f t="shared" si="1"/>
        <v>57</v>
      </c>
      <c r="R22" s="38" t="s">
        <v>90</v>
      </c>
      <c r="S22" s="39">
        <f>MAX(S10:S12)</f>
        <v>39</v>
      </c>
      <c r="T22" s="39">
        <f t="shared" ref="T22:AF22" si="14">MAX(T10:T12)</f>
        <v>24</v>
      </c>
      <c r="U22" s="39">
        <f t="shared" si="14"/>
        <v>13</v>
      </c>
      <c r="V22" s="39">
        <f t="shared" si="14"/>
        <v>19</v>
      </c>
      <c r="W22" s="39">
        <f t="shared" si="14"/>
        <v>3</v>
      </c>
      <c r="X22" s="39">
        <f t="shared" si="14"/>
        <v>4</v>
      </c>
      <c r="Y22" s="39">
        <f t="shared" si="14"/>
        <v>8</v>
      </c>
      <c r="Z22" s="39">
        <f t="shared" si="14"/>
        <v>8</v>
      </c>
      <c r="AA22" s="39">
        <f t="shared" si="14"/>
        <v>13</v>
      </c>
      <c r="AB22" s="39">
        <f t="shared" si="14"/>
        <v>0</v>
      </c>
      <c r="AC22" s="39">
        <f t="shared" si="14"/>
        <v>69</v>
      </c>
      <c r="AD22" s="39">
        <f t="shared" si="14"/>
        <v>0</v>
      </c>
      <c r="AE22" s="40">
        <f t="shared" si="14"/>
        <v>119</v>
      </c>
      <c r="AF22" s="40">
        <f t="shared" si="14"/>
        <v>188</v>
      </c>
    </row>
    <row r="23" spans="2:32" ht="23.1" customHeight="1" x14ac:dyDescent="0.25">
      <c r="B23" s="23" t="s">
        <v>50</v>
      </c>
      <c r="C23" s="50">
        <v>3</v>
      </c>
      <c r="D23" s="50">
        <v>7</v>
      </c>
      <c r="E23" s="50">
        <v>3</v>
      </c>
      <c r="F23" s="50">
        <v>6</v>
      </c>
      <c r="G23" s="50">
        <v>0</v>
      </c>
      <c r="H23" s="50">
        <v>1</v>
      </c>
      <c r="I23" s="50">
        <v>1</v>
      </c>
      <c r="J23" s="50">
        <v>0</v>
      </c>
      <c r="K23" s="50">
        <v>1</v>
      </c>
      <c r="L23" s="50">
        <v>0</v>
      </c>
      <c r="M23" s="50">
        <v>15</v>
      </c>
      <c r="N23" s="50">
        <v>0</v>
      </c>
      <c r="O23" s="15">
        <f t="shared" si="0"/>
        <v>22</v>
      </c>
      <c r="P23" s="15">
        <f t="shared" si="1"/>
        <v>37</v>
      </c>
      <c r="R23" s="38" t="s">
        <v>91</v>
      </c>
      <c r="S23" s="39">
        <f>MAX(S13:S18)</f>
        <v>45</v>
      </c>
      <c r="T23" s="39">
        <f t="shared" ref="T23:AF23" si="15">MAX(T13:T18)</f>
        <v>21</v>
      </c>
      <c r="U23" s="39">
        <f t="shared" si="15"/>
        <v>14</v>
      </c>
      <c r="V23" s="39">
        <f t="shared" si="15"/>
        <v>26</v>
      </c>
      <c r="W23" s="39">
        <f t="shared" si="15"/>
        <v>2</v>
      </c>
      <c r="X23" s="39">
        <f t="shared" si="15"/>
        <v>8</v>
      </c>
      <c r="Y23" s="39">
        <f t="shared" si="15"/>
        <v>16</v>
      </c>
      <c r="Z23" s="39">
        <f t="shared" si="15"/>
        <v>9</v>
      </c>
      <c r="AA23" s="39">
        <f t="shared" si="15"/>
        <v>10</v>
      </c>
      <c r="AB23" s="39">
        <f t="shared" si="15"/>
        <v>1</v>
      </c>
      <c r="AC23" s="39">
        <f t="shared" si="15"/>
        <v>98</v>
      </c>
      <c r="AD23" s="39">
        <f t="shared" si="15"/>
        <v>0</v>
      </c>
      <c r="AE23" s="40">
        <f t="shared" si="15"/>
        <v>124</v>
      </c>
      <c r="AF23" s="40">
        <f t="shared" si="15"/>
        <v>222</v>
      </c>
    </row>
    <row r="24" spans="2:32" ht="23.1" customHeight="1" x14ac:dyDescent="0.25">
      <c r="B24" s="23" t="s">
        <v>51</v>
      </c>
      <c r="C24" s="50">
        <v>3</v>
      </c>
      <c r="D24" s="50">
        <v>7</v>
      </c>
      <c r="E24" s="50">
        <v>3</v>
      </c>
      <c r="F24" s="50">
        <v>6</v>
      </c>
      <c r="G24" s="50">
        <v>0</v>
      </c>
      <c r="H24" s="50">
        <v>1</v>
      </c>
      <c r="I24" s="50">
        <v>1</v>
      </c>
      <c r="J24" s="50">
        <v>0</v>
      </c>
      <c r="K24" s="50">
        <v>1</v>
      </c>
      <c r="L24" s="50">
        <v>0</v>
      </c>
      <c r="M24" s="50">
        <v>15</v>
      </c>
      <c r="N24" s="50">
        <v>0</v>
      </c>
      <c r="O24" s="15">
        <f t="shared" si="0"/>
        <v>22</v>
      </c>
      <c r="P24" s="15">
        <f t="shared" si="1"/>
        <v>37</v>
      </c>
      <c r="R24" s="38" t="s">
        <v>92</v>
      </c>
      <c r="S24" s="39">
        <f>MAX(S19:S21)</f>
        <v>38</v>
      </c>
      <c r="T24" s="39">
        <f t="shared" ref="T24:AF24" si="16">MAX(T19:T21)</f>
        <v>19</v>
      </c>
      <c r="U24" s="39">
        <f t="shared" si="16"/>
        <v>11</v>
      </c>
      <c r="V24" s="39">
        <f t="shared" si="16"/>
        <v>20</v>
      </c>
      <c r="W24" s="39">
        <f t="shared" si="16"/>
        <v>3</v>
      </c>
      <c r="X24" s="39">
        <f t="shared" si="16"/>
        <v>9</v>
      </c>
      <c r="Y24" s="39">
        <f t="shared" si="16"/>
        <v>13</v>
      </c>
      <c r="Z24" s="39">
        <f t="shared" si="16"/>
        <v>10</v>
      </c>
      <c r="AA24" s="39">
        <f t="shared" si="16"/>
        <v>14</v>
      </c>
      <c r="AB24" s="39">
        <f t="shared" si="16"/>
        <v>3</v>
      </c>
      <c r="AC24" s="39">
        <f t="shared" si="16"/>
        <v>82</v>
      </c>
      <c r="AD24" s="39">
        <f t="shared" si="16"/>
        <v>0</v>
      </c>
      <c r="AE24" s="40">
        <f t="shared" si="16"/>
        <v>133</v>
      </c>
      <c r="AF24" s="40">
        <f t="shared" si="16"/>
        <v>215</v>
      </c>
    </row>
    <row r="25" spans="2:32" ht="23.1" customHeight="1" x14ac:dyDescent="0.25">
      <c r="B25" s="23" t="s">
        <v>52</v>
      </c>
      <c r="C25" s="50">
        <v>13</v>
      </c>
      <c r="D25" s="50">
        <v>1</v>
      </c>
      <c r="E25" s="50">
        <v>0</v>
      </c>
      <c r="F25" s="50">
        <v>4</v>
      </c>
      <c r="G25" s="50">
        <v>0</v>
      </c>
      <c r="H25" s="50">
        <v>1</v>
      </c>
      <c r="I25" s="50">
        <v>1</v>
      </c>
      <c r="J25" s="50">
        <v>1</v>
      </c>
      <c r="K25" s="50">
        <v>1</v>
      </c>
      <c r="L25" s="50">
        <v>0</v>
      </c>
      <c r="M25" s="50">
        <v>11</v>
      </c>
      <c r="N25" s="50">
        <v>0</v>
      </c>
      <c r="O25" s="15">
        <f t="shared" si="0"/>
        <v>22</v>
      </c>
      <c r="P25" s="15">
        <f t="shared" si="1"/>
        <v>33</v>
      </c>
      <c r="R25" s="37" t="s">
        <v>85</v>
      </c>
      <c r="S25" s="35">
        <f t="shared" ref="S25:AF25" si="17">SUM(S10:S12)</f>
        <v>89</v>
      </c>
      <c r="T25" s="16">
        <f t="shared" si="17"/>
        <v>54</v>
      </c>
      <c r="U25" s="16">
        <f t="shared" si="17"/>
        <v>31</v>
      </c>
      <c r="V25" s="16">
        <f t="shared" si="17"/>
        <v>43</v>
      </c>
      <c r="W25" s="16">
        <f t="shared" si="17"/>
        <v>4</v>
      </c>
      <c r="X25" s="16">
        <f t="shared" si="17"/>
        <v>5</v>
      </c>
      <c r="Y25" s="16">
        <f t="shared" si="17"/>
        <v>19</v>
      </c>
      <c r="Z25" s="16">
        <f t="shared" si="17"/>
        <v>11</v>
      </c>
      <c r="AA25" s="16">
        <f t="shared" si="17"/>
        <v>27</v>
      </c>
      <c r="AB25" s="16">
        <f t="shared" si="17"/>
        <v>0</v>
      </c>
      <c r="AC25" s="16">
        <f t="shared" si="17"/>
        <v>187</v>
      </c>
      <c r="AD25" s="16">
        <f t="shared" si="17"/>
        <v>0</v>
      </c>
      <c r="AE25" s="32">
        <f t="shared" si="17"/>
        <v>283</v>
      </c>
      <c r="AF25" s="32">
        <f t="shared" si="17"/>
        <v>470</v>
      </c>
    </row>
    <row r="26" spans="2:32" ht="23.1" customHeight="1" x14ac:dyDescent="0.25">
      <c r="B26" s="23" t="s">
        <v>53</v>
      </c>
      <c r="C26" s="50">
        <v>7</v>
      </c>
      <c r="D26" s="50">
        <v>3</v>
      </c>
      <c r="E26" s="50">
        <v>3</v>
      </c>
      <c r="F26" s="50">
        <v>5</v>
      </c>
      <c r="G26" s="50">
        <v>0</v>
      </c>
      <c r="H26" s="50">
        <v>2</v>
      </c>
      <c r="I26" s="50">
        <v>0</v>
      </c>
      <c r="J26" s="50">
        <v>1</v>
      </c>
      <c r="K26" s="50">
        <v>2</v>
      </c>
      <c r="L26" s="50">
        <v>0</v>
      </c>
      <c r="M26" s="50">
        <v>16</v>
      </c>
      <c r="N26" s="50">
        <v>0</v>
      </c>
      <c r="O26" s="15">
        <f t="shared" si="0"/>
        <v>23</v>
      </c>
      <c r="P26" s="15">
        <f t="shared" si="1"/>
        <v>39</v>
      </c>
      <c r="R26" s="28" t="s">
        <v>86</v>
      </c>
      <c r="S26" s="16">
        <f t="shared" ref="S26:AF26" si="18">SUM(S13:S18)</f>
        <v>209</v>
      </c>
      <c r="T26" s="16">
        <f t="shared" si="18"/>
        <v>86</v>
      </c>
      <c r="U26" s="16">
        <f t="shared" si="18"/>
        <v>63</v>
      </c>
      <c r="V26" s="16">
        <f t="shared" si="18"/>
        <v>124</v>
      </c>
      <c r="W26" s="16">
        <f t="shared" si="18"/>
        <v>5</v>
      </c>
      <c r="X26" s="16">
        <f t="shared" si="18"/>
        <v>37</v>
      </c>
      <c r="Y26" s="16">
        <f t="shared" si="18"/>
        <v>52</v>
      </c>
      <c r="Z26" s="16">
        <f t="shared" si="18"/>
        <v>35</v>
      </c>
      <c r="AA26" s="16">
        <f t="shared" si="18"/>
        <v>41</v>
      </c>
      <c r="AB26" s="16">
        <f t="shared" si="18"/>
        <v>2</v>
      </c>
      <c r="AC26" s="16">
        <f t="shared" si="18"/>
        <v>435</v>
      </c>
      <c r="AD26" s="16">
        <f t="shared" si="18"/>
        <v>0</v>
      </c>
      <c r="AE26" s="32">
        <f t="shared" si="18"/>
        <v>654</v>
      </c>
      <c r="AF26" s="32">
        <f t="shared" si="18"/>
        <v>1089</v>
      </c>
    </row>
    <row r="27" spans="2:32" ht="23.1" customHeight="1" x14ac:dyDescent="0.25">
      <c r="B27" s="23" t="s">
        <v>54</v>
      </c>
      <c r="C27" s="50">
        <v>8</v>
      </c>
      <c r="D27" s="50">
        <v>2</v>
      </c>
      <c r="E27" s="50">
        <v>4</v>
      </c>
      <c r="F27" s="50">
        <v>5</v>
      </c>
      <c r="G27" s="50">
        <v>0</v>
      </c>
      <c r="H27" s="50">
        <v>0</v>
      </c>
      <c r="I27" s="50">
        <v>1</v>
      </c>
      <c r="J27" s="50">
        <v>1</v>
      </c>
      <c r="K27" s="50">
        <v>1</v>
      </c>
      <c r="L27" s="50">
        <v>0</v>
      </c>
      <c r="M27" s="50">
        <v>17</v>
      </c>
      <c r="N27" s="50">
        <v>0</v>
      </c>
      <c r="O27" s="15">
        <f t="shared" si="0"/>
        <v>22</v>
      </c>
      <c r="P27" s="15">
        <f t="shared" si="1"/>
        <v>39</v>
      </c>
      <c r="R27" s="29" t="s">
        <v>87</v>
      </c>
      <c r="S27" s="16">
        <f t="shared" ref="S27:AF27" si="19">SUM(S19:S21)</f>
        <v>95</v>
      </c>
      <c r="T27" s="16">
        <f t="shared" si="19"/>
        <v>37</v>
      </c>
      <c r="U27" s="16">
        <f t="shared" si="19"/>
        <v>33</v>
      </c>
      <c r="V27" s="16">
        <f t="shared" si="19"/>
        <v>52</v>
      </c>
      <c r="W27" s="16">
        <f t="shared" si="19"/>
        <v>3</v>
      </c>
      <c r="X27" s="16">
        <f t="shared" si="19"/>
        <v>17</v>
      </c>
      <c r="Y27" s="16">
        <f t="shared" si="19"/>
        <v>33</v>
      </c>
      <c r="Z27" s="16">
        <f t="shared" si="19"/>
        <v>27</v>
      </c>
      <c r="AA27" s="16">
        <f t="shared" si="19"/>
        <v>37</v>
      </c>
      <c r="AB27" s="16">
        <f t="shared" si="19"/>
        <v>6</v>
      </c>
      <c r="AC27" s="16">
        <f t="shared" si="19"/>
        <v>216</v>
      </c>
      <c r="AD27" s="16">
        <f t="shared" si="19"/>
        <v>0</v>
      </c>
      <c r="AE27" s="32">
        <f t="shared" si="19"/>
        <v>340</v>
      </c>
      <c r="AF27" s="32">
        <f t="shared" si="19"/>
        <v>556</v>
      </c>
    </row>
    <row r="28" spans="2:32" ht="23.1" customHeight="1" x14ac:dyDescent="0.25">
      <c r="B28" s="23" t="s">
        <v>55</v>
      </c>
      <c r="C28" s="50">
        <v>9</v>
      </c>
      <c r="D28" s="50">
        <v>5</v>
      </c>
      <c r="E28" s="50">
        <v>6</v>
      </c>
      <c r="F28" s="50">
        <v>4</v>
      </c>
      <c r="G28" s="50">
        <v>0</v>
      </c>
      <c r="H28" s="50">
        <v>2</v>
      </c>
      <c r="I28" s="50">
        <v>0</v>
      </c>
      <c r="J28" s="50">
        <v>1</v>
      </c>
      <c r="K28" s="50">
        <v>2</v>
      </c>
      <c r="L28" s="50">
        <v>0</v>
      </c>
      <c r="M28" s="50">
        <v>19</v>
      </c>
      <c r="N28" s="50">
        <v>0</v>
      </c>
      <c r="O28" s="15">
        <f t="shared" si="0"/>
        <v>29</v>
      </c>
      <c r="P28" s="15">
        <f t="shared" si="1"/>
        <v>48</v>
      </c>
      <c r="R28" s="5" t="s">
        <v>17</v>
      </c>
      <c r="S28" s="16">
        <f t="shared" ref="S28:AF28" si="20">SUM(S10:S21)</f>
        <v>393</v>
      </c>
      <c r="T28" s="16">
        <f t="shared" si="20"/>
        <v>177</v>
      </c>
      <c r="U28" s="16">
        <f t="shared" si="20"/>
        <v>127</v>
      </c>
      <c r="V28" s="16">
        <f t="shared" si="20"/>
        <v>219</v>
      </c>
      <c r="W28" s="16">
        <f t="shared" si="20"/>
        <v>12</v>
      </c>
      <c r="X28" s="16">
        <f t="shared" si="20"/>
        <v>59</v>
      </c>
      <c r="Y28" s="16">
        <f t="shared" si="20"/>
        <v>104</v>
      </c>
      <c r="Z28" s="16">
        <f t="shared" si="20"/>
        <v>73</v>
      </c>
      <c r="AA28" s="16">
        <f t="shared" si="20"/>
        <v>105</v>
      </c>
      <c r="AB28" s="16">
        <f t="shared" si="20"/>
        <v>8</v>
      </c>
      <c r="AC28" s="16">
        <f t="shared" si="20"/>
        <v>838</v>
      </c>
      <c r="AD28" s="16">
        <f t="shared" si="20"/>
        <v>0</v>
      </c>
      <c r="AE28" s="32">
        <f t="shared" si="20"/>
        <v>1277</v>
      </c>
      <c r="AF28" s="32">
        <f t="shared" si="20"/>
        <v>2115</v>
      </c>
    </row>
    <row r="29" spans="2:32" ht="23.1" customHeight="1" x14ac:dyDescent="0.25">
      <c r="B29" s="23" t="s">
        <v>56</v>
      </c>
      <c r="C29" s="50">
        <v>8</v>
      </c>
      <c r="D29" s="50">
        <v>4</v>
      </c>
      <c r="E29" s="50">
        <v>1</v>
      </c>
      <c r="F29" s="50">
        <v>9</v>
      </c>
      <c r="G29" s="50">
        <v>0</v>
      </c>
      <c r="H29" s="50">
        <v>1</v>
      </c>
      <c r="I29" s="50">
        <v>2</v>
      </c>
      <c r="J29" s="50">
        <v>1</v>
      </c>
      <c r="K29" s="50">
        <v>3</v>
      </c>
      <c r="L29" s="50">
        <v>0</v>
      </c>
      <c r="M29" s="50">
        <v>12</v>
      </c>
      <c r="N29" s="50">
        <v>0</v>
      </c>
      <c r="O29" s="15">
        <f t="shared" si="0"/>
        <v>29</v>
      </c>
      <c r="P29" s="15">
        <f t="shared" si="1"/>
        <v>41</v>
      </c>
      <c r="R29"/>
      <c r="S29" s="20"/>
      <c r="T29" s="19"/>
    </row>
    <row r="30" spans="2:32" ht="23.1" customHeight="1" x14ac:dyDescent="0.25">
      <c r="B30" s="23" t="s">
        <v>57</v>
      </c>
      <c r="C30" s="50">
        <v>12</v>
      </c>
      <c r="D30" s="50">
        <v>1</v>
      </c>
      <c r="E30" s="50">
        <v>4</v>
      </c>
      <c r="F30" s="50">
        <v>4</v>
      </c>
      <c r="G30" s="50">
        <v>0</v>
      </c>
      <c r="H30" s="50">
        <v>3</v>
      </c>
      <c r="I30" s="50">
        <v>2</v>
      </c>
      <c r="J30" s="50">
        <v>0</v>
      </c>
      <c r="K30" s="50">
        <v>0</v>
      </c>
      <c r="L30" s="50">
        <v>0</v>
      </c>
      <c r="M30" s="50">
        <v>28</v>
      </c>
      <c r="N30" s="50">
        <v>0</v>
      </c>
      <c r="O30" s="15">
        <f t="shared" si="0"/>
        <v>26</v>
      </c>
      <c r="P30" s="15">
        <f t="shared" si="1"/>
        <v>54</v>
      </c>
    </row>
    <row r="31" spans="2:32" ht="23.1" customHeight="1" x14ac:dyDescent="0.25">
      <c r="B31" s="24" t="s">
        <v>58</v>
      </c>
      <c r="C31" s="50">
        <v>15</v>
      </c>
      <c r="D31" s="50">
        <v>9</v>
      </c>
      <c r="E31" s="50">
        <v>4</v>
      </c>
      <c r="F31" s="50">
        <v>7</v>
      </c>
      <c r="G31" s="50">
        <v>0</v>
      </c>
      <c r="H31" s="50">
        <v>0</v>
      </c>
      <c r="I31" s="50">
        <v>4</v>
      </c>
      <c r="J31" s="50">
        <v>1</v>
      </c>
      <c r="K31" s="50">
        <v>4</v>
      </c>
      <c r="L31" s="50">
        <v>1</v>
      </c>
      <c r="M31" s="50">
        <v>20</v>
      </c>
      <c r="N31" s="50">
        <v>0</v>
      </c>
      <c r="O31" s="15">
        <f t="shared" si="0"/>
        <v>45</v>
      </c>
      <c r="P31" s="15">
        <f t="shared" si="1"/>
        <v>65</v>
      </c>
    </row>
    <row r="32" spans="2:32" ht="23.1" customHeight="1" x14ac:dyDescent="0.25">
      <c r="B32" s="24" t="s">
        <v>59</v>
      </c>
      <c r="C32" s="50">
        <v>14</v>
      </c>
      <c r="D32" s="50">
        <v>3</v>
      </c>
      <c r="E32" s="50">
        <v>3</v>
      </c>
      <c r="F32" s="50">
        <v>9</v>
      </c>
      <c r="G32" s="50">
        <v>0</v>
      </c>
      <c r="H32" s="50">
        <v>0</v>
      </c>
      <c r="I32" s="50">
        <v>0</v>
      </c>
      <c r="J32" s="50">
        <v>3</v>
      </c>
      <c r="K32" s="50">
        <v>2</v>
      </c>
      <c r="L32" s="50">
        <v>0</v>
      </c>
      <c r="M32" s="50">
        <v>27</v>
      </c>
      <c r="N32" s="50">
        <v>0</v>
      </c>
      <c r="O32" s="15">
        <f t="shared" si="0"/>
        <v>34</v>
      </c>
      <c r="P32" s="15">
        <f t="shared" si="1"/>
        <v>61</v>
      </c>
    </row>
    <row r="33" spans="2:20" ht="23.1" customHeight="1" x14ac:dyDescent="0.25">
      <c r="B33" s="23" t="s">
        <v>60</v>
      </c>
      <c r="C33" s="50">
        <v>4</v>
      </c>
      <c r="D33" s="50">
        <v>1</v>
      </c>
      <c r="E33" s="50">
        <v>3</v>
      </c>
      <c r="F33" s="50">
        <v>6</v>
      </c>
      <c r="G33" s="50">
        <v>2</v>
      </c>
      <c r="H33" s="50">
        <v>2</v>
      </c>
      <c r="I33" s="50">
        <v>0</v>
      </c>
      <c r="J33" s="50">
        <v>1</v>
      </c>
      <c r="K33" s="50">
        <v>0</v>
      </c>
      <c r="L33" s="50">
        <v>0</v>
      </c>
      <c r="M33" s="50">
        <v>23</v>
      </c>
      <c r="N33" s="50">
        <v>0</v>
      </c>
      <c r="O33" s="15">
        <f t="shared" si="0"/>
        <v>19</v>
      </c>
      <c r="P33" s="15">
        <f t="shared" si="1"/>
        <v>42</v>
      </c>
    </row>
    <row r="34" spans="2:20" ht="23.1" customHeight="1" x14ac:dyDescent="0.25">
      <c r="B34" s="24" t="s">
        <v>61</v>
      </c>
      <c r="C34" s="50">
        <v>17</v>
      </c>
      <c r="D34" s="50">
        <v>0</v>
      </c>
      <c r="E34" s="50">
        <v>2</v>
      </c>
      <c r="F34" s="50">
        <v>8</v>
      </c>
      <c r="G34" s="50">
        <v>1</v>
      </c>
      <c r="H34" s="50">
        <v>2</v>
      </c>
      <c r="I34" s="50">
        <v>4</v>
      </c>
      <c r="J34" s="50">
        <v>4</v>
      </c>
      <c r="K34" s="50">
        <v>2</v>
      </c>
      <c r="L34" s="50">
        <v>0</v>
      </c>
      <c r="M34" s="50">
        <v>23</v>
      </c>
      <c r="N34" s="50">
        <v>0</v>
      </c>
      <c r="O34" s="15">
        <f t="shared" si="0"/>
        <v>40</v>
      </c>
      <c r="P34" s="15">
        <f t="shared" si="1"/>
        <v>63</v>
      </c>
    </row>
    <row r="35" spans="2:20" ht="23.1" customHeight="1" x14ac:dyDescent="0.25">
      <c r="B35" s="24" t="s">
        <v>62</v>
      </c>
      <c r="C35" s="50">
        <v>6</v>
      </c>
      <c r="D35" s="50">
        <v>3</v>
      </c>
      <c r="E35" s="50">
        <v>2</v>
      </c>
      <c r="F35" s="50">
        <v>4</v>
      </c>
      <c r="G35" s="50">
        <v>0</v>
      </c>
      <c r="H35" s="50">
        <v>2</v>
      </c>
      <c r="I35" s="50">
        <v>7</v>
      </c>
      <c r="J35" s="50">
        <v>0</v>
      </c>
      <c r="K35" s="50">
        <v>1</v>
      </c>
      <c r="L35" s="50">
        <v>0</v>
      </c>
      <c r="M35" s="50">
        <v>10</v>
      </c>
      <c r="N35" s="50">
        <v>0</v>
      </c>
      <c r="O35" s="15">
        <f t="shared" si="0"/>
        <v>25</v>
      </c>
      <c r="P35" s="15">
        <f t="shared" si="1"/>
        <v>35</v>
      </c>
    </row>
    <row r="36" spans="2:20" ht="23.1" customHeight="1" x14ac:dyDescent="0.25">
      <c r="B36" s="24" t="s">
        <v>63</v>
      </c>
      <c r="C36" s="50">
        <v>7</v>
      </c>
      <c r="D36" s="50">
        <v>4</v>
      </c>
      <c r="E36" s="50">
        <v>4</v>
      </c>
      <c r="F36" s="50">
        <v>5</v>
      </c>
      <c r="G36" s="50">
        <v>0</v>
      </c>
      <c r="H36" s="50">
        <v>1</v>
      </c>
      <c r="I36" s="50">
        <v>1</v>
      </c>
      <c r="J36" s="50">
        <v>2</v>
      </c>
      <c r="K36" s="50">
        <v>5</v>
      </c>
      <c r="L36" s="50">
        <v>0</v>
      </c>
      <c r="M36" s="50">
        <v>22</v>
      </c>
      <c r="N36" s="50">
        <v>0</v>
      </c>
      <c r="O36" s="15">
        <f t="shared" si="0"/>
        <v>29</v>
      </c>
      <c r="P36" s="15">
        <f t="shared" si="1"/>
        <v>51</v>
      </c>
    </row>
    <row r="37" spans="2:20" ht="23.1" customHeight="1" x14ac:dyDescent="0.25">
      <c r="B37" s="23" t="s">
        <v>64</v>
      </c>
      <c r="C37" s="50">
        <v>11</v>
      </c>
      <c r="D37" s="50">
        <v>1</v>
      </c>
      <c r="E37" s="50">
        <v>0</v>
      </c>
      <c r="F37" s="50">
        <v>5</v>
      </c>
      <c r="G37" s="50">
        <v>0</v>
      </c>
      <c r="H37" s="50">
        <v>1</v>
      </c>
      <c r="I37" s="50">
        <v>4</v>
      </c>
      <c r="J37" s="50">
        <v>0</v>
      </c>
      <c r="K37" s="50">
        <v>2</v>
      </c>
      <c r="L37" s="50">
        <v>0</v>
      </c>
      <c r="M37" s="50">
        <v>17</v>
      </c>
      <c r="N37" s="50">
        <v>0</v>
      </c>
      <c r="O37" s="15">
        <f t="shared" si="0"/>
        <v>24</v>
      </c>
      <c r="P37" s="15">
        <f t="shared" si="1"/>
        <v>41</v>
      </c>
    </row>
    <row r="38" spans="2:20" ht="23.1" customHeight="1" x14ac:dyDescent="0.25">
      <c r="B38" s="24" t="s">
        <v>65</v>
      </c>
      <c r="C38" s="50">
        <v>7</v>
      </c>
      <c r="D38" s="50">
        <v>3</v>
      </c>
      <c r="E38" s="50">
        <v>2</v>
      </c>
      <c r="F38" s="50">
        <v>0</v>
      </c>
      <c r="G38" s="50">
        <v>0</v>
      </c>
      <c r="H38" s="50">
        <v>1</v>
      </c>
      <c r="I38" s="50">
        <v>0</v>
      </c>
      <c r="J38" s="50">
        <v>4</v>
      </c>
      <c r="K38" s="50">
        <v>0</v>
      </c>
      <c r="L38" s="50">
        <v>0</v>
      </c>
      <c r="M38" s="50">
        <v>15</v>
      </c>
      <c r="N38" s="50">
        <v>0</v>
      </c>
      <c r="O38" s="15">
        <f t="shared" si="0"/>
        <v>17</v>
      </c>
      <c r="P38" s="15">
        <f t="shared" si="1"/>
        <v>32</v>
      </c>
    </row>
    <row r="39" spans="2:20" ht="23.1" customHeight="1" x14ac:dyDescent="0.25">
      <c r="B39" s="24" t="s">
        <v>66</v>
      </c>
      <c r="C39" s="50">
        <v>3</v>
      </c>
      <c r="D39" s="50">
        <v>3</v>
      </c>
      <c r="E39" s="50">
        <v>0</v>
      </c>
      <c r="F39" s="50">
        <v>6</v>
      </c>
      <c r="G39" s="50">
        <v>0</v>
      </c>
      <c r="H39" s="50">
        <v>3</v>
      </c>
      <c r="I39" s="50">
        <v>3</v>
      </c>
      <c r="J39" s="50">
        <v>2</v>
      </c>
      <c r="K39" s="50">
        <v>0</v>
      </c>
      <c r="L39" s="50">
        <v>0</v>
      </c>
      <c r="M39" s="50">
        <v>24</v>
      </c>
      <c r="N39" s="50">
        <v>0</v>
      </c>
      <c r="O39" s="15">
        <f t="shared" si="0"/>
        <v>20</v>
      </c>
      <c r="P39" s="15">
        <f t="shared" si="1"/>
        <v>44</v>
      </c>
    </row>
    <row r="40" spans="2:20" ht="23.1" customHeight="1" x14ac:dyDescent="0.25">
      <c r="B40" s="24" t="s">
        <v>67</v>
      </c>
      <c r="C40" s="50">
        <v>11</v>
      </c>
      <c r="D40" s="50">
        <v>2</v>
      </c>
      <c r="E40" s="50">
        <v>3</v>
      </c>
      <c r="F40" s="50">
        <v>4</v>
      </c>
      <c r="G40" s="50">
        <v>0</v>
      </c>
      <c r="H40" s="50">
        <v>2</v>
      </c>
      <c r="I40" s="50">
        <v>2</v>
      </c>
      <c r="J40" s="50">
        <v>2</v>
      </c>
      <c r="K40" s="50">
        <v>2</v>
      </c>
      <c r="L40" s="50">
        <v>0</v>
      </c>
      <c r="M40" s="50">
        <v>22</v>
      </c>
      <c r="N40" s="50">
        <v>0</v>
      </c>
      <c r="O40" s="15">
        <f t="shared" si="0"/>
        <v>28</v>
      </c>
      <c r="P40" s="15">
        <f t="shared" si="1"/>
        <v>50</v>
      </c>
    </row>
    <row r="41" spans="2:20" ht="23.1" customHeight="1" x14ac:dyDescent="0.25">
      <c r="B41" s="23" t="s">
        <v>68</v>
      </c>
      <c r="C41" s="50">
        <v>9</v>
      </c>
      <c r="D41" s="50">
        <v>2</v>
      </c>
      <c r="E41" s="50">
        <v>0</v>
      </c>
      <c r="F41" s="50">
        <v>0</v>
      </c>
      <c r="G41" s="50">
        <v>0</v>
      </c>
      <c r="H41" s="50">
        <v>2</v>
      </c>
      <c r="I41" s="50">
        <v>2</v>
      </c>
      <c r="J41" s="50">
        <v>1</v>
      </c>
      <c r="K41" s="50">
        <v>1</v>
      </c>
      <c r="L41" s="50">
        <v>0</v>
      </c>
      <c r="M41" s="50">
        <v>13</v>
      </c>
      <c r="N41" s="50">
        <v>0</v>
      </c>
      <c r="O41" s="15">
        <f t="shared" si="0"/>
        <v>17</v>
      </c>
      <c r="P41" s="15">
        <f t="shared" si="1"/>
        <v>30</v>
      </c>
    </row>
    <row r="42" spans="2:20" ht="23.1" customHeight="1" x14ac:dyDescent="0.25">
      <c r="B42" s="24" t="s">
        <v>69</v>
      </c>
      <c r="C42" s="50">
        <v>12</v>
      </c>
      <c r="D42" s="50">
        <v>8</v>
      </c>
      <c r="E42" s="50">
        <v>3</v>
      </c>
      <c r="F42" s="50">
        <v>5</v>
      </c>
      <c r="G42" s="50">
        <v>0</v>
      </c>
      <c r="H42" s="50">
        <v>3</v>
      </c>
      <c r="I42" s="50">
        <v>3</v>
      </c>
      <c r="J42" s="50">
        <v>2</v>
      </c>
      <c r="K42" s="50">
        <v>1</v>
      </c>
      <c r="L42" s="50">
        <v>1</v>
      </c>
      <c r="M42" s="50">
        <v>15</v>
      </c>
      <c r="N42" s="50">
        <v>0</v>
      </c>
      <c r="O42" s="15">
        <f t="shared" si="0"/>
        <v>38</v>
      </c>
      <c r="P42" s="15">
        <f t="shared" si="1"/>
        <v>53</v>
      </c>
    </row>
    <row r="43" spans="2:20" ht="23.1" customHeight="1" x14ac:dyDescent="0.25">
      <c r="B43" s="23" t="s">
        <v>70</v>
      </c>
      <c r="C43" s="50">
        <v>4</v>
      </c>
      <c r="D43" s="50">
        <v>5</v>
      </c>
      <c r="E43" s="50">
        <v>3</v>
      </c>
      <c r="F43" s="50">
        <v>6</v>
      </c>
      <c r="G43" s="50">
        <v>0</v>
      </c>
      <c r="H43" s="50">
        <v>2</v>
      </c>
      <c r="I43" s="50">
        <v>3</v>
      </c>
      <c r="J43" s="50">
        <v>0</v>
      </c>
      <c r="K43" s="50">
        <v>6</v>
      </c>
      <c r="L43" s="50">
        <v>0</v>
      </c>
      <c r="M43" s="50">
        <v>14</v>
      </c>
      <c r="N43" s="50">
        <v>0</v>
      </c>
      <c r="O43" s="15">
        <f t="shared" si="0"/>
        <v>29</v>
      </c>
      <c r="P43" s="15">
        <f t="shared" si="1"/>
        <v>43</v>
      </c>
    </row>
    <row r="44" spans="2:20" ht="23.1" customHeight="1" x14ac:dyDescent="0.25">
      <c r="B44" s="25" t="s">
        <v>71</v>
      </c>
      <c r="C44" s="50">
        <v>11</v>
      </c>
      <c r="D44" s="50">
        <v>3</v>
      </c>
      <c r="E44" s="50">
        <v>1</v>
      </c>
      <c r="F44" s="50">
        <v>6</v>
      </c>
      <c r="G44" s="50">
        <v>1</v>
      </c>
      <c r="H44" s="50">
        <v>1</v>
      </c>
      <c r="I44" s="50">
        <v>5</v>
      </c>
      <c r="J44" s="50">
        <v>3</v>
      </c>
      <c r="K44" s="50">
        <v>2</v>
      </c>
      <c r="L44" s="50">
        <v>0</v>
      </c>
      <c r="M44" s="50">
        <v>28</v>
      </c>
      <c r="N44" s="50">
        <v>0</v>
      </c>
      <c r="O44" s="15">
        <f t="shared" si="0"/>
        <v>33</v>
      </c>
      <c r="P44" s="15">
        <f t="shared" si="1"/>
        <v>61</v>
      </c>
    </row>
    <row r="45" spans="2:20" ht="23.1" customHeight="1" x14ac:dyDescent="0.25">
      <c r="B45" s="23" t="s">
        <v>72</v>
      </c>
      <c r="C45" s="50">
        <v>5</v>
      </c>
      <c r="D45" s="50">
        <v>3</v>
      </c>
      <c r="E45" s="50">
        <v>3</v>
      </c>
      <c r="F45" s="50">
        <v>6</v>
      </c>
      <c r="G45" s="50">
        <v>0</v>
      </c>
      <c r="H45" s="50">
        <v>2</v>
      </c>
      <c r="I45" s="50">
        <v>2</v>
      </c>
      <c r="J45" s="50">
        <v>1</v>
      </c>
      <c r="K45" s="50">
        <v>1</v>
      </c>
      <c r="L45" s="50">
        <v>0</v>
      </c>
      <c r="M45" s="50">
        <v>10</v>
      </c>
      <c r="N45" s="50">
        <v>0</v>
      </c>
      <c r="O45" s="15">
        <f t="shared" si="0"/>
        <v>23</v>
      </c>
      <c r="P45" s="15">
        <f t="shared" si="1"/>
        <v>33</v>
      </c>
    </row>
    <row r="46" spans="2:20" ht="23.1" customHeight="1" x14ac:dyDescent="0.25">
      <c r="B46" s="24" t="s">
        <v>73</v>
      </c>
      <c r="C46" s="50">
        <v>10</v>
      </c>
      <c r="D46" s="50">
        <v>2</v>
      </c>
      <c r="E46" s="50">
        <v>2</v>
      </c>
      <c r="F46" s="50">
        <v>6</v>
      </c>
      <c r="G46" s="50">
        <v>0</v>
      </c>
      <c r="H46" s="50">
        <v>1</v>
      </c>
      <c r="I46" s="50">
        <v>5</v>
      </c>
      <c r="J46" s="50">
        <v>1</v>
      </c>
      <c r="K46" s="50">
        <v>5</v>
      </c>
      <c r="L46" s="50">
        <v>1</v>
      </c>
      <c r="M46" s="50">
        <v>14</v>
      </c>
      <c r="N46" s="50">
        <v>0</v>
      </c>
      <c r="O46" s="15">
        <f t="shared" si="0"/>
        <v>33</v>
      </c>
      <c r="P46" s="15">
        <f t="shared" si="1"/>
        <v>47</v>
      </c>
      <c r="R46" s="8"/>
      <c r="T46"/>
    </row>
    <row r="47" spans="2:20" ht="23.1" customHeight="1" x14ac:dyDescent="0.25">
      <c r="B47" s="24" t="s">
        <v>74</v>
      </c>
      <c r="C47" s="50">
        <v>13</v>
      </c>
      <c r="D47" s="50">
        <v>8</v>
      </c>
      <c r="E47" s="50">
        <v>3</v>
      </c>
      <c r="F47" s="50">
        <v>7</v>
      </c>
      <c r="G47" s="50">
        <v>0</v>
      </c>
      <c r="H47" s="50">
        <v>2</v>
      </c>
      <c r="I47" s="50">
        <v>2</v>
      </c>
      <c r="J47" s="50">
        <v>5</v>
      </c>
      <c r="K47" s="50">
        <v>6</v>
      </c>
      <c r="L47" s="50">
        <v>2</v>
      </c>
      <c r="M47" s="50">
        <v>27</v>
      </c>
      <c r="N47" s="50">
        <v>0</v>
      </c>
      <c r="O47" s="15">
        <f t="shared" si="0"/>
        <v>48</v>
      </c>
      <c r="P47" s="15">
        <f t="shared" si="1"/>
        <v>75</v>
      </c>
      <c r="R47" s="8"/>
      <c r="T47"/>
    </row>
    <row r="48" spans="2:20" ht="23.1" customHeight="1" x14ac:dyDescent="0.25">
      <c r="B48" s="24" t="s">
        <v>75</v>
      </c>
      <c r="C48" s="50">
        <v>7</v>
      </c>
      <c r="D48" s="50">
        <v>6</v>
      </c>
      <c r="E48" s="50">
        <v>4</v>
      </c>
      <c r="F48" s="50">
        <v>3</v>
      </c>
      <c r="G48" s="50">
        <v>0</v>
      </c>
      <c r="H48" s="50">
        <v>1</v>
      </c>
      <c r="I48" s="50">
        <v>1</v>
      </c>
      <c r="J48" s="50">
        <v>2</v>
      </c>
      <c r="K48" s="50">
        <v>2</v>
      </c>
      <c r="L48" s="50">
        <v>0</v>
      </c>
      <c r="M48" s="50">
        <v>23</v>
      </c>
      <c r="N48" s="50">
        <v>0</v>
      </c>
      <c r="O48" s="15">
        <f t="shared" si="0"/>
        <v>26</v>
      </c>
      <c r="P48" s="15">
        <f t="shared" si="1"/>
        <v>49</v>
      </c>
      <c r="R48" s="8"/>
      <c r="T48"/>
    </row>
    <row r="49" spans="2:20" ht="23.1" customHeight="1" x14ac:dyDescent="0.25">
      <c r="B49" s="23" t="s">
        <v>76</v>
      </c>
      <c r="C49" s="50">
        <v>8</v>
      </c>
      <c r="D49" s="50">
        <v>3</v>
      </c>
      <c r="E49" s="50">
        <v>2</v>
      </c>
      <c r="F49" s="50">
        <v>4</v>
      </c>
      <c r="G49" s="50">
        <v>0</v>
      </c>
      <c r="H49" s="50">
        <v>1</v>
      </c>
      <c r="I49" s="50">
        <v>5</v>
      </c>
      <c r="J49" s="50">
        <v>2</v>
      </c>
      <c r="K49" s="50">
        <v>1</v>
      </c>
      <c r="L49" s="50">
        <v>0</v>
      </c>
      <c r="M49" s="50">
        <v>18</v>
      </c>
      <c r="N49" s="50">
        <v>0</v>
      </c>
      <c r="O49" s="15">
        <f t="shared" si="0"/>
        <v>26</v>
      </c>
      <c r="P49" s="15">
        <f t="shared" si="1"/>
        <v>44</v>
      </c>
      <c r="R49" s="8"/>
      <c r="T49"/>
    </row>
    <row r="50" spans="2:20" ht="23.1" customHeight="1" x14ac:dyDescent="0.25">
      <c r="B50" s="24" t="s">
        <v>77</v>
      </c>
      <c r="C50" s="50">
        <v>7</v>
      </c>
      <c r="D50" s="50">
        <v>3</v>
      </c>
      <c r="E50" s="50">
        <v>1</v>
      </c>
      <c r="F50" s="50">
        <v>4</v>
      </c>
      <c r="G50" s="50">
        <v>0</v>
      </c>
      <c r="H50" s="50">
        <v>2</v>
      </c>
      <c r="I50" s="50">
        <v>5</v>
      </c>
      <c r="J50" s="50">
        <v>1</v>
      </c>
      <c r="K50" s="50">
        <v>1</v>
      </c>
      <c r="L50" s="50">
        <v>0</v>
      </c>
      <c r="M50" s="50">
        <v>17</v>
      </c>
      <c r="N50" s="50">
        <v>0</v>
      </c>
      <c r="O50" s="15">
        <f t="shared" si="0"/>
        <v>24</v>
      </c>
      <c r="P50" s="15">
        <f t="shared" si="1"/>
        <v>41</v>
      </c>
      <c r="R50" s="8"/>
      <c r="T50"/>
    </row>
    <row r="51" spans="2:20" ht="23.1" customHeight="1" x14ac:dyDescent="0.25">
      <c r="B51" s="24" t="s">
        <v>78</v>
      </c>
      <c r="C51" s="50">
        <v>6</v>
      </c>
      <c r="D51" s="50">
        <v>4</v>
      </c>
      <c r="E51" s="50">
        <v>2</v>
      </c>
      <c r="F51" s="50">
        <v>1</v>
      </c>
      <c r="G51" s="50">
        <v>0</v>
      </c>
      <c r="H51" s="50">
        <v>4</v>
      </c>
      <c r="I51" s="50">
        <v>2</v>
      </c>
      <c r="J51" s="50">
        <v>2</v>
      </c>
      <c r="K51" s="50">
        <v>1</v>
      </c>
      <c r="L51" s="50">
        <v>1</v>
      </c>
      <c r="M51" s="50">
        <v>10</v>
      </c>
      <c r="N51" s="50">
        <v>0</v>
      </c>
      <c r="O51" s="15">
        <f t="shared" si="0"/>
        <v>23</v>
      </c>
      <c r="P51" s="15">
        <f t="shared" si="1"/>
        <v>33</v>
      </c>
      <c r="R51" s="8"/>
      <c r="T51"/>
    </row>
    <row r="52" spans="2:20" ht="23.1" customHeight="1" x14ac:dyDescent="0.25">
      <c r="B52" s="24" t="s">
        <v>79</v>
      </c>
      <c r="C52" s="50">
        <v>5</v>
      </c>
      <c r="D52" s="50">
        <v>3</v>
      </c>
      <c r="E52" s="50">
        <v>5</v>
      </c>
      <c r="F52" s="50">
        <v>5</v>
      </c>
      <c r="G52" s="50">
        <v>0</v>
      </c>
      <c r="H52" s="50">
        <v>1</v>
      </c>
      <c r="I52" s="50">
        <v>3</v>
      </c>
      <c r="J52" s="50">
        <v>2</v>
      </c>
      <c r="K52" s="50">
        <v>2</v>
      </c>
      <c r="L52" s="50">
        <v>2</v>
      </c>
      <c r="M52" s="50">
        <v>17</v>
      </c>
      <c r="N52" s="50">
        <v>0</v>
      </c>
      <c r="O52" s="15">
        <f t="shared" si="0"/>
        <v>28</v>
      </c>
      <c r="P52" s="15">
        <f t="shared" si="1"/>
        <v>45</v>
      </c>
      <c r="R52" s="8"/>
      <c r="T52"/>
    </row>
    <row r="53" spans="2:20" ht="23.1" customHeight="1" x14ac:dyDescent="0.25">
      <c r="B53" s="23" t="s">
        <v>80</v>
      </c>
      <c r="C53" s="50">
        <v>14</v>
      </c>
      <c r="D53" s="50">
        <v>3</v>
      </c>
      <c r="E53" s="50">
        <v>3</v>
      </c>
      <c r="F53" s="50">
        <v>6</v>
      </c>
      <c r="G53" s="50">
        <v>0</v>
      </c>
      <c r="H53" s="50">
        <v>2</v>
      </c>
      <c r="I53" s="50">
        <v>2</v>
      </c>
      <c r="J53" s="50">
        <v>3</v>
      </c>
      <c r="K53" s="50">
        <v>8</v>
      </c>
      <c r="L53" s="50">
        <v>0</v>
      </c>
      <c r="M53" s="50">
        <v>26</v>
      </c>
      <c r="N53" s="50">
        <v>0</v>
      </c>
      <c r="O53" s="15">
        <f t="shared" si="0"/>
        <v>41</v>
      </c>
      <c r="P53" s="15">
        <f t="shared" si="1"/>
        <v>67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1</v>
      </c>
      <c r="E54" s="50">
        <v>3</v>
      </c>
      <c r="F54" s="50">
        <v>8</v>
      </c>
      <c r="G54" s="50">
        <v>0</v>
      </c>
      <c r="H54" s="50">
        <v>0</v>
      </c>
      <c r="I54" s="50">
        <v>1</v>
      </c>
      <c r="J54" s="50">
        <v>3</v>
      </c>
      <c r="K54" s="50">
        <v>0</v>
      </c>
      <c r="L54" s="50">
        <v>0</v>
      </c>
      <c r="M54" s="50">
        <v>22</v>
      </c>
      <c r="N54" s="50">
        <v>0</v>
      </c>
      <c r="O54" s="15">
        <f t="shared" si="0"/>
        <v>20</v>
      </c>
      <c r="P54" s="15">
        <f t="shared" si="1"/>
        <v>42</v>
      </c>
      <c r="R54" s="8"/>
      <c r="T54"/>
    </row>
    <row r="55" spans="2:20" ht="23.1" customHeight="1" x14ac:dyDescent="0.25">
      <c r="B55" s="23" t="s">
        <v>82</v>
      </c>
      <c r="C55" s="50">
        <v>11</v>
      </c>
      <c r="D55" s="50">
        <v>1</v>
      </c>
      <c r="E55" s="50">
        <v>4</v>
      </c>
      <c r="F55" s="50">
        <v>3</v>
      </c>
      <c r="G55" s="50">
        <v>1</v>
      </c>
      <c r="H55" s="50">
        <v>0</v>
      </c>
      <c r="I55" s="50">
        <v>0</v>
      </c>
      <c r="J55" s="50">
        <v>2</v>
      </c>
      <c r="K55" s="50">
        <v>3</v>
      </c>
      <c r="L55" s="50">
        <v>0</v>
      </c>
      <c r="M55" s="50">
        <v>20</v>
      </c>
      <c r="N55" s="50">
        <v>0</v>
      </c>
      <c r="O55" s="15">
        <f t="shared" si="0"/>
        <v>25</v>
      </c>
      <c r="P55" s="15">
        <f t="shared" si="1"/>
        <v>45</v>
      </c>
      <c r="R55" s="8"/>
      <c r="T55"/>
    </row>
    <row r="56" spans="2:20" ht="23.1" customHeight="1" x14ac:dyDescent="0.25">
      <c r="B56" s="23" t="s">
        <v>83</v>
      </c>
      <c r="C56" s="50">
        <v>5</v>
      </c>
      <c r="D56" s="50">
        <v>3</v>
      </c>
      <c r="E56" s="50">
        <v>1</v>
      </c>
      <c r="F56" s="50">
        <v>4</v>
      </c>
      <c r="G56" s="50">
        <v>1</v>
      </c>
      <c r="H56" s="50">
        <v>2</v>
      </c>
      <c r="I56" s="50">
        <v>2</v>
      </c>
      <c r="J56" s="50">
        <v>3</v>
      </c>
      <c r="K56" s="50">
        <v>4</v>
      </c>
      <c r="L56" s="50">
        <v>0</v>
      </c>
      <c r="M56" s="50">
        <v>10</v>
      </c>
      <c r="N56" s="50">
        <v>0</v>
      </c>
      <c r="O56" s="15">
        <f t="shared" si="0"/>
        <v>25</v>
      </c>
      <c r="P56" s="15">
        <f t="shared" si="1"/>
        <v>35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0</v>
      </c>
      <c r="E57" s="50">
        <v>3</v>
      </c>
      <c r="F57" s="50">
        <v>1</v>
      </c>
      <c r="G57" s="50">
        <v>1</v>
      </c>
      <c r="H57" s="50">
        <v>1</v>
      </c>
      <c r="I57" s="50">
        <v>5</v>
      </c>
      <c r="J57" s="50">
        <v>1</v>
      </c>
      <c r="K57" s="50">
        <v>4</v>
      </c>
      <c r="L57" s="50">
        <v>0</v>
      </c>
      <c r="M57" s="50">
        <v>12</v>
      </c>
      <c r="N57" s="50">
        <v>0</v>
      </c>
      <c r="O57" s="15">
        <f t="shared" si="0"/>
        <v>21</v>
      </c>
      <c r="P57" s="15">
        <f t="shared" si="1"/>
        <v>33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393</v>
      </c>
      <c r="D58" s="16">
        <f t="shared" si="21"/>
        <v>177</v>
      </c>
      <c r="E58" s="16">
        <f t="shared" si="21"/>
        <v>127</v>
      </c>
      <c r="F58" s="16">
        <f t="shared" si="21"/>
        <v>219</v>
      </c>
      <c r="G58" s="16">
        <f t="shared" si="21"/>
        <v>12</v>
      </c>
      <c r="H58" s="16">
        <f t="shared" si="21"/>
        <v>59</v>
      </c>
      <c r="I58" s="16">
        <f t="shared" si="21"/>
        <v>104</v>
      </c>
      <c r="J58" s="16">
        <f t="shared" si="21"/>
        <v>73</v>
      </c>
      <c r="K58" s="16">
        <f t="shared" si="21"/>
        <v>105</v>
      </c>
      <c r="L58" s="16">
        <f t="shared" si="21"/>
        <v>8</v>
      </c>
      <c r="M58" s="16">
        <f t="shared" si="21"/>
        <v>838</v>
      </c>
      <c r="N58" s="16">
        <f t="shared" si="21"/>
        <v>0</v>
      </c>
      <c r="O58" s="16">
        <f t="shared" si="21"/>
        <v>1277</v>
      </c>
      <c r="P58" s="16">
        <f t="shared" si="21"/>
        <v>2115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0.18581560283687942</v>
      </c>
      <c r="D59" s="43">
        <f t="shared" si="22"/>
        <v>8.3687943262411343E-2</v>
      </c>
      <c r="E59" s="43">
        <f t="shared" si="22"/>
        <v>6.0047281323877072E-2</v>
      </c>
      <c r="F59" s="43">
        <f t="shared" si="22"/>
        <v>0.10354609929078014</v>
      </c>
      <c r="G59" s="43">
        <f t="shared" si="22"/>
        <v>5.6737588652482273E-3</v>
      </c>
      <c r="H59" s="43">
        <f t="shared" si="22"/>
        <v>2.7895981087470448E-2</v>
      </c>
      <c r="I59" s="43">
        <f t="shared" si="22"/>
        <v>4.9172576832151302E-2</v>
      </c>
      <c r="J59" s="43">
        <f t="shared" si="22"/>
        <v>3.4515366430260049E-2</v>
      </c>
      <c r="K59" s="43">
        <f t="shared" si="22"/>
        <v>4.9645390070921988E-2</v>
      </c>
      <c r="L59" s="43">
        <f t="shared" si="22"/>
        <v>3.7825059101654845E-3</v>
      </c>
      <c r="M59" s="43">
        <f t="shared" si="22"/>
        <v>0.39621749408983453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0.30775254502740801</v>
      </c>
      <c r="D60" s="44">
        <f t="shared" ref="D60:N60" si="23">D58/$O$58</f>
        <v>0.13860610806577917</v>
      </c>
      <c r="E60" s="44">
        <f t="shared" si="23"/>
        <v>9.9451840250587314E-2</v>
      </c>
      <c r="F60" s="44">
        <f t="shared" si="23"/>
        <v>0.17149569303054032</v>
      </c>
      <c r="G60" s="44">
        <f t="shared" si="23"/>
        <v>9.3970242756460463E-3</v>
      </c>
      <c r="H60" s="44">
        <f t="shared" si="23"/>
        <v>4.6202036021926393E-2</v>
      </c>
      <c r="I60" s="44">
        <f t="shared" si="23"/>
        <v>8.1440877055599062E-2</v>
      </c>
      <c r="J60" s="44">
        <f t="shared" si="23"/>
        <v>5.7165231010180111E-2</v>
      </c>
      <c r="K60" s="44">
        <f t="shared" si="23"/>
        <v>8.2223962411902898E-2</v>
      </c>
      <c r="L60" s="44">
        <f t="shared" si="23"/>
        <v>6.2646828504306969E-3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4" sqref="M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3" t="s">
        <v>23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 spans="2:32" ht="20.100000000000001" customHeight="1" x14ac:dyDescent="0.25">
      <c r="B2" s="74" t="s">
        <v>95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</row>
    <row r="3" spans="2:32" ht="20.100000000000001" customHeight="1" x14ac:dyDescent="0.25">
      <c r="B3" s="22" t="s">
        <v>96</v>
      </c>
      <c r="C3" s="75" t="str">
        <f>'23.10 MASAKA-MBARARA'!C3:G3</f>
        <v>MASAKA-MBARARA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181</v>
      </c>
      <c r="E5" s="3"/>
      <c r="F5" s="41" t="s">
        <v>1</v>
      </c>
      <c r="G5" s="71" t="s">
        <v>173</v>
      </c>
      <c r="H5" s="72"/>
      <c r="I5" s="14"/>
      <c r="J5" s="2" t="s">
        <v>5</v>
      </c>
      <c r="K5" s="71" t="s">
        <v>179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">
        <v>165</v>
      </c>
      <c r="E6" s="72"/>
      <c r="F6" s="2" t="s">
        <v>2</v>
      </c>
      <c r="G6" s="71" t="s">
        <v>166</v>
      </c>
      <c r="H6" s="72"/>
      <c r="J6" s="2" t="s">
        <v>21</v>
      </c>
      <c r="K6" s="71" t="s">
        <v>174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2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17</v>
      </c>
      <c r="N10" s="50">
        <v>0</v>
      </c>
      <c r="O10" s="15">
        <f t="shared" ref="O10:O57" si="0">SUM(C10:L10,N10)</f>
        <v>5</v>
      </c>
      <c r="P10" s="15">
        <f t="shared" ref="P10:P57" si="1">SUM(C10:N10)</f>
        <v>22</v>
      </c>
      <c r="R10" s="1" t="s">
        <v>6</v>
      </c>
      <c r="S10" s="17">
        <f t="shared" ref="S10:AF10" si="2">SUM(C10:C13)</f>
        <v>19</v>
      </c>
      <c r="T10" s="17">
        <f t="shared" si="2"/>
        <v>3</v>
      </c>
      <c r="U10" s="17">
        <f t="shared" si="2"/>
        <v>4</v>
      </c>
      <c r="V10" s="17">
        <f t="shared" si="2"/>
        <v>12</v>
      </c>
      <c r="W10" s="17">
        <f t="shared" si="2"/>
        <v>0</v>
      </c>
      <c r="X10" s="17">
        <f t="shared" si="2"/>
        <v>1</v>
      </c>
      <c r="Y10" s="17">
        <f t="shared" si="2"/>
        <v>3</v>
      </c>
      <c r="Z10" s="17">
        <f t="shared" si="2"/>
        <v>4</v>
      </c>
      <c r="AA10" s="17">
        <f t="shared" si="2"/>
        <v>6</v>
      </c>
      <c r="AB10" s="17">
        <f t="shared" si="2"/>
        <v>0</v>
      </c>
      <c r="AC10" s="17">
        <f t="shared" si="2"/>
        <v>81</v>
      </c>
      <c r="AD10" s="17">
        <f t="shared" si="2"/>
        <v>0</v>
      </c>
      <c r="AE10" s="31">
        <f t="shared" si="2"/>
        <v>52</v>
      </c>
      <c r="AF10" s="31">
        <f t="shared" si="2"/>
        <v>133</v>
      </c>
    </row>
    <row r="11" spans="2:32" s="6" customFormat="1" ht="23.1" customHeight="1" x14ac:dyDescent="0.25">
      <c r="B11" s="23" t="s">
        <v>38</v>
      </c>
      <c r="C11" s="50">
        <v>5</v>
      </c>
      <c r="D11" s="50">
        <v>0</v>
      </c>
      <c r="E11" s="50">
        <v>0</v>
      </c>
      <c r="F11" s="50">
        <v>7</v>
      </c>
      <c r="G11" s="50">
        <v>0</v>
      </c>
      <c r="H11" s="50">
        <v>1</v>
      </c>
      <c r="I11" s="50">
        <v>0</v>
      </c>
      <c r="J11" s="50">
        <v>1</v>
      </c>
      <c r="K11" s="50">
        <v>1</v>
      </c>
      <c r="L11" s="50">
        <v>0</v>
      </c>
      <c r="M11" s="50">
        <v>28</v>
      </c>
      <c r="N11" s="50">
        <v>0</v>
      </c>
      <c r="O11" s="15">
        <f t="shared" si="0"/>
        <v>15</v>
      </c>
      <c r="P11" s="15">
        <f t="shared" si="1"/>
        <v>43</v>
      </c>
      <c r="R11" s="1" t="s">
        <v>7</v>
      </c>
      <c r="S11" s="17">
        <f t="shared" ref="S11:AF11" si="3">SUM(C14:C17)</f>
        <v>14</v>
      </c>
      <c r="T11" s="17">
        <f t="shared" si="3"/>
        <v>10</v>
      </c>
      <c r="U11" s="17">
        <f t="shared" si="3"/>
        <v>9</v>
      </c>
      <c r="V11" s="17">
        <f t="shared" si="3"/>
        <v>14</v>
      </c>
      <c r="W11" s="17">
        <f t="shared" si="3"/>
        <v>0</v>
      </c>
      <c r="X11" s="17">
        <f t="shared" si="3"/>
        <v>2</v>
      </c>
      <c r="Y11" s="17">
        <f t="shared" si="3"/>
        <v>2</v>
      </c>
      <c r="Z11" s="17">
        <f t="shared" si="3"/>
        <v>6</v>
      </c>
      <c r="AA11" s="17">
        <f t="shared" si="3"/>
        <v>9</v>
      </c>
      <c r="AB11" s="17">
        <f t="shared" si="3"/>
        <v>0</v>
      </c>
      <c r="AC11" s="17">
        <f t="shared" si="3"/>
        <v>78</v>
      </c>
      <c r="AD11" s="17">
        <f t="shared" si="3"/>
        <v>0</v>
      </c>
      <c r="AE11" s="31">
        <f t="shared" si="3"/>
        <v>66</v>
      </c>
      <c r="AF11" s="31">
        <f t="shared" si="3"/>
        <v>144</v>
      </c>
    </row>
    <row r="12" spans="2:32" ht="23.1" customHeight="1" x14ac:dyDescent="0.25">
      <c r="B12" s="23" t="s">
        <v>39</v>
      </c>
      <c r="C12" s="50">
        <v>4</v>
      </c>
      <c r="D12" s="50">
        <v>0</v>
      </c>
      <c r="E12" s="50">
        <v>2</v>
      </c>
      <c r="F12" s="50">
        <v>2</v>
      </c>
      <c r="G12" s="50">
        <v>0</v>
      </c>
      <c r="H12" s="50">
        <v>0</v>
      </c>
      <c r="I12" s="50">
        <v>2</v>
      </c>
      <c r="J12" s="50">
        <v>2</v>
      </c>
      <c r="K12" s="50">
        <v>1</v>
      </c>
      <c r="L12" s="50">
        <v>0</v>
      </c>
      <c r="M12" s="50">
        <v>27</v>
      </c>
      <c r="N12" s="50">
        <v>0</v>
      </c>
      <c r="O12" s="15">
        <f t="shared" si="0"/>
        <v>13</v>
      </c>
      <c r="P12" s="15">
        <f t="shared" si="1"/>
        <v>40</v>
      </c>
      <c r="R12" s="1" t="s">
        <v>8</v>
      </c>
      <c r="S12" s="17">
        <f t="shared" ref="S12:AF12" si="4">SUM(C18:C21)</f>
        <v>26</v>
      </c>
      <c r="T12" s="17">
        <f t="shared" si="4"/>
        <v>10</v>
      </c>
      <c r="U12" s="17">
        <f t="shared" si="4"/>
        <v>8</v>
      </c>
      <c r="V12" s="17">
        <f t="shared" si="4"/>
        <v>22</v>
      </c>
      <c r="W12" s="17">
        <f t="shared" si="4"/>
        <v>0</v>
      </c>
      <c r="X12" s="17">
        <f t="shared" si="4"/>
        <v>3</v>
      </c>
      <c r="Y12" s="17">
        <f t="shared" si="4"/>
        <v>2</v>
      </c>
      <c r="Z12" s="17">
        <f t="shared" si="4"/>
        <v>1</v>
      </c>
      <c r="AA12" s="17">
        <f t="shared" si="4"/>
        <v>4</v>
      </c>
      <c r="AB12" s="17">
        <f t="shared" si="4"/>
        <v>0</v>
      </c>
      <c r="AC12" s="17">
        <f t="shared" si="4"/>
        <v>59</v>
      </c>
      <c r="AD12" s="17">
        <f t="shared" si="4"/>
        <v>0</v>
      </c>
      <c r="AE12" s="31">
        <f t="shared" si="4"/>
        <v>76</v>
      </c>
      <c r="AF12" s="31">
        <f t="shared" si="4"/>
        <v>135</v>
      </c>
    </row>
    <row r="13" spans="2:32" ht="23.1" customHeight="1" x14ac:dyDescent="0.25">
      <c r="B13" s="23" t="s">
        <v>40</v>
      </c>
      <c r="C13" s="50">
        <v>8</v>
      </c>
      <c r="D13" s="50">
        <v>1</v>
      </c>
      <c r="E13" s="50">
        <v>2</v>
      </c>
      <c r="F13" s="50">
        <v>3</v>
      </c>
      <c r="G13" s="50">
        <v>0</v>
      </c>
      <c r="H13" s="50">
        <v>0</v>
      </c>
      <c r="I13" s="50">
        <v>1</v>
      </c>
      <c r="J13" s="50">
        <v>0</v>
      </c>
      <c r="K13" s="50">
        <v>4</v>
      </c>
      <c r="L13" s="50">
        <v>0</v>
      </c>
      <c r="M13" s="50">
        <v>9</v>
      </c>
      <c r="N13" s="50">
        <v>0</v>
      </c>
      <c r="O13" s="15">
        <f t="shared" si="0"/>
        <v>19</v>
      </c>
      <c r="P13" s="15">
        <f t="shared" si="1"/>
        <v>28</v>
      </c>
      <c r="R13" s="1" t="s">
        <v>9</v>
      </c>
      <c r="S13" s="17">
        <f t="shared" ref="S13:AF13" si="5">SUM(C22:C25)</f>
        <v>17</v>
      </c>
      <c r="T13" s="17">
        <f t="shared" si="5"/>
        <v>11</v>
      </c>
      <c r="U13" s="17">
        <f t="shared" si="5"/>
        <v>3</v>
      </c>
      <c r="V13" s="17">
        <f t="shared" si="5"/>
        <v>20</v>
      </c>
      <c r="W13" s="17">
        <f t="shared" si="5"/>
        <v>1</v>
      </c>
      <c r="X13" s="17">
        <f t="shared" si="5"/>
        <v>4</v>
      </c>
      <c r="Y13" s="17">
        <f t="shared" si="5"/>
        <v>7</v>
      </c>
      <c r="Z13" s="17">
        <f t="shared" si="5"/>
        <v>1</v>
      </c>
      <c r="AA13" s="17">
        <f t="shared" si="5"/>
        <v>6</v>
      </c>
      <c r="AB13" s="17">
        <f t="shared" si="5"/>
        <v>0</v>
      </c>
      <c r="AC13" s="17">
        <f t="shared" si="5"/>
        <v>46</v>
      </c>
      <c r="AD13" s="17">
        <f t="shared" si="5"/>
        <v>0</v>
      </c>
      <c r="AE13" s="31">
        <f t="shared" si="5"/>
        <v>70</v>
      </c>
      <c r="AF13" s="31">
        <f t="shared" si="5"/>
        <v>116</v>
      </c>
    </row>
    <row r="14" spans="2:32" ht="23.1" customHeight="1" x14ac:dyDescent="0.25">
      <c r="B14" s="23" t="s">
        <v>41</v>
      </c>
      <c r="C14" s="50">
        <v>5</v>
      </c>
      <c r="D14" s="50">
        <v>7</v>
      </c>
      <c r="E14" s="50">
        <v>3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2</v>
      </c>
      <c r="L14" s="50">
        <v>0</v>
      </c>
      <c r="M14" s="50">
        <v>24</v>
      </c>
      <c r="N14" s="50">
        <v>0</v>
      </c>
      <c r="O14" s="15">
        <f t="shared" si="0"/>
        <v>19</v>
      </c>
      <c r="P14" s="15">
        <f t="shared" si="1"/>
        <v>43</v>
      </c>
      <c r="R14" s="1" t="s">
        <v>10</v>
      </c>
      <c r="S14" s="17">
        <f t="shared" ref="S14:AF14" si="6">SUM(C26:C29)</f>
        <v>28</v>
      </c>
      <c r="T14" s="17">
        <f t="shared" si="6"/>
        <v>24</v>
      </c>
      <c r="U14" s="17">
        <f t="shared" si="6"/>
        <v>18</v>
      </c>
      <c r="V14" s="17">
        <f t="shared" si="6"/>
        <v>18</v>
      </c>
      <c r="W14" s="17">
        <f t="shared" si="6"/>
        <v>0</v>
      </c>
      <c r="X14" s="17">
        <f t="shared" si="6"/>
        <v>7</v>
      </c>
      <c r="Y14" s="17">
        <f t="shared" si="6"/>
        <v>7</v>
      </c>
      <c r="Z14" s="17">
        <f t="shared" si="6"/>
        <v>9</v>
      </c>
      <c r="AA14" s="17">
        <f t="shared" si="6"/>
        <v>4</v>
      </c>
      <c r="AB14" s="17">
        <f t="shared" si="6"/>
        <v>0</v>
      </c>
      <c r="AC14" s="17">
        <f t="shared" si="6"/>
        <v>79</v>
      </c>
      <c r="AD14" s="17">
        <f t="shared" si="6"/>
        <v>0</v>
      </c>
      <c r="AE14" s="31">
        <f t="shared" si="6"/>
        <v>115</v>
      </c>
      <c r="AF14" s="31">
        <f t="shared" si="6"/>
        <v>194</v>
      </c>
    </row>
    <row r="15" spans="2:32" ht="23.1" customHeight="1" x14ac:dyDescent="0.25">
      <c r="B15" s="23" t="s">
        <v>42</v>
      </c>
      <c r="C15" s="50">
        <v>0</v>
      </c>
      <c r="D15" s="50">
        <v>1</v>
      </c>
      <c r="E15" s="50">
        <v>1</v>
      </c>
      <c r="F15" s="50">
        <v>3</v>
      </c>
      <c r="G15" s="50">
        <v>0</v>
      </c>
      <c r="H15" s="50">
        <v>1</v>
      </c>
      <c r="I15" s="50">
        <v>0</v>
      </c>
      <c r="J15" s="50">
        <v>4</v>
      </c>
      <c r="K15" s="50">
        <v>4</v>
      </c>
      <c r="L15" s="50">
        <v>0</v>
      </c>
      <c r="M15" s="50">
        <v>22</v>
      </c>
      <c r="N15" s="50">
        <v>0</v>
      </c>
      <c r="O15" s="15">
        <f t="shared" si="0"/>
        <v>14</v>
      </c>
      <c r="P15" s="15">
        <f t="shared" si="1"/>
        <v>36</v>
      </c>
      <c r="R15" s="1" t="s">
        <v>11</v>
      </c>
      <c r="S15" s="17">
        <f t="shared" ref="S15:AF15" si="7">SUM(C30:C33)</f>
        <v>33</v>
      </c>
      <c r="T15" s="17">
        <f t="shared" si="7"/>
        <v>19</v>
      </c>
      <c r="U15" s="17">
        <f t="shared" si="7"/>
        <v>10</v>
      </c>
      <c r="V15" s="17">
        <f t="shared" si="7"/>
        <v>20</v>
      </c>
      <c r="W15" s="17">
        <f t="shared" si="7"/>
        <v>2</v>
      </c>
      <c r="X15" s="17">
        <f t="shared" si="7"/>
        <v>7</v>
      </c>
      <c r="Y15" s="17">
        <f t="shared" si="7"/>
        <v>7</v>
      </c>
      <c r="Z15" s="17">
        <f t="shared" si="7"/>
        <v>3</v>
      </c>
      <c r="AA15" s="17">
        <f t="shared" si="7"/>
        <v>5</v>
      </c>
      <c r="AB15" s="17">
        <f t="shared" si="7"/>
        <v>0</v>
      </c>
      <c r="AC15" s="17">
        <f t="shared" si="7"/>
        <v>81</v>
      </c>
      <c r="AD15" s="17">
        <f t="shared" si="7"/>
        <v>0</v>
      </c>
      <c r="AE15" s="31">
        <f t="shared" si="7"/>
        <v>106</v>
      </c>
      <c r="AF15" s="31">
        <f t="shared" si="7"/>
        <v>187</v>
      </c>
    </row>
    <row r="16" spans="2:32" ht="23.1" customHeight="1" x14ac:dyDescent="0.25">
      <c r="B16" s="23" t="s">
        <v>43</v>
      </c>
      <c r="C16" s="50">
        <v>5</v>
      </c>
      <c r="D16" s="50">
        <v>1</v>
      </c>
      <c r="E16" s="50">
        <v>5</v>
      </c>
      <c r="F16" s="50">
        <v>6</v>
      </c>
      <c r="G16" s="50">
        <v>0</v>
      </c>
      <c r="H16" s="50">
        <v>0</v>
      </c>
      <c r="I16" s="50">
        <v>0</v>
      </c>
      <c r="J16" s="50">
        <v>2</v>
      </c>
      <c r="K16" s="50">
        <v>1</v>
      </c>
      <c r="L16" s="50">
        <v>0</v>
      </c>
      <c r="M16" s="50">
        <v>22</v>
      </c>
      <c r="N16" s="50">
        <v>0</v>
      </c>
      <c r="O16" s="15">
        <f t="shared" si="0"/>
        <v>20</v>
      </c>
      <c r="P16" s="15">
        <f t="shared" si="1"/>
        <v>42</v>
      </c>
      <c r="R16" s="1" t="s">
        <v>12</v>
      </c>
      <c r="S16" s="17">
        <f t="shared" ref="S16:AF16" si="8">SUM(C34:C37)</f>
        <v>31</v>
      </c>
      <c r="T16" s="17">
        <f t="shared" si="8"/>
        <v>15</v>
      </c>
      <c r="U16" s="17">
        <f t="shared" si="8"/>
        <v>13</v>
      </c>
      <c r="V16" s="17">
        <f t="shared" si="8"/>
        <v>17</v>
      </c>
      <c r="W16" s="17">
        <f t="shared" si="8"/>
        <v>1</v>
      </c>
      <c r="X16" s="17">
        <f t="shared" si="8"/>
        <v>6</v>
      </c>
      <c r="Y16" s="17">
        <f t="shared" si="8"/>
        <v>7</v>
      </c>
      <c r="Z16" s="17">
        <f t="shared" si="8"/>
        <v>3</v>
      </c>
      <c r="AA16" s="17">
        <f t="shared" si="8"/>
        <v>8</v>
      </c>
      <c r="AB16" s="17">
        <f t="shared" si="8"/>
        <v>0</v>
      </c>
      <c r="AC16" s="17">
        <f t="shared" si="8"/>
        <v>64</v>
      </c>
      <c r="AD16" s="17">
        <f t="shared" si="8"/>
        <v>0</v>
      </c>
      <c r="AE16" s="31">
        <f t="shared" si="8"/>
        <v>101</v>
      </c>
      <c r="AF16" s="31">
        <f t="shared" si="8"/>
        <v>165</v>
      </c>
    </row>
    <row r="17" spans="2:32" ht="23.1" customHeight="1" x14ac:dyDescent="0.25">
      <c r="B17" s="23" t="s">
        <v>44</v>
      </c>
      <c r="C17" s="50">
        <v>4</v>
      </c>
      <c r="D17" s="50">
        <v>1</v>
      </c>
      <c r="E17" s="50">
        <v>0</v>
      </c>
      <c r="F17" s="50">
        <v>3</v>
      </c>
      <c r="G17" s="50">
        <v>0</v>
      </c>
      <c r="H17" s="50">
        <v>1</v>
      </c>
      <c r="I17" s="50">
        <v>2</v>
      </c>
      <c r="J17" s="50">
        <v>0</v>
      </c>
      <c r="K17" s="50">
        <v>2</v>
      </c>
      <c r="L17" s="50">
        <v>0</v>
      </c>
      <c r="M17" s="50">
        <v>10</v>
      </c>
      <c r="N17" s="50">
        <v>0</v>
      </c>
      <c r="O17" s="15">
        <f t="shared" si="0"/>
        <v>13</v>
      </c>
      <c r="P17" s="15">
        <f t="shared" si="1"/>
        <v>23</v>
      </c>
      <c r="R17" s="1" t="s">
        <v>13</v>
      </c>
      <c r="S17" s="17">
        <f t="shared" ref="S17:AF17" si="9">SUM(C38:C41)</f>
        <v>20</v>
      </c>
      <c r="T17" s="17">
        <f t="shared" si="9"/>
        <v>23</v>
      </c>
      <c r="U17" s="17">
        <f t="shared" si="9"/>
        <v>10</v>
      </c>
      <c r="V17" s="17">
        <f t="shared" si="9"/>
        <v>14</v>
      </c>
      <c r="W17" s="17">
        <f t="shared" si="9"/>
        <v>1</v>
      </c>
      <c r="X17" s="17">
        <f t="shared" si="9"/>
        <v>4</v>
      </c>
      <c r="Y17" s="17">
        <f t="shared" si="9"/>
        <v>7</v>
      </c>
      <c r="Z17" s="17">
        <f t="shared" si="9"/>
        <v>7</v>
      </c>
      <c r="AA17" s="17">
        <f t="shared" si="9"/>
        <v>11</v>
      </c>
      <c r="AB17" s="17">
        <f t="shared" si="9"/>
        <v>2</v>
      </c>
      <c r="AC17" s="17">
        <f t="shared" si="9"/>
        <v>62</v>
      </c>
      <c r="AD17" s="17">
        <f t="shared" si="9"/>
        <v>0</v>
      </c>
      <c r="AE17" s="31">
        <f t="shared" si="9"/>
        <v>99</v>
      </c>
      <c r="AF17" s="31">
        <f t="shared" si="9"/>
        <v>161</v>
      </c>
    </row>
    <row r="18" spans="2:32" ht="23.1" customHeight="1" x14ac:dyDescent="0.25">
      <c r="B18" s="23" t="s">
        <v>45</v>
      </c>
      <c r="C18" s="50">
        <v>9</v>
      </c>
      <c r="D18" s="50">
        <v>4</v>
      </c>
      <c r="E18" s="50">
        <v>2</v>
      </c>
      <c r="F18" s="50">
        <v>5</v>
      </c>
      <c r="G18" s="50">
        <v>0</v>
      </c>
      <c r="H18" s="50">
        <v>1</v>
      </c>
      <c r="I18" s="50">
        <v>0</v>
      </c>
      <c r="J18" s="50">
        <v>0</v>
      </c>
      <c r="K18" s="50">
        <v>3</v>
      </c>
      <c r="L18" s="50">
        <v>0</v>
      </c>
      <c r="M18" s="50">
        <v>18</v>
      </c>
      <c r="N18" s="50">
        <v>0</v>
      </c>
      <c r="O18" s="15">
        <f t="shared" si="0"/>
        <v>24</v>
      </c>
      <c r="P18" s="15">
        <f t="shared" si="1"/>
        <v>42</v>
      </c>
      <c r="R18" s="1" t="s">
        <v>14</v>
      </c>
      <c r="S18" s="17">
        <f t="shared" ref="S18:AF18" si="10">SUM(C42:C45)</f>
        <v>19</v>
      </c>
      <c r="T18" s="17">
        <f t="shared" si="10"/>
        <v>14</v>
      </c>
      <c r="U18" s="17">
        <f t="shared" si="10"/>
        <v>8</v>
      </c>
      <c r="V18" s="17">
        <f t="shared" si="10"/>
        <v>12</v>
      </c>
      <c r="W18" s="17">
        <f t="shared" si="10"/>
        <v>5</v>
      </c>
      <c r="X18" s="17">
        <f t="shared" si="10"/>
        <v>5</v>
      </c>
      <c r="Y18" s="17">
        <f t="shared" si="10"/>
        <v>10</v>
      </c>
      <c r="Z18" s="17">
        <f t="shared" si="10"/>
        <v>6</v>
      </c>
      <c r="AA18" s="17">
        <f t="shared" si="10"/>
        <v>8</v>
      </c>
      <c r="AB18" s="17">
        <f t="shared" si="10"/>
        <v>0</v>
      </c>
      <c r="AC18" s="17">
        <f t="shared" si="10"/>
        <v>64</v>
      </c>
      <c r="AD18" s="17">
        <f t="shared" si="10"/>
        <v>0</v>
      </c>
      <c r="AE18" s="31">
        <f t="shared" si="10"/>
        <v>87</v>
      </c>
      <c r="AF18" s="31">
        <f t="shared" si="10"/>
        <v>151</v>
      </c>
    </row>
    <row r="19" spans="2:32" ht="23.1" customHeight="1" x14ac:dyDescent="0.25">
      <c r="B19" s="23" t="s">
        <v>46</v>
      </c>
      <c r="C19" s="50">
        <v>3</v>
      </c>
      <c r="D19" s="50">
        <v>3</v>
      </c>
      <c r="E19" s="50">
        <v>1</v>
      </c>
      <c r="F19" s="50">
        <v>5</v>
      </c>
      <c r="G19" s="50">
        <v>0</v>
      </c>
      <c r="H19" s="50">
        <v>1</v>
      </c>
      <c r="I19" s="50">
        <v>1</v>
      </c>
      <c r="J19" s="50">
        <v>1</v>
      </c>
      <c r="K19" s="50">
        <v>0</v>
      </c>
      <c r="L19" s="50">
        <v>0</v>
      </c>
      <c r="M19" s="50">
        <v>17</v>
      </c>
      <c r="N19" s="50">
        <v>0</v>
      </c>
      <c r="O19" s="15">
        <f t="shared" si="0"/>
        <v>15</v>
      </c>
      <c r="P19" s="15">
        <f t="shared" si="1"/>
        <v>32</v>
      </c>
      <c r="R19" s="1" t="s">
        <v>15</v>
      </c>
      <c r="S19" s="17">
        <f t="shared" ref="S19:AF19" si="11">SUM(C46:C49)</f>
        <v>30</v>
      </c>
      <c r="T19" s="17">
        <f t="shared" si="11"/>
        <v>26</v>
      </c>
      <c r="U19" s="17">
        <f t="shared" si="11"/>
        <v>11</v>
      </c>
      <c r="V19" s="17">
        <f t="shared" si="11"/>
        <v>20</v>
      </c>
      <c r="W19" s="17">
        <f t="shared" si="11"/>
        <v>0</v>
      </c>
      <c r="X19" s="17">
        <f t="shared" si="11"/>
        <v>8</v>
      </c>
      <c r="Y19" s="17">
        <f t="shared" si="11"/>
        <v>12</v>
      </c>
      <c r="Z19" s="17">
        <f t="shared" si="11"/>
        <v>10</v>
      </c>
      <c r="AA19" s="17">
        <f t="shared" si="11"/>
        <v>10</v>
      </c>
      <c r="AB19" s="17">
        <f t="shared" si="11"/>
        <v>5</v>
      </c>
      <c r="AC19" s="17">
        <f t="shared" si="11"/>
        <v>80</v>
      </c>
      <c r="AD19" s="17">
        <f t="shared" si="11"/>
        <v>0</v>
      </c>
      <c r="AE19" s="31">
        <f t="shared" si="11"/>
        <v>132</v>
      </c>
      <c r="AF19" s="31">
        <f t="shared" si="11"/>
        <v>212</v>
      </c>
    </row>
    <row r="20" spans="2:32" ht="23.1" customHeight="1" x14ac:dyDescent="0.25">
      <c r="B20" s="23" t="s">
        <v>47</v>
      </c>
      <c r="C20" s="50">
        <v>12</v>
      </c>
      <c r="D20" s="50">
        <v>2</v>
      </c>
      <c r="E20" s="50">
        <v>3</v>
      </c>
      <c r="F20" s="50">
        <v>7</v>
      </c>
      <c r="G20" s="50">
        <v>0</v>
      </c>
      <c r="H20" s="50">
        <v>1</v>
      </c>
      <c r="I20" s="50">
        <v>1</v>
      </c>
      <c r="J20" s="50">
        <v>0</v>
      </c>
      <c r="K20" s="50">
        <v>1</v>
      </c>
      <c r="L20" s="50">
        <v>0</v>
      </c>
      <c r="M20" s="50">
        <v>13</v>
      </c>
      <c r="N20" s="50">
        <v>0</v>
      </c>
      <c r="O20" s="15">
        <f t="shared" si="0"/>
        <v>27</v>
      </c>
      <c r="P20" s="15">
        <f t="shared" si="1"/>
        <v>40</v>
      </c>
      <c r="R20" s="1" t="s">
        <v>16</v>
      </c>
      <c r="S20" s="17">
        <f t="shared" ref="S20:AF20" si="12">SUM(C50:C53)</f>
        <v>49</v>
      </c>
      <c r="T20" s="17">
        <f t="shared" si="12"/>
        <v>49</v>
      </c>
      <c r="U20" s="17">
        <f t="shared" si="12"/>
        <v>19</v>
      </c>
      <c r="V20" s="17">
        <f t="shared" si="12"/>
        <v>24</v>
      </c>
      <c r="W20" s="17">
        <f t="shared" si="12"/>
        <v>4</v>
      </c>
      <c r="X20" s="17">
        <f t="shared" si="12"/>
        <v>8</v>
      </c>
      <c r="Y20" s="17">
        <f t="shared" si="12"/>
        <v>7</v>
      </c>
      <c r="Z20" s="17">
        <f t="shared" si="12"/>
        <v>17</v>
      </c>
      <c r="AA20" s="17">
        <f t="shared" si="12"/>
        <v>12</v>
      </c>
      <c r="AB20" s="17">
        <f t="shared" si="12"/>
        <v>5</v>
      </c>
      <c r="AC20" s="17">
        <f t="shared" si="12"/>
        <v>96</v>
      </c>
      <c r="AD20" s="17">
        <f t="shared" si="12"/>
        <v>0</v>
      </c>
      <c r="AE20" s="31">
        <f t="shared" si="12"/>
        <v>194</v>
      </c>
      <c r="AF20" s="31">
        <f t="shared" si="12"/>
        <v>290</v>
      </c>
    </row>
    <row r="21" spans="2:32" ht="23.1" customHeight="1" x14ac:dyDescent="0.25">
      <c r="B21" s="23" t="s">
        <v>48</v>
      </c>
      <c r="C21" s="50">
        <v>2</v>
      </c>
      <c r="D21" s="50">
        <v>1</v>
      </c>
      <c r="E21" s="50">
        <v>2</v>
      </c>
      <c r="F21" s="50">
        <v>5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11</v>
      </c>
      <c r="N21" s="50">
        <v>0</v>
      </c>
      <c r="O21" s="15">
        <f t="shared" si="0"/>
        <v>10</v>
      </c>
      <c r="P21" s="15">
        <f t="shared" si="1"/>
        <v>21</v>
      </c>
      <c r="R21" s="36" t="s">
        <v>20</v>
      </c>
      <c r="S21" s="34">
        <f t="shared" ref="S21:AF21" si="13">SUM(C54:C57)</f>
        <v>56</v>
      </c>
      <c r="T21" s="17">
        <f t="shared" si="13"/>
        <v>19</v>
      </c>
      <c r="U21" s="17">
        <f t="shared" si="13"/>
        <v>18</v>
      </c>
      <c r="V21" s="17">
        <f t="shared" si="13"/>
        <v>28</v>
      </c>
      <c r="W21" s="17">
        <f t="shared" si="13"/>
        <v>0</v>
      </c>
      <c r="X21" s="17">
        <f t="shared" si="13"/>
        <v>4</v>
      </c>
      <c r="Y21" s="17">
        <f t="shared" si="13"/>
        <v>9</v>
      </c>
      <c r="Z21" s="17">
        <f t="shared" si="13"/>
        <v>8</v>
      </c>
      <c r="AA21" s="17">
        <f t="shared" si="13"/>
        <v>12</v>
      </c>
      <c r="AB21" s="17">
        <f t="shared" si="13"/>
        <v>0</v>
      </c>
      <c r="AC21" s="17">
        <f t="shared" si="13"/>
        <v>84</v>
      </c>
      <c r="AD21" s="17">
        <f t="shared" si="13"/>
        <v>0</v>
      </c>
      <c r="AE21" s="31">
        <f t="shared" si="13"/>
        <v>154</v>
      </c>
      <c r="AF21" s="31">
        <f t="shared" si="13"/>
        <v>238</v>
      </c>
    </row>
    <row r="22" spans="2:32" ht="23.1" customHeight="1" x14ac:dyDescent="0.25">
      <c r="B22" s="23" t="s">
        <v>49</v>
      </c>
      <c r="C22" s="50">
        <v>5</v>
      </c>
      <c r="D22" s="50">
        <v>3</v>
      </c>
      <c r="E22" s="50">
        <v>1</v>
      </c>
      <c r="F22" s="50">
        <v>3</v>
      </c>
      <c r="G22" s="50">
        <v>0</v>
      </c>
      <c r="H22" s="50">
        <v>1</v>
      </c>
      <c r="I22" s="50">
        <v>1</v>
      </c>
      <c r="J22" s="50">
        <v>0</v>
      </c>
      <c r="K22" s="50">
        <v>2</v>
      </c>
      <c r="L22" s="50">
        <v>0</v>
      </c>
      <c r="M22" s="50">
        <v>23</v>
      </c>
      <c r="N22" s="50">
        <v>0</v>
      </c>
      <c r="O22" s="15">
        <f t="shared" si="0"/>
        <v>16</v>
      </c>
      <c r="P22" s="15">
        <f t="shared" si="1"/>
        <v>39</v>
      </c>
      <c r="R22" s="38" t="s">
        <v>90</v>
      </c>
      <c r="S22" s="39">
        <f>MAX(S10:S12)</f>
        <v>26</v>
      </c>
      <c r="T22" s="39">
        <f t="shared" ref="T22:AF22" si="14">MAX(T10:T12)</f>
        <v>10</v>
      </c>
      <c r="U22" s="39">
        <f t="shared" si="14"/>
        <v>9</v>
      </c>
      <c r="V22" s="39">
        <f t="shared" si="14"/>
        <v>22</v>
      </c>
      <c r="W22" s="39">
        <f t="shared" si="14"/>
        <v>0</v>
      </c>
      <c r="X22" s="39">
        <f t="shared" si="14"/>
        <v>3</v>
      </c>
      <c r="Y22" s="39">
        <f t="shared" si="14"/>
        <v>3</v>
      </c>
      <c r="Z22" s="39">
        <f t="shared" si="14"/>
        <v>6</v>
      </c>
      <c r="AA22" s="39">
        <f t="shared" si="14"/>
        <v>9</v>
      </c>
      <c r="AB22" s="39">
        <f t="shared" si="14"/>
        <v>0</v>
      </c>
      <c r="AC22" s="39">
        <f t="shared" si="14"/>
        <v>81</v>
      </c>
      <c r="AD22" s="39">
        <f t="shared" si="14"/>
        <v>0</v>
      </c>
      <c r="AE22" s="40">
        <f t="shared" si="14"/>
        <v>76</v>
      </c>
      <c r="AF22" s="40">
        <f t="shared" si="14"/>
        <v>144</v>
      </c>
    </row>
    <row r="23" spans="2:32" ht="23.1" customHeight="1" x14ac:dyDescent="0.25">
      <c r="B23" s="23" t="s">
        <v>50</v>
      </c>
      <c r="C23" s="50">
        <v>6</v>
      </c>
      <c r="D23" s="50">
        <v>2</v>
      </c>
      <c r="E23" s="50">
        <v>1</v>
      </c>
      <c r="F23" s="50">
        <v>4</v>
      </c>
      <c r="G23" s="50">
        <v>0</v>
      </c>
      <c r="H23" s="50">
        <v>1</v>
      </c>
      <c r="I23" s="50">
        <v>2</v>
      </c>
      <c r="J23" s="50">
        <v>1</v>
      </c>
      <c r="K23" s="50">
        <v>2</v>
      </c>
      <c r="L23" s="50">
        <v>0</v>
      </c>
      <c r="M23" s="50">
        <v>8</v>
      </c>
      <c r="N23" s="50">
        <v>0</v>
      </c>
      <c r="O23" s="15">
        <f t="shared" si="0"/>
        <v>19</v>
      </c>
      <c r="P23" s="15">
        <f t="shared" si="1"/>
        <v>27</v>
      </c>
      <c r="R23" s="38" t="s">
        <v>91</v>
      </c>
      <c r="S23" s="39">
        <f>MAX(S13:S18)</f>
        <v>33</v>
      </c>
      <c r="T23" s="39">
        <f t="shared" ref="T23:AF23" si="15">MAX(T13:T18)</f>
        <v>24</v>
      </c>
      <c r="U23" s="39">
        <f t="shared" si="15"/>
        <v>18</v>
      </c>
      <c r="V23" s="39">
        <f t="shared" si="15"/>
        <v>20</v>
      </c>
      <c r="W23" s="39">
        <f t="shared" si="15"/>
        <v>5</v>
      </c>
      <c r="X23" s="39">
        <f t="shared" si="15"/>
        <v>7</v>
      </c>
      <c r="Y23" s="39">
        <f t="shared" si="15"/>
        <v>10</v>
      </c>
      <c r="Z23" s="39">
        <f t="shared" si="15"/>
        <v>9</v>
      </c>
      <c r="AA23" s="39">
        <f t="shared" si="15"/>
        <v>11</v>
      </c>
      <c r="AB23" s="39">
        <f t="shared" si="15"/>
        <v>2</v>
      </c>
      <c r="AC23" s="39">
        <f t="shared" si="15"/>
        <v>81</v>
      </c>
      <c r="AD23" s="39">
        <f t="shared" si="15"/>
        <v>0</v>
      </c>
      <c r="AE23" s="40">
        <f t="shared" si="15"/>
        <v>115</v>
      </c>
      <c r="AF23" s="40">
        <f t="shared" si="15"/>
        <v>194</v>
      </c>
    </row>
    <row r="24" spans="2:32" ht="23.1" customHeight="1" x14ac:dyDescent="0.25">
      <c r="B24" s="23" t="s">
        <v>51</v>
      </c>
      <c r="C24" s="50">
        <v>6</v>
      </c>
      <c r="D24" s="50">
        <v>5</v>
      </c>
      <c r="E24" s="50">
        <v>0</v>
      </c>
      <c r="F24" s="50">
        <v>11</v>
      </c>
      <c r="G24" s="50">
        <v>1</v>
      </c>
      <c r="H24" s="50">
        <v>2</v>
      </c>
      <c r="I24" s="50">
        <v>2</v>
      </c>
      <c r="J24" s="50">
        <v>0</v>
      </c>
      <c r="K24" s="50">
        <v>2</v>
      </c>
      <c r="L24" s="50">
        <v>0</v>
      </c>
      <c r="M24" s="50">
        <v>10</v>
      </c>
      <c r="N24" s="50">
        <v>0</v>
      </c>
      <c r="O24" s="15">
        <f t="shared" si="0"/>
        <v>29</v>
      </c>
      <c r="P24" s="15">
        <f t="shared" si="1"/>
        <v>39</v>
      </c>
      <c r="R24" s="38" t="s">
        <v>92</v>
      </c>
      <c r="S24" s="39">
        <f>MAX(S19:S21)</f>
        <v>56</v>
      </c>
      <c r="T24" s="39">
        <f t="shared" ref="T24:AF24" si="16">MAX(T19:T21)</f>
        <v>49</v>
      </c>
      <c r="U24" s="39">
        <f t="shared" si="16"/>
        <v>19</v>
      </c>
      <c r="V24" s="39">
        <f t="shared" si="16"/>
        <v>28</v>
      </c>
      <c r="W24" s="39">
        <f t="shared" si="16"/>
        <v>4</v>
      </c>
      <c r="X24" s="39">
        <f t="shared" si="16"/>
        <v>8</v>
      </c>
      <c r="Y24" s="39">
        <f t="shared" si="16"/>
        <v>12</v>
      </c>
      <c r="Z24" s="39">
        <f t="shared" si="16"/>
        <v>17</v>
      </c>
      <c r="AA24" s="39">
        <f t="shared" si="16"/>
        <v>12</v>
      </c>
      <c r="AB24" s="39">
        <f t="shared" si="16"/>
        <v>5</v>
      </c>
      <c r="AC24" s="39">
        <f t="shared" si="16"/>
        <v>96</v>
      </c>
      <c r="AD24" s="39">
        <f t="shared" si="16"/>
        <v>0</v>
      </c>
      <c r="AE24" s="40">
        <f t="shared" si="16"/>
        <v>194</v>
      </c>
      <c r="AF24" s="40">
        <f t="shared" si="16"/>
        <v>290</v>
      </c>
    </row>
    <row r="25" spans="2:32" ht="23.1" customHeight="1" x14ac:dyDescent="0.25">
      <c r="B25" s="23" t="s">
        <v>52</v>
      </c>
      <c r="C25" s="50">
        <v>0</v>
      </c>
      <c r="D25" s="50">
        <v>1</v>
      </c>
      <c r="E25" s="50">
        <v>1</v>
      </c>
      <c r="F25" s="50">
        <v>2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5</v>
      </c>
      <c r="N25" s="50">
        <v>0</v>
      </c>
      <c r="O25" s="15">
        <f t="shared" si="0"/>
        <v>6</v>
      </c>
      <c r="P25" s="15">
        <f t="shared" si="1"/>
        <v>11</v>
      </c>
      <c r="R25" s="37" t="s">
        <v>85</v>
      </c>
      <c r="S25" s="35">
        <f t="shared" ref="S25:AF25" si="17">SUM(S10:S12)</f>
        <v>59</v>
      </c>
      <c r="T25" s="16">
        <f t="shared" si="17"/>
        <v>23</v>
      </c>
      <c r="U25" s="16">
        <f t="shared" si="17"/>
        <v>21</v>
      </c>
      <c r="V25" s="16">
        <f t="shared" si="17"/>
        <v>48</v>
      </c>
      <c r="W25" s="16">
        <f t="shared" si="17"/>
        <v>0</v>
      </c>
      <c r="X25" s="16">
        <f t="shared" si="17"/>
        <v>6</v>
      </c>
      <c r="Y25" s="16">
        <f t="shared" si="17"/>
        <v>7</v>
      </c>
      <c r="Z25" s="16">
        <f t="shared" si="17"/>
        <v>11</v>
      </c>
      <c r="AA25" s="16">
        <f t="shared" si="17"/>
        <v>19</v>
      </c>
      <c r="AB25" s="16">
        <f t="shared" si="17"/>
        <v>0</v>
      </c>
      <c r="AC25" s="16">
        <f t="shared" si="17"/>
        <v>218</v>
      </c>
      <c r="AD25" s="16">
        <f t="shared" si="17"/>
        <v>0</v>
      </c>
      <c r="AE25" s="32">
        <f t="shared" si="17"/>
        <v>194</v>
      </c>
      <c r="AF25" s="32">
        <f t="shared" si="17"/>
        <v>412</v>
      </c>
    </row>
    <row r="26" spans="2:32" ht="23.1" customHeight="1" x14ac:dyDescent="0.25">
      <c r="B26" s="23" t="s">
        <v>53</v>
      </c>
      <c r="C26" s="50">
        <v>8</v>
      </c>
      <c r="D26" s="50">
        <v>7</v>
      </c>
      <c r="E26" s="50">
        <v>9</v>
      </c>
      <c r="F26" s="50">
        <v>4</v>
      </c>
      <c r="G26" s="50">
        <v>0</v>
      </c>
      <c r="H26" s="50">
        <v>1</v>
      </c>
      <c r="I26" s="50">
        <v>0</v>
      </c>
      <c r="J26" s="50">
        <v>1</v>
      </c>
      <c r="K26" s="50">
        <v>1</v>
      </c>
      <c r="L26" s="50">
        <v>0</v>
      </c>
      <c r="M26" s="50">
        <v>14</v>
      </c>
      <c r="N26" s="50">
        <v>0</v>
      </c>
      <c r="O26" s="15">
        <f t="shared" si="0"/>
        <v>31</v>
      </c>
      <c r="P26" s="15">
        <f t="shared" si="1"/>
        <v>45</v>
      </c>
      <c r="R26" s="28" t="s">
        <v>86</v>
      </c>
      <c r="S26" s="16">
        <f t="shared" ref="S26:AF26" si="18">SUM(S13:S18)</f>
        <v>148</v>
      </c>
      <c r="T26" s="16">
        <f t="shared" si="18"/>
        <v>106</v>
      </c>
      <c r="U26" s="16">
        <f t="shared" si="18"/>
        <v>62</v>
      </c>
      <c r="V26" s="16">
        <f t="shared" si="18"/>
        <v>101</v>
      </c>
      <c r="W26" s="16">
        <f t="shared" si="18"/>
        <v>10</v>
      </c>
      <c r="X26" s="16">
        <f t="shared" si="18"/>
        <v>33</v>
      </c>
      <c r="Y26" s="16">
        <f t="shared" si="18"/>
        <v>45</v>
      </c>
      <c r="Z26" s="16">
        <f t="shared" si="18"/>
        <v>29</v>
      </c>
      <c r="AA26" s="16">
        <f t="shared" si="18"/>
        <v>42</v>
      </c>
      <c r="AB26" s="16">
        <f t="shared" si="18"/>
        <v>2</v>
      </c>
      <c r="AC26" s="16">
        <f t="shared" si="18"/>
        <v>396</v>
      </c>
      <c r="AD26" s="16">
        <f t="shared" si="18"/>
        <v>0</v>
      </c>
      <c r="AE26" s="32">
        <f t="shared" si="18"/>
        <v>578</v>
      </c>
      <c r="AF26" s="32">
        <f t="shared" si="18"/>
        <v>974</v>
      </c>
    </row>
    <row r="27" spans="2:32" ht="23.1" customHeight="1" x14ac:dyDescent="0.25">
      <c r="B27" s="23" t="s">
        <v>54</v>
      </c>
      <c r="C27" s="50">
        <v>6</v>
      </c>
      <c r="D27" s="50">
        <v>3</v>
      </c>
      <c r="E27" s="50">
        <v>1</v>
      </c>
      <c r="F27" s="50">
        <v>5</v>
      </c>
      <c r="G27" s="50">
        <v>0</v>
      </c>
      <c r="H27" s="50">
        <v>1</v>
      </c>
      <c r="I27" s="50">
        <v>2</v>
      </c>
      <c r="J27" s="50">
        <v>1</v>
      </c>
      <c r="K27" s="50">
        <v>2</v>
      </c>
      <c r="L27" s="50">
        <v>0</v>
      </c>
      <c r="M27" s="50">
        <v>23</v>
      </c>
      <c r="N27" s="50">
        <v>0</v>
      </c>
      <c r="O27" s="15">
        <f t="shared" si="0"/>
        <v>21</v>
      </c>
      <c r="P27" s="15">
        <f t="shared" si="1"/>
        <v>44</v>
      </c>
      <c r="R27" s="29" t="s">
        <v>87</v>
      </c>
      <c r="S27" s="16">
        <f t="shared" ref="S27:AF27" si="19">SUM(S19:S21)</f>
        <v>135</v>
      </c>
      <c r="T27" s="16">
        <f t="shared" si="19"/>
        <v>94</v>
      </c>
      <c r="U27" s="16">
        <f t="shared" si="19"/>
        <v>48</v>
      </c>
      <c r="V27" s="16">
        <f t="shared" si="19"/>
        <v>72</v>
      </c>
      <c r="W27" s="16">
        <f t="shared" si="19"/>
        <v>4</v>
      </c>
      <c r="X27" s="16">
        <f t="shared" si="19"/>
        <v>20</v>
      </c>
      <c r="Y27" s="16">
        <f t="shared" si="19"/>
        <v>28</v>
      </c>
      <c r="Z27" s="16">
        <f t="shared" si="19"/>
        <v>35</v>
      </c>
      <c r="AA27" s="16">
        <f t="shared" si="19"/>
        <v>34</v>
      </c>
      <c r="AB27" s="16">
        <f t="shared" si="19"/>
        <v>10</v>
      </c>
      <c r="AC27" s="16">
        <f t="shared" si="19"/>
        <v>260</v>
      </c>
      <c r="AD27" s="16">
        <f t="shared" si="19"/>
        <v>0</v>
      </c>
      <c r="AE27" s="32">
        <f t="shared" si="19"/>
        <v>480</v>
      </c>
      <c r="AF27" s="32">
        <f t="shared" si="19"/>
        <v>740</v>
      </c>
    </row>
    <row r="28" spans="2:32" ht="23.1" customHeight="1" x14ac:dyDescent="0.25">
      <c r="B28" s="23" t="s">
        <v>55</v>
      </c>
      <c r="C28" s="50">
        <v>9</v>
      </c>
      <c r="D28" s="50">
        <v>6</v>
      </c>
      <c r="E28" s="50">
        <v>3</v>
      </c>
      <c r="F28" s="50">
        <v>4</v>
      </c>
      <c r="G28" s="50">
        <v>0</v>
      </c>
      <c r="H28" s="50">
        <v>3</v>
      </c>
      <c r="I28" s="50">
        <v>2</v>
      </c>
      <c r="J28" s="50">
        <v>3</v>
      </c>
      <c r="K28" s="50">
        <v>1</v>
      </c>
      <c r="L28" s="50">
        <v>0</v>
      </c>
      <c r="M28" s="50">
        <v>26</v>
      </c>
      <c r="N28" s="50">
        <v>0</v>
      </c>
      <c r="O28" s="15">
        <f t="shared" si="0"/>
        <v>31</v>
      </c>
      <c r="P28" s="15">
        <f t="shared" si="1"/>
        <v>57</v>
      </c>
      <c r="R28" s="5" t="s">
        <v>17</v>
      </c>
      <c r="S28" s="16">
        <f t="shared" ref="S28:AF28" si="20">SUM(S10:S21)</f>
        <v>342</v>
      </c>
      <c r="T28" s="16">
        <f t="shared" si="20"/>
        <v>223</v>
      </c>
      <c r="U28" s="16">
        <f t="shared" si="20"/>
        <v>131</v>
      </c>
      <c r="V28" s="16">
        <f t="shared" si="20"/>
        <v>221</v>
      </c>
      <c r="W28" s="16">
        <f t="shared" si="20"/>
        <v>14</v>
      </c>
      <c r="X28" s="16">
        <f t="shared" si="20"/>
        <v>59</v>
      </c>
      <c r="Y28" s="16">
        <f t="shared" si="20"/>
        <v>80</v>
      </c>
      <c r="Z28" s="16">
        <f t="shared" si="20"/>
        <v>75</v>
      </c>
      <c r="AA28" s="16">
        <f t="shared" si="20"/>
        <v>95</v>
      </c>
      <c r="AB28" s="16">
        <f t="shared" si="20"/>
        <v>12</v>
      </c>
      <c r="AC28" s="16">
        <f t="shared" si="20"/>
        <v>874</v>
      </c>
      <c r="AD28" s="16">
        <f t="shared" si="20"/>
        <v>0</v>
      </c>
      <c r="AE28" s="32">
        <f t="shared" si="20"/>
        <v>1252</v>
      </c>
      <c r="AF28" s="32">
        <f t="shared" si="20"/>
        <v>2126</v>
      </c>
    </row>
    <row r="29" spans="2:32" ht="23.1" customHeight="1" x14ac:dyDescent="0.25">
      <c r="B29" s="23" t="s">
        <v>56</v>
      </c>
      <c r="C29" s="50">
        <v>5</v>
      </c>
      <c r="D29" s="50">
        <v>8</v>
      </c>
      <c r="E29" s="50">
        <v>5</v>
      </c>
      <c r="F29" s="50">
        <v>5</v>
      </c>
      <c r="G29" s="50">
        <v>0</v>
      </c>
      <c r="H29" s="50">
        <v>2</v>
      </c>
      <c r="I29" s="50">
        <v>3</v>
      </c>
      <c r="J29" s="50">
        <v>4</v>
      </c>
      <c r="K29" s="50">
        <v>0</v>
      </c>
      <c r="L29" s="50">
        <v>0</v>
      </c>
      <c r="M29" s="50">
        <v>16</v>
      </c>
      <c r="N29" s="50">
        <v>0</v>
      </c>
      <c r="O29" s="15">
        <f t="shared" si="0"/>
        <v>32</v>
      </c>
      <c r="P29" s="15">
        <f t="shared" si="1"/>
        <v>48</v>
      </c>
      <c r="R29"/>
      <c r="S29" s="20"/>
      <c r="T29" s="19"/>
    </row>
    <row r="30" spans="2:32" ht="23.1" customHeight="1" x14ac:dyDescent="0.25">
      <c r="B30" s="23" t="s">
        <v>57</v>
      </c>
      <c r="C30" s="50">
        <v>6</v>
      </c>
      <c r="D30" s="50">
        <v>3</v>
      </c>
      <c r="E30" s="50">
        <v>5</v>
      </c>
      <c r="F30" s="50">
        <v>8</v>
      </c>
      <c r="G30" s="50">
        <v>1</v>
      </c>
      <c r="H30" s="50">
        <v>1</v>
      </c>
      <c r="I30" s="50">
        <v>3</v>
      </c>
      <c r="J30" s="50">
        <v>1</v>
      </c>
      <c r="K30" s="50">
        <v>2</v>
      </c>
      <c r="L30" s="50">
        <v>0</v>
      </c>
      <c r="M30" s="50">
        <v>21</v>
      </c>
      <c r="N30" s="50">
        <v>0</v>
      </c>
      <c r="O30" s="15">
        <f t="shared" si="0"/>
        <v>30</v>
      </c>
      <c r="P30" s="15">
        <f t="shared" si="1"/>
        <v>51</v>
      </c>
    </row>
    <row r="31" spans="2:32" ht="23.1" customHeight="1" x14ac:dyDescent="0.25">
      <c r="B31" s="24" t="s">
        <v>58</v>
      </c>
      <c r="C31" s="50">
        <v>6</v>
      </c>
      <c r="D31" s="50">
        <v>4</v>
      </c>
      <c r="E31" s="50">
        <v>2</v>
      </c>
      <c r="F31" s="50">
        <v>7</v>
      </c>
      <c r="G31" s="50">
        <v>0</v>
      </c>
      <c r="H31" s="50">
        <v>2</v>
      </c>
      <c r="I31" s="50">
        <v>2</v>
      </c>
      <c r="J31" s="50">
        <v>2</v>
      </c>
      <c r="K31" s="50">
        <v>1</v>
      </c>
      <c r="L31" s="50">
        <v>0</v>
      </c>
      <c r="M31" s="50">
        <v>18</v>
      </c>
      <c r="N31" s="50">
        <v>0</v>
      </c>
      <c r="O31" s="15">
        <f t="shared" si="0"/>
        <v>26</v>
      </c>
      <c r="P31" s="15">
        <f t="shared" si="1"/>
        <v>44</v>
      </c>
    </row>
    <row r="32" spans="2:32" ht="23.1" customHeight="1" x14ac:dyDescent="0.25">
      <c r="B32" s="24" t="s">
        <v>59</v>
      </c>
      <c r="C32" s="50">
        <v>15</v>
      </c>
      <c r="D32" s="50">
        <v>5</v>
      </c>
      <c r="E32" s="50">
        <v>3</v>
      </c>
      <c r="F32" s="50">
        <v>3</v>
      </c>
      <c r="G32" s="50">
        <v>1</v>
      </c>
      <c r="H32" s="50">
        <v>2</v>
      </c>
      <c r="I32" s="50">
        <v>1</v>
      </c>
      <c r="J32" s="50">
        <v>0</v>
      </c>
      <c r="K32" s="50">
        <v>2</v>
      </c>
      <c r="L32" s="50">
        <v>0</v>
      </c>
      <c r="M32" s="50">
        <v>20</v>
      </c>
      <c r="N32" s="50">
        <v>0</v>
      </c>
      <c r="O32" s="15">
        <f t="shared" si="0"/>
        <v>32</v>
      </c>
      <c r="P32" s="15">
        <f t="shared" si="1"/>
        <v>52</v>
      </c>
    </row>
    <row r="33" spans="2:20" ht="23.1" customHeight="1" x14ac:dyDescent="0.25">
      <c r="B33" s="23" t="s">
        <v>60</v>
      </c>
      <c r="C33" s="50">
        <v>6</v>
      </c>
      <c r="D33" s="50">
        <v>7</v>
      </c>
      <c r="E33" s="50">
        <v>0</v>
      </c>
      <c r="F33" s="50">
        <v>2</v>
      </c>
      <c r="G33" s="50">
        <v>0</v>
      </c>
      <c r="H33" s="50">
        <v>2</v>
      </c>
      <c r="I33" s="50">
        <v>1</v>
      </c>
      <c r="J33" s="50">
        <v>0</v>
      </c>
      <c r="K33" s="50">
        <v>0</v>
      </c>
      <c r="L33" s="50">
        <v>0</v>
      </c>
      <c r="M33" s="50">
        <v>22</v>
      </c>
      <c r="N33" s="50">
        <v>0</v>
      </c>
      <c r="O33" s="15">
        <f t="shared" si="0"/>
        <v>18</v>
      </c>
      <c r="P33" s="15">
        <f t="shared" si="1"/>
        <v>40</v>
      </c>
    </row>
    <row r="34" spans="2:20" ht="23.1" customHeight="1" x14ac:dyDescent="0.25">
      <c r="B34" s="24" t="s">
        <v>61</v>
      </c>
      <c r="C34" s="50">
        <v>15</v>
      </c>
      <c r="D34" s="50">
        <v>3</v>
      </c>
      <c r="E34" s="50">
        <v>2</v>
      </c>
      <c r="F34" s="50">
        <v>3</v>
      </c>
      <c r="G34" s="50">
        <v>0</v>
      </c>
      <c r="H34" s="50">
        <v>3</v>
      </c>
      <c r="I34" s="50">
        <v>3</v>
      </c>
      <c r="J34" s="50">
        <v>0</v>
      </c>
      <c r="K34" s="50">
        <v>3</v>
      </c>
      <c r="L34" s="50">
        <v>0</v>
      </c>
      <c r="M34" s="50">
        <v>22</v>
      </c>
      <c r="N34" s="50">
        <v>0</v>
      </c>
      <c r="O34" s="15">
        <f t="shared" si="0"/>
        <v>32</v>
      </c>
      <c r="P34" s="15">
        <f t="shared" si="1"/>
        <v>54</v>
      </c>
    </row>
    <row r="35" spans="2:20" ht="23.1" customHeight="1" x14ac:dyDescent="0.25">
      <c r="B35" s="24" t="s">
        <v>62</v>
      </c>
      <c r="C35" s="50">
        <v>5</v>
      </c>
      <c r="D35" s="50">
        <v>2</v>
      </c>
      <c r="E35" s="50">
        <v>4</v>
      </c>
      <c r="F35" s="50">
        <v>3</v>
      </c>
      <c r="G35" s="50">
        <v>0</v>
      </c>
      <c r="H35" s="50">
        <v>0</v>
      </c>
      <c r="I35" s="50">
        <v>1</v>
      </c>
      <c r="J35" s="50">
        <v>0</v>
      </c>
      <c r="K35" s="50">
        <v>1</v>
      </c>
      <c r="L35" s="50">
        <v>0</v>
      </c>
      <c r="M35" s="50">
        <v>17</v>
      </c>
      <c r="N35" s="50">
        <v>0</v>
      </c>
      <c r="O35" s="15">
        <f t="shared" si="0"/>
        <v>16</v>
      </c>
      <c r="P35" s="15">
        <f t="shared" si="1"/>
        <v>33</v>
      </c>
    </row>
    <row r="36" spans="2:20" ht="23.1" customHeight="1" x14ac:dyDescent="0.25">
      <c r="B36" s="24" t="s">
        <v>63</v>
      </c>
      <c r="C36" s="50">
        <v>10</v>
      </c>
      <c r="D36" s="50">
        <v>6</v>
      </c>
      <c r="E36" s="50">
        <v>5</v>
      </c>
      <c r="F36" s="50">
        <v>7</v>
      </c>
      <c r="G36" s="50">
        <v>0</v>
      </c>
      <c r="H36" s="50">
        <v>1</v>
      </c>
      <c r="I36" s="50">
        <v>1</v>
      </c>
      <c r="J36" s="50">
        <v>3</v>
      </c>
      <c r="K36" s="50">
        <v>2</v>
      </c>
      <c r="L36" s="50">
        <v>0</v>
      </c>
      <c r="M36" s="50">
        <v>10</v>
      </c>
      <c r="N36" s="50">
        <v>0</v>
      </c>
      <c r="O36" s="15">
        <f t="shared" si="0"/>
        <v>35</v>
      </c>
      <c r="P36" s="15">
        <f t="shared" si="1"/>
        <v>45</v>
      </c>
    </row>
    <row r="37" spans="2:20" ht="23.1" customHeight="1" x14ac:dyDescent="0.25">
      <c r="B37" s="23" t="s">
        <v>64</v>
      </c>
      <c r="C37" s="50">
        <v>1</v>
      </c>
      <c r="D37" s="50">
        <v>4</v>
      </c>
      <c r="E37" s="50">
        <v>2</v>
      </c>
      <c r="F37" s="50">
        <v>4</v>
      </c>
      <c r="G37" s="50">
        <v>1</v>
      </c>
      <c r="H37" s="50">
        <v>2</v>
      </c>
      <c r="I37" s="50">
        <v>2</v>
      </c>
      <c r="J37" s="50">
        <v>0</v>
      </c>
      <c r="K37" s="50">
        <v>2</v>
      </c>
      <c r="L37" s="50">
        <v>0</v>
      </c>
      <c r="M37" s="50">
        <v>15</v>
      </c>
      <c r="N37" s="50">
        <v>0</v>
      </c>
      <c r="O37" s="15">
        <f t="shared" si="0"/>
        <v>18</v>
      </c>
      <c r="P37" s="15">
        <f t="shared" si="1"/>
        <v>33</v>
      </c>
    </row>
    <row r="38" spans="2:20" ht="23.1" customHeight="1" x14ac:dyDescent="0.25">
      <c r="B38" s="24" t="s">
        <v>65</v>
      </c>
      <c r="C38" s="50">
        <v>5</v>
      </c>
      <c r="D38" s="50">
        <v>10</v>
      </c>
      <c r="E38" s="50">
        <v>3</v>
      </c>
      <c r="F38" s="50">
        <v>4</v>
      </c>
      <c r="G38" s="50">
        <v>0</v>
      </c>
      <c r="H38" s="50">
        <v>0</v>
      </c>
      <c r="I38" s="50">
        <v>1</v>
      </c>
      <c r="J38" s="50">
        <v>1</v>
      </c>
      <c r="K38" s="50">
        <v>1</v>
      </c>
      <c r="L38" s="50">
        <v>0</v>
      </c>
      <c r="M38" s="50">
        <v>23</v>
      </c>
      <c r="N38" s="50">
        <v>0</v>
      </c>
      <c r="O38" s="15">
        <f t="shared" si="0"/>
        <v>25</v>
      </c>
      <c r="P38" s="15">
        <f t="shared" si="1"/>
        <v>48</v>
      </c>
    </row>
    <row r="39" spans="2:20" ht="23.1" customHeight="1" x14ac:dyDescent="0.25">
      <c r="B39" s="24" t="s">
        <v>66</v>
      </c>
      <c r="C39" s="50">
        <v>6</v>
      </c>
      <c r="D39" s="50">
        <v>9</v>
      </c>
      <c r="E39" s="50">
        <v>1</v>
      </c>
      <c r="F39" s="50">
        <v>3</v>
      </c>
      <c r="G39" s="50">
        <v>0</v>
      </c>
      <c r="H39" s="50">
        <v>2</v>
      </c>
      <c r="I39" s="50">
        <v>2</v>
      </c>
      <c r="J39" s="50">
        <v>4</v>
      </c>
      <c r="K39" s="50">
        <v>5</v>
      </c>
      <c r="L39" s="50">
        <v>2</v>
      </c>
      <c r="M39" s="50">
        <v>10</v>
      </c>
      <c r="N39" s="50">
        <v>0</v>
      </c>
      <c r="O39" s="15">
        <f t="shared" si="0"/>
        <v>34</v>
      </c>
      <c r="P39" s="15">
        <f t="shared" si="1"/>
        <v>44</v>
      </c>
    </row>
    <row r="40" spans="2:20" ht="23.1" customHeight="1" x14ac:dyDescent="0.25">
      <c r="B40" s="24" t="s">
        <v>67</v>
      </c>
      <c r="C40" s="50">
        <v>8</v>
      </c>
      <c r="D40" s="50">
        <v>3</v>
      </c>
      <c r="E40" s="50">
        <v>3</v>
      </c>
      <c r="F40" s="50">
        <v>3</v>
      </c>
      <c r="G40" s="50">
        <v>1</v>
      </c>
      <c r="H40" s="50">
        <v>1</v>
      </c>
      <c r="I40" s="50">
        <v>2</v>
      </c>
      <c r="J40" s="50">
        <v>1</v>
      </c>
      <c r="K40" s="50">
        <v>1</v>
      </c>
      <c r="L40" s="50">
        <v>0</v>
      </c>
      <c r="M40" s="50">
        <v>19</v>
      </c>
      <c r="N40" s="50">
        <v>0</v>
      </c>
      <c r="O40" s="15">
        <f t="shared" si="0"/>
        <v>23</v>
      </c>
      <c r="P40" s="15">
        <f t="shared" si="1"/>
        <v>42</v>
      </c>
    </row>
    <row r="41" spans="2:20" ht="23.1" customHeight="1" x14ac:dyDescent="0.25">
      <c r="B41" s="23" t="s">
        <v>68</v>
      </c>
      <c r="C41" s="50">
        <v>1</v>
      </c>
      <c r="D41" s="50">
        <v>1</v>
      </c>
      <c r="E41" s="50">
        <v>3</v>
      </c>
      <c r="F41" s="50">
        <v>4</v>
      </c>
      <c r="G41" s="50">
        <v>0</v>
      </c>
      <c r="H41" s="50">
        <v>1</v>
      </c>
      <c r="I41" s="50">
        <v>2</v>
      </c>
      <c r="J41" s="50">
        <v>1</v>
      </c>
      <c r="K41" s="50">
        <v>4</v>
      </c>
      <c r="L41" s="50">
        <v>0</v>
      </c>
      <c r="M41" s="50">
        <v>10</v>
      </c>
      <c r="N41" s="50">
        <v>0</v>
      </c>
      <c r="O41" s="15">
        <f t="shared" si="0"/>
        <v>17</v>
      </c>
      <c r="P41" s="15">
        <f t="shared" si="1"/>
        <v>27</v>
      </c>
    </row>
    <row r="42" spans="2:20" ht="23.1" customHeight="1" x14ac:dyDescent="0.25">
      <c r="B42" s="24" t="s">
        <v>69</v>
      </c>
      <c r="C42" s="50">
        <v>3</v>
      </c>
      <c r="D42" s="50">
        <v>2</v>
      </c>
      <c r="E42" s="50">
        <v>1</v>
      </c>
      <c r="F42" s="50">
        <v>1</v>
      </c>
      <c r="G42" s="50">
        <v>4</v>
      </c>
      <c r="H42" s="50">
        <v>0</v>
      </c>
      <c r="I42" s="50">
        <v>1</v>
      </c>
      <c r="J42" s="50">
        <v>0</v>
      </c>
      <c r="K42" s="50">
        <v>2</v>
      </c>
      <c r="L42" s="50">
        <v>0</v>
      </c>
      <c r="M42" s="50">
        <v>10</v>
      </c>
      <c r="N42" s="50">
        <v>0</v>
      </c>
      <c r="O42" s="15">
        <f t="shared" si="0"/>
        <v>14</v>
      </c>
      <c r="P42" s="15">
        <f t="shared" si="1"/>
        <v>24</v>
      </c>
    </row>
    <row r="43" spans="2:20" ht="23.1" customHeight="1" x14ac:dyDescent="0.25">
      <c r="B43" s="23" t="s">
        <v>70</v>
      </c>
      <c r="C43" s="50">
        <v>6</v>
      </c>
      <c r="D43" s="50">
        <v>2</v>
      </c>
      <c r="E43" s="50">
        <v>3</v>
      </c>
      <c r="F43" s="50">
        <v>1</v>
      </c>
      <c r="G43" s="50">
        <v>1</v>
      </c>
      <c r="H43" s="50">
        <v>1</v>
      </c>
      <c r="I43" s="50">
        <v>1</v>
      </c>
      <c r="J43" s="50">
        <v>3</v>
      </c>
      <c r="K43" s="50">
        <v>2</v>
      </c>
      <c r="L43" s="50">
        <v>0</v>
      </c>
      <c r="M43" s="50">
        <v>20</v>
      </c>
      <c r="N43" s="50">
        <v>0</v>
      </c>
      <c r="O43" s="15">
        <f t="shared" si="0"/>
        <v>20</v>
      </c>
      <c r="P43" s="15">
        <f t="shared" si="1"/>
        <v>40</v>
      </c>
    </row>
    <row r="44" spans="2:20" ht="23.1" customHeight="1" x14ac:dyDescent="0.25">
      <c r="B44" s="25" t="s">
        <v>71</v>
      </c>
      <c r="C44" s="50">
        <v>3</v>
      </c>
      <c r="D44" s="50">
        <v>8</v>
      </c>
      <c r="E44" s="50">
        <v>1</v>
      </c>
      <c r="F44" s="50">
        <v>8</v>
      </c>
      <c r="G44" s="50">
        <v>0</v>
      </c>
      <c r="H44" s="50">
        <v>3</v>
      </c>
      <c r="I44" s="50">
        <v>5</v>
      </c>
      <c r="J44" s="50">
        <v>1</v>
      </c>
      <c r="K44" s="50">
        <v>1</v>
      </c>
      <c r="L44" s="50">
        <v>0</v>
      </c>
      <c r="M44" s="50">
        <v>19</v>
      </c>
      <c r="N44" s="50">
        <v>0</v>
      </c>
      <c r="O44" s="15">
        <f t="shared" si="0"/>
        <v>30</v>
      </c>
      <c r="P44" s="15">
        <f t="shared" si="1"/>
        <v>49</v>
      </c>
    </row>
    <row r="45" spans="2:20" ht="23.1" customHeight="1" x14ac:dyDescent="0.25">
      <c r="B45" s="23" t="s">
        <v>72</v>
      </c>
      <c r="C45" s="50">
        <v>7</v>
      </c>
      <c r="D45" s="50">
        <v>2</v>
      </c>
      <c r="E45" s="50">
        <v>3</v>
      </c>
      <c r="F45" s="50">
        <v>2</v>
      </c>
      <c r="G45" s="50">
        <v>0</v>
      </c>
      <c r="H45" s="50">
        <v>1</v>
      </c>
      <c r="I45" s="50">
        <v>3</v>
      </c>
      <c r="J45" s="50">
        <v>2</v>
      </c>
      <c r="K45" s="50">
        <v>3</v>
      </c>
      <c r="L45" s="50">
        <v>0</v>
      </c>
      <c r="M45" s="50">
        <v>15</v>
      </c>
      <c r="N45" s="50">
        <v>0</v>
      </c>
      <c r="O45" s="15">
        <f t="shared" si="0"/>
        <v>23</v>
      </c>
      <c r="P45" s="15">
        <f t="shared" si="1"/>
        <v>38</v>
      </c>
    </row>
    <row r="46" spans="2:20" ht="23.1" customHeight="1" x14ac:dyDescent="0.25">
      <c r="B46" s="24" t="s">
        <v>73</v>
      </c>
      <c r="C46" s="50">
        <v>9</v>
      </c>
      <c r="D46" s="50">
        <v>5</v>
      </c>
      <c r="E46" s="50">
        <v>4</v>
      </c>
      <c r="F46" s="50">
        <v>7</v>
      </c>
      <c r="G46" s="50">
        <v>0</v>
      </c>
      <c r="H46" s="50">
        <v>3</v>
      </c>
      <c r="I46" s="50">
        <v>7</v>
      </c>
      <c r="J46" s="50">
        <v>1</v>
      </c>
      <c r="K46" s="50">
        <v>3</v>
      </c>
      <c r="L46" s="50">
        <v>1</v>
      </c>
      <c r="M46" s="50">
        <v>25</v>
      </c>
      <c r="N46" s="50">
        <v>0</v>
      </c>
      <c r="O46" s="15">
        <f t="shared" si="0"/>
        <v>40</v>
      </c>
      <c r="P46" s="15">
        <f t="shared" si="1"/>
        <v>65</v>
      </c>
      <c r="R46" s="8"/>
      <c r="T46"/>
    </row>
    <row r="47" spans="2:20" ht="23.1" customHeight="1" x14ac:dyDescent="0.25">
      <c r="B47" s="24" t="s">
        <v>74</v>
      </c>
      <c r="C47" s="50">
        <v>6</v>
      </c>
      <c r="D47" s="50">
        <v>7</v>
      </c>
      <c r="E47" s="50">
        <v>2</v>
      </c>
      <c r="F47" s="50">
        <v>5</v>
      </c>
      <c r="G47" s="50">
        <v>0</v>
      </c>
      <c r="H47" s="50">
        <v>1</v>
      </c>
      <c r="I47" s="50">
        <v>1</v>
      </c>
      <c r="J47" s="50">
        <v>2</v>
      </c>
      <c r="K47" s="50">
        <v>1</v>
      </c>
      <c r="L47" s="50">
        <v>2</v>
      </c>
      <c r="M47" s="50">
        <v>21</v>
      </c>
      <c r="N47" s="50">
        <v>0</v>
      </c>
      <c r="O47" s="15">
        <f t="shared" si="0"/>
        <v>27</v>
      </c>
      <c r="P47" s="15">
        <f t="shared" si="1"/>
        <v>48</v>
      </c>
      <c r="R47" s="8"/>
      <c r="T47"/>
    </row>
    <row r="48" spans="2:20" ht="23.1" customHeight="1" x14ac:dyDescent="0.25">
      <c r="B48" s="24" t="s">
        <v>75</v>
      </c>
      <c r="C48" s="50">
        <v>10</v>
      </c>
      <c r="D48" s="50">
        <v>9</v>
      </c>
      <c r="E48" s="50">
        <v>3</v>
      </c>
      <c r="F48" s="50">
        <v>5</v>
      </c>
      <c r="G48" s="50">
        <v>0</v>
      </c>
      <c r="H48" s="50">
        <v>2</v>
      </c>
      <c r="I48" s="50">
        <v>1</v>
      </c>
      <c r="J48" s="50">
        <v>1</v>
      </c>
      <c r="K48" s="50">
        <v>3</v>
      </c>
      <c r="L48" s="50">
        <v>1</v>
      </c>
      <c r="M48" s="50">
        <v>17</v>
      </c>
      <c r="N48" s="50">
        <v>0</v>
      </c>
      <c r="O48" s="15">
        <f t="shared" si="0"/>
        <v>35</v>
      </c>
      <c r="P48" s="15">
        <f t="shared" si="1"/>
        <v>52</v>
      </c>
      <c r="R48" s="8"/>
      <c r="T48"/>
    </row>
    <row r="49" spans="2:20" ht="23.1" customHeight="1" x14ac:dyDescent="0.25">
      <c r="B49" s="23" t="s">
        <v>76</v>
      </c>
      <c r="C49" s="50">
        <v>5</v>
      </c>
      <c r="D49" s="50">
        <v>5</v>
      </c>
      <c r="E49" s="50">
        <v>2</v>
      </c>
      <c r="F49" s="50">
        <v>3</v>
      </c>
      <c r="G49" s="50">
        <v>0</v>
      </c>
      <c r="H49" s="50">
        <v>2</v>
      </c>
      <c r="I49" s="50">
        <v>3</v>
      </c>
      <c r="J49" s="50">
        <v>6</v>
      </c>
      <c r="K49" s="50">
        <v>3</v>
      </c>
      <c r="L49" s="50">
        <v>1</v>
      </c>
      <c r="M49" s="50">
        <v>17</v>
      </c>
      <c r="N49" s="50">
        <v>0</v>
      </c>
      <c r="O49" s="15">
        <f t="shared" si="0"/>
        <v>30</v>
      </c>
      <c r="P49" s="15">
        <f t="shared" si="1"/>
        <v>47</v>
      </c>
      <c r="R49" s="8"/>
      <c r="T49"/>
    </row>
    <row r="50" spans="2:20" ht="23.1" customHeight="1" x14ac:dyDescent="0.25">
      <c r="B50" s="24" t="s">
        <v>77</v>
      </c>
      <c r="C50" s="50">
        <v>18</v>
      </c>
      <c r="D50" s="50">
        <v>24</v>
      </c>
      <c r="E50" s="50">
        <v>11</v>
      </c>
      <c r="F50" s="50">
        <v>6</v>
      </c>
      <c r="G50" s="50">
        <v>2</v>
      </c>
      <c r="H50" s="50">
        <v>4</v>
      </c>
      <c r="I50" s="50">
        <v>3</v>
      </c>
      <c r="J50" s="50">
        <v>10</v>
      </c>
      <c r="K50" s="50">
        <v>6</v>
      </c>
      <c r="L50" s="50">
        <v>4</v>
      </c>
      <c r="M50" s="50">
        <v>34</v>
      </c>
      <c r="N50" s="50">
        <v>0</v>
      </c>
      <c r="O50" s="15">
        <f t="shared" si="0"/>
        <v>88</v>
      </c>
      <c r="P50" s="15">
        <f t="shared" si="1"/>
        <v>122</v>
      </c>
      <c r="R50" s="8"/>
      <c r="T50"/>
    </row>
    <row r="51" spans="2:20" ht="23.1" customHeight="1" x14ac:dyDescent="0.25">
      <c r="B51" s="24" t="s">
        <v>78</v>
      </c>
      <c r="C51" s="50">
        <v>6</v>
      </c>
      <c r="D51" s="50">
        <v>8</v>
      </c>
      <c r="E51" s="50">
        <v>3</v>
      </c>
      <c r="F51" s="50">
        <v>3</v>
      </c>
      <c r="G51" s="50">
        <v>0</v>
      </c>
      <c r="H51" s="50">
        <v>2</v>
      </c>
      <c r="I51" s="50">
        <v>1</v>
      </c>
      <c r="J51" s="50">
        <v>3</v>
      </c>
      <c r="K51" s="50">
        <v>0</v>
      </c>
      <c r="L51" s="50">
        <v>1</v>
      </c>
      <c r="M51" s="50">
        <v>10</v>
      </c>
      <c r="N51" s="50">
        <v>0</v>
      </c>
      <c r="O51" s="15">
        <f t="shared" si="0"/>
        <v>27</v>
      </c>
      <c r="P51" s="15">
        <f t="shared" si="1"/>
        <v>37</v>
      </c>
      <c r="R51" s="8"/>
      <c r="T51"/>
    </row>
    <row r="52" spans="2:20" ht="23.1" customHeight="1" x14ac:dyDescent="0.25">
      <c r="B52" s="24" t="s">
        <v>79</v>
      </c>
      <c r="C52" s="50">
        <v>11</v>
      </c>
      <c r="D52" s="50">
        <v>6</v>
      </c>
      <c r="E52" s="50">
        <v>3</v>
      </c>
      <c r="F52" s="50">
        <v>7</v>
      </c>
      <c r="G52" s="50">
        <v>1</v>
      </c>
      <c r="H52" s="50">
        <v>1</v>
      </c>
      <c r="I52" s="50">
        <v>2</v>
      </c>
      <c r="J52" s="50">
        <v>1</v>
      </c>
      <c r="K52" s="50">
        <v>3</v>
      </c>
      <c r="L52" s="50">
        <v>0</v>
      </c>
      <c r="M52" s="50">
        <v>26</v>
      </c>
      <c r="N52" s="50">
        <v>0</v>
      </c>
      <c r="O52" s="15">
        <f t="shared" si="0"/>
        <v>35</v>
      </c>
      <c r="P52" s="15">
        <f t="shared" si="1"/>
        <v>61</v>
      </c>
      <c r="R52" s="8"/>
      <c r="T52"/>
    </row>
    <row r="53" spans="2:20" ht="23.1" customHeight="1" x14ac:dyDescent="0.25">
      <c r="B53" s="23" t="s">
        <v>80</v>
      </c>
      <c r="C53" s="50">
        <v>14</v>
      </c>
      <c r="D53" s="50">
        <v>11</v>
      </c>
      <c r="E53" s="50">
        <v>2</v>
      </c>
      <c r="F53" s="50">
        <v>8</v>
      </c>
      <c r="G53" s="50">
        <v>1</v>
      </c>
      <c r="H53" s="50">
        <v>1</v>
      </c>
      <c r="I53" s="50">
        <v>1</v>
      </c>
      <c r="J53" s="50">
        <v>3</v>
      </c>
      <c r="K53" s="50">
        <v>3</v>
      </c>
      <c r="L53" s="50">
        <v>0</v>
      </c>
      <c r="M53" s="50">
        <v>26</v>
      </c>
      <c r="N53" s="50">
        <v>0</v>
      </c>
      <c r="O53" s="15">
        <f t="shared" si="0"/>
        <v>44</v>
      </c>
      <c r="P53" s="15">
        <f t="shared" si="1"/>
        <v>70</v>
      </c>
      <c r="R53" s="8"/>
      <c r="T53"/>
    </row>
    <row r="54" spans="2:20" ht="23.1" customHeight="1" x14ac:dyDescent="0.25">
      <c r="B54" s="23" t="s">
        <v>81</v>
      </c>
      <c r="C54" s="50">
        <v>15</v>
      </c>
      <c r="D54" s="50">
        <v>4</v>
      </c>
      <c r="E54" s="50">
        <v>5</v>
      </c>
      <c r="F54" s="50">
        <v>6</v>
      </c>
      <c r="G54" s="50">
        <v>0</v>
      </c>
      <c r="H54" s="50">
        <v>1</v>
      </c>
      <c r="I54" s="50">
        <v>3</v>
      </c>
      <c r="J54" s="50">
        <v>1</v>
      </c>
      <c r="K54" s="50">
        <v>2</v>
      </c>
      <c r="L54" s="50">
        <v>0</v>
      </c>
      <c r="M54" s="50">
        <v>32</v>
      </c>
      <c r="N54" s="50">
        <v>0</v>
      </c>
      <c r="O54" s="15">
        <f t="shared" si="0"/>
        <v>37</v>
      </c>
      <c r="P54" s="15">
        <f t="shared" si="1"/>
        <v>69</v>
      </c>
      <c r="R54" s="8"/>
      <c r="T54"/>
    </row>
    <row r="55" spans="2:20" ht="23.1" customHeight="1" x14ac:dyDescent="0.25">
      <c r="B55" s="23" t="s">
        <v>82</v>
      </c>
      <c r="C55" s="50">
        <v>20</v>
      </c>
      <c r="D55" s="50">
        <v>6</v>
      </c>
      <c r="E55" s="50">
        <v>5</v>
      </c>
      <c r="F55" s="50">
        <v>8</v>
      </c>
      <c r="G55" s="50">
        <v>0</v>
      </c>
      <c r="H55" s="50">
        <v>0</v>
      </c>
      <c r="I55" s="50">
        <v>1</v>
      </c>
      <c r="J55" s="50">
        <v>3</v>
      </c>
      <c r="K55" s="50">
        <v>4</v>
      </c>
      <c r="L55" s="50">
        <v>0</v>
      </c>
      <c r="M55" s="50">
        <v>16</v>
      </c>
      <c r="N55" s="50">
        <v>0</v>
      </c>
      <c r="O55" s="15">
        <f t="shared" si="0"/>
        <v>47</v>
      </c>
      <c r="P55" s="15">
        <f t="shared" si="1"/>
        <v>63</v>
      </c>
      <c r="R55" s="8"/>
      <c r="T55"/>
    </row>
    <row r="56" spans="2:20" ht="23.1" customHeight="1" x14ac:dyDescent="0.25">
      <c r="B56" s="23" t="s">
        <v>83</v>
      </c>
      <c r="C56" s="50">
        <v>8</v>
      </c>
      <c r="D56" s="50">
        <v>7</v>
      </c>
      <c r="E56" s="50">
        <v>4</v>
      </c>
      <c r="F56" s="50">
        <v>6</v>
      </c>
      <c r="G56" s="50">
        <v>0</v>
      </c>
      <c r="H56" s="50">
        <v>2</v>
      </c>
      <c r="I56" s="50">
        <v>4</v>
      </c>
      <c r="J56" s="50">
        <v>2</v>
      </c>
      <c r="K56" s="50">
        <v>3</v>
      </c>
      <c r="L56" s="50">
        <v>0</v>
      </c>
      <c r="M56" s="50">
        <v>18</v>
      </c>
      <c r="N56" s="50">
        <v>0</v>
      </c>
      <c r="O56" s="15">
        <f t="shared" si="0"/>
        <v>36</v>
      </c>
      <c r="P56" s="15">
        <f t="shared" si="1"/>
        <v>54</v>
      </c>
      <c r="R56" s="8"/>
      <c r="T56"/>
    </row>
    <row r="57" spans="2:20" ht="23.1" customHeight="1" x14ac:dyDescent="0.25">
      <c r="B57" s="23" t="s">
        <v>84</v>
      </c>
      <c r="C57" s="50">
        <v>13</v>
      </c>
      <c r="D57" s="50">
        <v>2</v>
      </c>
      <c r="E57" s="50">
        <v>4</v>
      </c>
      <c r="F57" s="50">
        <v>8</v>
      </c>
      <c r="G57" s="50">
        <v>0</v>
      </c>
      <c r="H57" s="50">
        <v>1</v>
      </c>
      <c r="I57" s="50">
        <v>1</v>
      </c>
      <c r="J57" s="50">
        <v>2</v>
      </c>
      <c r="K57" s="50">
        <v>3</v>
      </c>
      <c r="L57" s="50">
        <v>0</v>
      </c>
      <c r="M57" s="50">
        <v>18</v>
      </c>
      <c r="N57" s="50">
        <v>0</v>
      </c>
      <c r="O57" s="15">
        <f t="shared" si="0"/>
        <v>34</v>
      </c>
      <c r="P57" s="15">
        <f t="shared" si="1"/>
        <v>52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342</v>
      </c>
      <c r="D58" s="16">
        <f t="shared" si="21"/>
        <v>223</v>
      </c>
      <c r="E58" s="16">
        <f t="shared" si="21"/>
        <v>131</v>
      </c>
      <c r="F58" s="16">
        <f t="shared" si="21"/>
        <v>221</v>
      </c>
      <c r="G58" s="16">
        <f t="shared" si="21"/>
        <v>14</v>
      </c>
      <c r="H58" s="16">
        <f t="shared" si="21"/>
        <v>59</v>
      </c>
      <c r="I58" s="16">
        <f t="shared" si="21"/>
        <v>80</v>
      </c>
      <c r="J58" s="16">
        <f t="shared" si="21"/>
        <v>75</v>
      </c>
      <c r="K58" s="16">
        <f t="shared" si="21"/>
        <v>95</v>
      </c>
      <c r="L58" s="16">
        <f t="shared" si="21"/>
        <v>12</v>
      </c>
      <c r="M58" s="16">
        <f t="shared" si="21"/>
        <v>874</v>
      </c>
      <c r="N58" s="16">
        <f t="shared" si="21"/>
        <v>0</v>
      </c>
      <c r="O58" s="16">
        <f t="shared" si="21"/>
        <v>1252</v>
      </c>
      <c r="P58" s="16">
        <f t="shared" si="21"/>
        <v>2126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0.16086547507055504</v>
      </c>
      <c r="D59" s="43">
        <f t="shared" si="22"/>
        <v>0.10489181561618062</v>
      </c>
      <c r="E59" s="43">
        <f t="shared" si="22"/>
        <v>6.1618062088428974E-2</v>
      </c>
      <c r="F59" s="43">
        <f t="shared" si="22"/>
        <v>0.10395108184383819</v>
      </c>
      <c r="G59" s="43">
        <f t="shared" si="22"/>
        <v>6.58513640639699E-3</v>
      </c>
      <c r="H59" s="43">
        <f t="shared" si="22"/>
        <v>2.7751646284101598E-2</v>
      </c>
      <c r="I59" s="43">
        <f t="shared" si="22"/>
        <v>3.7629350893697081E-2</v>
      </c>
      <c r="J59" s="43">
        <f t="shared" si="22"/>
        <v>3.5277516462841017E-2</v>
      </c>
      <c r="K59" s="43">
        <f t="shared" si="22"/>
        <v>4.4684854186265284E-2</v>
      </c>
      <c r="L59" s="43">
        <f t="shared" si="22"/>
        <v>5.6444026340545629E-3</v>
      </c>
      <c r="M59" s="43">
        <f t="shared" si="22"/>
        <v>0.41110065851364064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0.2731629392971246</v>
      </c>
      <c r="D60" s="44">
        <f t="shared" ref="D60:N60" si="23">D58/$O$58</f>
        <v>0.1781150159744409</v>
      </c>
      <c r="E60" s="44">
        <f t="shared" si="23"/>
        <v>0.10463258785942492</v>
      </c>
      <c r="F60" s="44">
        <f t="shared" si="23"/>
        <v>0.17651757188498401</v>
      </c>
      <c r="G60" s="44">
        <f t="shared" si="23"/>
        <v>1.1182108626198083E-2</v>
      </c>
      <c r="H60" s="44">
        <f t="shared" si="23"/>
        <v>4.7124600638977637E-2</v>
      </c>
      <c r="I60" s="44">
        <f t="shared" si="23"/>
        <v>6.3897763578274758E-2</v>
      </c>
      <c r="J60" s="44">
        <f t="shared" si="23"/>
        <v>5.9904153354632589E-2</v>
      </c>
      <c r="K60" s="44">
        <f t="shared" si="23"/>
        <v>7.5878594249201278E-2</v>
      </c>
      <c r="L60" s="44">
        <f t="shared" si="23"/>
        <v>9.5846645367412137E-3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3" t="s">
        <v>23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 spans="2:32" ht="20.100000000000001" customHeight="1" x14ac:dyDescent="0.25">
      <c r="B2" s="74" t="s">
        <v>95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</row>
    <row r="3" spans="2:32" ht="20.100000000000001" customHeight="1" x14ac:dyDescent="0.25">
      <c r="B3" s="22" t="s">
        <v>96</v>
      </c>
      <c r="C3" s="75" t="s">
        <v>163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'23.10 MBARARA-MASAKA'!D5</f>
        <v>23.10.19</v>
      </c>
      <c r="E5" s="3"/>
      <c r="F5" s="41" t="s">
        <v>1</v>
      </c>
      <c r="G5" s="78" t="str">
        <f>'23.10 MBARARA-MASAKA'!G5:H5</f>
        <v>KINONI</v>
      </c>
      <c r="H5" s="79"/>
      <c r="I5" s="14"/>
      <c r="J5" s="2" t="s">
        <v>5</v>
      </c>
      <c r="K5" s="78" t="s">
        <v>180</v>
      </c>
      <c r="L5" s="79"/>
      <c r="M5" s="10"/>
      <c r="N5" s="10"/>
      <c r="O5" s="3"/>
      <c r="P5" s="3"/>
    </row>
    <row r="6" spans="2:32" ht="23.25" customHeight="1" x14ac:dyDescent="0.25">
      <c r="C6" s="2" t="s">
        <v>4</v>
      </c>
      <c r="D6" s="76" t="s">
        <v>166</v>
      </c>
      <c r="E6" s="77"/>
      <c r="F6" s="2" t="s">
        <v>2</v>
      </c>
      <c r="G6" s="76" t="s">
        <v>165</v>
      </c>
      <c r="H6" s="77"/>
      <c r="J6" s="2" t="s">
        <v>21</v>
      </c>
      <c r="K6" s="78" t="str">
        <f>'23.10 MBARARA-MASAKA'!K6:L6</f>
        <v>SANDRA</v>
      </c>
      <c r="L6" s="7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</v>
      </c>
      <c r="D10" s="50">
        <v>0</v>
      </c>
      <c r="E10" s="50">
        <v>1</v>
      </c>
      <c r="F10" s="50">
        <v>2</v>
      </c>
      <c r="G10" s="50">
        <v>0</v>
      </c>
      <c r="H10" s="50">
        <v>0</v>
      </c>
      <c r="I10" s="50">
        <v>2</v>
      </c>
      <c r="J10" s="50">
        <v>1</v>
      </c>
      <c r="K10" s="50">
        <v>1</v>
      </c>
      <c r="L10" s="50">
        <v>0</v>
      </c>
      <c r="M10" s="50">
        <v>18</v>
      </c>
      <c r="N10" s="50">
        <v>0</v>
      </c>
      <c r="O10" s="15">
        <f t="shared" ref="O10:O57" si="0">SUM(C10:L10,N10)</f>
        <v>14</v>
      </c>
      <c r="P10" s="15">
        <f t="shared" ref="P10:P57" si="1">SUM(C10:N10)</f>
        <v>32</v>
      </c>
      <c r="R10" s="1" t="s">
        <v>6</v>
      </c>
      <c r="S10" s="17">
        <f t="shared" ref="S10:AF10" si="2">SUM(C10:C13)</f>
        <v>30</v>
      </c>
      <c r="T10" s="17">
        <f t="shared" si="2"/>
        <v>8</v>
      </c>
      <c r="U10" s="17">
        <f t="shared" si="2"/>
        <v>7</v>
      </c>
      <c r="V10" s="17">
        <f t="shared" si="2"/>
        <v>12</v>
      </c>
      <c r="W10" s="17">
        <f t="shared" si="2"/>
        <v>1</v>
      </c>
      <c r="X10" s="17">
        <f t="shared" si="2"/>
        <v>0</v>
      </c>
      <c r="Y10" s="17">
        <f t="shared" si="2"/>
        <v>5</v>
      </c>
      <c r="Z10" s="17">
        <f t="shared" si="2"/>
        <v>6</v>
      </c>
      <c r="AA10" s="17">
        <f t="shared" si="2"/>
        <v>7</v>
      </c>
      <c r="AB10" s="17">
        <f t="shared" si="2"/>
        <v>1</v>
      </c>
      <c r="AC10" s="17">
        <f t="shared" si="2"/>
        <v>69</v>
      </c>
      <c r="AD10" s="17">
        <f t="shared" si="2"/>
        <v>0</v>
      </c>
      <c r="AE10" s="31">
        <f t="shared" si="2"/>
        <v>77</v>
      </c>
      <c r="AF10" s="31">
        <f t="shared" si="2"/>
        <v>146</v>
      </c>
    </row>
    <row r="11" spans="2:32" s="6" customFormat="1" ht="23.1" customHeight="1" x14ac:dyDescent="0.25">
      <c r="B11" s="23" t="s">
        <v>38</v>
      </c>
      <c r="C11" s="50">
        <v>5</v>
      </c>
      <c r="D11" s="50">
        <v>4</v>
      </c>
      <c r="E11" s="50">
        <v>3</v>
      </c>
      <c r="F11" s="50">
        <v>2</v>
      </c>
      <c r="G11" s="50">
        <v>0</v>
      </c>
      <c r="H11" s="50">
        <v>0</v>
      </c>
      <c r="I11" s="50">
        <v>2</v>
      </c>
      <c r="J11" s="50">
        <v>1</v>
      </c>
      <c r="K11" s="50">
        <v>0</v>
      </c>
      <c r="L11" s="50">
        <v>0</v>
      </c>
      <c r="M11" s="50">
        <v>20</v>
      </c>
      <c r="N11" s="50">
        <v>0</v>
      </c>
      <c r="O11" s="15">
        <f t="shared" si="0"/>
        <v>17</v>
      </c>
      <c r="P11" s="15">
        <f t="shared" si="1"/>
        <v>37</v>
      </c>
      <c r="R11" s="1" t="s">
        <v>7</v>
      </c>
      <c r="S11" s="17">
        <f t="shared" ref="S11:AF11" si="3">SUM(C14:C17)</f>
        <v>20</v>
      </c>
      <c r="T11" s="17">
        <f t="shared" si="3"/>
        <v>11</v>
      </c>
      <c r="U11" s="17">
        <f t="shared" si="3"/>
        <v>7</v>
      </c>
      <c r="V11" s="17">
        <f t="shared" si="3"/>
        <v>11</v>
      </c>
      <c r="W11" s="17">
        <f t="shared" si="3"/>
        <v>0</v>
      </c>
      <c r="X11" s="17">
        <f t="shared" si="3"/>
        <v>1</v>
      </c>
      <c r="Y11" s="17">
        <f t="shared" si="3"/>
        <v>9</v>
      </c>
      <c r="Z11" s="17">
        <f t="shared" si="3"/>
        <v>4</v>
      </c>
      <c r="AA11" s="17">
        <f t="shared" si="3"/>
        <v>6</v>
      </c>
      <c r="AB11" s="17">
        <f t="shared" si="3"/>
        <v>0</v>
      </c>
      <c r="AC11" s="17">
        <f t="shared" si="3"/>
        <v>81</v>
      </c>
      <c r="AD11" s="17">
        <f t="shared" si="3"/>
        <v>0</v>
      </c>
      <c r="AE11" s="31">
        <f t="shared" si="3"/>
        <v>69</v>
      </c>
      <c r="AF11" s="31">
        <f t="shared" si="3"/>
        <v>150</v>
      </c>
    </row>
    <row r="12" spans="2:32" ht="23.1" customHeight="1" x14ac:dyDescent="0.25">
      <c r="B12" s="23" t="s">
        <v>39</v>
      </c>
      <c r="C12" s="50">
        <v>11</v>
      </c>
      <c r="D12" s="50">
        <v>0</v>
      </c>
      <c r="E12" s="50">
        <v>2</v>
      </c>
      <c r="F12" s="50">
        <v>4</v>
      </c>
      <c r="G12" s="50">
        <v>1</v>
      </c>
      <c r="H12" s="50">
        <v>0</v>
      </c>
      <c r="I12" s="50">
        <v>1</v>
      </c>
      <c r="J12" s="50">
        <v>1</v>
      </c>
      <c r="K12" s="50">
        <v>5</v>
      </c>
      <c r="L12" s="50">
        <v>1</v>
      </c>
      <c r="M12" s="50">
        <v>13</v>
      </c>
      <c r="N12" s="50">
        <v>0</v>
      </c>
      <c r="O12" s="15">
        <f t="shared" si="0"/>
        <v>26</v>
      </c>
      <c r="P12" s="15">
        <f t="shared" si="1"/>
        <v>39</v>
      </c>
      <c r="R12" s="1" t="s">
        <v>8</v>
      </c>
      <c r="S12" s="17">
        <f t="shared" ref="S12:AF12" si="4">SUM(C18:C21)</f>
        <v>24</v>
      </c>
      <c r="T12" s="17">
        <f t="shared" si="4"/>
        <v>15</v>
      </c>
      <c r="U12" s="17">
        <f t="shared" si="4"/>
        <v>11</v>
      </c>
      <c r="V12" s="17">
        <f t="shared" si="4"/>
        <v>21</v>
      </c>
      <c r="W12" s="17">
        <f t="shared" si="4"/>
        <v>1</v>
      </c>
      <c r="X12" s="17">
        <f t="shared" si="4"/>
        <v>4</v>
      </c>
      <c r="Y12" s="17">
        <f t="shared" si="4"/>
        <v>8</v>
      </c>
      <c r="Z12" s="17">
        <f t="shared" si="4"/>
        <v>7</v>
      </c>
      <c r="AA12" s="17">
        <f t="shared" si="4"/>
        <v>6</v>
      </c>
      <c r="AB12" s="17">
        <f t="shared" si="4"/>
        <v>0</v>
      </c>
      <c r="AC12" s="17">
        <f t="shared" si="4"/>
        <v>59</v>
      </c>
      <c r="AD12" s="17">
        <f t="shared" si="4"/>
        <v>0</v>
      </c>
      <c r="AE12" s="31">
        <f t="shared" si="4"/>
        <v>97</v>
      </c>
      <c r="AF12" s="31">
        <f t="shared" si="4"/>
        <v>156</v>
      </c>
    </row>
    <row r="13" spans="2:32" ht="23.1" customHeight="1" x14ac:dyDescent="0.25">
      <c r="B13" s="23" t="s">
        <v>40</v>
      </c>
      <c r="C13" s="50">
        <v>7</v>
      </c>
      <c r="D13" s="50">
        <v>4</v>
      </c>
      <c r="E13" s="50">
        <v>1</v>
      </c>
      <c r="F13" s="50">
        <v>4</v>
      </c>
      <c r="G13" s="50">
        <v>0</v>
      </c>
      <c r="H13" s="50">
        <v>0</v>
      </c>
      <c r="I13" s="50">
        <v>0</v>
      </c>
      <c r="J13" s="50">
        <v>3</v>
      </c>
      <c r="K13" s="50">
        <v>1</v>
      </c>
      <c r="L13" s="50">
        <v>0</v>
      </c>
      <c r="M13" s="50">
        <v>18</v>
      </c>
      <c r="N13" s="50">
        <v>0</v>
      </c>
      <c r="O13" s="15">
        <f t="shared" si="0"/>
        <v>20</v>
      </c>
      <c r="P13" s="15">
        <f t="shared" si="1"/>
        <v>38</v>
      </c>
      <c r="R13" s="1" t="s">
        <v>9</v>
      </c>
      <c r="S13" s="17">
        <f t="shared" ref="S13:AF13" si="5">SUM(C22:C25)</f>
        <v>29</v>
      </c>
      <c r="T13" s="17">
        <f t="shared" si="5"/>
        <v>11</v>
      </c>
      <c r="U13" s="17">
        <f t="shared" si="5"/>
        <v>10</v>
      </c>
      <c r="V13" s="17">
        <f t="shared" si="5"/>
        <v>16</v>
      </c>
      <c r="W13" s="17">
        <f t="shared" si="5"/>
        <v>0</v>
      </c>
      <c r="X13" s="17">
        <f t="shared" si="5"/>
        <v>5</v>
      </c>
      <c r="Y13" s="17">
        <f t="shared" si="5"/>
        <v>14</v>
      </c>
      <c r="Z13" s="17">
        <f t="shared" si="5"/>
        <v>9</v>
      </c>
      <c r="AA13" s="17">
        <f t="shared" si="5"/>
        <v>8</v>
      </c>
      <c r="AB13" s="17">
        <f t="shared" si="5"/>
        <v>0</v>
      </c>
      <c r="AC13" s="17">
        <f t="shared" si="5"/>
        <v>86</v>
      </c>
      <c r="AD13" s="17">
        <f t="shared" si="5"/>
        <v>0</v>
      </c>
      <c r="AE13" s="31">
        <f t="shared" si="5"/>
        <v>102</v>
      </c>
      <c r="AF13" s="31">
        <f t="shared" si="5"/>
        <v>188</v>
      </c>
    </row>
    <row r="14" spans="2:32" ht="23.1" customHeight="1" x14ac:dyDescent="0.25">
      <c r="B14" s="23" t="s">
        <v>41</v>
      </c>
      <c r="C14" s="50">
        <v>7</v>
      </c>
      <c r="D14" s="50">
        <v>2</v>
      </c>
      <c r="E14" s="50">
        <v>3</v>
      </c>
      <c r="F14" s="50">
        <v>3</v>
      </c>
      <c r="G14" s="50">
        <v>0</v>
      </c>
      <c r="H14" s="50">
        <v>0</v>
      </c>
      <c r="I14" s="50">
        <v>3</v>
      </c>
      <c r="J14" s="50">
        <v>2</v>
      </c>
      <c r="K14" s="50">
        <v>2</v>
      </c>
      <c r="L14" s="50">
        <v>0</v>
      </c>
      <c r="M14" s="50">
        <v>29</v>
      </c>
      <c r="N14" s="50">
        <v>0</v>
      </c>
      <c r="O14" s="15">
        <f t="shared" si="0"/>
        <v>22</v>
      </c>
      <c r="P14" s="15">
        <f t="shared" si="1"/>
        <v>51</v>
      </c>
      <c r="R14" s="1" t="s">
        <v>10</v>
      </c>
      <c r="S14" s="17">
        <f t="shared" ref="S14:AF14" si="6">SUM(C26:C29)</f>
        <v>42</v>
      </c>
      <c r="T14" s="17">
        <f t="shared" si="6"/>
        <v>20</v>
      </c>
      <c r="U14" s="17">
        <f t="shared" si="6"/>
        <v>17</v>
      </c>
      <c r="V14" s="17">
        <f t="shared" si="6"/>
        <v>16</v>
      </c>
      <c r="W14" s="17">
        <f t="shared" si="6"/>
        <v>2</v>
      </c>
      <c r="X14" s="17">
        <f t="shared" si="6"/>
        <v>5</v>
      </c>
      <c r="Y14" s="17">
        <f t="shared" si="6"/>
        <v>5</v>
      </c>
      <c r="Z14" s="17">
        <f t="shared" si="6"/>
        <v>9</v>
      </c>
      <c r="AA14" s="17">
        <f t="shared" si="6"/>
        <v>8</v>
      </c>
      <c r="AB14" s="17">
        <f t="shared" si="6"/>
        <v>0</v>
      </c>
      <c r="AC14" s="17">
        <f t="shared" si="6"/>
        <v>68</v>
      </c>
      <c r="AD14" s="17">
        <f t="shared" si="6"/>
        <v>0</v>
      </c>
      <c r="AE14" s="31">
        <f t="shared" si="6"/>
        <v>124</v>
      </c>
      <c r="AF14" s="31">
        <f t="shared" si="6"/>
        <v>192</v>
      </c>
    </row>
    <row r="15" spans="2:32" ht="23.1" customHeight="1" x14ac:dyDescent="0.25">
      <c r="B15" s="23" t="s">
        <v>42</v>
      </c>
      <c r="C15" s="50">
        <v>6</v>
      </c>
      <c r="D15" s="50">
        <v>2</v>
      </c>
      <c r="E15" s="50">
        <v>1</v>
      </c>
      <c r="F15" s="50">
        <v>1</v>
      </c>
      <c r="G15" s="50">
        <v>0</v>
      </c>
      <c r="H15" s="50">
        <v>1</v>
      </c>
      <c r="I15" s="50">
        <v>0</v>
      </c>
      <c r="J15" s="50">
        <v>0</v>
      </c>
      <c r="K15" s="50">
        <v>2</v>
      </c>
      <c r="L15" s="50">
        <v>0</v>
      </c>
      <c r="M15" s="50">
        <v>17</v>
      </c>
      <c r="N15" s="50">
        <v>0</v>
      </c>
      <c r="O15" s="15">
        <f t="shared" si="0"/>
        <v>13</v>
      </c>
      <c r="P15" s="15">
        <f t="shared" si="1"/>
        <v>30</v>
      </c>
      <c r="R15" s="1" t="s">
        <v>11</v>
      </c>
      <c r="S15" s="17">
        <f t="shared" ref="S15:AF15" si="7">SUM(C30:C33)</f>
        <v>36</v>
      </c>
      <c r="T15" s="17">
        <f t="shared" si="7"/>
        <v>9</v>
      </c>
      <c r="U15" s="17">
        <f t="shared" si="7"/>
        <v>9</v>
      </c>
      <c r="V15" s="17">
        <f t="shared" si="7"/>
        <v>22</v>
      </c>
      <c r="W15" s="17">
        <f t="shared" si="7"/>
        <v>0</v>
      </c>
      <c r="X15" s="17">
        <f t="shared" si="7"/>
        <v>4</v>
      </c>
      <c r="Y15" s="17">
        <f t="shared" si="7"/>
        <v>11</v>
      </c>
      <c r="Z15" s="17">
        <f t="shared" si="7"/>
        <v>0</v>
      </c>
      <c r="AA15" s="17">
        <f t="shared" si="7"/>
        <v>3</v>
      </c>
      <c r="AB15" s="17">
        <f t="shared" si="7"/>
        <v>1</v>
      </c>
      <c r="AC15" s="17">
        <f t="shared" si="7"/>
        <v>87</v>
      </c>
      <c r="AD15" s="17">
        <f t="shared" si="7"/>
        <v>0</v>
      </c>
      <c r="AE15" s="31">
        <f t="shared" si="7"/>
        <v>95</v>
      </c>
      <c r="AF15" s="31">
        <f t="shared" si="7"/>
        <v>182</v>
      </c>
    </row>
    <row r="16" spans="2:32" ht="23.1" customHeight="1" x14ac:dyDescent="0.25">
      <c r="B16" s="23" t="s">
        <v>43</v>
      </c>
      <c r="C16" s="50">
        <v>5</v>
      </c>
      <c r="D16" s="50">
        <v>3</v>
      </c>
      <c r="E16" s="50">
        <v>2</v>
      </c>
      <c r="F16" s="50">
        <v>5</v>
      </c>
      <c r="G16" s="50">
        <v>0</v>
      </c>
      <c r="H16" s="50">
        <v>0</v>
      </c>
      <c r="I16" s="50">
        <v>5</v>
      </c>
      <c r="J16" s="50">
        <v>1</v>
      </c>
      <c r="K16" s="50">
        <v>2</v>
      </c>
      <c r="L16" s="50">
        <v>0</v>
      </c>
      <c r="M16" s="50">
        <v>17</v>
      </c>
      <c r="N16" s="50">
        <v>0</v>
      </c>
      <c r="O16" s="15">
        <f t="shared" si="0"/>
        <v>23</v>
      </c>
      <c r="P16" s="15">
        <f t="shared" si="1"/>
        <v>40</v>
      </c>
      <c r="R16" s="1" t="s">
        <v>12</v>
      </c>
      <c r="S16" s="17">
        <f t="shared" ref="S16:AF16" si="8">SUM(C34:C37)</f>
        <v>26</v>
      </c>
      <c r="T16" s="17">
        <f t="shared" si="8"/>
        <v>9</v>
      </c>
      <c r="U16" s="17">
        <f t="shared" si="8"/>
        <v>7</v>
      </c>
      <c r="V16" s="17">
        <f t="shared" si="8"/>
        <v>15</v>
      </c>
      <c r="W16" s="17">
        <f t="shared" si="8"/>
        <v>4</v>
      </c>
      <c r="X16" s="17">
        <f t="shared" si="8"/>
        <v>3</v>
      </c>
      <c r="Y16" s="17">
        <f t="shared" si="8"/>
        <v>7</v>
      </c>
      <c r="Z16" s="17">
        <f t="shared" si="8"/>
        <v>6</v>
      </c>
      <c r="AA16" s="17">
        <f t="shared" si="8"/>
        <v>4</v>
      </c>
      <c r="AB16" s="17">
        <f t="shared" si="8"/>
        <v>1</v>
      </c>
      <c r="AC16" s="17">
        <f t="shared" si="8"/>
        <v>63</v>
      </c>
      <c r="AD16" s="17">
        <f t="shared" si="8"/>
        <v>0</v>
      </c>
      <c r="AE16" s="31">
        <f t="shared" si="8"/>
        <v>82</v>
      </c>
      <c r="AF16" s="31">
        <f t="shared" si="8"/>
        <v>145</v>
      </c>
    </row>
    <row r="17" spans="2:32" ht="23.1" customHeight="1" x14ac:dyDescent="0.25">
      <c r="B17" s="23" t="s">
        <v>44</v>
      </c>
      <c r="C17" s="50">
        <v>2</v>
      </c>
      <c r="D17" s="50">
        <v>4</v>
      </c>
      <c r="E17" s="50">
        <v>1</v>
      </c>
      <c r="F17" s="50">
        <v>2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18</v>
      </c>
      <c r="N17" s="50">
        <v>0</v>
      </c>
      <c r="O17" s="15">
        <f t="shared" si="0"/>
        <v>11</v>
      </c>
      <c r="P17" s="15">
        <f t="shared" si="1"/>
        <v>29</v>
      </c>
      <c r="R17" s="1" t="s">
        <v>13</v>
      </c>
      <c r="S17" s="17">
        <f t="shared" ref="S17:AF17" si="9">SUM(C38:C41)</f>
        <v>34</v>
      </c>
      <c r="T17" s="17">
        <f t="shared" si="9"/>
        <v>9</v>
      </c>
      <c r="U17" s="17">
        <f t="shared" si="9"/>
        <v>9</v>
      </c>
      <c r="V17" s="17">
        <f t="shared" si="9"/>
        <v>20</v>
      </c>
      <c r="W17" s="17">
        <f t="shared" si="9"/>
        <v>1</v>
      </c>
      <c r="X17" s="17">
        <f t="shared" si="9"/>
        <v>6</v>
      </c>
      <c r="Y17" s="17">
        <f t="shared" si="9"/>
        <v>5</v>
      </c>
      <c r="Z17" s="17">
        <f t="shared" si="9"/>
        <v>9</v>
      </c>
      <c r="AA17" s="17">
        <f t="shared" si="9"/>
        <v>8</v>
      </c>
      <c r="AB17" s="17">
        <f t="shared" si="9"/>
        <v>2</v>
      </c>
      <c r="AC17" s="17">
        <f t="shared" si="9"/>
        <v>76</v>
      </c>
      <c r="AD17" s="17">
        <f t="shared" si="9"/>
        <v>0</v>
      </c>
      <c r="AE17" s="31">
        <f t="shared" si="9"/>
        <v>103</v>
      </c>
      <c r="AF17" s="31">
        <f t="shared" si="9"/>
        <v>179</v>
      </c>
    </row>
    <row r="18" spans="2:32" ht="23.1" customHeight="1" x14ac:dyDescent="0.25">
      <c r="B18" s="23" t="s">
        <v>45</v>
      </c>
      <c r="C18" s="50">
        <v>5</v>
      </c>
      <c r="D18" s="50">
        <v>4</v>
      </c>
      <c r="E18" s="50">
        <v>2</v>
      </c>
      <c r="F18" s="50">
        <v>6</v>
      </c>
      <c r="G18" s="50">
        <v>1</v>
      </c>
      <c r="H18" s="50">
        <v>1</v>
      </c>
      <c r="I18" s="50">
        <v>0</v>
      </c>
      <c r="J18" s="50">
        <v>1</v>
      </c>
      <c r="K18" s="50">
        <v>1</v>
      </c>
      <c r="L18" s="50">
        <v>0</v>
      </c>
      <c r="M18" s="50">
        <v>17</v>
      </c>
      <c r="N18" s="50">
        <v>0</v>
      </c>
      <c r="O18" s="15">
        <f t="shared" si="0"/>
        <v>21</v>
      </c>
      <c r="P18" s="15">
        <f t="shared" si="1"/>
        <v>38</v>
      </c>
      <c r="R18" s="1" t="s">
        <v>14</v>
      </c>
      <c r="S18" s="17">
        <f t="shared" ref="S18:AF18" si="10">SUM(C42:C45)</f>
        <v>26</v>
      </c>
      <c r="T18" s="17">
        <f t="shared" si="10"/>
        <v>9</v>
      </c>
      <c r="U18" s="17">
        <f t="shared" si="10"/>
        <v>11</v>
      </c>
      <c r="V18" s="17">
        <f t="shared" si="10"/>
        <v>24</v>
      </c>
      <c r="W18" s="17">
        <f t="shared" si="10"/>
        <v>1</v>
      </c>
      <c r="X18" s="17">
        <f t="shared" si="10"/>
        <v>8</v>
      </c>
      <c r="Y18" s="17">
        <f t="shared" si="10"/>
        <v>4</v>
      </c>
      <c r="Z18" s="17">
        <f t="shared" si="10"/>
        <v>6</v>
      </c>
      <c r="AA18" s="17">
        <f t="shared" si="10"/>
        <v>6</v>
      </c>
      <c r="AB18" s="17">
        <f t="shared" si="10"/>
        <v>2</v>
      </c>
      <c r="AC18" s="17">
        <f t="shared" si="10"/>
        <v>72</v>
      </c>
      <c r="AD18" s="17">
        <f t="shared" si="10"/>
        <v>0</v>
      </c>
      <c r="AE18" s="31">
        <f t="shared" si="10"/>
        <v>97</v>
      </c>
      <c r="AF18" s="31">
        <f t="shared" si="10"/>
        <v>169</v>
      </c>
    </row>
    <row r="19" spans="2:32" ht="23.1" customHeight="1" x14ac:dyDescent="0.25">
      <c r="B19" s="23" t="s">
        <v>46</v>
      </c>
      <c r="C19" s="50">
        <v>4</v>
      </c>
      <c r="D19" s="50">
        <v>6</v>
      </c>
      <c r="E19" s="50">
        <v>4</v>
      </c>
      <c r="F19" s="50">
        <v>7</v>
      </c>
      <c r="G19" s="50">
        <v>0</v>
      </c>
      <c r="H19" s="50">
        <v>2</v>
      </c>
      <c r="I19" s="50">
        <v>3</v>
      </c>
      <c r="J19" s="50">
        <v>1</v>
      </c>
      <c r="K19" s="50">
        <v>2</v>
      </c>
      <c r="L19" s="50">
        <v>0</v>
      </c>
      <c r="M19" s="50">
        <v>20</v>
      </c>
      <c r="N19" s="50">
        <v>0</v>
      </c>
      <c r="O19" s="15">
        <f t="shared" si="0"/>
        <v>29</v>
      </c>
      <c r="P19" s="15">
        <f t="shared" si="1"/>
        <v>49</v>
      </c>
      <c r="R19" s="1" t="s">
        <v>15</v>
      </c>
      <c r="S19" s="17">
        <f t="shared" ref="S19:AF19" si="11">SUM(C46:C49)</f>
        <v>34</v>
      </c>
      <c r="T19" s="17">
        <f t="shared" si="11"/>
        <v>9</v>
      </c>
      <c r="U19" s="17">
        <f t="shared" si="11"/>
        <v>4</v>
      </c>
      <c r="V19" s="17">
        <f t="shared" si="11"/>
        <v>11</v>
      </c>
      <c r="W19" s="17">
        <f t="shared" si="11"/>
        <v>2</v>
      </c>
      <c r="X19" s="17">
        <f t="shared" si="11"/>
        <v>6</v>
      </c>
      <c r="Y19" s="17">
        <f t="shared" si="11"/>
        <v>15</v>
      </c>
      <c r="Z19" s="17">
        <f t="shared" si="11"/>
        <v>12</v>
      </c>
      <c r="AA19" s="17">
        <f t="shared" si="11"/>
        <v>8</v>
      </c>
      <c r="AB19" s="17">
        <f t="shared" si="11"/>
        <v>0</v>
      </c>
      <c r="AC19" s="17">
        <f t="shared" si="11"/>
        <v>86</v>
      </c>
      <c r="AD19" s="17">
        <f t="shared" si="11"/>
        <v>0</v>
      </c>
      <c r="AE19" s="31">
        <f t="shared" si="11"/>
        <v>101</v>
      </c>
      <c r="AF19" s="31">
        <f t="shared" si="11"/>
        <v>187</v>
      </c>
    </row>
    <row r="20" spans="2:32" ht="23.1" customHeight="1" x14ac:dyDescent="0.25">
      <c r="B20" s="23" t="s">
        <v>47</v>
      </c>
      <c r="C20" s="50">
        <v>10</v>
      </c>
      <c r="D20" s="50">
        <v>1</v>
      </c>
      <c r="E20" s="50">
        <v>4</v>
      </c>
      <c r="F20" s="50">
        <v>7</v>
      </c>
      <c r="G20" s="50">
        <v>0</v>
      </c>
      <c r="H20" s="50">
        <v>0</v>
      </c>
      <c r="I20" s="50">
        <v>1</v>
      </c>
      <c r="J20" s="50">
        <v>4</v>
      </c>
      <c r="K20" s="50">
        <v>1</v>
      </c>
      <c r="L20" s="50">
        <v>0</v>
      </c>
      <c r="M20" s="50">
        <v>16</v>
      </c>
      <c r="N20" s="50">
        <v>0</v>
      </c>
      <c r="O20" s="15">
        <f t="shared" si="0"/>
        <v>28</v>
      </c>
      <c r="P20" s="15">
        <f t="shared" si="1"/>
        <v>44</v>
      </c>
      <c r="R20" s="1" t="s">
        <v>16</v>
      </c>
      <c r="S20" s="17">
        <f t="shared" ref="S20:AF20" si="12">SUM(C50:C53)</f>
        <v>27</v>
      </c>
      <c r="T20" s="17">
        <f t="shared" si="12"/>
        <v>11</v>
      </c>
      <c r="U20" s="17">
        <f t="shared" si="12"/>
        <v>11</v>
      </c>
      <c r="V20" s="17">
        <f t="shared" si="12"/>
        <v>12</v>
      </c>
      <c r="W20" s="17">
        <f t="shared" si="12"/>
        <v>3</v>
      </c>
      <c r="X20" s="17">
        <f t="shared" si="12"/>
        <v>5</v>
      </c>
      <c r="Y20" s="17">
        <f t="shared" si="12"/>
        <v>9</v>
      </c>
      <c r="Z20" s="17">
        <f t="shared" si="12"/>
        <v>9</v>
      </c>
      <c r="AA20" s="17">
        <f t="shared" si="12"/>
        <v>9</v>
      </c>
      <c r="AB20" s="17">
        <f t="shared" si="12"/>
        <v>3</v>
      </c>
      <c r="AC20" s="17">
        <f t="shared" si="12"/>
        <v>73</v>
      </c>
      <c r="AD20" s="17">
        <f t="shared" si="12"/>
        <v>0</v>
      </c>
      <c r="AE20" s="31">
        <f t="shared" si="12"/>
        <v>99</v>
      </c>
      <c r="AF20" s="31">
        <f t="shared" si="12"/>
        <v>172</v>
      </c>
    </row>
    <row r="21" spans="2:32" ht="23.1" customHeight="1" x14ac:dyDescent="0.25">
      <c r="B21" s="23" t="s">
        <v>48</v>
      </c>
      <c r="C21" s="50">
        <v>5</v>
      </c>
      <c r="D21" s="50">
        <v>4</v>
      </c>
      <c r="E21" s="50">
        <v>1</v>
      </c>
      <c r="F21" s="50">
        <v>1</v>
      </c>
      <c r="G21" s="50">
        <v>0</v>
      </c>
      <c r="H21" s="50">
        <v>1</v>
      </c>
      <c r="I21" s="50">
        <v>4</v>
      </c>
      <c r="J21" s="50">
        <v>1</v>
      </c>
      <c r="K21" s="50">
        <v>2</v>
      </c>
      <c r="L21" s="50">
        <v>0</v>
      </c>
      <c r="M21" s="50">
        <v>6</v>
      </c>
      <c r="N21" s="50">
        <v>0</v>
      </c>
      <c r="O21" s="15">
        <f t="shared" si="0"/>
        <v>19</v>
      </c>
      <c r="P21" s="15">
        <f t="shared" si="1"/>
        <v>25</v>
      </c>
      <c r="R21" s="36" t="s">
        <v>20</v>
      </c>
      <c r="S21" s="34">
        <f t="shared" ref="S21:AF21" si="13">SUM(C54:C57)</f>
        <v>25</v>
      </c>
      <c r="T21" s="17">
        <f t="shared" si="13"/>
        <v>13</v>
      </c>
      <c r="U21" s="17">
        <f t="shared" si="13"/>
        <v>5</v>
      </c>
      <c r="V21" s="17">
        <f t="shared" si="13"/>
        <v>17</v>
      </c>
      <c r="W21" s="17">
        <f t="shared" si="13"/>
        <v>0</v>
      </c>
      <c r="X21" s="17">
        <f t="shared" si="13"/>
        <v>7</v>
      </c>
      <c r="Y21" s="17">
        <f t="shared" si="13"/>
        <v>10</v>
      </c>
      <c r="Z21" s="17">
        <f t="shared" si="13"/>
        <v>14</v>
      </c>
      <c r="AA21" s="17">
        <f t="shared" si="13"/>
        <v>4</v>
      </c>
      <c r="AB21" s="17">
        <f t="shared" si="13"/>
        <v>2</v>
      </c>
      <c r="AC21" s="17">
        <f t="shared" si="13"/>
        <v>84</v>
      </c>
      <c r="AD21" s="17">
        <f t="shared" si="13"/>
        <v>0</v>
      </c>
      <c r="AE21" s="31">
        <f t="shared" si="13"/>
        <v>97</v>
      </c>
      <c r="AF21" s="31">
        <f t="shared" si="13"/>
        <v>181</v>
      </c>
    </row>
    <row r="22" spans="2:32" ht="23.1" customHeight="1" x14ac:dyDescent="0.25">
      <c r="B22" s="23" t="s">
        <v>49</v>
      </c>
      <c r="C22" s="50">
        <v>1</v>
      </c>
      <c r="D22" s="50">
        <v>4</v>
      </c>
      <c r="E22" s="50">
        <v>0</v>
      </c>
      <c r="F22" s="50">
        <v>5</v>
      </c>
      <c r="G22" s="50">
        <v>0</v>
      </c>
      <c r="H22" s="50">
        <v>1</v>
      </c>
      <c r="I22" s="50">
        <v>3</v>
      </c>
      <c r="J22" s="50">
        <v>3</v>
      </c>
      <c r="K22" s="50">
        <v>3</v>
      </c>
      <c r="L22" s="50">
        <v>0</v>
      </c>
      <c r="M22" s="50">
        <v>17</v>
      </c>
      <c r="N22" s="50">
        <v>0</v>
      </c>
      <c r="O22" s="15">
        <f t="shared" si="0"/>
        <v>20</v>
      </c>
      <c r="P22" s="15">
        <f t="shared" si="1"/>
        <v>37</v>
      </c>
      <c r="R22" s="38" t="s">
        <v>90</v>
      </c>
      <c r="S22" s="39">
        <f>MAX(S10:S12)</f>
        <v>30</v>
      </c>
      <c r="T22" s="39">
        <f t="shared" ref="T22:AF22" si="14">MAX(T10:T12)</f>
        <v>15</v>
      </c>
      <c r="U22" s="39">
        <f t="shared" si="14"/>
        <v>11</v>
      </c>
      <c r="V22" s="39">
        <f t="shared" si="14"/>
        <v>21</v>
      </c>
      <c r="W22" s="39">
        <f t="shared" si="14"/>
        <v>1</v>
      </c>
      <c r="X22" s="39">
        <f t="shared" si="14"/>
        <v>4</v>
      </c>
      <c r="Y22" s="39">
        <f t="shared" si="14"/>
        <v>9</v>
      </c>
      <c r="Z22" s="39">
        <f t="shared" si="14"/>
        <v>7</v>
      </c>
      <c r="AA22" s="39">
        <f t="shared" si="14"/>
        <v>7</v>
      </c>
      <c r="AB22" s="39">
        <f t="shared" si="14"/>
        <v>1</v>
      </c>
      <c r="AC22" s="39">
        <f t="shared" si="14"/>
        <v>81</v>
      </c>
      <c r="AD22" s="39">
        <f t="shared" si="14"/>
        <v>0</v>
      </c>
      <c r="AE22" s="40">
        <f t="shared" si="14"/>
        <v>97</v>
      </c>
      <c r="AF22" s="40">
        <f t="shared" si="14"/>
        <v>156</v>
      </c>
    </row>
    <row r="23" spans="2:32" ht="23.1" customHeight="1" x14ac:dyDescent="0.25">
      <c r="B23" s="23" t="s">
        <v>50</v>
      </c>
      <c r="C23" s="50">
        <v>11</v>
      </c>
      <c r="D23" s="50">
        <v>3</v>
      </c>
      <c r="E23" s="50">
        <v>1</v>
      </c>
      <c r="F23" s="50">
        <v>3</v>
      </c>
      <c r="G23" s="50">
        <v>0</v>
      </c>
      <c r="H23" s="50">
        <v>3</v>
      </c>
      <c r="I23" s="50">
        <v>4</v>
      </c>
      <c r="J23" s="50">
        <v>4</v>
      </c>
      <c r="K23" s="50">
        <v>5</v>
      </c>
      <c r="L23" s="50">
        <v>0</v>
      </c>
      <c r="M23" s="50">
        <v>30</v>
      </c>
      <c r="N23" s="50">
        <v>0</v>
      </c>
      <c r="O23" s="15">
        <f t="shared" si="0"/>
        <v>34</v>
      </c>
      <c r="P23" s="15">
        <f t="shared" si="1"/>
        <v>64</v>
      </c>
      <c r="R23" s="38" t="s">
        <v>91</v>
      </c>
      <c r="S23" s="39">
        <f>MAX(S13:S18)</f>
        <v>42</v>
      </c>
      <c r="T23" s="39">
        <f t="shared" ref="T23:AF23" si="15">MAX(T13:T18)</f>
        <v>20</v>
      </c>
      <c r="U23" s="39">
        <f t="shared" si="15"/>
        <v>17</v>
      </c>
      <c r="V23" s="39">
        <f t="shared" si="15"/>
        <v>24</v>
      </c>
      <c r="W23" s="39">
        <f t="shared" si="15"/>
        <v>4</v>
      </c>
      <c r="X23" s="39">
        <f t="shared" si="15"/>
        <v>8</v>
      </c>
      <c r="Y23" s="39">
        <f t="shared" si="15"/>
        <v>14</v>
      </c>
      <c r="Z23" s="39">
        <f t="shared" si="15"/>
        <v>9</v>
      </c>
      <c r="AA23" s="39">
        <f t="shared" si="15"/>
        <v>8</v>
      </c>
      <c r="AB23" s="39">
        <f t="shared" si="15"/>
        <v>2</v>
      </c>
      <c r="AC23" s="39">
        <f t="shared" si="15"/>
        <v>87</v>
      </c>
      <c r="AD23" s="39">
        <f t="shared" si="15"/>
        <v>0</v>
      </c>
      <c r="AE23" s="40">
        <f t="shared" si="15"/>
        <v>124</v>
      </c>
      <c r="AF23" s="40">
        <f t="shared" si="15"/>
        <v>192</v>
      </c>
    </row>
    <row r="24" spans="2:32" ht="23.1" customHeight="1" x14ac:dyDescent="0.25">
      <c r="B24" s="23" t="s">
        <v>51</v>
      </c>
      <c r="C24" s="50">
        <v>6</v>
      </c>
      <c r="D24" s="50">
        <v>3</v>
      </c>
      <c r="E24" s="50">
        <v>3</v>
      </c>
      <c r="F24" s="50">
        <v>6</v>
      </c>
      <c r="G24" s="50">
        <v>0</v>
      </c>
      <c r="H24" s="50">
        <v>1</v>
      </c>
      <c r="I24" s="50">
        <v>5</v>
      </c>
      <c r="J24" s="50">
        <v>2</v>
      </c>
      <c r="K24" s="50">
        <v>0</v>
      </c>
      <c r="L24" s="50">
        <v>0</v>
      </c>
      <c r="M24" s="50">
        <v>19</v>
      </c>
      <c r="N24" s="50">
        <v>0</v>
      </c>
      <c r="O24" s="15">
        <f t="shared" si="0"/>
        <v>26</v>
      </c>
      <c r="P24" s="15">
        <f t="shared" si="1"/>
        <v>45</v>
      </c>
      <c r="R24" s="38" t="s">
        <v>92</v>
      </c>
      <c r="S24" s="39">
        <f>MAX(S19:S21)</f>
        <v>34</v>
      </c>
      <c r="T24" s="39">
        <f t="shared" ref="T24:AF24" si="16">MAX(T19:T21)</f>
        <v>13</v>
      </c>
      <c r="U24" s="39">
        <f t="shared" si="16"/>
        <v>11</v>
      </c>
      <c r="V24" s="39">
        <f t="shared" si="16"/>
        <v>17</v>
      </c>
      <c r="W24" s="39">
        <f t="shared" si="16"/>
        <v>3</v>
      </c>
      <c r="X24" s="39">
        <f t="shared" si="16"/>
        <v>7</v>
      </c>
      <c r="Y24" s="39">
        <f t="shared" si="16"/>
        <v>15</v>
      </c>
      <c r="Z24" s="39">
        <f t="shared" si="16"/>
        <v>14</v>
      </c>
      <c r="AA24" s="39">
        <f t="shared" si="16"/>
        <v>9</v>
      </c>
      <c r="AB24" s="39">
        <f t="shared" si="16"/>
        <v>3</v>
      </c>
      <c r="AC24" s="39">
        <f t="shared" si="16"/>
        <v>86</v>
      </c>
      <c r="AD24" s="39">
        <f t="shared" si="16"/>
        <v>0</v>
      </c>
      <c r="AE24" s="40">
        <f t="shared" si="16"/>
        <v>101</v>
      </c>
      <c r="AF24" s="40">
        <f t="shared" si="16"/>
        <v>187</v>
      </c>
    </row>
    <row r="25" spans="2:32" ht="23.1" customHeight="1" x14ac:dyDescent="0.25">
      <c r="B25" s="23" t="s">
        <v>52</v>
      </c>
      <c r="C25" s="50">
        <v>11</v>
      </c>
      <c r="D25" s="50">
        <v>1</v>
      </c>
      <c r="E25" s="50">
        <v>6</v>
      </c>
      <c r="F25" s="50">
        <v>2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20</v>
      </c>
      <c r="N25" s="50">
        <v>0</v>
      </c>
      <c r="O25" s="15">
        <f t="shared" si="0"/>
        <v>22</v>
      </c>
      <c r="P25" s="15">
        <f t="shared" si="1"/>
        <v>42</v>
      </c>
      <c r="R25" s="37" t="s">
        <v>85</v>
      </c>
      <c r="S25" s="35">
        <f t="shared" ref="S25:AF25" si="17">SUM(S10:S12)</f>
        <v>74</v>
      </c>
      <c r="T25" s="16">
        <f t="shared" si="17"/>
        <v>34</v>
      </c>
      <c r="U25" s="16">
        <f t="shared" si="17"/>
        <v>25</v>
      </c>
      <c r="V25" s="16">
        <f t="shared" si="17"/>
        <v>44</v>
      </c>
      <c r="W25" s="16">
        <f t="shared" si="17"/>
        <v>2</v>
      </c>
      <c r="X25" s="16">
        <f t="shared" si="17"/>
        <v>5</v>
      </c>
      <c r="Y25" s="16">
        <f t="shared" si="17"/>
        <v>22</v>
      </c>
      <c r="Z25" s="16">
        <f t="shared" si="17"/>
        <v>17</v>
      </c>
      <c r="AA25" s="16">
        <f t="shared" si="17"/>
        <v>19</v>
      </c>
      <c r="AB25" s="16">
        <f t="shared" si="17"/>
        <v>1</v>
      </c>
      <c r="AC25" s="16">
        <f t="shared" si="17"/>
        <v>209</v>
      </c>
      <c r="AD25" s="16">
        <f t="shared" si="17"/>
        <v>0</v>
      </c>
      <c r="AE25" s="32">
        <f t="shared" si="17"/>
        <v>243</v>
      </c>
      <c r="AF25" s="32">
        <f t="shared" si="17"/>
        <v>452</v>
      </c>
    </row>
    <row r="26" spans="2:32" ht="23.1" customHeight="1" x14ac:dyDescent="0.25">
      <c r="B26" s="23" t="s">
        <v>53</v>
      </c>
      <c r="C26" s="50">
        <v>14</v>
      </c>
      <c r="D26" s="50">
        <v>5</v>
      </c>
      <c r="E26" s="50">
        <v>3</v>
      </c>
      <c r="F26" s="50">
        <v>4</v>
      </c>
      <c r="G26" s="50">
        <v>0</v>
      </c>
      <c r="H26" s="50">
        <v>1</v>
      </c>
      <c r="I26" s="50">
        <v>0</v>
      </c>
      <c r="J26" s="50">
        <v>1</v>
      </c>
      <c r="K26" s="50">
        <v>3</v>
      </c>
      <c r="L26" s="50">
        <v>0</v>
      </c>
      <c r="M26" s="50">
        <v>16</v>
      </c>
      <c r="N26" s="50">
        <v>0</v>
      </c>
      <c r="O26" s="15">
        <f t="shared" si="0"/>
        <v>31</v>
      </c>
      <c r="P26" s="15">
        <f t="shared" si="1"/>
        <v>47</v>
      </c>
      <c r="R26" s="28" t="s">
        <v>86</v>
      </c>
      <c r="S26" s="16">
        <f t="shared" ref="S26:AF26" si="18">SUM(S13:S18)</f>
        <v>193</v>
      </c>
      <c r="T26" s="16">
        <f t="shared" si="18"/>
        <v>67</v>
      </c>
      <c r="U26" s="16">
        <f t="shared" si="18"/>
        <v>63</v>
      </c>
      <c r="V26" s="16">
        <f t="shared" si="18"/>
        <v>113</v>
      </c>
      <c r="W26" s="16">
        <f t="shared" si="18"/>
        <v>8</v>
      </c>
      <c r="X26" s="16">
        <f t="shared" si="18"/>
        <v>31</v>
      </c>
      <c r="Y26" s="16">
        <f t="shared" si="18"/>
        <v>46</v>
      </c>
      <c r="Z26" s="16">
        <f t="shared" si="18"/>
        <v>39</v>
      </c>
      <c r="AA26" s="16">
        <f t="shared" si="18"/>
        <v>37</v>
      </c>
      <c r="AB26" s="16">
        <f t="shared" si="18"/>
        <v>6</v>
      </c>
      <c r="AC26" s="16">
        <f t="shared" si="18"/>
        <v>452</v>
      </c>
      <c r="AD26" s="16">
        <f t="shared" si="18"/>
        <v>0</v>
      </c>
      <c r="AE26" s="32">
        <f t="shared" si="18"/>
        <v>603</v>
      </c>
      <c r="AF26" s="32">
        <f t="shared" si="18"/>
        <v>1055</v>
      </c>
    </row>
    <row r="27" spans="2:32" ht="23.1" customHeight="1" x14ac:dyDescent="0.25">
      <c r="B27" s="23" t="s">
        <v>54</v>
      </c>
      <c r="C27" s="50">
        <v>11</v>
      </c>
      <c r="D27" s="50">
        <v>4</v>
      </c>
      <c r="E27" s="50">
        <v>8</v>
      </c>
      <c r="F27" s="50">
        <v>3</v>
      </c>
      <c r="G27" s="50">
        <v>0</v>
      </c>
      <c r="H27" s="50">
        <v>0</v>
      </c>
      <c r="I27" s="50">
        <v>2</v>
      </c>
      <c r="J27" s="50">
        <v>3</v>
      </c>
      <c r="K27" s="50">
        <v>2</v>
      </c>
      <c r="L27" s="50">
        <v>0</v>
      </c>
      <c r="M27" s="50">
        <v>20</v>
      </c>
      <c r="N27" s="50">
        <v>0</v>
      </c>
      <c r="O27" s="15">
        <f t="shared" si="0"/>
        <v>33</v>
      </c>
      <c r="P27" s="15">
        <f t="shared" si="1"/>
        <v>53</v>
      </c>
      <c r="R27" s="29" t="s">
        <v>87</v>
      </c>
      <c r="S27" s="16">
        <f t="shared" ref="S27:AF27" si="19">SUM(S19:S21)</f>
        <v>86</v>
      </c>
      <c r="T27" s="16">
        <f t="shared" si="19"/>
        <v>33</v>
      </c>
      <c r="U27" s="16">
        <f t="shared" si="19"/>
        <v>20</v>
      </c>
      <c r="V27" s="16">
        <f t="shared" si="19"/>
        <v>40</v>
      </c>
      <c r="W27" s="16">
        <f t="shared" si="19"/>
        <v>5</v>
      </c>
      <c r="X27" s="16">
        <f t="shared" si="19"/>
        <v>18</v>
      </c>
      <c r="Y27" s="16">
        <f t="shared" si="19"/>
        <v>34</v>
      </c>
      <c r="Z27" s="16">
        <f t="shared" si="19"/>
        <v>35</v>
      </c>
      <c r="AA27" s="16">
        <f t="shared" si="19"/>
        <v>21</v>
      </c>
      <c r="AB27" s="16">
        <f t="shared" si="19"/>
        <v>5</v>
      </c>
      <c r="AC27" s="16">
        <f t="shared" si="19"/>
        <v>243</v>
      </c>
      <c r="AD27" s="16">
        <f t="shared" si="19"/>
        <v>0</v>
      </c>
      <c r="AE27" s="32">
        <f t="shared" si="19"/>
        <v>297</v>
      </c>
      <c r="AF27" s="32">
        <f t="shared" si="19"/>
        <v>540</v>
      </c>
    </row>
    <row r="28" spans="2:32" ht="23.1" customHeight="1" x14ac:dyDescent="0.25">
      <c r="B28" s="23" t="s">
        <v>55</v>
      </c>
      <c r="C28" s="50">
        <v>11</v>
      </c>
      <c r="D28" s="50">
        <v>6</v>
      </c>
      <c r="E28" s="50">
        <v>6</v>
      </c>
      <c r="F28" s="50">
        <v>7</v>
      </c>
      <c r="G28" s="50">
        <v>2</v>
      </c>
      <c r="H28" s="50">
        <v>1</v>
      </c>
      <c r="I28" s="50">
        <v>1</v>
      </c>
      <c r="J28" s="50">
        <v>4</v>
      </c>
      <c r="K28" s="50">
        <v>2</v>
      </c>
      <c r="L28" s="50">
        <v>0</v>
      </c>
      <c r="M28" s="50">
        <v>21</v>
      </c>
      <c r="N28" s="50">
        <v>0</v>
      </c>
      <c r="O28" s="15">
        <f t="shared" si="0"/>
        <v>40</v>
      </c>
      <c r="P28" s="15">
        <f t="shared" si="1"/>
        <v>61</v>
      </c>
      <c r="R28" s="5" t="s">
        <v>17</v>
      </c>
      <c r="S28" s="16">
        <f t="shared" ref="S28:AF28" si="20">SUM(S10:S21)</f>
        <v>353</v>
      </c>
      <c r="T28" s="16">
        <f t="shared" si="20"/>
        <v>134</v>
      </c>
      <c r="U28" s="16">
        <f t="shared" si="20"/>
        <v>108</v>
      </c>
      <c r="V28" s="16">
        <f t="shared" si="20"/>
        <v>197</v>
      </c>
      <c r="W28" s="16">
        <f t="shared" si="20"/>
        <v>15</v>
      </c>
      <c r="X28" s="16">
        <f t="shared" si="20"/>
        <v>54</v>
      </c>
      <c r="Y28" s="16">
        <f t="shared" si="20"/>
        <v>102</v>
      </c>
      <c r="Z28" s="16">
        <f t="shared" si="20"/>
        <v>91</v>
      </c>
      <c r="AA28" s="16">
        <f t="shared" si="20"/>
        <v>77</v>
      </c>
      <c r="AB28" s="16">
        <f t="shared" si="20"/>
        <v>12</v>
      </c>
      <c r="AC28" s="16">
        <f t="shared" si="20"/>
        <v>904</v>
      </c>
      <c r="AD28" s="16">
        <f t="shared" si="20"/>
        <v>0</v>
      </c>
      <c r="AE28" s="32">
        <f t="shared" si="20"/>
        <v>1143</v>
      </c>
      <c r="AF28" s="32">
        <f t="shared" si="20"/>
        <v>2047</v>
      </c>
    </row>
    <row r="29" spans="2:32" ht="23.1" customHeight="1" x14ac:dyDescent="0.25">
      <c r="B29" s="23" t="s">
        <v>56</v>
      </c>
      <c r="C29" s="50">
        <v>6</v>
      </c>
      <c r="D29" s="50">
        <v>5</v>
      </c>
      <c r="E29" s="50">
        <v>0</v>
      </c>
      <c r="F29" s="50">
        <v>2</v>
      </c>
      <c r="G29" s="50">
        <v>0</v>
      </c>
      <c r="H29" s="50">
        <v>3</v>
      </c>
      <c r="I29" s="50">
        <v>2</v>
      </c>
      <c r="J29" s="50">
        <v>1</v>
      </c>
      <c r="K29" s="50">
        <v>1</v>
      </c>
      <c r="L29" s="50">
        <v>0</v>
      </c>
      <c r="M29" s="50">
        <v>11</v>
      </c>
      <c r="N29" s="50">
        <v>0</v>
      </c>
      <c r="O29" s="15">
        <f t="shared" si="0"/>
        <v>20</v>
      </c>
      <c r="P29" s="15">
        <f t="shared" si="1"/>
        <v>31</v>
      </c>
      <c r="R29"/>
      <c r="S29" s="20"/>
      <c r="T29" s="19"/>
    </row>
    <row r="30" spans="2:32" ht="23.1" customHeight="1" x14ac:dyDescent="0.25">
      <c r="B30" s="23" t="s">
        <v>57</v>
      </c>
      <c r="C30" s="50">
        <v>8</v>
      </c>
      <c r="D30" s="50">
        <v>3</v>
      </c>
      <c r="E30" s="50">
        <v>2</v>
      </c>
      <c r="F30" s="50">
        <v>5</v>
      </c>
      <c r="G30" s="50">
        <v>0</v>
      </c>
      <c r="H30" s="50">
        <v>1</v>
      </c>
      <c r="I30" s="50">
        <v>2</v>
      </c>
      <c r="J30" s="50">
        <v>0</v>
      </c>
      <c r="K30" s="50">
        <v>1</v>
      </c>
      <c r="L30" s="50">
        <v>0</v>
      </c>
      <c r="M30" s="50">
        <v>20</v>
      </c>
      <c r="N30" s="50">
        <v>0</v>
      </c>
      <c r="O30" s="15">
        <f t="shared" si="0"/>
        <v>22</v>
      </c>
      <c r="P30" s="15">
        <f t="shared" si="1"/>
        <v>42</v>
      </c>
    </row>
    <row r="31" spans="2:32" ht="23.1" customHeight="1" x14ac:dyDescent="0.25">
      <c r="B31" s="24" t="s">
        <v>58</v>
      </c>
      <c r="C31" s="50">
        <v>9</v>
      </c>
      <c r="D31" s="50">
        <v>3</v>
      </c>
      <c r="E31" s="50">
        <v>3</v>
      </c>
      <c r="F31" s="50">
        <v>5</v>
      </c>
      <c r="G31" s="50">
        <v>0</v>
      </c>
      <c r="H31" s="50">
        <v>2</v>
      </c>
      <c r="I31" s="50">
        <v>1</v>
      </c>
      <c r="J31" s="50">
        <v>0</v>
      </c>
      <c r="K31" s="50">
        <v>2</v>
      </c>
      <c r="L31" s="50">
        <v>0</v>
      </c>
      <c r="M31" s="50">
        <v>26</v>
      </c>
      <c r="N31" s="50">
        <v>0</v>
      </c>
      <c r="O31" s="15">
        <f t="shared" si="0"/>
        <v>25</v>
      </c>
      <c r="P31" s="15">
        <f t="shared" si="1"/>
        <v>51</v>
      </c>
    </row>
    <row r="32" spans="2:32" ht="23.1" customHeight="1" x14ac:dyDescent="0.25">
      <c r="B32" s="24" t="s">
        <v>59</v>
      </c>
      <c r="C32" s="50">
        <v>8</v>
      </c>
      <c r="D32" s="50">
        <v>3</v>
      </c>
      <c r="E32" s="50">
        <v>1</v>
      </c>
      <c r="F32" s="50">
        <v>7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0</v>
      </c>
      <c r="M32" s="50">
        <v>18</v>
      </c>
      <c r="N32" s="50">
        <v>0</v>
      </c>
      <c r="O32" s="15">
        <f t="shared" si="0"/>
        <v>23</v>
      </c>
      <c r="P32" s="15">
        <f t="shared" si="1"/>
        <v>41</v>
      </c>
    </row>
    <row r="33" spans="2:20" ht="23.1" customHeight="1" x14ac:dyDescent="0.25">
      <c r="B33" s="23" t="s">
        <v>60</v>
      </c>
      <c r="C33" s="50">
        <v>11</v>
      </c>
      <c r="D33" s="50">
        <v>0</v>
      </c>
      <c r="E33" s="50">
        <v>3</v>
      </c>
      <c r="F33" s="50">
        <v>5</v>
      </c>
      <c r="G33" s="50">
        <v>0</v>
      </c>
      <c r="H33" s="50">
        <v>1</v>
      </c>
      <c r="I33" s="50">
        <v>4</v>
      </c>
      <c r="J33" s="50">
        <v>0</v>
      </c>
      <c r="K33" s="50">
        <v>0</v>
      </c>
      <c r="L33" s="50">
        <v>1</v>
      </c>
      <c r="M33" s="50">
        <v>23</v>
      </c>
      <c r="N33" s="50">
        <v>0</v>
      </c>
      <c r="O33" s="15">
        <f t="shared" si="0"/>
        <v>25</v>
      </c>
      <c r="P33" s="15">
        <f t="shared" si="1"/>
        <v>48</v>
      </c>
    </row>
    <row r="34" spans="2:20" ht="23.1" customHeight="1" x14ac:dyDescent="0.25">
      <c r="B34" s="24" t="s">
        <v>61</v>
      </c>
      <c r="C34" s="50">
        <v>5</v>
      </c>
      <c r="D34" s="50">
        <v>3</v>
      </c>
      <c r="E34" s="50">
        <v>3</v>
      </c>
      <c r="F34" s="50">
        <v>3</v>
      </c>
      <c r="G34" s="50">
        <v>4</v>
      </c>
      <c r="H34" s="50">
        <v>0</v>
      </c>
      <c r="I34" s="50">
        <v>1</v>
      </c>
      <c r="J34" s="50">
        <v>1</v>
      </c>
      <c r="K34" s="50">
        <v>1</v>
      </c>
      <c r="L34" s="50">
        <v>0</v>
      </c>
      <c r="M34" s="50">
        <v>21</v>
      </c>
      <c r="N34" s="50">
        <v>0</v>
      </c>
      <c r="O34" s="15">
        <f t="shared" si="0"/>
        <v>21</v>
      </c>
      <c r="P34" s="15">
        <f t="shared" si="1"/>
        <v>42</v>
      </c>
    </row>
    <row r="35" spans="2:20" ht="23.1" customHeight="1" x14ac:dyDescent="0.25">
      <c r="B35" s="24" t="s">
        <v>62</v>
      </c>
      <c r="C35" s="50">
        <v>13</v>
      </c>
      <c r="D35" s="50">
        <v>2</v>
      </c>
      <c r="E35" s="50">
        <v>4</v>
      </c>
      <c r="F35" s="50">
        <v>7</v>
      </c>
      <c r="G35" s="50">
        <v>0</v>
      </c>
      <c r="H35" s="50">
        <v>0</v>
      </c>
      <c r="I35" s="50">
        <v>4</v>
      </c>
      <c r="J35" s="50">
        <v>0</v>
      </c>
      <c r="K35" s="50">
        <v>2</v>
      </c>
      <c r="L35" s="50">
        <v>1</v>
      </c>
      <c r="M35" s="50">
        <v>15</v>
      </c>
      <c r="N35" s="50">
        <v>0</v>
      </c>
      <c r="O35" s="15">
        <f t="shared" si="0"/>
        <v>33</v>
      </c>
      <c r="P35" s="15">
        <f t="shared" si="1"/>
        <v>48</v>
      </c>
    </row>
    <row r="36" spans="2:20" ht="23.1" customHeight="1" x14ac:dyDescent="0.25">
      <c r="B36" s="24" t="s">
        <v>63</v>
      </c>
      <c r="C36" s="50">
        <v>4</v>
      </c>
      <c r="D36" s="50">
        <v>2</v>
      </c>
      <c r="E36" s="50">
        <v>0</v>
      </c>
      <c r="F36" s="50">
        <v>1</v>
      </c>
      <c r="G36" s="50">
        <v>0</v>
      </c>
      <c r="H36" s="50">
        <v>0</v>
      </c>
      <c r="I36" s="50">
        <v>2</v>
      </c>
      <c r="J36" s="50">
        <v>2</v>
      </c>
      <c r="K36" s="50">
        <v>1</v>
      </c>
      <c r="L36" s="50">
        <v>0</v>
      </c>
      <c r="M36" s="50">
        <v>11</v>
      </c>
      <c r="N36" s="50">
        <v>0</v>
      </c>
      <c r="O36" s="15">
        <f t="shared" si="0"/>
        <v>12</v>
      </c>
      <c r="P36" s="15">
        <f t="shared" si="1"/>
        <v>23</v>
      </c>
    </row>
    <row r="37" spans="2:20" ht="23.1" customHeight="1" x14ac:dyDescent="0.25">
      <c r="B37" s="23" t="s">
        <v>64</v>
      </c>
      <c r="C37" s="50">
        <v>4</v>
      </c>
      <c r="D37" s="50">
        <v>2</v>
      </c>
      <c r="E37" s="50">
        <v>0</v>
      </c>
      <c r="F37" s="50">
        <v>4</v>
      </c>
      <c r="G37" s="50">
        <v>0</v>
      </c>
      <c r="H37" s="50">
        <v>3</v>
      </c>
      <c r="I37" s="50">
        <v>0</v>
      </c>
      <c r="J37" s="50">
        <v>3</v>
      </c>
      <c r="K37" s="50">
        <v>0</v>
      </c>
      <c r="L37" s="50">
        <v>0</v>
      </c>
      <c r="M37" s="50">
        <v>16</v>
      </c>
      <c r="N37" s="50">
        <v>0</v>
      </c>
      <c r="O37" s="15">
        <f t="shared" si="0"/>
        <v>16</v>
      </c>
      <c r="P37" s="15">
        <f t="shared" si="1"/>
        <v>32</v>
      </c>
    </row>
    <row r="38" spans="2:20" ht="23.1" customHeight="1" x14ac:dyDescent="0.25">
      <c r="B38" s="24" t="s">
        <v>65</v>
      </c>
      <c r="C38" s="50">
        <v>10</v>
      </c>
      <c r="D38" s="50">
        <v>2</v>
      </c>
      <c r="E38" s="50">
        <v>1</v>
      </c>
      <c r="F38" s="50">
        <v>5</v>
      </c>
      <c r="G38" s="50">
        <v>0</v>
      </c>
      <c r="H38" s="50">
        <v>1</v>
      </c>
      <c r="I38" s="50">
        <v>0</v>
      </c>
      <c r="J38" s="50">
        <v>2</v>
      </c>
      <c r="K38" s="50">
        <v>2</v>
      </c>
      <c r="L38" s="50">
        <v>0</v>
      </c>
      <c r="M38" s="50">
        <v>17</v>
      </c>
      <c r="N38" s="50">
        <v>0</v>
      </c>
      <c r="O38" s="15">
        <f t="shared" si="0"/>
        <v>23</v>
      </c>
      <c r="P38" s="15">
        <f t="shared" si="1"/>
        <v>40</v>
      </c>
    </row>
    <row r="39" spans="2:20" ht="23.1" customHeight="1" x14ac:dyDescent="0.25">
      <c r="B39" s="24" t="s">
        <v>66</v>
      </c>
      <c r="C39" s="50">
        <v>4</v>
      </c>
      <c r="D39" s="50">
        <v>1</v>
      </c>
      <c r="E39" s="50">
        <v>4</v>
      </c>
      <c r="F39" s="50">
        <v>3</v>
      </c>
      <c r="G39" s="50">
        <v>0</v>
      </c>
      <c r="H39" s="50">
        <v>2</v>
      </c>
      <c r="I39" s="50">
        <v>2</v>
      </c>
      <c r="J39" s="50">
        <v>1</v>
      </c>
      <c r="K39" s="50">
        <v>3</v>
      </c>
      <c r="L39" s="50">
        <v>0</v>
      </c>
      <c r="M39" s="50">
        <v>8</v>
      </c>
      <c r="N39" s="50">
        <v>0</v>
      </c>
      <c r="O39" s="15">
        <f t="shared" si="0"/>
        <v>20</v>
      </c>
      <c r="P39" s="15">
        <f t="shared" si="1"/>
        <v>28</v>
      </c>
    </row>
    <row r="40" spans="2:20" ht="23.1" customHeight="1" x14ac:dyDescent="0.25">
      <c r="B40" s="24" t="s">
        <v>67</v>
      </c>
      <c r="C40" s="50">
        <v>8</v>
      </c>
      <c r="D40" s="50">
        <v>2</v>
      </c>
      <c r="E40" s="50">
        <v>2</v>
      </c>
      <c r="F40" s="50">
        <v>7</v>
      </c>
      <c r="G40" s="50">
        <v>1</v>
      </c>
      <c r="H40" s="50">
        <v>2</v>
      </c>
      <c r="I40" s="50">
        <v>3</v>
      </c>
      <c r="J40" s="50">
        <v>6</v>
      </c>
      <c r="K40" s="50">
        <v>3</v>
      </c>
      <c r="L40" s="50">
        <v>1</v>
      </c>
      <c r="M40" s="50">
        <v>30</v>
      </c>
      <c r="N40" s="50">
        <v>0</v>
      </c>
      <c r="O40" s="15">
        <f t="shared" si="0"/>
        <v>35</v>
      </c>
      <c r="P40" s="15">
        <f t="shared" si="1"/>
        <v>65</v>
      </c>
    </row>
    <row r="41" spans="2:20" ht="23.1" customHeight="1" x14ac:dyDescent="0.25">
      <c r="B41" s="23" t="s">
        <v>68</v>
      </c>
      <c r="C41" s="50">
        <v>12</v>
      </c>
      <c r="D41" s="50">
        <v>4</v>
      </c>
      <c r="E41" s="50">
        <v>2</v>
      </c>
      <c r="F41" s="50">
        <v>5</v>
      </c>
      <c r="G41" s="50">
        <v>0</v>
      </c>
      <c r="H41" s="50">
        <v>1</v>
      </c>
      <c r="I41" s="50">
        <v>0</v>
      </c>
      <c r="J41" s="50">
        <v>0</v>
      </c>
      <c r="K41" s="50">
        <v>0</v>
      </c>
      <c r="L41" s="50">
        <v>1</v>
      </c>
      <c r="M41" s="50">
        <v>21</v>
      </c>
      <c r="N41" s="50">
        <v>0</v>
      </c>
      <c r="O41" s="15">
        <f t="shared" si="0"/>
        <v>25</v>
      </c>
      <c r="P41" s="15">
        <f t="shared" si="1"/>
        <v>46</v>
      </c>
    </row>
    <row r="42" spans="2:20" ht="23.1" customHeight="1" x14ac:dyDescent="0.25">
      <c r="B42" s="24" t="s">
        <v>69</v>
      </c>
      <c r="C42" s="50">
        <v>10</v>
      </c>
      <c r="D42" s="50">
        <v>2</v>
      </c>
      <c r="E42" s="50">
        <v>2</v>
      </c>
      <c r="F42" s="50">
        <v>4</v>
      </c>
      <c r="G42" s="50">
        <v>0</v>
      </c>
      <c r="H42" s="50">
        <v>3</v>
      </c>
      <c r="I42" s="50">
        <v>0</v>
      </c>
      <c r="J42" s="50">
        <v>4</v>
      </c>
      <c r="K42" s="50">
        <v>1</v>
      </c>
      <c r="L42" s="50">
        <v>0</v>
      </c>
      <c r="M42" s="50">
        <v>12</v>
      </c>
      <c r="N42" s="50">
        <v>0</v>
      </c>
      <c r="O42" s="15">
        <f t="shared" si="0"/>
        <v>26</v>
      </c>
      <c r="P42" s="15">
        <f t="shared" si="1"/>
        <v>38</v>
      </c>
    </row>
    <row r="43" spans="2:20" ht="23.1" customHeight="1" x14ac:dyDescent="0.25">
      <c r="B43" s="23" t="s">
        <v>70</v>
      </c>
      <c r="C43" s="50">
        <v>6</v>
      </c>
      <c r="D43" s="50">
        <v>1</v>
      </c>
      <c r="E43" s="50">
        <v>5</v>
      </c>
      <c r="F43" s="50">
        <v>6</v>
      </c>
      <c r="G43" s="50">
        <v>0</v>
      </c>
      <c r="H43" s="50">
        <v>1</v>
      </c>
      <c r="I43" s="50">
        <v>3</v>
      </c>
      <c r="J43" s="50">
        <v>0</v>
      </c>
      <c r="K43" s="50">
        <v>2</v>
      </c>
      <c r="L43" s="50">
        <v>0</v>
      </c>
      <c r="M43" s="50">
        <v>16</v>
      </c>
      <c r="N43" s="50">
        <v>0</v>
      </c>
      <c r="O43" s="15">
        <f t="shared" si="0"/>
        <v>24</v>
      </c>
      <c r="P43" s="15">
        <f t="shared" si="1"/>
        <v>40</v>
      </c>
    </row>
    <row r="44" spans="2:20" ht="23.1" customHeight="1" x14ac:dyDescent="0.25">
      <c r="B44" s="25" t="s">
        <v>71</v>
      </c>
      <c r="C44" s="50">
        <v>7</v>
      </c>
      <c r="D44" s="50">
        <v>1</v>
      </c>
      <c r="E44" s="50">
        <v>2</v>
      </c>
      <c r="F44" s="50">
        <v>8</v>
      </c>
      <c r="G44" s="50">
        <v>0</v>
      </c>
      <c r="H44" s="50">
        <v>2</v>
      </c>
      <c r="I44" s="50">
        <v>1</v>
      </c>
      <c r="J44" s="50">
        <v>0</v>
      </c>
      <c r="K44" s="50">
        <v>2</v>
      </c>
      <c r="L44" s="50">
        <v>1</v>
      </c>
      <c r="M44" s="50">
        <v>20</v>
      </c>
      <c r="N44" s="50">
        <v>0</v>
      </c>
      <c r="O44" s="15">
        <f t="shared" si="0"/>
        <v>24</v>
      </c>
      <c r="P44" s="15">
        <f t="shared" si="1"/>
        <v>44</v>
      </c>
    </row>
    <row r="45" spans="2:20" ht="23.1" customHeight="1" x14ac:dyDescent="0.25">
      <c r="B45" s="23" t="s">
        <v>72</v>
      </c>
      <c r="C45" s="50">
        <v>3</v>
      </c>
      <c r="D45" s="50">
        <v>5</v>
      </c>
      <c r="E45" s="50">
        <v>2</v>
      </c>
      <c r="F45" s="50">
        <v>6</v>
      </c>
      <c r="G45" s="50">
        <v>1</v>
      </c>
      <c r="H45" s="50">
        <v>2</v>
      </c>
      <c r="I45" s="50">
        <v>0</v>
      </c>
      <c r="J45" s="50">
        <v>2</v>
      </c>
      <c r="K45" s="50">
        <v>1</v>
      </c>
      <c r="L45" s="50">
        <v>1</v>
      </c>
      <c r="M45" s="50">
        <v>24</v>
      </c>
      <c r="N45" s="50">
        <v>0</v>
      </c>
      <c r="O45" s="15">
        <f t="shared" si="0"/>
        <v>23</v>
      </c>
      <c r="P45" s="15">
        <f t="shared" si="1"/>
        <v>47</v>
      </c>
    </row>
    <row r="46" spans="2:20" ht="23.1" customHeight="1" x14ac:dyDescent="0.25">
      <c r="B46" s="24" t="s">
        <v>73</v>
      </c>
      <c r="C46" s="50">
        <v>4</v>
      </c>
      <c r="D46" s="50">
        <v>3</v>
      </c>
      <c r="E46" s="50">
        <v>1</v>
      </c>
      <c r="F46" s="50">
        <v>2</v>
      </c>
      <c r="G46" s="50">
        <v>0</v>
      </c>
      <c r="H46" s="50">
        <v>2</v>
      </c>
      <c r="I46" s="50">
        <v>2</v>
      </c>
      <c r="J46" s="50">
        <v>2</v>
      </c>
      <c r="K46" s="50">
        <v>1</v>
      </c>
      <c r="L46" s="50">
        <v>0</v>
      </c>
      <c r="M46" s="50">
        <v>20</v>
      </c>
      <c r="N46" s="50">
        <v>0</v>
      </c>
      <c r="O46" s="15">
        <f t="shared" si="0"/>
        <v>17</v>
      </c>
      <c r="P46" s="15">
        <f t="shared" si="1"/>
        <v>37</v>
      </c>
      <c r="R46" s="8"/>
      <c r="T46"/>
    </row>
    <row r="47" spans="2:20" ht="23.1" customHeight="1" x14ac:dyDescent="0.25">
      <c r="B47" s="24" t="s">
        <v>74</v>
      </c>
      <c r="C47" s="50">
        <v>17</v>
      </c>
      <c r="D47" s="50">
        <v>1</v>
      </c>
      <c r="E47" s="50">
        <v>1</v>
      </c>
      <c r="F47" s="50">
        <v>4</v>
      </c>
      <c r="G47" s="50">
        <v>1</v>
      </c>
      <c r="H47" s="50">
        <v>2</v>
      </c>
      <c r="I47" s="50">
        <v>4</v>
      </c>
      <c r="J47" s="50">
        <v>4</v>
      </c>
      <c r="K47" s="50">
        <v>5</v>
      </c>
      <c r="L47" s="50">
        <v>0</v>
      </c>
      <c r="M47" s="50">
        <v>24</v>
      </c>
      <c r="N47" s="50">
        <v>0</v>
      </c>
      <c r="O47" s="15">
        <f t="shared" si="0"/>
        <v>39</v>
      </c>
      <c r="P47" s="15">
        <f t="shared" si="1"/>
        <v>63</v>
      </c>
      <c r="R47" s="8"/>
      <c r="T47"/>
    </row>
    <row r="48" spans="2:20" ht="23.1" customHeight="1" x14ac:dyDescent="0.25">
      <c r="B48" s="24" t="s">
        <v>75</v>
      </c>
      <c r="C48" s="50">
        <v>6</v>
      </c>
      <c r="D48" s="50">
        <v>4</v>
      </c>
      <c r="E48" s="50">
        <v>1</v>
      </c>
      <c r="F48" s="50">
        <v>3</v>
      </c>
      <c r="G48" s="50">
        <v>1</v>
      </c>
      <c r="H48" s="50">
        <v>1</v>
      </c>
      <c r="I48" s="50">
        <v>4</v>
      </c>
      <c r="J48" s="50">
        <v>3</v>
      </c>
      <c r="K48" s="50">
        <v>0</v>
      </c>
      <c r="L48" s="50">
        <v>0</v>
      </c>
      <c r="M48" s="50">
        <v>36</v>
      </c>
      <c r="N48" s="50">
        <v>0</v>
      </c>
      <c r="O48" s="15">
        <f t="shared" si="0"/>
        <v>23</v>
      </c>
      <c r="P48" s="15">
        <f t="shared" si="1"/>
        <v>59</v>
      </c>
      <c r="R48" s="8"/>
      <c r="T48"/>
    </row>
    <row r="49" spans="2:20" ht="23.1" customHeight="1" x14ac:dyDescent="0.25">
      <c r="B49" s="23" t="s">
        <v>76</v>
      </c>
      <c r="C49" s="50">
        <v>7</v>
      </c>
      <c r="D49" s="50">
        <v>1</v>
      </c>
      <c r="E49" s="50">
        <v>1</v>
      </c>
      <c r="F49" s="50">
        <v>2</v>
      </c>
      <c r="G49" s="50">
        <v>0</v>
      </c>
      <c r="H49" s="50">
        <v>1</v>
      </c>
      <c r="I49" s="50">
        <v>5</v>
      </c>
      <c r="J49" s="50">
        <v>3</v>
      </c>
      <c r="K49" s="50">
        <v>2</v>
      </c>
      <c r="L49" s="50">
        <v>0</v>
      </c>
      <c r="M49" s="50">
        <v>6</v>
      </c>
      <c r="N49" s="50">
        <v>0</v>
      </c>
      <c r="O49" s="15">
        <f t="shared" si="0"/>
        <v>22</v>
      </c>
      <c r="P49" s="15">
        <f t="shared" si="1"/>
        <v>28</v>
      </c>
      <c r="R49" s="8"/>
      <c r="T49"/>
    </row>
    <row r="50" spans="2:20" ht="23.1" customHeight="1" x14ac:dyDescent="0.25">
      <c r="B50" s="24" t="s">
        <v>77</v>
      </c>
      <c r="C50" s="50">
        <v>8</v>
      </c>
      <c r="D50" s="50">
        <v>1</v>
      </c>
      <c r="E50" s="50">
        <v>1</v>
      </c>
      <c r="F50" s="50">
        <v>1</v>
      </c>
      <c r="G50" s="50">
        <v>3</v>
      </c>
      <c r="H50" s="50">
        <v>1</v>
      </c>
      <c r="I50" s="50">
        <v>0</v>
      </c>
      <c r="J50" s="50">
        <v>5</v>
      </c>
      <c r="K50" s="50">
        <v>1</v>
      </c>
      <c r="L50" s="50">
        <v>3</v>
      </c>
      <c r="M50" s="50">
        <v>17</v>
      </c>
      <c r="N50" s="50">
        <v>0</v>
      </c>
      <c r="O50" s="15">
        <f t="shared" si="0"/>
        <v>24</v>
      </c>
      <c r="P50" s="15">
        <f t="shared" si="1"/>
        <v>41</v>
      </c>
      <c r="R50" s="8"/>
      <c r="T50"/>
    </row>
    <row r="51" spans="2:20" ht="23.1" customHeight="1" x14ac:dyDescent="0.25">
      <c r="B51" s="24" t="s">
        <v>78</v>
      </c>
      <c r="C51" s="50">
        <v>9</v>
      </c>
      <c r="D51" s="50">
        <v>3</v>
      </c>
      <c r="E51" s="50">
        <v>4</v>
      </c>
      <c r="F51" s="50">
        <v>6</v>
      </c>
      <c r="G51" s="50">
        <v>0</v>
      </c>
      <c r="H51" s="50">
        <v>1</v>
      </c>
      <c r="I51" s="50">
        <v>3</v>
      </c>
      <c r="J51" s="50">
        <v>2</v>
      </c>
      <c r="K51" s="50">
        <v>3</v>
      </c>
      <c r="L51" s="50">
        <v>0</v>
      </c>
      <c r="M51" s="50">
        <v>17</v>
      </c>
      <c r="N51" s="50">
        <v>0</v>
      </c>
      <c r="O51" s="15">
        <f t="shared" si="0"/>
        <v>31</v>
      </c>
      <c r="P51" s="15">
        <f t="shared" si="1"/>
        <v>48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6</v>
      </c>
      <c r="E52" s="50">
        <v>4</v>
      </c>
      <c r="F52" s="50">
        <v>0</v>
      </c>
      <c r="G52" s="50">
        <v>0</v>
      </c>
      <c r="H52" s="50">
        <v>1</v>
      </c>
      <c r="I52" s="50">
        <v>2</v>
      </c>
      <c r="J52" s="50">
        <v>2</v>
      </c>
      <c r="K52" s="50">
        <v>4</v>
      </c>
      <c r="L52" s="50">
        <v>0</v>
      </c>
      <c r="M52" s="50">
        <v>24</v>
      </c>
      <c r="N52" s="50">
        <v>0</v>
      </c>
      <c r="O52" s="15">
        <f t="shared" si="0"/>
        <v>23</v>
      </c>
      <c r="P52" s="15">
        <f t="shared" si="1"/>
        <v>47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1</v>
      </c>
      <c r="E53" s="50">
        <v>2</v>
      </c>
      <c r="F53" s="50">
        <v>5</v>
      </c>
      <c r="G53" s="50">
        <v>0</v>
      </c>
      <c r="H53" s="50">
        <v>2</v>
      </c>
      <c r="I53" s="50">
        <v>4</v>
      </c>
      <c r="J53" s="50">
        <v>0</v>
      </c>
      <c r="K53" s="50">
        <v>1</v>
      </c>
      <c r="L53" s="50">
        <v>0</v>
      </c>
      <c r="M53" s="50">
        <v>15</v>
      </c>
      <c r="N53" s="50">
        <v>0</v>
      </c>
      <c r="O53" s="15">
        <f t="shared" si="0"/>
        <v>21</v>
      </c>
      <c r="P53" s="15">
        <f t="shared" si="1"/>
        <v>36</v>
      </c>
      <c r="R53" s="8"/>
      <c r="T53"/>
    </row>
    <row r="54" spans="2:20" ht="23.1" customHeight="1" x14ac:dyDescent="0.25">
      <c r="B54" s="23" t="s">
        <v>81</v>
      </c>
      <c r="C54" s="50">
        <v>7</v>
      </c>
      <c r="D54" s="50">
        <v>5</v>
      </c>
      <c r="E54" s="50">
        <v>2</v>
      </c>
      <c r="F54" s="50">
        <v>3</v>
      </c>
      <c r="G54" s="50">
        <v>0</v>
      </c>
      <c r="H54" s="50">
        <v>1</v>
      </c>
      <c r="I54" s="50">
        <v>4</v>
      </c>
      <c r="J54" s="50">
        <v>4</v>
      </c>
      <c r="K54" s="50">
        <v>2</v>
      </c>
      <c r="L54" s="50">
        <v>1</v>
      </c>
      <c r="M54" s="50">
        <v>18</v>
      </c>
      <c r="N54" s="50">
        <v>0</v>
      </c>
      <c r="O54" s="15">
        <f t="shared" si="0"/>
        <v>29</v>
      </c>
      <c r="P54" s="15">
        <f t="shared" si="1"/>
        <v>47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5</v>
      </c>
      <c r="E55" s="50">
        <v>1</v>
      </c>
      <c r="F55" s="50">
        <v>8</v>
      </c>
      <c r="G55" s="50">
        <v>0</v>
      </c>
      <c r="H55" s="50">
        <v>0</v>
      </c>
      <c r="I55" s="50">
        <v>4</v>
      </c>
      <c r="J55" s="50">
        <v>3</v>
      </c>
      <c r="K55" s="50">
        <v>1</v>
      </c>
      <c r="L55" s="50">
        <v>0</v>
      </c>
      <c r="M55" s="50">
        <v>25</v>
      </c>
      <c r="N55" s="50">
        <v>0</v>
      </c>
      <c r="O55" s="15">
        <f t="shared" si="0"/>
        <v>27</v>
      </c>
      <c r="P55" s="15">
        <f t="shared" si="1"/>
        <v>52</v>
      </c>
      <c r="R55" s="8"/>
      <c r="T55"/>
    </row>
    <row r="56" spans="2:20" ht="23.1" customHeight="1" x14ac:dyDescent="0.25">
      <c r="B56" s="23" t="s">
        <v>83</v>
      </c>
      <c r="C56" s="50">
        <v>8</v>
      </c>
      <c r="D56" s="50">
        <v>2</v>
      </c>
      <c r="E56" s="50">
        <v>0</v>
      </c>
      <c r="F56" s="50">
        <v>3</v>
      </c>
      <c r="G56" s="50">
        <v>0</v>
      </c>
      <c r="H56" s="50">
        <v>2</v>
      </c>
      <c r="I56" s="50">
        <v>2</v>
      </c>
      <c r="J56" s="50">
        <v>2</v>
      </c>
      <c r="K56" s="50">
        <v>0</v>
      </c>
      <c r="L56" s="50">
        <v>1</v>
      </c>
      <c r="M56" s="50">
        <v>23</v>
      </c>
      <c r="N56" s="50">
        <v>0</v>
      </c>
      <c r="O56" s="15">
        <f t="shared" si="0"/>
        <v>20</v>
      </c>
      <c r="P56" s="15">
        <f t="shared" si="1"/>
        <v>43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1</v>
      </c>
      <c r="E57" s="50">
        <v>2</v>
      </c>
      <c r="F57" s="50">
        <v>3</v>
      </c>
      <c r="G57" s="50">
        <v>0</v>
      </c>
      <c r="H57" s="50">
        <v>4</v>
      </c>
      <c r="I57" s="50">
        <v>0</v>
      </c>
      <c r="J57" s="50">
        <v>5</v>
      </c>
      <c r="K57" s="50">
        <v>1</v>
      </c>
      <c r="L57" s="50">
        <v>0</v>
      </c>
      <c r="M57" s="50">
        <v>18</v>
      </c>
      <c r="N57" s="50">
        <v>0</v>
      </c>
      <c r="O57" s="15">
        <f t="shared" si="0"/>
        <v>21</v>
      </c>
      <c r="P57" s="15">
        <f t="shared" si="1"/>
        <v>39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353</v>
      </c>
      <c r="D58" s="16">
        <f t="shared" si="21"/>
        <v>134</v>
      </c>
      <c r="E58" s="16">
        <f t="shared" si="21"/>
        <v>108</v>
      </c>
      <c r="F58" s="16">
        <f t="shared" si="21"/>
        <v>197</v>
      </c>
      <c r="G58" s="16">
        <f t="shared" si="21"/>
        <v>15</v>
      </c>
      <c r="H58" s="16">
        <f t="shared" si="21"/>
        <v>54</v>
      </c>
      <c r="I58" s="16">
        <f t="shared" si="21"/>
        <v>102</v>
      </c>
      <c r="J58" s="16">
        <f t="shared" si="21"/>
        <v>91</v>
      </c>
      <c r="K58" s="16">
        <f t="shared" si="21"/>
        <v>77</v>
      </c>
      <c r="L58" s="16">
        <f t="shared" si="21"/>
        <v>12</v>
      </c>
      <c r="M58" s="16">
        <f t="shared" si="21"/>
        <v>904</v>
      </c>
      <c r="N58" s="16">
        <f t="shared" si="21"/>
        <v>0</v>
      </c>
      <c r="O58" s="16">
        <f t="shared" si="21"/>
        <v>1143</v>
      </c>
      <c r="P58" s="16">
        <f t="shared" si="21"/>
        <v>2047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0.17244748412310698</v>
      </c>
      <c r="D59" s="43">
        <f t="shared" si="22"/>
        <v>6.5461651196873472E-2</v>
      </c>
      <c r="E59" s="43">
        <f t="shared" si="22"/>
        <v>5.2760136785539813E-2</v>
      </c>
      <c r="F59" s="43">
        <f t="shared" si="22"/>
        <v>9.6238397655105029E-2</v>
      </c>
      <c r="G59" s="43">
        <f t="shared" si="22"/>
        <v>7.3277967757694185E-3</v>
      </c>
      <c r="H59" s="43">
        <f t="shared" si="22"/>
        <v>2.6380068392769906E-2</v>
      </c>
      <c r="I59" s="43">
        <f t="shared" si="22"/>
        <v>4.9829018075232046E-2</v>
      </c>
      <c r="J59" s="43">
        <f t="shared" si="22"/>
        <v>4.4455300439667805E-2</v>
      </c>
      <c r="K59" s="43">
        <f t="shared" si="22"/>
        <v>3.7616023448949681E-2</v>
      </c>
      <c r="L59" s="43">
        <f t="shared" si="22"/>
        <v>5.8622374206155348E-3</v>
      </c>
      <c r="M59" s="43">
        <f t="shared" si="22"/>
        <v>0.44162188568637029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0.30883639545056868</v>
      </c>
      <c r="D60" s="44">
        <f t="shared" ref="D60:N60" si="23">D58/$O$58</f>
        <v>0.11723534558180228</v>
      </c>
      <c r="E60" s="44">
        <f t="shared" si="23"/>
        <v>9.4488188976377951E-2</v>
      </c>
      <c r="F60" s="44">
        <f t="shared" si="23"/>
        <v>0.17235345581802275</v>
      </c>
      <c r="G60" s="44">
        <f t="shared" si="23"/>
        <v>1.3123359580052493E-2</v>
      </c>
      <c r="H60" s="44">
        <f t="shared" si="23"/>
        <v>4.7244094488188976E-2</v>
      </c>
      <c r="I60" s="44">
        <f t="shared" si="23"/>
        <v>8.9238845144356954E-2</v>
      </c>
      <c r="J60" s="44">
        <f t="shared" si="23"/>
        <v>7.9615048118985121E-2</v>
      </c>
      <c r="K60" s="44">
        <f t="shared" si="23"/>
        <v>6.7366579177602803E-2</v>
      </c>
      <c r="L60" s="44">
        <f t="shared" si="23"/>
        <v>1.0498687664041995E-2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P6" sqref="P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3" t="s">
        <v>23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 spans="2:32" ht="20.100000000000001" customHeight="1" x14ac:dyDescent="0.25">
      <c r="B2" s="74" t="s">
        <v>95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</row>
    <row r="3" spans="2:32" ht="20.100000000000001" customHeight="1" x14ac:dyDescent="0.25">
      <c r="B3" s="21" t="s">
        <v>96</v>
      </c>
      <c r="C3" s="80" t="s">
        <v>176</v>
      </c>
      <c r="D3" s="80"/>
      <c r="E3" s="80"/>
      <c r="F3" s="80"/>
      <c r="G3" s="8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182</v>
      </c>
      <c r="E5" s="3"/>
      <c r="F5" s="41" t="s">
        <v>1</v>
      </c>
      <c r="G5" s="76" t="s">
        <v>173</v>
      </c>
      <c r="H5" s="77"/>
      <c r="I5" s="14"/>
      <c r="J5" s="2" t="s">
        <v>5</v>
      </c>
      <c r="K5" s="76" t="s">
        <v>179</v>
      </c>
      <c r="L5" s="77"/>
      <c r="M5" s="10"/>
      <c r="N5" s="10"/>
      <c r="O5" s="3"/>
      <c r="P5" s="3"/>
    </row>
    <row r="6" spans="2:32" ht="23.25" customHeight="1" x14ac:dyDescent="0.25">
      <c r="C6" s="2" t="s">
        <v>4</v>
      </c>
      <c r="D6" s="76" t="s">
        <v>165</v>
      </c>
      <c r="E6" s="77"/>
      <c r="F6" s="2" t="s">
        <v>2</v>
      </c>
      <c r="G6" s="76" t="s">
        <v>166</v>
      </c>
      <c r="H6" s="77"/>
      <c r="J6" s="2" t="s">
        <v>21</v>
      </c>
      <c r="K6" s="76" t="s">
        <v>174</v>
      </c>
      <c r="L6" s="7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1</v>
      </c>
      <c r="E10" s="50">
        <v>3</v>
      </c>
      <c r="F10" s="50">
        <v>3</v>
      </c>
      <c r="G10" s="50">
        <v>0</v>
      </c>
      <c r="H10" s="50">
        <v>0</v>
      </c>
      <c r="I10" s="50">
        <v>1</v>
      </c>
      <c r="J10" s="50">
        <v>1</v>
      </c>
      <c r="K10" s="50">
        <v>0</v>
      </c>
      <c r="L10" s="50">
        <v>0</v>
      </c>
      <c r="M10" s="50">
        <v>21</v>
      </c>
      <c r="N10" s="50">
        <v>0</v>
      </c>
      <c r="O10" s="15">
        <f t="shared" ref="O10:O57" si="0">SUM(C10:L10,N10)</f>
        <v>11</v>
      </c>
      <c r="P10" s="15">
        <f t="shared" ref="P10:P57" si="1">SUM(C10:N10)</f>
        <v>32</v>
      </c>
      <c r="R10" s="1" t="s">
        <v>6</v>
      </c>
      <c r="S10" s="17">
        <f t="shared" ref="S10:AF10" si="2">SUM(C10:C13)</f>
        <v>14</v>
      </c>
      <c r="T10" s="17">
        <f t="shared" si="2"/>
        <v>5</v>
      </c>
      <c r="U10" s="17">
        <f t="shared" si="2"/>
        <v>5</v>
      </c>
      <c r="V10" s="17">
        <f t="shared" si="2"/>
        <v>13</v>
      </c>
      <c r="W10" s="17">
        <f t="shared" si="2"/>
        <v>2</v>
      </c>
      <c r="X10" s="17">
        <f t="shared" si="2"/>
        <v>1</v>
      </c>
      <c r="Y10" s="17">
        <f t="shared" si="2"/>
        <v>5</v>
      </c>
      <c r="Z10" s="17">
        <f t="shared" si="2"/>
        <v>2</v>
      </c>
      <c r="AA10" s="17">
        <f t="shared" si="2"/>
        <v>5</v>
      </c>
      <c r="AB10" s="17">
        <f t="shared" si="2"/>
        <v>0</v>
      </c>
      <c r="AC10" s="17">
        <f t="shared" si="2"/>
        <v>83</v>
      </c>
      <c r="AD10" s="17">
        <f t="shared" si="2"/>
        <v>0</v>
      </c>
      <c r="AE10" s="31">
        <f t="shared" si="2"/>
        <v>52</v>
      </c>
      <c r="AF10" s="31">
        <f t="shared" si="2"/>
        <v>135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2</v>
      </c>
      <c r="F11" s="50">
        <v>3</v>
      </c>
      <c r="G11" s="50">
        <v>0</v>
      </c>
      <c r="H11" s="50">
        <v>0</v>
      </c>
      <c r="I11" s="50">
        <v>1</v>
      </c>
      <c r="J11" s="50">
        <v>0</v>
      </c>
      <c r="K11" s="50">
        <v>2</v>
      </c>
      <c r="L11" s="50">
        <v>0</v>
      </c>
      <c r="M11" s="50">
        <v>25</v>
      </c>
      <c r="N11" s="50">
        <v>0</v>
      </c>
      <c r="O11" s="15">
        <f t="shared" si="0"/>
        <v>11</v>
      </c>
      <c r="P11" s="15">
        <f t="shared" si="1"/>
        <v>36</v>
      </c>
      <c r="R11" s="1" t="s">
        <v>7</v>
      </c>
      <c r="S11" s="17">
        <f t="shared" ref="S11:AF11" si="3">SUM(C14:C17)</f>
        <v>27</v>
      </c>
      <c r="T11" s="17">
        <f t="shared" si="3"/>
        <v>12</v>
      </c>
      <c r="U11" s="17">
        <f t="shared" si="3"/>
        <v>6</v>
      </c>
      <c r="V11" s="17">
        <f t="shared" si="3"/>
        <v>19</v>
      </c>
      <c r="W11" s="17">
        <f t="shared" si="3"/>
        <v>0</v>
      </c>
      <c r="X11" s="17">
        <f t="shared" si="3"/>
        <v>6</v>
      </c>
      <c r="Y11" s="17">
        <f t="shared" si="3"/>
        <v>3</v>
      </c>
      <c r="Z11" s="17">
        <f t="shared" si="3"/>
        <v>2</v>
      </c>
      <c r="AA11" s="17">
        <f t="shared" si="3"/>
        <v>5</v>
      </c>
      <c r="AB11" s="17">
        <f t="shared" si="3"/>
        <v>0</v>
      </c>
      <c r="AC11" s="17">
        <f t="shared" si="3"/>
        <v>84</v>
      </c>
      <c r="AD11" s="17">
        <f t="shared" si="3"/>
        <v>0</v>
      </c>
      <c r="AE11" s="31">
        <f t="shared" si="3"/>
        <v>80</v>
      </c>
      <c r="AF11" s="31">
        <f t="shared" si="3"/>
        <v>164</v>
      </c>
    </row>
    <row r="12" spans="2:32" ht="23.1" customHeight="1" x14ac:dyDescent="0.25">
      <c r="B12" s="23" t="s">
        <v>39</v>
      </c>
      <c r="C12" s="50">
        <v>5</v>
      </c>
      <c r="D12" s="50">
        <v>3</v>
      </c>
      <c r="E12" s="50">
        <v>0</v>
      </c>
      <c r="F12" s="50">
        <v>4</v>
      </c>
      <c r="G12" s="50">
        <v>1</v>
      </c>
      <c r="H12" s="50">
        <v>1</v>
      </c>
      <c r="I12" s="50">
        <v>0</v>
      </c>
      <c r="J12" s="50">
        <v>0</v>
      </c>
      <c r="K12" s="50">
        <v>3</v>
      </c>
      <c r="L12" s="50">
        <v>0</v>
      </c>
      <c r="M12" s="50">
        <v>15</v>
      </c>
      <c r="N12" s="50">
        <v>0</v>
      </c>
      <c r="O12" s="15">
        <f t="shared" si="0"/>
        <v>17</v>
      </c>
      <c r="P12" s="15">
        <f t="shared" si="1"/>
        <v>32</v>
      </c>
      <c r="R12" s="1" t="s">
        <v>8</v>
      </c>
      <c r="S12" s="17">
        <f t="shared" ref="S12:AF12" si="4">SUM(C18:C21)</f>
        <v>14</v>
      </c>
      <c r="T12" s="17">
        <f t="shared" si="4"/>
        <v>11</v>
      </c>
      <c r="U12" s="17">
        <f t="shared" si="4"/>
        <v>4</v>
      </c>
      <c r="V12" s="17">
        <f t="shared" si="4"/>
        <v>17</v>
      </c>
      <c r="W12" s="17">
        <f t="shared" si="4"/>
        <v>0</v>
      </c>
      <c r="X12" s="17">
        <f t="shared" si="4"/>
        <v>1</v>
      </c>
      <c r="Y12" s="17">
        <f t="shared" si="4"/>
        <v>6</v>
      </c>
      <c r="Z12" s="17">
        <f t="shared" si="4"/>
        <v>0</v>
      </c>
      <c r="AA12" s="17">
        <f t="shared" si="4"/>
        <v>5</v>
      </c>
      <c r="AB12" s="17">
        <f t="shared" si="4"/>
        <v>0</v>
      </c>
      <c r="AC12" s="17">
        <f t="shared" si="4"/>
        <v>54</v>
      </c>
      <c r="AD12" s="17">
        <f t="shared" si="4"/>
        <v>0</v>
      </c>
      <c r="AE12" s="31">
        <f t="shared" si="4"/>
        <v>58</v>
      </c>
      <c r="AF12" s="31">
        <f t="shared" si="4"/>
        <v>112</v>
      </c>
    </row>
    <row r="13" spans="2:32" ht="23.1" customHeight="1" x14ac:dyDescent="0.25">
      <c r="B13" s="23" t="s">
        <v>40</v>
      </c>
      <c r="C13" s="50">
        <v>4</v>
      </c>
      <c r="D13" s="50">
        <v>1</v>
      </c>
      <c r="E13" s="50">
        <v>0</v>
      </c>
      <c r="F13" s="50">
        <v>3</v>
      </c>
      <c r="G13" s="50">
        <v>1</v>
      </c>
      <c r="H13" s="50">
        <v>0</v>
      </c>
      <c r="I13" s="50">
        <v>3</v>
      </c>
      <c r="J13" s="50">
        <v>1</v>
      </c>
      <c r="K13" s="50">
        <v>0</v>
      </c>
      <c r="L13" s="50">
        <v>0</v>
      </c>
      <c r="M13" s="50">
        <v>22</v>
      </c>
      <c r="N13" s="50">
        <v>0</v>
      </c>
      <c r="O13" s="15">
        <f t="shared" si="0"/>
        <v>13</v>
      </c>
      <c r="P13" s="15">
        <f t="shared" si="1"/>
        <v>35</v>
      </c>
      <c r="R13" s="1" t="s">
        <v>9</v>
      </c>
      <c r="S13" s="17">
        <f t="shared" ref="S13:AF13" si="5">SUM(C22:C25)</f>
        <v>25</v>
      </c>
      <c r="T13" s="17">
        <f t="shared" si="5"/>
        <v>7</v>
      </c>
      <c r="U13" s="17">
        <f t="shared" si="5"/>
        <v>4</v>
      </c>
      <c r="V13" s="17">
        <f t="shared" si="5"/>
        <v>10</v>
      </c>
      <c r="W13" s="17">
        <f t="shared" si="5"/>
        <v>1</v>
      </c>
      <c r="X13" s="17">
        <f t="shared" si="5"/>
        <v>2</v>
      </c>
      <c r="Y13" s="17">
        <f t="shared" si="5"/>
        <v>5</v>
      </c>
      <c r="Z13" s="17">
        <f t="shared" si="5"/>
        <v>7</v>
      </c>
      <c r="AA13" s="17">
        <f t="shared" si="5"/>
        <v>4</v>
      </c>
      <c r="AB13" s="17">
        <f t="shared" si="5"/>
        <v>1</v>
      </c>
      <c r="AC13" s="17">
        <f t="shared" si="5"/>
        <v>69</v>
      </c>
      <c r="AD13" s="17">
        <f t="shared" si="5"/>
        <v>0</v>
      </c>
      <c r="AE13" s="31">
        <f t="shared" si="5"/>
        <v>66</v>
      </c>
      <c r="AF13" s="31">
        <f t="shared" si="5"/>
        <v>135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0</v>
      </c>
      <c r="F14" s="50">
        <v>2</v>
      </c>
      <c r="G14" s="50">
        <v>0</v>
      </c>
      <c r="H14" s="50">
        <v>1</v>
      </c>
      <c r="I14" s="50">
        <v>1</v>
      </c>
      <c r="J14" s="50">
        <v>2</v>
      </c>
      <c r="K14" s="50">
        <v>1</v>
      </c>
      <c r="L14" s="50">
        <v>0</v>
      </c>
      <c r="M14" s="50">
        <v>22</v>
      </c>
      <c r="N14" s="50">
        <v>0</v>
      </c>
      <c r="O14" s="15">
        <f t="shared" si="0"/>
        <v>10</v>
      </c>
      <c r="P14" s="15">
        <f t="shared" si="1"/>
        <v>32</v>
      </c>
      <c r="R14" s="1" t="s">
        <v>10</v>
      </c>
      <c r="S14" s="17">
        <f t="shared" ref="S14:AF14" si="6">SUM(C26:C29)</f>
        <v>20</v>
      </c>
      <c r="T14" s="17">
        <f t="shared" si="6"/>
        <v>28</v>
      </c>
      <c r="U14" s="17">
        <f t="shared" si="6"/>
        <v>6</v>
      </c>
      <c r="V14" s="17">
        <f t="shared" si="6"/>
        <v>19</v>
      </c>
      <c r="W14" s="17">
        <f t="shared" si="6"/>
        <v>0</v>
      </c>
      <c r="X14" s="17">
        <f t="shared" si="6"/>
        <v>6</v>
      </c>
      <c r="Y14" s="17">
        <f t="shared" si="6"/>
        <v>4</v>
      </c>
      <c r="Z14" s="17">
        <f t="shared" si="6"/>
        <v>5</v>
      </c>
      <c r="AA14" s="17">
        <f t="shared" si="6"/>
        <v>5</v>
      </c>
      <c r="AB14" s="17">
        <f t="shared" si="6"/>
        <v>2</v>
      </c>
      <c r="AC14" s="17">
        <f t="shared" si="6"/>
        <v>78</v>
      </c>
      <c r="AD14" s="17">
        <f t="shared" si="6"/>
        <v>0</v>
      </c>
      <c r="AE14" s="31">
        <f t="shared" si="6"/>
        <v>95</v>
      </c>
      <c r="AF14" s="31">
        <f t="shared" si="6"/>
        <v>173</v>
      </c>
    </row>
    <row r="15" spans="2:32" ht="23.1" customHeight="1" x14ac:dyDescent="0.25">
      <c r="B15" s="23" t="s">
        <v>42</v>
      </c>
      <c r="C15" s="50">
        <v>9</v>
      </c>
      <c r="D15" s="50">
        <v>6</v>
      </c>
      <c r="E15" s="50">
        <v>0</v>
      </c>
      <c r="F15" s="50">
        <v>9</v>
      </c>
      <c r="G15" s="50">
        <v>0</v>
      </c>
      <c r="H15" s="50">
        <v>4</v>
      </c>
      <c r="I15" s="50">
        <v>1</v>
      </c>
      <c r="J15" s="50">
        <v>0</v>
      </c>
      <c r="K15" s="50">
        <v>2</v>
      </c>
      <c r="L15" s="50">
        <v>0</v>
      </c>
      <c r="M15" s="50">
        <v>27</v>
      </c>
      <c r="N15" s="50">
        <v>0</v>
      </c>
      <c r="O15" s="15">
        <f t="shared" si="0"/>
        <v>31</v>
      </c>
      <c r="P15" s="15">
        <f t="shared" si="1"/>
        <v>58</v>
      </c>
      <c r="R15" s="1" t="s">
        <v>11</v>
      </c>
      <c r="S15" s="17">
        <f t="shared" ref="S15:AF15" si="7">SUM(C30:C33)</f>
        <v>14</v>
      </c>
      <c r="T15" s="17">
        <f t="shared" si="7"/>
        <v>26</v>
      </c>
      <c r="U15" s="17">
        <f t="shared" si="7"/>
        <v>12</v>
      </c>
      <c r="V15" s="17">
        <f t="shared" si="7"/>
        <v>18</v>
      </c>
      <c r="W15" s="17">
        <f t="shared" si="7"/>
        <v>0</v>
      </c>
      <c r="X15" s="17">
        <f t="shared" si="7"/>
        <v>5</v>
      </c>
      <c r="Y15" s="17">
        <f t="shared" si="7"/>
        <v>6</v>
      </c>
      <c r="Z15" s="17">
        <f t="shared" si="7"/>
        <v>3</v>
      </c>
      <c r="AA15" s="17">
        <f t="shared" si="7"/>
        <v>4</v>
      </c>
      <c r="AB15" s="17">
        <f t="shared" si="7"/>
        <v>4</v>
      </c>
      <c r="AC15" s="17">
        <f t="shared" si="7"/>
        <v>79</v>
      </c>
      <c r="AD15" s="17">
        <f t="shared" si="7"/>
        <v>0</v>
      </c>
      <c r="AE15" s="31">
        <f t="shared" si="7"/>
        <v>92</v>
      </c>
      <c r="AF15" s="31">
        <f t="shared" si="7"/>
        <v>171</v>
      </c>
    </row>
    <row r="16" spans="2:32" ht="23.1" customHeight="1" x14ac:dyDescent="0.25">
      <c r="B16" s="23" t="s">
        <v>43</v>
      </c>
      <c r="C16" s="50">
        <v>9</v>
      </c>
      <c r="D16" s="50">
        <v>3</v>
      </c>
      <c r="E16" s="50">
        <v>3</v>
      </c>
      <c r="F16" s="50">
        <v>2</v>
      </c>
      <c r="G16" s="50">
        <v>0</v>
      </c>
      <c r="H16" s="50">
        <v>1</v>
      </c>
      <c r="I16" s="50">
        <v>0</v>
      </c>
      <c r="J16" s="50">
        <v>0</v>
      </c>
      <c r="K16" s="50">
        <v>2</v>
      </c>
      <c r="L16" s="50">
        <v>0</v>
      </c>
      <c r="M16" s="50">
        <v>22</v>
      </c>
      <c r="N16" s="50">
        <v>0</v>
      </c>
      <c r="O16" s="15">
        <f t="shared" si="0"/>
        <v>20</v>
      </c>
      <c r="P16" s="15">
        <f t="shared" si="1"/>
        <v>42</v>
      </c>
      <c r="R16" s="1" t="s">
        <v>12</v>
      </c>
      <c r="S16" s="17">
        <f t="shared" ref="S16:AF16" si="8">SUM(C34:C37)</f>
        <v>31</v>
      </c>
      <c r="T16" s="17">
        <f t="shared" si="8"/>
        <v>23</v>
      </c>
      <c r="U16" s="17">
        <f t="shared" si="8"/>
        <v>8</v>
      </c>
      <c r="V16" s="17">
        <f t="shared" si="8"/>
        <v>13</v>
      </c>
      <c r="W16" s="17">
        <f t="shared" si="8"/>
        <v>0</v>
      </c>
      <c r="X16" s="17">
        <f t="shared" si="8"/>
        <v>9</v>
      </c>
      <c r="Y16" s="17">
        <f t="shared" si="8"/>
        <v>10</v>
      </c>
      <c r="Z16" s="17">
        <f t="shared" si="8"/>
        <v>5</v>
      </c>
      <c r="AA16" s="17">
        <f t="shared" si="8"/>
        <v>4</v>
      </c>
      <c r="AB16" s="17">
        <f t="shared" si="8"/>
        <v>2</v>
      </c>
      <c r="AC16" s="17">
        <f t="shared" si="8"/>
        <v>41</v>
      </c>
      <c r="AD16" s="17">
        <f t="shared" si="8"/>
        <v>0</v>
      </c>
      <c r="AE16" s="31">
        <f t="shared" si="8"/>
        <v>105</v>
      </c>
      <c r="AF16" s="31">
        <f t="shared" si="8"/>
        <v>146</v>
      </c>
    </row>
    <row r="17" spans="2:32" ht="23.1" customHeight="1" x14ac:dyDescent="0.25">
      <c r="B17" s="23" t="s">
        <v>44</v>
      </c>
      <c r="C17" s="50">
        <v>6</v>
      </c>
      <c r="D17" s="50">
        <v>3</v>
      </c>
      <c r="E17" s="50">
        <v>3</v>
      </c>
      <c r="F17" s="50">
        <v>6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13</v>
      </c>
      <c r="N17" s="50">
        <v>0</v>
      </c>
      <c r="O17" s="15">
        <f t="shared" si="0"/>
        <v>19</v>
      </c>
      <c r="P17" s="15">
        <f t="shared" si="1"/>
        <v>32</v>
      </c>
      <c r="R17" s="1" t="s">
        <v>13</v>
      </c>
      <c r="S17" s="17">
        <f t="shared" ref="S17:AF17" si="9">SUM(C38:C41)</f>
        <v>27</v>
      </c>
      <c r="T17" s="17">
        <f t="shared" si="9"/>
        <v>17</v>
      </c>
      <c r="U17" s="17">
        <f t="shared" si="9"/>
        <v>7</v>
      </c>
      <c r="V17" s="17">
        <f t="shared" si="9"/>
        <v>16</v>
      </c>
      <c r="W17" s="17">
        <f t="shared" si="9"/>
        <v>2</v>
      </c>
      <c r="X17" s="17">
        <f t="shared" si="9"/>
        <v>6</v>
      </c>
      <c r="Y17" s="17">
        <f t="shared" si="9"/>
        <v>8</v>
      </c>
      <c r="Z17" s="17">
        <f t="shared" si="9"/>
        <v>7</v>
      </c>
      <c r="AA17" s="17">
        <f t="shared" si="9"/>
        <v>7</v>
      </c>
      <c r="AB17" s="17">
        <f t="shared" si="9"/>
        <v>2</v>
      </c>
      <c r="AC17" s="17">
        <f t="shared" si="9"/>
        <v>52</v>
      </c>
      <c r="AD17" s="17">
        <f t="shared" si="9"/>
        <v>0</v>
      </c>
      <c r="AE17" s="31">
        <f t="shared" si="9"/>
        <v>99</v>
      </c>
      <c r="AF17" s="31">
        <f t="shared" si="9"/>
        <v>151</v>
      </c>
    </row>
    <row r="18" spans="2:32" ht="23.1" customHeight="1" x14ac:dyDescent="0.25">
      <c r="B18" s="23" t="s">
        <v>45</v>
      </c>
      <c r="C18" s="50">
        <v>2</v>
      </c>
      <c r="D18" s="50">
        <v>3</v>
      </c>
      <c r="E18" s="50">
        <v>2</v>
      </c>
      <c r="F18" s="50">
        <v>2</v>
      </c>
      <c r="G18" s="50">
        <v>0</v>
      </c>
      <c r="H18" s="50">
        <v>0</v>
      </c>
      <c r="I18" s="50">
        <v>2</v>
      </c>
      <c r="J18" s="50">
        <v>0</v>
      </c>
      <c r="K18" s="50">
        <v>2</v>
      </c>
      <c r="L18" s="50">
        <v>0</v>
      </c>
      <c r="M18" s="50">
        <v>16</v>
      </c>
      <c r="N18" s="50">
        <v>0</v>
      </c>
      <c r="O18" s="15">
        <f t="shared" si="0"/>
        <v>13</v>
      </c>
      <c r="P18" s="15">
        <f t="shared" si="1"/>
        <v>29</v>
      </c>
      <c r="R18" s="1" t="s">
        <v>14</v>
      </c>
      <c r="S18" s="17">
        <f t="shared" ref="S18:AF18" si="10">SUM(C42:C45)</f>
        <v>35</v>
      </c>
      <c r="T18" s="17">
        <f t="shared" si="10"/>
        <v>16</v>
      </c>
      <c r="U18" s="17">
        <f t="shared" si="10"/>
        <v>5</v>
      </c>
      <c r="V18" s="17">
        <f t="shared" si="10"/>
        <v>22</v>
      </c>
      <c r="W18" s="17">
        <f t="shared" si="10"/>
        <v>0</v>
      </c>
      <c r="X18" s="17">
        <f t="shared" si="10"/>
        <v>6</v>
      </c>
      <c r="Y18" s="17">
        <f t="shared" si="10"/>
        <v>3</v>
      </c>
      <c r="Z18" s="17">
        <f t="shared" si="10"/>
        <v>9</v>
      </c>
      <c r="AA18" s="17">
        <f t="shared" si="10"/>
        <v>5</v>
      </c>
      <c r="AB18" s="17">
        <f t="shared" si="10"/>
        <v>0</v>
      </c>
      <c r="AC18" s="17">
        <f t="shared" si="10"/>
        <v>86</v>
      </c>
      <c r="AD18" s="17">
        <f t="shared" si="10"/>
        <v>0</v>
      </c>
      <c r="AE18" s="31">
        <f t="shared" si="10"/>
        <v>101</v>
      </c>
      <c r="AF18" s="31">
        <f t="shared" si="10"/>
        <v>187</v>
      </c>
    </row>
    <row r="19" spans="2:32" ht="23.1" customHeight="1" x14ac:dyDescent="0.25">
      <c r="B19" s="23" t="s">
        <v>46</v>
      </c>
      <c r="C19" s="50">
        <v>1</v>
      </c>
      <c r="D19" s="50">
        <v>6</v>
      </c>
      <c r="E19" s="50">
        <v>0</v>
      </c>
      <c r="F19" s="50">
        <v>6</v>
      </c>
      <c r="G19" s="50">
        <v>0</v>
      </c>
      <c r="H19" s="50">
        <v>0</v>
      </c>
      <c r="I19" s="50">
        <v>1</v>
      </c>
      <c r="J19" s="50">
        <v>0</v>
      </c>
      <c r="K19" s="50">
        <v>1</v>
      </c>
      <c r="L19" s="50">
        <v>0</v>
      </c>
      <c r="M19" s="50">
        <v>16</v>
      </c>
      <c r="N19" s="50">
        <v>0</v>
      </c>
      <c r="O19" s="15">
        <f t="shared" si="0"/>
        <v>15</v>
      </c>
      <c r="P19" s="15">
        <f t="shared" si="1"/>
        <v>31</v>
      </c>
      <c r="R19" s="1" t="s">
        <v>15</v>
      </c>
      <c r="S19" s="17">
        <f t="shared" ref="S19:AF19" si="11">SUM(C46:C49)</f>
        <v>26</v>
      </c>
      <c r="T19" s="17">
        <f t="shared" si="11"/>
        <v>13</v>
      </c>
      <c r="U19" s="17">
        <f t="shared" si="11"/>
        <v>10</v>
      </c>
      <c r="V19" s="17">
        <f t="shared" si="11"/>
        <v>14</v>
      </c>
      <c r="W19" s="17">
        <f t="shared" si="11"/>
        <v>0</v>
      </c>
      <c r="X19" s="17">
        <f t="shared" si="11"/>
        <v>4</v>
      </c>
      <c r="Y19" s="17">
        <f t="shared" si="11"/>
        <v>6</v>
      </c>
      <c r="Z19" s="17">
        <f t="shared" si="11"/>
        <v>1</v>
      </c>
      <c r="AA19" s="17">
        <f t="shared" si="11"/>
        <v>4</v>
      </c>
      <c r="AB19" s="17">
        <f t="shared" si="11"/>
        <v>2</v>
      </c>
      <c r="AC19" s="17">
        <f t="shared" si="11"/>
        <v>75</v>
      </c>
      <c r="AD19" s="17">
        <f t="shared" si="11"/>
        <v>0</v>
      </c>
      <c r="AE19" s="31">
        <f t="shared" si="11"/>
        <v>80</v>
      </c>
      <c r="AF19" s="31">
        <f t="shared" si="11"/>
        <v>155</v>
      </c>
    </row>
    <row r="20" spans="2:32" ht="23.1" customHeight="1" x14ac:dyDescent="0.25">
      <c r="B20" s="23" t="s">
        <v>47</v>
      </c>
      <c r="C20" s="50">
        <v>9</v>
      </c>
      <c r="D20" s="50">
        <v>1</v>
      </c>
      <c r="E20" s="50">
        <v>2</v>
      </c>
      <c r="F20" s="50">
        <v>8</v>
      </c>
      <c r="G20" s="50">
        <v>0</v>
      </c>
      <c r="H20" s="50">
        <v>1</v>
      </c>
      <c r="I20" s="50">
        <v>3</v>
      </c>
      <c r="J20" s="50">
        <v>0</v>
      </c>
      <c r="K20" s="50">
        <v>1</v>
      </c>
      <c r="L20" s="50">
        <v>0</v>
      </c>
      <c r="M20" s="50">
        <v>16</v>
      </c>
      <c r="N20" s="50">
        <v>0</v>
      </c>
      <c r="O20" s="15">
        <f t="shared" si="0"/>
        <v>25</v>
      </c>
      <c r="P20" s="15">
        <f t="shared" si="1"/>
        <v>41</v>
      </c>
      <c r="R20" s="1" t="s">
        <v>16</v>
      </c>
      <c r="S20" s="17">
        <f t="shared" ref="S20:AF20" si="12">SUM(C50:C53)</f>
        <v>40</v>
      </c>
      <c r="T20" s="17">
        <f t="shared" si="12"/>
        <v>18</v>
      </c>
      <c r="U20" s="17">
        <f t="shared" si="12"/>
        <v>16</v>
      </c>
      <c r="V20" s="17">
        <f t="shared" si="12"/>
        <v>18</v>
      </c>
      <c r="W20" s="17">
        <f t="shared" si="12"/>
        <v>3</v>
      </c>
      <c r="X20" s="17">
        <f t="shared" si="12"/>
        <v>3</v>
      </c>
      <c r="Y20" s="17">
        <f t="shared" si="12"/>
        <v>12</v>
      </c>
      <c r="Z20" s="17">
        <f t="shared" si="12"/>
        <v>10</v>
      </c>
      <c r="AA20" s="17">
        <f t="shared" si="12"/>
        <v>15</v>
      </c>
      <c r="AB20" s="17">
        <f t="shared" si="12"/>
        <v>2</v>
      </c>
      <c r="AC20" s="17">
        <f t="shared" si="12"/>
        <v>82</v>
      </c>
      <c r="AD20" s="17">
        <f t="shared" si="12"/>
        <v>0</v>
      </c>
      <c r="AE20" s="31">
        <f t="shared" si="12"/>
        <v>137</v>
      </c>
      <c r="AF20" s="31">
        <f t="shared" si="12"/>
        <v>219</v>
      </c>
    </row>
    <row r="21" spans="2:32" ht="23.1" customHeight="1" x14ac:dyDescent="0.25">
      <c r="B21" s="23" t="s">
        <v>48</v>
      </c>
      <c r="C21" s="50">
        <v>2</v>
      </c>
      <c r="D21" s="50">
        <v>1</v>
      </c>
      <c r="E21" s="50">
        <v>0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1</v>
      </c>
      <c r="L21" s="50">
        <v>0</v>
      </c>
      <c r="M21" s="50">
        <v>6</v>
      </c>
      <c r="N21" s="50">
        <v>0</v>
      </c>
      <c r="O21" s="15">
        <f t="shared" si="0"/>
        <v>5</v>
      </c>
      <c r="P21" s="15">
        <f t="shared" si="1"/>
        <v>11</v>
      </c>
      <c r="R21" s="36" t="s">
        <v>20</v>
      </c>
      <c r="S21" s="34">
        <f t="shared" ref="S21:AF21" si="13">SUM(C54:C57)</f>
        <v>32</v>
      </c>
      <c r="T21" s="17">
        <f t="shared" si="13"/>
        <v>22</v>
      </c>
      <c r="U21" s="17">
        <f t="shared" si="13"/>
        <v>19</v>
      </c>
      <c r="V21" s="17">
        <f t="shared" si="13"/>
        <v>25</v>
      </c>
      <c r="W21" s="17">
        <f t="shared" si="13"/>
        <v>1</v>
      </c>
      <c r="X21" s="17">
        <f t="shared" si="13"/>
        <v>3</v>
      </c>
      <c r="Y21" s="17">
        <f t="shared" si="13"/>
        <v>11</v>
      </c>
      <c r="Z21" s="17">
        <f t="shared" si="13"/>
        <v>13</v>
      </c>
      <c r="AA21" s="17">
        <f t="shared" si="13"/>
        <v>15</v>
      </c>
      <c r="AB21" s="17">
        <f t="shared" si="13"/>
        <v>3</v>
      </c>
      <c r="AC21" s="17">
        <f t="shared" si="13"/>
        <v>93</v>
      </c>
      <c r="AD21" s="17">
        <f t="shared" si="13"/>
        <v>0</v>
      </c>
      <c r="AE21" s="31">
        <f t="shared" si="13"/>
        <v>144</v>
      </c>
      <c r="AF21" s="31">
        <f t="shared" si="13"/>
        <v>237</v>
      </c>
    </row>
    <row r="22" spans="2:32" ht="23.1" customHeight="1" x14ac:dyDescent="0.25">
      <c r="B22" s="23" t="s">
        <v>49</v>
      </c>
      <c r="C22" s="50">
        <v>4</v>
      </c>
      <c r="D22" s="50">
        <v>2</v>
      </c>
      <c r="E22" s="50">
        <v>1</v>
      </c>
      <c r="F22" s="50">
        <v>1</v>
      </c>
      <c r="G22" s="50">
        <v>1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26</v>
      </c>
      <c r="N22" s="50">
        <v>0</v>
      </c>
      <c r="O22" s="15">
        <f t="shared" si="0"/>
        <v>10</v>
      </c>
      <c r="P22" s="15">
        <f t="shared" si="1"/>
        <v>36</v>
      </c>
      <c r="R22" s="38" t="s">
        <v>90</v>
      </c>
      <c r="S22" s="39">
        <f>MAX(S10:S12)</f>
        <v>27</v>
      </c>
      <c r="T22" s="39">
        <f t="shared" ref="T22:AF22" si="14">MAX(T10:T12)</f>
        <v>12</v>
      </c>
      <c r="U22" s="39">
        <f t="shared" si="14"/>
        <v>6</v>
      </c>
      <c r="V22" s="39">
        <f t="shared" si="14"/>
        <v>19</v>
      </c>
      <c r="W22" s="39">
        <f t="shared" si="14"/>
        <v>2</v>
      </c>
      <c r="X22" s="39">
        <f t="shared" si="14"/>
        <v>6</v>
      </c>
      <c r="Y22" s="39">
        <f t="shared" si="14"/>
        <v>6</v>
      </c>
      <c r="Z22" s="39">
        <f t="shared" si="14"/>
        <v>2</v>
      </c>
      <c r="AA22" s="39">
        <f t="shared" si="14"/>
        <v>5</v>
      </c>
      <c r="AB22" s="39">
        <f t="shared" si="14"/>
        <v>0</v>
      </c>
      <c r="AC22" s="39">
        <f t="shared" si="14"/>
        <v>84</v>
      </c>
      <c r="AD22" s="39">
        <f t="shared" si="14"/>
        <v>0</v>
      </c>
      <c r="AE22" s="40">
        <f t="shared" si="14"/>
        <v>80</v>
      </c>
      <c r="AF22" s="40">
        <f t="shared" si="14"/>
        <v>164</v>
      </c>
    </row>
    <row r="23" spans="2:32" ht="23.1" customHeight="1" x14ac:dyDescent="0.25">
      <c r="B23" s="23" t="s">
        <v>50</v>
      </c>
      <c r="C23" s="50">
        <v>5</v>
      </c>
      <c r="D23" s="50">
        <v>3</v>
      </c>
      <c r="E23" s="50">
        <v>0</v>
      </c>
      <c r="F23" s="50">
        <v>1</v>
      </c>
      <c r="G23" s="50">
        <v>0</v>
      </c>
      <c r="H23" s="50">
        <v>1</v>
      </c>
      <c r="I23" s="50">
        <v>1</v>
      </c>
      <c r="J23" s="50">
        <v>4</v>
      </c>
      <c r="K23" s="50">
        <v>2</v>
      </c>
      <c r="L23" s="50">
        <v>0</v>
      </c>
      <c r="M23" s="50">
        <v>13</v>
      </c>
      <c r="N23" s="50">
        <v>0</v>
      </c>
      <c r="O23" s="15">
        <f t="shared" si="0"/>
        <v>17</v>
      </c>
      <c r="P23" s="15">
        <f t="shared" si="1"/>
        <v>30</v>
      </c>
      <c r="R23" s="38" t="s">
        <v>91</v>
      </c>
      <c r="S23" s="39">
        <f>MAX(S13:S18)</f>
        <v>35</v>
      </c>
      <c r="T23" s="39">
        <f t="shared" ref="T23:AF23" si="15">MAX(T13:T18)</f>
        <v>28</v>
      </c>
      <c r="U23" s="39">
        <f t="shared" si="15"/>
        <v>12</v>
      </c>
      <c r="V23" s="39">
        <f t="shared" si="15"/>
        <v>22</v>
      </c>
      <c r="W23" s="39">
        <f t="shared" si="15"/>
        <v>2</v>
      </c>
      <c r="X23" s="39">
        <f t="shared" si="15"/>
        <v>9</v>
      </c>
      <c r="Y23" s="39">
        <f t="shared" si="15"/>
        <v>10</v>
      </c>
      <c r="Z23" s="39">
        <f t="shared" si="15"/>
        <v>9</v>
      </c>
      <c r="AA23" s="39">
        <f t="shared" si="15"/>
        <v>7</v>
      </c>
      <c r="AB23" s="39">
        <f t="shared" si="15"/>
        <v>4</v>
      </c>
      <c r="AC23" s="39">
        <f t="shared" si="15"/>
        <v>86</v>
      </c>
      <c r="AD23" s="39">
        <f t="shared" si="15"/>
        <v>0</v>
      </c>
      <c r="AE23" s="40">
        <f t="shared" si="15"/>
        <v>105</v>
      </c>
      <c r="AF23" s="40">
        <f t="shared" si="15"/>
        <v>187</v>
      </c>
    </row>
    <row r="24" spans="2:32" ht="23.1" customHeight="1" x14ac:dyDescent="0.25">
      <c r="B24" s="23" t="s">
        <v>51</v>
      </c>
      <c r="C24" s="50">
        <v>8</v>
      </c>
      <c r="D24" s="50">
        <v>0</v>
      </c>
      <c r="E24" s="50">
        <v>2</v>
      </c>
      <c r="F24" s="50">
        <v>6</v>
      </c>
      <c r="G24" s="50">
        <v>0</v>
      </c>
      <c r="H24" s="50">
        <v>0</v>
      </c>
      <c r="I24" s="50">
        <v>0</v>
      </c>
      <c r="J24" s="50">
        <v>1</v>
      </c>
      <c r="K24" s="50">
        <v>2</v>
      </c>
      <c r="L24" s="50">
        <v>1</v>
      </c>
      <c r="M24" s="50">
        <v>16</v>
      </c>
      <c r="N24" s="50">
        <v>0</v>
      </c>
      <c r="O24" s="15">
        <f t="shared" si="0"/>
        <v>20</v>
      </c>
      <c r="P24" s="15">
        <f t="shared" si="1"/>
        <v>36</v>
      </c>
      <c r="R24" s="38" t="s">
        <v>92</v>
      </c>
      <c r="S24" s="39">
        <f>MAX(S19:S21)</f>
        <v>40</v>
      </c>
      <c r="T24" s="39">
        <f t="shared" ref="T24:AF24" si="16">MAX(T19:T21)</f>
        <v>22</v>
      </c>
      <c r="U24" s="39">
        <f t="shared" si="16"/>
        <v>19</v>
      </c>
      <c r="V24" s="39">
        <f t="shared" si="16"/>
        <v>25</v>
      </c>
      <c r="W24" s="39">
        <f t="shared" si="16"/>
        <v>3</v>
      </c>
      <c r="X24" s="39">
        <f t="shared" si="16"/>
        <v>4</v>
      </c>
      <c r="Y24" s="39">
        <f t="shared" si="16"/>
        <v>12</v>
      </c>
      <c r="Z24" s="39">
        <f t="shared" si="16"/>
        <v>13</v>
      </c>
      <c r="AA24" s="39">
        <f t="shared" si="16"/>
        <v>15</v>
      </c>
      <c r="AB24" s="39">
        <f t="shared" si="16"/>
        <v>3</v>
      </c>
      <c r="AC24" s="39">
        <f t="shared" si="16"/>
        <v>93</v>
      </c>
      <c r="AD24" s="39">
        <f t="shared" si="16"/>
        <v>0</v>
      </c>
      <c r="AE24" s="40">
        <f t="shared" si="16"/>
        <v>144</v>
      </c>
      <c r="AF24" s="40">
        <f t="shared" si="16"/>
        <v>237</v>
      </c>
    </row>
    <row r="25" spans="2:32" ht="23.1" customHeight="1" x14ac:dyDescent="0.25">
      <c r="B25" s="23" t="s">
        <v>52</v>
      </c>
      <c r="C25" s="50">
        <v>8</v>
      </c>
      <c r="D25" s="50">
        <v>2</v>
      </c>
      <c r="E25" s="50">
        <v>1</v>
      </c>
      <c r="F25" s="50">
        <v>2</v>
      </c>
      <c r="G25" s="50">
        <v>0</v>
      </c>
      <c r="H25" s="50">
        <v>1</v>
      </c>
      <c r="I25" s="50">
        <v>4</v>
      </c>
      <c r="J25" s="50">
        <v>1</v>
      </c>
      <c r="K25" s="50">
        <v>0</v>
      </c>
      <c r="L25" s="50">
        <v>0</v>
      </c>
      <c r="M25" s="50">
        <v>14</v>
      </c>
      <c r="N25" s="50">
        <v>0</v>
      </c>
      <c r="O25" s="15">
        <f t="shared" si="0"/>
        <v>19</v>
      </c>
      <c r="P25" s="15">
        <f t="shared" si="1"/>
        <v>33</v>
      </c>
      <c r="R25" s="37" t="s">
        <v>85</v>
      </c>
      <c r="S25" s="35">
        <f t="shared" ref="S25:AF25" si="17">SUM(S10:S12)</f>
        <v>55</v>
      </c>
      <c r="T25" s="16">
        <f t="shared" si="17"/>
        <v>28</v>
      </c>
      <c r="U25" s="16">
        <f t="shared" si="17"/>
        <v>15</v>
      </c>
      <c r="V25" s="16">
        <f t="shared" si="17"/>
        <v>49</v>
      </c>
      <c r="W25" s="16">
        <f t="shared" si="17"/>
        <v>2</v>
      </c>
      <c r="X25" s="16">
        <f t="shared" si="17"/>
        <v>8</v>
      </c>
      <c r="Y25" s="16">
        <f t="shared" si="17"/>
        <v>14</v>
      </c>
      <c r="Z25" s="16">
        <f t="shared" si="17"/>
        <v>4</v>
      </c>
      <c r="AA25" s="16">
        <f t="shared" si="17"/>
        <v>15</v>
      </c>
      <c r="AB25" s="16">
        <f t="shared" si="17"/>
        <v>0</v>
      </c>
      <c r="AC25" s="16">
        <f t="shared" si="17"/>
        <v>221</v>
      </c>
      <c r="AD25" s="16">
        <f t="shared" si="17"/>
        <v>0</v>
      </c>
      <c r="AE25" s="32">
        <f t="shared" si="17"/>
        <v>190</v>
      </c>
      <c r="AF25" s="32">
        <f t="shared" si="17"/>
        <v>411</v>
      </c>
    </row>
    <row r="26" spans="2:32" ht="23.1" customHeight="1" x14ac:dyDescent="0.25">
      <c r="B26" s="23" t="s">
        <v>53</v>
      </c>
      <c r="C26" s="50">
        <v>5</v>
      </c>
      <c r="D26" s="50">
        <v>3</v>
      </c>
      <c r="E26" s="50">
        <v>1</v>
      </c>
      <c r="F26" s="50">
        <v>4</v>
      </c>
      <c r="G26" s="50">
        <v>0</v>
      </c>
      <c r="H26" s="50">
        <v>0</v>
      </c>
      <c r="I26" s="50">
        <v>1</v>
      </c>
      <c r="J26" s="50">
        <v>3</v>
      </c>
      <c r="K26" s="50">
        <v>2</v>
      </c>
      <c r="L26" s="50">
        <v>0</v>
      </c>
      <c r="M26" s="50">
        <v>24</v>
      </c>
      <c r="N26" s="50">
        <v>0</v>
      </c>
      <c r="O26" s="15">
        <f t="shared" si="0"/>
        <v>19</v>
      </c>
      <c r="P26" s="15">
        <f t="shared" si="1"/>
        <v>43</v>
      </c>
      <c r="R26" s="28" t="s">
        <v>86</v>
      </c>
      <c r="S26" s="16">
        <f t="shared" ref="S26:AF26" si="18">SUM(S13:S18)</f>
        <v>152</v>
      </c>
      <c r="T26" s="16">
        <f t="shared" si="18"/>
        <v>117</v>
      </c>
      <c r="U26" s="16">
        <f t="shared" si="18"/>
        <v>42</v>
      </c>
      <c r="V26" s="16">
        <f t="shared" si="18"/>
        <v>98</v>
      </c>
      <c r="W26" s="16">
        <f t="shared" si="18"/>
        <v>3</v>
      </c>
      <c r="X26" s="16">
        <f t="shared" si="18"/>
        <v>34</v>
      </c>
      <c r="Y26" s="16">
        <f t="shared" si="18"/>
        <v>36</v>
      </c>
      <c r="Z26" s="16">
        <f t="shared" si="18"/>
        <v>36</v>
      </c>
      <c r="AA26" s="16">
        <f t="shared" si="18"/>
        <v>29</v>
      </c>
      <c r="AB26" s="16">
        <f t="shared" si="18"/>
        <v>11</v>
      </c>
      <c r="AC26" s="16">
        <f t="shared" si="18"/>
        <v>405</v>
      </c>
      <c r="AD26" s="16">
        <f t="shared" si="18"/>
        <v>0</v>
      </c>
      <c r="AE26" s="32">
        <f t="shared" si="18"/>
        <v>558</v>
      </c>
      <c r="AF26" s="32">
        <f t="shared" si="18"/>
        <v>963</v>
      </c>
    </row>
    <row r="27" spans="2:32" ht="23.1" customHeight="1" x14ac:dyDescent="0.25">
      <c r="B27" s="23" t="s">
        <v>54</v>
      </c>
      <c r="C27" s="50">
        <v>3</v>
      </c>
      <c r="D27" s="50">
        <v>7</v>
      </c>
      <c r="E27" s="50">
        <v>1</v>
      </c>
      <c r="F27" s="50">
        <v>4</v>
      </c>
      <c r="G27" s="50">
        <v>0</v>
      </c>
      <c r="H27" s="50">
        <v>3</v>
      </c>
      <c r="I27" s="50">
        <v>0</v>
      </c>
      <c r="J27" s="50">
        <v>0</v>
      </c>
      <c r="K27" s="50">
        <v>1</v>
      </c>
      <c r="L27" s="50">
        <v>1</v>
      </c>
      <c r="M27" s="50">
        <v>15</v>
      </c>
      <c r="N27" s="50">
        <v>0</v>
      </c>
      <c r="O27" s="15">
        <f t="shared" si="0"/>
        <v>20</v>
      </c>
      <c r="P27" s="15">
        <f t="shared" si="1"/>
        <v>35</v>
      </c>
      <c r="R27" s="29" t="s">
        <v>87</v>
      </c>
      <c r="S27" s="16">
        <f t="shared" ref="S27:AF27" si="19">SUM(S19:S21)</f>
        <v>98</v>
      </c>
      <c r="T27" s="16">
        <f t="shared" si="19"/>
        <v>53</v>
      </c>
      <c r="U27" s="16">
        <f t="shared" si="19"/>
        <v>45</v>
      </c>
      <c r="V27" s="16">
        <f t="shared" si="19"/>
        <v>57</v>
      </c>
      <c r="W27" s="16">
        <f t="shared" si="19"/>
        <v>4</v>
      </c>
      <c r="X27" s="16">
        <f t="shared" si="19"/>
        <v>10</v>
      </c>
      <c r="Y27" s="16">
        <f t="shared" si="19"/>
        <v>29</v>
      </c>
      <c r="Z27" s="16">
        <f t="shared" si="19"/>
        <v>24</v>
      </c>
      <c r="AA27" s="16">
        <f t="shared" si="19"/>
        <v>34</v>
      </c>
      <c r="AB27" s="16">
        <f t="shared" si="19"/>
        <v>7</v>
      </c>
      <c r="AC27" s="16">
        <f t="shared" si="19"/>
        <v>250</v>
      </c>
      <c r="AD27" s="16">
        <f t="shared" si="19"/>
        <v>0</v>
      </c>
      <c r="AE27" s="32">
        <f t="shared" si="19"/>
        <v>361</v>
      </c>
      <c r="AF27" s="32">
        <f t="shared" si="19"/>
        <v>611</v>
      </c>
    </row>
    <row r="28" spans="2:32" ht="23.1" customHeight="1" x14ac:dyDescent="0.25">
      <c r="B28" s="23" t="s">
        <v>55</v>
      </c>
      <c r="C28" s="50">
        <v>2</v>
      </c>
      <c r="D28" s="50">
        <v>8</v>
      </c>
      <c r="E28" s="50">
        <v>1</v>
      </c>
      <c r="F28" s="50">
        <v>2</v>
      </c>
      <c r="G28" s="50">
        <v>0</v>
      </c>
      <c r="H28" s="50">
        <v>2</v>
      </c>
      <c r="I28" s="50">
        <v>0</v>
      </c>
      <c r="J28" s="50">
        <v>1</v>
      </c>
      <c r="K28" s="50">
        <v>0</v>
      </c>
      <c r="L28" s="50">
        <v>1</v>
      </c>
      <c r="M28" s="50">
        <v>20</v>
      </c>
      <c r="N28" s="50">
        <v>0</v>
      </c>
      <c r="O28" s="15">
        <f t="shared" si="0"/>
        <v>17</v>
      </c>
      <c r="P28" s="15">
        <f t="shared" si="1"/>
        <v>37</v>
      </c>
      <c r="R28" s="5" t="s">
        <v>17</v>
      </c>
      <c r="S28" s="16">
        <f t="shared" ref="S28:AF28" si="20">SUM(S10:S21)</f>
        <v>305</v>
      </c>
      <c r="T28" s="16">
        <f t="shared" si="20"/>
        <v>198</v>
      </c>
      <c r="U28" s="16">
        <f t="shared" si="20"/>
        <v>102</v>
      </c>
      <c r="V28" s="16">
        <f t="shared" si="20"/>
        <v>204</v>
      </c>
      <c r="W28" s="16">
        <f t="shared" si="20"/>
        <v>9</v>
      </c>
      <c r="X28" s="16">
        <f t="shared" si="20"/>
        <v>52</v>
      </c>
      <c r="Y28" s="16">
        <f t="shared" si="20"/>
        <v>79</v>
      </c>
      <c r="Z28" s="16">
        <f t="shared" si="20"/>
        <v>64</v>
      </c>
      <c r="AA28" s="16">
        <f t="shared" si="20"/>
        <v>78</v>
      </c>
      <c r="AB28" s="16">
        <f t="shared" si="20"/>
        <v>18</v>
      </c>
      <c r="AC28" s="16">
        <f t="shared" si="20"/>
        <v>876</v>
      </c>
      <c r="AD28" s="16">
        <f t="shared" si="20"/>
        <v>0</v>
      </c>
      <c r="AE28" s="32">
        <f t="shared" si="20"/>
        <v>1109</v>
      </c>
      <c r="AF28" s="32">
        <f t="shared" si="20"/>
        <v>1985</v>
      </c>
    </row>
    <row r="29" spans="2:32" ht="23.1" customHeight="1" x14ac:dyDescent="0.25">
      <c r="B29" s="23" t="s">
        <v>56</v>
      </c>
      <c r="C29" s="50">
        <v>10</v>
      </c>
      <c r="D29" s="50">
        <v>10</v>
      </c>
      <c r="E29" s="50">
        <v>3</v>
      </c>
      <c r="F29" s="50">
        <v>9</v>
      </c>
      <c r="G29" s="50">
        <v>0</v>
      </c>
      <c r="H29" s="50">
        <v>1</v>
      </c>
      <c r="I29" s="50">
        <v>3</v>
      </c>
      <c r="J29" s="50">
        <v>1</v>
      </c>
      <c r="K29" s="50">
        <v>2</v>
      </c>
      <c r="L29" s="50">
        <v>0</v>
      </c>
      <c r="M29" s="50">
        <v>19</v>
      </c>
      <c r="N29" s="50">
        <v>0</v>
      </c>
      <c r="O29" s="15">
        <f t="shared" si="0"/>
        <v>39</v>
      </c>
      <c r="P29" s="15">
        <f t="shared" si="1"/>
        <v>58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7</v>
      </c>
      <c r="E30" s="50">
        <v>5</v>
      </c>
      <c r="F30" s="50">
        <v>6</v>
      </c>
      <c r="G30" s="50">
        <v>0</v>
      </c>
      <c r="H30" s="50">
        <v>2</v>
      </c>
      <c r="I30" s="50">
        <v>2</v>
      </c>
      <c r="J30" s="50">
        <v>1</v>
      </c>
      <c r="K30" s="50">
        <v>1</v>
      </c>
      <c r="L30" s="50">
        <v>0</v>
      </c>
      <c r="M30" s="50">
        <v>28</v>
      </c>
      <c r="N30" s="50">
        <v>0</v>
      </c>
      <c r="O30" s="15">
        <f t="shared" si="0"/>
        <v>25</v>
      </c>
      <c r="P30" s="15">
        <f t="shared" si="1"/>
        <v>53</v>
      </c>
    </row>
    <row r="31" spans="2:32" ht="23.1" customHeight="1" x14ac:dyDescent="0.25">
      <c r="B31" s="24" t="s">
        <v>58</v>
      </c>
      <c r="C31" s="50">
        <v>7</v>
      </c>
      <c r="D31" s="50">
        <v>5</v>
      </c>
      <c r="E31" s="50">
        <v>3</v>
      </c>
      <c r="F31" s="50">
        <v>3</v>
      </c>
      <c r="G31" s="50">
        <v>0</v>
      </c>
      <c r="H31" s="50">
        <v>1</v>
      </c>
      <c r="I31" s="50">
        <v>1</v>
      </c>
      <c r="J31" s="50">
        <v>0</v>
      </c>
      <c r="K31" s="50">
        <v>1</v>
      </c>
      <c r="L31" s="50">
        <v>0</v>
      </c>
      <c r="M31" s="50">
        <v>16</v>
      </c>
      <c r="N31" s="50">
        <v>0</v>
      </c>
      <c r="O31" s="15">
        <f t="shared" si="0"/>
        <v>21</v>
      </c>
      <c r="P31" s="15">
        <f t="shared" si="1"/>
        <v>37</v>
      </c>
    </row>
    <row r="32" spans="2:32" ht="23.1" customHeight="1" x14ac:dyDescent="0.25">
      <c r="B32" s="24" t="s">
        <v>59</v>
      </c>
      <c r="C32" s="50">
        <v>4</v>
      </c>
      <c r="D32" s="50">
        <v>5</v>
      </c>
      <c r="E32" s="50">
        <v>1</v>
      </c>
      <c r="F32" s="50">
        <v>4</v>
      </c>
      <c r="G32" s="50">
        <v>0</v>
      </c>
      <c r="H32" s="50">
        <v>1</v>
      </c>
      <c r="I32" s="50">
        <v>1</v>
      </c>
      <c r="J32" s="50">
        <v>1</v>
      </c>
      <c r="K32" s="50">
        <v>2</v>
      </c>
      <c r="L32" s="50">
        <v>2</v>
      </c>
      <c r="M32" s="50">
        <v>13</v>
      </c>
      <c r="N32" s="50">
        <v>0</v>
      </c>
      <c r="O32" s="15">
        <f t="shared" si="0"/>
        <v>21</v>
      </c>
      <c r="P32" s="15">
        <f t="shared" si="1"/>
        <v>34</v>
      </c>
    </row>
    <row r="33" spans="2:20" ht="23.1" customHeight="1" x14ac:dyDescent="0.25">
      <c r="B33" s="23" t="s">
        <v>60</v>
      </c>
      <c r="C33" s="50">
        <v>2</v>
      </c>
      <c r="D33" s="50">
        <v>9</v>
      </c>
      <c r="E33" s="50">
        <v>3</v>
      </c>
      <c r="F33" s="50">
        <v>5</v>
      </c>
      <c r="G33" s="50">
        <v>0</v>
      </c>
      <c r="H33" s="50">
        <v>1</v>
      </c>
      <c r="I33" s="50">
        <v>2</v>
      </c>
      <c r="J33" s="50">
        <v>1</v>
      </c>
      <c r="K33" s="50">
        <v>0</v>
      </c>
      <c r="L33" s="50">
        <v>2</v>
      </c>
      <c r="M33" s="50">
        <v>22</v>
      </c>
      <c r="N33" s="50">
        <v>0</v>
      </c>
      <c r="O33" s="15">
        <f t="shared" si="0"/>
        <v>25</v>
      </c>
      <c r="P33" s="15">
        <f t="shared" si="1"/>
        <v>47</v>
      </c>
    </row>
    <row r="34" spans="2:20" ht="23.1" customHeight="1" x14ac:dyDescent="0.25">
      <c r="B34" s="24" t="s">
        <v>61</v>
      </c>
      <c r="C34" s="50">
        <v>4</v>
      </c>
      <c r="D34" s="50">
        <v>6</v>
      </c>
      <c r="E34" s="50">
        <v>3</v>
      </c>
      <c r="F34" s="50">
        <v>4</v>
      </c>
      <c r="G34" s="50">
        <v>0</v>
      </c>
      <c r="H34" s="50">
        <v>1</v>
      </c>
      <c r="I34" s="50">
        <v>3</v>
      </c>
      <c r="J34" s="50">
        <v>2</v>
      </c>
      <c r="K34" s="50">
        <v>1</v>
      </c>
      <c r="L34" s="50">
        <v>2</v>
      </c>
      <c r="M34" s="50">
        <v>19</v>
      </c>
      <c r="N34" s="50">
        <v>0</v>
      </c>
      <c r="O34" s="15">
        <f t="shared" si="0"/>
        <v>26</v>
      </c>
      <c r="P34" s="15">
        <f t="shared" si="1"/>
        <v>45</v>
      </c>
    </row>
    <row r="35" spans="2:20" ht="23.1" customHeight="1" x14ac:dyDescent="0.25">
      <c r="B35" s="24" t="s">
        <v>62</v>
      </c>
      <c r="C35" s="50">
        <v>13</v>
      </c>
      <c r="D35" s="50">
        <v>5</v>
      </c>
      <c r="E35" s="50">
        <v>2</v>
      </c>
      <c r="F35" s="50">
        <v>2</v>
      </c>
      <c r="G35" s="50">
        <v>0</v>
      </c>
      <c r="H35" s="50">
        <v>2</v>
      </c>
      <c r="I35" s="50">
        <v>4</v>
      </c>
      <c r="J35" s="50">
        <v>0</v>
      </c>
      <c r="K35" s="50">
        <v>0</v>
      </c>
      <c r="L35" s="50">
        <v>0</v>
      </c>
      <c r="M35" s="50">
        <v>7</v>
      </c>
      <c r="N35" s="50">
        <v>0</v>
      </c>
      <c r="O35" s="15">
        <f t="shared" si="0"/>
        <v>28</v>
      </c>
      <c r="P35" s="15">
        <f t="shared" si="1"/>
        <v>35</v>
      </c>
    </row>
    <row r="36" spans="2:20" ht="23.1" customHeight="1" x14ac:dyDescent="0.25">
      <c r="B36" s="24" t="s">
        <v>63</v>
      </c>
      <c r="C36" s="50">
        <v>6</v>
      </c>
      <c r="D36" s="50">
        <v>8</v>
      </c>
      <c r="E36" s="50">
        <v>2</v>
      </c>
      <c r="F36" s="50">
        <v>3</v>
      </c>
      <c r="G36" s="50">
        <v>0</v>
      </c>
      <c r="H36" s="50">
        <v>2</v>
      </c>
      <c r="I36" s="50">
        <v>3</v>
      </c>
      <c r="J36" s="50">
        <v>0</v>
      </c>
      <c r="K36" s="50">
        <v>1</v>
      </c>
      <c r="L36" s="50">
        <v>0</v>
      </c>
      <c r="M36" s="50">
        <v>3</v>
      </c>
      <c r="N36" s="50">
        <v>0</v>
      </c>
      <c r="O36" s="15">
        <f t="shared" si="0"/>
        <v>25</v>
      </c>
      <c r="P36" s="15">
        <f t="shared" si="1"/>
        <v>28</v>
      </c>
    </row>
    <row r="37" spans="2:20" ht="23.1" customHeight="1" x14ac:dyDescent="0.25">
      <c r="B37" s="23" t="s">
        <v>64</v>
      </c>
      <c r="C37" s="50">
        <v>8</v>
      </c>
      <c r="D37" s="50">
        <v>4</v>
      </c>
      <c r="E37" s="50">
        <v>1</v>
      </c>
      <c r="F37" s="50">
        <v>4</v>
      </c>
      <c r="G37" s="50">
        <v>0</v>
      </c>
      <c r="H37" s="50">
        <v>4</v>
      </c>
      <c r="I37" s="50">
        <v>0</v>
      </c>
      <c r="J37" s="50">
        <v>3</v>
      </c>
      <c r="K37" s="50">
        <v>2</v>
      </c>
      <c r="L37" s="50">
        <v>0</v>
      </c>
      <c r="M37" s="50">
        <v>12</v>
      </c>
      <c r="N37" s="50">
        <v>0</v>
      </c>
      <c r="O37" s="15">
        <f t="shared" si="0"/>
        <v>26</v>
      </c>
      <c r="P37" s="15">
        <f t="shared" si="1"/>
        <v>38</v>
      </c>
    </row>
    <row r="38" spans="2:20" ht="23.1" customHeight="1" x14ac:dyDescent="0.25">
      <c r="B38" s="24" t="s">
        <v>65</v>
      </c>
      <c r="C38" s="50">
        <v>6</v>
      </c>
      <c r="D38" s="50">
        <v>7</v>
      </c>
      <c r="E38" s="50">
        <v>0</v>
      </c>
      <c r="F38" s="50">
        <v>4</v>
      </c>
      <c r="G38" s="50">
        <v>1</v>
      </c>
      <c r="H38" s="50">
        <v>1</v>
      </c>
      <c r="I38" s="50">
        <v>3</v>
      </c>
      <c r="J38" s="50">
        <v>3</v>
      </c>
      <c r="K38" s="50">
        <v>0</v>
      </c>
      <c r="L38" s="50">
        <v>0</v>
      </c>
      <c r="M38" s="50">
        <v>9</v>
      </c>
      <c r="N38" s="50">
        <v>0</v>
      </c>
      <c r="O38" s="15">
        <f t="shared" si="0"/>
        <v>25</v>
      </c>
      <c r="P38" s="15">
        <f t="shared" si="1"/>
        <v>34</v>
      </c>
    </row>
    <row r="39" spans="2:20" ht="23.1" customHeight="1" x14ac:dyDescent="0.25">
      <c r="B39" s="24" t="s">
        <v>66</v>
      </c>
      <c r="C39" s="50">
        <v>9</v>
      </c>
      <c r="D39" s="50">
        <v>6</v>
      </c>
      <c r="E39" s="50">
        <v>2</v>
      </c>
      <c r="F39" s="50">
        <v>3</v>
      </c>
      <c r="G39" s="50">
        <v>1</v>
      </c>
      <c r="H39" s="50">
        <v>4</v>
      </c>
      <c r="I39" s="50">
        <v>0</v>
      </c>
      <c r="J39" s="50">
        <v>1</v>
      </c>
      <c r="K39" s="50">
        <v>4</v>
      </c>
      <c r="L39" s="50">
        <v>2</v>
      </c>
      <c r="M39" s="50">
        <v>10</v>
      </c>
      <c r="N39" s="50">
        <v>0</v>
      </c>
      <c r="O39" s="15">
        <f t="shared" si="0"/>
        <v>32</v>
      </c>
      <c r="P39" s="15">
        <f t="shared" si="1"/>
        <v>42</v>
      </c>
    </row>
    <row r="40" spans="2:20" ht="23.1" customHeight="1" x14ac:dyDescent="0.25">
      <c r="B40" s="24" t="s">
        <v>67</v>
      </c>
      <c r="C40" s="50">
        <v>3</v>
      </c>
      <c r="D40" s="50">
        <v>2</v>
      </c>
      <c r="E40" s="50">
        <v>2</v>
      </c>
      <c r="F40" s="50">
        <v>3</v>
      </c>
      <c r="G40" s="50">
        <v>0</v>
      </c>
      <c r="H40" s="50">
        <v>0</v>
      </c>
      <c r="I40" s="50">
        <v>3</v>
      </c>
      <c r="J40" s="50">
        <v>1</v>
      </c>
      <c r="K40" s="50">
        <v>0</v>
      </c>
      <c r="L40" s="50">
        <v>0</v>
      </c>
      <c r="M40" s="50">
        <v>15</v>
      </c>
      <c r="N40" s="50">
        <v>0</v>
      </c>
      <c r="O40" s="15">
        <f t="shared" si="0"/>
        <v>14</v>
      </c>
      <c r="P40" s="15">
        <f t="shared" si="1"/>
        <v>29</v>
      </c>
    </row>
    <row r="41" spans="2:20" ht="23.1" customHeight="1" x14ac:dyDescent="0.25">
      <c r="B41" s="23" t="s">
        <v>68</v>
      </c>
      <c r="C41" s="50">
        <v>9</v>
      </c>
      <c r="D41" s="50">
        <v>2</v>
      </c>
      <c r="E41" s="50">
        <v>3</v>
      </c>
      <c r="F41" s="50">
        <v>6</v>
      </c>
      <c r="G41" s="50">
        <v>0</v>
      </c>
      <c r="H41" s="50">
        <v>1</v>
      </c>
      <c r="I41" s="50">
        <v>2</v>
      </c>
      <c r="J41" s="50">
        <v>2</v>
      </c>
      <c r="K41" s="50">
        <v>3</v>
      </c>
      <c r="L41" s="50">
        <v>0</v>
      </c>
      <c r="M41" s="50">
        <v>18</v>
      </c>
      <c r="N41" s="50">
        <v>0</v>
      </c>
      <c r="O41" s="15">
        <f t="shared" si="0"/>
        <v>28</v>
      </c>
      <c r="P41" s="15">
        <f t="shared" si="1"/>
        <v>46</v>
      </c>
    </row>
    <row r="42" spans="2:20" ht="23.1" customHeight="1" x14ac:dyDescent="0.25">
      <c r="B42" s="24" t="s">
        <v>69</v>
      </c>
      <c r="C42" s="50">
        <v>6</v>
      </c>
      <c r="D42" s="50">
        <v>5</v>
      </c>
      <c r="E42" s="50">
        <v>1</v>
      </c>
      <c r="F42" s="50">
        <v>4</v>
      </c>
      <c r="G42" s="50">
        <v>0</v>
      </c>
      <c r="H42" s="50">
        <v>1</v>
      </c>
      <c r="I42" s="50">
        <v>3</v>
      </c>
      <c r="J42" s="50">
        <v>1</v>
      </c>
      <c r="K42" s="50">
        <v>1</v>
      </c>
      <c r="L42" s="50">
        <v>0</v>
      </c>
      <c r="M42" s="50">
        <v>15</v>
      </c>
      <c r="N42" s="50">
        <v>0</v>
      </c>
      <c r="O42" s="15">
        <f t="shared" si="0"/>
        <v>22</v>
      </c>
      <c r="P42" s="15">
        <f t="shared" si="1"/>
        <v>37</v>
      </c>
    </row>
    <row r="43" spans="2:20" ht="23.1" customHeight="1" x14ac:dyDescent="0.25">
      <c r="B43" s="23" t="s">
        <v>70</v>
      </c>
      <c r="C43" s="50">
        <v>9</v>
      </c>
      <c r="D43" s="50">
        <v>3</v>
      </c>
      <c r="E43" s="50">
        <v>2</v>
      </c>
      <c r="F43" s="50">
        <v>6</v>
      </c>
      <c r="G43" s="50">
        <v>0</v>
      </c>
      <c r="H43" s="50">
        <v>2</v>
      </c>
      <c r="I43" s="50">
        <v>0</v>
      </c>
      <c r="J43" s="50">
        <v>5</v>
      </c>
      <c r="K43" s="50">
        <v>2</v>
      </c>
      <c r="L43" s="50">
        <v>0</v>
      </c>
      <c r="M43" s="50">
        <v>24</v>
      </c>
      <c r="N43" s="50">
        <v>0</v>
      </c>
      <c r="O43" s="15">
        <f t="shared" si="0"/>
        <v>29</v>
      </c>
      <c r="P43" s="15">
        <f t="shared" si="1"/>
        <v>53</v>
      </c>
    </row>
    <row r="44" spans="2:20" ht="23.1" customHeight="1" x14ac:dyDescent="0.25">
      <c r="B44" s="25" t="s">
        <v>71</v>
      </c>
      <c r="C44" s="50">
        <v>8</v>
      </c>
      <c r="D44" s="50">
        <v>5</v>
      </c>
      <c r="E44" s="50">
        <v>0</v>
      </c>
      <c r="F44" s="50">
        <v>6</v>
      </c>
      <c r="G44" s="50">
        <v>0</v>
      </c>
      <c r="H44" s="50">
        <v>2</v>
      </c>
      <c r="I44" s="50">
        <v>0</v>
      </c>
      <c r="J44" s="50">
        <v>2</v>
      </c>
      <c r="K44" s="50">
        <v>2</v>
      </c>
      <c r="L44" s="50">
        <v>0</v>
      </c>
      <c r="M44" s="50">
        <v>25</v>
      </c>
      <c r="N44" s="50">
        <v>0</v>
      </c>
      <c r="O44" s="15">
        <f t="shared" si="0"/>
        <v>25</v>
      </c>
      <c r="P44" s="15">
        <f t="shared" si="1"/>
        <v>50</v>
      </c>
    </row>
    <row r="45" spans="2:20" ht="23.1" customHeight="1" x14ac:dyDescent="0.25">
      <c r="B45" s="23" t="s">
        <v>72</v>
      </c>
      <c r="C45" s="50">
        <v>12</v>
      </c>
      <c r="D45" s="50">
        <v>3</v>
      </c>
      <c r="E45" s="50">
        <v>2</v>
      </c>
      <c r="F45" s="50">
        <v>6</v>
      </c>
      <c r="G45" s="50">
        <v>0</v>
      </c>
      <c r="H45" s="50">
        <v>1</v>
      </c>
      <c r="I45" s="50">
        <v>0</v>
      </c>
      <c r="J45" s="50">
        <v>1</v>
      </c>
      <c r="K45" s="50">
        <v>0</v>
      </c>
      <c r="L45" s="50">
        <v>0</v>
      </c>
      <c r="M45" s="50">
        <v>22</v>
      </c>
      <c r="N45" s="50">
        <v>0</v>
      </c>
      <c r="O45" s="15">
        <f t="shared" si="0"/>
        <v>25</v>
      </c>
      <c r="P45" s="15">
        <f t="shared" si="1"/>
        <v>47</v>
      </c>
    </row>
    <row r="46" spans="2:20" ht="23.1" customHeight="1" x14ac:dyDescent="0.25">
      <c r="B46" s="24" t="s">
        <v>73</v>
      </c>
      <c r="C46" s="50">
        <v>12</v>
      </c>
      <c r="D46" s="50">
        <v>4</v>
      </c>
      <c r="E46" s="50">
        <v>6</v>
      </c>
      <c r="F46" s="50">
        <v>4</v>
      </c>
      <c r="G46" s="50">
        <v>0</v>
      </c>
      <c r="H46" s="50">
        <v>1</v>
      </c>
      <c r="I46" s="50">
        <v>2</v>
      </c>
      <c r="J46" s="50">
        <v>1</v>
      </c>
      <c r="K46" s="50">
        <v>3</v>
      </c>
      <c r="L46" s="50">
        <v>1</v>
      </c>
      <c r="M46" s="50">
        <v>17</v>
      </c>
      <c r="N46" s="50">
        <v>0</v>
      </c>
      <c r="O46" s="15">
        <f t="shared" si="0"/>
        <v>34</v>
      </c>
      <c r="P46" s="15">
        <f t="shared" si="1"/>
        <v>51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5</v>
      </c>
      <c r="E47" s="50">
        <v>1</v>
      </c>
      <c r="F47" s="50">
        <v>3</v>
      </c>
      <c r="G47" s="50">
        <v>0</v>
      </c>
      <c r="H47" s="50">
        <v>1</v>
      </c>
      <c r="I47" s="50">
        <v>1</v>
      </c>
      <c r="J47" s="50">
        <v>0</v>
      </c>
      <c r="K47" s="50">
        <v>1</v>
      </c>
      <c r="L47" s="50">
        <v>0</v>
      </c>
      <c r="M47" s="50">
        <v>25</v>
      </c>
      <c r="N47" s="50">
        <v>0</v>
      </c>
      <c r="O47" s="15">
        <f t="shared" si="0"/>
        <v>16</v>
      </c>
      <c r="P47" s="15">
        <f t="shared" si="1"/>
        <v>41</v>
      </c>
      <c r="R47" s="8"/>
      <c r="T47"/>
    </row>
    <row r="48" spans="2:20" ht="23.1" customHeight="1" x14ac:dyDescent="0.25">
      <c r="B48" s="24" t="s">
        <v>75</v>
      </c>
      <c r="C48" s="50">
        <v>6</v>
      </c>
      <c r="D48" s="50">
        <v>3</v>
      </c>
      <c r="E48" s="50">
        <v>0</v>
      </c>
      <c r="F48" s="50">
        <v>2</v>
      </c>
      <c r="G48" s="50">
        <v>0</v>
      </c>
      <c r="H48" s="50">
        <v>1</v>
      </c>
      <c r="I48" s="50">
        <v>1</v>
      </c>
      <c r="J48" s="50">
        <v>0</v>
      </c>
      <c r="K48" s="50">
        <v>0</v>
      </c>
      <c r="L48" s="50">
        <v>0</v>
      </c>
      <c r="M48" s="50">
        <v>25</v>
      </c>
      <c r="N48" s="50">
        <v>0</v>
      </c>
      <c r="O48" s="15">
        <f t="shared" si="0"/>
        <v>13</v>
      </c>
      <c r="P48" s="15">
        <f t="shared" si="1"/>
        <v>38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1</v>
      </c>
      <c r="E49" s="50">
        <v>3</v>
      </c>
      <c r="F49" s="50">
        <v>5</v>
      </c>
      <c r="G49" s="50">
        <v>0</v>
      </c>
      <c r="H49" s="50">
        <v>1</v>
      </c>
      <c r="I49" s="50">
        <v>2</v>
      </c>
      <c r="J49" s="50">
        <v>0</v>
      </c>
      <c r="K49" s="50">
        <v>0</v>
      </c>
      <c r="L49" s="50">
        <v>1</v>
      </c>
      <c r="M49" s="50">
        <v>8</v>
      </c>
      <c r="N49" s="50">
        <v>0</v>
      </c>
      <c r="O49" s="15">
        <f t="shared" si="0"/>
        <v>17</v>
      </c>
      <c r="P49" s="15">
        <f t="shared" si="1"/>
        <v>25</v>
      </c>
      <c r="R49" s="8"/>
      <c r="T49"/>
    </row>
    <row r="50" spans="2:20" ht="23.1" customHeight="1" x14ac:dyDescent="0.25">
      <c r="B50" s="24" t="s">
        <v>77</v>
      </c>
      <c r="C50" s="50">
        <v>8</v>
      </c>
      <c r="D50" s="50">
        <v>5</v>
      </c>
      <c r="E50" s="50">
        <v>4</v>
      </c>
      <c r="F50" s="50">
        <v>4</v>
      </c>
      <c r="G50" s="50">
        <v>2</v>
      </c>
      <c r="H50" s="50">
        <v>2</v>
      </c>
      <c r="I50" s="50">
        <v>1</v>
      </c>
      <c r="J50" s="50">
        <v>1</v>
      </c>
      <c r="K50" s="50">
        <v>2</v>
      </c>
      <c r="L50" s="50">
        <v>0</v>
      </c>
      <c r="M50" s="50">
        <v>20</v>
      </c>
      <c r="N50" s="50">
        <v>0</v>
      </c>
      <c r="O50" s="15">
        <f t="shared" si="0"/>
        <v>29</v>
      </c>
      <c r="P50" s="15">
        <f t="shared" si="1"/>
        <v>49</v>
      </c>
      <c r="R50" s="8"/>
      <c r="T50"/>
    </row>
    <row r="51" spans="2:20" ht="23.1" customHeight="1" x14ac:dyDescent="0.25">
      <c r="B51" s="24" t="s">
        <v>78</v>
      </c>
      <c r="C51" s="50">
        <v>11</v>
      </c>
      <c r="D51" s="50">
        <v>3</v>
      </c>
      <c r="E51" s="50">
        <v>3</v>
      </c>
      <c r="F51" s="50">
        <v>8</v>
      </c>
      <c r="G51" s="50">
        <v>0</v>
      </c>
      <c r="H51" s="50">
        <v>0</v>
      </c>
      <c r="I51" s="50">
        <v>4</v>
      </c>
      <c r="J51" s="50">
        <v>3</v>
      </c>
      <c r="K51" s="50">
        <v>9</v>
      </c>
      <c r="L51" s="50">
        <v>1</v>
      </c>
      <c r="M51" s="50">
        <v>24</v>
      </c>
      <c r="N51" s="50">
        <v>0</v>
      </c>
      <c r="O51" s="15">
        <f t="shared" si="0"/>
        <v>42</v>
      </c>
      <c r="P51" s="15">
        <f t="shared" si="1"/>
        <v>66</v>
      </c>
      <c r="R51" s="8"/>
      <c r="T51"/>
    </row>
    <row r="52" spans="2:20" ht="23.1" customHeight="1" x14ac:dyDescent="0.25">
      <c r="B52" s="24" t="s">
        <v>79</v>
      </c>
      <c r="C52" s="50">
        <v>11</v>
      </c>
      <c r="D52" s="50">
        <v>5</v>
      </c>
      <c r="E52" s="50">
        <v>7</v>
      </c>
      <c r="F52" s="50">
        <v>5</v>
      </c>
      <c r="G52" s="50">
        <v>1</v>
      </c>
      <c r="H52" s="50">
        <v>1</v>
      </c>
      <c r="I52" s="50">
        <v>4</v>
      </c>
      <c r="J52" s="50">
        <v>6</v>
      </c>
      <c r="K52" s="50">
        <v>4</v>
      </c>
      <c r="L52" s="50">
        <v>0</v>
      </c>
      <c r="M52" s="50">
        <v>18</v>
      </c>
      <c r="N52" s="50">
        <v>0</v>
      </c>
      <c r="O52" s="15">
        <f t="shared" si="0"/>
        <v>44</v>
      </c>
      <c r="P52" s="15">
        <f t="shared" si="1"/>
        <v>62</v>
      </c>
      <c r="R52" s="8"/>
      <c r="T52"/>
    </row>
    <row r="53" spans="2:20" ht="23.1" customHeight="1" x14ac:dyDescent="0.25">
      <c r="B53" s="23" t="s">
        <v>80</v>
      </c>
      <c r="C53" s="50">
        <v>10</v>
      </c>
      <c r="D53" s="50">
        <v>5</v>
      </c>
      <c r="E53" s="50">
        <v>2</v>
      </c>
      <c r="F53" s="50">
        <v>1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1</v>
      </c>
      <c r="M53" s="50">
        <v>20</v>
      </c>
      <c r="N53" s="50">
        <v>0</v>
      </c>
      <c r="O53" s="15">
        <f t="shared" si="0"/>
        <v>22</v>
      </c>
      <c r="P53" s="15">
        <f t="shared" si="1"/>
        <v>42</v>
      </c>
      <c r="R53" s="8"/>
      <c r="T53"/>
    </row>
    <row r="54" spans="2:20" ht="23.1" customHeight="1" x14ac:dyDescent="0.25">
      <c r="B54" s="23" t="s">
        <v>81</v>
      </c>
      <c r="C54" s="50">
        <v>7</v>
      </c>
      <c r="D54" s="50">
        <v>6</v>
      </c>
      <c r="E54" s="50">
        <v>5</v>
      </c>
      <c r="F54" s="50">
        <v>3</v>
      </c>
      <c r="G54" s="50">
        <v>1</v>
      </c>
      <c r="H54" s="50">
        <v>1</v>
      </c>
      <c r="I54" s="50">
        <v>2</v>
      </c>
      <c r="J54" s="50">
        <v>4</v>
      </c>
      <c r="K54" s="50">
        <v>6</v>
      </c>
      <c r="L54" s="50">
        <v>0</v>
      </c>
      <c r="M54" s="50">
        <v>20</v>
      </c>
      <c r="N54" s="50">
        <v>0</v>
      </c>
      <c r="O54" s="15">
        <f t="shared" si="0"/>
        <v>35</v>
      </c>
      <c r="P54" s="15">
        <f t="shared" si="1"/>
        <v>55</v>
      </c>
      <c r="R54" s="8"/>
      <c r="T54"/>
    </row>
    <row r="55" spans="2:20" ht="23.1" customHeight="1" x14ac:dyDescent="0.25">
      <c r="B55" s="23" t="s">
        <v>82</v>
      </c>
      <c r="C55" s="50">
        <v>11</v>
      </c>
      <c r="D55" s="50">
        <v>8</v>
      </c>
      <c r="E55" s="50">
        <v>5</v>
      </c>
      <c r="F55" s="50">
        <v>9</v>
      </c>
      <c r="G55" s="50">
        <v>0</v>
      </c>
      <c r="H55" s="50">
        <v>2</v>
      </c>
      <c r="I55" s="50">
        <v>6</v>
      </c>
      <c r="J55" s="50">
        <v>4</v>
      </c>
      <c r="K55" s="50">
        <v>1</v>
      </c>
      <c r="L55" s="50">
        <v>2</v>
      </c>
      <c r="M55" s="50">
        <v>23</v>
      </c>
      <c r="N55" s="50">
        <v>0</v>
      </c>
      <c r="O55" s="15">
        <f t="shared" si="0"/>
        <v>48</v>
      </c>
      <c r="P55" s="15">
        <f t="shared" si="1"/>
        <v>71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6</v>
      </c>
      <c r="E56" s="50">
        <v>4</v>
      </c>
      <c r="F56" s="50">
        <v>7</v>
      </c>
      <c r="G56" s="50">
        <v>0</v>
      </c>
      <c r="H56" s="50">
        <v>0</v>
      </c>
      <c r="I56" s="50">
        <v>3</v>
      </c>
      <c r="J56" s="50">
        <v>4</v>
      </c>
      <c r="K56" s="50">
        <v>6</v>
      </c>
      <c r="L56" s="50">
        <v>1</v>
      </c>
      <c r="M56" s="50">
        <v>25</v>
      </c>
      <c r="N56" s="50">
        <v>0</v>
      </c>
      <c r="O56" s="15">
        <f t="shared" si="0"/>
        <v>35</v>
      </c>
      <c r="P56" s="15">
        <f t="shared" si="1"/>
        <v>60</v>
      </c>
      <c r="R56" s="8"/>
      <c r="T56"/>
    </row>
    <row r="57" spans="2:20" ht="23.1" customHeight="1" x14ac:dyDescent="0.25">
      <c r="B57" s="23" t="s">
        <v>84</v>
      </c>
      <c r="C57" s="50">
        <v>10</v>
      </c>
      <c r="D57" s="50">
        <v>2</v>
      </c>
      <c r="E57" s="50">
        <v>5</v>
      </c>
      <c r="F57" s="50">
        <v>6</v>
      </c>
      <c r="G57" s="50">
        <v>0</v>
      </c>
      <c r="H57" s="50">
        <v>0</v>
      </c>
      <c r="I57" s="50">
        <v>0</v>
      </c>
      <c r="J57" s="50">
        <v>1</v>
      </c>
      <c r="K57" s="50">
        <v>2</v>
      </c>
      <c r="L57" s="50">
        <v>0</v>
      </c>
      <c r="M57" s="50">
        <v>25</v>
      </c>
      <c r="N57" s="50">
        <v>0</v>
      </c>
      <c r="O57" s="15">
        <f t="shared" si="0"/>
        <v>26</v>
      </c>
      <c r="P57" s="15">
        <f t="shared" si="1"/>
        <v>51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305</v>
      </c>
      <c r="D58" s="16">
        <f t="shared" si="21"/>
        <v>198</v>
      </c>
      <c r="E58" s="16">
        <f t="shared" si="21"/>
        <v>102</v>
      </c>
      <c r="F58" s="16">
        <f t="shared" si="21"/>
        <v>204</v>
      </c>
      <c r="G58" s="16">
        <f t="shared" si="21"/>
        <v>9</v>
      </c>
      <c r="H58" s="16">
        <f t="shared" si="21"/>
        <v>52</v>
      </c>
      <c r="I58" s="16">
        <f t="shared" si="21"/>
        <v>79</v>
      </c>
      <c r="J58" s="16">
        <f t="shared" si="21"/>
        <v>64</v>
      </c>
      <c r="K58" s="16">
        <f t="shared" si="21"/>
        <v>78</v>
      </c>
      <c r="L58" s="16">
        <f t="shared" si="21"/>
        <v>18</v>
      </c>
      <c r="M58" s="16">
        <f t="shared" si="21"/>
        <v>876</v>
      </c>
      <c r="N58" s="16">
        <f t="shared" si="21"/>
        <v>0</v>
      </c>
      <c r="O58" s="16">
        <f t="shared" si="21"/>
        <v>1109</v>
      </c>
      <c r="P58" s="16">
        <f t="shared" si="21"/>
        <v>1985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0.15365239294710328</v>
      </c>
      <c r="D59" s="43">
        <f t="shared" si="22"/>
        <v>9.9748110831234263E-2</v>
      </c>
      <c r="E59" s="43">
        <f t="shared" si="22"/>
        <v>5.1385390428211587E-2</v>
      </c>
      <c r="F59" s="43">
        <f t="shared" si="22"/>
        <v>0.10277078085642317</v>
      </c>
      <c r="G59" s="43">
        <f t="shared" si="22"/>
        <v>4.5340050377833752E-3</v>
      </c>
      <c r="H59" s="43">
        <f t="shared" si="22"/>
        <v>2.6196473551637279E-2</v>
      </c>
      <c r="I59" s="43">
        <f t="shared" si="22"/>
        <v>3.9798488664987405E-2</v>
      </c>
      <c r="J59" s="43">
        <f t="shared" si="22"/>
        <v>3.2241813602015112E-2</v>
      </c>
      <c r="K59" s="43">
        <f t="shared" si="22"/>
        <v>3.929471032745592E-2</v>
      </c>
      <c r="L59" s="43">
        <f t="shared" si="22"/>
        <v>9.0680100755667504E-3</v>
      </c>
      <c r="M59" s="43">
        <f t="shared" si="22"/>
        <v>0.44130982367758187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0.27502254283137961</v>
      </c>
      <c r="D60" s="44">
        <f t="shared" ref="D60:N60" si="23">D58/$O$58</f>
        <v>0.17853922452660054</v>
      </c>
      <c r="E60" s="44">
        <f t="shared" si="23"/>
        <v>9.1974752028854828E-2</v>
      </c>
      <c r="F60" s="44">
        <f t="shared" si="23"/>
        <v>0.18394950405770966</v>
      </c>
      <c r="G60" s="44">
        <f t="shared" si="23"/>
        <v>8.1154192966636611E-3</v>
      </c>
      <c r="H60" s="44">
        <f t="shared" si="23"/>
        <v>4.6889089269612265E-2</v>
      </c>
      <c r="I60" s="44">
        <f t="shared" si="23"/>
        <v>7.1235347159603252E-2</v>
      </c>
      <c r="J60" s="44">
        <f t="shared" si="23"/>
        <v>5.7709648331830475E-2</v>
      </c>
      <c r="K60" s="44">
        <f t="shared" si="23"/>
        <v>7.0333633904418394E-2</v>
      </c>
      <c r="L60" s="44">
        <f t="shared" si="23"/>
        <v>1.6230838593327322E-2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K76" zoomScale="60" workbookViewId="0">
      <selection activeCell="J99" sqref="J9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3" t="s">
        <v>23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 spans="2:32" ht="20.100000000000001" customHeight="1" x14ac:dyDescent="0.25">
      <c r="B2" s="74" t="s">
        <v>95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</row>
    <row r="3" spans="2:32" ht="20.100000000000001" customHeight="1" x14ac:dyDescent="0.25">
      <c r="B3" s="22" t="s">
        <v>96</v>
      </c>
      <c r="C3" s="75" t="str">
        <f>'17.10 MBARARA-MASAKA'!C3:G3</f>
        <v>MASAKA-MBARARA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81" t="s">
        <v>162</v>
      </c>
      <c r="E5" s="82"/>
      <c r="F5" s="41" t="s">
        <v>1</v>
      </c>
      <c r="G5" s="71" t="str">
        <f>'17.10 MASAKA-MBARARA'!G5:H5</f>
        <v>KINONI</v>
      </c>
      <c r="H5" s="72"/>
      <c r="I5" s="14"/>
      <c r="J5" s="2" t="s">
        <v>5</v>
      </c>
      <c r="K5" s="71" t="s">
        <v>185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'17.10 MASAKA-MBARARA'!D6:E6</f>
        <v>MASAKA</v>
      </c>
      <c r="E6" s="72"/>
      <c r="F6" s="2" t="s">
        <v>2</v>
      </c>
      <c r="G6" s="71" t="str">
        <f>'17.10 MASAKA-MBARARA'!G6:H6</f>
        <v>MBARARA</v>
      </c>
      <c r="H6" s="72"/>
      <c r="J6" s="2" t="s">
        <v>21</v>
      </c>
      <c r="K6" s="71" t="str">
        <f>'17.10 MASAKA-MBARARA'!K6:L6</f>
        <v>BABIRYE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52" t="s">
        <v>19</v>
      </c>
      <c r="S9" s="54" t="s">
        <v>24</v>
      </c>
      <c r="T9" s="54" t="s">
        <v>25</v>
      </c>
      <c r="U9" s="54" t="s">
        <v>26</v>
      </c>
      <c r="V9" s="54" t="s">
        <v>27</v>
      </c>
      <c r="W9" s="54" t="s">
        <v>28</v>
      </c>
      <c r="X9" s="54" t="s">
        <v>29</v>
      </c>
      <c r="Y9" s="54" t="s">
        <v>30</v>
      </c>
      <c r="Z9" s="54" t="s">
        <v>31</v>
      </c>
      <c r="AA9" s="54" t="s">
        <v>32</v>
      </c>
      <c r="AB9" s="54" t="s">
        <v>33</v>
      </c>
      <c r="AC9" s="54" t="s">
        <v>34</v>
      </c>
      <c r="AD9" s="54" t="s">
        <v>35</v>
      </c>
      <c r="AE9" s="55" t="s">
        <v>89</v>
      </c>
      <c r="AF9" s="55" t="s">
        <v>22</v>
      </c>
    </row>
    <row r="10" spans="2:32" ht="23.1" customHeight="1" x14ac:dyDescent="0.25">
      <c r="B10" s="23" t="s">
        <v>37</v>
      </c>
      <c r="C10" s="49">
        <f>AVERAGE('17.10 MASAKA-MBARARA'!C10,'18.10 MASAKA-MBARARA-24H'!C10,'19.10 MASAKA-MBARARA-24H'!C10,'20.10 MASAKA-MBARARA'!C10,'21.10 MASAKA-MBARARA'!C10,'22.10 MASAKA-MBARARA'!C10,'23.10 MASAKA-MBARARA'!C10)</f>
        <v>5.5714285714285712</v>
      </c>
      <c r="D10" s="49">
        <f>AVERAGE('17.10 MASAKA-MBARARA'!D10,'18.10 MASAKA-MBARARA-24H'!D10,'19.10 MASAKA-MBARARA-24H'!D10,'20.10 MASAKA-MBARARA'!D10,'21.10 MASAKA-MBARARA'!D10,'22.10 MASAKA-MBARARA'!D10,'23.10 MASAKA-MBARARA'!D10)</f>
        <v>1.7142857142857142</v>
      </c>
      <c r="E10" s="49">
        <f>AVERAGE('17.10 MASAKA-MBARARA'!E10,'18.10 MASAKA-MBARARA-24H'!E10,'19.10 MASAKA-MBARARA-24H'!E10,'20.10 MASAKA-MBARARA'!E10,'21.10 MASAKA-MBARARA'!E10,'22.10 MASAKA-MBARARA'!E10,'23.10 MASAKA-MBARARA'!E10)</f>
        <v>0.8571428571428571</v>
      </c>
      <c r="F10" s="49">
        <f>AVERAGE('17.10 MASAKA-MBARARA'!F10,'18.10 MASAKA-MBARARA-24H'!F10,'19.10 MASAKA-MBARARA-24H'!F10,'20.10 MASAKA-MBARARA'!F10,'21.10 MASAKA-MBARARA'!F10,'22.10 MASAKA-MBARARA'!F10,'23.10 MASAKA-MBARARA'!F10)</f>
        <v>2.8571428571428572</v>
      </c>
      <c r="G10" s="49">
        <f>AVERAGE('17.10 MASAKA-MBARARA'!G10,'18.10 MASAKA-MBARARA-24H'!G10,'19.10 MASAKA-MBARARA-24H'!G10,'20.10 MASAKA-MBARARA'!G10,'21.10 MASAKA-MBARARA'!G10,'22.10 MASAKA-MBARARA'!G10,'23.10 MASAKA-MBARARA'!G10)</f>
        <v>0.14285714285714285</v>
      </c>
      <c r="H10" s="49">
        <f>AVERAGE('17.10 MASAKA-MBARARA'!H10,'18.10 MASAKA-MBARARA-24H'!H10,'19.10 MASAKA-MBARARA-24H'!H10,'20.10 MASAKA-MBARARA'!H10,'21.10 MASAKA-MBARARA'!H10,'22.10 MASAKA-MBARARA'!H10,'23.10 MASAKA-MBARARA'!H10)</f>
        <v>0.5714285714285714</v>
      </c>
      <c r="I10" s="49">
        <f>AVERAGE('17.10 MASAKA-MBARARA'!I10,'18.10 MASAKA-MBARARA-24H'!I10,'19.10 MASAKA-MBARARA-24H'!I10,'20.10 MASAKA-MBARARA'!I10,'21.10 MASAKA-MBARARA'!I10,'22.10 MASAKA-MBARARA'!I10,'23.10 MASAKA-MBARARA'!I10)</f>
        <v>1</v>
      </c>
      <c r="J10" s="49">
        <f>AVERAGE('17.10 MASAKA-MBARARA'!J10,'18.10 MASAKA-MBARARA-24H'!J10,'19.10 MASAKA-MBARARA-24H'!J10,'20.10 MASAKA-MBARARA'!J10,'21.10 MASAKA-MBARARA'!J10,'22.10 MASAKA-MBARARA'!J10,'23.10 MASAKA-MBARARA'!J10)</f>
        <v>0.5714285714285714</v>
      </c>
      <c r="K10" s="49">
        <f>AVERAGE('17.10 MASAKA-MBARARA'!K10,'18.10 MASAKA-MBARARA-24H'!K10,'19.10 MASAKA-MBARARA-24H'!K10,'20.10 MASAKA-MBARARA'!K10,'21.10 MASAKA-MBARARA'!K10,'22.10 MASAKA-MBARARA'!K10,'23.10 MASAKA-MBARARA'!K10)</f>
        <v>1.8571428571428572</v>
      </c>
      <c r="L10" s="49">
        <f>AVERAGE('17.10 MASAKA-MBARARA'!L10,'18.10 MASAKA-MBARARA-24H'!L10,'19.10 MASAKA-MBARARA-24H'!L10,'20.10 MASAKA-MBARARA'!L10,'21.10 MASAKA-MBARARA'!L10,'22.10 MASAKA-MBARARA'!L10,'23.10 MASAKA-MBARARA'!L10)</f>
        <v>0</v>
      </c>
      <c r="M10" s="49">
        <f>AVERAGE('17.10 MASAKA-MBARARA'!M10,'18.10 MASAKA-MBARARA-24H'!M10,'19.10 MASAKA-MBARARA-24H'!M10,'20.10 MASAKA-MBARARA'!M10,'21.10 MASAKA-MBARARA'!M10,'22.10 MASAKA-MBARARA'!M10,'23.10 MASAKA-MBARARA'!M10)</f>
        <v>11.142857142857142</v>
      </c>
      <c r="N10" s="49">
        <f>AVERAGE('17.10 MASAKA-MBARARA'!N10,'18.10 MASAKA-MBARARA-24H'!N10,'19.10 MASAKA-MBARARA-24H'!N10,'20.10 MASAKA-MBARARA'!N10,'21.10 MASAKA-MBARARA'!N10,'22.10 MASAKA-MBARARA'!N10,'23.10 MASAKA-MBARARA'!N10)</f>
        <v>0</v>
      </c>
      <c r="O10" s="15">
        <f t="shared" ref="O10:O73" si="0">SUM(C10:L10,N10)</f>
        <v>15.142857142857142</v>
      </c>
      <c r="P10" s="15">
        <f t="shared" ref="P10:P73" si="1">SUM(C10:N10)</f>
        <v>26.285714285714285</v>
      </c>
      <c r="R10" s="51" t="s">
        <v>6</v>
      </c>
      <c r="S10" s="53">
        <f t="shared" ref="S10:AF10" si="2">SUM(C10:C13)</f>
        <v>25</v>
      </c>
      <c r="T10" s="53">
        <f t="shared" si="2"/>
        <v>10.857142857142858</v>
      </c>
      <c r="U10" s="53">
        <f t="shared" si="2"/>
        <v>6.4285714285714288</v>
      </c>
      <c r="V10" s="53">
        <f t="shared" si="2"/>
        <v>10.285714285714286</v>
      </c>
      <c r="W10" s="53">
        <f t="shared" si="2"/>
        <v>0.99999999999999989</v>
      </c>
      <c r="X10" s="53">
        <f t="shared" si="2"/>
        <v>0.5714285714285714</v>
      </c>
      <c r="Y10" s="53">
        <f t="shared" si="2"/>
        <v>6.7142857142857153</v>
      </c>
      <c r="Z10" s="53">
        <f t="shared" si="2"/>
        <v>2.4285714285714284</v>
      </c>
      <c r="AA10" s="53">
        <f t="shared" si="2"/>
        <v>7.5714285714285712</v>
      </c>
      <c r="AB10" s="53">
        <f t="shared" si="2"/>
        <v>1.2857142857142856</v>
      </c>
      <c r="AC10" s="53">
        <f t="shared" si="2"/>
        <v>44.571428571428569</v>
      </c>
      <c r="AD10" s="53">
        <f t="shared" si="2"/>
        <v>0</v>
      </c>
      <c r="AE10" s="56">
        <f t="shared" si="2"/>
        <v>72.142857142857139</v>
      </c>
      <c r="AF10" s="56">
        <f t="shared" si="2"/>
        <v>116.71428571428572</v>
      </c>
    </row>
    <row r="11" spans="2:32" s="6" customFormat="1" ht="23.1" customHeight="1" x14ac:dyDescent="0.25">
      <c r="B11" s="23" t="s">
        <v>38</v>
      </c>
      <c r="C11" s="49">
        <f>AVERAGE('17.10 MASAKA-MBARARA'!C11,'18.10 MASAKA-MBARARA-24H'!C11,'19.10 MASAKA-MBARARA-24H'!C11,'20.10 MASAKA-MBARARA'!C11,'21.10 MASAKA-MBARARA'!C11,'22.10 MASAKA-MBARARA'!C11,'23.10 MASAKA-MBARARA'!C11)</f>
        <v>6.1428571428571432</v>
      </c>
      <c r="D11" s="49">
        <f>AVERAGE('17.10 MASAKA-MBARARA'!D11,'18.10 MASAKA-MBARARA-24H'!D11,'19.10 MASAKA-MBARARA-24H'!D11,'20.10 MASAKA-MBARARA'!D11,'21.10 MASAKA-MBARARA'!D11,'22.10 MASAKA-MBARARA'!D11,'23.10 MASAKA-MBARARA'!D11)</f>
        <v>3</v>
      </c>
      <c r="E11" s="49">
        <f>AVERAGE('17.10 MASAKA-MBARARA'!E11,'18.10 MASAKA-MBARARA-24H'!E11,'19.10 MASAKA-MBARARA-24H'!E11,'20.10 MASAKA-MBARARA'!E11,'21.10 MASAKA-MBARARA'!E11,'22.10 MASAKA-MBARARA'!E11,'23.10 MASAKA-MBARARA'!E11)</f>
        <v>1.1428571428571428</v>
      </c>
      <c r="F11" s="49">
        <f>AVERAGE('17.10 MASAKA-MBARARA'!F11,'18.10 MASAKA-MBARARA-24H'!F11,'19.10 MASAKA-MBARARA-24H'!F11,'20.10 MASAKA-MBARARA'!F11,'21.10 MASAKA-MBARARA'!F11,'22.10 MASAKA-MBARARA'!F11,'23.10 MASAKA-MBARARA'!F11)</f>
        <v>3.5714285714285716</v>
      </c>
      <c r="G11" s="49">
        <f>AVERAGE('17.10 MASAKA-MBARARA'!G11,'18.10 MASAKA-MBARARA-24H'!G11,'19.10 MASAKA-MBARARA-24H'!G11,'20.10 MASAKA-MBARARA'!G11,'21.10 MASAKA-MBARARA'!G11,'22.10 MASAKA-MBARARA'!G11,'23.10 MASAKA-MBARARA'!G11)</f>
        <v>0.42857142857142855</v>
      </c>
      <c r="H11" s="49">
        <f>AVERAGE('17.10 MASAKA-MBARARA'!H11,'18.10 MASAKA-MBARARA-24H'!H11,'19.10 MASAKA-MBARARA-24H'!H11,'20.10 MASAKA-MBARARA'!H11,'21.10 MASAKA-MBARARA'!H11,'22.10 MASAKA-MBARARA'!H11,'23.10 MASAKA-MBARARA'!H11)</f>
        <v>0</v>
      </c>
      <c r="I11" s="49">
        <f>AVERAGE('17.10 MASAKA-MBARARA'!I11,'18.10 MASAKA-MBARARA-24H'!I11,'19.10 MASAKA-MBARARA-24H'!I11,'20.10 MASAKA-MBARARA'!I11,'21.10 MASAKA-MBARARA'!I11,'22.10 MASAKA-MBARARA'!I11,'23.10 MASAKA-MBARARA'!I11)</f>
        <v>2</v>
      </c>
      <c r="J11" s="49">
        <f>AVERAGE('17.10 MASAKA-MBARARA'!J11,'18.10 MASAKA-MBARARA-24H'!J11,'19.10 MASAKA-MBARARA-24H'!J11,'20.10 MASAKA-MBARARA'!J11,'21.10 MASAKA-MBARARA'!J11,'22.10 MASAKA-MBARARA'!J11,'23.10 MASAKA-MBARARA'!J11)</f>
        <v>0.7142857142857143</v>
      </c>
      <c r="K11" s="49">
        <f>AVERAGE('17.10 MASAKA-MBARARA'!K11,'18.10 MASAKA-MBARARA-24H'!K11,'19.10 MASAKA-MBARARA-24H'!K11,'20.10 MASAKA-MBARARA'!K11,'21.10 MASAKA-MBARARA'!K11,'22.10 MASAKA-MBARARA'!K11,'23.10 MASAKA-MBARARA'!K11)</f>
        <v>1.7142857142857142</v>
      </c>
      <c r="L11" s="49">
        <f>AVERAGE('17.10 MASAKA-MBARARA'!L11,'18.10 MASAKA-MBARARA-24H'!L11,'19.10 MASAKA-MBARARA-24H'!L11,'20.10 MASAKA-MBARARA'!L11,'21.10 MASAKA-MBARARA'!L11,'22.10 MASAKA-MBARARA'!L11,'23.10 MASAKA-MBARARA'!L11)</f>
        <v>0</v>
      </c>
      <c r="M11" s="49">
        <f>AVERAGE('17.10 MASAKA-MBARARA'!M11,'18.10 MASAKA-MBARARA-24H'!M11,'19.10 MASAKA-MBARARA-24H'!M11,'20.10 MASAKA-MBARARA'!M11,'21.10 MASAKA-MBARARA'!M11,'22.10 MASAKA-MBARARA'!M11,'23.10 MASAKA-MBARARA'!M11)</f>
        <v>11.142857142857142</v>
      </c>
      <c r="N11" s="49">
        <f>AVERAGE('17.10 MASAKA-MBARARA'!N11,'18.10 MASAKA-MBARARA-24H'!N11,'19.10 MASAKA-MBARARA-24H'!N11,'20.10 MASAKA-MBARARA'!N11,'21.10 MASAKA-MBARARA'!N11,'22.10 MASAKA-MBARARA'!N11,'23.10 MASAKA-MBARARA'!N11)</f>
        <v>0</v>
      </c>
      <c r="O11" s="15">
        <f t="shared" si="0"/>
        <v>18.714285714285715</v>
      </c>
      <c r="P11" s="15">
        <f t="shared" si="1"/>
        <v>29.857142857142858</v>
      </c>
      <c r="R11" s="51" t="s">
        <v>7</v>
      </c>
      <c r="S11" s="53">
        <f t="shared" ref="S11:AF11" si="3">SUM(C14:C17)</f>
        <v>31</v>
      </c>
      <c r="T11" s="53">
        <f t="shared" si="3"/>
        <v>16.428571428571431</v>
      </c>
      <c r="U11" s="53">
        <f t="shared" si="3"/>
        <v>9.1428571428571423</v>
      </c>
      <c r="V11" s="53">
        <f t="shared" si="3"/>
        <v>15.285714285714285</v>
      </c>
      <c r="W11" s="53">
        <f t="shared" si="3"/>
        <v>0.14285714285714285</v>
      </c>
      <c r="X11" s="53">
        <f t="shared" si="3"/>
        <v>2</v>
      </c>
      <c r="Y11" s="53">
        <f t="shared" si="3"/>
        <v>6.5714285714285712</v>
      </c>
      <c r="Z11" s="53">
        <f t="shared" si="3"/>
        <v>5.1428571428571432</v>
      </c>
      <c r="AA11" s="53">
        <f t="shared" si="3"/>
        <v>6.4285714285714288</v>
      </c>
      <c r="AB11" s="53">
        <f t="shared" si="3"/>
        <v>0.42857142857142855</v>
      </c>
      <c r="AC11" s="53">
        <f t="shared" si="3"/>
        <v>46.285714285714285</v>
      </c>
      <c r="AD11" s="53">
        <f t="shared" si="3"/>
        <v>0</v>
      </c>
      <c r="AE11" s="56">
        <f t="shared" si="3"/>
        <v>92.571428571428584</v>
      </c>
      <c r="AF11" s="56">
        <f t="shared" si="3"/>
        <v>138.85714285714286</v>
      </c>
    </row>
    <row r="12" spans="2:32" ht="23.1" customHeight="1" x14ac:dyDescent="0.25">
      <c r="B12" s="23" t="s">
        <v>39</v>
      </c>
      <c r="C12" s="49">
        <f>AVERAGE('17.10 MASAKA-MBARARA'!C12,'18.10 MASAKA-MBARARA-24H'!C12,'19.10 MASAKA-MBARARA-24H'!C12,'20.10 MASAKA-MBARARA'!C12,'21.10 MASAKA-MBARARA'!C12,'22.10 MASAKA-MBARARA'!C12,'23.10 MASAKA-MBARARA'!C12)</f>
        <v>7.5714285714285712</v>
      </c>
      <c r="D12" s="49">
        <f>AVERAGE('17.10 MASAKA-MBARARA'!D12,'18.10 MASAKA-MBARARA-24H'!D12,'19.10 MASAKA-MBARARA-24H'!D12,'20.10 MASAKA-MBARARA'!D12,'21.10 MASAKA-MBARARA'!D12,'22.10 MASAKA-MBARARA'!D12,'23.10 MASAKA-MBARARA'!D12)</f>
        <v>2.5714285714285716</v>
      </c>
      <c r="E12" s="49">
        <f>AVERAGE('17.10 MASAKA-MBARARA'!E12,'18.10 MASAKA-MBARARA-24H'!E12,'19.10 MASAKA-MBARARA-24H'!E12,'20.10 MASAKA-MBARARA'!E12,'21.10 MASAKA-MBARARA'!E12,'22.10 MASAKA-MBARARA'!E12,'23.10 MASAKA-MBARARA'!E12)</f>
        <v>1.7142857142857142</v>
      </c>
      <c r="F12" s="49">
        <f>AVERAGE('17.10 MASAKA-MBARARA'!F12,'18.10 MASAKA-MBARARA-24H'!F12,'19.10 MASAKA-MBARARA-24H'!F12,'20.10 MASAKA-MBARARA'!F12,'21.10 MASAKA-MBARARA'!F12,'22.10 MASAKA-MBARARA'!F12,'23.10 MASAKA-MBARARA'!F12)</f>
        <v>1.2857142857142858</v>
      </c>
      <c r="G12" s="49">
        <f>AVERAGE('17.10 MASAKA-MBARARA'!G12,'18.10 MASAKA-MBARARA-24H'!G12,'19.10 MASAKA-MBARARA-24H'!G12,'20.10 MASAKA-MBARARA'!G12,'21.10 MASAKA-MBARARA'!G12,'22.10 MASAKA-MBARARA'!G12,'23.10 MASAKA-MBARARA'!G12)</f>
        <v>0.14285714285714285</v>
      </c>
      <c r="H12" s="49">
        <f>AVERAGE('17.10 MASAKA-MBARARA'!H12,'18.10 MASAKA-MBARARA-24H'!H12,'19.10 MASAKA-MBARARA-24H'!H12,'20.10 MASAKA-MBARARA'!H12,'21.10 MASAKA-MBARARA'!H12,'22.10 MASAKA-MBARARA'!H12,'23.10 MASAKA-MBARARA'!H12)</f>
        <v>0</v>
      </c>
      <c r="I12" s="49">
        <f>AVERAGE('17.10 MASAKA-MBARARA'!I12,'18.10 MASAKA-MBARARA-24H'!I12,'19.10 MASAKA-MBARARA-24H'!I12,'20.10 MASAKA-MBARARA'!I12,'21.10 MASAKA-MBARARA'!I12,'22.10 MASAKA-MBARARA'!I12,'23.10 MASAKA-MBARARA'!I12)</f>
        <v>1.8571428571428572</v>
      </c>
      <c r="J12" s="49">
        <f>AVERAGE('17.10 MASAKA-MBARARA'!J12,'18.10 MASAKA-MBARARA-24H'!J12,'19.10 MASAKA-MBARARA-24H'!J12,'20.10 MASAKA-MBARARA'!J12,'21.10 MASAKA-MBARARA'!J12,'22.10 MASAKA-MBARARA'!J12,'23.10 MASAKA-MBARARA'!J12)</f>
        <v>0.7142857142857143</v>
      </c>
      <c r="K12" s="49">
        <f>AVERAGE('17.10 MASAKA-MBARARA'!K12,'18.10 MASAKA-MBARARA-24H'!K12,'19.10 MASAKA-MBARARA-24H'!K12,'20.10 MASAKA-MBARARA'!K12,'21.10 MASAKA-MBARARA'!K12,'22.10 MASAKA-MBARARA'!K12,'23.10 MASAKA-MBARARA'!K12)</f>
        <v>2.1428571428571428</v>
      </c>
      <c r="L12" s="49">
        <f>AVERAGE('17.10 MASAKA-MBARARA'!L12,'18.10 MASAKA-MBARARA-24H'!L12,'19.10 MASAKA-MBARARA-24H'!L12,'20.10 MASAKA-MBARARA'!L12,'21.10 MASAKA-MBARARA'!L12,'22.10 MASAKA-MBARARA'!L12,'23.10 MASAKA-MBARARA'!L12)</f>
        <v>1.1428571428571428</v>
      </c>
      <c r="M12" s="49">
        <f>AVERAGE('17.10 MASAKA-MBARARA'!M12,'18.10 MASAKA-MBARARA-24H'!M12,'19.10 MASAKA-MBARARA-24H'!M12,'20.10 MASAKA-MBARARA'!M12,'21.10 MASAKA-MBARARA'!M12,'22.10 MASAKA-MBARARA'!M12,'23.10 MASAKA-MBARARA'!M12)</f>
        <v>11.571428571428571</v>
      </c>
      <c r="N12" s="49">
        <f>AVERAGE('17.10 MASAKA-MBARARA'!N12,'18.10 MASAKA-MBARARA-24H'!N12,'19.10 MASAKA-MBARARA-24H'!N12,'20.10 MASAKA-MBARARA'!N12,'21.10 MASAKA-MBARARA'!N12,'22.10 MASAKA-MBARARA'!N12,'23.10 MASAKA-MBARARA'!N12)</f>
        <v>0</v>
      </c>
      <c r="O12" s="15">
        <f t="shared" si="0"/>
        <v>19.142857142857142</v>
      </c>
      <c r="P12" s="15">
        <f t="shared" si="1"/>
        <v>30.714285714285715</v>
      </c>
      <c r="R12" s="51" t="s">
        <v>8</v>
      </c>
      <c r="S12" s="53">
        <f t="shared" ref="S12:AF12" si="4">SUM(C18:C21)</f>
        <v>33.142857142857146</v>
      </c>
      <c r="T12" s="53">
        <f t="shared" si="4"/>
        <v>16.857142857142858</v>
      </c>
      <c r="U12" s="53">
        <f t="shared" si="4"/>
        <v>9.4285714285714288</v>
      </c>
      <c r="V12" s="53">
        <f t="shared" si="4"/>
        <v>15.714285714285712</v>
      </c>
      <c r="W12" s="53">
        <f t="shared" si="4"/>
        <v>1.4285714285714284</v>
      </c>
      <c r="X12" s="53">
        <f t="shared" si="4"/>
        <v>3.8571428571428572</v>
      </c>
      <c r="Y12" s="53">
        <f t="shared" si="4"/>
        <v>7.2857142857142865</v>
      </c>
      <c r="Z12" s="53">
        <f t="shared" si="4"/>
        <v>5.1428571428571432</v>
      </c>
      <c r="AA12" s="53">
        <f t="shared" si="4"/>
        <v>8.8571428571428577</v>
      </c>
      <c r="AB12" s="53">
        <f t="shared" si="4"/>
        <v>1.4285714285714284</v>
      </c>
      <c r="AC12" s="53">
        <f t="shared" si="4"/>
        <v>48.571428571428569</v>
      </c>
      <c r="AD12" s="53">
        <f t="shared" si="4"/>
        <v>0</v>
      </c>
      <c r="AE12" s="56">
        <f t="shared" si="4"/>
        <v>103.14285714285714</v>
      </c>
      <c r="AF12" s="56">
        <f t="shared" si="4"/>
        <v>151.71428571428569</v>
      </c>
    </row>
    <row r="13" spans="2:32" ht="23.1" customHeight="1" x14ac:dyDescent="0.25">
      <c r="B13" s="23" t="s">
        <v>40</v>
      </c>
      <c r="C13" s="49">
        <f>AVERAGE('17.10 MASAKA-MBARARA'!C13,'18.10 MASAKA-MBARARA-24H'!C13,'19.10 MASAKA-MBARARA-24H'!C13,'20.10 MASAKA-MBARARA'!C13,'21.10 MASAKA-MBARARA'!C13,'22.10 MASAKA-MBARARA'!C13,'23.10 MASAKA-MBARARA'!C13)</f>
        <v>5.7142857142857144</v>
      </c>
      <c r="D13" s="49">
        <f>AVERAGE('17.10 MASAKA-MBARARA'!D13,'18.10 MASAKA-MBARARA-24H'!D13,'19.10 MASAKA-MBARARA-24H'!D13,'20.10 MASAKA-MBARARA'!D13,'21.10 MASAKA-MBARARA'!D13,'22.10 MASAKA-MBARARA'!D13,'23.10 MASAKA-MBARARA'!D13)</f>
        <v>3.5714285714285716</v>
      </c>
      <c r="E13" s="49">
        <f>AVERAGE('17.10 MASAKA-MBARARA'!E13,'18.10 MASAKA-MBARARA-24H'!E13,'19.10 MASAKA-MBARARA-24H'!E13,'20.10 MASAKA-MBARARA'!E13,'21.10 MASAKA-MBARARA'!E13,'22.10 MASAKA-MBARARA'!E13,'23.10 MASAKA-MBARARA'!E13)</f>
        <v>2.7142857142857144</v>
      </c>
      <c r="F13" s="49">
        <f>AVERAGE('17.10 MASAKA-MBARARA'!F13,'18.10 MASAKA-MBARARA-24H'!F13,'19.10 MASAKA-MBARARA-24H'!F13,'20.10 MASAKA-MBARARA'!F13,'21.10 MASAKA-MBARARA'!F13,'22.10 MASAKA-MBARARA'!F13,'23.10 MASAKA-MBARARA'!F13)</f>
        <v>2.5714285714285716</v>
      </c>
      <c r="G13" s="49">
        <f>AVERAGE('17.10 MASAKA-MBARARA'!G13,'18.10 MASAKA-MBARARA-24H'!G13,'19.10 MASAKA-MBARARA-24H'!G13,'20.10 MASAKA-MBARARA'!G13,'21.10 MASAKA-MBARARA'!G13,'22.10 MASAKA-MBARARA'!G13,'23.10 MASAKA-MBARARA'!G13)</f>
        <v>0.2857142857142857</v>
      </c>
      <c r="H13" s="49">
        <f>AVERAGE('17.10 MASAKA-MBARARA'!H13,'18.10 MASAKA-MBARARA-24H'!H13,'19.10 MASAKA-MBARARA-24H'!H13,'20.10 MASAKA-MBARARA'!H13,'21.10 MASAKA-MBARARA'!H13,'22.10 MASAKA-MBARARA'!H13,'23.10 MASAKA-MBARARA'!H13)</f>
        <v>0</v>
      </c>
      <c r="I13" s="49">
        <f>AVERAGE('17.10 MASAKA-MBARARA'!I13,'18.10 MASAKA-MBARARA-24H'!I13,'19.10 MASAKA-MBARARA-24H'!I13,'20.10 MASAKA-MBARARA'!I13,'21.10 MASAKA-MBARARA'!I13,'22.10 MASAKA-MBARARA'!I13,'23.10 MASAKA-MBARARA'!I13)</f>
        <v>1.8571428571428572</v>
      </c>
      <c r="J13" s="49">
        <f>AVERAGE('17.10 MASAKA-MBARARA'!J13,'18.10 MASAKA-MBARARA-24H'!J13,'19.10 MASAKA-MBARARA-24H'!J13,'20.10 MASAKA-MBARARA'!J13,'21.10 MASAKA-MBARARA'!J13,'22.10 MASAKA-MBARARA'!J13,'23.10 MASAKA-MBARARA'!J13)</f>
        <v>0.42857142857142855</v>
      </c>
      <c r="K13" s="49">
        <f>AVERAGE('17.10 MASAKA-MBARARA'!K13,'18.10 MASAKA-MBARARA-24H'!K13,'19.10 MASAKA-MBARARA-24H'!K13,'20.10 MASAKA-MBARARA'!K13,'21.10 MASAKA-MBARARA'!K13,'22.10 MASAKA-MBARARA'!K13,'23.10 MASAKA-MBARARA'!K13)</f>
        <v>1.8571428571428572</v>
      </c>
      <c r="L13" s="49">
        <f>AVERAGE('17.10 MASAKA-MBARARA'!L13,'18.10 MASAKA-MBARARA-24H'!L13,'19.10 MASAKA-MBARARA-24H'!L13,'20.10 MASAKA-MBARARA'!L13,'21.10 MASAKA-MBARARA'!L13,'22.10 MASAKA-MBARARA'!L13,'23.10 MASAKA-MBARARA'!L13)</f>
        <v>0.14285714285714285</v>
      </c>
      <c r="M13" s="49">
        <f>AVERAGE('17.10 MASAKA-MBARARA'!M13,'18.10 MASAKA-MBARARA-24H'!M13,'19.10 MASAKA-MBARARA-24H'!M13,'20.10 MASAKA-MBARARA'!M13,'21.10 MASAKA-MBARARA'!M13,'22.10 MASAKA-MBARARA'!M13,'23.10 MASAKA-MBARARA'!M13)</f>
        <v>10.714285714285714</v>
      </c>
      <c r="N13" s="49">
        <f>AVERAGE('17.10 MASAKA-MBARARA'!N13,'18.10 MASAKA-MBARARA-24H'!N13,'19.10 MASAKA-MBARARA-24H'!N13,'20.10 MASAKA-MBARARA'!N13,'21.10 MASAKA-MBARARA'!N13,'22.10 MASAKA-MBARARA'!N13,'23.10 MASAKA-MBARARA'!N13)</f>
        <v>0</v>
      </c>
      <c r="O13" s="15">
        <f t="shared" si="0"/>
        <v>19.142857142857142</v>
      </c>
      <c r="P13" s="15">
        <f t="shared" si="1"/>
        <v>29.857142857142854</v>
      </c>
      <c r="R13" s="51" t="s">
        <v>9</v>
      </c>
      <c r="S13" s="53">
        <f t="shared" ref="S13:AF13" si="5">SUM(C22:C25)</f>
        <v>32.857142857142861</v>
      </c>
      <c r="T13" s="53">
        <f t="shared" si="5"/>
        <v>17.285714285714285</v>
      </c>
      <c r="U13" s="53">
        <f t="shared" si="5"/>
        <v>12.571428571428571</v>
      </c>
      <c r="V13" s="53">
        <f t="shared" si="5"/>
        <v>20.857142857142858</v>
      </c>
      <c r="W13" s="53">
        <f t="shared" si="5"/>
        <v>0.71428571428571419</v>
      </c>
      <c r="X13" s="53">
        <f t="shared" si="5"/>
        <v>4</v>
      </c>
      <c r="Y13" s="53">
        <f t="shared" si="5"/>
        <v>7.5714285714285703</v>
      </c>
      <c r="Z13" s="53">
        <f t="shared" si="5"/>
        <v>6.4285714285714279</v>
      </c>
      <c r="AA13" s="53">
        <f t="shared" si="5"/>
        <v>8.1428571428571423</v>
      </c>
      <c r="AB13" s="53">
        <f t="shared" si="5"/>
        <v>1.8571428571428572</v>
      </c>
      <c r="AC13" s="53">
        <f t="shared" si="5"/>
        <v>55.571428571428569</v>
      </c>
      <c r="AD13" s="53">
        <f t="shared" si="5"/>
        <v>0</v>
      </c>
      <c r="AE13" s="56">
        <f t="shared" si="5"/>
        <v>112.28571428571428</v>
      </c>
      <c r="AF13" s="56">
        <f t="shared" si="5"/>
        <v>167.85714285714286</v>
      </c>
    </row>
    <row r="14" spans="2:32" ht="23.1" customHeight="1" x14ac:dyDescent="0.25">
      <c r="B14" s="23" t="s">
        <v>41</v>
      </c>
      <c r="C14" s="49">
        <f>AVERAGE('17.10 MASAKA-MBARARA'!C14,'18.10 MASAKA-MBARARA-24H'!C14,'19.10 MASAKA-MBARARA-24H'!C14,'20.10 MASAKA-MBARARA'!C14,'21.10 MASAKA-MBARARA'!C14,'22.10 MASAKA-MBARARA'!C14,'23.10 MASAKA-MBARARA'!C14)</f>
        <v>8.2857142857142865</v>
      </c>
      <c r="D14" s="49">
        <f>AVERAGE('17.10 MASAKA-MBARARA'!D14,'18.10 MASAKA-MBARARA-24H'!D14,'19.10 MASAKA-MBARARA-24H'!D14,'20.10 MASAKA-MBARARA'!D14,'21.10 MASAKA-MBARARA'!D14,'22.10 MASAKA-MBARARA'!D14,'23.10 MASAKA-MBARARA'!D14)</f>
        <v>3.1428571428571428</v>
      </c>
      <c r="E14" s="49">
        <f>AVERAGE('17.10 MASAKA-MBARARA'!E14,'18.10 MASAKA-MBARARA-24H'!E14,'19.10 MASAKA-MBARARA-24H'!E14,'20.10 MASAKA-MBARARA'!E14,'21.10 MASAKA-MBARARA'!E14,'22.10 MASAKA-MBARARA'!E14,'23.10 MASAKA-MBARARA'!E14)</f>
        <v>1.8571428571428572</v>
      </c>
      <c r="F14" s="49">
        <f>AVERAGE('17.10 MASAKA-MBARARA'!F14,'18.10 MASAKA-MBARARA-24H'!F14,'19.10 MASAKA-MBARARA-24H'!F14,'20.10 MASAKA-MBARARA'!F14,'21.10 MASAKA-MBARARA'!F14,'22.10 MASAKA-MBARARA'!F14,'23.10 MASAKA-MBARARA'!F14)</f>
        <v>3.5714285714285716</v>
      </c>
      <c r="G14" s="49">
        <f>AVERAGE('17.10 MASAKA-MBARARA'!G14,'18.10 MASAKA-MBARARA-24H'!G14,'19.10 MASAKA-MBARARA-24H'!G14,'20.10 MASAKA-MBARARA'!G14,'21.10 MASAKA-MBARARA'!G14,'22.10 MASAKA-MBARARA'!G14,'23.10 MASAKA-MBARARA'!G14)</f>
        <v>0</v>
      </c>
      <c r="H14" s="49">
        <f>AVERAGE('17.10 MASAKA-MBARARA'!H14,'18.10 MASAKA-MBARARA-24H'!H14,'19.10 MASAKA-MBARARA-24H'!H14,'20.10 MASAKA-MBARARA'!H14,'21.10 MASAKA-MBARARA'!H14,'22.10 MASAKA-MBARARA'!H14,'23.10 MASAKA-MBARARA'!H14)</f>
        <v>0.42857142857142855</v>
      </c>
      <c r="I14" s="49">
        <f>AVERAGE('17.10 MASAKA-MBARARA'!I14,'18.10 MASAKA-MBARARA-24H'!I14,'19.10 MASAKA-MBARARA-24H'!I14,'20.10 MASAKA-MBARARA'!I14,'21.10 MASAKA-MBARARA'!I14,'22.10 MASAKA-MBARARA'!I14,'23.10 MASAKA-MBARARA'!I14)</f>
        <v>1.7142857142857142</v>
      </c>
      <c r="J14" s="49">
        <f>AVERAGE('17.10 MASAKA-MBARARA'!J14,'18.10 MASAKA-MBARARA-24H'!J14,'19.10 MASAKA-MBARARA-24H'!J14,'20.10 MASAKA-MBARARA'!J14,'21.10 MASAKA-MBARARA'!J14,'22.10 MASAKA-MBARARA'!J14,'23.10 MASAKA-MBARARA'!J14)</f>
        <v>1.1428571428571428</v>
      </c>
      <c r="K14" s="49">
        <f>AVERAGE('17.10 MASAKA-MBARARA'!K14,'18.10 MASAKA-MBARARA-24H'!K14,'19.10 MASAKA-MBARARA-24H'!K14,'20.10 MASAKA-MBARARA'!K14,'21.10 MASAKA-MBARARA'!K14,'22.10 MASAKA-MBARARA'!K14,'23.10 MASAKA-MBARARA'!K14)</f>
        <v>2.1428571428571428</v>
      </c>
      <c r="L14" s="49">
        <f>AVERAGE('17.10 MASAKA-MBARARA'!L14,'18.10 MASAKA-MBARARA-24H'!L14,'19.10 MASAKA-MBARARA-24H'!L14,'20.10 MASAKA-MBARARA'!L14,'21.10 MASAKA-MBARARA'!L14,'22.10 MASAKA-MBARARA'!L14,'23.10 MASAKA-MBARARA'!L14)</f>
        <v>0.14285714285714285</v>
      </c>
      <c r="M14" s="49">
        <f>AVERAGE('17.10 MASAKA-MBARARA'!M14,'18.10 MASAKA-MBARARA-24H'!M14,'19.10 MASAKA-MBARARA-24H'!M14,'20.10 MASAKA-MBARARA'!M14,'21.10 MASAKA-MBARARA'!M14,'22.10 MASAKA-MBARARA'!M14,'23.10 MASAKA-MBARARA'!M14)</f>
        <v>10.714285714285714</v>
      </c>
      <c r="N14" s="49">
        <f>AVERAGE('17.10 MASAKA-MBARARA'!N14,'18.10 MASAKA-MBARARA-24H'!N14,'19.10 MASAKA-MBARARA-24H'!N14,'20.10 MASAKA-MBARARA'!N14,'21.10 MASAKA-MBARARA'!N14,'22.10 MASAKA-MBARARA'!N14,'23.10 MASAKA-MBARARA'!N14)</f>
        <v>0</v>
      </c>
      <c r="O14" s="15">
        <f t="shared" si="0"/>
        <v>22.428571428571427</v>
      </c>
      <c r="P14" s="15">
        <f t="shared" si="1"/>
        <v>33.142857142857139</v>
      </c>
      <c r="R14" s="51" t="s">
        <v>10</v>
      </c>
      <c r="S14" s="53">
        <f t="shared" ref="S14:AF14" si="6">SUM(C26:C29)</f>
        <v>36</v>
      </c>
      <c r="T14" s="53">
        <f t="shared" si="6"/>
        <v>12.857142857142858</v>
      </c>
      <c r="U14" s="53">
        <f t="shared" si="6"/>
        <v>11.285714285714286</v>
      </c>
      <c r="V14" s="53">
        <f t="shared" si="6"/>
        <v>18.714285714285715</v>
      </c>
      <c r="W14" s="53">
        <f t="shared" si="6"/>
        <v>1.4285714285714284</v>
      </c>
      <c r="X14" s="53">
        <f t="shared" si="6"/>
        <v>4.4285714285714288</v>
      </c>
      <c r="Y14" s="53">
        <f t="shared" si="6"/>
        <v>3</v>
      </c>
      <c r="Z14" s="53">
        <f t="shared" si="6"/>
        <v>4.2857142857142856</v>
      </c>
      <c r="AA14" s="53">
        <f t="shared" si="6"/>
        <v>6.7142857142857144</v>
      </c>
      <c r="AB14" s="53">
        <f t="shared" si="6"/>
        <v>1.2857142857142856</v>
      </c>
      <c r="AC14" s="53">
        <f t="shared" si="6"/>
        <v>45.000000000000007</v>
      </c>
      <c r="AD14" s="53">
        <f t="shared" si="6"/>
        <v>0</v>
      </c>
      <c r="AE14" s="56">
        <f t="shared" si="6"/>
        <v>100</v>
      </c>
      <c r="AF14" s="56">
        <f t="shared" si="6"/>
        <v>145</v>
      </c>
    </row>
    <row r="15" spans="2:32" ht="23.1" customHeight="1" x14ac:dyDescent="0.25">
      <c r="B15" s="23" t="s">
        <v>42</v>
      </c>
      <c r="C15" s="49">
        <f>AVERAGE('17.10 MASAKA-MBARARA'!C15,'18.10 MASAKA-MBARARA-24H'!C15,'19.10 MASAKA-MBARARA-24H'!C15,'20.10 MASAKA-MBARARA'!C15,'21.10 MASAKA-MBARARA'!C15,'22.10 MASAKA-MBARARA'!C15,'23.10 MASAKA-MBARARA'!C15)</f>
        <v>7.4285714285714288</v>
      </c>
      <c r="D15" s="49">
        <f>AVERAGE('17.10 MASAKA-MBARARA'!D15,'18.10 MASAKA-MBARARA-24H'!D15,'19.10 MASAKA-MBARARA-24H'!D15,'20.10 MASAKA-MBARARA'!D15,'21.10 MASAKA-MBARARA'!D15,'22.10 MASAKA-MBARARA'!D15,'23.10 MASAKA-MBARARA'!D15)</f>
        <v>4.8571428571428568</v>
      </c>
      <c r="E15" s="49">
        <f>AVERAGE('17.10 MASAKA-MBARARA'!E15,'18.10 MASAKA-MBARARA-24H'!E15,'19.10 MASAKA-MBARARA-24H'!E15,'20.10 MASAKA-MBARARA'!E15,'21.10 MASAKA-MBARARA'!E15,'22.10 MASAKA-MBARARA'!E15,'23.10 MASAKA-MBARARA'!E15)</f>
        <v>2.7142857142857144</v>
      </c>
      <c r="F15" s="49">
        <f>AVERAGE('17.10 MASAKA-MBARARA'!F15,'18.10 MASAKA-MBARARA-24H'!F15,'19.10 MASAKA-MBARARA-24H'!F15,'20.10 MASAKA-MBARARA'!F15,'21.10 MASAKA-MBARARA'!F15,'22.10 MASAKA-MBARARA'!F15,'23.10 MASAKA-MBARARA'!F15)</f>
        <v>3.1428571428571428</v>
      </c>
      <c r="G15" s="49">
        <f>AVERAGE('17.10 MASAKA-MBARARA'!G15,'18.10 MASAKA-MBARARA-24H'!G15,'19.10 MASAKA-MBARARA-24H'!G15,'20.10 MASAKA-MBARARA'!G15,'21.10 MASAKA-MBARARA'!G15,'22.10 MASAKA-MBARARA'!G15,'23.10 MASAKA-MBARARA'!G15)</f>
        <v>0</v>
      </c>
      <c r="H15" s="49">
        <f>AVERAGE('17.10 MASAKA-MBARARA'!H15,'18.10 MASAKA-MBARARA-24H'!H15,'19.10 MASAKA-MBARARA-24H'!H15,'20.10 MASAKA-MBARARA'!H15,'21.10 MASAKA-MBARARA'!H15,'22.10 MASAKA-MBARARA'!H15,'23.10 MASAKA-MBARARA'!H15)</f>
        <v>0.5714285714285714</v>
      </c>
      <c r="I15" s="49">
        <f>AVERAGE('17.10 MASAKA-MBARARA'!I15,'18.10 MASAKA-MBARARA-24H'!I15,'19.10 MASAKA-MBARARA-24H'!I15,'20.10 MASAKA-MBARARA'!I15,'21.10 MASAKA-MBARARA'!I15,'22.10 MASAKA-MBARARA'!I15,'23.10 MASAKA-MBARARA'!I15)</f>
        <v>1.4285714285714286</v>
      </c>
      <c r="J15" s="49">
        <f>AVERAGE('17.10 MASAKA-MBARARA'!J15,'18.10 MASAKA-MBARARA-24H'!J15,'19.10 MASAKA-MBARARA-24H'!J15,'20.10 MASAKA-MBARARA'!J15,'21.10 MASAKA-MBARARA'!J15,'22.10 MASAKA-MBARARA'!J15,'23.10 MASAKA-MBARARA'!J15)</f>
        <v>0.8571428571428571</v>
      </c>
      <c r="K15" s="49">
        <f>AVERAGE('17.10 MASAKA-MBARARA'!K15,'18.10 MASAKA-MBARARA-24H'!K15,'19.10 MASAKA-MBARARA-24H'!K15,'20.10 MASAKA-MBARARA'!K15,'21.10 MASAKA-MBARARA'!K15,'22.10 MASAKA-MBARARA'!K15,'23.10 MASAKA-MBARARA'!K15)</f>
        <v>1.7142857142857142</v>
      </c>
      <c r="L15" s="49">
        <f>AVERAGE('17.10 MASAKA-MBARARA'!L15,'18.10 MASAKA-MBARARA-24H'!L15,'19.10 MASAKA-MBARARA-24H'!L15,'20.10 MASAKA-MBARARA'!L15,'21.10 MASAKA-MBARARA'!L15,'22.10 MASAKA-MBARARA'!L15,'23.10 MASAKA-MBARARA'!L15)</f>
        <v>0.14285714285714285</v>
      </c>
      <c r="M15" s="49">
        <f>AVERAGE('17.10 MASAKA-MBARARA'!M15,'18.10 MASAKA-MBARARA-24H'!M15,'19.10 MASAKA-MBARARA-24H'!M15,'20.10 MASAKA-MBARARA'!M15,'21.10 MASAKA-MBARARA'!M15,'22.10 MASAKA-MBARARA'!M15,'23.10 MASAKA-MBARARA'!M15)</f>
        <v>13</v>
      </c>
      <c r="N15" s="49">
        <f>AVERAGE('17.10 MASAKA-MBARARA'!N15,'18.10 MASAKA-MBARARA-24H'!N15,'19.10 MASAKA-MBARARA-24H'!N15,'20.10 MASAKA-MBARARA'!N15,'21.10 MASAKA-MBARARA'!N15,'22.10 MASAKA-MBARARA'!N15,'23.10 MASAKA-MBARARA'!N15)</f>
        <v>0</v>
      </c>
      <c r="O15" s="15">
        <f t="shared" si="0"/>
        <v>22.857142857142858</v>
      </c>
      <c r="P15" s="15">
        <f t="shared" si="1"/>
        <v>35.857142857142861</v>
      </c>
      <c r="R15" s="51" t="s">
        <v>11</v>
      </c>
      <c r="S15" s="53">
        <f t="shared" ref="S15:AF15" si="7">SUM(C30:C33)</f>
        <v>31.857142857142858</v>
      </c>
      <c r="T15" s="53">
        <f t="shared" si="7"/>
        <v>13.714285714285715</v>
      </c>
      <c r="U15" s="53">
        <f t="shared" si="7"/>
        <v>9.5714285714285712</v>
      </c>
      <c r="V15" s="53">
        <f t="shared" si="7"/>
        <v>20.857142857142854</v>
      </c>
      <c r="W15" s="53">
        <f t="shared" si="7"/>
        <v>0.71428571428571419</v>
      </c>
      <c r="X15" s="53">
        <f t="shared" si="7"/>
        <v>5.8571428571428568</v>
      </c>
      <c r="Y15" s="53">
        <f t="shared" si="7"/>
        <v>7</v>
      </c>
      <c r="Z15" s="53">
        <f t="shared" si="7"/>
        <v>4.1428571428571432</v>
      </c>
      <c r="AA15" s="53">
        <f t="shared" si="7"/>
        <v>4.7142857142857144</v>
      </c>
      <c r="AB15" s="53">
        <f t="shared" si="7"/>
        <v>2.4285714285714284</v>
      </c>
      <c r="AC15" s="53">
        <f t="shared" si="7"/>
        <v>61</v>
      </c>
      <c r="AD15" s="53">
        <f t="shared" si="7"/>
        <v>0</v>
      </c>
      <c r="AE15" s="56">
        <f t="shared" si="7"/>
        <v>100.85714285714286</v>
      </c>
      <c r="AF15" s="56">
        <f t="shared" si="7"/>
        <v>161.85714285714286</v>
      </c>
    </row>
    <row r="16" spans="2:32" ht="23.1" customHeight="1" x14ac:dyDescent="0.25">
      <c r="B16" s="23" t="s">
        <v>43</v>
      </c>
      <c r="C16" s="49">
        <f>AVERAGE('17.10 MASAKA-MBARARA'!C16,'18.10 MASAKA-MBARARA-24H'!C16,'19.10 MASAKA-MBARARA-24H'!C16,'20.10 MASAKA-MBARARA'!C16,'21.10 MASAKA-MBARARA'!C16,'22.10 MASAKA-MBARARA'!C16,'23.10 MASAKA-MBARARA'!C16)</f>
        <v>7.7142857142857144</v>
      </c>
      <c r="D16" s="49">
        <f>AVERAGE('17.10 MASAKA-MBARARA'!D16,'18.10 MASAKA-MBARARA-24H'!D16,'19.10 MASAKA-MBARARA-24H'!D16,'20.10 MASAKA-MBARARA'!D16,'21.10 MASAKA-MBARARA'!D16,'22.10 MASAKA-MBARARA'!D16,'23.10 MASAKA-MBARARA'!D16)</f>
        <v>3</v>
      </c>
      <c r="E16" s="49">
        <f>AVERAGE('17.10 MASAKA-MBARARA'!E16,'18.10 MASAKA-MBARARA-24H'!E16,'19.10 MASAKA-MBARARA-24H'!E16,'20.10 MASAKA-MBARARA'!E16,'21.10 MASAKA-MBARARA'!E16,'22.10 MASAKA-MBARARA'!E16,'23.10 MASAKA-MBARARA'!E16)</f>
        <v>2.5714285714285716</v>
      </c>
      <c r="F16" s="49">
        <f>AVERAGE('17.10 MASAKA-MBARARA'!F16,'18.10 MASAKA-MBARARA-24H'!F16,'19.10 MASAKA-MBARARA-24H'!F16,'20.10 MASAKA-MBARARA'!F16,'21.10 MASAKA-MBARARA'!F16,'22.10 MASAKA-MBARARA'!F16,'23.10 MASAKA-MBARARA'!F16)</f>
        <v>4.5714285714285712</v>
      </c>
      <c r="G16" s="49">
        <f>AVERAGE('17.10 MASAKA-MBARARA'!G16,'18.10 MASAKA-MBARARA-24H'!G16,'19.10 MASAKA-MBARARA-24H'!G16,'20.10 MASAKA-MBARARA'!G16,'21.10 MASAKA-MBARARA'!G16,'22.10 MASAKA-MBARARA'!G16,'23.10 MASAKA-MBARARA'!G16)</f>
        <v>0</v>
      </c>
      <c r="H16" s="49">
        <f>AVERAGE('17.10 MASAKA-MBARARA'!H16,'18.10 MASAKA-MBARARA-24H'!H16,'19.10 MASAKA-MBARARA-24H'!H16,'20.10 MASAKA-MBARARA'!H16,'21.10 MASAKA-MBARARA'!H16,'22.10 MASAKA-MBARARA'!H16,'23.10 MASAKA-MBARARA'!H16)</f>
        <v>0.8571428571428571</v>
      </c>
      <c r="I16" s="49">
        <f>AVERAGE('17.10 MASAKA-MBARARA'!I16,'18.10 MASAKA-MBARARA-24H'!I16,'19.10 MASAKA-MBARARA-24H'!I16,'20.10 MASAKA-MBARARA'!I16,'21.10 MASAKA-MBARARA'!I16,'22.10 MASAKA-MBARARA'!I16,'23.10 MASAKA-MBARARA'!I16)</f>
        <v>1.8571428571428572</v>
      </c>
      <c r="J16" s="49">
        <f>AVERAGE('17.10 MASAKA-MBARARA'!J16,'18.10 MASAKA-MBARARA-24H'!J16,'19.10 MASAKA-MBARARA-24H'!J16,'20.10 MASAKA-MBARARA'!J16,'21.10 MASAKA-MBARARA'!J16,'22.10 MASAKA-MBARARA'!J16,'23.10 MASAKA-MBARARA'!J16)</f>
        <v>2.4285714285714284</v>
      </c>
      <c r="K16" s="49">
        <f>AVERAGE('17.10 MASAKA-MBARARA'!K16,'18.10 MASAKA-MBARARA-24H'!K16,'19.10 MASAKA-MBARARA-24H'!K16,'20.10 MASAKA-MBARARA'!K16,'21.10 MASAKA-MBARARA'!K16,'22.10 MASAKA-MBARARA'!K16,'23.10 MASAKA-MBARARA'!K16)</f>
        <v>1.4285714285714286</v>
      </c>
      <c r="L16" s="49">
        <f>AVERAGE('17.10 MASAKA-MBARARA'!L16,'18.10 MASAKA-MBARARA-24H'!L16,'19.10 MASAKA-MBARARA-24H'!L16,'20.10 MASAKA-MBARARA'!L16,'21.10 MASAKA-MBARARA'!L16,'22.10 MASAKA-MBARARA'!L16,'23.10 MASAKA-MBARARA'!L16)</f>
        <v>0.14285714285714285</v>
      </c>
      <c r="M16" s="49">
        <f>AVERAGE('17.10 MASAKA-MBARARA'!M16,'18.10 MASAKA-MBARARA-24H'!M16,'19.10 MASAKA-MBARARA-24H'!M16,'20.10 MASAKA-MBARARA'!M16,'21.10 MASAKA-MBARARA'!M16,'22.10 MASAKA-MBARARA'!M16,'23.10 MASAKA-MBARARA'!M16)</f>
        <v>10</v>
      </c>
      <c r="N16" s="49">
        <f>AVERAGE('17.10 MASAKA-MBARARA'!N16,'18.10 MASAKA-MBARARA-24H'!N16,'19.10 MASAKA-MBARARA-24H'!N16,'20.10 MASAKA-MBARARA'!N16,'21.10 MASAKA-MBARARA'!N16,'22.10 MASAKA-MBARARA'!N16,'23.10 MASAKA-MBARARA'!N16)</f>
        <v>0</v>
      </c>
      <c r="O16" s="15">
        <f t="shared" si="0"/>
        <v>24.571428571428569</v>
      </c>
      <c r="P16" s="15">
        <f t="shared" si="1"/>
        <v>34.571428571428569</v>
      </c>
      <c r="R16" s="51" t="s">
        <v>12</v>
      </c>
      <c r="S16" s="53">
        <f t="shared" ref="S16:AF16" si="8">SUM(C34:C37)</f>
        <v>32.142857142857139</v>
      </c>
      <c r="T16" s="53">
        <f t="shared" si="8"/>
        <v>10.428571428571427</v>
      </c>
      <c r="U16" s="53">
        <f t="shared" si="8"/>
        <v>7.4285714285714288</v>
      </c>
      <c r="V16" s="53">
        <f t="shared" si="8"/>
        <v>18.428571428571427</v>
      </c>
      <c r="W16" s="53">
        <f t="shared" si="8"/>
        <v>1.1428571428571428</v>
      </c>
      <c r="X16" s="53">
        <f t="shared" si="8"/>
        <v>4.5714285714285712</v>
      </c>
      <c r="Y16" s="53">
        <f t="shared" si="8"/>
        <v>7.4285714285714288</v>
      </c>
      <c r="Z16" s="53">
        <f t="shared" si="8"/>
        <v>4.8571428571428568</v>
      </c>
      <c r="AA16" s="53">
        <f t="shared" si="8"/>
        <v>5.4285714285714288</v>
      </c>
      <c r="AB16" s="53">
        <f t="shared" si="8"/>
        <v>1.4285714285714284</v>
      </c>
      <c r="AC16" s="53">
        <f t="shared" si="8"/>
        <v>54.285714285714285</v>
      </c>
      <c r="AD16" s="53">
        <f t="shared" si="8"/>
        <v>0</v>
      </c>
      <c r="AE16" s="56">
        <f t="shared" si="8"/>
        <v>93.285714285714292</v>
      </c>
      <c r="AF16" s="56">
        <f t="shared" si="8"/>
        <v>147.57142857142858</v>
      </c>
    </row>
    <row r="17" spans="2:32" ht="23.1" customHeight="1" x14ac:dyDescent="0.25">
      <c r="B17" s="23" t="s">
        <v>44</v>
      </c>
      <c r="C17" s="49">
        <f>AVERAGE('17.10 MASAKA-MBARARA'!C17,'18.10 MASAKA-MBARARA-24H'!C17,'19.10 MASAKA-MBARARA-24H'!C17,'20.10 MASAKA-MBARARA'!C17,'21.10 MASAKA-MBARARA'!C17,'22.10 MASAKA-MBARARA'!C17,'23.10 MASAKA-MBARARA'!C17)</f>
        <v>7.5714285714285712</v>
      </c>
      <c r="D17" s="49">
        <f>AVERAGE('17.10 MASAKA-MBARARA'!D17,'18.10 MASAKA-MBARARA-24H'!D17,'19.10 MASAKA-MBARARA-24H'!D17,'20.10 MASAKA-MBARARA'!D17,'21.10 MASAKA-MBARARA'!D17,'22.10 MASAKA-MBARARA'!D17,'23.10 MASAKA-MBARARA'!D17)</f>
        <v>5.4285714285714288</v>
      </c>
      <c r="E17" s="49">
        <f>AVERAGE('17.10 MASAKA-MBARARA'!E17,'18.10 MASAKA-MBARARA-24H'!E17,'19.10 MASAKA-MBARARA-24H'!E17,'20.10 MASAKA-MBARARA'!E17,'21.10 MASAKA-MBARARA'!E17,'22.10 MASAKA-MBARARA'!E17,'23.10 MASAKA-MBARARA'!E17)</f>
        <v>2</v>
      </c>
      <c r="F17" s="49">
        <f>AVERAGE('17.10 MASAKA-MBARARA'!F17,'18.10 MASAKA-MBARARA-24H'!F17,'19.10 MASAKA-MBARARA-24H'!F17,'20.10 MASAKA-MBARARA'!F17,'21.10 MASAKA-MBARARA'!F17,'22.10 MASAKA-MBARARA'!F17,'23.10 MASAKA-MBARARA'!F17)</f>
        <v>4</v>
      </c>
      <c r="G17" s="49">
        <f>AVERAGE('17.10 MASAKA-MBARARA'!G17,'18.10 MASAKA-MBARARA-24H'!G17,'19.10 MASAKA-MBARARA-24H'!G17,'20.10 MASAKA-MBARARA'!G17,'21.10 MASAKA-MBARARA'!G17,'22.10 MASAKA-MBARARA'!G17,'23.10 MASAKA-MBARARA'!G17)</f>
        <v>0.14285714285714285</v>
      </c>
      <c r="H17" s="49">
        <f>AVERAGE('17.10 MASAKA-MBARARA'!H17,'18.10 MASAKA-MBARARA-24H'!H17,'19.10 MASAKA-MBARARA-24H'!H17,'20.10 MASAKA-MBARARA'!H17,'21.10 MASAKA-MBARARA'!H17,'22.10 MASAKA-MBARARA'!H17,'23.10 MASAKA-MBARARA'!H17)</f>
        <v>0.14285714285714285</v>
      </c>
      <c r="I17" s="49">
        <f>AVERAGE('17.10 MASAKA-MBARARA'!I17,'18.10 MASAKA-MBARARA-24H'!I17,'19.10 MASAKA-MBARARA-24H'!I17,'20.10 MASAKA-MBARARA'!I17,'21.10 MASAKA-MBARARA'!I17,'22.10 MASAKA-MBARARA'!I17,'23.10 MASAKA-MBARARA'!I17)</f>
        <v>1.5714285714285714</v>
      </c>
      <c r="J17" s="49">
        <f>AVERAGE('17.10 MASAKA-MBARARA'!J17,'18.10 MASAKA-MBARARA-24H'!J17,'19.10 MASAKA-MBARARA-24H'!J17,'20.10 MASAKA-MBARARA'!J17,'21.10 MASAKA-MBARARA'!J17,'22.10 MASAKA-MBARARA'!J17,'23.10 MASAKA-MBARARA'!J17)</f>
        <v>0.7142857142857143</v>
      </c>
      <c r="K17" s="49">
        <f>AVERAGE('17.10 MASAKA-MBARARA'!K17,'18.10 MASAKA-MBARARA-24H'!K17,'19.10 MASAKA-MBARARA-24H'!K17,'20.10 MASAKA-MBARARA'!K17,'21.10 MASAKA-MBARARA'!K17,'22.10 MASAKA-MBARARA'!K17,'23.10 MASAKA-MBARARA'!K17)</f>
        <v>1.1428571428571428</v>
      </c>
      <c r="L17" s="49">
        <f>AVERAGE('17.10 MASAKA-MBARARA'!L17,'18.10 MASAKA-MBARARA-24H'!L17,'19.10 MASAKA-MBARARA-24H'!L17,'20.10 MASAKA-MBARARA'!L17,'21.10 MASAKA-MBARARA'!L17,'22.10 MASAKA-MBARARA'!L17,'23.10 MASAKA-MBARARA'!L17)</f>
        <v>0</v>
      </c>
      <c r="M17" s="49">
        <f>AVERAGE('17.10 MASAKA-MBARARA'!M17,'18.10 MASAKA-MBARARA-24H'!M17,'19.10 MASAKA-MBARARA-24H'!M17,'20.10 MASAKA-MBARARA'!M17,'21.10 MASAKA-MBARARA'!M17,'22.10 MASAKA-MBARARA'!M17,'23.10 MASAKA-MBARARA'!M17)</f>
        <v>12.571428571428571</v>
      </c>
      <c r="N17" s="49">
        <f>AVERAGE('17.10 MASAKA-MBARARA'!N17,'18.10 MASAKA-MBARARA-24H'!N17,'19.10 MASAKA-MBARARA-24H'!N17,'20.10 MASAKA-MBARARA'!N17,'21.10 MASAKA-MBARARA'!N17,'22.10 MASAKA-MBARARA'!N17,'23.10 MASAKA-MBARARA'!N17)</f>
        <v>0</v>
      </c>
      <c r="O17" s="15">
        <f t="shared" si="0"/>
        <v>22.714285714285715</v>
      </c>
      <c r="P17" s="15">
        <f t="shared" si="1"/>
        <v>35.285714285714285</v>
      </c>
      <c r="R17" s="51" t="s">
        <v>13</v>
      </c>
      <c r="S17" s="53">
        <f t="shared" ref="S17:AF17" si="9">SUM(C38:C41)</f>
        <v>30</v>
      </c>
      <c r="T17" s="53">
        <f t="shared" si="9"/>
        <v>13</v>
      </c>
      <c r="U17" s="53">
        <f t="shared" si="9"/>
        <v>6.4285714285714288</v>
      </c>
      <c r="V17" s="53">
        <f t="shared" si="9"/>
        <v>15.857142857142856</v>
      </c>
      <c r="W17" s="53">
        <f t="shared" si="9"/>
        <v>0.8571428571428571</v>
      </c>
      <c r="X17" s="53">
        <f t="shared" si="9"/>
        <v>5.8571428571428568</v>
      </c>
      <c r="Y17" s="53">
        <f t="shared" si="9"/>
        <v>5.2857142857142865</v>
      </c>
      <c r="Z17" s="53">
        <f t="shared" si="9"/>
        <v>6.7142857142857144</v>
      </c>
      <c r="AA17" s="53">
        <f t="shared" si="9"/>
        <v>6.1428571428571423</v>
      </c>
      <c r="AB17" s="53">
        <f t="shared" si="9"/>
        <v>1.7142857142857142</v>
      </c>
      <c r="AC17" s="53">
        <f t="shared" si="9"/>
        <v>52.571428571428577</v>
      </c>
      <c r="AD17" s="53">
        <f t="shared" si="9"/>
        <v>0</v>
      </c>
      <c r="AE17" s="56">
        <f t="shared" si="9"/>
        <v>91.857142857142833</v>
      </c>
      <c r="AF17" s="56">
        <f t="shared" si="9"/>
        <v>144.42857142857142</v>
      </c>
    </row>
    <row r="18" spans="2:32" ht="23.1" customHeight="1" x14ac:dyDescent="0.25">
      <c r="B18" s="23" t="s">
        <v>45</v>
      </c>
      <c r="C18" s="49">
        <f>AVERAGE('17.10 MASAKA-MBARARA'!C18,'18.10 MASAKA-MBARARA-24H'!C18,'19.10 MASAKA-MBARARA-24H'!C18,'20.10 MASAKA-MBARARA'!C18,'21.10 MASAKA-MBARARA'!C18,'22.10 MASAKA-MBARARA'!C18,'23.10 MASAKA-MBARARA'!C18)</f>
        <v>8</v>
      </c>
      <c r="D18" s="49">
        <f>AVERAGE('17.10 MASAKA-MBARARA'!D18,'18.10 MASAKA-MBARARA-24H'!D18,'19.10 MASAKA-MBARARA-24H'!D18,'20.10 MASAKA-MBARARA'!D18,'21.10 MASAKA-MBARARA'!D18,'22.10 MASAKA-MBARARA'!D18,'23.10 MASAKA-MBARARA'!D18)</f>
        <v>3.1428571428571428</v>
      </c>
      <c r="E18" s="49">
        <f>AVERAGE('17.10 MASAKA-MBARARA'!E18,'18.10 MASAKA-MBARARA-24H'!E18,'19.10 MASAKA-MBARARA-24H'!E18,'20.10 MASAKA-MBARARA'!E18,'21.10 MASAKA-MBARARA'!E18,'22.10 MASAKA-MBARARA'!E18,'23.10 MASAKA-MBARARA'!E18)</f>
        <v>1</v>
      </c>
      <c r="F18" s="49">
        <f>AVERAGE('17.10 MASAKA-MBARARA'!F18,'18.10 MASAKA-MBARARA-24H'!F18,'19.10 MASAKA-MBARARA-24H'!F18,'20.10 MASAKA-MBARARA'!F18,'21.10 MASAKA-MBARARA'!F18,'22.10 MASAKA-MBARARA'!F18,'23.10 MASAKA-MBARARA'!F18)</f>
        <v>3.2857142857142856</v>
      </c>
      <c r="G18" s="49">
        <f>AVERAGE('17.10 MASAKA-MBARARA'!G18,'18.10 MASAKA-MBARARA-24H'!G18,'19.10 MASAKA-MBARARA-24H'!G18,'20.10 MASAKA-MBARARA'!G18,'21.10 MASAKA-MBARARA'!G18,'22.10 MASAKA-MBARARA'!G18,'23.10 MASAKA-MBARARA'!G18)</f>
        <v>0.2857142857142857</v>
      </c>
      <c r="H18" s="49">
        <f>AVERAGE('17.10 MASAKA-MBARARA'!H18,'18.10 MASAKA-MBARARA-24H'!H18,'19.10 MASAKA-MBARARA-24H'!H18,'20.10 MASAKA-MBARARA'!H18,'21.10 MASAKA-MBARARA'!H18,'22.10 MASAKA-MBARARA'!H18,'23.10 MASAKA-MBARARA'!H18)</f>
        <v>1.1428571428571428</v>
      </c>
      <c r="I18" s="49">
        <f>AVERAGE('17.10 MASAKA-MBARARA'!I18,'18.10 MASAKA-MBARARA-24H'!I18,'19.10 MASAKA-MBARARA-24H'!I18,'20.10 MASAKA-MBARARA'!I18,'21.10 MASAKA-MBARARA'!I18,'22.10 MASAKA-MBARARA'!I18,'23.10 MASAKA-MBARARA'!I18)</f>
        <v>1.5714285714285714</v>
      </c>
      <c r="J18" s="49">
        <f>AVERAGE('17.10 MASAKA-MBARARA'!J18,'18.10 MASAKA-MBARARA-24H'!J18,'19.10 MASAKA-MBARARA-24H'!J18,'20.10 MASAKA-MBARARA'!J18,'21.10 MASAKA-MBARARA'!J18,'22.10 MASAKA-MBARARA'!J18,'23.10 MASAKA-MBARARA'!J18)</f>
        <v>1.5714285714285714</v>
      </c>
      <c r="K18" s="49">
        <f>AVERAGE('17.10 MASAKA-MBARARA'!K18,'18.10 MASAKA-MBARARA-24H'!K18,'19.10 MASAKA-MBARARA-24H'!K18,'20.10 MASAKA-MBARARA'!K18,'21.10 MASAKA-MBARARA'!K18,'22.10 MASAKA-MBARARA'!K18,'23.10 MASAKA-MBARARA'!K18)</f>
        <v>1.4285714285714286</v>
      </c>
      <c r="L18" s="49">
        <f>AVERAGE('17.10 MASAKA-MBARARA'!L18,'18.10 MASAKA-MBARARA-24H'!L18,'19.10 MASAKA-MBARARA-24H'!L18,'20.10 MASAKA-MBARARA'!L18,'21.10 MASAKA-MBARARA'!L18,'22.10 MASAKA-MBARARA'!L18,'23.10 MASAKA-MBARARA'!L18)</f>
        <v>0.2857142857142857</v>
      </c>
      <c r="M18" s="49">
        <f>AVERAGE('17.10 MASAKA-MBARARA'!M18,'18.10 MASAKA-MBARARA-24H'!M18,'19.10 MASAKA-MBARARA-24H'!M18,'20.10 MASAKA-MBARARA'!M18,'21.10 MASAKA-MBARARA'!M18,'22.10 MASAKA-MBARARA'!M18,'23.10 MASAKA-MBARARA'!M18)</f>
        <v>11.714285714285714</v>
      </c>
      <c r="N18" s="49">
        <f>AVERAGE('17.10 MASAKA-MBARARA'!N18,'18.10 MASAKA-MBARARA-24H'!N18,'19.10 MASAKA-MBARARA-24H'!N18,'20.10 MASAKA-MBARARA'!N18,'21.10 MASAKA-MBARARA'!N18,'22.10 MASAKA-MBARARA'!N18,'23.10 MASAKA-MBARARA'!N18)</f>
        <v>0</v>
      </c>
      <c r="O18" s="15">
        <f t="shared" si="0"/>
        <v>21.714285714285715</v>
      </c>
      <c r="P18" s="15">
        <f t="shared" si="1"/>
        <v>33.428571428571431</v>
      </c>
      <c r="R18" s="51" t="s">
        <v>14</v>
      </c>
      <c r="S18" s="53">
        <f t="shared" ref="S18:AF18" si="10">SUM(C42:C45)</f>
        <v>35</v>
      </c>
      <c r="T18" s="53">
        <f t="shared" si="10"/>
        <v>16</v>
      </c>
      <c r="U18" s="53">
        <f t="shared" si="10"/>
        <v>9</v>
      </c>
      <c r="V18" s="53">
        <f t="shared" si="10"/>
        <v>21.285714285714285</v>
      </c>
      <c r="W18" s="53">
        <f t="shared" si="10"/>
        <v>0.5714285714285714</v>
      </c>
      <c r="X18" s="53">
        <f t="shared" si="10"/>
        <v>7.8571428571428577</v>
      </c>
      <c r="Y18" s="53">
        <f t="shared" si="10"/>
        <v>8.4285714285714288</v>
      </c>
      <c r="Z18" s="53">
        <f t="shared" si="10"/>
        <v>6.7142857142857135</v>
      </c>
      <c r="AA18" s="53">
        <f t="shared" si="10"/>
        <v>5.2857142857142856</v>
      </c>
      <c r="AB18" s="53">
        <f t="shared" si="10"/>
        <v>0.99999999999999989</v>
      </c>
      <c r="AC18" s="53">
        <f t="shared" si="10"/>
        <v>54.571428571428569</v>
      </c>
      <c r="AD18" s="53">
        <f t="shared" si="10"/>
        <v>0.14285714285714285</v>
      </c>
      <c r="AE18" s="56">
        <f t="shared" si="10"/>
        <v>111.28571428571428</v>
      </c>
      <c r="AF18" s="56">
        <f t="shared" si="10"/>
        <v>165.85714285714286</v>
      </c>
    </row>
    <row r="19" spans="2:32" ht="23.1" customHeight="1" x14ac:dyDescent="0.25">
      <c r="B19" s="23" t="s">
        <v>46</v>
      </c>
      <c r="C19" s="49">
        <f>AVERAGE('17.10 MASAKA-MBARARA'!C19,'18.10 MASAKA-MBARARA-24H'!C19,'19.10 MASAKA-MBARARA-24H'!C19,'20.10 MASAKA-MBARARA'!C19,'21.10 MASAKA-MBARARA'!C19,'22.10 MASAKA-MBARARA'!C19,'23.10 MASAKA-MBARARA'!C19)</f>
        <v>6.8571428571428568</v>
      </c>
      <c r="D19" s="49">
        <f>AVERAGE('17.10 MASAKA-MBARARA'!D19,'18.10 MASAKA-MBARARA-24H'!D19,'19.10 MASAKA-MBARARA-24H'!D19,'20.10 MASAKA-MBARARA'!D19,'21.10 MASAKA-MBARARA'!D19,'22.10 MASAKA-MBARARA'!D19,'23.10 MASAKA-MBARARA'!D19)</f>
        <v>4</v>
      </c>
      <c r="E19" s="49">
        <f>AVERAGE('17.10 MASAKA-MBARARA'!E19,'18.10 MASAKA-MBARARA-24H'!E19,'19.10 MASAKA-MBARARA-24H'!E19,'20.10 MASAKA-MBARARA'!E19,'21.10 MASAKA-MBARARA'!E19,'22.10 MASAKA-MBARARA'!E19,'23.10 MASAKA-MBARARA'!E19)</f>
        <v>3.4285714285714284</v>
      </c>
      <c r="F19" s="49">
        <f>AVERAGE('17.10 MASAKA-MBARARA'!F19,'18.10 MASAKA-MBARARA-24H'!F19,'19.10 MASAKA-MBARARA-24H'!F19,'20.10 MASAKA-MBARARA'!F19,'21.10 MASAKA-MBARARA'!F19,'22.10 MASAKA-MBARARA'!F19,'23.10 MASAKA-MBARARA'!F19)</f>
        <v>5</v>
      </c>
      <c r="G19" s="49">
        <f>AVERAGE('17.10 MASAKA-MBARARA'!G19,'18.10 MASAKA-MBARARA-24H'!G19,'19.10 MASAKA-MBARARA-24H'!G19,'20.10 MASAKA-MBARARA'!G19,'21.10 MASAKA-MBARARA'!G19,'22.10 MASAKA-MBARARA'!G19,'23.10 MASAKA-MBARARA'!G19)</f>
        <v>0.42857142857142855</v>
      </c>
      <c r="H19" s="49">
        <f>AVERAGE('17.10 MASAKA-MBARARA'!H19,'18.10 MASAKA-MBARARA-24H'!H19,'19.10 MASAKA-MBARARA-24H'!H19,'20.10 MASAKA-MBARARA'!H19,'21.10 MASAKA-MBARARA'!H19,'22.10 MASAKA-MBARARA'!H19,'23.10 MASAKA-MBARARA'!H19)</f>
        <v>1</v>
      </c>
      <c r="I19" s="49">
        <f>AVERAGE('17.10 MASAKA-MBARARA'!I19,'18.10 MASAKA-MBARARA-24H'!I19,'19.10 MASAKA-MBARARA-24H'!I19,'20.10 MASAKA-MBARARA'!I19,'21.10 MASAKA-MBARARA'!I19,'22.10 MASAKA-MBARARA'!I19,'23.10 MASAKA-MBARARA'!I19)</f>
        <v>1.7142857142857142</v>
      </c>
      <c r="J19" s="49">
        <f>AVERAGE('17.10 MASAKA-MBARARA'!J19,'18.10 MASAKA-MBARARA-24H'!J19,'19.10 MASAKA-MBARARA-24H'!J19,'20.10 MASAKA-MBARARA'!J19,'21.10 MASAKA-MBARARA'!J19,'22.10 MASAKA-MBARARA'!J19,'23.10 MASAKA-MBARARA'!J19)</f>
        <v>1.1428571428571428</v>
      </c>
      <c r="K19" s="49">
        <f>AVERAGE('17.10 MASAKA-MBARARA'!K19,'18.10 MASAKA-MBARARA-24H'!K19,'19.10 MASAKA-MBARARA-24H'!K19,'20.10 MASAKA-MBARARA'!K19,'21.10 MASAKA-MBARARA'!K19,'22.10 MASAKA-MBARARA'!K19,'23.10 MASAKA-MBARARA'!K19)</f>
        <v>3.2857142857142856</v>
      </c>
      <c r="L19" s="49">
        <f>AVERAGE('17.10 MASAKA-MBARARA'!L19,'18.10 MASAKA-MBARARA-24H'!L19,'19.10 MASAKA-MBARARA-24H'!L19,'20.10 MASAKA-MBARARA'!L19,'21.10 MASAKA-MBARARA'!L19,'22.10 MASAKA-MBARARA'!L19,'23.10 MASAKA-MBARARA'!L19)</f>
        <v>0.42857142857142855</v>
      </c>
      <c r="M19" s="49">
        <f>AVERAGE('17.10 MASAKA-MBARARA'!M19,'18.10 MASAKA-MBARARA-24H'!M19,'19.10 MASAKA-MBARARA-24H'!M19,'20.10 MASAKA-MBARARA'!M19,'21.10 MASAKA-MBARARA'!M19,'22.10 MASAKA-MBARARA'!M19,'23.10 MASAKA-MBARARA'!M19)</f>
        <v>11.714285714285714</v>
      </c>
      <c r="N19" s="49">
        <f>AVERAGE('17.10 MASAKA-MBARARA'!N19,'18.10 MASAKA-MBARARA-24H'!N19,'19.10 MASAKA-MBARARA-24H'!N19,'20.10 MASAKA-MBARARA'!N19,'21.10 MASAKA-MBARARA'!N19,'22.10 MASAKA-MBARARA'!N19,'23.10 MASAKA-MBARARA'!N19)</f>
        <v>0</v>
      </c>
      <c r="O19" s="15">
        <f t="shared" si="0"/>
        <v>27.285714285714281</v>
      </c>
      <c r="P19" s="15">
        <f t="shared" si="1"/>
        <v>38.999999999999993</v>
      </c>
      <c r="R19" s="51" t="s">
        <v>15</v>
      </c>
      <c r="S19" s="53">
        <f t="shared" ref="S19:AF19" si="11">SUM(C46:C49)</f>
        <v>36</v>
      </c>
      <c r="T19" s="53">
        <f t="shared" si="11"/>
        <v>18.142857142857142</v>
      </c>
      <c r="U19" s="53">
        <f t="shared" si="11"/>
        <v>8.2857142857142865</v>
      </c>
      <c r="V19" s="53">
        <f t="shared" si="11"/>
        <v>17.142857142857146</v>
      </c>
      <c r="W19" s="53">
        <f t="shared" si="11"/>
        <v>0.8571428571428571</v>
      </c>
      <c r="X19" s="53">
        <f t="shared" si="11"/>
        <v>7.5714285714285712</v>
      </c>
      <c r="Y19" s="53">
        <f t="shared" si="11"/>
        <v>8.4285714285714288</v>
      </c>
      <c r="Z19" s="53">
        <f t="shared" si="11"/>
        <v>10.571428571428573</v>
      </c>
      <c r="AA19" s="53">
        <f t="shared" si="11"/>
        <v>6.4285714285714279</v>
      </c>
      <c r="AB19" s="53">
        <f t="shared" si="11"/>
        <v>1.5714285714285716</v>
      </c>
      <c r="AC19" s="53">
        <f t="shared" si="11"/>
        <v>62.428571428571431</v>
      </c>
      <c r="AD19" s="53">
        <f t="shared" si="11"/>
        <v>0</v>
      </c>
      <c r="AE19" s="56">
        <f t="shared" si="11"/>
        <v>115</v>
      </c>
      <c r="AF19" s="56">
        <f t="shared" si="11"/>
        <v>177.42857142857144</v>
      </c>
    </row>
    <row r="20" spans="2:32" ht="23.1" customHeight="1" x14ac:dyDescent="0.25">
      <c r="B20" s="23" t="s">
        <v>47</v>
      </c>
      <c r="C20" s="49">
        <f>AVERAGE('17.10 MASAKA-MBARARA'!C20,'18.10 MASAKA-MBARARA-24H'!C20,'19.10 MASAKA-MBARARA-24H'!C20,'20.10 MASAKA-MBARARA'!C20,'21.10 MASAKA-MBARARA'!C20,'22.10 MASAKA-MBARARA'!C20,'23.10 MASAKA-MBARARA'!C20)</f>
        <v>11.285714285714286</v>
      </c>
      <c r="D20" s="49">
        <f>AVERAGE('17.10 MASAKA-MBARARA'!D20,'18.10 MASAKA-MBARARA-24H'!D20,'19.10 MASAKA-MBARARA-24H'!D20,'20.10 MASAKA-MBARARA'!D20,'21.10 MASAKA-MBARARA'!D20,'22.10 MASAKA-MBARARA'!D20,'23.10 MASAKA-MBARARA'!D20)</f>
        <v>4</v>
      </c>
      <c r="E20" s="49">
        <f>AVERAGE('17.10 MASAKA-MBARARA'!E20,'18.10 MASAKA-MBARARA-24H'!E20,'19.10 MASAKA-MBARARA-24H'!E20,'20.10 MASAKA-MBARARA'!E20,'21.10 MASAKA-MBARARA'!E20,'22.10 MASAKA-MBARARA'!E20,'23.10 MASAKA-MBARARA'!E20)</f>
        <v>2.5714285714285716</v>
      </c>
      <c r="F20" s="49">
        <f>AVERAGE('17.10 MASAKA-MBARARA'!F20,'18.10 MASAKA-MBARARA-24H'!F20,'19.10 MASAKA-MBARARA-24H'!F20,'20.10 MASAKA-MBARARA'!F20,'21.10 MASAKA-MBARARA'!F20,'22.10 MASAKA-MBARARA'!F20,'23.10 MASAKA-MBARARA'!F20)</f>
        <v>5.1428571428571432</v>
      </c>
      <c r="G20" s="49">
        <f>AVERAGE('17.10 MASAKA-MBARARA'!G20,'18.10 MASAKA-MBARARA-24H'!G20,'19.10 MASAKA-MBARARA-24H'!G20,'20.10 MASAKA-MBARARA'!G20,'21.10 MASAKA-MBARARA'!G20,'22.10 MASAKA-MBARARA'!G20,'23.10 MASAKA-MBARARA'!G20)</f>
        <v>0</v>
      </c>
      <c r="H20" s="49">
        <f>AVERAGE('17.10 MASAKA-MBARARA'!H20,'18.10 MASAKA-MBARARA-24H'!H20,'19.10 MASAKA-MBARARA-24H'!H20,'20.10 MASAKA-MBARARA'!H20,'21.10 MASAKA-MBARARA'!H20,'22.10 MASAKA-MBARARA'!H20,'23.10 MASAKA-MBARARA'!H20)</f>
        <v>1.2857142857142858</v>
      </c>
      <c r="I20" s="49">
        <f>AVERAGE('17.10 MASAKA-MBARARA'!I20,'18.10 MASAKA-MBARARA-24H'!I20,'19.10 MASAKA-MBARARA-24H'!I20,'20.10 MASAKA-MBARARA'!I20,'21.10 MASAKA-MBARARA'!I20,'22.10 MASAKA-MBARARA'!I20,'23.10 MASAKA-MBARARA'!I20)</f>
        <v>2.1428571428571428</v>
      </c>
      <c r="J20" s="49">
        <f>AVERAGE('17.10 MASAKA-MBARARA'!J20,'18.10 MASAKA-MBARARA-24H'!J20,'19.10 MASAKA-MBARARA-24H'!J20,'20.10 MASAKA-MBARARA'!J20,'21.10 MASAKA-MBARARA'!J20,'22.10 MASAKA-MBARARA'!J20,'23.10 MASAKA-MBARARA'!J20)</f>
        <v>1.4285714285714286</v>
      </c>
      <c r="K20" s="49">
        <f>AVERAGE('17.10 MASAKA-MBARARA'!K20,'18.10 MASAKA-MBARARA-24H'!K20,'19.10 MASAKA-MBARARA-24H'!K20,'20.10 MASAKA-MBARARA'!K20,'21.10 MASAKA-MBARARA'!K20,'22.10 MASAKA-MBARARA'!K20,'23.10 MASAKA-MBARARA'!K20)</f>
        <v>3.1428571428571428</v>
      </c>
      <c r="L20" s="49">
        <f>AVERAGE('17.10 MASAKA-MBARARA'!L20,'18.10 MASAKA-MBARARA-24H'!L20,'19.10 MASAKA-MBARARA-24H'!L20,'20.10 MASAKA-MBARARA'!L20,'21.10 MASAKA-MBARARA'!L20,'22.10 MASAKA-MBARARA'!L20,'23.10 MASAKA-MBARARA'!L20)</f>
        <v>0.2857142857142857</v>
      </c>
      <c r="M20" s="49">
        <f>AVERAGE('17.10 MASAKA-MBARARA'!M20,'18.10 MASAKA-MBARARA-24H'!M20,'19.10 MASAKA-MBARARA-24H'!M20,'20.10 MASAKA-MBARARA'!M20,'21.10 MASAKA-MBARARA'!M20,'22.10 MASAKA-MBARARA'!M20,'23.10 MASAKA-MBARARA'!M20)</f>
        <v>14.142857142857142</v>
      </c>
      <c r="N20" s="49">
        <f>AVERAGE('17.10 MASAKA-MBARARA'!N20,'18.10 MASAKA-MBARARA-24H'!N20,'19.10 MASAKA-MBARARA-24H'!N20,'20.10 MASAKA-MBARARA'!N20,'21.10 MASAKA-MBARARA'!N20,'22.10 MASAKA-MBARARA'!N20,'23.10 MASAKA-MBARARA'!N20)</f>
        <v>0</v>
      </c>
      <c r="O20" s="15">
        <f t="shared" si="0"/>
        <v>31.285714285714281</v>
      </c>
      <c r="P20" s="15">
        <f t="shared" si="1"/>
        <v>45.428571428571423</v>
      </c>
      <c r="R20" s="51" t="s">
        <v>16</v>
      </c>
      <c r="S20" s="53">
        <f t="shared" ref="S20:AF20" si="12">SUM(C50:C53)</f>
        <v>40.571428571428569</v>
      </c>
      <c r="T20" s="53">
        <f t="shared" si="12"/>
        <v>16.285714285714285</v>
      </c>
      <c r="U20" s="53">
        <f t="shared" si="12"/>
        <v>9.4285714285714288</v>
      </c>
      <c r="V20" s="53">
        <f t="shared" si="12"/>
        <v>18.857142857142858</v>
      </c>
      <c r="W20" s="53">
        <f t="shared" si="12"/>
        <v>0.85714285714285698</v>
      </c>
      <c r="X20" s="53">
        <f t="shared" si="12"/>
        <v>5.8571428571428568</v>
      </c>
      <c r="Y20" s="53">
        <f t="shared" si="12"/>
        <v>11.285714285714286</v>
      </c>
      <c r="Z20" s="53">
        <f t="shared" si="12"/>
        <v>10.428571428571429</v>
      </c>
      <c r="AA20" s="53">
        <f t="shared" si="12"/>
        <v>8.2857142857142847</v>
      </c>
      <c r="AB20" s="53">
        <f t="shared" si="12"/>
        <v>2.4285714285714284</v>
      </c>
      <c r="AC20" s="53">
        <f t="shared" si="12"/>
        <v>60.428571428571431</v>
      </c>
      <c r="AD20" s="53">
        <f t="shared" si="12"/>
        <v>0</v>
      </c>
      <c r="AE20" s="56">
        <f t="shared" si="12"/>
        <v>124.28571428571428</v>
      </c>
      <c r="AF20" s="56">
        <f t="shared" si="12"/>
        <v>184.71428571428572</v>
      </c>
    </row>
    <row r="21" spans="2:32" ht="23.1" customHeight="1" x14ac:dyDescent="0.25">
      <c r="B21" s="23" t="s">
        <v>48</v>
      </c>
      <c r="C21" s="49">
        <f>AVERAGE('17.10 MASAKA-MBARARA'!C21,'18.10 MASAKA-MBARARA-24H'!C21,'19.10 MASAKA-MBARARA-24H'!C21,'20.10 MASAKA-MBARARA'!C21,'21.10 MASAKA-MBARARA'!C21,'22.10 MASAKA-MBARARA'!C21,'23.10 MASAKA-MBARARA'!C21)</f>
        <v>7</v>
      </c>
      <c r="D21" s="49">
        <f>AVERAGE('17.10 MASAKA-MBARARA'!D21,'18.10 MASAKA-MBARARA-24H'!D21,'19.10 MASAKA-MBARARA-24H'!D21,'20.10 MASAKA-MBARARA'!D21,'21.10 MASAKA-MBARARA'!D21,'22.10 MASAKA-MBARARA'!D21,'23.10 MASAKA-MBARARA'!D21)</f>
        <v>5.7142857142857144</v>
      </c>
      <c r="E21" s="49">
        <f>AVERAGE('17.10 MASAKA-MBARARA'!E21,'18.10 MASAKA-MBARARA-24H'!E21,'19.10 MASAKA-MBARARA-24H'!E21,'20.10 MASAKA-MBARARA'!E21,'21.10 MASAKA-MBARARA'!E21,'22.10 MASAKA-MBARARA'!E21,'23.10 MASAKA-MBARARA'!E21)</f>
        <v>2.4285714285714284</v>
      </c>
      <c r="F21" s="49">
        <f>AVERAGE('17.10 MASAKA-MBARARA'!F21,'18.10 MASAKA-MBARARA-24H'!F21,'19.10 MASAKA-MBARARA-24H'!F21,'20.10 MASAKA-MBARARA'!F21,'21.10 MASAKA-MBARARA'!F21,'22.10 MASAKA-MBARARA'!F21,'23.10 MASAKA-MBARARA'!F21)</f>
        <v>2.2857142857142856</v>
      </c>
      <c r="G21" s="49">
        <f>AVERAGE('17.10 MASAKA-MBARARA'!G21,'18.10 MASAKA-MBARARA-24H'!G21,'19.10 MASAKA-MBARARA-24H'!G21,'20.10 MASAKA-MBARARA'!G21,'21.10 MASAKA-MBARARA'!G21,'22.10 MASAKA-MBARARA'!G21,'23.10 MASAKA-MBARARA'!G21)</f>
        <v>0.7142857142857143</v>
      </c>
      <c r="H21" s="49">
        <f>AVERAGE('17.10 MASAKA-MBARARA'!H21,'18.10 MASAKA-MBARARA-24H'!H21,'19.10 MASAKA-MBARARA-24H'!H21,'20.10 MASAKA-MBARARA'!H21,'21.10 MASAKA-MBARARA'!H21,'22.10 MASAKA-MBARARA'!H21,'23.10 MASAKA-MBARARA'!H21)</f>
        <v>0.42857142857142855</v>
      </c>
      <c r="I21" s="49">
        <f>AVERAGE('17.10 MASAKA-MBARARA'!I21,'18.10 MASAKA-MBARARA-24H'!I21,'19.10 MASAKA-MBARARA-24H'!I21,'20.10 MASAKA-MBARARA'!I21,'21.10 MASAKA-MBARARA'!I21,'22.10 MASAKA-MBARARA'!I21,'23.10 MASAKA-MBARARA'!I21)</f>
        <v>1.8571428571428572</v>
      </c>
      <c r="J21" s="49">
        <f>AVERAGE('17.10 MASAKA-MBARARA'!J21,'18.10 MASAKA-MBARARA-24H'!J21,'19.10 MASAKA-MBARARA-24H'!J21,'20.10 MASAKA-MBARARA'!J21,'21.10 MASAKA-MBARARA'!J21,'22.10 MASAKA-MBARARA'!J21,'23.10 MASAKA-MBARARA'!J21)</f>
        <v>1</v>
      </c>
      <c r="K21" s="49">
        <f>AVERAGE('17.10 MASAKA-MBARARA'!K21,'18.10 MASAKA-MBARARA-24H'!K21,'19.10 MASAKA-MBARARA-24H'!K21,'20.10 MASAKA-MBARARA'!K21,'21.10 MASAKA-MBARARA'!K21,'22.10 MASAKA-MBARARA'!K21,'23.10 MASAKA-MBARARA'!K21)</f>
        <v>1</v>
      </c>
      <c r="L21" s="49">
        <f>AVERAGE('17.10 MASAKA-MBARARA'!L21,'18.10 MASAKA-MBARARA-24H'!L21,'19.10 MASAKA-MBARARA-24H'!L21,'20.10 MASAKA-MBARARA'!L21,'21.10 MASAKA-MBARARA'!L21,'22.10 MASAKA-MBARARA'!L21,'23.10 MASAKA-MBARARA'!L21)</f>
        <v>0.42857142857142855</v>
      </c>
      <c r="M21" s="49">
        <f>AVERAGE('17.10 MASAKA-MBARARA'!M21,'18.10 MASAKA-MBARARA-24H'!M21,'19.10 MASAKA-MBARARA-24H'!M21,'20.10 MASAKA-MBARARA'!M21,'21.10 MASAKA-MBARARA'!M21,'22.10 MASAKA-MBARARA'!M21,'23.10 MASAKA-MBARARA'!M21)</f>
        <v>11</v>
      </c>
      <c r="N21" s="49">
        <f>AVERAGE('17.10 MASAKA-MBARARA'!N21,'18.10 MASAKA-MBARARA-24H'!N21,'19.10 MASAKA-MBARARA-24H'!N21,'20.10 MASAKA-MBARARA'!N21,'21.10 MASAKA-MBARARA'!N21,'22.10 MASAKA-MBARARA'!N21,'23.10 MASAKA-MBARARA'!N21)</f>
        <v>0</v>
      </c>
      <c r="O21" s="15">
        <f t="shared" si="0"/>
        <v>22.857142857142858</v>
      </c>
      <c r="P21" s="15">
        <f t="shared" si="1"/>
        <v>33.857142857142861</v>
      </c>
      <c r="R21" s="58" t="s">
        <v>20</v>
      </c>
      <c r="S21" s="57">
        <f t="shared" ref="S21:AF21" si="13">SUM(C54:C57)</f>
        <v>36.571428571428577</v>
      </c>
      <c r="T21" s="53">
        <f t="shared" si="13"/>
        <v>12.857142857142856</v>
      </c>
      <c r="U21" s="53">
        <f t="shared" si="13"/>
        <v>9.1428571428571423</v>
      </c>
      <c r="V21" s="53">
        <f t="shared" si="13"/>
        <v>18.428571428571431</v>
      </c>
      <c r="W21" s="53">
        <f t="shared" si="13"/>
        <v>1.2857142857142856</v>
      </c>
      <c r="X21" s="53">
        <f t="shared" si="13"/>
        <v>5.4285714285714279</v>
      </c>
      <c r="Y21" s="53">
        <f t="shared" si="13"/>
        <v>8.2857142857142865</v>
      </c>
      <c r="Z21" s="53">
        <f t="shared" si="13"/>
        <v>11</v>
      </c>
      <c r="AA21" s="53">
        <f t="shared" si="13"/>
        <v>7</v>
      </c>
      <c r="AB21" s="53">
        <f t="shared" si="13"/>
        <v>2</v>
      </c>
      <c r="AC21" s="53">
        <f t="shared" si="13"/>
        <v>62.142857142857146</v>
      </c>
      <c r="AD21" s="53">
        <f t="shared" si="13"/>
        <v>0</v>
      </c>
      <c r="AE21" s="56">
        <f t="shared" si="13"/>
        <v>111.99999999999999</v>
      </c>
      <c r="AF21" s="56">
        <f t="shared" si="13"/>
        <v>174.14285714285714</v>
      </c>
    </row>
    <row r="22" spans="2:32" ht="23.1" customHeight="1" x14ac:dyDescent="0.25">
      <c r="B22" s="23" t="s">
        <v>49</v>
      </c>
      <c r="C22" s="49">
        <f>AVERAGE('17.10 MASAKA-MBARARA'!C22,'18.10 MASAKA-MBARARA-24H'!C22,'19.10 MASAKA-MBARARA-24H'!C22,'20.10 MASAKA-MBARARA'!C22,'21.10 MASAKA-MBARARA'!C22,'22.10 MASAKA-MBARARA'!C22,'23.10 MASAKA-MBARARA'!C22)</f>
        <v>7.2857142857142856</v>
      </c>
      <c r="D22" s="49">
        <f>AVERAGE('17.10 MASAKA-MBARARA'!D22,'18.10 MASAKA-MBARARA-24H'!D22,'19.10 MASAKA-MBARARA-24H'!D22,'20.10 MASAKA-MBARARA'!D22,'21.10 MASAKA-MBARARA'!D22,'22.10 MASAKA-MBARARA'!D22,'23.10 MASAKA-MBARARA'!D22)</f>
        <v>4.2857142857142856</v>
      </c>
      <c r="E22" s="49">
        <f>AVERAGE('17.10 MASAKA-MBARARA'!E22,'18.10 MASAKA-MBARARA-24H'!E22,'19.10 MASAKA-MBARARA-24H'!E22,'20.10 MASAKA-MBARARA'!E22,'21.10 MASAKA-MBARARA'!E22,'22.10 MASAKA-MBARARA'!E22,'23.10 MASAKA-MBARARA'!E22)</f>
        <v>4.8571428571428568</v>
      </c>
      <c r="F22" s="49">
        <f>AVERAGE('17.10 MASAKA-MBARARA'!F22,'18.10 MASAKA-MBARARA-24H'!F22,'19.10 MASAKA-MBARARA-24H'!F22,'20.10 MASAKA-MBARARA'!F22,'21.10 MASAKA-MBARARA'!F22,'22.10 MASAKA-MBARARA'!F22,'23.10 MASAKA-MBARARA'!F22)</f>
        <v>6.5714285714285712</v>
      </c>
      <c r="G22" s="49">
        <f>AVERAGE('17.10 MASAKA-MBARARA'!G22,'18.10 MASAKA-MBARARA-24H'!G22,'19.10 MASAKA-MBARARA-24H'!G22,'20.10 MASAKA-MBARARA'!G22,'21.10 MASAKA-MBARARA'!G22,'22.10 MASAKA-MBARARA'!G22,'23.10 MASAKA-MBARARA'!G22)</f>
        <v>0.2857142857142857</v>
      </c>
      <c r="H22" s="49">
        <f>AVERAGE('17.10 MASAKA-MBARARA'!H22,'18.10 MASAKA-MBARARA-24H'!H22,'19.10 MASAKA-MBARARA-24H'!H22,'20.10 MASAKA-MBARARA'!H22,'21.10 MASAKA-MBARARA'!H22,'22.10 MASAKA-MBARARA'!H22,'23.10 MASAKA-MBARARA'!H22)</f>
        <v>1</v>
      </c>
      <c r="I22" s="49">
        <f>AVERAGE('17.10 MASAKA-MBARARA'!I22,'18.10 MASAKA-MBARARA-24H'!I22,'19.10 MASAKA-MBARARA-24H'!I22,'20.10 MASAKA-MBARARA'!I22,'21.10 MASAKA-MBARARA'!I22,'22.10 MASAKA-MBARARA'!I22,'23.10 MASAKA-MBARARA'!I22)</f>
        <v>2.4285714285714284</v>
      </c>
      <c r="J22" s="49">
        <f>AVERAGE('17.10 MASAKA-MBARARA'!J22,'18.10 MASAKA-MBARARA-24H'!J22,'19.10 MASAKA-MBARARA-24H'!J22,'20.10 MASAKA-MBARARA'!J22,'21.10 MASAKA-MBARARA'!J22,'22.10 MASAKA-MBARARA'!J22,'23.10 MASAKA-MBARARA'!J22)</f>
        <v>2.4285714285714284</v>
      </c>
      <c r="K22" s="49">
        <f>AVERAGE('17.10 MASAKA-MBARARA'!K22,'18.10 MASAKA-MBARARA-24H'!K22,'19.10 MASAKA-MBARARA-24H'!K22,'20.10 MASAKA-MBARARA'!K22,'21.10 MASAKA-MBARARA'!K22,'22.10 MASAKA-MBARARA'!K22,'23.10 MASAKA-MBARARA'!K22)</f>
        <v>2.5714285714285716</v>
      </c>
      <c r="L22" s="49">
        <f>AVERAGE('17.10 MASAKA-MBARARA'!L22,'18.10 MASAKA-MBARARA-24H'!L22,'19.10 MASAKA-MBARARA-24H'!L22,'20.10 MASAKA-MBARARA'!L22,'21.10 MASAKA-MBARARA'!L22,'22.10 MASAKA-MBARARA'!L22,'23.10 MASAKA-MBARARA'!L22)</f>
        <v>0.8571428571428571</v>
      </c>
      <c r="M22" s="49">
        <f>AVERAGE('17.10 MASAKA-MBARARA'!M22,'18.10 MASAKA-MBARARA-24H'!M22,'19.10 MASAKA-MBARARA-24H'!M22,'20.10 MASAKA-MBARARA'!M22,'21.10 MASAKA-MBARARA'!M22,'22.10 MASAKA-MBARARA'!M22,'23.10 MASAKA-MBARARA'!M22)</f>
        <v>12.714285714285714</v>
      </c>
      <c r="N22" s="49">
        <f>AVERAGE('17.10 MASAKA-MBARARA'!N22,'18.10 MASAKA-MBARARA-24H'!N22,'19.10 MASAKA-MBARARA-24H'!N22,'20.10 MASAKA-MBARARA'!N22,'21.10 MASAKA-MBARARA'!N22,'22.10 MASAKA-MBARARA'!N22,'23.10 MASAKA-MBARARA'!N22)</f>
        <v>0</v>
      </c>
      <c r="O22" s="15">
        <f t="shared" si="0"/>
        <v>32.571428571428569</v>
      </c>
      <c r="P22" s="15">
        <f t="shared" si="1"/>
        <v>45.285714285714285</v>
      </c>
      <c r="R22" s="51" t="s">
        <v>146</v>
      </c>
      <c r="S22" s="57">
        <f>SUM(C58:C61)</f>
        <v>34</v>
      </c>
      <c r="T22" s="57">
        <f t="shared" ref="T22:AF22" si="14">SUM(D58:D61)</f>
        <v>11.5</v>
      </c>
      <c r="U22" s="57">
        <f t="shared" si="14"/>
        <v>6.5</v>
      </c>
      <c r="V22" s="57">
        <f t="shared" si="14"/>
        <v>15.5</v>
      </c>
      <c r="W22" s="57">
        <f t="shared" si="14"/>
        <v>0.5</v>
      </c>
      <c r="X22" s="57">
        <f t="shared" si="14"/>
        <v>5</v>
      </c>
      <c r="Y22" s="57">
        <f t="shared" si="14"/>
        <v>7.5</v>
      </c>
      <c r="Z22" s="57">
        <f t="shared" si="14"/>
        <v>11</v>
      </c>
      <c r="AA22" s="57">
        <f t="shared" si="14"/>
        <v>10</v>
      </c>
      <c r="AB22" s="57">
        <f t="shared" si="14"/>
        <v>3.5</v>
      </c>
      <c r="AC22" s="57">
        <f t="shared" si="14"/>
        <v>27</v>
      </c>
      <c r="AD22" s="57">
        <f t="shared" si="14"/>
        <v>0</v>
      </c>
      <c r="AE22" s="56">
        <f t="shared" si="14"/>
        <v>105</v>
      </c>
      <c r="AF22" s="56">
        <f t="shared" si="14"/>
        <v>132</v>
      </c>
    </row>
    <row r="23" spans="2:32" ht="23.1" customHeight="1" x14ac:dyDescent="0.25">
      <c r="B23" s="23" t="s">
        <v>50</v>
      </c>
      <c r="C23" s="49">
        <f>AVERAGE('17.10 MASAKA-MBARARA'!C23,'18.10 MASAKA-MBARARA-24H'!C23,'19.10 MASAKA-MBARARA-24H'!C23,'20.10 MASAKA-MBARARA'!C23,'21.10 MASAKA-MBARARA'!C23,'22.10 MASAKA-MBARARA'!C23,'23.10 MASAKA-MBARARA'!C23)</f>
        <v>9</v>
      </c>
      <c r="D23" s="49">
        <f>AVERAGE('17.10 MASAKA-MBARARA'!D23,'18.10 MASAKA-MBARARA-24H'!D23,'19.10 MASAKA-MBARARA-24H'!D23,'20.10 MASAKA-MBARARA'!D23,'21.10 MASAKA-MBARARA'!D23,'22.10 MASAKA-MBARARA'!D23,'23.10 MASAKA-MBARARA'!D23)</f>
        <v>5</v>
      </c>
      <c r="E23" s="49">
        <f>AVERAGE('17.10 MASAKA-MBARARA'!E23,'18.10 MASAKA-MBARARA-24H'!E23,'19.10 MASAKA-MBARARA-24H'!E23,'20.10 MASAKA-MBARARA'!E23,'21.10 MASAKA-MBARARA'!E23,'22.10 MASAKA-MBARARA'!E23,'23.10 MASAKA-MBARARA'!E23)</f>
        <v>2.5714285714285716</v>
      </c>
      <c r="F23" s="49">
        <f>AVERAGE('17.10 MASAKA-MBARARA'!F23,'18.10 MASAKA-MBARARA-24H'!F23,'19.10 MASAKA-MBARARA-24H'!F23,'20.10 MASAKA-MBARARA'!F23,'21.10 MASAKA-MBARARA'!F23,'22.10 MASAKA-MBARARA'!F23,'23.10 MASAKA-MBARARA'!F23)</f>
        <v>5</v>
      </c>
      <c r="G23" s="49">
        <f>AVERAGE('17.10 MASAKA-MBARARA'!G23,'18.10 MASAKA-MBARARA-24H'!G23,'19.10 MASAKA-MBARARA-24H'!G23,'20.10 MASAKA-MBARARA'!G23,'21.10 MASAKA-MBARARA'!G23,'22.10 MASAKA-MBARARA'!G23,'23.10 MASAKA-MBARARA'!G23)</f>
        <v>0.14285714285714285</v>
      </c>
      <c r="H23" s="49">
        <f>AVERAGE('17.10 MASAKA-MBARARA'!H23,'18.10 MASAKA-MBARARA-24H'!H23,'19.10 MASAKA-MBARARA-24H'!H23,'20.10 MASAKA-MBARARA'!H23,'21.10 MASAKA-MBARARA'!H23,'22.10 MASAKA-MBARARA'!H23,'23.10 MASAKA-MBARARA'!H23)</f>
        <v>1</v>
      </c>
      <c r="I23" s="49">
        <f>AVERAGE('17.10 MASAKA-MBARARA'!I23,'18.10 MASAKA-MBARARA-24H'!I23,'19.10 MASAKA-MBARARA-24H'!I23,'20.10 MASAKA-MBARARA'!I23,'21.10 MASAKA-MBARARA'!I23,'22.10 MASAKA-MBARARA'!I23,'23.10 MASAKA-MBARARA'!I23)</f>
        <v>2.1428571428571428</v>
      </c>
      <c r="J23" s="49">
        <f>AVERAGE('17.10 MASAKA-MBARARA'!J23,'18.10 MASAKA-MBARARA-24H'!J23,'19.10 MASAKA-MBARARA-24H'!J23,'20.10 MASAKA-MBARARA'!J23,'21.10 MASAKA-MBARARA'!J23,'22.10 MASAKA-MBARARA'!J23,'23.10 MASAKA-MBARARA'!J23)</f>
        <v>1.7142857142857142</v>
      </c>
      <c r="K23" s="49">
        <f>AVERAGE('17.10 MASAKA-MBARARA'!K23,'18.10 MASAKA-MBARARA-24H'!K23,'19.10 MASAKA-MBARARA-24H'!K23,'20.10 MASAKA-MBARARA'!K23,'21.10 MASAKA-MBARARA'!K23,'22.10 MASAKA-MBARARA'!K23,'23.10 MASAKA-MBARARA'!K23)</f>
        <v>1.7142857142857142</v>
      </c>
      <c r="L23" s="49">
        <f>AVERAGE('17.10 MASAKA-MBARARA'!L23,'18.10 MASAKA-MBARARA-24H'!L23,'19.10 MASAKA-MBARARA-24H'!L23,'20.10 MASAKA-MBARARA'!L23,'21.10 MASAKA-MBARARA'!L23,'22.10 MASAKA-MBARARA'!L23,'23.10 MASAKA-MBARARA'!L23)</f>
        <v>0.2857142857142857</v>
      </c>
      <c r="M23" s="49">
        <f>AVERAGE('17.10 MASAKA-MBARARA'!M23,'18.10 MASAKA-MBARARA-24H'!M23,'19.10 MASAKA-MBARARA-24H'!M23,'20.10 MASAKA-MBARARA'!M23,'21.10 MASAKA-MBARARA'!M23,'22.10 MASAKA-MBARARA'!M23,'23.10 MASAKA-MBARARA'!M23)</f>
        <v>15.857142857142858</v>
      </c>
      <c r="N23" s="49">
        <f>AVERAGE('17.10 MASAKA-MBARARA'!N23,'18.10 MASAKA-MBARARA-24H'!N23,'19.10 MASAKA-MBARARA-24H'!N23,'20.10 MASAKA-MBARARA'!N23,'21.10 MASAKA-MBARARA'!N23,'22.10 MASAKA-MBARARA'!N23,'23.10 MASAKA-MBARARA'!N23)</f>
        <v>0</v>
      </c>
      <c r="O23" s="15">
        <f t="shared" si="0"/>
        <v>28.571428571428573</v>
      </c>
      <c r="P23" s="15">
        <f t="shared" si="1"/>
        <v>44.428571428571431</v>
      </c>
      <c r="R23" s="51" t="s">
        <v>147</v>
      </c>
      <c r="S23" s="57">
        <f>SUM(C62:C65)</f>
        <v>27.5</v>
      </c>
      <c r="T23" s="57">
        <f t="shared" ref="T23:AF23" si="15">SUM(D62:D65)</f>
        <v>5</v>
      </c>
      <c r="U23" s="57">
        <f t="shared" si="15"/>
        <v>5</v>
      </c>
      <c r="V23" s="57">
        <f t="shared" si="15"/>
        <v>11</v>
      </c>
      <c r="W23" s="57">
        <f t="shared" si="15"/>
        <v>0</v>
      </c>
      <c r="X23" s="57">
        <f t="shared" si="15"/>
        <v>4.5</v>
      </c>
      <c r="Y23" s="57">
        <f t="shared" si="15"/>
        <v>11</v>
      </c>
      <c r="Z23" s="57">
        <f t="shared" si="15"/>
        <v>8</v>
      </c>
      <c r="AA23" s="57">
        <f t="shared" si="15"/>
        <v>13.5</v>
      </c>
      <c r="AB23" s="57">
        <f t="shared" si="15"/>
        <v>3.5</v>
      </c>
      <c r="AC23" s="57">
        <f t="shared" si="15"/>
        <v>17.5</v>
      </c>
      <c r="AD23" s="57">
        <f t="shared" si="15"/>
        <v>0</v>
      </c>
      <c r="AE23" s="56">
        <f t="shared" si="15"/>
        <v>89</v>
      </c>
      <c r="AF23" s="56">
        <f t="shared" si="15"/>
        <v>106.5</v>
      </c>
    </row>
    <row r="24" spans="2:32" ht="23.1" customHeight="1" x14ac:dyDescent="0.25">
      <c r="B24" s="23" t="s">
        <v>51</v>
      </c>
      <c r="C24" s="49">
        <f>AVERAGE('17.10 MASAKA-MBARARA'!C24,'18.10 MASAKA-MBARARA-24H'!C24,'19.10 MASAKA-MBARARA-24H'!C24,'20.10 MASAKA-MBARARA'!C24,'21.10 MASAKA-MBARARA'!C24,'22.10 MASAKA-MBARARA'!C24,'23.10 MASAKA-MBARARA'!C24)</f>
        <v>6.7142857142857144</v>
      </c>
      <c r="D24" s="49">
        <f>AVERAGE('17.10 MASAKA-MBARARA'!D24,'18.10 MASAKA-MBARARA-24H'!D24,'19.10 MASAKA-MBARARA-24H'!D24,'20.10 MASAKA-MBARARA'!D24,'21.10 MASAKA-MBARARA'!D24,'22.10 MASAKA-MBARARA'!D24,'23.10 MASAKA-MBARARA'!D24)</f>
        <v>4.2857142857142856</v>
      </c>
      <c r="E24" s="49">
        <f>AVERAGE('17.10 MASAKA-MBARARA'!E24,'18.10 MASAKA-MBARARA-24H'!E24,'19.10 MASAKA-MBARARA-24H'!E24,'20.10 MASAKA-MBARARA'!E24,'21.10 MASAKA-MBARARA'!E24,'22.10 MASAKA-MBARARA'!E24,'23.10 MASAKA-MBARARA'!E24)</f>
        <v>2.5714285714285716</v>
      </c>
      <c r="F24" s="49">
        <f>AVERAGE('17.10 MASAKA-MBARARA'!F24,'18.10 MASAKA-MBARARA-24H'!F24,'19.10 MASAKA-MBARARA-24H'!F24,'20.10 MASAKA-MBARARA'!F24,'21.10 MASAKA-MBARARA'!F24,'22.10 MASAKA-MBARARA'!F24,'23.10 MASAKA-MBARARA'!F24)</f>
        <v>5.1428571428571432</v>
      </c>
      <c r="G24" s="49">
        <f>AVERAGE('17.10 MASAKA-MBARARA'!G24,'18.10 MASAKA-MBARARA-24H'!G24,'19.10 MASAKA-MBARARA-24H'!G24,'20.10 MASAKA-MBARARA'!G24,'21.10 MASAKA-MBARARA'!G24,'22.10 MASAKA-MBARARA'!G24,'23.10 MASAKA-MBARARA'!G24)</f>
        <v>0.14285714285714285</v>
      </c>
      <c r="H24" s="49">
        <f>AVERAGE('17.10 MASAKA-MBARARA'!H24,'18.10 MASAKA-MBARARA-24H'!H24,'19.10 MASAKA-MBARARA-24H'!H24,'20.10 MASAKA-MBARARA'!H24,'21.10 MASAKA-MBARARA'!H24,'22.10 MASAKA-MBARARA'!H24,'23.10 MASAKA-MBARARA'!H24)</f>
        <v>1.1428571428571428</v>
      </c>
      <c r="I24" s="49">
        <f>AVERAGE('17.10 MASAKA-MBARARA'!I24,'18.10 MASAKA-MBARARA-24H'!I24,'19.10 MASAKA-MBARARA-24H'!I24,'20.10 MASAKA-MBARARA'!I24,'21.10 MASAKA-MBARARA'!I24,'22.10 MASAKA-MBARARA'!I24,'23.10 MASAKA-MBARARA'!I24)</f>
        <v>2.1428571428571428</v>
      </c>
      <c r="J24" s="49">
        <f>AVERAGE('17.10 MASAKA-MBARARA'!J24,'18.10 MASAKA-MBARARA-24H'!J24,'19.10 MASAKA-MBARARA-24H'!J24,'20.10 MASAKA-MBARARA'!J24,'21.10 MASAKA-MBARARA'!J24,'22.10 MASAKA-MBARARA'!J24,'23.10 MASAKA-MBARARA'!J24)</f>
        <v>1.4285714285714286</v>
      </c>
      <c r="K24" s="49">
        <f>AVERAGE('17.10 MASAKA-MBARARA'!K24,'18.10 MASAKA-MBARARA-24H'!K24,'19.10 MASAKA-MBARARA-24H'!K24,'20.10 MASAKA-MBARARA'!K24,'21.10 MASAKA-MBARARA'!K24,'22.10 MASAKA-MBARARA'!K24,'23.10 MASAKA-MBARARA'!K24)</f>
        <v>2.4285714285714284</v>
      </c>
      <c r="L24" s="49">
        <f>AVERAGE('17.10 MASAKA-MBARARA'!L24,'18.10 MASAKA-MBARARA-24H'!L24,'19.10 MASAKA-MBARARA-24H'!L24,'20.10 MASAKA-MBARARA'!L24,'21.10 MASAKA-MBARARA'!L24,'22.10 MASAKA-MBARARA'!L24,'23.10 MASAKA-MBARARA'!L24)</f>
        <v>0.42857142857142855</v>
      </c>
      <c r="M24" s="49">
        <f>AVERAGE('17.10 MASAKA-MBARARA'!M24,'18.10 MASAKA-MBARARA-24H'!M24,'19.10 MASAKA-MBARARA-24H'!M24,'20.10 MASAKA-MBARARA'!M24,'21.10 MASAKA-MBARARA'!M24,'22.10 MASAKA-MBARARA'!M24,'23.10 MASAKA-MBARARA'!M24)</f>
        <v>11.285714285714286</v>
      </c>
      <c r="N24" s="49">
        <f>AVERAGE('17.10 MASAKA-MBARARA'!N24,'18.10 MASAKA-MBARARA-24H'!N24,'19.10 MASAKA-MBARARA-24H'!N24,'20.10 MASAKA-MBARARA'!N24,'21.10 MASAKA-MBARARA'!N24,'22.10 MASAKA-MBARARA'!N24,'23.10 MASAKA-MBARARA'!N24)</f>
        <v>0</v>
      </c>
      <c r="O24" s="15">
        <f t="shared" si="0"/>
        <v>26.428571428571423</v>
      </c>
      <c r="P24" s="15">
        <f t="shared" si="1"/>
        <v>37.714285714285708</v>
      </c>
      <c r="R24" s="51" t="s">
        <v>148</v>
      </c>
      <c r="S24" s="57">
        <f>SUM(C66:C69)</f>
        <v>23</v>
      </c>
      <c r="T24" s="57">
        <f t="shared" ref="T24:AF24" si="16">SUM(D66:D69)</f>
        <v>4.5</v>
      </c>
      <c r="U24" s="57">
        <f t="shared" si="16"/>
        <v>5</v>
      </c>
      <c r="V24" s="57">
        <f t="shared" si="16"/>
        <v>10</v>
      </c>
      <c r="W24" s="57">
        <f t="shared" si="16"/>
        <v>0.5</v>
      </c>
      <c r="X24" s="57">
        <f t="shared" si="16"/>
        <v>4</v>
      </c>
      <c r="Y24" s="57">
        <f t="shared" si="16"/>
        <v>10</v>
      </c>
      <c r="Z24" s="57">
        <f t="shared" si="16"/>
        <v>6.5</v>
      </c>
      <c r="AA24" s="57">
        <f t="shared" si="16"/>
        <v>16</v>
      </c>
      <c r="AB24" s="57">
        <f t="shared" si="16"/>
        <v>1.5</v>
      </c>
      <c r="AC24" s="57">
        <f t="shared" si="16"/>
        <v>11</v>
      </c>
      <c r="AD24" s="57">
        <f t="shared" si="16"/>
        <v>0</v>
      </c>
      <c r="AE24" s="56">
        <f t="shared" si="16"/>
        <v>81</v>
      </c>
      <c r="AF24" s="56">
        <f t="shared" si="16"/>
        <v>92</v>
      </c>
    </row>
    <row r="25" spans="2:32" ht="23.1" customHeight="1" x14ac:dyDescent="0.25">
      <c r="B25" s="23" t="s">
        <v>52</v>
      </c>
      <c r="C25" s="49">
        <f>AVERAGE('17.10 MASAKA-MBARARA'!C25,'18.10 MASAKA-MBARARA-24H'!C25,'19.10 MASAKA-MBARARA-24H'!C25,'20.10 MASAKA-MBARARA'!C25,'21.10 MASAKA-MBARARA'!C25,'22.10 MASAKA-MBARARA'!C25,'23.10 MASAKA-MBARARA'!C25)</f>
        <v>9.8571428571428577</v>
      </c>
      <c r="D25" s="49">
        <f>AVERAGE('17.10 MASAKA-MBARARA'!D25,'18.10 MASAKA-MBARARA-24H'!D25,'19.10 MASAKA-MBARARA-24H'!D25,'20.10 MASAKA-MBARARA'!D25,'21.10 MASAKA-MBARARA'!D25,'22.10 MASAKA-MBARARA'!D25,'23.10 MASAKA-MBARARA'!D25)</f>
        <v>3.7142857142857144</v>
      </c>
      <c r="E25" s="49">
        <f>AVERAGE('17.10 MASAKA-MBARARA'!E25,'18.10 MASAKA-MBARARA-24H'!E25,'19.10 MASAKA-MBARARA-24H'!E25,'20.10 MASAKA-MBARARA'!E25,'21.10 MASAKA-MBARARA'!E25,'22.10 MASAKA-MBARARA'!E25,'23.10 MASAKA-MBARARA'!E25)</f>
        <v>2.5714285714285716</v>
      </c>
      <c r="F25" s="49">
        <f>AVERAGE('17.10 MASAKA-MBARARA'!F25,'18.10 MASAKA-MBARARA-24H'!F25,'19.10 MASAKA-MBARARA-24H'!F25,'20.10 MASAKA-MBARARA'!F25,'21.10 MASAKA-MBARARA'!F25,'22.10 MASAKA-MBARARA'!F25,'23.10 MASAKA-MBARARA'!F25)</f>
        <v>4.1428571428571432</v>
      </c>
      <c r="G25" s="49">
        <f>AVERAGE('17.10 MASAKA-MBARARA'!G25,'18.10 MASAKA-MBARARA-24H'!G25,'19.10 MASAKA-MBARARA-24H'!G25,'20.10 MASAKA-MBARARA'!G25,'21.10 MASAKA-MBARARA'!G25,'22.10 MASAKA-MBARARA'!G25,'23.10 MASAKA-MBARARA'!G25)</f>
        <v>0.14285714285714285</v>
      </c>
      <c r="H25" s="49">
        <f>AVERAGE('17.10 MASAKA-MBARARA'!H25,'18.10 MASAKA-MBARARA-24H'!H25,'19.10 MASAKA-MBARARA-24H'!H25,'20.10 MASAKA-MBARARA'!H25,'21.10 MASAKA-MBARARA'!H25,'22.10 MASAKA-MBARARA'!H25,'23.10 MASAKA-MBARARA'!H25)</f>
        <v>0.8571428571428571</v>
      </c>
      <c r="I25" s="49">
        <f>AVERAGE('17.10 MASAKA-MBARARA'!I25,'18.10 MASAKA-MBARARA-24H'!I25,'19.10 MASAKA-MBARARA-24H'!I25,'20.10 MASAKA-MBARARA'!I25,'21.10 MASAKA-MBARARA'!I25,'22.10 MASAKA-MBARARA'!I25,'23.10 MASAKA-MBARARA'!I25)</f>
        <v>0.8571428571428571</v>
      </c>
      <c r="J25" s="49">
        <f>AVERAGE('17.10 MASAKA-MBARARA'!J25,'18.10 MASAKA-MBARARA-24H'!J25,'19.10 MASAKA-MBARARA-24H'!J25,'20.10 MASAKA-MBARARA'!J25,'21.10 MASAKA-MBARARA'!J25,'22.10 MASAKA-MBARARA'!J25,'23.10 MASAKA-MBARARA'!J25)</f>
        <v>0.8571428571428571</v>
      </c>
      <c r="K25" s="49">
        <f>AVERAGE('17.10 MASAKA-MBARARA'!K25,'18.10 MASAKA-MBARARA-24H'!K25,'19.10 MASAKA-MBARARA-24H'!K25,'20.10 MASAKA-MBARARA'!K25,'21.10 MASAKA-MBARARA'!K25,'22.10 MASAKA-MBARARA'!K25,'23.10 MASAKA-MBARARA'!K25)</f>
        <v>1.4285714285714286</v>
      </c>
      <c r="L25" s="49">
        <f>AVERAGE('17.10 MASAKA-MBARARA'!L25,'18.10 MASAKA-MBARARA-24H'!L25,'19.10 MASAKA-MBARARA-24H'!L25,'20.10 MASAKA-MBARARA'!L25,'21.10 MASAKA-MBARARA'!L25,'22.10 MASAKA-MBARARA'!L25,'23.10 MASAKA-MBARARA'!L25)</f>
        <v>0.2857142857142857</v>
      </c>
      <c r="M25" s="49">
        <f>AVERAGE('17.10 MASAKA-MBARARA'!M25,'18.10 MASAKA-MBARARA-24H'!M25,'19.10 MASAKA-MBARARA-24H'!M25,'20.10 MASAKA-MBARARA'!M25,'21.10 MASAKA-MBARARA'!M25,'22.10 MASAKA-MBARARA'!M25,'23.10 MASAKA-MBARARA'!M25)</f>
        <v>15.714285714285714</v>
      </c>
      <c r="N25" s="49">
        <f>AVERAGE('17.10 MASAKA-MBARARA'!N25,'18.10 MASAKA-MBARARA-24H'!N25,'19.10 MASAKA-MBARARA-24H'!N25,'20.10 MASAKA-MBARARA'!N25,'21.10 MASAKA-MBARARA'!N25,'22.10 MASAKA-MBARARA'!N25,'23.10 MASAKA-MBARARA'!N25)</f>
        <v>0</v>
      </c>
      <c r="O25" s="15">
        <f t="shared" si="0"/>
        <v>24.714285714285715</v>
      </c>
      <c r="P25" s="15">
        <f t="shared" si="1"/>
        <v>40.428571428571431</v>
      </c>
      <c r="R25" s="51" t="s">
        <v>149</v>
      </c>
      <c r="S25" s="57">
        <f>SUM(C70:C73)</f>
        <v>19</v>
      </c>
      <c r="T25" s="57">
        <f t="shared" ref="T25:AF25" si="17">SUM(D70:D73)</f>
        <v>4.5</v>
      </c>
      <c r="U25" s="57">
        <f t="shared" si="17"/>
        <v>3.5</v>
      </c>
      <c r="V25" s="57">
        <f t="shared" si="17"/>
        <v>4.5</v>
      </c>
      <c r="W25" s="57">
        <f t="shared" si="17"/>
        <v>1.5</v>
      </c>
      <c r="X25" s="57">
        <f t="shared" si="17"/>
        <v>5</v>
      </c>
      <c r="Y25" s="57">
        <f t="shared" si="17"/>
        <v>13.5</v>
      </c>
      <c r="Z25" s="57">
        <f t="shared" si="17"/>
        <v>10.5</v>
      </c>
      <c r="AA25" s="57">
        <f t="shared" si="17"/>
        <v>12.5</v>
      </c>
      <c r="AB25" s="57">
        <f t="shared" si="17"/>
        <v>1</v>
      </c>
      <c r="AC25" s="57">
        <f t="shared" si="17"/>
        <v>7.5</v>
      </c>
      <c r="AD25" s="57">
        <f t="shared" si="17"/>
        <v>0</v>
      </c>
      <c r="AE25" s="56">
        <f t="shared" si="17"/>
        <v>75.5</v>
      </c>
      <c r="AF25" s="56">
        <f t="shared" si="17"/>
        <v>83</v>
      </c>
    </row>
    <row r="26" spans="2:32" ht="23.1" customHeight="1" x14ac:dyDescent="0.25">
      <c r="B26" s="23" t="s">
        <v>53</v>
      </c>
      <c r="C26" s="49">
        <f>AVERAGE('17.10 MASAKA-MBARARA'!C26,'18.10 MASAKA-MBARARA-24H'!C26,'19.10 MASAKA-MBARARA-24H'!C26,'20.10 MASAKA-MBARARA'!C26,'21.10 MASAKA-MBARARA'!C26,'22.10 MASAKA-MBARARA'!C26,'23.10 MASAKA-MBARARA'!C26)</f>
        <v>9.5714285714285712</v>
      </c>
      <c r="D26" s="49">
        <f>AVERAGE('17.10 MASAKA-MBARARA'!D26,'18.10 MASAKA-MBARARA-24H'!D26,'19.10 MASAKA-MBARARA-24H'!D26,'20.10 MASAKA-MBARARA'!D26,'21.10 MASAKA-MBARARA'!D26,'22.10 MASAKA-MBARARA'!D26,'23.10 MASAKA-MBARARA'!D26)</f>
        <v>3.1428571428571428</v>
      </c>
      <c r="E26" s="49">
        <f>AVERAGE('17.10 MASAKA-MBARARA'!E26,'18.10 MASAKA-MBARARA-24H'!E26,'19.10 MASAKA-MBARARA-24H'!E26,'20.10 MASAKA-MBARARA'!E26,'21.10 MASAKA-MBARARA'!E26,'22.10 MASAKA-MBARARA'!E26,'23.10 MASAKA-MBARARA'!E26)</f>
        <v>3</v>
      </c>
      <c r="F26" s="49">
        <f>AVERAGE('17.10 MASAKA-MBARARA'!F26,'18.10 MASAKA-MBARARA-24H'!F26,'19.10 MASAKA-MBARARA-24H'!F26,'20.10 MASAKA-MBARARA'!F26,'21.10 MASAKA-MBARARA'!F26,'22.10 MASAKA-MBARARA'!F26,'23.10 MASAKA-MBARARA'!F26)</f>
        <v>4</v>
      </c>
      <c r="G26" s="49">
        <f>AVERAGE('17.10 MASAKA-MBARARA'!G26,'18.10 MASAKA-MBARARA-24H'!G26,'19.10 MASAKA-MBARARA-24H'!G26,'20.10 MASAKA-MBARARA'!G26,'21.10 MASAKA-MBARARA'!G26,'22.10 MASAKA-MBARARA'!G26,'23.10 MASAKA-MBARARA'!G26)</f>
        <v>0.42857142857142855</v>
      </c>
      <c r="H26" s="49">
        <f>AVERAGE('17.10 MASAKA-MBARARA'!H26,'18.10 MASAKA-MBARARA-24H'!H26,'19.10 MASAKA-MBARARA-24H'!H26,'20.10 MASAKA-MBARARA'!H26,'21.10 MASAKA-MBARARA'!H26,'22.10 MASAKA-MBARARA'!H26,'23.10 MASAKA-MBARARA'!H26)</f>
        <v>1</v>
      </c>
      <c r="I26" s="49">
        <f>AVERAGE('17.10 MASAKA-MBARARA'!I26,'18.10 MASAKA-MBARARA-24H'!I26,'19.10 MASAKA-MBARARA-24H'!I26,'20.10 MASAKA-MBARARA'!I26,'21.10 MASAKA-MBARARA'!I26,'22.10 MASAKA-MBARARA'!I26,'23.10 MASAKA-MBARARA'!I26)</f>
        <v>0.2857142857142857</v>
      </c>
      <c r="J26" s="49">
        <f>AVERAGE('17.10 MASAKA-MBARARA'!J26,'18.10 MASAKA-MBARARA-24H'!J26,'19.10 MASAKA-MBARARA-24H'!J26,'20.10 MASAKA-MBARARA'!J26,'21.10 MASAKA-MBARARA'!J26,'22.10 MASAKA-MBARARA'!J26,'23.10 MASAKA-MBARARA'!J26)</f>
        <v>0.8571428571428571</v>
      </c>
      <c r="K26" s="49">
        <f>AVERAGE('17.10 MASAKA-MBARARA'!K26,'18.10 MASAKA-MBARARA-24H'!K26,'19.10 MASAKA-MBARARA-24H'!K26,'20.10 MASAKA-MBARARA'!K26,'21.10 MASAKA-MBARARA'!K26,'22.10 MASAKA-MBARARA'!K26,'23.10 MASAKA-MBARARA'!K26)</f>
        <v>2.7142857142857144</v>
      </c>
      <c r="L26" s="49">
        <f>AVERAGE('17.10 MASAKA-MBARARA'!L26,'18.10 MASAKA-MBARARA-24H'!L26,'19.10 MASAKA-MBARARA-24H'!L26,'20.10 MASAKA-MBARARA'!L26,'21.10 MASAKA-MBARARA'!L26,'22.10 MASAKA-MBARARA'!L26,'23.10 MASAKA-MBARARA'!L26)</f>
        <v>0.5714285714285714</v>
      </c>
      <c r="M26" s="49">
        <f>AVERAGE('17.10 MASAKA-MBARARA'!M26,'18.10 MASAKA-MBARARA-24H'!M26,'19.10 MASAKA-MBARARA-24H'!M26,'20.10 MASAKA-MBARARA'!M26,'21.10 MASAKA-MBARARA'!M26,'22.10 MASAKA-MBARARA'!M26,'23.10 MASAKA-MBARARA'!M26)</f>
        <v>11.142857142857142</v>
      </c>
      <c r="N26" s="49">
        <f>AVERAGE('17.10 MASAKA-MBARARA'!N26,'18.10 MASAKA-MBARARA-24H'!N26,'19.10 MASAKA-MBARARA-24H'!N26,'20.10 MASAKA-MBARARA'!N26,'21.10 MASAKA-MBARARA'!N26,'22.10 MASAKA-MBARARA'!N26,'23.10 MASAKA-MBARARA'!N26)</f>
        <v>0</v>
      </c>
      <c r="O26" s="15">
        <f t="shared" si="0"/>
        <v>25.571428571428573</v>
      </c>
      <c r="P26" s="15">
        <f t="shared" si="1"/>
        <v>36.714285714285715</v>
      </c>
      <c r="R26" s="51" t="s">
        <v>150</v>
      </c>
      <c r="S26" s="57">
        <f>SUM(C74:C77)</f>
        <v>17</v>
      </c>
      <c r="T26" s="57">
        <f t="shared" ref="T26:AF26" si="18">SUM(D74:D77)</f>
        <v>5.5</v>
      </c>
      <c r="U26" s="57">
        <f t="shared" si="18"/>
        <v>4</v>
      </c>
      <c r="V26" s="57">
        <f t="shared" si="18"/>
        <v>4.5</v>
      </c>
      <c r="W26" s="57">
        <f t="shared" si="18"/>
        <v>1</v>
      </c>
      <c r="X26" s="57">
        <f t="shared" si="18"/>
        <v>5</v>
      </c>
      <c r="Y26" s="57">
        <f t="shared" si="18"/>
        <v>6.5</v>
      </c>
      <c r="Z26" s="57">
        <f t="shared" si="18"/>
        <v>13</v>
      </c>
      <c r="AA26" s="57">
        <f t="shared" si="18"/>
        <v>10</v>
      </c>
      <c r="AB26" s="57">
        <f t="shared" si="18"/>
        <v>0.5</v>
      </c>
      <c r="AC26" s="57">
        <f t="shared" si="18"/>
        <v>6.5</v>
      </c>
      <c r="AD26" s="57">
        <f t="shared" si="18"/>
        <v>0</v>
      </c>
      <c r="AE26" s="56">
        <f t="shared" si="18"/>
        <v>67</v>
      </c>
      <c r="AF26" s="56">
        <f t="shared" si="18"/>
        <v>73.5</v>
      </c>
    </row>
    <row r="27" spans="2:32" ht="23.1" customHeight="1" x14ac:dyDescent="0.25">
      <c r="B27" s="23" t="s">
        <v>54</v>
      </c>
      <c r="C27" s="49">
        <f>AVERAGE('17.10 MASAKA-MBARARA'!C27,'18.10 MASAKA-MBARARA-24H'!C27,'19.10 MASAKA-MBARARA-24H'!C27,'20.10 MASAKA-MBARARA'!C27,'21.10 MASAKA-MBARARA'!C27,'22.10 MASAKA-MBARARA'!C27,'23.10 MASAKA-MBARARA'!C27)</f>
        <v>7.8571428571428568</v>
      </c>
      <c r="D27" s="49">
        <f>AVERAGE('17.10 MASAKA-MBARARA'!D27,'18.10 MASAKA-MBARARA-24H'!D27,'19.10 MASAKA-MBARARA-24H'!D27,'20.10 MASAKA-MBARARA'!D27,'21.10 MASAKA-MBARARA'!D27,'22.10 MASAKA-MBARARA'!D27,'23.10 MASAKA-MBARARA'!D27)</f>
        <v>3.2857142857142856</v>
      </c>
      <c r="E27" s="49">
        <f>AVERAGE('17.10 MASAKA-MBARARA'!E27,'18.10 MASAKA-MBARARA-24H'!E27,'19.10 MASAKA-MBARARA-24H'!E27,'20.10 MASAKA-MBARARA'!E27,'21.10 MASAKA-MBARARA'!E27,'22.10 MASAKA-MBARARA'!E27,'23.10 MASAKA-MBARARA'!E27)</f>
        <v>3</v>
      </c>
      <c r="F27" s="49">
        <f>AVERAGE('17.10 MASAKA-MBARARA'!F27,'18.10 MASAKA-MBARARA-24H'!F27,'19.10 MASAKA-MBARARA-24H'!F27,'20.10 MASAKA-MBARARA'!F27,'21.10 MASAKA-MBARARA'!F27,'22.10 MASAKA-MBARARA'!F27,'23.10 MASAKA-MBARARA'!F27)</f>
        <v>3.5714285714285716</v>
      </c>
      <c r="G27" s="49">
        <f>AVERAGE('17.10 MASAKA-MBARARA'!G27,'18.10 MASAKA-MBARARA-24H'!G27,'19.10 MASAKA-MBARARA-24H'!G27,'20.10 MASAKA-MBARARA'!G27,'21.10 MASAKA-MBARARA'!G27,'22.10 MASAKA-MBARARA'!G27,'23.10 MASAKA-MBARARA'!G27)</f>
        <v>0.14285714285714285</v>
      </c>
      <c r="H27" s="49">
        <f>AVERAGE('17.10 MASAKA-MBARARA'!H27,'18.10 MASAKA-MBARARA-24H'!H27,'19.10 MASAKA-MBARARA-24H'!H27,'20.10 MASAKA-MBARARA'!H27,'21.10 MASAKA-MBARARA'!H27,'22.10 MASAKA-MBARARA'!H27,'23.10 MASAKA-MBARARA'!H27)</f>
        <v>0.5714285714285714</v>
      </c>
      <c r="I27" s="49">
        <f>AVERAGE('17.10 MASAKA-MBARARA'!I27,'18.10 MASAKA-MBARARA-24H'!I27,'19.10 MASAKA-MBARARA-24H'!I27,'20.10 MASAKA-MBARARA'!I27,'21.10 MASAKA-MBARARA'!I27,'22.10 MASAKA-MBARARA'!I27,'23.10 MASAKA-MBARARA'!I27)</f>
        <v>0.7142857142857143</v>
      </c>
      <c r="J27" s="49">
        <f>AVERAGE('17.10 MASAKA-MBARARA'!J27,'18.10 MASAKA-MBARARA-24H'!J27,'19.10 MASAKA-MBARARA-24H'!J27,'20.10 MASAKA-MBARARA'!J27,'21.10 MASAKA-MBARARA'!J27,'22.10 MASAKA-MBARARA'!J27,'23.10 MASAKA-MBARARA'!J27)</f>
        <v>1.4285714285714286</v>
      </c>
      <c r="K27" s="49">
        <f>AVERAGE('17.10 MASAKA-MBARARA'!K27,'18.10 MASAKA-MBARARA-24H'!K27,'19.10 MASAKA-MBARARA-24H'!K27,'20.10 MASAKA-MBARARA'!K27,'21.10 MASAKA-MBARARA'!K27,'22.10 MASAKA-MBARARA'!K27,'23.10 MASAKA-MBARARA'!K27)</f>
        <v>0.8571428571428571</v>
      </c>
      <c r="L27" s="49">
        <f>AVERAGE('17.10 MASAKA-MBARARA'!L27,'18.10 MASAKA-MBARARA-24H'!L27,'19.10 MASAKA-MBARARA-24H'!L27,'20.10 MASAKA-MBARARA'!L27,'21.10 MASAKA-MBARARA'!L27,'22.10 MASAKA-MBARARA'!L27,'23.10 MASAKA-MBARARA'!L27)</f>
        <v>0.2857142857142857</v>
      </c>
      <c r="M27" s="49">
        <f>AVERAGE('17.10 MASAKA-MBARARA'!M27,'18.10 MASAKA-MBARARA-24H'!M27,'19.10 MASAKA-MBARARA-24H'!M27,'20.10 MASAKA-MBARARA'!M27,'21.10 MASAKA-MBARARA'!M27,'22.10 MASAKA-MBARARA'!M27,'23.10 MASAKA-MBARARA'!M27)</f>
        <v>10.285714285714286</v>
      </c>
      <c r="N27" s="49">
        <f>AVERAGE('17.10 MASAKA-MBARARA'!N27,'18.10 MASAKA-MBARARA-24H'!N27,'19.10 MASAKA-MBARARA-24H'!N27,'20.10 MASAKA-MBARARA'!N27,'21.10 MASAKA-MBARARA'!N27,'22.10 MASAKA-MBARARA'!N27,'23.10 MASAKA-MBARARA'!N27)</f>
        <v>0</v>
      </c>
      <c r="O27" s="15">
        <f t="shared" si="0"/>
        <v>21.714285714285715</v>
      </c>
      <c r="P27" s="15">
        <f t="shared" si="1"/>
        <v>32</v>
      </c>
      <c r="R27" s="51" t="s">
        <v>151</v>
      </c>
      <c r="S27" s="57">
        <f>SUM(C78:C81)</f>
        <v>12.5</v>
      </c>
      <c r="T27" s="57">
        <f t="shared" ref="T27:AF27" si="19">SUM(D78:D81)</f>
        <v>4</v>
      </c>
      <c r="U27" s="57">
        <f t="shared" si="19"/>
        <v>4</v>
      </c>
      <c r="V27" s="57">
        <f t="shared" si="19"/>
        <v>5.5</v>
      </c>
      <c r="W27" s="57">
        <f t="shared" si="19"/>
        <v>2</v>
      </c>
      <c r="X27" s="57">
        <f t="shared" si="19"/>
        <v>4</v>
      </c>
      <c r="Y27" s="57">
        <f t="shared" si="19"/>
        <v>5.5</v>
      </c>
      <c r="Z27" s="57">
        <f t="shared" si="19"/>
        <v>12.5</v>
      </c>
      <c r="AA27" s="57">
        <f t="shared" si="19"/>
        <v>10</v>
      </c>
      <c r="AB27" s="57">
        <f t="shared" si="19"/>
        <v>0.5</v>
      </c>
      <c r="AC27" s="57">
        <f t="shared" si="19"/>
        <v>3</v>
      </c>
      <c r="AD27" s="57">
        <f t="shared" si="19"/>
        <v>0</v>
      </c>
      <c r="AE27" s="56">
        <f t="shared" si="19"/>
        <v>60.5</v>
      </c>
      <c r="AF27" s="56">
        <f t="shared" si="19"/>
        <v>63.5</v>
      </c>
    </row>
    <row r="28" spans="2:32" ht="23.1" customHeight="1" x14ac:dyDescent="0.25">
      <c r="B28" s="23" t="s">
        <v>55</v>
      </c>
      <c r="C28" s="49">
        <f>AVERAGE('17.10 MASAKA-MBARARA'!C28,'18.10 MASAKA-MBARARA-24H'!C28,'19.10 MASAKA-MBARARA-24H'!C28,'20.10 MASAKA-MBARARA'!C28,'21.10 MASAKA-MBARARA'!C28,'22.10 MASAKA-MBARARA'!C28,'23.10 MASAKA-MBARARA'!C28)</f>
        <v>9.8571428571428577</v>
      </c>
      <c r="D28" s="49">
        <f>AVERAGE('17.10 MASAKA-MBARARA'!D28,'18.10 MASAKA-MBARARA-24H'!D28,'19.10 MASAKA-MBARARA-24H'!D28,'20.10 MASAKA-MBARARA'!D28,'21.10 MASAKA-MBARARA'!D28,'22.10 MASAKA-MBARARA'!D28,'23.10 MASAKA-MBARARA'!D28)</f>
        <v>3.2857142857142856</v>
      </c>
      <c r="E28" s="49">
        <f>AVERAGE('17.10 MASAKA-MBARARA'!E28,'18.10 MASAKA-MBARARA-24H'!E28,'19.10 MASAKA-MBARARA-24H'!E28,'20.10 MASAKA-MBARARA'!E28,'21.10 MASAKA-MBARARA'!E28,'22.10 MASAKA-MBARARA'!E28,'23.10 MASAKA-MBARARA'!E28)</f>
        <v>3.7142857142857144</v>
      </c>
      <c r="F28" s="49">
        <f>AVERAGE('17.10 MASAKA-MBARARA'!F28,'18.10 MASAKA-MBARARA-24H'!F28,'19.10 MASAKA-MBARARA-24H'!F28,'20.10 MASAKA-MBARARA'!F28,'21.10 MASAKA-MBARARA'!F28,'22.10 MASAKA-MBARARA'!F28,'23.10 MASAKA-MBARARA'!F28)</f>
        <v>6</v>
      </c>
      <c r="G28" s="49">
        <f>AVERAGE('17.10 MASAKA-MBARARA'!G28,'18.10 MASAKA-MBARARA-24H'!G28,'19.10 MASAKA-MBARARA-24H'!G28,'20.10 MASAKA-MBARARA'!G28,'21.10 MASAKA-MBARARA'!G28,'22.10 MASAKA-MBARARA'!G28,'23.10 MASAKA-MBARARA'!G28)</f>
        <v>0.5714285714285714</v>
      </c>
      <c r="H28" s="49">
        <f>AVERAGE('17.10 MASAKA-MBARARA'!H28,'18.10 MASAKA-MBARARA-24H'!H28,'19.10 MASAKA-MBARARA-24H'!H28,'20.10 MASAKA-MBARARA'!H28,'21.10 MASAKA-MBARARA'!H28,'22.10 MASAKA-MBARARA'!H28,'23.10 MASAKA-MBARARA'!H28)</f>
        <v>1.1428571428571428</v>
      </c>
      <c r="I28" s="49">
        <f>AVERAGE('17.10 MASAKA-MBARARA'!I28,'18.10 MASAKA-MBARARA-24H'!I28,'19.10 MASAKA-MBARARA-24H'!I28,'20.10 MASAKA-MBARARA'!I28,'21.10 MASAKA-MBARARA'!I28,'22.10 MASAKA-MBARARA'!I28,'23.10 MASAKA-MBARARA'!I28)</f>
        <v>0.7142857142857143</v>
      </c>
      <c r="J28" s="49">
        <f>AVERAGE('17.10 MASAKA-MBARARA'!J28,'18.10 MASAKA-MBARARA-24H'!J28,'19.10 MASAKA-MBARARA-24H'!J28,'20.10 MASAKA-MBARARA'!J28,'21.10 MASAKA-MBARARA'!J28,'22.10 MASAKA-MBARARA'!J28,'23.10 MASAKA-MBARARA'!J28)</f>
        <v>0.8571428571428571</v>
      </c>
      <c r="K28" s="49">
        <f>AVERAGE('17.10 MASAKA-MBARARA'!K28,'18.10 MASAKA-MBARARA-24H'!K28,'19.10 MASAKA-MBARARA-24H'!K28,'20.10 MASAKA-MBARARA'!K28,'21.10 MASAKA-MBARARA'!K28,'22.10 MASAKA-MBARARA'!K28,'23.10 MASAKA-MBARARA'!K28)</f>
        <v>1.8571428571428572</v>
      </c>
      <c r="L28" s="49">
        <f>AVERAGE('17.10 MASAKA-MBARARA'!L28,'18.10 MASAKA-MBARARA-24H'!L28,'19.10 MASAKA-MBARARA-24H'!L28,'20.10 MASAKA-MBARARA'!L28,'21.10 MASAKA-MBARARA'!L28,'22.10 MASAKA-MBARARA'!L28,'23.10 MASAKA-MBARARA'!L28)</f>
        <v>0</v>
      </c>
      <c r="M28" s="49">
        <f>AVERAGE('17.10 MASAKA-MBARARA'!M28,'18.10 MASAKA-MBARARA-24H'!M28,'19.10 MASAKA-MBARARA-24H'!M28,'20.10 MASAKA-MBARARA'!M28,'21.10 MASAKA-MBARARA'!M28,'22.10 MASAKA-MBARARA'!M28,'23.10 MASAKA-MBARARA'!M28)</f>
        <v>12.857142857142858</v>
      </c>
      <c r="N28" s="49">
        <f>AVERAGE('17.10 MASAKA-MBARARA'!N28,'18.10 MASAKA-MBARARA-24H'!N28,'19.10 MASAKA-MBARARA-24H'!N28,'20.10 MASAKA-MBARARA'!N28,'21.10 MASAKA-MBARARA'!N28,'22.10 MASAKA-MBARARA'!N28,'23.10 MASAKA-MBARARA'!N28)</f>
        <v>0</v>
      </c>
      <c r="O28" s="15">
        <f t="shared" si="0"/>
        <v>28.000000000000004</v>
      </c>
      <c r="P28" s="15">
        <f t="shared" si="1"/>
        <v>40.857142857142861</v>
      </c>
      <c r="R28" s="51" t="s">
        <v>152</v>
      </c>
      <c r="S28" s="57">
        <f>SUM(C82:C85)</f>
        <v>22.5</v>
      </c>
      <c r="T28" s="57">
        <f t="shared" ref="T28:AF28" si="20">SUM(D82:D85)</f>
        <v>8</v>
      </c>
      <c r="U28" s="57">
        <f t="shared" si="20"/>
        <v>7.5</v>
      </c>
      <c r="V28" s="57">
        <f t="shared" si="20"/>
        <v>3.5</v>
      </c>
      <c r="W28" s="57">
        <f t="shared" si="20"/>
        <v>0</v>
      </c>
      <c r="X28" s="57">
        <f t="shared" si="20"/>
        <v>12</v>
      </c>
      <c r="Y28" s="57">
        <f t="shared" si="20"/>
        <v>8</v>
      </c>
      <c r="Z28" s="57">
        <f t="shared" si="20"/>
        <v>10.5</v>
      </c>
      <c r="AA28" s="57">
        <f t="shared" si="20"/>
        <v>9.5</v>
      </c>
      <c r="AB28" s="57">
        <f t="shared" si="20"/>
        <v>1</v>
      </c>
      <c r="AC28" s="57">
        <f t="shared" si="20"/>
        <v>1</v>
      </c>
      <c r="AD28" s="57">
        <f t="shared" si="20"/>
        <v>0</v>
      </c>
      <c r="AE28" s="56">
        <f t="shared" si="20"/>
        <v>82.5</v>
      </c>
      <c r="AF28" s="56">
        <f t="shared" si="20"/>
        <v>83.5</v>
      </c>
    </row>
    <row r="29" spans="2:32" ht="23.1" customHeight="1" x14ac:dyDescent="0.25">
      <c r="B29" s="23" t="s">
        <v>56</v>
      </c>
      <c r="C29" s="49">
        <f>AVERAGE('17.10 MASAKA-MBARARA'!C29,'18.10 MASAKA-MBARARA-24H'!C29,'19.10 MASAKA-MBARARA-24H'!C29,'20.10 MASAKA-MBARARA'!C29,'21.10 MASAKA-MBARARA'!C29,'22.10 MASAKA-MBARARA'!C29,'23.10 MASAKA-MBARARA'!C29)</f>
        <v>8.7142857142857135</v>
      </c>
      <c r="D29" s="49">
        <f>AVERAGE('17.10 MASAKA-MBARARA'!D29,'18.10 MASAKA-MBARARA-24H'!D29,'19.10 MASAKA-MBARARA-24H'!D29,'20.10 MASAKA-MBARARA'!D29,'21.10 MASAKA-MBARARA'!D29,'22.10 MASAKA-MBARARA'!D29,'23.10 MASAKA-MBARARA'!D29)</f>
        <v>3.1428571428571428</v>
      </c>
      <c r="E29" s="49">
        <f>AVERAGE('17.10 MASAKA-MBARARA'!E29,'18.10 MASAKA-MBARARA-24H'!E29,'19.10 MASAKA-MBARARA-24H'!E29,'20.10 MASAKA-MBARARA'!E29,'21.10 MASAKA-MBARARA'!E29,'22.10 MASAKA-MBARARA'!E29,'23.10 MASAKA-MBARARA'!E29)</f>
        <v>1.5714285714285714</v>
      </c>
      <c r="F29" s="49">
        <f>AVERAGE('17.10 MASAKA-MBARARA'!F29,'18.10 MASAKA-MBARARA-24H'!F29,'19.10 MASAKA-MBARARA-24H'!F29,'20.10 MASAKA-MBARARA'!F29,'21.10 MASAKA-MBARARA'!F29,'22.10 MASAKA-MBARARA'!F29,'23.10 MASAKA-MBARARA'!F29)</f>
        <v>5.1428571428571432</v>
      </c>
      <c r="G29" s="49">
        <f>AVERAGE('17.10 MASAKA-MBARARA'!G29,'18.10 MASAKA-MBARARA-24H'!G29,'19.10 MASAKA-MBARARA-24H'!G29,'20.10 MASAKA-MBARARA'!G29,'21.10 MASAKA-MBARARA'!G29,'22.10 MASAKA-MBARARA'!G29,'23.10 MASAKA-MBARARA'!G29)</f>
        <v>0.2857142857142857</v>
      </c>
      <c r="H29" s="49">
        <f>AVERAGE('17.10 MASAKA-MBARARA'!H29,'18.10 MASAKA-MBARARA-24H'!H29,'19.10 MASAKA-MBARARA-24H'!H29,'20.10 MASAKA-MBARARA'!H29,'21.10 MASAKA-MBARARA'!H29,'22.10 MASAKA-MBARARA'!H29,'23.10 MASAKA-MBARARA'!H29)</f>
        <v>1.7142857142857142</v>
      </c>
      <c r="I29" s="49">
        <f>AVERAGE('17.10 MASAKA-MBARARA'!I29,'18.10 MASAKA-MBARARA-24H'!I29,'19.10 MASAKA-MBARARA-24H'!I29,'20.10 MASAKA-MBARARA'!I29,'21.10 MASAKA-MBARARA'!I29,'22.10 MASAKA-MBARARA'!I29,'23.10 MASAKA-MBARARA'!I29)</f>
        <v>1.2857142857142858</v>
      </c>
      <c r="J29" s="49">
        <f>AVERAGE('17.10 MASAKA-MBARARA'!J29,'18.10 MASAKA-MBARARA-24H'!J29,'19.10 MASAKA-MBARARA-24H'!J29,'20.10 MASAKA-MBARARA'!J29,'21.10 MASAKA-MBARARA'!J29,'22.10 MASAKA-MBARARA'!J29,'23.10 MASAKA-MBARARA'!J29)</f>
        <v>1.1428571428571428</v>
      </c>
      <c r="K29" s="49">
        <f>AVERAGE('17.10 MASAKA-MBARARA'!K29,'18.10 MASAKA-MBARARA-24H'!K29,'19.10 MASAKA-MBARARA-24H'!K29,'20.10 MASAKA-MBARARA'!K29,'21.10 MASAKA-MBARARA'!K29,'22.10 MASAKA-MBARARA'!K29,'23.10 MASAKA-MBARARA'!K29)</f>
        <v>1.2857142857142858</v>
      </c>
      <c r="L29" s="49">
        <f>AVERAGE('17.10 MASAKA-MBARARA'!L29,'18.10 MASAKA-MBARARA-24H'!L29,'19.10 MASAKA-MBARARA-24H'!L29,'20.10 MASAKA-MBARARA'!L29,'21.10 MASAKA-MBARARA'!L29,'22.10 MASAKA-MBARARA'!L29,'23.10 MASAKA-MBARARA'!L29)</f>
        <v>0.42857142857142855</v>
      </c>
      <c r="M29" s="49">
        <f>AVERAGE('17.10 MASAKA-MBARARA'!M29,'18.10 MASAKA-MBARARA-24H'!M29,'19.10 MASAKA-MBARARA-24H'!M29,'20.10 MASAKA-MBARARA'!M29,'21.10 MASAKA-MBARARA'!M29,'22.10 MASAKA-MBARARA'!M29,'23.10 MASAKA-MBARARA'!M29)</f>
        <v>10.714285714285714</v>
      </c>
      <c r="N29" s="49">
        <f>AVERAGE('17.10 MASAKA-MBARARA'!N29,'18.10 MASAKA-MBARARA-24H'!N29,'19.10 MASAKA-MBARARA-24H'!N29,'20.10 MASAKA-MBARARA'!N29,'21.10 MASAKA-MBARARA'!N29,'22.10 MASAKA-MBARARA'!N29,'23.10 MASAKA-MBARARA'!N29)</f>
        <v>0</v>
      </c>
      <c r="O29" s="15">
        <f t="shared" si="0"/>
        <v>24.714285714285708</v>
      </c>
      <c r="P29" s="15">
        <f t="shared" si="1"/>
        <v>35.428571428571423</v>
      </c>
      <c r="R29" s="51" t="s">
        <v>153</v>
      </c>
      <c r="S29" s="57">
        <f>SUM(C86:C89)</f>
        <v>9.5</v>
      </c>
      <c r="T29" s="57">
        <f t="shared" ref="T29:AF29" si="21">SUM(D86:D89)</f>
        <v>4</v>
      </c>
      <c r="U29" s="57">
        <f t="shared" si="21"/>
        <v>0.5</v>
      </c>
      <c r="V29" s="57">
        <f t="shared" si="21"/>
        <v>4.5</v>
      </c>
      <c r="W29" s="57">
        <f t="shared" si="21"/>
        <v>1</v>
      </c>
      <c r="X29" s="57">
        <f t="shared" si="21"/>
        <v>7.5</v>
      </c>
      <c r="Y29" s="57">
        <f t="shared" si="21"/>
        <v>4.5</v>
      </c>
      <c r="Z29" s="57">
        <f t="shared" si="21"/>
        <v>12.5</v>
      </c>
      <c r="AA29" s="57">
        <f t="shared" si="21"/>
        <v>10</v>
      </c>
      <c r="AB29" s="57">
        <f t="shared" si="21"/>
        <v>0.5</v>
      </c>
      <c r="AC29" s="57">
        <f t="shared" si="21"/>
        <v>1</v>
      </c>
      <c r="AD29" s="57">
        <f t="shared" si="21"/>
        <v>0</v>
      </c>
      <c r="AE29" s="56">
        <f t="shared" si="21"/>
        <v>54.5</v>
      </c>
      <c r="AF29" s="56">
        <f t="shared" si="21"/>
        <v>55.5</v>
      </c>
    </row>
    <row r="30" spans="2:32" ht="23.1" customHeight="1" x14ac:dyDescent="0.25">
      <c r="B30" s="23" t="s">
        <v>57</v>
      </c>
      <c r="C30" s="49">
        <f>AVERAGE('17.10 MASAKA-MBARARA'!C30,'18.10 MASAKA-MBARARA-24H'!C30,'19.10 MASAKA-MBARARA-24H'!C30,'20.10 MASAKA-MBARARA'!C30,'21.10 MASAKA-MBARARA'!C30,'22.10 MASAKA-MBARARA'!C30,'23.10 MASAKA-MBARARA'!C30)</f>
        <v>8.1428571428571423</v>
      </c>
      <c r="D30" s="49">
        <f>AVERAGE('17.10 MASAKA-MBARARA'!D30,'18.10 MASAKA-MBARARA-24H'!D30,'19.10 MASAKA-MBARARA-24H'!D30,'20.10 MASAKA-MBARARA'!D30,'21.10 MASAKA-MBARARA'!D30,'22.10 MASAKA-MBARARA'!D30,'23.10 MASAKA-MBARARA'!D30)</f>
        <v>3.2857142857142856</v>
      </c>
      <c r="E30" s="49">
        <f>AVERAGE('17.10 MASAKA-MBARARA'!E30,'18.10 MASAKA-MBARARA-24H'!E30,'19.10 MASAKA-MBARARA-24H'!E30,'20.10 MASAKA-MBARARA'!E30,'21.10 MASAKA-MBARARA'!E30,'22.10 MASAKA-MBARARA'!E30,'23.10 MASAKA-MBARARA'!E30)</f>
        <v>3.1428571428571428</v>
      </c>
      <c r="F30" s="49">
        <f>AVERAGE('17.10 MASAKA-MBARARA'!F30,'18.10 MASAKA-MBARARA-24H'!F30,'19.10 MASAKA-MBARARA-24H'!F30,'20.10 MASAKA-MBARARA'!F30,'21.10 MASAKA-MBARARA'!F30,'22.10 MASAKA-MBARARA'!F30,'23.10 MASAKA-MBARARA'!F30)</f>
        <v>3.7142857142857144</v>
      </c>
      <c r="G30" s="49">
        <f>AVERAGE('17.10 MASAKA-MBARARA'!G30,'18.10 MASAKA-MBARARA-24H'!G30,'19.10 MASAKA-MBARARA-24H'!G30,'20.10 MASAKA-MBARARA'!G30,'21.10 MASAKA-MBARARA'!G30,'22.10 MASAKA-MBARARA'!G30,'23.10 MASAKA-MBARARA'!G30)</f>
        <v>0</v>
      </c>
      <c r="H30" s="49">
        <f>AVERAGE('17.10 MASAKA-MBARARA'!H30,'18.10 MASAKA-MBARARA-24H'!H30,'19.10 MASAKA-MBARARA-24H'!H30,'20.10 MASAKA-MBARARA'!H30,'21.10 MASAKA-MBARARA'!H30,'22.10 MASAKA-MBARARA'!H30,'23.10 MASAKA-MBARARA'!H30)</f>
        <v>2.1428571428571428</v>
      </c>
      <c r="I30" s="49">
        <f>AVERAGE('17.10 MASAKA-MBARARA'!I30,'18.10 MASAKA-MBARARA-24H'!I30,'19.10 MASAKA-MBARARA-24H'!I30,'20.10 MASAKA-MBARARA'!I30,'21.10 MASAKA-MBARARA'!I30,'22.10 MASAKA-MBARARA'!I30,'23.10 MASAKA-MBARARA'!I30)</f>
        <v>1.7142857142857142</v>
      </c>
      <c r="J30" s="49">
        <f>AVERAGE('17.10 MASAKA-MBARARA'!J30,'18.10 MASAKA-MBARARA-24H'!J30,'19.10 MASAKA-MBARARA-24H'!J30,'20.10 MASAKA-MBARARA'!J30,'21.10 MASAKA-MBARARA'!J30,'22.10 MASAKA-MBARARA'!J30,'23.10 MASAKA-MBARARA'!J30)</f>
        <v>1</v>
      </c>
      <c r="K30" s="49">
        <f>AVERAGE('17.10 MASAKA-MBARARA'!K30,'18.10 MASAKA-MBARARA-24H'!K30,'19.10 MASAKA-MBARARA-24H'!K30,'20.10 MASAKA-MBARARA'!K30,'21.10 MASAKA-MBARARA'!K30,'22.10 MASAKA-MBARARA'!K30,'23.10 MASAKA-MBARARA'!K30)</f>
        <v>1.5714285714285714</v>
      </c>
      <c r="L30" s="49">
        <f>AVERAGE('17.10 MASAKA-MBARARA'!L30,'18.10 MASAKA-MBARARA-24H'!L30,'19.10 MASAKA-MBARARA-24H'!L30,'20.10 MASAKA-MBARARA'!L30,'21.10 MASAKA-MBARARA'!L30,'22.10 MASAKA-MBARARA'!L30,'23.10 MASAKA-MBARARA'!L30)</f>
        <v>0.5714285714285714</v>
      </c>
      <c r="M30" s="49">
        <f>AVERAGE('17.10 MASAKA-MBARARA'!M30,'18.10 MASAKA-MBARARA-24H'!M30,'19.10 MASAKA-MBARARA-24H'!M30,'20.10 MASAKA-MBARARA'!M30,'21.10 MASAKA-MBARARA'!M30,'22.10 MASAKA-MBARARA'!M30,'23.10 MASAKA-MBARARA'!M30)</f>
        <v>17.714285714285715</v>
      </c>
      <c r="N30" s="49">
        <f>AVERAGE('17.10 MASAKA-MBARARA'!N30,'18.10 MASAKA-MBARARA-24H'!N30,'19.10 MASAKA-MBARARA-24H'!N30,'20.10 MASAKA-MBARARA'!N30,'21.10 MASAKA-MBARARA'!N30,'22.10 MASAKA-MBARARA'!N30,'23.10 MASAKA-MBARARA'!N30)</f>
        <v>0</v>
      </c>
      <c r="O30" s="15">
        <f t="shared" si="0"/>
        <v>25.285714285714288</v>
      </c>
      <c r="P30" s="15">
        <f t="shared" si="1"/>
        <v>43</v>
      </c>
      <c r="R30" s="51" t="s">
        <v>154</v>
      </c>
      <c r="S30" s="57">
        <f>SUM(C90:C93)</f>
        <v>8.5</v>
      </c>
      <c r="T30" s="57">
        <f t="shared" ref="T30:AF30" si="22">SUM(D90:D93)</f>
        <v>3.5</v>
      </c>
      <c r="U30" s="57">
        <f t="shared" si="22"/>
        <v>2</v>
      </c>
      <c r="V30" s="57">
        <f t="shared" si="22"/>
        <v>3.5</v>
      </c>
      <c r="W30" s="57">
        <f t="shared" si="22"/>
        <v>0.5</v>
      </c>
      <c r="X30" s="57">
        <f t="shared" si="22"/>
        <v>8</v>
      </c>
      <c r="Y30" s="57">
        <f t="shared" si="22"/>
        <v>9.5</v>
      </c>
      <c r="Z30" s="57">
        <f t="shared" si="22"/>
        <v>5.5</v>
      </c>
      <c r="AA30" s="57">
        <f t="shared" si="22"/>
        <v>15.5</v>
      </c>
      <c r="AB30" s="57">
        <f t="shared" si="22"/>
        <v>1</v>
      </c>
      <c r="AC30" s="57">
        <f t="shared" si="22"/>
        <v>2.5</v>
      </c>
      <c r="AD30" s="57">
        <f t="shared" si="22"/>
        <v>0</v>
      </c>
      <c r="AE30" s="56">
        <f t="shared" si="22"/>
        <v>57.5</v>
      </c>
      <c r="AF30" s="56">
        <f t="shared" si="22"/>
        <v>60</v>
      </c>
    </row>
    <row r="31" spans="2:32" ht="23.1" customHeight="1" x14ac:dyDescent="0.25">
      <c r="B31" s="24" t="s">
        <v>58</v>
      </c>
      <c r="C31" s="49">
        <f>AVERAGE('17.10 MASAKA-MBARARA'!C31,'18.10 MASAKA-MBARARA-24H'!C31,'19.10 MASAKA-MBARARA-24H'!C31,'20.10 MASAKA-MBARARA'!C31,'21.10 MASAKA-MBARARA'!C31,'22.10 MASAKA-MBARARA'!C31,'23.10 MASAKA-MBARARA'!C31)</f>
        <v>9.4285714285714288</v>
      </c>
      <c r="D31" s="49">
        <f>AVERAGE('17.10 MASAKA-MBARARA'!D31,'18.10 MASAKA-MBARARA-24H'!D31,'19.10 MASAKA-MBARARA-24H'!D31,'20.10 MASAKA-MBARARA'!D31,'21.10 MASAKA-MBARARA'!D31,'22.10 MASAKA-MBARARA'!D31,'23.10 MASAKA-MBARARA'!D31)</f>
        <v>3.7142857142857144</v>
      </c>
      <c r="E31" s="49">
        <f>AVERAGE('17.10 MASAKA-MBARARA'!E31,'18.10 MASAKA-MBARARA-24H'!E31,'19.10 MASAKA-MBARARA-24H'!E31,'20.10 MASAKA-MBARARA'!E31,'21.10 MASAKA-MBARARA'!E31,'22.10 MASAKA-MBARARA'!E31,'23.10 MASAKA-MBARARA'!E31)</f>
        <v>2.2857142857142856</v>
      </c>
      <c r="F31" s="49">
        <f>AVERAGE('17.10 MASAKA-MBARARA'!F31,'18.10 MASAKA-MBARARA-24H'!F31,'19.10 MASAKA-MBARARA-24H'!F31,'20.10 MASAKA-MBARARA'!F31,'21.10 MASAKA-MBARARA'!F31,'22.10 MASAKA-MBARARA'!F31,'23.10 MASAKA-MBARARA'!F31)</f>
        <v>5.4285714285714288</v>
      </c>
      <c r="G31" s="49">
        <f>AVERAGE('17.10 MASAKA-MBARARA'!G31,'18.10 MASAKA-MBARARA-24H'!G31,'19.10 MASAKA-MBARARA-24H'!G31,'20.10 MASAKA-MBARARA'!G31,'21.10 MASAKA-MBARARA'!G31,'22.10 MASAKA-MBARARA'!G31,'23.10 MASAKA-MBARARA'!G31)</f>
        <v>0.14285714285714285</v>
      </c>
      <c r="H31" s="49">
        <f>AVERAGE('17.10 MASAKA-MBARARA'!H31,'18.10 MASAKA-MBARARA-24H'!H31,'19.10 MASAKA-MBARARA-24H'!H31,'20.10 MASAKA-MBARARA'!H31,'21.10 MASAKA-MBARARA'!H31,'22.10 MASAKA-MBARARA'!H31,'23.10 MASAKA-MBARARA'!H31)</f>
        <v>1.2857142857142858</v>
      </c>
      <c r="I31" s="49">
        <f>AVERAGE('17.10 MASAKA-MBARARA'!I31,'18.10 MASAKA-MBARARA-24H'!I31,'19.10 MASAKA-MBARARA-24H'!I31,'20.10 MASAKA-MBARARA'!I31,'21.10 MASAKA-MBARARA'!I31,'22.10 MASAKA-MBARARA'!I31,'23.10 MASAKA-MBARARA'!I31)</f>
        <v>1.8571428571428572</v>
      </c>
      <c r="J31" s="49">
        <f>AVERAGE('17.10 MASAKA-MBARARA'!J31,'18.10 MASAKA-MBARARA-24H'!J31,'19.10 MASAKA-MBARARA-24H'!J31,'20.10 MASAKA-MBARARA'!J31,'21.10 MASAKA-MBARARA'!J31,'22.10 MASAKA-MBARARA'!J31,'23.10 MASAKA-MBARARA'!J31)</f>
        <v>0.7142857142857143</v>
      </c>
      <c r="K31" s="49">
        <f>AVERAGE('17.10 MASAKA-MBARARA'!K31,'18.10 MASAKA-MBARARA-24H'!K31,'19.10 MASAKA-MBARARA-24H'!K31,'20.10 MASAKA-MBARARA'!K31,'21.10 MASAKA-MBARARA'!K31,'22.10 MASAKA-MBARARA'!K31,'23.10 MASAKA-MBARARA'!K31)</f>
        <v>1.5714285714285714</v>
      </c>
      <c r="L31" s="49">
        <f>AVERAGE('17.10 MASAKA-MBARARA'!L31,'18.10 MASAKA-MBARARA-24H'!L31,'19.10 MASAKA-MBARARA-24H'!L31,'20.10 MASAKA-MBARARA'!L31,'21.10 MASAKA-MBARARA'!L31,'22.10 MASAKA-MBARARA'!L31,'23.10 MASAKA-MBARARA'!L31)</f>
        <v>0.8571428571428571</v>
      </c>
      <c r="M31" s="49">
        <f>AVERAGE('17.10 MASAKA-MBARARA'!M31,'18.10 MASAKA-MBARARA-24H'!M31,'19.10 MASAKA-MBARARA-24H'!M31,'20.10 MASAKA-MBARARA'!M31,'21.10 MASAKA-MBARARA'!M31,'22.10 MASAKA-MBARARA'!M31,'23.10 MASAKA-MBARARA'!M31)</f>
        <v>14.428571428571429</v>
      </c>
      <c r="N31" s="49">
        <f>AVERAGE('17.10 MASAKA-MBARARA'!N31,'18.10 MASAKA-MBARARA-24H'!N31,'19.10 MASAKA-MBARARA-24H'!N31,'20.10 MASAKA-MBARARA'!N31,'21.10 MASAKA-MBARARA'!N31,'22.10 MASAKA-MBARARA'!N31,'23.10 MASAKA-MBARARA'!N31)</f>
        <v>0</v>
      </c>
      <c r="O31" s="15">
        <f t="shared" si="0"/>
        <v>27.285714285714285</v>
      </c>
      <c r="P31" s="15">
        <f t="shared" si="1"/>
        <v>41.714285714285715</v>
      </c>
      <c r="R31" s="51" t="s">
        <v>155</v>
      </c>
      <c r="S31" s="57">
        <f>SUM(C94:C97)</f>
        <v>12.5</v>
      </c>
      <c r="T31" s="57">
        <f t="shared" ref="T31:AF31" si="23">SUM(D94:D97)</f>
        <v>1.5</v>
      </c>
      <c r="U31" s="57">
        <f t="shared" si="23"/>
        <v>1</v>
      </c>
      <c r="V31" s="57">
        <f t="shared" si="23"/>
        <v>3</v>
      </c>
      <c r="W31" s="57">
        <f t="shared" si="23"/>
        <v>1</v>
      </c>
      <c r="X31" s="57">
        <f t="shared" si="23"/>
        <v>4.5</v>
      </c>
      <c r="Y31" s="57">
        <f t="shared" si="23"/>
        <v>1.5</v>
      </c>
      <c r="Z31" s="57">
        <f t="shared" si="23"/>
        <v>8</v>
      </c>
      <c r="AA31" s="57">
        <f t="shared" si="23"/>
        <v>8.5</v>
      </c>
      <c r="AB31" s="57">
        <f t="shared" si="23"/>
        <v>0.5</v>
      </c>
      <c r="AC31" s="57">
        <f t="shared" si="23"/>
        <v>2.5</v>
      </c>
      <c r="AD31" s="57">
        <f t="shared" si="23"/>
        <v>0</v>
      </c>
      <c r="AE31" s="56">
        <f t="shared" si="23"/>
        <v>42</v>
      </c>
      <c r="AF31" s="56">
        <f t="shared" si="23"/>
        <v>44.5</v>
      </c>
    </row>
    <row r="32" spans="2:32" ht="23.1" customHeight="1" x14ac:dyDescent="0.25">
      <c r="B32" s="24" t="s">
        <v>59</v>
      </c>
      <c r="C32" s="49">
        <f>AVERAGE('17.10 MASAKA-MBARARA'!C32,'18.10 MASAKA-MBARARA-24H'!C32,'19.10 MASAKA-MBARARA-24H'!C32,'20.10 MASAKA-MBARARA'!C32,'21.10 MASAKA-MBARARA'!C32,'22.10 MASAKA-MBARARA'!C32,'23.10 MASAKA-MBARARA'!C32)</f>
        <v>7.4285714285714288</v>
      </c>
      <c r="D32" s="49">
        <f>AVERAGE('17.10 MASAKA-MBARARA'!D32,'18.10 MASAKA-MBARARA-24H'!D32,'19.10 MASAKA-MBARARA-24H'!D32,'20.10 MASAKA-MBARARA'!D32,'21.10 MASAKA-MBARARA'!D32,'22.10 MASAKA-MBARARA'!D32,'23.10 MASAKA-MBARARA'!D32)</f>
        <v>3.4285714285714284</v>
      </c>
      <c r="E32" s="49">
        <f>AVERAGE('17.10 MASAKA-MBARARA'!E32,'18.10 MASAKA-MBARARA-24H'!E32,'19.10 MASAKA-MBARARA-24H'!E32,'20.10 MASAKA-MBARARA'!E32,'21.10 MASAKA-MBARARA'!E32,'22.10 MASAKA-MBARARA'!E32,'23.10 MASAKA-MBARARA'!E32)</f>
        <v>2</v>
      </c>
      <c r="F32" s="49">
        <f>AVERAGE('17.10 MASAKA-MBARARA'!F32,'18.10 MASAKA-MBARARA-24H'!F32,'19.10 MASAKA-MBARARA-24H'!F32,'20.10 MASAKA-MBARARA'!F32,'21.10 MASAKA-MBARARA'!F32,'22.10 MASAKA-MBARARA'!F32,'23.10 MASAKA-MBARARA'!F32)</f>
        <v>6.1428571428571432</v>
      </c>
      <c r="G32" s="49">
        <f>AVERAGE('17.10 MASAKA-MBARARA'!G32,'18.10 MASAKA-MBARARA-24H'!G32,'19.10 MASAKA-MBARARA-24H'!G32,'20.10 MASAKA-MBARARA'!G32,'21.10 MASAKA-MBARARA'!G32,'22.10 MASAKA-MBARARA'!G32,'23.10 MASAKA-MBARARA'!G32)</f>
        <v>0</v>
      </c>
      <c r="H32" s="49">
        <f>AVERAGE('17.10 MASAKA-MBARARA'!H32,'18.10 MASAKA-MBARARA-24H'!H32,'19.10 MASAKA-MBARARA-24H'!H32,'20.10 MASAKA-MBARARA'!H32,'21.10 MASAKA-MBARARA'!H32,'22.10 MASAKA-MBARARA'!H32,'23.10 MASAKA-MBARARA'!H32)</f>
        <v>1.1428571428571428</v>
      </c>
      <c r="I32" s="49">
        <f>AVERAGE('17.10 MASAKA-MBARARA'!I32,'18.10 MASAKA-MBARARA-24H'!I32,'19.10 MASAKA-MBARARA-24H'!I32,'20.10 MASAKA-MBARARA'!I32,'21.10 MASAKA-MBARARA'!I32,'22.10 MASAKA-MBARARA'!I32,'23.10 MASAKA-MBARARA'!I32)</f>
        <v>2</v>
      </c>
      <c r="J32" s="49">
        <f>AVERAGE('17.10 MASAKA-MBARARA'!J32,'18.10 MASAKA-MBARARA-24H'!J32,'19.10 MASAKA-MBARARA-24H'!J32,'20.10 MASAKA-MBARARA'!J32,'21.10 MASAKA-MBARARA'!J32,'22.10 MASAKA-MBARARA'!J32,'23.10 MASAKA-MBARARA'!J32)</f>
        <v>1.4285714285714286</v>
      </c>
      <c r="K32" s="49">
        <f>AVERAGE('17.10 MASAKA-MBARARA'!K32,'18.10 MASAKA-MBARARA-24H'!K32,'19.10 MASAKA-MBARARA-24H'!K32,'20.10 MASAKA-MBARARA'!K32,'21.10 MASAKA-MBARARA'!K32,'22.10 MASAKA-MBARARA'!K32,'23.10 MASAKA-MBARARA'!K32)</f>
        <v>1.1428571428571428</v>
      </c>
      <c r="L32" s="49">
        <f>AVERAGE('17.10 MASAKA-MBARARA'!L32,'18.10 MASAKA-MBARARA-24H'!L32,'19.10 MASAKA-MBARARA-24H'!L32,'20.10 MASAKA-MBARARA'!L32,'21.10 MASAKA-MBARARA'!L32,'22.10 MASAKA-MBARARA'!L32,'23.10 MASAKA-MBARARA'!L32)</f>
        <v>0.5714285714285714</v>
      </c>
      <c r="M32" s="49">
        <f>AVERAGE('17.10 MASAKA-MBARARA'!M32,'18.10 MASAKA-MBARARA-24H'!M32,'19.10 MASAKA-MBARARA-24H'!M32,'20.10 MASAKA-MBARARA'!M32,'21.10 MASAKA-MBARARA'!M32,'22.10 MASAKA-MBARARA'!M32,'23.10 MASAKA-MBARARA'!M32)</f>
        <v>15.285714285714286</v>
      </c>
      <c r="N32" s="49">
        <f>AVERAGE('17.10 MASAKA-MBARARA'!N32,'18.10 MASAKA-MBARARA-24H'!N32,'19.10 MASAKA-MBARARA-24H'!N32,'20.10 MASAKA-MBARARA'!N32,'21.10 MASAKA-MBARARA'!N32,'22.10 MASAKA-MBARARA'!N32,'23.10 MASAKA-MBARARA'!N32)</f>
        <v>0</v>
      </c>
      <c r="O32" s="15">
        <f t="shared" si="0"/>
        <v>25.285714285714285</v>
      </c>
      <c r="P32" s="15">
        <f t="shared" si="1"/>
        <v>40.571428571428569</v>
      </c>
      <c r="R32" s="51" t="s">
        <v>156</v>
      </c>
      <c r="S32" s="57">
        <f>SUM(C98:C101)</f>
        <v>4</v>
      </c>
      <c r="T32" s="57">
        <f t="shared" ref="T32:AF32" si="24">SUM(D98:D101)</f>
        <v>1.5</v>
      </c>
      <c r="U32" s="57">
        <f t="shared" si="24"/>
        <v>2.5</v>
      </c>
      <c r="V32" s="57">
        <f t="shared" si="24"/>
        <v>4</v>
      </c>
      <c r="W32" s="57">
        <f t="shared" si="24"/>
        <v>0</v>
      </c>
      <c r="X32" s="57">
        <f t="shared" si="24"/>
        <v>3.5</v>
      </c>
      <c r="Y32" s="57">
        <f t="shared" si="24"/>
        <v>1.5</v>
      </c>
      <c r="Z32" s="57">
        <f t="shared" si="24"/>
        <v>8</v>
      </c>
      <c r="AA32" s="57">
        <f t="shared" si="24"/>
        <v>5</v>
      </c>
      <c r="AB32" s="57">
        <f t="shared" si="24"/>
        <v>0.5</v>
      </c>
      <c r="AC32" s="57">
        <f t="shared" si="24"/>
        <v>4.5</v>
      </c>
      <c r="AD32" s="57">
        <f t="shared" si="24"/>
        <v>0</v>
      </c>
      <c r="AE32" s="56">
        <f t="shared" si="24"/>
        <v>30.5</v>
      </c>
      <c r="AF32" s="56">
        <f t="shared" si="24"/>
        <v>35</v>
      </c>
    </row>
    <row r="33" spans="2:32" ht="23.1" customHeight="1" x14ac:dyDescent="0.25">
      <c r="B33" s="23" t="s">
        <v>60</v>
      </c>
      <c r="C33" s="49">
        <f>AVERAGE('17.10 MASAKA-MBARARA'!C33,'18.10 MASAKA-MBARARA-24H'!C33,'19.10 MASAKA-MBARARA-24H'!C33,'20.10 MASAKA-MBARARA'!C33,'21.10 MASAKA-MBARARA'!C33,'22.10 MASAKA-MBARARA'!C33,'23.10 MASAKA-MBARARA'!C33)</f>
        <v>6.8571428571428568</v>
      </c>
      <c r="D33" s="49">
        <f>AVERAGE('17.10 MASAKA-MBARARA'!D33,'18.10 MASAKA-MBARARA-24H'!D33,'19.10 MASAKA-MBARARA-24H'!D33,'20.10 MASAKA-MBARARA'!D33,'21.10 MASAKA-MBARARA'!D33,'22.10 MASAKA-MBARARA'!D33,'23.10 MASAKA-MBARARA'!D33)</f>
        <v>3.2857142857142856</v>
      </c>
      <c r="E33" s="49">
        <f>AVERAGE('17.10 MASAKA-MBARARA'!E33,'18.10 MASAKA-MBARARA-24H'!E33,'19.10 MASAKA-MBARARA-24H'!E33,'20.10 MASAKA-MBARARA'!E33,'21.10 MASAKA-MBARARA'!E33,'22.10 MASAKA-MBARARA'!E33,'23.10 MASAKA-MBARARA'!E33)</f>
        <v>2.1428571428571428</v>
      </c>
      <c r="F33" s="49">
        <f>AVERAGE('17.10 MASAKA-MBARARA'!F33,'18.10 MASAKA-MBARARA-24H'!F33,'19.10 MASAKA-MBARARA-24H'!F33,'20.10 MASAKA-MBARARA'!F33,'21.10 MASAKA-MBARARA'!F33,'22.10 MASAKA-MBARARA'!F33,'23.10 MASAKA-MBARARA'!F33)</f>
        <v>5.5714285714285712</v>
      </c>
      <c r="G33" s="49">
        <f>AVERAGE('17.10 MASAKA-MBARARA'!G33,'18.10 MASAKA-MBARARA-24H'!G33,'19.10 MASAKA-MBARARA-24H'!G33,'20.10 MASAKA-MBARARA'!G33,'21.10 MASAKA-MBARARA'!G33,'22.10 MASAKA-MBARARA'!G33,'23.10 MASAKA-MBARARA'!G33)</f>
        <v>0.5714285714285714</v>
      </c>
      <c r="H33" s="49">
        <f>AVERAGE('17.10 MASAKA-MBARARA'!H33,'18.10 MASAKA-MBARARA-24H'!H33,'19.10 MASAKA-MBARARA-24H'!H33,'20.10 MASAKA-MBARARA'!H33,'21.10 MASAKA-MBARARA'!H33,'22.10 MASAKA-MBARARA'!H33,'23.10 MASAKA-MBARARA'!H33)</f>
        <v>1.2857142857142858</v>
      </c>
      <c r="I33" s="49">
        <f>AVERAGE('17.10 MASAKA-MBARARA'!I33,'18.10 MASAKA-MBARARA-24H'!I33,'19.10 MASAKA-MBARARA-24H'!I33,'20.10 MASAKA-MBARARA'!I33,'21.10 MASAKA-MBARARA'!I33,'22.10 MASAKA-MBARARA'!I33,'23.10 MASAKA-MBARARA'!I33)</f>
        <v>1.4285714285714286</v>
      </c>
      <c r="J33" s="49">
        <f>AVERAGE('17.10 MASAKA-MBARARA'!J33,'18.10 MASAKA-MBARARA-24H'!J33,'19.10 MASAKA-MBARARA-24H'!J33,'20.10 MASAKA-MBARARA'!J33,'21.10 MASAKA-MBARARA'!J33,'22.10 MASAKA-MBARARA'!J33,'23.10 MASAKA-MBARARA'!J33)</f>
        <v>1</v>
      </c>
      <c r="K33" s="49">
        <f>AVERAGE('17.10 MASAKA-MBARARA'!K33,'18.10 MASAKA-MBARARA-24H'!K33,'19.10 MASAKA-MBARARA-24H'!K33,'20.10 MASAKA-MBARARA'!K33,'21.10 MASAKA-MBARARA'!K33,'22.10 MASAKA-MBARARA'!K33,'23.10 MASAKA-MBARARA'!K33)</f>
        <v>0.42857142857142855</v>
      </c>
      <c r="L33" s="49">
        <f>AVERAGE('17.10 MASAKA-MBARARA'!L33,'18.10 MASAKA-MBARARA-24H'!L33,'19.10 MASAKA-MBARARA-24H'!L33,'20.10 MASAKA-MBARARA'!L33,'21.10 MASAKA-MBARARA'!L33,'22.10 MASAKA-MBARARA'!L33,'23.10 MASAKA-MBARARA'!L33)</f>
        <v>0.42857142857142855</v>
      </c>
      <c r="M33" s="49">
        <f>AVERAGE('17.10 MASAKA-MBARARA'!M33,'18.10 MASAKA-MBARARA-24H'!M33,'19.10 MASAKA-MBARARA-24H'!M33,'20.10 MASAKA-MBARARA'!M33,'21.10 MASAKA-MBARARA'!M33,'22.10 MASAKA-MBARARA'!M33,'23.10 MASAKA-MBARARA'!M33)</f>
        <v>13.571428571428571</v>
      </c>
      <c r="N33" s="49">
        <f>AVERAGE('17.10 MASAKA-MBARARA'!N33,'18.10 MASAKA-MBARARA-24H'!N33,'19.10 MASAKA-MBARARA-24H'!N33,'20.10 MASAKA-MBARARA'!N33,'21.10 MASAKA-MBARARA'!N33,'22.10 MASAKA-MBARARA'!N33,'23.10 MASAKA-MBARARA'!N33)</f>
        <v>0</v>
      </c>
      <c r="O33" s="15">
        <f t="shared" si="0"/>
        <v>22.999999999999993</v>
      </c>
      <c r="P33" s="15">
        <f t="shared" si="1"/>
        <v>36.571428571428562</v>
      </c>
      <c r="R33" s="51" t="s">
        <v>157</v>
      </c>
      <c r="S33" s="57">
        <f>SUM(C102:C105)</f>
        <v>15</v>
      </c>
      <c r="T33" s="57">
        <f t="shared" ref="T33:AF33" si="25">SUM(D102:D105)</f>
        <v>1.5</v>
      </c>
      <c r="U33" s="57">
        <f t="shared" si="25"/>
        <v>3</v>
      </c>
      <c r="V33" s="57">
        <f t="shared" si="25"/>
        <v>4.5</v>
      </c>
      <c r="W33" s="57">
        <f t="shared" si="25"/>
        <v>0</v>
      </c>
      <c r="X33" s="57">
        <f t="shared" si="25"/>
        <v>1</v>
      </c>
      <c r="Y33" s="57">
        <f t="shared" si="25"/>
        <v>5.5</v>
      </c>
      <c r="Z33" s="57">
        <f t="shared" si="25"/>
        <v>4</v>
      </c>
      <c r="AA33" s="57">
        <f t="shared" si="25"/>
        <v>11.5</v>
      </c>
      <c r="AB33" s="57">
        <f t="shared" si="25"/>
        <v>0</v>
      </c>
      <c r="AC33" s="57">
        <f t="shared" si="25"/>
        <v>16</v>
      </c>
      <c r="AD33" s="57">
        <f t="shared" si="25"/>
        <v>0</v>
      </c>
      <c r="AE33" s="56">
        <f t="shared" si="25"/>
        <v>46</v>
      </c>
      <c r="AF33" s="56">
        <f t="shared" si="25"/>
        <v>62</v>
      </c>
    </row>
    <row r="34" spans="2:32" ht="23.1" customHeight="1" x14ac:dyDescent="0.25">
      <c r="B34" s="24" t="s">
        <v>61</v>
      </c>
      <c r="C34" s="49">
        <f>AVERAGE('17.10 MASAKA-MBARARA'!C34,'18.10 MASAKA-MBARARA-24H'!C34,'19.10 MASAKA-MBARARA-24H'!C34,'20.10 MASAKA-MBARARA'!C34,'21.10 MASAKA-MBARARA'!C34,'22.10 MASAKA-MBARARA'!C34,'23.10 MASAKA-MBARARA'!C34)</f>
        <v>9.7142857142857135</v>
      </c>
      <c r="D34" s="49">
        <f>AVERAGE('17.10 MASAKA-MBARARA'!D34,'18.10 MASAKA-MBARARA-24H'!D34,'19.10 MASAKA-MBARARA-24H'!D34,'20.10 MASAKA-MBARARA'!D34,'21.10 MASAKA-MBARARA'!D34,'22.10 MASAKA-MBARARA'!D34,'23.10 MASAKA-MBARARA'!D34)</f>
        <v>2.8571428571428572</v>
      </c>
      <c r="E34" s="49">
        <f>AVERAGE('17.10 MASAKA-MBARARA'!E34,'18.10 MASAKA-MBARARA-24H'!E34,'19.10 MASAKA-MBARARA-24H'!E34,'20.10 MASAKA-MBARARA'!E34,'21.10 MASAKA-MBARARA'!E34,'22.10 MASAKA-MBARARA'!E34,'23.10 MASAKA-MBARARA'!E34)</f>
        <v>1.7142857142857142</v>
      </c>
      <c r="F34" s="49">
        <f>AVERAGE('17.10 MASAKA-MBARARA'!F34,'18.10 MASAKA-MBARARA-24H'!F34,'19.10 MASAKA-MBARARA-24H'!F34,'20.10 MASAKA-MBARARA'!F34,'21.10 MASAKA-MBARARA'!F34,'22.10 MASAKA-MBARARA'!F34,'23.10 MASAKA-MBARARA'!F34)</f>
        <v>4.5714285714285712</v>
      </c>
      <c r="G34" s="49">
        <f>AVERAGE('17.10 MASAKA-MBARARA'!G34,'18.10 MASAKA-MBARARA-24H'!G34,'19.10 MASAKA-MBARARA-24H'!G34,'20.10 MASAKA-MBARARA'!G34,'21.10 MASAKA-MBARARA'!G34,'22.10 MASAKA-MBARARA'!G34,'23.10 MASAKA-MBARARA'!G34)</f>
        <v>0.7142857142857143</v>
      </c>
      <c r="H34" s="49">
        <f>AVERAGE('17.10 MASAKA-MBARARA'!H34,'18.10 MASAKA-MBARARA-24H'!H34,'19.10 MASAKA-MBARARA-24H'!H34,'20.10 MASAKA-MBARARA'!H34,'21.10 MASAKA-MBARARA'!H34,'22.10 MASAKA-MBARARA'!H34,'23.10 MASAKA-MBARARA'!H34)</f>
        <v>1</v>
      </c>
      <c r="I34" s="49">
        <f>AVERAGE('17.10 MASAKA-MBARARA'!I34,'18.10 MASAKA-MBARARA-24H'!I34,'19.10 MASAKA-MBARARA-24H'!I34,'20.10 MASAKA-MBARARA'!I34,'21.10 MASAKA-MBARARA'!I34,'22.10 MASAKA-MBARARA'!I34,'23.10 MASAKA-MBARARA'!I34)</f>
        <v>1.4285714285714286</v>
      </c>
      <c r="J34" s="49">
        <f>AVERAGE('17.10 MASAKA-MBARARA'!J34,'18.10 MASAKA-MBARARA-24H'!J34,'19.10 MASAKA-MBARARA-24H'!J34,'20.10 MASAKA-MBARARA'!J34,'21.10 MASAKA-MBARARA'!J34,'22.10 MASAKA-MBARARA'!J34,'23.10 MASAKA-MBARARA'!J34)</f>
        <v>1.7142857142857142</v>
      </c>
      <c r="K34" s="49">
        <f>AVERAGE('17.10 MASAKA-MBARARA'!K34,'18.10 MASAKA-MBARARA-24H'!K34,'19.10 MASAKA-MBARARA-24H'!K34,'20.10 MASAKA-MBARARA'!K34,'21.10 MASAKA-MBARARA'!K34,'22.10 MASAKA-MBARARA'!K34,'23.10 MASAKA-MBARARA'!K34)</f>
        <v>1.7142857142857142</v>
      </c>
      <c r="L34" s="49">
        <f>AVERAGE('17.10 MASAKA-MBARARA'!L34,'18.10 MASAKA-MBARARA-24H'!L34,'19.10 MASAKA-MBARARA-24H'!L34,'20.10 MASAKA-MBARARA'!L34,'21.10 MASAKA-MBARARA'!L34,'22.10 MASAKA-MBARARA'!L34,'23.10 MASAKA-MBARARA'!L34)</f>
        <v>0</v>
      </c>
      <c r="M34" s="49">
        <f>AVERAGE('17.10 MASAKA-MBARARA'!M34,'18.10 MASAKA-MBARARA-24H'!M34,'19.10 MASAKA-MBARARA-24H'!M34,'20.10 MASAKA-MBARARA'!M34,'21.10 MASAKA-MBARARA'!M34,'22.10 MASAKA-MBARARA'!M34,'23.10 MASAKA-MBARARA'!M34)</f>
        <v>13.142857142857142</v>
      </c>
      <c r="N34" s="49">
        <f>AVERAGE('17.10 MASAKA-MBARARA'!N34,'18.10 MASAKA-MBARARA-24H'!N34,'19.10 MASAKA-MBARARA-24H'!N34,'20.10 MASAKA-MBARARA'!N34,'21.10 MASAKA-MBARARA'!N34,'22.10 MASAKA-MBARARA'!N34,'23.10 MASAKA-MBARARA'!N34)</f>
        <v>0</v>
      </c>
      <c r="O34" s="15">
        <f t="shared" si="0"/>
        <v>25.428571428571427</v>
      </c>
      <c r="P34" s="15">
        <f t="shared" si="1"/>
        <v>38.571428571428569</v>
      </c>
      <c r="R34" s="64" t="s">
        <v>90</v>
      </c>
      <c r="S34" s="65">
        <f t="shared" ref="S34:AF34" si="26">MAX(S10:S12)</f>
        <v>33.142857142857146</v>
      </c>
      <c r="T34" s="65">
        <f t="shared" si="26"/>
        <v>16.857142857142858</v>
      </c>
      <c r="U34" s="65">
        <f t="shared" si="26"/>
        <v>9.4285714285714288</v>
      </c>
      <c r="V34" s="65">
        <f t="shared" si="26"/>
        <v>15.714285714285712</v>
      </c>
      <c r="W34" s="65">
        <f t="shared" si="26"/>
        <v>1.4285714285714284</v>
      </c>
      <c r="X34" s="65">
        <f t="shared" si="26"/>
        <v>3.8571428571428572</v>
      </c>
      <c r="Y34" s="65">
        <f t="shared" si="26"/>
        <v>7.2857142857142865</v>
      </c>
      <c r="Z34" s="65">
        <f t="shared" si="26"/>
        <v>5.1428571428571432</v>
      </c>
      <c r="AA34" s="65">
        <f t="shared" si="26"/>
        <v>8.8571428571428577</v>
      </c>
      <c r="AB34" s="65">
        <f t="shared" si="26"/>
        <v>1.4285714285714284</v>
      </c>
      <c r="AC34" s="65">
        <f t="shared" si="26"/>
        <v>48.571428571428569</v>
      </c>
      <c r="AD34" s="65">
        <f t="shared" si="26"/>
        <v>0</v>
      </c>
      <c r="AE34" s="63">
        <f t="shared" si="26"/>
        <v>103.14285714285714</v>
      </c>
      <c r="AF34" s="63">
        <f t="shared" si="26"/>
        <v>151.71428571428569</v>
      </c>
    </row>
    <row r="35" spans="2:32" ht="23.1" customHeight="1" x14ac:dyDescent="0.25">
      <c r="B35" s="24" t="s">
        <v>62</v>
      </c>
      <c r="C35" s="49">
        <f>AVERAGE('17.10 MASAKA-MBARARA'!C35,'18.10 MASAKA-MBARARA-24H'!C35,'19.10 MASAKA-MBARARA-24H'!C35,'20.10 MASAKA-MBARARA'!C35,'21.10 MASAKA-MBARARA'!C35,'22.10 MASAKA-MBARARA'!C35,'23.10 MASAKA-MBARARA'!C35)</f>
        <v>7.4285714285714288</v>
      </c>
      <c r="D35" s="49">
        <f>AVERAGE('17.10 MASAKA-MBARARA'!D35,'18.10 MASAKA-MBARARA-24H'!D35,'19.10 MASAKA-MBARARA-24H'!D35,'20.10 MASAKA-MBARARA'!D35,'21.10 MASAKA-MBARARA'!D35,'22.10 MASAKA-MBARARA'!D35,'23.10 MASAKA-MBARARA'!D35)</f>
        <v>2.2857142857142856</v>
      </c>
      <c r="E35" s="49">
        <f>AVERAGE('17.10 MASAKA-MBARARA'!E35,'18.10 MASAKA-MBARARA-24H'!E35,'19.10 MASAKA-MBARARA-24H'!E35,'20.10 MASAKA-MBARARA'!E35,'21.10 MASAKA-MBARARA'!E35,'22.10 MASAKA-MBARARA'!E35,'23.10 MASAKA-MBARARA'!E35)</f>
        <v>2.2857142857142856</v>
      </c>
      <c r="F35" s="49">
        <f>AVERAGE('17.10 MASAKA-MBARARA'!F35,'18.10 MASAKA-MBARARA-24H'!F35,'19.10 MASAKA-MBARARA-24H'!F35,'20.10 MASAKA-MBARARA'!F35,'21.10 MASAKA-MBARARA'!F35,'22.10 MASAKA-MBARARA'!F35,'23.10 MASAKA-MBARARA'!F35)</f>
        <v>5.8571428571428568</v>
      </c>
      <c r="G35" s="49">
        <f>AVERAGE('17.10 MASAKA-MBARARA'!G35,'18.10 MASAKA-MBARARA-24H'!G35,'19.10 MASAKA-MBARARA-24H'!G35,'20.10 MASAKA-MBARARA'!G35,'21.10 MASAKA-MBARARA'!G35,'22.10 MASAKA-MBARARA'!G35,'23.10 MASAKA-MBARARA'!G35)</f>
        <v>0.14285714285714285</v>
      </c>
      <c r="H35" s="49">
        <f>AVERAGE('17.10 MASAKA-MBARARA'!H35,'18.10 MASAKA-MBARARA-24H'!H35,'19.10 MASAKA-MBARARA-24H'!H35,'20.10 MASAKA-MBARARA'!H35,'21.10 MASAKA-MBARARA'!H35,'22.10 MASAKA-MBARARA'!H35,'23.10 MASAKA-MBARARA'!H35)</f>
        <v>1</v>
      </c>
      <c r="I35" s="49">
        <f>AVERAGE('17.10 MASAKA-MBARARA'!I35,'18.10 MASAKA-MBARARA-24H'!I35,'19.10 MASAKA-MBARARA-24H'!I35,'20.10 MASAKA-MBARARA'!I35,'21.10 MASAKA-MBARARA'!I35,'22.10 MASAKA-MBARARA'!I35,'23.10 MASAKA-MBARARA'!I35)</f>
        <v>2.5714285714285716</v>
      </c>
      <c r="J35" s="49">
        <f>AVERAGE('17.10 MASAKA-MBARARA'!J35,'18.10 MASAKA-MBARARA-24H'!J35,'19.10 MASAKA-MBARARA-24H'!J35,'20.10 MASAKA-MBARARA'!J35,'21.10 MASAKA-MBARARA'!J35,'22.10 MASAKA-MBARARA'!J35,'23.10 MASAKA-MBARARA'!J35)</f>
        <v>0.5714285714285714</v>
      </c>
      <c r="K35" s="49">
        <f>AVERAGE('17.10 MASAKA-MBARARA'!K35,'18.10 MASAKA-MBARARA-24H'!K35,'19.10 MASAKA-MBARARA-24H'!K35,'20.10 MASAKA-MBARARA'!K35,'21.10 MASAKA-MBARARA'!K35,'22.10 MASAKA-MBARARA'!K35,'23.10 MASAKA-MBARARA'!K35)</f>
        <v>1.2857142857142858</v>
      </c>
      <c r="L35" s="49">
        <f>AVERAGE('17.10 MASAKA-MBARARA'!L35,'18.10 MASAKA-MBARARA-24H'!L35,'19.10 MASAKA-MBARARA-24H'!L35,'20.10 MASAKA-MBARARA'!L35,'21.10 MASAKA-MBARARA'!L35,'22.10 MASAKA-MBARARA'!L35,'23.10 MASAKA-MBARARA'!L35)</f>
        <v>0.8571428571428571</v>
      </c>
      <c r="M35" s="49">
        <f>AVERAGE('17.10 MASAKA-MBARARA'!M35,'18.10 MASAKA-MBARARA-24H'!M35,'19.10 MASAKA-MBARARA-24H'!M35,'20.10 MASAKA-MBARARA'!M35,'21.10 MASAKA-MBARARA'!M35,'22.10 MASAKA-MBARARA'!M35,'23.10 MASAKA-MBARARA'!M35)</f>
        <v>12.571428571428571</v>
      </c>
      <c r="N35" s="49">
        <f>AVERAGE('17.10 MASAKA-MBARARA'!N35,'18.10 MASAKA-MBARARA-24H'!N35,'19.10 MASAKA-MBARARA-24H'!N35,'20.10 MASAKA-MBARARA'!N35,'21.10 MASAKA-MBARARA'!N35,'22.10 MASAKA-MBARARA'!N35,'23.10 MASAKA-MBARARA'!N35)</f>
        <v>0</v>
      </c>
      <c r="O35" s="15">
        <f t="shared" si="0"/>
        <v>24.285714285714288</v>
      </c>
      <c r="P35" s="15">
        <f t="shared" si="1"/>
        <v>36.857142857142861</v>
      </c>
      <c r="R35" s="64" t="s">
        <v>91</v>
      </c>
      <c r="S35" s="65">
        <f t="shared" ref="S35:AF35" si="27">MAX(S13:S18)</f>
        <v>36</v>
      </c>
      <c r="T35" s="65">
        <f t="shared" si="27"/>
        <v>17.285714285714285</v>
      </c>
      <c r="U35" s="65">
        <f t="shared" si="27"/>
        <v>12.571428571428571</v>
      </c>
      <c r="V35" s="65">
        <f t="shared" si="27"/>
        <v>21.285714285714285</v>
      </c>
      <c r="W35" s="65">
        <f t="shared" si="27"/>
        <v>1.4285714285714284</v>
      </c>
      <c r="X35" s="65">
        <f t="shared" si="27"/>
        <v>7.8571428571428577</v>
      </c>
      <c r="Y35" s="65">
        <f t="shared" si="27"/>
        <v>8.4285714285714288</v>
      </c>
      <c r="Z35" s="65">
        <f t="shared" si="27"/>
        <v>6.7142857142857144</v>
      </c>
      <c r="AA35" s="65">
        <f t="shared" si="27"/>
        <v>8.1428571428571423</v>
      </c>
      <c r="AB35" s="65">
        <f t="shared" si="27"/>
        <v>2.4285714285714284</v>
      </c>
      <c r="AC35" s="65">
        <f t="shared" si="27"/>
        <v>61</v>
      </c>
      <c r="AD35" s="65">
        <f t="shared" si="27"/>
        <v>0.14285714285714285</v>
      </c>
      <c r="AE35" s="63">
        <f t="shared" si="27"/>
        <v>112.28571428571428</v>
      </c>
      <c r="AF35" s="63">
        <f t="shared" si="27"/>
        <v>167.85714285714286</v>
      </c>
    </row>
    <row r="36" spans="2:32" ht="23.1" customHeight="1" x14ac:dyDescent="0.25">
      <c r="B36" s="24" t="s">
        <v>63</v>
      </c>
      <c r="C36" s="49">
        <f>AVERAGE('17.10 MASAKA-MBARARA'!C36,'18.10 MASAKA-MBARARA-24H'!C36,'19.10 MASAKA-MBARARA-24H'!C36,'20.10 MASAKA-MBARARA'!C36,'21.10 MASAKA-MBARARA'!C36,'22.10 MASAKA-MBARARA'!C36,'23.10 MASAKA-MBARARA'!C36)</f>
        <v>8.4285714285714288</v>
      </c>
      <c r="D36" s="49">
        <f>AVERAGE('17.10 MASAKA-MBARARA'!D36,'18.10 MASAKA-MBARARA-24H'!D36,'19.10 MASAKA-MBARARA-24H'!D36,'20.10 MASAKA-MBARARA'!D36,'21.10 MASAKA-MBARARA'!D36,'22.10 MASAKA-MBARARA'!D36,'23.10 MASAKA-MBARARA'!D36)</f>
        <v>3.1428571428571428</v>
      </c>
      <c r="E36" s="49">
        <f>AVERAGE('17.10 MASAKA-MBARARA'!E36,'18.10 MASAKA-MBARARA-24H'!E36,'19.10 MASAKA-MBARARA-24H'!E36,'20.10 MASAKA-MBARARA'!E36,'21.10 MASAKA-MBARARA'!E36,'22.10 MASAKA-MBARARA'!E36,'23.10 MASAKA-MBARARA'!E36)</f>
        <v>2.4285714285714284</v>
      </c>
      <c r="F36" s="49">
        <f>AVERAGE('17.10 MASAKA-MBARARA'!F36,'18.10 MASAKA-MBARARA-24H'!F36,'19.10 MASAKA-MBARARA-24H'!F36,'20.10 MASAKA-MBARARA'!F36,'21.10 MASAKA-MBARARA'!F36,'22.10 MASAKA-MBARARA'!F36,'23.10 MASAKA-MBARARA'!F36)</f>
        <v>4.4285714285714288</v>
      </c>
      <c r="G36" s="49">
        <f>AVERAGE('17.10 MASAKA-MBARARA'!G36,'18.10 MASAKA-MBARARA-24H'!G36,'19.10 MASAKA-MBARARA-24H'!G36,'20.10 MASAKA-MBARARA'!G36,'21.10 MASAKA-MBARARA'!G36,'22.10 MASAKA-MBARARA'!G36,'23.10 MASAKA-MBARARA'!G36)</f>
        <v>0.14285714285714285</v>
      </c>
      <c r="H36" s="49">
        <f>AVERAGE('17.10 MASAKA-MBARARA'!H36,'18.10 MASAKA-MBARARA-24H'!H36,'19.10 MASAKA-MBARARA-24H'!H36,'20.10 MASAKA-MBARARA'!H36,'21.10 MASAKA-MBARARA'!H36,'22.10 MASAKA-MBARARA'!H36,'23.10 MASAKA-MBARARA'!H36)</f>
        <v>0.5714285714285714</v>
      </c>
      <c r="I36" s="49">
        <f>AVERAGE('17.10 MASAKA-MBARARA'!I36,'18.10 MASAKA-MBARARA-24H'!I36,'19.10 MASAKA-MBARARA-24H'!I36,'20.10 MASAKA-MBARARA'!I36,'21.10 MASAKA-MBARARA'!I36,'22.10 MASAKA-MBARARA'!I36,'23.10 MASAKA-MBARARA'!I36)</f>
        <v>1.7142857142857142</v>
      </c>
      <c r="J36" s="49">
        <f>AVERAGE('17.10 MASAKA-MBARARA'!J36,'18.10 MASAKA-MBARARA-24H'!J36,'19.10 MASAKA-MBARARA-24H'!J36,'20.10 MASAKA-MBARARA'!J36,'21.10 MASAKA-MBARARA'!J36,'22.10 MASAKA-MBARARA'!J36,'23.10 MASAKA-MBARARA'!J36)</f>
        <v>1.1428571428571428</v>
      </c>
      <c r="K36" s="49">
        <f>AVERAGE('17.10 MASAKA-MBARARA'!K36,'18.10 MASAKA-MBARARA-24H'!K36,'19.10 MASAKA-MBARARA-24H'!K36,'20.10 MASAKA-MBARARA'!K36,'21.10 MASAKA-MBARARA'!K36,'22.10 MASAKA-MBARARA'!K36,'23.10 MASAKA-MBARARA'!K36)</f>
        <v>1.2857142857142858</v>
      </c>
      <c r="L36" s="49">
        <f>AVERAGE('17.10 MASAKA-MBARARA'!L36,'18.10 MASAKA-MBARARA-24H'!L36,'19.10 MASAKA-MBARARA-24H'!L36,'20.10 MASAKA-MBARARA'!L36,'21.10 MASAKA-MBARARA'!L36,'22.10 MASAKA-MBARARA'!L36,'23.10 MASAKA-MBARARA'!L36)</f>
        <v>0.5714285714285714</v>
      </c>
      <c r="M36" s="49">
        <f>AVERAGE('17.10 MASAKA-MBARARA'!M36,'18.10 MASAKA-MBARARA-24H'!M36,'19.10 MASAKA-MBARARA-24H'!M36,'20.10 MASAKA-MBARARA'!M36,'21.10 MASAKA-MBARARA'!M36,'22.10 MASAKA-MBARARA'!M36,'23.10 MASAKA-MBARARA'!M36)</f>
        <v>14.285714285714286</v>
      </c>
      <c r="N36" s="49">
        <f>AVERAGE('17.10 MASAKA-MBARARA'!N36,'18.10 MASAKA-MBARARA-24H'!N36,'19.10 MASAKA-MBARARA-24H'!N36,'20.10 MASAKA-MBARARA'!N36,'21.10 MASAKA-MBARARA'!N36,'22.10 MASAKA-MBARARA'!N36,'23.10 MASAKA-MBARARA'!N36)</f>
        <v>0</v>
      </c>
      <c r="O36" s="15">
        <f t="shared" si="0"/>
        <v>23.857142857142861</v>
      </c>
      <c r="P36" s="15">
        <f t="shared" si="1"/>
        <v>38.142857142857146</v>
      </c>
      <c r="R36" s="64" t="s">
        <v>92</v>
      </c>
      <c r="S36" s="65">
        <f t="shared" ref="S36:AF36" si="28">MAX(S19:S21)</f>
        <v>40.571428571428569</v>
      </c>
      <c r="T36" s="65">
        <f t="shared" si="28"/>
        <v>18.142857142857142</v>
      </c>
      <c r="U36" s="65">
        <f t="shared" si="28"/>
        <v>9.4285714285714288</v>
      </c>
      <c r="V36" s="65">
        <f t="shared" si="28"/>
        <v>18.857142857142858</v>
      </c>
      <c r="W36" s="65">
        <f t="shared" si="28"/>
        <v>1.2857142857142856</v>
      </c>
      <c r="X36" s="65">
        <f t="shared" si="28"/>
        <v>7.5714285714285712</v>
      </c>
      <c r="Y36" s="65">
        <f t="shared" si="28"/>
        <v>11.285714285714286</v>
      </c>
      <c r="Z36" s="65">
        <f t="shared" si="28"/>
        <v>11</v>
      </c>
      <c r="AA36" s="65">
        <f t="shared" si="28"/>
        <v>8.2857142857142847</v>
      </c>
      <c r="AB36" s="65">
        <f t="shared" si="28"/>
        <v>2.4285714285714284</v>
      </c>
      <c r="AC36" s="65">
        <f t="shared" si="28"/>
        <v>62.428571428571431</v>
      </c>
      <c r="AD36" s="65">
        <f t="shared" si="28"/>
        <v>0</v>
      </c>
      <c r="AE36" s="63">
        <f t="shared" si="28"/>
        <v>124.28571428571428</v>
      </c>
      <c r="AF36" s="63">
        <f t="shared" si="28"/>
        <v>184.71428571428572</v>
      </c>
    </row>
    <row r="37" spans="2:32" ht="23.1" customHeight="1" x14ac:dyDescent="0.25">
      <c r="B37" s="23" t="s">
        <v>64</v>
      </c>
      <c r="C37" s="49">
        <f>AVERAGE('17.10 MASAKA-MBARARA'!C37,'18.10 MASAKA-MBARARA-24H'!C37,'19.10 MASAKA-MBARARA-24H'!C37,'20.10 MASAKA-MBARARA'!C37,'21.10 MASAKA-MBARARA'!C37,'22.10 MASAKA-MBARARA'!C37,'23.10 MASAKA-MBARARA'!C37)</f>
        <v>6.5714285714285712</v>
      </c>
      <c r="D37" s="49">
        <f>AVERAGE('17.10 MASAKA-MBARARA'!D37,'18.10 MASAKA-MBARARA-24H'!D37,'19.10 MASAKA-MBARARA-24H'!D37,'20.10 MASAKA-MBARARA'!D37,'21.10 MASAKA-MBARARA'!D37,'22.10 MASAKA-MBARARA'!D37,'23.10 MASAKA-MBARARA'!D37)</f>
        <v>2.1428571428571428</v>
      </c>
      <c r="E37" s="49">
        <f>AVERAGE('17.10 MASAKA-MBARARA'!E37,'18.10 MASAKA-MBARARA-24H'!E37,'19.10 MASAKA-MBARARA-24H'!E37,'20.10 MASAKA-MBARARA'!E37,'21.10 MASAKA-MBARARA'!E37,'22.10 MASAKA-MBARARA'!E37,'23.10 MASAKA-MBARARA'!E37)</f>
        <v>1</v>
      </c>
      <c r="F37" s="49">
        <f>AVERAGE('17.10 MASAKA-MBARARA'!F37,'18.10 MASAKA-MBARARA-24H'!F37,'19.10 MASAKA-MBARARA-24H'!F37,'20.10 MASAKA-MBARARA'!F37,'21.10 MASAKA-MBARARA'!F37,'22.10 MASAKA-MBARARA'!F37,'23.10 MASAKA-MBARARA'!F37)</f>
        <v>3.5714285714285716</v>
      </c>
      <c r="G37" s="49">
        <f>AVERAGE('17.10 MASAKA-MBARARA'!G37,'18.10 MASAKA-MBARARA-24H'!G37,'19.10 MASAKA-MBARARA-24H'!G37,'20.10 MASAKA-MBARARA'!G37,'21.10 MASAKA-MBARARA'!G37,'22.10 MASAKA-MBARARA'!G37,'23.10 MASAKA-MBARARA'!G37)</f>
        <v>0.14285714285714285</v>
      </c>
      <c r="H37" s="49">
        <f>AVERAGE('17.10 MASAKA-MBARARA'!H37,'18.10 MASAKA-MBARARA-24H'!H37,'19.10 MASAKA-MBARARA-24H'!H37,'20.10 MASAKA-MBARARA'!H37,'21.10 MASAKA-MBARARA'!H37,'22.10 MASAKA-MBARARA'!H37,'23.10 MASAKA-MBARARA'!H37)</f>
        <v>2</v>
      </c>
      <c r="I37" s="49">
        <f>AVERAGE('17.10 MASAKA-MBARARA'!I37,'18.10 MASAKA-MBARARA-24H'!I37,'19.10 MASAKA-MBARARA-24H'!I37,'20.10 MASAKA-MBARARA'!I37,'21.10 MASAKA-MBARARA'!I37,'22.10 MASAKA-MBARARA'!I37,'23.10 MASAKA-MBARARA'!I37)</f>
        <v>1.7142857142857142</v>
      </c>
      <c r="J37" s="49">
        <f>AVERAGE('17.10 MASAKA-MBARARA'!J37,'18.10 MASAKA-MBARARA-24H'!J37,'19.10 MASAKA-MBARARA-24H'!J37,'20.10 MASAKA-MBARARA'!J37,'21.10 MASAKA-MBARARA'!J37,'22.10 MASAKA-MBARARA'!J37,'23.10 MASAKA-MBARARA'!J37)</f>
        <v>1.4285714285714286</v>
      </c>
      <c r="K37" s="49">
        <f>AVERAGE('17.10 MASAKA-MBARARA'!K37,'18.10 MASAKA-MBARARA-24H'!K37,'19.10 MASAKA-MBARARA-24H'!K37,'20.10 MASAKA-MBARARA'!K37,'21.10 MASAKA-MBARARA'!K37,'22.10 MASAKA-MBARARA'!K37,'23.10 MASAKA-MBARARA'!K37)</f>
        <v>1.1428571428571428</v>
      </c>
      <c r="L37" s="49">
        <f>AVERAGE('17.10 MASAKA-MBARARA'!L37,'18.10 MASAKA-MBARARA-24H'!L37,'19.10 MASAKA-MBARARA-24H'!L37,'20.10 MASAKA-MBARARA'!L37,'21.10 MASAKA-MBARARA'!L37,'22.10 MASAKA-MBARARA'!L37,'23.10 MASAKA-MBARARA'!L37)</f>
        <v>0</v>
      </c>
      <c r="M37" s="49">
        <f>AVERAGE('17.10 MASAKA-MBARARA'!M37,'18.10 MASAKA-MBARARA-24H'!M37,'19.10 MASAKA-MBARARA-24H'!M37,'20.10 MASAKA-MBARARA'!M37,'21.10 MASAKA-MBARARA'!M37,'22.10 MASAKA-MBARARA'!M37,'23.10 MASAKA-MBARARA'!M37)</f>
        <v>14.285714285714286</v>
      </c>
      <c r="N37" s="49">
        <f>AVERAGE('17.10 MASAKA-MBARARA'!N37,'18.10 MASAKA-MBARARA-24H'!N37,'19.10 MASAKA-MBARARA-24H'!N37,'20.10 MASAKA-MBARARA'!N37,'21.10 MASAKA-MBARARA'!N37,'22.10 MASAKA-MBARARA'!N37,'23.10 MASAKA-MBARARA'!N37)</f>
        <v>0</v>
      </c>
      <c r="O37" s="15">
        <f t="shared" si="0"/>
        <v>19.714285714285712</v>
      </c>
      <c r="P37" s="15">
        <f t="shared" si="1"/>
        <v>34</v>
      </c>
      <c r="R37" s="62" t="s">
        <v>85</v>
      </c>
      <c r="S37" s="66">
        <f t="shared" ref="S37:AF37" si="29">SUM(S10:S12)</f>
        <v>89.142857142857139</v>
      </c>
      <c r="T37" s="67">
        <f t="shared" si="29"/>
        <v>44.142857142857146</v>
      </c>
      <c r="U37" s="67">
        <f t="shared" si="29"/>
        <v>25</v>
      </c>
      <c r="V37" s="67">
        <f t="shared" si="29"/>
        <v>41.285714285714278</v>
      </c>
      <c r="W37" s="67">
        <f t="shared" si="29"/>
        <v>2.5714285714285712</v>
      </c>
      <c r="X37" s="67">
        <f t="shared" si="29"/>
        <v>6.4285714285714288</v>
      </c>
      <c r="Y37" s="67">
        <f t="shared" si="29"/>
        <v>20.571428571428573</v>
      </c>
      <c r="Z37" s="67">
        <f t="shared" si="29"/>
        <v>12.714285714285715</v>
      </c>
      <c r="AA37" s="67">
        <f t="shared" si="29"/>
        <v>22.857142857142858</v>
      </c>
      <c r="AB37" s="67">
        <f t="shared" si="29"/>
        <v>3.1428571428571423</v>
      </c>
      <c r="AC37" s="67">
        <f t="shared" si="29"/>
        <v>139.42857142857144</v>
      </c>
      <c r="AD37" s="67">
        <f t="shared" si="29"/>
        <v>0</v>
      </c>
      <c r="AE37" s="68">
        <f t="shared" si="29"/>
        <v>267.85714285714289</v>
      </c>
      <c r="AF37" s="68">
        <f t="shared" si="29"/>
        <v>407.28571428571428</v>
      </c>
    </row>
    <row r="38" spans="2:32" ht="23.1" customHeight="1" x14ac:dyDescent="0.25">
      <c r="B38" s="24" t="s">
        <v>65</v>
      </c>
      <c r="C38" s="49">
        <f>AVERAGE('17.10 MASAKA-MBARARA'!C38,'18.10 MASAKA-MBARARA-24H'!C38,'19.10 MASAKA-MBARARA-24H'!C38,'20.10 MASAKA-MBARARA'!C38,'21.10 MASAKA-MBARARA'!C38,'22.10 MASAKA-MBARARA'!C38,'23.10 MASAKA-MBARARA'!C38)</f>
        <v>6.2857142857142856</v>
      </c>
      <c r="D38" s="49">
        <f>AVERAGE('17.10 MASAKA-MBARARA'!D38,'18.10 MASAKA-MBARARA-24H'!D38,'19.10 MASAKA-MBARARA-24H'!D38,'20.10 MASAKA-MBARARA'!D38,'21.10 MASAKA-MBARARA'!D38,'22.10 MASAKA-MBARARA'!D38,'23.10 MASAKA-MBARARA'!D38)</f>
        <v>2.7142857142857144</v>
      </c>
      <c r="E38" s="49">
        <f>AVERAGE('17.10 MASAKA-MBARARA'!E38,'18.10 MASAKA-MBARARA-24H'!E38,'19.10 MASAKA-MBARARA-24H'!E38,'20.10 MASAKA-MBARARA'!E38,'21.10 MASAKA-MBARARA'!E38,'22.10 MASAKA-MBARARA'!E38,'23.10 MASAKA-MBARARA'!E38)</f>
        <v>0.8571428571428571</v>
      </c>
      <c r="F38" s="49">
        <f>AVERAGE('17.10 MASAKA-MBARARA'!F38,'18.10 MASAKA-MBARARA-24H'!F38,'19.10 MASAKA-MBARARA-24H'!F38,'20.10 MASAKA-MBARARA'!F38,'21.10 MASAKA-MBARARA'!F38,'22.10 MASAKA-MBARARA'!F38,'23.10 MASAKA-MBARARA'!F38)</f>
        <v>3.4285714285714284</v>
      </c>
      <c r="G38" s="49">
        <f>AVERAGE('17.10 MASAKA-MBARARA'!G38,'18.10 MASAKA-MBARARA-24H'!G38,'19.10 MASAKA-MBARARA-24H'!G38,'20.10 MASAKA-MBARARA'!G38,'21.10 MASAKA-MBARARA'!G38,'22.10 MASAKA-MBARARA'!G38,'23.10 MASAKA-MBARARA'!G38)</f>
        <v>0.14285714285714285</v>
      </c>
      <c r="H38" s="49">
        <f>AVERAGE('17.10 MASAKA-MBARARA'!H38,'18.10 MASAKA-MBARARA-24H'!H38,'19.10 MASAKA-MBARARA-24H'!H38,'20.10 MASAKA-MBARARA'!H38,'21.10 MASAKA-MBARARA'!H38,'22.10 MASAKA-MBARARA'!H38,'23.10 MASAKA-MBARARA'!H38)</f>
        <v>1.1428571428571428</v>
      </c>
      <c r="I38" s="49">
        <f>AVERAGE('17.10 MASAKA-MBARARA'!I38,'18.10 MASAKA-MBARARA-24H'!I38,'19.10 MASAKA-MBARARA-24H'!I38,'20.10 MASAKA-MBARARA'!I38,'21.10 MASAKA-MBARARA'!I38,'22.10 MASAKA-MBARARA'!I38,'23.10 MASAKA-MBARARA'!I38)</f>
        <v>1.2857142857142858</v>
      </c>
      <c r="J38" s="49">
        <f>AVERAGE('17.10 MASAKA-MBARARA'!J38,'18.10 MASAKA-MBARARA-24H'!J38,'19.10 MASAKA-MBARARA-24H'!J38,'20.10 MASAKA-MBARARA'!J38,'21.10 MASAKA-MBARARA'!J38,'22.10 MASAKA-MBARARA'!J38,'23.10 MASAKA-MBARARA'!J38)</f>
        <v>1.4285714285714286</v>
      </c>
      <c r="K38" s="49">
        <f>AVERAGE('17.10 MASAKA-MBARARA'!K38,'18.10 MASAKA-MBARARA-24H'!K38,'19.10 MASAKA-MBARARA-24H'!K38,'20.10 MASAKA-MBARARA'!K38,'21.10 MASAKA-MBARARA'!K38,'22.10 MASAKA-MBARARA'!K38,'23.10 MASAKA-MBARARA'!K38)</f>
        <v>1.4285714285714286</v>
      </c>
      <c r="L38" s="49">
        <f>AVERAGE('17.10 MASAKA-MBARARA'!L38,'18.10 MASAKA-MBARARA-24H'!L38,'19.10 MASAKA-MBARARA-24H'!L38,'20.10 MASAKA-MBARARA'!L38,'21.10 MASAKA-MBARARA'!L38,'22.10 MASAKA-MBARARA'!L38,'23.10 MASAKA-MBARARA'!L38)</f>
        <v>0.42857142857142855</v>
      </c>
      <c r="M38" s="49">
        <f>AVERAGE('17.10 MASAKA-MBARARA'!M38,'18.10 MASAKA-MBARARA-24H'!M38,'19.10 MASAKA-MBARARA-24H'!M38,'20.10 MASAKA-MBARARA'!M38,'21.10 MASAKA-MBARARA'!M38,'22.10 MASAKA-MBARARA'!M38,'23.10 MASAKA-MBARARA'!M38)</f>
        <v>11</v>
      </c>
      <c r="N38" s="49">
        <f>AVERAGE('17.10 MASAKA-MBARARA'!N38,'18.10 MASAKA-MBARARA-24H'!N38,'19.10 MASAKA-MBARARA-24H'!N38,'20.10 MASAKA-MBARARA'!N38,'21.10 MASAKA-MBARARA'!N38,'22.10 MASAKA-MBARARA'!N38,'23.10 MASAKA-MBARARA'!N38)</f>
        <v>0</v>
      </c>
      <c r="O38" s="15">
        <f t="shared" si="0"/>
        <v>19.142857142857139</v>
      </c>
      <c r="P38" s="15">
        <f t="shared" si="1"/>
        <v>30.142857142857139</v>
      </c>
      <c r="R38" s="60" t="s">
        <v>86</v>
      </c>
      <c r="S38" s="67">
        <f t="shared" ref="S38:AF38" si="30">SUM(S13:S18)</f>
        <v>197.85714285714286</v>
      </c>
      <c r="T38" s="67">
        <f t="shared" si="30"/>
        <v>83.285714285714292</v>
      </c>
      <c r="U38" s="67">
        <f t="shared" si="30"/>
        <v>56.285714285714292</v>
      </c>
      <c r="V38" s="67">
        <f t="shared" si="30"/>
        <v>116</v>
      </c>
      <c r="W38" s="67">
        <f t="shared" si="30"/>
        <v>5.4285714285714279</v>
      </c>
      <c r="X38" s="67">
        <f t="shared" si="30"/>
        <v>32.571428571428569</v>
      </c>
      <c r="Y38" s="67">
        <f t="shared" si="30"/>
        <v>38.714285714285715</v>
      </c>
      <c r="Z38" s="67">
        <f t="shared" si="30"/>
        <v>33.142857142857146</v>
      </c>
      <c r="AA38" s="67">
        <f t="shared" si="30"/>
        <v>36.428571428571431</v>
      </c>
      <c r="AB38" s="67">
        <f t="shared" si="30"/>
        <v>9.7142857142857135</v>
      </c>
      <c r="AC38" s="67">
        <f t="shared" si="30"/>
        <v>323</v>
      </c>
      <c r="AD38" s="67">
        <f t="shared" si="30"/>
        <v>0.14285714285714285</v>
      </c>
      <c r="AE38" s="68">
        <f t="shared" si="30"/>
        <v>609.57142857142844</v>
      </c>
      <c r="AF38" s="68">
        <f t="shared" si="30"/>
        <v>932.57142857142867</v>
      </c>
    </row>
    <row r="39" spans="2:32" ht="23.1" customHeight="1" x14ac:dyDescent="0.25">
      <c r="B39" s="24" t="s">
        <v>66</v>
      </c>
      <c r="C39" s="49">
        <f>AVERAGE('17.10 MASAKA-MBARARA'!C39,'18.10 MASAKA-MBARARA-24H'!C39,'19.10 MASAKA-MBARARA-24H'!C39,'20.10 MASAKA-MBARARA'!C39,'21.10 MASAKA-MBARARA'!C39,'22.10 MASAKA-MBARARA'!C39,'23.10 MASAKA-MBARARA'!C39)</f>
        <v>6.1428571428571432</v>
      </c>
      <c r="D39" s="49">
        <f>AVERAGE('17.10 MASAKA-MBARARA'!D39,'18.10 MASAKA-MBARARA-24H'!D39,'19.10 MASAKA-MBARARA-24H'!D39,'20.10 MASAKA-MBARARA'!D39,'21.10 MASAKA-MBARARA'!D39,'22.10 MASAKA-MBARARA'!D39,'23.10 MASAKA-MBARARA'!D39)</f>
        <v>3.1428571428571428</v>
      </c>
      <c r="E39" s="49">
        <f>AVERAGE('17.10 MASAKA-MBARARA'!E39,'18.10 MASAKA-MBARARA-24H'!E39,'19.10 MASAKA-MBARARA-24H'!E39,'20.10 MASAKA-MBARARA'!E39,'21.10 MASAKA-MBARARA'!E39,'22.10 MASAKA-MBARARA'!E39,'23.10 MASAKA-MBARARA'!E39)</f>
        <v>1.4285714285714286</v>
      </c>
      <c r="F39" s="49">
        <f>AVERAGE('17.10 MASAKA-MBARARA'!F39,'18.10 MASAKA-MBARARA-24H'!F39,'19.10 MASAKA-MBARARA-24H'!F39,'20.10 MASAKA-MBARARA'!F39,'21.10 MASAKA-MBARARA'!F39,'22.10 MASAKA-MBARARA'!F39,'23.10 MASAKA-MBARARA'!F39)</f>
        <v>4.2857142857142856</v>
      </c>
      <c r="G39" s="49">
        <f>AVERAGE('17.10 MASAKA-MBARARA'!G39,'18.10 MASAKA-MBARARA-24H'!G39,'19.10 MASAKA-MBARARA-24H'!G39,'20.10 MASAKA-MBARARA'!G39,'21.10 MASAKA-MBARARA'!G39,'22.10 MASAKA-MBARARA'!G39,'23.10 MASAKA-MBARARA'!G39)</f>
        <v>0.2857142857142857</v>
      </c>
      <c r="H39" s="49">
        <f>AVERAGE('17.10 MASAKA-MBARARA'!H39,'18.10 MASAKA-MBARARA-24H'!H39,'19.10 MASAKA-MBARARA-24H'!H39,'20.10 MASAKA-MBARARA'!H39,'21.10 MASAKA-MBARARA'!H39,'22.10 MASAKA-MBARARA'!H39,'23.10 MASAKA-MBARARA'!H39)</f>
        <v>1.4285714285714286</v>
      </c>
      <c r="I39" s="49">
        <f>AVERAGE('17.10 MASAKA-MBARARA'!I39,'18.10 MASAKA-MBARARA-24H'!I39,'19.10 MASAKA-MBARARA-24H'!I39,'20.10 MASAKA-MBARARA'!I39,'21.10 MASAKA-MBARARA'!I39,'22.10 MASAKA-MBARARA'!I39,'23.10 MASAKA-MBARARA'!I39)</f>
        <v>1.8571428571428572</v>
      </c>
      <c r="J39" s="49">
        <f>AVERAGE('17.10 MASAKA-MBARARA'!J39,'18.10 MASAKA-MBARARA-24H'!J39,'19.10 MASAKA-MBARARA-24H'!J39,'20.10 MASAKA-MBARARA'!J39,'21.10 MASAKA-MBARARA'!J39,'22.10 MASAKA-MBARARA'!J39,'23.10 MASAKA-MBARARA'!J39)</f>
        <v>1.4285714285714286</v>
      </c>
      <c r="K39" s="49">
        <f>AVERAGE('17.10 MASAKA-MBARARA'!K39,'18.10 MASAKA-MBARARA-24H'!K39,'19.10 MASAKA-MBARARA-24H'!K39,'20.10 MASAKA-MBARARA'!K39,'21.10 MASAKA-MBARARA'!K39,'22.10 MASAKA-MBARARA'!K39,'23.10 MASAKA-MBARARA'!K39)</f>
        <v>2.1428571428571428</v>
      </c>
      <c r="L39" s="49">
        <f>AVERAGE('17.10 MASAKA-MBARARA'!L39,'18.10 MASAKA-MBARARA-24H'!L39,'19.10 MASAKA-MBARARA-24H'!L39,'20.10 MASAKA-MBARARA'!L39,'21.10 MASAKA-MBARARA'!L39,'22.10 MASAKA-MBARARA'!L39,'23.10 MASAKA-MBARARA'!L39)</f>
        <v>0.14285714285714285</v>
      </c>
      <c r="M39" s="49">
        <f>AVERAGE('17.10 MASAKA-MBARARA'!M39,'18.10 MASAKA-MBARARA-24H'!M39,'19.10 MASAKA-MBARARA-24H'!M39,'20.10 MASAKA-MBARARA'!M39,'21.10 MASAKA-MBARARA'!M39,'22.10 MASAKA-MBARARA'!M39,'23.10 MASAKA-MBARARA'!M39)</f>
        <v>13.428571428571429</v>
      </c>
      <c r="N39" s="49">
        <f>AVERAGE('17.10 MASAKA-MBARARA'!N39,'18.10 MASAKA-MBARARA-24H'!N39,'19.10 MASAKA-MBARARA-24H'!N39,'20.10 MASAKA-MBARARA'!N39,'21.10 MASAKA-MBARARA'!N39,'22.10 MASAKA-MBARARA'!N39,'23.10 MASAKA-MBARARA'!N39)</f>
        <v>0</v>
      </c>
      <c r="O39" s="15">
        <f t="shared" si="0"/>
        <v>22.285714285714285</v>
      </c>
      <c r="P39" s="15">
        <f t="shared" si="1"/>
        <v>35.714285714285715</v>
      </c>
      <c r="R39" s="61" t="s">
        <v>87</v>
      </c>
      <c r="S39" s="67">
        <f t="shared" ref="S39:AF39" si="31">SUM(S19:S21)</f>
        <v>113.14285714285714</v>
      </c>
      <c r="T39" s="67">
        <f t="shared" si="31"/>
        <v>47.285714285714285</v>
      </c>
      <c r="U39" s="67">
        <f t="shared" si="31"/>
        <v>26.857142857142858</v>
      </c>
      <c r="V39" s="67">
        <f t="shared" si="31"/>
        <v>54.428571428571431</v>
      </c>
      <c r="W39" s="67">
        <f t="shared" si="31"/>
        <v>2.9999999999999996</v>
      </c>
      <c r="X39" s="67">
        <f t="shared" si="31"/>
        <v>18.857142857142854</v>
      </c>
      <c r="Y39" s="67">
        <f t="shared" si="31"/>
        <v>28</v>
      </c>
      <c r="Z39" s="67">
        <f t="shared" si="31"/>
        <v>32</v>
      </c>
      <c r="AA39" s="67">
        <f t="shared" si="31"/>
        <v>21.714285714285712</v>
      </c>
      <c r="AB39" s="67">
        <f t="shared" si="31"/>
        <v>6</v>
      </c>
      <c r="AC39" s="67">
        <f t="shared" si="31"/>
        <v>185</v>
      </c>
      <c r="AD39" s="67">
        <f t="shared" si="31"/>
        <v>0</v>
      </c>
      <c r="AE39" s="68">
        <f t="shared" si="31"/>
        <v>351.28571428571428</v>
      </c>
      <c r="AF39" s="68">
        <f t="shared" si="31"/>
        <v>536.28571428571433</v>
      </c>
    </row>
    <row r="40" spans="2:32" ht="23.1" customHeight="1" x14ac:dyDescent="0.25">
      <c r="B40" s="24" t="s">
        <v>67</v>
      </c>
      <c r="C40" s="49">
        <f>AVERAGE('17.10 MASAKA-MBARARA'!C40,'18.10 MASAKA-MBARARA-24H'!C40,'19.10 MASAKA-MBARARA-24H'!C40,'20.10 MASAKA-MBARARA'!C40,'21.10 MASAKA-MBARARA'!C40,'22.10 MASAKA-MBARARA'!C40,'23.10 MASAKA-MBARARA'!C40)</f>
        <v>8.7142857142857135</v>
      </c>
      <c r="D40" s="49">
        <f>AVERAGE('17.10 MASAKA-MBARARA'!D40,'18.10 MASAKA-MBARARA-24H'!D40,'19.10 MASAKA-MBARARA-24H'!D40,'20.10 MASAKA-MBARARA'!D40,'21.10 MASAKA-MBARARA'!D40,'22.10 MASAKA-MBARARA'!D40,'23.10 MASAKA-MBARARA'!D40)</f>
        <v>3.1428571428571428</v>
      </c>
      <c r="E40" s="49">
        <f>AVERAGE('17.10 MASAKA-MBARARA'!E40,'18.10 MASAKA-MBARARA-24H'!E40,'19.10 MASAKA-MBARARA-24H'!E40,'20.10 MASAKA-MBARARA'!E40,'21.10 MASAKA-MBARARA'!E40,'22.10 MASAKA-MBARARA'!E40,'23.10 MASAKA-MBARARA'!E40)</f>
        <v>2.7142857142857144</v>
      </c>
      <c r="F40" s="49">
        <f>AVERAGE('17.10 MASAKA-MBARARA'!F40,'18.10 MASAKA-MBARARA-24H'!F40,'19.10 MASAKA-MBARARA-24H'!F40,'20.10 MASAKA-MBARARA'!F40,'21.10 MASAKA-MBARARA'!F40,'22.10 MASAKA-MBARARA'!F40,'23.10 MASAKA-MBARARA'!F40)</f>
        <v>5</v>
      </c>
      <c r="G40" s="49">
        <f>AVERAGE('17.10 MASAKA-MBARARA'!G40,'18.10 MASAKA-MBARARA-24H'!G40,'19.10 MASAKA-MBARARA-24H'!G40,'20.10 MASAKA-MBARARA'!G40,'21.10 MASAKA-MBARARA'!G40,'22.10 MASAKA-MBARARA'!G40,'23.10 MASAKA-MBARARA'!G40)</f>
        <v>0.42857142857142855</v>
      </c>
      <c r="H40" s="49">
        <f>AVERAGE('17.10 MASAKA-MBARARA'!H40,'18.10 MASAKA-MBARARA-24H'!H40,'19.10 MASAKA-MBARARA-24H'!H40,'20.10 MASAKA-MBARARA'!H40,'21.10 MASAKA-MBARARA'!H40,'22.10 MASAKA-MBARARA'!H40,'23.10 MASAKA-MBARARA'!H40)</f>
        <v>2.2857142857142856</v>
      </c>
      <c r="I40" s="49">
        <f>AVERAGE('17.10 MASAKA-MBARARA'!I40,'18.10 MASAKA-MBARARA-24H'!I40,'19.10 MASAKA-MBARARA-24H'!I40,'20.10 MASAKA-MBARARA'!I40,'21.10 MASAKA-MBARARA'!I40,'22.10 MASAKA-MBARARA'!I40,'23.10 MASAKA-MBARARA'!I40)</f>
        <v>1.4285714285714286</v>
      </c>
      <c r="J40" s="49">
        <f>AVERAGE('17.10 MASAKA-MBARARA'!J40,'18.10 MASAKA-MBARARA-24H'!J40,'19.10 MASAKA-MBARARA-24H'!J40,'20.10 MASAKA-MBARARA'!J40,'21.10 MASAKA-MBARARA'!J40,'22.10 MASAKA-MBARARA'!J40,'23.10 MASAKA-MBARARA'!J40)</f>
        <v>2.4285714285714284</v>
      </c>
      <c r="K40" s="49">
        <f>AVERAGE('17.10 MASAKA-MBARARA'!K40,'18.10 MASAKA-MBARARA-24H'!K40,'19.10 MASAKA-MBARARA-24H'!K40,'20.10 MASAKA-MBARARA'!K40,'21.10 MASAKA-MBARARA'!K40,'22.10 MASAKA-MBARARA'!K40,'23.10 MASAKA-MBARARA'!K40)</f>
        <v>1.2857142857142858</v>
      </c>
      <c r="L40" s="49">
        <f>AVERAGE('17.10 MASAKA-MBARARA'!L40,'18.10 MASAKA-MBARARA-24H'!L40,'19.10 MASAKA-MBARARA-24H'!L40,'20.10 MASAKA-MBARARA'!L40,'21.10 MASAKA-MBARARA'!L40,'22.10 MASAKA-MBARARA'!L40,'23.10 MASAKA-MBARARA'!L40)</f>
        <v>0.7142857142857143</v>
      </c>
      <c r="M40" s="49">
        <f>AVERAGE('17.10 MASAKA-MBARARA'!M40,'18.10 MASAKA-MBARARA-24H'!M40,'19.10 MASAKA-MBARARA-24H'!M40,'20.10 MASAKA-MBARARA'!M40,'21.10 MASAKA-MBARARA'!M40,'22.10 MASAKA-MBARARA'!M40,'23.10 MASAKA-MBARARA'!M40)</f>
        <v>15.714285714285714</v>
      </c>
      <c r="N40" s="49">
        <f>AVERAGE('17.10 MASAKA-MBARARA'!N40,'18.10 MASAKA-MBARARA-24H'!N40,'19.10 MASAKA-MBARARA-24H'!N40,'20.10 MASAKA-MBARARA'!N40,'21.10 MASAKA-MBARARA'!N40,'22.10 MASAKA-MBARARA'!N40,'23.10 MASAKA-MBARARA'!N40)</f>
        <v>0</v>
      </c>
      <c r="O40" s="15">
        <f t="shared" si="0"/>
        <v>28.142857142857135</v>
      </c>
      <c r="P40" s="15">
        <f t="shared" si="1"/>
        <v>43.857142857142847</v>
      </c>
      <c r="R40" s="59" t="s">
        <v>17</v>
      </c>
      <c r="S40" s="67">
        <f t="shared" ref="S40:AF40" si="32">SUM(S10:S21)</f>
        <v>400.14285714285711</v>
      </c>
      <c r="T40" s="67">
        <f t="shared" si="32"/>
        <v>174.71428571428572</v>
      </c>
      <c r="U40" s="67">
        <f t="shared" si="32"/>
        <v>108.14285714285714</v>
      </c>
      <c r="V40" s="67">
        <f t="shared" si="32"/>
        <v>211.71428571428572</v>
      </c>
      <c r="W40" s="67">
        <f t="shared" si="32"/>
        <v>11</v>
      </c>
      <c r="X40" s="67">
        <f t="shared" si="32"/>
        <v>57.857142857142854</v>
      </c>
      <c r="Y40" s="67">
        <f t="shared" si="32"/>
        <v>87.285714285714292</v>
      </c>
      <c r="Z40" s="67">
        <f t="shared" si="32"/>
        <v>77.857142857142861</v>
      </c>
      <c r="AA40" s="67">
        <f t="shared" si="32"/>
        <v>81</v>
      </c>
      <c r="AB40" s="67">
        <f t="shared" si="32"/>
        <v>18.857142857142854</v>
      </c>
      <c r="AC40" s="67">
        <f t="shared" si="32"/>
        <v>647.42857142857133</v>
      </c>
      <c r="AD40" s="67">
        <f t="shared" si="32"/>
        <v>0.14285714285714285</v>
      </c>
      <c r="AE40" s="68">
        <f t="shared" si="32"/>
        <v>1228.7142857142856</v>
      </c>
      <c r="AF40" s="68">
        <f t="shared" si="32"/>
        <v>1876.1428571428571</v>
      </c>
    </row>
    <row r="41" spans="2:32" ht="23.1" customHeight="1" x14ac:dyDescent="0.25">
      <c r="B41" s="23" t="s">
        <v>68</v>
      </c>
      <c r="C41" s="49">
        <f>AVERAGE('17.10 MASAKA-MBARARA'!C41,'18.10 MASAKA-MBARARA-24H'!C41,'19.10 MASAKA-MBARARA-24H'!C41,'20.10 MASAKA-MBARARA'!C41,'21.10 MASAKA-MBARARA'!C41,'22.10 MASAKA-MBARARA'!C41,'23.10 MASAKA-MBARARA'!C41)</f>
        <v>8.8571428571428577</v>
      </c>
      <c r="D41" s="49">
        <f>AVERAGE('17.10 MASAKA-MBARARA'!D41,'18.10 MASAKA-MBARARA-24H'!D41,'19.10 MASAKA-MBARARA-24H'!D41,'20.10 MASAKA-MBARARA'!D41,'21.10 MASAKA-MBARARA'!D41,'22.10 MASAKA-MBARARA'!D41,'23.10 MASAKA-MBARARA'!D41)</f>
        <v>4</v>
      </c>
      <c r="E41" s="49">
        <f>AVERAGE('17.10 MASAKA-MBARARA'!E41,'18.10 MASAKA-MBARARA-24H'!E41,'19.10 MASAKA-MBARARA-24H'!E41,'20.10 MASAKA-MBARARA'!E41,'21.10 MASAKA-MBARARA'!E41,'22.10 MASAKA-MBARARA'!E41,'23.10 MASAKA-MBARARA'!E41)</f>
        <v>1.4285714285714286</v>
      </c>
      <c r="F41" s="49">
        <f>AVERAGE('17.10 MASAKA-MBARARA'!F41,'18.10 MASAKA-MBARARA-24H'!F41,'19.10 MASAKA-MBARARA-24H'!F41,'20.10 MASAKA-MBARARA'!F41,'21.10 MASAKA-MBARARA'!F41,'22.10 MASAKA-MBARARA'!F41,'23.10 MASAKA-MBARARA'!F41)</f>
        <v>3.1428571428571428</v>
      </c>
      <c r="G41" s="49">
        <f>AVERAGE('17.10 MASAKA-MBARARA'!G41,'18.10 MASAKA-MBARARA-24H'!G41,'19.10 MASAKA-MBARARA-24H'!G41,'20.10 MASAKA-MBARARA'!G41,'21.10 MASAKA-MBARARA'!G41,'22.10 MASAKA-MBARARA'!G41,'23.10 MASAKA-MBARARA'!G41)</f>
        <v>0</v>
      </c>
      <c r="H41" s="49">
        <f>AVERAGE('17.10 MASAKA-MBARARA'!H41,'18.10 MASAKA-MBARARA-24H'!H41,'19.10 MASAKA-MBARARA-24H'!H41,'20.10 MASAKA-MBARARA'!H41,'21.10 MASAKA-MBARARA'!H41,'22.10 MASAKA-MBARARA'!H41,'23.10 MASAKA-MBARARA'!H41)</f>
        <v>1</v>
      </c>
      <c r="I41" s="49">
        <f>AVERAGE('17.10 MASAKA-MBARARA'!I41,'18.10 MASAKA-MBARARA-24H'!I41,'19.10 MASAKA-MBARARA-24H'!I41,'20.10 MASAKA-MBARARA'!I41,'21.10 MASAKA-MBARARA'!I41,'22.10 MASAKA-MBARARA'!I41,'23.10 MASAKA-MBARARA'!I41)</f>
        <v>0.7142857142857143</v>
      </c>
      <c r="J41" s="49">
        <f>AVERAGE('17.10 MASAKA-MBARARA'!J41,'18.10 MASAKA-MBARARA-24H'!J41,'19.10 MASAKA-MBARARA-24H'!J41,'20.10 MASAKA-MBARARA'!J41,'21.10 MASAKA-MBARARA'!J41,'22.10 MASAKA-MBARARA'!J41,'23.10 MASAKA-MBARARA'!J41)</f>
        <v>1.4285714285714286</v>
      </c>
      <c r="K41" s="49">
        <f>AVERAGE('17.10 MASAKA-MBARARA'!K41,'18.10 MASAKA-MBARARA-24H'!K41,'19.10 MASAKA-MBARARA-24H'!K41,'20.10 MASAKA-MBARARA'!K41,'21.10 MASAKA-MBARARA'!K41,'22.10 MASAKA-MBARARA'!K41,'23.10 MASAKA-MBARARA'!K41)</f>
        <v>1.2857142857142858</v>
      </c>
      <c r="L41" s="49">
        <f>AVERAGE('17.10 MASAKA-MBARARA'!L41,'18.10 MASAKA-MBARARA-24H'!L41,'19.10 MASAKA-MBARARA-24H'!L41,'20.10 MASAKA-MBARARA'!L41,'21.10 MASAKA-MBARARA'!L41,'22.10 MASAKA-MBARARA'!L41,'23.10 MASAKA-MBARARA'!L41)</f>
        <v>0.42857142857142855</v>
      </c>
      <c r="M41" s="49">
        <f>AVERAGE('17.10 MASAKA-MBARARA'!M41,'18.10 MASAKA-MBARARA-24H'!M41,'19.10 MASAKA-MBARARA-24H'!M41,'20.10 MASAKA-MBARARA'!M41,'21.10 MASAKA-MBARARA'!M41,'22.10 MASAKA-MBARARA'!M41,'23.10 MASAKA-MBARARA'!M41)</f>
        <v>12.428571428571429</v>
      </c>
      <c r="N41" s="49">
        <f>AVERAGE('17.10 MASAKA-MBARARA'!N41,'18.10 MASAKA-MBARARA-24H'!N41,'19.10 MASAKA-MBARARA-24H'!N41,'20.10 MASAKA-MBARARA'!N41,'21.10 MASAKA-MBARARA'!N41,'22.10 MASAKA-MBARARA'!N41,'23.10 MASAKA-MBARARA'!N41)</f>
        <v>0</v>
      </c>
      <c r="O41" s="15">
        <f t="shared" si="0"/>
        <v>22.285714285714285</v>
      </c>
      <c r="P41" s="15">
        <f t="shared" si="1"/>
        <v>34.714285714285715</v>
      </c>
      <c r="R41" s="59" t="s">
        <v>186</v>
      </c>
      <c r="S41" s="67">
        <f>SUM(S10:S33)</f>
        <v>605.14285714285711</v>
      </c>
      <c r="T41" s="67">
        <f t="shared" ref="T41:AD41" si="33">SUM(T10:T33)</f>
        <v>229.71428571428572</v>
      </c>
      <c r="U41" s="67">
        <f t="shared" si="33"/>
        <v>152.64285714285714</v>
      </c>
      <c r="V41" s="67">
        <f t="shared" si="33"/>
        <v>285.71428571428572</v>
      </c>
      <c r="W41" s="67">
        <f t="shared" si="33"/>
        <v>19</v>
      </c>
      <c r="X41" s="67">
        <f t="shared" si="33"/>
        <v>121.85714285714286</v>
      </c>
      <c r="Y41" s="67">
        <f t="shared" si="33"/>
        <v>171.78571428571428</v>
      </c>
      <c r="Z41" s="67">
        <f t="shared" si="33"/>
        <v>187.85714285714286</v>
      </c>
      <c r="AA41" s="67">
        <f t="shared" si="33"/>
        <v>213</v>
      </c>
      <c r="AB41" s="67">
        <f t="shared" si="33"/>
        <v>32.857142857142854</v>
      </c>
      <c r="AC41" s="67">
        <f t="shared" si="33"/>
        <v>747.42857142857133</v>
      </c>
      <c r="AD41" s="67">
        <f t="shared" si="33"/>
        <v>0.14285714285714285</v>
      </c>
      <c r="AE41" s="68">
        <f>SUM(AE10:AE33)</f>
        <v>2019.7142857142856</v>
      </c>
      <c r="AF41" s="68">
        <f>SUM(AF10:AF33)</f>
        <v>2767.1428571428569</v>
      </c>
    </row>
    <row r="42" spans="2:32" ht="23.1" customHeight="1" x14ac:dyDescent="0.25">
      <c r="B42" s="24" t="s">
        <v>69</v>
      </c>
      <c r="C42" s="49">
        <f>AVERAGE('17.10 MASAKA-MBARARA'!C42,'18.10 MASAKA-MBARARA-24H'!C42,'19.10 MASAKA-MBARARA-24H'!C42,'20.10 MASAKA-MBARARA'!C42,'21.10 MASAKA-MBARARA'!C42,'22.10 MASAKA-MBARARA'!C42,'23.10 MASAKA-MBARARA'!C42)</f>
        <v>9.5714285714285712</v>
      </c>
      <c r="D42" s="49">
        <f>AVERAGE('17.10 MASAKA-MBARARA'!D42,'18.10 MASAKA-MBARARA-24H'!D42,'19.10 MASAKA-MBARARA-24H'!D42,'20.10 MASAKA-MBARARA'!D42,'21.10 MASAKA-MBARARA'!D42,'22.10 MASAKA-MBARARA'!D42,'23.10 MASAKA-MBARARA'!D42)</f>
        <v>4</v>
      </c>
      <c r="E42" s="49">
        <f>AVERAGE('17.10 MASAKA-MBARARA'!E42,'18.10 MASAKA-MBARARA-24H'!E42,'19.10 MASAKA-MBARARA-24H'!E42,'20.10 MASAKA-MBARARA'!E42,'21.10 MASAKA-MBARARA'!E42,'22.10 MASAKA-MBARARA'!E42,'23.10 MASAKA-MBARARA'!E42)</f>
        <v>1.8571428571428572</v>
      </c>
      <c r="F42" s="49">
        <f>AVERAGE('17.10 MASAKA-MBARARA'!F42,'18.10 MASAKA-MBARARA-24H'!F42,'19.10 MASAKA-MBARARA-24H'!F42,'20.10 MASAKA-MBARARA'!F42,'21.10 MASAKA-MBARARA'!F42,'22.10 MASAKA-MBARARA'!F42,'23.10 MASAKA-MBARARA'!F42)</f>
        <v>4.8571428571428568</v>
      </c>
      <c r="G42" s="49">
        <f>AVERAGE('17.10 MASAKA-MBARARA'!G42,'18.10 MASAKA-MBARARA-24H'!G42,'19.10 MASAKA-MBARARA-24H'!G42,'20.10 MASAKA-MBARARA'!G42,'21.10 MASAKA-MBARARA'!G42,'22.10 MASAKA-MBARARA'!G42,'23.10 MASAKA-MBARARA'!G42)</f>
        <v>0</v>
      </c>
      <c r="H42" s="49">
        <f>AVERAGE('17.10 MASAKA-MBARARA'!H42,'18.10 MASAKA-MBARARA-24H'!H42,'19.10 MASAKA-MBARARA-24H'!H42,'20.10 MASAKA-MBARARA'!H42,'21.10 MASAKA-MBARARA'!H42,'22.10 MASAKA-MBARARA'!H42,'23.10 MASAKA-MBARARA'!H42)</f>
        <v>1.4285714285714286</v>
      </c>
      <c r="I42" s="49">
        <f>AVERAGE('17.10 MASAKA-MBARARA'!I42,'18.10 MASAKA-MBARARA-24H'!I42,'19.10 MASAKA-MBARARA-24H'!I42,'20.10 MASAKA-MBARARA'!I42,'21.10 MASAKA-MBARARA'!I42,'22.10 MASAKA-MBARARA'!I42,'23.10 MASAKA-MBARARA'!I42)</f>
        <v>2.5714285714285716</v>
      </c>
      <c r="J42" s="49">
        <f>AVERAGE('17.10 MASAKA-MBARARA'!J42,'18.10 MASAKA-MBARARA-24H'!J42,'19.10 MASAKA-MBARARA-24H'!J42,'20.10 MASAKA-MBARARA'!J42,'21.10 MASAKA-MBARARA'!J42,'22.10 MASAKA-MBARARA'!J42,'23.10 MASAKA-MBARARA'!J42)</f>
        <v>1.5714285714285714</v>
      </c>
      <c r="K42" s="49">
        <f>AVERAGE('17.10 MASAKA-MBARARA'!K42,'18.10 MASAKA-MBARARA-24H'!K42,'19.10 MASAKA-MBARARA-24H'!K42,'20.10 MASAKA-MBARARA'!K42,'21.10 MASAKA-MBARARA'!K42,'22.10 MASAKA-MBARARA'!K42,'23.10 MASAKA-MBARARA'!K42)</f>
        <v>0.5714285714285714</v>
      </c>
      <c r="L42" s="49">
        <f>AVERAGE('17.10 MASAKA-MBARARA'!L42,'18.10 MASAKA-MBARARA-24H'!L42,'19.10 MASAKA-MBARARA-24H'!L42,'20.10 MASAKA-MBARARA'!L42,'21.10 MASAKA-MBARARA'!L42,'22.10 MASAKA-MBARARA'!L42,'23.10 MASAKA-MBARARA'!L42)</f>
        <v>0.2857142857142857</v>
      </c>
      <c r="M42" s="49">
        <f>AVERAGE('17.10 MASAKA-MBARARA'!M42,'18.10 MASAKA-MBARARA-24H'!M42,'19.10 MASAKA-MBARARA-24H'!M42,'20.10 MASAKA-MBARARA'!M42,'21.10 MASAKA-MBARARA'!M42,'22.10 MASAKA-MBARARA'!M42,'23.10 MASAKA-MBARARA'!M42)</f>
        <v>13.714285714285714</v>
      </c>
      <c r="N42" s="49">
        <f>AVERAGE('17.10 MASAKA-MBARARA'!N42,'18.10 MASAKA-MBARARA-24H'!N42,'19.10 MASAKA-MBARARA-24H'!N42,'20.10 MASAKA-MBARARA'!N42,'21.10 MASAKA-MBARARA'!N42,'22.10 MASAKA-MBARARA'!N42,'23.10 MASAKA-MBARARA'!N42)</f>
        <v>0</v>
      </c>
      <c r="O42" s="15">
        <f t="shared" si="0"/>
        <v>26.714285714285715</v>
      </c>
      <c r="P42" s="15">
        <f t="shared" si="1"/>
        <v>40.428571428571431</v>
      </c>
      <c r="R42" s="59" t="s">
        <v>160</v>
      </c>
      <c r="S42" s="48">
        <f>S41/S40</f>
        <v>1.5123170296322743</v>
      </c>
      <c r="T42" s="48">
        <f t="shared" ref="T42:AF42" si="34">T41/T40</f>
        <v>1.3147996729354048</v>
      </c>
      <c r="U42" s="48">
        <f t="shared" si="34"/>
        <v>1.4114927344782036</v>
      </c>
      <c r="V42" s="48">
        <f t="shared" si="34"/>
        <v>1.3495276653171391</v>
      </c>
      <c r="W42" s="48">
        <f t="shared" si="34"/>
        <v>1.7272727272727273</v>
      </c>
      <c r="X42" s="48">
        <f t="shared" si="34"/>
        <v>2.106172839506173</v>
      </c>
      <c r="Y42" s="48">
        <f t="shared" si="34"/>
        <v>1.9680851063829785</v>
      </c>
      <c r="Z42" s="48">
        <f t="shared" si="34"/>
        <v>2.4128440366972477</v>
      </c>
      <c r="AA42" s="48">
        <f t="shared" si="34"/>
        <v>2.6296296296296298</v>
      </c>
      <c r="AB42" s="48">
        <f t="shared" si="34"/>
        <v>1.7424242424242427</v>
      </c>
      <c r="AC42" s="48">
        <f t="shared" si="34"/>
        <v>1.1544571932921448</v>
      </c>
      <c r="AD42" s="48">
        <f t="shared" si="34"/>
        <v>1</v>
      </c>
      <c r="AE42" s="69">
        <f t="shared" si="34"/>
        <v>1.6437623532147425</v>
      </c>
      <c r="AF42" s="69">
        <f t="shared" si="34"/>
        <v>1.4749105307241299</v>
      </c>
    </row>
    <row r="43" spans="2:32" ht="23.1" customHeight="1" x14ac:dyDescent="0.25">
      <c r="B43" s="23" t="s">
        <v>70</v>
      </c>
      <c r="C43" s="49">
        <f>AVERAGE('17.10 MASAKA-MBARARA'!C43,'18.10 MASAKA-MBARARA-24H'!C43,'19.10 MASAKA-MBARARA-24H'!C43,'20.10 MASAKA-MBARARA'!C43,'21.10 MASAKA-MBARARA'!C43,'22.10 MASAKA-MBARARA'!C43,'23.10 MASAKA-MBARARA'!C43)</f>
        <v>7.7142857142857144</v>
      </c>
      <c r="D43" s="49">
        <f>AVERAGE('17.10 MASAKA-MBARARA'!D43,'18.10 MASAKA-MBARARA-24H'!D43,'19.10 MASAKA-MBARARA-24H'!D43,'20.10 MASAKA-MBARARA'!D43,'21.10 MASAKA-MBARARA'!D43,'22.10 MASAKA-MBARARA'!D43,'23.10 MASAKA-MBARARA'!D43)</f>
        <v>4.5714285714285712</v>
      </c>
      <c r="E43" s="49">
        <f>AVERAGE('17.10 MASAKA-MBARARA'!E43,'18.10 MASAKA-MBARARA-24H'!E43,'19.10 MASAKA-MBARARA-24H'!E43,'20.10 MASAKA-MBARARA'!E43,'21.10 MASAKA-MBARARA'!E43,'22.10 MASAKA-MBARARA'!E43,'23.10 MASAKA-MBARARA'!E43)</f>
        <v>2.7142857142857144</v>
      </c>
      <c r="F43" s="49">
        <f>AVERAGE('17.10 MASAKA-MBARARA'!F43,'18.10 MASAKA-MBARARA-24H'!F43,'19.10 MASAKA-MBARARA-24H'!F43,'20.10 MASAKA-MBARARA'!F43,'21.10 MASAKA-MBARARA'!F43,'22.10 MASAKA-MBARARA'!F43,'23.10 MASAKA-MBARARA'!F43)</f>
        <v>5.7142857142857144</v>
      </c>
      <c r="G43" s="49">
        <f>AVERAGE('17.10 MASAKA-MBARARA'!G43,'18.10 MASAKA-MBARARA-24H'!G43,'19.10 MASAKA-MBARARA-24H'!G43,'20.10 MASAKA-MBARARA'!G43,'21.10 MASAKA-MBARARA'!G43,'22.10 MASAKA-MBARARA'!G43,'23.10 MASAKA-MBARARA'!G43)</f>
        <v>0.2857142857142857</v>
      </c>
      <c r="H43" s="49">
        <f>AVERAGE('17.10 MASAKA-MBARARA'!H43,'18.10 MASAKA-MBARARA-24H'!H43,'19.10 MASAKA-MBARARA-24H'!H43,'20.10 MASAKA-MBARARA'!H43,'21.10 MASAKA-MBARARA'!H43,'22.10 MASAKA-MBARARA'!H43,'23.10 MASAKA-MBARARA'!H43)</f>
        <v>1.5714285714285714</v>
      </c>
      <c r="I43" s="49">
        <f>AVERAGE('17.10 MASAKA-MBARARA'!I43,'18.10 MASAKA-MBARARA-24H'!I43,'19.10 MASAKA-MBARARA-24H'!I43,'20.10 MASAKA-MBARARA'!I43,'21.10 MASAKA-MBARARA'!I43,'22.10 MASAKA-MBARARA'!I43,'23.10 MASAKA-MBARARA'!I43)</f>
        <v>2.1428571428571428</v>
      </c>
      <c r="J43" s="49">
        <f>AVERAGE('17.10 MASAKA-MBARARA'!J43,'18.10 MASAKA-MBARARA-24H'!J43,'19.10 MASAKA-MBARARA-24H'!J43,'20.10 MASAKA-MBARARA'!J43,'21.10 MASAKA-MBARARA'!J43,'22.10 MASAKA-MBARARA'!J43,'23.10 MASAKA-MBARARA'!J43)</f>
        <v>0.8571428571428571</v>
      </c>
      <c r="K43" s="49">
        <f>AVERAGE('17.10 MASAKA-MBARARA'!K43,'18.10 MASAKA-MBARARA-24H'!K43,'19.10 MASAKA-MBARARA-24H'!K43,'20.10 MASAKA-MBARARA'!K43,'21.10 MASAKA-MBARARA'!K43,'22.10 MASAKA-MBARARA'!K43,'23.10 MASAKA-MBARARA'!K43)</f>
        <v>2.1428571428571428</v>
      </c>
      <c r="L43" s="49">
        <f>AVERAGE('17.10 MASAKA-MBARARA'!L43,'18.10 MASAKA-MBARARA-24H'!L43,'19.10 MASAKA-MBARARA-24H'!L43,'20.10 MASAKA-MBARARA'!L43,'21.10 MASAKA-MBARARA'!L43,'22.10 MASAKA-MBARARA'!L43,'23.10 MASAKA-MBARARA'!L43)</f>
        <v>0</v>
      </c>
      <c r="M43" s="49">
        <f>AVERAGE('17.10 MASAKA-MBARARA'!M43,'18.10 MASAKA-MBARARA-24H'!M43,'19.10 MASAKA-MBARARA-24H'!M43,'20.10 MASAKA-MBARARA'!M43,'21.10 MASAKA-MBARARA'!M43,'22.10 MASAKA-MBARARA'!M43,'23.10 MASAKA-MBARARA'!M43)</f>
        <v>10.857142857142858</v>
      </c>
      <c r="N43" s="49">
        <f>AVERAGE('17.10 MASAKA-MBARARA'!N43,'18.10 MASAKA-MBARARA-24H'!N43,'19.10 MASAKA-MBARARA-24H'!N43,'20.10 MASAKA-MBARARA'!N43,'21.10 MASAKA-MBARARA'!N43,'22.10 MASAKA-MBARARA'!N43,'23.10 MASAKA-MBARARA'!N43)</f>
        <v>0.14285714285714285</v>
      </c>
      <c r="O43" s="15">
        <f t="shared" si="0"/>
        <v>27.857142857142858</v>
      </c>
      <c r="P43" s="15">
        <f t="shared" si="1"/>
        <v>38.714285714285715</v>
      </c>
    </row>
    <row r="44" spans="2:32" ht="23.1" customHeight="1" x14ac:dyDescent="0.25">
      <c r="B44" s="25" t="s">
        <v>71</v>
      </c>
      <c r="C44" s="49">
        <f>AVERAGE('17.10 MASAKA-MBARARA'!C44,'18.10 MASAKA-MBARARA-24H'!C44,'19.10 MASAKA-MBARARA-24H'!C44,'20.10 MASAKA-MBARARA'!C44,'21.10 MASAKA-MBARARA'!C44,'22.10 MASAKA-MBARARA'!C44,'23.10 MASAKA-MBARARA'!C44)</f>
        <v>10</v>
      </c>
      <c r="D44" s="49">
        <f>AVERAGE('17.10 MASAKA-MBARARA'!D44,'18.10 MASAKA-MBARARA-24H'!D44,'19.10 MASAKA-MBARARA-24H'!D44,'20.10 MASAKA-MBARARA'!D44,'21.10 MASAKA-MBARARA'!D44,'22.10 MASAKA-MBARARA'!D44,'23.10 MASAKA-MBARARA'!D44)</f>
        <v>3.7142857142857144</v>
      </c>
      <c r="E44" s="49">
        <f>AVERAGE('17.10 MASAKA-MBARARA'!E44,'18.10 MASAKA-MBARARA-24H'!E44,'19.10 MASAKA-MBARARA-24H'!E44,'20.10 MASAKA-MBARARA'!E44,'21.10 MASAKA-MBARARA'!E44,'22.10 MASAKA-MBARARA'!E44,'23.10 MASAKA-MBARARA'!E44)</f>
        <v>2.1428571428571428</v>
      </c>
      <c r="F44" s="49">
        <f>AVERAGE('17.10 MASAKA-MBARARA'!F44,'18.10 MASAKA-MBARARA-24H'!F44,'19.10 MASAKA-MBARARA-24H'!F44,'20.10 MASAKA-MBARARA'!F44,'21.10 MASAKA-MBARARA'!F44,'22.10 MASAKA-MBARARA'!F44,'23.10 MASAKA-MBARARA'!F44)</f>
        <v>5.2857142857142856</v>
      </c>
      <c r="G44" s="49">
        <f>AVERAGE('17.10 MASAKA-MBARARA'!G44,'18.10 MASAKA-MBARARA-24H'!G44,'19.10 MASAKA-MBARARA-24H'!G44,'20.10 MASAKA-MBARARA'!G44,'21.10 MASAKA-MBARARA'!G44,'22.10 MASAKA-MBARARA'!G44,'23.10 MASAKA-MBARARA'!G44)</f>
        <v>0.14285714285714285</v>
      </c>
      <c r="H44" s="49">
        <f>AVERAGE('17.10 MASAKA-MBARARA'!H44,'18.10 MASAKA-MBARARA-24H'!H44,'19.10 MASAKA-MBARARA-24H'!H44,'20.10 MASAKA-MBARARA'!H44,'21.10 MASAKA-MBARARA'!H44,'22.10 MASAKA-MBARARA'!H44,'23.10 MASAKA-MBARARA'!H44)</f>
        <v>2</v>
      </c>
      <c r="I44" s="49">
        <f>AVERAGE('17.10 MASAKA-MBARARA'!I44,'18.10 MASAKA-MBARARA-24H'!I44,'19.10 MASAKA-MBARARA-24H'!I44,'20.10 MASAKA-MBARARA'!I44,'21.10 MASAKA-MBARARA'!I44,'22.10 MASAKA-MBARARA'!I44,'23.10 MASAKA-MBARARA'!I44)</f>
        <v>1.7142857142857142</v>
      </c>
      <c r="J44" s="49">
        <f>AVERAGE('17.10 MASAKA-MBARARA'!J44,'18.10 MASAKA-MBARARA-24H'!J44,'19.10 MASAKA-MBARARA-24H'!J44,'20.10 MASAKA-MBARARA'!J44,'21.10 MASAKA-MBARARA'!J44,'22.10 MASAKA-MBARARA'!J44,'23.10 MASAKA-MBARARA'!J44)</f>
        <v>2.1428571428571428</v>
      </c>
      <c r="K44" s="49">
        <f>AVERAGE('17.10 MASAKA-MBARARA'!K44,'18.10 MASAKA-MBARARA-24H'!K44,'19.10 MASAKA-MBARARA-24H'!K44,'20.10 MASAKA-MBARARA'!K44,'21.10 MASAKA-MBARARA'!K44,'22.10 MASAKA-MBARARA'!K44,'23.10 MASAKA-MBARARA'!K44)</f>
        <v>1.5714285714285714</v>
      </c>
      <c r="L44" s="49">
        <f>AVERAGE('17.10 MASAKA-MBARARA'!L44,'18.10 MASAKA-MBARARA-24H'!L44,'19.10 MASAKA-MBARARA-24H'!L44,'20.10 MASAKA-MBARARA'!L44,'21.10 MASAKA-MBARARA'!L44,'22.10 MASAKA-MBARARA'!L44,'23.10 MASAKA-MBARARA'!L44)</f>
        <v>0.42857142857142855</v>
      </c>
      <c r="M44" s="49">
        <f>AVERAGE('17.10 MASAKA-MBARARA'!M44,'18.10 MASAKA-MBARARA-24H'!M44,'19.10 MASAKA-MBARARA-24H'!M44,'20.10 MASAKA-MBARARA'!M44,'21.10 MASAKA-MBARARA'!M44,'22.10 MASAKA-MBARARA'!M44,'23.10 MASAKA-MBARARA'!M44)</f>
        <v>16.714285714285715</v>
      </c>
      <c r="N44" s="49">
        <f>AVERAGE('17.10 MASAKA-MBARARA'!N44,'18.10 MASAKA-MBARARA-24H'!N44,'19.10 MASAKA-MBARARA-24H'!N44,'20.10 MASAKA-MBARARA'!N44,'21.10 MASAKA-MBARARA'!N44,'22.10 MASAKA-MBARARA'!N44,'23.10 MASAKA-MBARARA'!N44)</f>
        <v>0</v>
      </c>
      <c r="O44" s="15">
        <f t="shared" si="0"/>
        <v>29.142857142857142</v>
      </c>
      <c r="P44" s="15">
        <f t="shared" si="1"/>
        <v>45.857142857142861</v>
      </c>
    </row>
    <row r="45" spans="2:32" ht="23.1" customHeight="1" x14ac:dyDescent="0.25">
      <c r="B45" s="23" t="s">
        <v>72</v>
      </c>
      <c r="C45" s="49">
        <f>AVERAGE('17.10 MASAKA-MBARARA'!C45,'18.10 MASAKA-MBARARA-24H'!C45,'19.10 MASAKA-MBARARA-24H'!C45,'20.10 MASAKA-MBARARA'!C45,'21.10 MASAKA-MBARARA'!C45,'22.10 MASAKA-MBARARA'!C45,'23.10 MASAKA-MBARARA'!C45)</f>
        <v>7.7142857142857144</v>
      </c>
      <c r="D45" s="49">
        <f>AVERAGE('17.10 MASAKA-MBARARA'!D45,'18.10 MASAKA-MBARARA-24H'!D45,'19.10 MASAKA-MBARARA-24H'!D45,'20.10 MASAKA-MBARARA'!D45,'21.10 MASAKA-MBARARA'!D45,'22.10 MASAKA-MBARARA'!D45,'23.10 MASAKA-MBARARA'!D45)</f>
        <v>3.7142857142857144</v>
      </c>
      <c r="E45" s="49">
        <f>AVERAGE('17.10 MASAKA-MBARARA'!E45,'18.10 MASAKA-MBARARA-24H'!E45,'19.10 MASAKA-MBARARA-24H'!E45,'20.10 MASAKA-MBARARA'!E45,'21.10 MASAKA-MBARARA'!E45,'22.10 MASAKA-MBARARA'!E45,'23.10 MASAKA-MBARARA'!E45)</f>
        <v>2.2857142857142856</v>
      </c>
      <c r="F45" s="49">
        <f>AVERAGE('17.10 MASAKA-MBARARA'!F45,'18.10 MASAKA-MBARARA-24H'!F45,'19.10 MASAKA-MBARARA-24H'!F45,'20.10 MASAKA-MBARARA'!F45,'21.10 MASAKA-MBARARA'!F45,'22.10 MASAKA-MBARARA'!F45,'23.10 MASAKA-MBARARA'!F45)</f>
        <v>5.4285714285714288</v>
      </c>
      <c r="G45" s="49">
        <f>AVERAGE('17.10 MASAKA-MBARARA'!G45,'18.10 MASAKA-MBARARA-24H'!G45,'19.10 MASAKA-MBARARA-24H'!G45,'20.10 MASAKA-MBARARA'!G45,'21.10 MASAKA-MBARARA'!G45,'22.10 MASAKA-MBARARA'!G45,'23.10 MASAKA-MBARARA'!G45)</f>
        <v>0.14285714285714285</v>
      </c>
      <c r="H45" s="49">
        <f>AVERAGE('17.10 MASAKA-MBARARA'!H45,'18.10 MASAKA-MBARARA-24H'!H45,'19.10 MASAKA-MBARARA-24H'!H45,'20.10 MASAKA-MBARARA'!H45,'21.10 MASAKA-MBARARA'!H45,'22.10 MASAKA-MBARARA'!H45,'23.10 MASAKA-MBARARA'!H45)</f>
        <v>2.8571428571428572</v>
      </c>
      <c r="I45" s="49">
        <f>AVERAGE('17.10 MASAKA-MBARARA'!I45,'18.10 MASAKA-MBARARA-24H'!I45,'19.10 MASAKA-MBARARA-24H'!I45,'20.10 MASAKA-MBARARA'!I45,'21.10 MASAKA-MBARARA'!I45,'22.10 MASAKA-MBARARA'!I45,'23.10 MASAKA-MBARARA'!I45)</f>
        <v>2</v>
      </c>
      <c r="J45" s="49">
        <f>AVERAGE('17.10 MASAKA-MBARARA'!J45,'18.10 MASAKA-MBARARA-24H'!J45,'19.10 MASAKA-MBARARA-24H'!J45,'20.10 MASAKA-MBARARA'!J45,'21.10 MASAKA-MBARARA'!J45,'22.10 MASAKA-MBARARA'!J45,'23.10 MASAKA-MBARARA'!J45)</f>
        <v>2.1428571428571428</v>
      </c>
      <c r="K45" s="49">
        <f>AVERAGE('17.10 MASAKA-MBARARA'!K45,'18.10 MASAKA-MBARARA-24H'!K45,'19.10 MASAKA-MBARARA-24H'!K45,'20.10 MASAKA-MBARARA'!K45,'21.10 MASAKA-MBARARA'!K45,'22.10 MASAKA-MBARARA'!K45,'23.10 MASAKA-MBARARA'!K45)</f>
        <v>1</v>
      </c>
      <c r="L45" s="49">
        <f>AVERAGE('17.10 MASAKA-MBARARA'!L45,'18.10 MASAKA-MBARARA-24H'!L45,'19.10 MASAKA-MBARARA-24H'!L45,'20.10 MASAKA-MBARARA'!L45,'21.10 MASAKA-MBARARA'!L45,'22.10 MASAKA-MBARARA'!L45,'23.10 MASAKA-MBARARA'!L45)</f>
        <v>0.2857142857142857</v>
      </c>
      <c r="M45" s="49">
        <f>AVERAGE('17.10 MASAKA-MBARARA'!M45,'18.10 MASAKA-MBARARA-24H'!M45,'19.10 MASAKA-MBARARA-24H'!M45,'20.10 MASAKA-MBARARA'!M45,'21.10 MASAKA-MBARARA'!M45,'22.10 MASAKA-MBARARA'!M45,'23.10 MASAKA-MBARARA'!M45)</f>
        <v>13.285714285714286</v>
      </c>
      <c r="N45" s="49">
        <f>AVERAGE('17.10 MASAKA-MBARARA'!N45,'18.10 MASAKA-MBARARA-24H'!N45,'19.10 MASAKA-MBARARA-24H'!N45,'20.10 MASAKA-MBARARA'!N45,'21.10 MASAKA-MBARARA'!N45,'22.10 MASAKA-MBARARA'!N45,'23.10 MASAKA-MBARARA'!N45)</f>
        <v>0</v>
      </c>
      <c r="O45" s="15">
        <f t="shared" si="0"/>
        <v>27.571428571428573</v>
      </c>
      <c r="P45" s="15">
        <f t="shared" si="1"/>
        <v>40.857142857142861</v>
      </c>
    </row>
    <row r="46" spans="2:32" ht="23.1" customHeight="1" x14ac:dyDescent="0.25">
      <c r="B46" s="24" t="s">
        <v>73</v>
      </c>
      <c r="C46" s="49">
        <f>AVERAGE('17.10 MASAKA-MBARARA'!C46,'18.10 MASAKA-MBARARA-24H'!C46,'19.10 MASAKA-MBARARA-24H'!C46,'20.10 MASAKA-MBARARA'!C46,'21.10 MASAKA-MBARARA'!C46,'22.10 MASAKA-MBARARA'!C46,'23.10 MASAKA-MBARARA'!C46)</f>
        <v>9</v>
      </c>
      <c r="D46" s="49">
        <f>AVERAGE('17.10 MASAKA-MBARARA'!D46,'18.10 MASAKA-MBARARA-24H'!D46,'19.10 MASAKA-MBARARA-24H'!D46,'20.10 MASAKA-MBARARA'!D46,'21.10 MASAKA-MBARARA'!D46,'22.10 MASAKA-MBARARA'!D46,'23.10 MASAKA-MBARARA'!D46)</f>
        <v>3.7142857142857144</v>
      </c>
      <c r="E46" s="49">
        <f>AVERAGE('17.10 MASAKA-MBARARA'!E46,'18.10 MASAKA-MBARARA-24H'!E46,'19.10 MASAKA-MBARARA-24H'!E46,'20.10 MASAKA-MBARARA'!E46,'21.10 MASAKA-MBARARA'!E46,'22.10 MASAKA-MBARARA'!E46,'23.10 MASAKA-MBARARA'!E46)</f>
        <v>1.7142857142857142</v>
      </c>
      <c r="F46" s="49">
        <f>AVERAGE('17.10 MASAKA-MBARARA'!F46,'18.10 MASAKA-MBARARA-24H'!F46,'19.10 MASAKA-MBARARA-24H'!F46,'20.10 MASAKA-MBARARA'!F46,'21.10 MASAKA-MBARARA'!F46,'22.10 MASAKA-MBARARA'!F46,'23.10 MASAKA-MBARARA'!F46)</f>
        <v>4.2857142857142856</v>
      </c>
      <c r="G46" s="49">
        <f>AVERAGE('17.10 MASAKA-MBARARA'!G46,'18.10 MASAKA-MBARARA-24H'!G46,'19.10 MASAKA-MBARARA-24H'!G46,'20.10 MASAKA-MBARARA'!G46,'21.10 MASAKA-MBARARA'!G46,'22.10 MASAKA-MBARARA'!G46,'23.10 MASAKA-MBARARA'!G46)</f>
        <v>0.14285714285714285</v>
      </c>
      <c r="H46" s="49">
        <f>AVERAGE('17.10 MASAKA-MBARARA'!H46,'18.10 MASAKA-MBARARA-24H'!H46,'19.10 MASAKA-MBARARA-24H'!H46,'20.10 MASAKA-MBARARA'!H46,'21.10 MASAKA-MBARARA'!H46,'22.10 MASAKA-MBARARA'!H46,'23.10 MASAKA-MBARARA'!H46)</f>
        <v>2.1428571428571428</v>
      </c>
      <c r="I46" s="49">
        <f>AVERAGE('17.10 MASAKA-MBARARA'!I46,'18.10 MASAKA-MBARARA-24H'!I46,'19.10 MASAKA-MBARARA-24H'!I46,'20.10 MASAKA-MBARARA'!I46,'21.10 MASAKA-MBARARA'!I46,'22.10 MASAKA-MBARARA'!I46,'23.10 MASAKA-MBARARA'!I46)</f>
        <v>2.2857142857142856</v>
      </c>
      <c r="J46" s="49">
        <f>AVERAGE('17.10 MASAKA-MBARARA'!J46,'18.10 MASAKA-MBARARA-24H'!J46,'19.10 MASAKA-MBARARA-24H'!J46,'20.10 MASAKA-MBARARA'!J46,'21.10 MASAKA-MBARARA'!J46,'22.10 MASAKA-MBARARA'!J46,'23.10 MASAKA-MBARARA'!J46)</f>
        <v>2.2857142857142856</v>
      </c>
      <c r="K46" s="49">
        <f>AVERAGE('17.10 MASAKA-MBARARA'!K46,'18.10 MASAKA-MBARARA-24H'!K46,'19.10 MASAKA-MBARARA-24H'!K46,'20.10 MASAKA-MBARARA'!K46,'21.10 MASAKA-MBARARA'!K46,'22.10 MASAKA-MBARARA'!K46,'23.10 MASAKA-MBARARA'!K46)</f>
        <v>1.8571428571428572</v>
      </c>
      <c r="L46" s="49">
        <f>AVERAGE('17.10 MASAKA-MBARARA'!L46,'18.10 MASAKA-MBARARA-24H'!L46,'19.10 MASAKA-MBARARA-24H'!L46,'20.10 MASAKA-MBARARA'!L46,'21.10 MASAKA-MBARARA'!L46,'22.10 MASAKA-MBARARA'!L46,'23.10 MASAKA-MBARARA'!L46)</f>
        <v>0.14285714285714285</v>
      </c>
      <c r="M46" s="49">
        <f>AVERAGE('17.10 MASAKA-MBARARA'!M46,'18.10 MASAKA-MBARARA-24H'!M46,'19.10 MASAKA-MBARARA-24H'!M46,'20.10 MASAKA-MBARARA'!M46,'21.10 MASAKA-MBARARA'!M46,'22.10 MASAKA-MBARARA'!M46,'23.10 MASAKA-MBARARA'!M46)</f>
        <v>15.857142857142858</v>
      </c>
      <c r="N46" s="49">
        <f>AVERAGE('17.10 MASAKA-MBARARA'!N46,'18.10 MASAKA-MBARARA-24H'!N46,'19.10 MASAKA-MBARARA-24H'!N46,'20.10 MASAKA-MBARARA'!N46,'21.10 MASAKA-MBARARA'!N46,'22.10 MASAKA-MBARARA'!N46,'23.10 MASAKA-MBARARA'!N46)</f>
        <v>0</v>
      </c>
      <c r="O46" s="15">
        <f t="shared" si="0"/>
        <v>27.571428571428569</v>
      </c>
      <c r="P46" s="15">
        <f t="shared" si="1"/>
        <v>43.428571428571431</v>
      </c>
      <c r="R46" s="8"/>
      <c r="T46"/>
    </row>
    <row r="47" spans="2:32" ht="23.1" customHeight="1" x14ac:dyDescent="0.25">
      <c r="B47" s="24" t="s">
        <v>74</v>
      </c>
      <c r="C47" s="49">
        <f>AVERAGE('17.10 MASAKA-MBARARA'!C47,'18.10 MASAKA-MBARARA-24H'!C47,'19.10 MASAKA-MBARARA-24H'!C47,'20.10 MASAKA-MBARARA'!C47,'21.10 MASAKA-MBARARA'!C47,'22.10 MASAKA-MBARARA'!C47,'23.10 MASAKA-MBARARA'!C47)</f>
        <v>10.857142857142858</v>
      </c>
      <c r="D47" s="49">
        <f>AVERAGE('17.10 MASAKA-MBARARA'!D47,'18.10 MASAKA-MBARARA-24H'!D47,'19.10 MASAKA-MBARARA-24H'!D47,'20.10 MASAKA-MBARARA'!D47,'21.10 MASAKA-MBARARA'!D47,'22.10 MASAKA-MBARARA'!D47,'23.10 MASAKA-MBARARA'!D47)</f>
        <v>5.2857142857142856</v>
      </c>
      <c r="E47" s="49">
        <f>AVERAGE('17.10 MASAKA-MBARARA'!E47,'18.10 MASAKA-MBARARA-24H'!E47,'19.10 MASAKA-MBARARA-24H'!E47,'20.10 MASAKA-MBARARA'!E47,'21.10 MASAKA-MBARARA'!E47,'22.10 MASAKA-MBARARA'!E47,'23.10 MASAKA-MBARARA'!E47)</f>
        <v>2.1428571428571428</v>
      </c>
      <c r="F47" s="49">
        <f>AVERAGE('17.10 MASAKA-MBARARA'!F47,'18.10 MASAKA-MBARARA-24H'!F47,'19.10 MASAKA-MBARARA-24H'!F47,'20.10 MASAKA-MBARARA'!F47,'21.10 MASAKA-MBARARA'!F47,'22.10 MASAKA-MBARARA'!F47,'23.10 MASAKA-MBARARA'!F47)</f>
        <v>5.4285714285714288</v>
      </c>
      <c r="G47" s="49">
        <f>AVERAGE('17.10 MASAKA-MBARARA'!G47,'18.10 MASAKA-MBARARA-24H'!G47,'19.10 MASAKA-MBARARA-24H'!G47,'20.10 MASAKA-MBARARA'!G47,'21.10 MASAKA-MBARARA'!G47,'22.10 MASAKA-MBARARA'!G47,'23.10 MASAKA-MBARARA'!G47)</f>
        <v>0.2857142857142857</v>
      </c>
      <c r="H47" s="49">
        <f>AVERAGE('17.10 MASAKA-MBARARA'!H47,'18.10 MASAKA-MBARARA-24H'!H47,'19.10 MASAKA-MBARARA-24H'!H47,'20.10 MASAKA-MBARARA'!H47,'21.10 MASAKA-MBARARA'!H47,'22.10 MASAKA-MBARARA'!H47,'23.10 MASAKA-MBARARA'!H47)</f>
        <v>2.4285714285714284</v>
      </c>
      <c r="I47" s="49">
        <f>AVERAGE('17.10 MASAKA-MBARARA'!I47,'18.10 MASAKA-MBARARA-24H'!I47,'19.10 MASAKA-MBARARA-24H'!I47,'20.10 MASAKA-MBARARA'!I47,'21.10 MASAKA-MBARARA'!I47,'22.10 MASAKA-MBARARA'!I47,'23.10 MASAKA-MBARARA'!I47)</f>
        <v>2.2857142857142856</v>
      </c>
      <c r="J47" s="49">
        <f>AVERAGE('17.10 MASAKA-MBARARA'!J47,'18.10 MASAKA-MBARARA-24H'!J47,'19.10 MASAKA-MBARARA-24H'!J47,'20.10 MASAKA-MBARARA'!J47,'21.10 MASAKA-MBARARA'!J47,'22.10 MASAKA-MBARARA'!J47,'23.10 MASAKA-MBARARA'!J47)</f>
        <v>2.5714285714285716</v>
      </c>
      <c r="K47" s="49">
        <f>AVERAGE('17.10 MASAKA-MBARARA'!K47,'18.10 MASAKA-MBARARA-24H'!K47,'19.10 MASAKA-MBARARA-24H'!K47,'20.10 MASAKA-MBARARA'!K47,'21.10 MASAKA-MBARARA'!K47,'22.10 MASAKA-MBARARA'!K47,'23.10 MASAKA-MBARARA'!K47)</f>
        <v>2.1428571428571428</v>
      </c>
      <c r="L47" s="49">
        <f>AVERAGE('17.10 MASAKA-MBARARA'!L47,'18.10 MASAKA-MBARARA-24H'!L47,'19.10 MASAKA-MBARARA-24H'!L47,'20.10 MASAKA-MBARARA'!L47,'21.10 MASAKA-MBARARA'!L47,'22.10 MASAKA-MBARARA'!L47,'23.10 MASAKA-MBARARA'!L47)</f>
        <v>0.7142857142857143</v>
      </c>
      <c r="M47" s="49">
        <f>AVERAGE('17.10 MASAKA-MBARARA'!M47,'18.10 MASAKA-MBARARA-24H'!M47,'19.10 MASAKA-MBARARA-24H'!M47,'20.10 MASAKA-MBARARA'!M47,'21.10 MASAKA-MBARARA'!M47,'22.10 MASAKA-MBARARA'!M47,'23.10 MASAKA-MBARARA'!M47)</f>
        <v>17.571428571428573</v>
      </c>
      <c r="N47" s="49">
        <f>AVERAGE('17.10 MASAKA-MBARARA'!N47,'18.10 MASAKA-MBARARA-24H'!N47,'19.10 MASAKA-MBARARA-24H'!N47,'20.10 MASAKA-MBARARA'!N47,'21.10 MASAKA-MBARARA'!N47,'22.10 MASAKA-MBARARA'!N47,'23.10 MASAKA-MBARARA'!N47)</f>
        <v>0</v>
      </c>
      <c r="O47" s="15">
        <f t="shared" si="0"/>
        <v>34.142857142857146</v>
      </c>
      <c r="P47" s="15">
        <f t="shared" si="1"/>
        <v>51.714285714285722</v>
      </c>
      <c r="R47" s="8"/>
      <c r="T47"/>
    </row>
    <row r="48" spans="2:32" ht="23.1" customHeight="1" x14ac:dyDescent="0.25">
      <c r="B48" s="24" t="s">
        <v>75</v>
      </c>
      <c r="C48" s="49">
        <f>AVERAGE('17.10 MASAKA-MBARARA'!C48,'18.10 MASAKA-MBARARA-24H'!C48,'19.10 MASAKA-MBARARA-24H'!C48,'20.10 MASAKA-MBARARA'!C48,'21.10 MASAKA-MBARARA'!C48,'22.10 MASAKA-MBARARA'!C48,'23.10 MASAKA-MBARARA'!C48)</f>
        <v>8</v>
      </c>
      <c r="D48" s="49">
        <f>AVERAGE('17.10 MASAKA-MBARARA'!D48,'18.10 MASAKA-MBARARA-24H'!D48,'19.10 MASAKA-MBARARA-24H'!D48,'20.10 MASAKA-MBARARA'!D48,'21.10 MASAKA-MBARARA'!D48,'22.10 MASAKA-MBARARA'!D48,'23.10 MASAKA-MBARARA'!D48)</f>
        <v>5.2857142857142856</v>
      </c>
      <c r="E48" s="49">
        <f>AVERAGE('17.10 MASAKA-MBARARA'!E48,'18.10 MASAKA-MBARARA-24H'!E48,'19.10 MASAKA-MBARARA-24H'!E48,'20.10 MASAKA-MBARARA'!E48,'21.10 MASAKA-MBARARA'!E48,'22.10 MASAKA-MBARARA'!E48,'23.10 MASAKA-MBARARA'!E48)</f>
        <v>2.5714285714285716</v>
      </c>
      <c r="F48" s="49">
        <f>AVERAGE('17.10 MASAKA-MBARARA'!F48,'18.10 MASAKA-MBARARA-24H'!F48,'19.10 MASAKA-MBARARA-24H'!F48,'20.10 MASAKA-MBARARA'!F48,'21.10 MASAKA-MBARARA'!F48,'22.10 MASAKA-MBARARA'!F48,'23.10 MASAKA-MBARARA'!F48)</f>
        <v>4.4285714285714288</v>
      </c>
      <c r="G48" s="49">
        <f>AVERAGE('17.10 MASAKA-MBARARA'!G48,'18.10 MASAKA-MBARARA-24H'!G48,'19.10 MASAKA-MBARARA-24H'!G48,'20.10 MASAKA-MBARARA'!G48,'21.10 MASAKA-MBARARA'!G48,'22.10 MASAKA-MBARARA'!G48,'23.10 MASAKA-MBARARA'!G48)</f>
        <v>0.14285714285714285</v>
      </c>
      <c r="H48" s="49">
        <f>AVERAGE('17.10 MASAKA-MBARARA'!H48,'18.10 MASAKA-MBARARA-24H'!H48,'19.10 MASAKA-MBARARA-24H'!H48,'20.10 MASAKA-MBARARA'!H48,'21.10 MASAKA-MBARARA'!H48,'22.10 MASAKA-MBARARA'!H48,'23.10 MASAKA-MBARARA'!H48)</f>
        <v>1.5714285714285714</v>
      </c>
      <c r="I48" s="49">
        <f>AVERAGE('17.10 MASAKA-MBARARA'!I48,'18.10 MASAKA-MBARARA-24H'!I48,'19.10 MASAKA-MBARARA-24H'!I48,'20.10 MASAKA-MBARARA'!I48,'21.10 MASAKA-MBARARA'!I48,'22.10 MASAKA-MBARARA'!I48,'23.10 MASAKA-MBARARA'!I48)</f>
        <v>1.8571428571428572</v>
      </c>
      <c r="J48" s="49">
        <f>AVERAGE('17.10 MASAKA-MBARARA'!J48,'18.10 MASAKA-MBARARA-24H'!J48,'19.10 MASAKA-MBARARA-24H'!J48,'20.10 MASAKA-MBARARA'!J48,'21.10 MASAKA-MBARARA'!J48,'22.10 MASAKA-MBARARA'!J48,'23.10 MASAKA-MBARARA'!J48)</f>
        <v>3</v>
      </c>
      <c r="K48" s="49">
        <f>AVERAGE('17.10 MASAKA-MBARARA'!K48,'18.10 MASAKA-MBARARA-24H'!K48,'19.10 MASAKA-MBARARA-24H'!K48,'20.10 MASAKA-MBARARA'!K48,'21.10 MASAKA-MBARARA'!K48,'22.10 MASAKA-MBARARA'!K48,'23.10 MASAKA-MBARARA'!K48)</f>
        <v>1.5714285714285714</v>
      </c>
      <c r="L48" s="49">
        <f>AVERAGE('17.10 MASAKA-MBARARA'!L48,'18.10 MASAKA-MBARARA-24H'!L48,'19.10 MASAKA-MBARARA-24H'!L48,'20.10 MASAKA-MBARARA'!L48,'21.10 MASAKA-MBARARA'!L48,'22.10 MASAKA-MBARARA'!L48,'23.10 MASAKA-MBARARA'!L48)</f>
        <v>0.42857142857142855</v>
      </c>
      <c r="M48" s="49">
        <f>AVERAGE('17.10 MASAKA-MBARARA'!M48,'18.10 MASAKA-MBARARA-24H'!M48,'19.10 MASAKA-MBARARA-24H'!M48,'20.10 MASAKA-MBARARA'!M48,'21.10 MASAKA-MBARARA'!M48,'22.10 MASAKA-MBARARA'!M48,'23.10 MASAKA-MBARARA'!M48)</f>
        <v>16.571428571428573</v>
      </c>
      <c r="N48" s="49">
        <f>AVERAGE('17.10 MASAKA-MBARARA'!N48,'18.10 MASAKA-MBARARA-24H'!N48,'19.10 MASAKA-MBARARA-24H'!N48,'20.10 MASAKA-MBARARA'!N48,'21.10 MASAKA-MBARARA'!N48,'22.10 MASAKA-MBARARA'!N48,'23.10 MASAKA-MBARARA'!N48)</f>
        <v>0</v>
      </c>
      <c r="O48" s="15">
        <f t="shared" si="0"/>
        <v>28.857142857142858</v>
      </c>
      <c r="P48" s="15">
        <f t="shared" si="1"/>
        <v>45.428571428571431</v>
      </c>
      <c r="R48" s="8"/>
      <c r="T48"/>
    </row>
    <row r="49" spans="2:20" ht="23.1" customHeight="1" x14ac:dyDescent="0.25">
      <c r="B49" s="23" t="s">
        <v>76</v>
      </c>
      <c r="C49" s="49">
        <f>AVERAGE('17.10 MASAKA-MBARARA'!C49,'18.10 MASAKA-MBARARA-24H'!C49,'19.10 MASAKA-MBARARA-24H'!C49,'20.10 MASAKA-MBARARA'!C49,'21.10 MASAKA-MBARARA'!C49,'22.10 MASAKA-MBARARA'!C49,'23.10 MASAKA-MBARARA'!C49)</f>
        <v>8.1428571428571423</v>
      </c>
      <c r="D49" s="49">
        <f>AVERAGE('17.10 MASAKA-MBARARA'!D49,'18.10 MASAKA-MBARARA-24H'!D49,'19.10 MASAKA-MBARARA-24H'!D49,'20.10 MASAKA-MBARARA'!D49,'21.10 MASAKA-MBARARA'!D49,'22.10 MASAKA-MBARARA'!D49,'23.10 MASAKA-MBARARA'!D49)</f>
        <v>3.8571428571428572</v>
      </c>
      <c r="E49" s="49">
        <f>AVERAGE('17.10 MASAKA-MBARARA'!E49,'18.10 MASAKA-MBARARA-24H'!E49,'19.10 MASAKA-MBARARA-24H'!E49,'20.10 MASAKA-MBARARA'!E49,'21.10 MASAKA-MBARARA'!E49,'22.10 MASAKA-MBARARA'!E49,'23.10 MASAKA-MBARARA'!E49)</f>
        <v>1.8571428571428572</v>
      </c>
      <c r="F49" s="49">
        <f>AVERAGE('17.10 MASAKA-MBARARA'!F49,'18.10 MASAKA-MBARARA-24H'!F49,'19.10 MASAKA-MBARARA-24H'!F49,'20.10 MASAKA-MBARARA'!F49,'21.10 MASAKA-MBARARA'!F49,'22.10 MASAKA-MBARARA'!F49,'23.10 MASAKA-MBARARA'!F49)</f>
        <v>3</v>
      </c>
      <c r="G49" s="49">
        <f>AVERAGE('17.10 MASAKA-MBARARA'!G49,'18.10 MASAKA-MBARARA-24H'!G49,'19.10 MASAKA-MBARARA-24H'!G49,'20.10 MASAKA-MBARARA'!G49,'21.10 MASAKA-MBARARA'!G49,'22.10 MASAKA-MBARARA'!G49,'23.10 MASAKA-MBARARA'!G49)</f>
        <v>0.2857142857142857</v>
      </c>
      <c r="H49" s="49">
        <f>AVERAGE('17.10 MASAKA-MBARARA'!H49,'18.10 MASAKA-MBARARA-24H'!H49,'19.10 MASAKA-MBARARA-24H'!H49,'20.10 MASAKA-MBARARA'!H49,'21.10 MASAKA-MBARARA'!H49,'22.10 MASAKA-MBARARA'!H49,'23.10 MASAKA-MBARARA'!H49)</f>
        <v>1.4285714285714286</v>
      </c>
      <c r="I49" s="49">
        <f>AVERAGE('17.10 MASAKA-MBARARA'!I49,'18.10 MASAKA-MBARARA-24H'!I49,'19.10 MASAKA-MBARARA-24H'!I49,'20.10 MASAKA-MBARARA'!I49,'21.10 MASAKA-MBARARA'!I49,'22.10 MASAKA-MBARARA'!I49,'23.10 MASAKA-MBARARA'!I49)</f>
        <v>2</v>
      </c>
      <c r="J49" s="49">
        <f>AVERAGE('17.10 MASAKA-MBARARA'!J49,'18.10 MASAKA-MBARARA-24H'!J49,'19.10 MASAKA-MBARARA-24H'!J49,'20.10 MASAKA-MBARARA'!J49,'21.10 MASAKA-MBARARA'!J49,'22.10 MASAKA-MBARARA'!J49,'23.10 MASAKA-MBARARA'!J49)</f>
        <v>2.7142857142857144</v>
      </c>
      <c r="K49" s="49">
        <f>AVERAGE('17.10 MASAKA-MBARARA'!K49,'18.10 MASAKA-MBARARA-24H'!K49,'19.10 MASAKA-MBARARA-24H'!K49,'20.10 MASAKA-MBARARA'!K49,'21.10 MASAKA-MBARARA'!K49,'22.10 MASAKA-MBARARA'!K49,'23.10 MASAKA-MBARARA'!K49)</f>
        <v>0.8571428571428571</v>
      </c>
      <c r="L49" s="49">
        <f>AVERAGE('17.10 MASAKA-MBARARA'!L49,'18.10 MASAKA-MBARARA-24H'!L49,'19.10 MASAKA-MBARARA-24H'!L49,'20.10 MASAKA-MBARARA'!L49,'21.10 MASAKA-MBARARA'!L49,'22.10 MASAKA-MBARARA'!L49,'23.10 MASAKA-MBARARA'!L49)</f>
        <v>0.2857142857142857</v>
      </c>
      <c r="M49" s="49">
        <f>AVERAGE('17.10 MASAKA-MBARARA'!M49,'18.10 MASAKA-MBARARA-24H'!M49,'19.10 MASAKA-MBARARA-24H'!M49,'20.10 MASAKA-MBARARA'!M49,'21.10 MASAKA-MBARARA'!M49,'22.10 MASAKA-MBARARA'!M49,'23.10 MASAKA-MBARARA'!M49)</f>
        <v>12.428571428571429</v>
      </c>
      <c r="N49" s="49">
        <f>AVERAGE('17.10 MASAKA-MBARARA'!N49,'18.10 MASAKA-MBARARA-24H'!N49,'19.10 MASAKA-MBARARA-24H'!N49,'20.10 MASAKA-MBARARA'!N49,'21.10 MASAKA-MBARARA'!N49,'22.10 MASAKA-MBARARA'!N49,'23.10 MASAKA-MBARARA'!N49)</f>
        <v>0</v>
      </c>
      <c r="O49" s="15">
        <f t="shared" si="0"/>
        <v>24.428571428571427</v>
      </c>
      <c r="P49" s="15">
        <f t="shared" si="1"/>
        <v>36.857142857142854</v>
      </c>
      <c r="R49" s="8"/>
      <c r="T49"/>
    </row>
    <row r="50" spans="2:20" ht="23.1" customHeight="1" x14ac:dyDescent="0.25">
      <c r="B50" s="24" t="s">
        <v>77</v>
      </c>
      <c r="C50" s="49">
        <f>AVERAGE('17.10 MASAKA-MBARARA'!C50,'18.10 MASAKA-MBARARA-24H'!C50,'19.10 MASAKA-MBARARA-24H'!C50,'20.10 MASAKA-MBARARA'!C50,'21.10 MASAKA-MBARARA'!C50,'22.10 MASAKA-MBARARA'!C50,'23.10 MASAKA-MBARARA'!C50)</f>
        <v>9.7142857142857135</v>
      </c>
      <c r="D50" s="49">
        <f>AVERAGE('17.10 MASAKA-MBARARA'!D50,'18.10 MASAKA-MBARARA-24H'!D50,'19.10 MASAKA-MBARARA-24H'!D50,'20.10 MASAKA-MBARARA'!D50,'21.10 MASAKA-MBARARA'!D50,'22.10 MASAKA-MBARARA'!D50,'23.10 MASAKA-MBARARA'!D50)</f>
        <v>3.1428571428571428</v>
      </c>
      <c r="E50" s="49">
        <f>AVERAGE('17.10 MASAKA-MBARARA'!E50,'18.10 MASAKA-MBARARA-24H'!E50,'19.10 MASAKA-MBARARA-24H'!E50,'20.10 MASAKA-MBARARA'!E50,'21.10 MASAKA-MBARARA'!E50,'22.10 MASAKA-MBARARA'!E50,'23.10 MASAKA-MBARARA'!E50)</f>
        <v>1.5714285714285714</v>
      </c>
      <c r="F50" s="49">
        <f>AVERAGE('17.10 MASAKA-MBARARA'!F50,'18.10 MASAKA-MBARARA-24H'!F50,'19.10 MASAKA-MBARARA-24H'!F50,'20.10 MASAKA-MBARARA'!F50,'21.10 MASAKA-MBARARA'!F50,'22.10 MASAKA-MBARARA'!F50,'23.10 MASAKA-MBARARA'!F50)</f>
        <v>4.4285714285714288</v>
      </c>
      <c r="G50" s="49">
        <f>AVERAGE('17.10 MASAKA-MBARARA'!G50,'18.10 MASAKA-MBARARA-24H'!G50,'19.10 MASAKA-MBARARA-24H'!G50,'20.10 MASAKA-MBARARA'!G50,'21.10 MASAKA-MBARARA'!G50,'22.10 MASAKA-MBARARA'!G50,'23.10 MASAKA-MBARARA'!G50)</f>
        <v>0.5714285714285714</v>
      </c>
      <c r="H50" s="49">
        <f>AVERAGE('17.10 MASAKA-MBARARA'!H50,'18.10 MASAKA-MBARARA-24H'!H50,'19.10 MASAKA-MBARARA-24H'!H50,'20.10 MASAKA-MBARARA'!H50,'21.10 MASAKA-MBARARA'!H50,'22.10 MASAKA-MBARARA'!H50,'23.10 MASAKA-MBARARA'!H50)</f>
        <v>1.4285714285714286</v>
      </c>
      <c r="I50" s="49">
        <f>AVERAGE('17.10 MASAKA-MBARARA'!I50,'18.10 MASAKA-MBARARA-24H'!I50,'19.10 MASAKA-MBARARA-24H'!I50,'20.10 MASAKA-MBARARA'!I50,'21.10 MASAKA-MBARARA'!I50,'22.10 MASAKA-MBARARA'!I50,'23.10 MASAKA-MBARARA'!I50)</f>
        <v>2.5714285714285716</v>
      </c>
      <c r="J50" s="49">
        <f>AVERAGE('17.10 MASAKA-MBARARA'!J50,'18.10 MASAKA-MBARARA-24H'!J50,'19.10 MASAKA-MBARARA-24H'!J50,'20.10 MASAKA-MBARARA'!J50,'21.10 MASAKA-MBARARA'!J50,'22.10 MASAKA-MBARARA'!J50,'23.10 MASAKA-MBARARA'!J50)</f>
        <v>2.7142857142857144</v>
      </c>
      <c r="K50" s="49">
        <f>AVERAGE('17.10 MASAKA-MBARARA'!K50,'18.10 MASAKA-MBARARA-24H'!K50,'19.10 MASAKA-MBARARA-24H'!K50,'20.10 MASAKA-MBARARA'!K50,'21.10 MASAKA-MBARARA'!K50,'22.10 MASAKA-MBARARA'!K50,'23.10 MASAKA-MBARARA'!K50)</f>
        <v>2.8571428571428572</v>
      </c>
      <c r="L50" s="49">
        <f>AVERAGE('17.10 MASAKA-MBARARA'!L50,'18.10 MASAKA-MBARARA-24H'!L50,'19.10 MASAKA-MBARARA-24H'!L50,'20.10 MASAKA-MBARARA'!L50,'21.10 MASAKA-MBARARA'!L50,'22.10 MASAKA-MBARARA'!L50,'23.10 MASAKA-MBARARA'!L50)</f>
        <v>0.42857142857142855</v>
      </c>
      <c r="M50" s="49">
        <f>AVERAGE('17.10 MASAKA-MBARARA'!M50,'18.10 MASAKA-MBARARA-24H'!M50,'19.10 MASAKA-MBARARA-24H'!M50,'20.10 MASAKA-MBARARA'!M50,'21.10 MASAKA-MBARARA'!M50,'22.10 MASAKA-MBARARA'!M50,'23.10 MASAKA-MBARARA'!M50)</f>
        <v>14.571428571428571</v>
      </c>
      <c r="N50" s="49">
        <f>AVERAGE('17.10 MASAKA-MBARARA'!N50,'18.10 MASAKA-MBARARA-24H'!N50,'19.10 MASAKA-MBARARA-24H'!N50,'20.10 MASAKA-MBARARA'!N50,'21.10 MASAKA-MBARARA'!N50,'22.10 MASAKA-MBARARA'!N50,'23.10 MASAKA-MBARARA'!N50)</f>
        <v>0</v>
      </c>
      <c r="O50" s="15">
        <f t="shared" si="0"/>
        <v>29.428571428571427</v>
      </c>
      <c r="P50" s="15">
        <f t="shared" si="1"/>
        <v>44</v>
      </c>
      <c r="R50" s="8"/>
      <c r="T50"/>
    </row>
    <row r="51" spans="2:20" ht="23.1" customHeight="1" x14ac:dyDescent="0.25">
      <c r="B51" s="24" t="s">
        <v>78</v>
      </c>
      <c r="C51" s="49">
        <f>AVERAGE('17.10 MASAKA-MBARARA'!C51,'18.10 MASAKA-MBARARA-24H'!C51,'19.10 MASAKA-MBARARA-24H'!C51,'20.10 MASAKA-MBARARA'!C51,'21.10 MASAKA-MBARARA'!C51,'22.10 MASAKA-MBARARA'!C51,'23.10 MASAKA-MBARARA'!C51)</f>
        <v>11</v>
      </c>
      <c r="D51" s="49">
        <f>AVERAGE('17.10 MASAKA-MBARARA'!D51,'18.10 MASAKA-MBARARA-24H'!D51,'19.10 MASAKA-MBARARA-24H'!D51,'20.10 MASAKA-MBARARA'!D51,'21.10 MASAKA-MBARARA'!D51,'22.10 MASAKA-MBARARA'!D51,'23.10 MASAKA-MBARARA'!D51)</f>
        <v>5</v>
      </c>
      <c r="E51" s="49">
        <f>AVERAGE('17.10 MASAKA-MBARARA'!E51,'18.10 MASAKA-MBARARA-24H'!E51,'19.10 MASAKA-MBARARA-24H'!E51,'20.10 MASAKA-MBARARA'!E51,'21.10 MASAKA-MBARARA'!E51,'22.10 MASAKA-MBARARA'!E51,'23.10 MASAKA-MBARARA'!E51)</f>
        <v>2.4285714285714284</v>
      </c>
      <c r="F51" s="49">
        <f>AVERAGE('17.10 MASAKA-MBARARA'!F51,'18.10 MASAKA-MBARARA-24H'!F51,'19.10 MASAKA-MBARARA-24H'!F51,'20.10 MASAKA-MBARARA'!F51,'21.10 MASAKA-MBARARA'!F51,'22.10 MASAKA-MBARARA'!F51,'23.10 MASAKA-MBARARA'!F51)</f>
        <v>4.5714285714285712</v>
      </c>
      <c r="G51" s="49">
        <f>AVERAGE('17.10 MASAKA-MBARARA'!G51,'18.10 MASAKA-MBARARA-24H'!G51,'19.10 MASAKA-MBARARA-24H'!G51,'20.10 MASAKA-MBARARA'!G51,'21.10 MASAKA-MBARARA'!G51,'22.10 MASAKA-MBARARA'!G51,'23.10 MASAKA-MBARARA'!G51)</f>
        <v>0.14285714285714285</v>
      </c>
      <c r="H51" s="49">
        <f>AVERAGE('17.10 MASAKA-MBARARA'!H51,'18.10 MASAKA-MBARARA-24H'!H51,'19.10 MASAKA-MBARARA-24H'!H51,'20.10 MASAKA-MBARARA'!H51,'21.10 MASAKA-MBARARA'!H51,'22.10 MASAKA-MBARARA'!H51,'23.10 MASAKA-MBARARA'!H51)</f>
        <v>1.5714285714285714</v>
      </c>
      <c r="I51" s="49">
        <f>AVERAGE('17.10 MASAKA-MBARARA'!I51,'18.10 MASAKA-MBARARA-24H'!I51,'19.10 MASAKA-MBARARA-24H'!I51,'20.10 MASAKA-MBARARA'!I51,'21.10 MASAKA-MBARARA'!I51,'22.10 MASAKA-MBARARA'!I51,'23.10 MASAKA-MBARARA'!I51)</f>
        <v>2.7142857142857144</v>
      </c>
      <c r="J51" s="49">
        <f>AVERAGE('17.10 MASAKA-MBARARA'!J51,'18.10 MASAKA-MBARARA-24H'!J51,'19.10 MASAKA-MBARARA-24H'!J51,'20.10 MASAKA-MBARARA'!J51,'21.10 MASAKA-MBARARA'!J51,'22.10 MASAKA-MBARARA'!J51,'23.10 MASAKA-MBARARA'!J51)</f>
        <v>2.5714285714285716</v>
      </c>
      <c r="K51" s="49">
        <f>AVERAGE('17.10 MASAKA-MBARARA'!K51,'18.10 MASAKA-MBARARA-24H'!K51,'19.10 MASAKA-MBARARA-24H'!K51,'20.10 MASAKA-MBARARA'!K51,'21.10 MASAKA-MBARARA'!K51,'22.10 MASAKA-MBARARA'!K51,'23.10 MASAKA-MBARARA'!K51)</f>
        <v>1.5714285714285714</v>
      </c>
      <c r="L51" s="49">
        <f>AVERAGE('17.10 MASAKA-MBARARA'!L51,'18.10 MASAKA-MBARARA-24H'!L51,'19.10 MASAKA-MBARARA-24H'!L51,'20.10 MASAKA-MBARARA'!L51,'21.10 MASAKA-MBARARA'!L51,'22.10 MASAKA-MBARARA'!L51,'23.10 MASAKA-MBARARA'!L51)</f>
        <v>0.42857142857142855</v>
      </c>
      <c r="M51" s="49">
        <f>AVERAGE('17.10 MASAKA-MBARARA'!M51,'18.10 MASAKA-MBARARA-24H'!M51,'19.10 MASAKA-MBARARA-24H'!M51,'20.10 MASAKA-MBARARA'!M51,'21.10 MASAKA-MBARARA'!M51,'22.10 MASAKA-MBARARA'!M51,'23.10 MASAKA-MBARARA'!M51)</f>
        <v>13.714285714285714</v>
      </c>
      <c r="N51" s="49">
        <f>AVERAGE('17.10 MASAKA-MBARARA'!N51,'18.10 MASAKA-MBARARA-24H'!N51,'19.10 MASAKA-MBARARA-24H'!N51,'20.10 MASAKA-MBARARA'!N51,'21.10 MASAKA-MBARARA'!N51,'22.10 MASAKA-MBARARA'!N51,'23.10 MASAKA-MBARARA'!N51)</f>
        <v>0</v>
      </c>
      <c r="O51" s="15">
        <f t="shared" si="0"/>
        <v>32.000000000000007</v>
      </c>
      <c r="P51" s="15">
        <f t="shared" si="1"/>
        <v>45.714285714285722</v>
      </c>
      <c r="R51" s="8"/>
      <c r="T51"/>
    </row>
    <row r="52" spans="2:20" ht="23.1" customHeight="1" x14ac:dyDescent="0.25">
      <c r="B52" s="24" t="s">
        <v>79</v>
      </c>
      <c r="C52" s="49">
        <f>AVERAGE('17.10 MASAKA-MBARARA'!C52,'18.10 MASAKA-MBARARA-24H'!C52,'19.10 MASAKA-MBARARA-24H'!C52,'20.10 MASAKA-MBARARA'!C52,'21.10 MASAKA-MBARARA'!C52,'22.10 MASAKA-MBARARA'!C52,'23.10 MASAKA-MBARARA'!C52)</f>
        <v>7.7142857142857144</v>
      </c>
      <c r="D52" s="49">
        <f>AVERAGE('17.10 MASAKA-MBARARA'!D52,'18.10 MASAKA-MBARARA-24H'!D52,'19.10 MASAKA-MBARARA-24H'!D52,'20.10 MASAKA-MBARARA'!D52,'21.10 MASAKA-MBARARA'!D52,'22.10 MASAKA-MBARARA'!D52,'23.10 MASAKA-MBARARA'!D52)</f>
        <v>3.8571428571428572</v>
      </c>
      <c r="E52" s="49">
        <f>AVERAGE('17.10 MASAKA-MBARARA'!E52,'18.10 MASAKA-MBARARA-24H'!E52,'19.10 MASAKA-MBARARA-24H'!E52,'20.10 MASAKA-MBARARA'!E52,'21.10 MASAKA-MBARARA'!E52,'22.10 MASAKA-MBARARA'!E52,'23.10 MASAKA-MBARARA'!E52)</f>
        <v>2.8571428571428572</v>
      </c>
      <c r="F52" s="49">
        <f>AVERAGE('17.10 MASAKA-MBARARA'!F52,'18.10 MASAKA-MBARARA-24H'!F52,'19.10 MASAKA-MBARARA-24H'!F52,'20.10 MASAKA-MBARARA'!F52,'21.10 MASAKA-MBARARA'!F52,'22.10 MASAKA-MBARARA'!F52,'23.10 MASAKA-MBARARA'!F52)</f>
        <v>4.8571428571428568</v>
      </c>
      <c r="G52" s="49">
        <f>AVERAGE('17.10 MASAKA-MBARARA'!G52,'18.10 MASAKA-MBARARA-24H'!G52,'19.10 MASAKA-MBARARA-24H'!G52,'20.10 MASAKA-MBARARA'!G52,'21.10 MASAKA-MBARARA'!G52,'22.10 MASAKA-MBARARA'!G52,'23.10 MASAKA-MBARARA'!G52)</f>
        <v>0</v>
      </c>
      <c r="H52" s="49">
        <f>AVERAGE('17.10 MASAKA-MBARARA'!H52,'18.10 MASAKA-MBARARA-24H'!H52,'19.10 MASAKA-MBARARA-24H'!H52,'20.10 MASAKA-MBARARA'!H52,'21.10 MASAKA-MBARARA'!H52,'22.10 MASAKA-MBARARA'!H52,'23.10 MASAKA-MBARARA'!H52)</f>
        <v>0.42857142857142855</v>
      </c>
      <c r="I52" s="49">
        <f>AVERAGE('17.10 MASAKA-MBARARA'!I52,'18.10 MASAKA-MBARARA-24H'!I52,'19.10 MASAKA-MBARARA-24H'!I52,'20.10 MASAKA-MBARARA'!I52,'21.10 MASAKA-MBARARA'!I52,'22.10 MASAKA-MBARARA'!I52,'23.10 MASAKA-MBARARA'!I52)</f>
        <v>2.4285714285714284</v>
      </c>
      <c r="J52" s="49">
        <f>AVERAGE('17.10 MASAKA-MBARARA'!J52,'18.10 MASAKA-MBARARA-24H'!J52,'19.10 MASAKA-MBARARA-24H'!J52,'20.10 MASAKA-MBARARA'!J52,'21.10 MASAKA-MBARARA'!J52,'22.10 MASAKA-MBARARA'!J52,'23.10 MASAKA-MBARARA'!J52)</f>
        <v>2.2857142857142856</v>
      </c>
      <c r="K52" s="49">
        <f>AVERAGE('17.10 MASAKA-MBARARA'!K52,'18.10 MASAKA-MBARARA-24H'!K52,'19.10 MASAKA-MBARARA-24H'!K52,'20.10 MASAKA-MBARARA'!K52,'21.10 MASAKA-MBARARA'!K52,'22.10 MASAKA-MBARARA'!K52,'23.10 MASAKA-MBARARA'!K52)</f>
        <v>1.5714285714285714</v>
      </c>
      <c r="L52" s="49">
        <f>AVERAGE('17.10 MASAKA-MBARARA'!L52,'18.10 MASAKA-MBARARA-24H'!L52,'19.10 MASAKA-MBARARA-24H'!L52,'20.10 MASAKA-MBARARA'!L52,'21.10 MASAKA-MBARARA'!L52,'22.10 MASAKA-MBARARA'!L52,'23.10 MASAKA-MBARARA'!L52)</f>
        <v>1.1428571428571428</v>
      </c>
      <c r="M52" s="49">
        <f>AVERAGE('17.10 MASAKA-MBARARA'!M52,'18.10 MASAKA-MBARARA-24H'!M52,'19.10 MASAKA-MBARARA-24H'!M52,'20.10 MASAKA-MBARARA'!M52,'21.10 MASAKA-MBARARA'!M52,'22.10 MASAKA-MBARARA'!M52,'23.10 MASAKA-MBARARA'!M52)</f>
        <v>15.428571428571429</v>
      </c>
      <c r="N52" s="49">
        <f>AVERAGE('17.10 MASAKA-MBARARA'!N52,'18.10 MASAKA-MBARARA-24H'!N52,'19.10 MASAKA-MBARARA-24H'!N52,'20.10 MASAKA-MBARARA'!N52,'21.10 MASAKA-MBARARA'!N52,'22.10 MASAKA-MBARARA'!N52,'23.10 MASAKA-MBARARA'!N52)</f>
        <v>0</v>
      </c>
      <c r="O52" s="15">
        <f t="shared" si="0"/>
        <v>27.142857142857139</v>
      </c>
      <c r="P52" s="15">
        <f t="shared" si="1"/>
        <v>42.571428571428569</v>
      </c>
      <c r="R52" s="8"/>
      <c r="T52"/>
    </row>
    <row r="53" spans="2:20" ht="23.1" customHeight="1" x14ac:dyDescent="0.25">
      <c r="B53" s="23" t="s">
        <v>80</v>
      </c>
      <c r="C53" s="49">
        <f>AVERAGE('17.10 MASAKA-MBARARA'!C53,'18.10 MASAKA-MBARARA-24H'!C53,'19.10 MASAKA-MBARARA-24H'!C53,'20.10 MASAKA-MBARARA'!C53,'21.10 MASAKA-MBARARA'!C53,'22.10 MASAKA-MBARARA'!C53,'23.10 MASAKA-MBARARA'!C53)</f>
        <v>12.142857142857142</v>
      </c>
      <c r="D53" s="49">
        <f>AVERAGE('17.10 MASAKA-MBARARA'!D53,'18.10 MASAKA-MBARARA-24H'!D53,'19.10 MASAKA-MBARARA-24H'!D53,'20.10 MASAKA-MBARARA'!D53,'21.10 MASAKA-MBARARA'!D53,'22.10 MASAKA-MBARARA'!D53,'23.10 MASAKA-MBARARA'!D53)</f>
        <v>4.2857142857142856</v>
      </c>
      <c r="E53" s="49">
        <f>AVERAGE('17.10 MASAKA-MBARARA'!E53,'18.10 MASAKA-MBARARA-24H'!E53,'19.10 MASAKA-MBARARA-24H'!E53,'20.10 MASAKA-MBARARA'!E53,'21.10 MASAKA-MBARARA'!E53,'22.10 MASAKA-MBARARA'!E53,'23.10 MASAKA-MBARARA'!E53)</f>
        <v>2.5714285714285716</v>
      </c>
      <c r="F53" s="49">
        <f>AVERAGE('17.10 MASAKA-MBARARA'!F53,'18.10 MASAKA-MBARARA-24H'!F53,'19.10 MASAKA-MBARARA-24H'!F53,'20.10 MASAKA-MBARARA'!F53,'21.10 MASAKA-MBARARA'!F53,'22.10 MASAKA-MBARARA'!F53,'23.10 MASAKA-MBARARA'!F53)</f>
        <v>5</v>
      </c>
      <c r="G53" s="49">
        <f>AVERAGE('17.10 MASAKA-MBARARA'!G53,'18.10 MASAKA-MBARARA-24H'!G53,'19.10 MASAKA-MBARARA-24H'!G53,'20.10 MASAKA-MBARARA'!G53,'21.10 MASAKA-MBARARA'!G53,'22.10 MASAKA-MBARARA'!G53,'23.10 MASAKA-MBARARA'!G53)</f>
        <v>0.14285714285714285</v>
      </c>
      <c r="H53" s="49">
        <f>AVERAGE('17.10 MASAKA-MBARARA'!H53,'18.10 MASAKA-MBARARA-24H'!H53,'19.10 MASAKA-MBARARA-24H'!H53,'20.10 MASAKA-MBARARA'!H53,'21.10 MASAKA-MBARARA'!H53,'22.10 MASAKA-MBARARA'!H53,'23.10 MASAKA-MBARARA'!H53)</f>
        <v>2.4285714285714284</v>
      </c>
      <c r="I53" s="49">
        <f>AVERAGE('17.10 MASAKA-MBARARA'!I53,'18.10 MASAKA-MBARARA-24H'!I53,'19.10 MASAKA-MBARARA-24H'!I53,'20.10 MASAKA-MBARARA'!I53,'21.10 MASAKA-MBARARA'!I53,'22.10 MASAKA-MBARARA'!I53,'23.10 MASAKA-MBARARA'!I53)</f>
        <v>3.5714285714285716</v>
      </c>
      <c r="J53" s="49">
        <f>AVERAGE('17.10 MASAKA-MBARARA'!J53,'18.10 MASAKA-MBARARA-24H'!J53,'19.10 MASAKA-MBARARA-24H'!J53,'20.10 MASAKA-MBARARA'!J53,'21.10 MASAKA-MBARARA'!J53,'22.10 MASAKA-MBARARA'!J53,'23.10 MASAKA-MBARARA'!J53)</f>
        <v>2.8571428571428572</v>
      </c>
      <c r="K53" s="49">
        <f>AVERAGE('17.10 MASAKA-MBARARA'!K53,'18.10 MASAKA-MBARARA-24H'!K53,'19.10 MASAKA-MBARARA-24H'!K53,'20.10 MASAKA-MBARARA'!K53,'21.10 MASAKA-MBARARA'!K53,'22.10 MASAKA-MBARARA'!K53,'23.10 MASAKA-MBARARA'!K53)</f>
        <v>2.2857142857142856</v>
      </c>
      <c r="L53" s="49">
        <f>AVERAGE('17.10 MASAKA-MBARARA'!L53,'18.10 MASAKA-MBARARA-24H'!L53,'19.10 MASAKA-MBARARA-24H'!L53,'20.10 MASAKA-MBARARA'!L53,'21.10 MASAKA-MBARARA'!L53,'22.10 MASAKA-MBARARA'!L53,'23.10 MASAKA-MBARARA'!L53)</f>
        <v>0.42857142857142855</v>
      </c>
      <c r="M53" s="49">
        <f>AVERAGE('17.10 MASAKA-MBARARA'!M53,'18.10 MASAKA-MBARARA-24H'!M53,'19.10 MASAKA-MBARARA-24H'!M53,'20.10 MASAKA-MBARARA'!M53,'21.10 MASAKA-MBARARA'!M53,'22.10 MASAKA-MBARARA'!M53,'23.10 MASAKA-MBARARA'!M53)</f>
        <v>16.714285714285715</v>
      </c>
      <c r="N53" s="49">
        <f>AVERAGE('17.10 MASAKA-MBARARA'!N53,'18.10 MASAKA-MBARARA-24H'!N53,'19.10 MASAKA-MBARARA-24H'!N53,'20.10 MASAKA-MBARARA'!N53,'21.10 MASAKA-MBARARA'!N53,'22.10 MASAKA-MBARARA'!N53,'23.10 MASAKA-MBARARA'!N53)</f>
        <v>0</v>
      </c>
      <c r="O53" s="15">
        <f t="shared" si="0"/>
        <v>35.714285714285715</v>
      </c>
      <c r="P53" s="15">
        <f t="shared" si="1"/>
        <v>52.428571428571431</v>
      </c>
      <c r="R53" s="8"/>
      <c r="T53"/>
    </row>
    <row r="54" spans="2:20" ht="23.1" customHeight="1" x14ac:dyDescent="0.25">
      <c r="B54" s="23" t="s">
        <v>81</v>
      </c>
      <c r="C54" s="49">
        <f>AVERAGE('17.10 MASAKA-MBARARA'!C54,'18.10 MASAKA-MBARARA-24H'!C54,'19.10 MASAKA-MBARARA-24H'!C54,'20.10 MASAKA-MBARARA'!C54,'21.10 MASAKA-MBARARA'!C54,'22.10 MASAKA-MBARARA'!C54,'23.10 MASAKA-MBARARA'!C54)</f>
        <v>10.285714285714286</v>
      </c>
      <c r="D54" s="49">
        <f>AVERAGE('17.10 MASAKA-MBARARA'!D54,'18.10 MASAKA-MBARARA-24H'!D54,'19.10 MASAKA-MBARARA-24H'!D54,'20.10 MASAKA-MBARARA'!D54,'21.10 MASAKA-MBARARA'!D54,'22.10 MASAKA-MBARARA'!D54,'23.10 MASAKA-MBARARA'!D54)</f>
        <v>3</v>
      </c>
      <c r="E54" s="49">
        <f>AVERAGE('17.10 MASAKA-MBARARA'!E54,'18.10 MASAKA-MBARARA-24H'!E54,'19.10 MASAKA-MBARARA-24H'!E54,'20.10 MASAKA-MBARARA'!E54,'21.10 MASAKA-MBARARA'!E54,'22.10 MASAKA-MBARARA'!E54,'23.10 MASAKA-MBARARA'!E54)</f>
        <v>3.1428571428571428</v>
      </c>
      <c r="F54" s="49">
        <f>AVERAGE('17.10 MASAKA-MBARARA'!F54,'18.10 MASAKA-MBARARA-24H'!F54,'19.10 MASAKA-MBARARA-24H'!F54,'20.10 MASAKA-MBARARA'!F54,'21.10 MASAKA-MBARARA'!F54,'22.10 MASAKA-MBARARA'!F54,'23.10 MASAKA-MBARARA'!F54)</f>
        <v>6</v>
      </c>
      <c r="G54" s="49">
        <f>AVERAGE('17.10 MASAKA-MBARARA'!G54,'18.10 MASAKA-MBARARA-24H'!G54,'19.10 MASAKA-MBARARA-24H'!G54,'20.10 MASAKA-MBARARA'!G54,'21.10 MASAKA-MBARARA'!G54,'22.10 MASAKA-MBARARA'!G54,'23.10 MASAKA-MBARARA'!G54)</f>
        <v>0.2857142857142857</v>
      </c>
      <c r="H54" s="49">
        <f>AVERAGE('17.10 MASAKA-MBARARA'!H54,'18.10 MASAKA-MBARARA-24H'!H54,'19.10 MASAKA-MBARARA-24H'!H54,'20.10 MASAKA-MBARARA'!H54,'21.10 MASAKA-MBARARA'!H54,'22.10 MASAKA-MBARARA'!H54,'23.10 MASAKA-MBARARA'!H54)</f>
        <v>1.4285714285714286</v>
      </c>
      <c r="I54" s="49">
        <f>AVERAGE('17.10 MASAKA-MBARARA'!I54,'18.10 MASAKA-MBARARA-24H'!I54,'19.10 MASAKA-MBARARA-24H'!I54,'20.10 MASAKA-MBARARA'!I54,'21.10 MASAKA-MBARARA'!I54,'22.10 MASAKA-MBARARA'!I54,'23.10 MASAKA-MBARARA'!I54)</f>
        <v>2.4285714285714284</v>
      </c>
      <c r="J54" s="49">
        <f>AVERAGE('17.10 MASAKA-MBARARA'!J54,'18.10 MASAKA-MBARARA-24H'!J54,'19.10 MASAKA-MBARARA-24H'!J54,'20.10 MASAKA-MBARARA'!J54,'21.10 MASAKA-MBARARA'!J54,'22.10 MASAKA-MBARARA'!J54,'23.10 MASAKA-MBARARA'!J54)</f>
        <v>2.8571428571428572</v>
      </c>
      <c r="K54" s="49">
        <f>AVERAGE('17.10 MASAKA-MBARARA'!K54,'18.10 MASAKA-MBARARA-24H'!K54,'19.10 MASAKA-MBARARA-24H'!K54,'20.10 MASAKA-MBARARA'!K54,'21.10 MASAKA-MBARARA'!K54,'22.10 MASAKA-MBARARA'!K54,'23.10 MASAKA-MBARARA'!K54)</f>
        <v>1.7142857142857142</v>
      </c>
      <c r="L54" s="49">
        <f>AVERAGE('17.10 MASAKA-MBARARA'!L54,'18.10 MASAKA-MBARARA-24H'!L54,'19.10 MASAKA-MBARARA-24H'!L54,'20.10 MASAKA-MBARARA'!L54,'21.10 MASAKA-MBARARA'!L54,'22.10 MASAKA-MBARARA'!L54,'23.10 MASAKA-MBARARA'!L54)</f>
        <v>0.42857142857142855</v>
      </c>
      <c r="M54" s="49">
        <f>AVERAGE('17.10 MASAKA-MBARARA'!M54,'18.10 MASAKA-MBARARA-24H'!M54,'19.10 MASAKA-MBARARA-24H'!M54,'20.10 MASAKA-MBARARA'!M54,'21.10 MASAKA-MBARARA'!M54,'22.10 MASAKA-MBARARA'!M54,'23.10 MASAKA-MBARARA'!M54)</f>
        <v>12.428571428571429</v>
      </c>
      <c r="N54" s="49">
        <f>AVERAGE('17.10 MASAKA-MBARARA'!N54,'18.10 MASAKA-MBARARA-24H'!N54,'19.10 MASAKA-MBARARA-24H'!N54,'20.10 MASAKA-MBARARA'!N54,'21.10 MASAKA-MBARARA'!N54,'22.10 MASAKA-MBARARA'!N54,'23.10 MASAKA-MBARARA'!N54)</f>
        <v>0</v>
      </c>
      <c r="O54" s="15">
        <f t="shared" si="0"/>
        <v>31.571428571428569</v>
      </c>
      <c r="P54" s="15">
        <f t="shared" si="1"/>
        <v>44</v>
      </c>
      <c r="R54" s="8"/>
      <c r="T54"/>
    </row>
    <row r="55" spans="2:20" ht="23.1" customHeight="1" x14ac:dyDescent="0.25">
      <c r="B55" s="23" t="s">
        <v>82</v>
      </c>
      <c r="C55" s="49">
        <f>AVERAGE('17.10 MASAKA-MBARARA'!C55,'18.10 MASAKA-MBARARA-24H'!C55,'19.10 MASAKA-MBARARA-24H'!C55,'20.10 MASAKA-MBARARA'!C55,'21.10 MASAKA-MBARARA'!C55,'22.10 MASAKA-MBARARA'!C55,'23.10 MASAKA-MBARARA'!C55)</f>
        <v>9.5714285714285712</v>
      </c>
      <c r="D55" s="49">
        <f>AVERAGE('17.10 MASAKA-MBARARA'!D55,'18.10 MASAKA-MBARARA-24H'!D55,'19.10 MASAKA-MBARARA-24H'!D55,'20.10 MASAKA-MBARARA'!D55,'21.10 MASAKA-MBARARA'!D55,'22.10 MASAKA-MBARARA'!D55,'23.10 MASAKA-MBARARA'!D55)</f>
        <v>3.2857142857142856</v>
      </c>
      <c r="E55" s="49">
        <f>AVERAGE('17.10 MASAKA-MBARARA'!E55,'18.10 MASAKA-MBARARA-24H'!E55,'19.10 MASAKA-MBARARA-24H'!E55,'20.10 MASAKA-MBARARA'!E55,'21.10 MASAKA-MBARARA'!E55,'22.10 MASAKA-MBARARA'!E55,'23.10 MASAKA-MBARARA'!E55)</f>
        <v>1.8571428571428572</v>
      </c>
      <c r="F55" s="49">
        <f>AVERAGE('17.10 MASAKA-MBARARA'!F55,'18.10 MASAKA-MBARARA-24H'!F55,'19.10 MASAKA-MBARARA-24H'!F55,'20.10 MASAKA-MBARARA'!F55,'21.10 MASAKA-MBARARA'!F55,'22.10 MASAKA-MBARARA'!F55,'23.10 MASAKA-MBARARA'!F55)</f>
        <v>4.8571428571428568</v>
      </c>
      <c r="G55" s="49">
        <f>AVERAGE('17.10 MASAKA-MBARARA'!G55,'18.10 MASAKA-MBARARA-24H'!G55,'19.10 MASAKA-MBARARA-24H'!G55,'20.10 MASAKA-MBARARA'!G55,'21.10 MASAKA-MBARARA'!G55,'22.10 MASAKA-MBARARA'!G55,'23.10 MASAKA-MBARARA'!G55)</f>
        <v>0.42857142857142855</v>
      </c>
      <c r="H55" s="49">
        <f>AVERAGE('17.10 MASAKA-MBARARA'!H55,'18.10 MASAKA-MBARARA-24H'!H55,'19.10 MASAKA-MBARARA-24H'!H55,'20.10 MASAKA-MBARARA'!H55,'21.10 MASAKA-MBARARA'!H55,'22.10 MASAKA-MBARARA'!H55,'23.10 MASAKA-MBARARA'!H55)</f>
        <v>0.8571428571428571</v>
      </c>
      <c r="I55" s="49">
        <f>AVERAGE('17.10 MASAKA-MBARARA'!I55,'18.10 MASAKA-MBARARA-24H'!I55,'19.10 MASAKA-MBARARA-24H'!I55,'20.10 MASAKA-MBARARA'!I55,'21.10 MASAKA-MBARARA'!I55,'22.10 MASAKA-MBARARA'!I55,'23.10 MASAKA-MBARARA'!I55)</f>
        <v>1.5714285714285714</v>
      </c>
      <c r="J55" s="49">
        <f>AVERAGE('17.10 MASAKA-MBARARA'!J55,'18.10 MASAKA-MBARARA-24H'!J55,'19.10 MASAKA-MBARARA-24H'!J55,'20.10 MASAKA-MBARARA'!J55,'21.10 MASAKA-MBARARA'!J55,'22.10 MASAKA-MBARARA'!J55,'23.10 MASAKA-MBARARA'!J55)</f>
        <v>3.2857142857142856</v>
      </c>
      <c r="K55" s="49">
        <f>AVERAGE('17.10 MASAKA-MBARARA'!K55,'18.10 MASAKA-MBARARA-24H'!K55,'19.10 MASAKA-MBARARA-24H'!K55,'20.10 MASAKA-MBARARA'!K55,'21.10 MASAKA-MBARARA'!K55,'22.10 MASAKA-MBARARA'!K55,'23.10 MASAKA-MBARARA'!K55)</f>
        <v>1.1428571428571428</v>
      </c>
      <c r="L55" s="49">
        <f>AVERAGE('17.10 MASAKA-MBARARA'!L55,'18.10 MASAKA-MBARARA-24H'!L55,'19.10 MASAKA-MBARARA-24H'!L55,'20.10 MASAKA-MBARARA'!L55,'21.10 MASAKA-MBARARA'!L55,'22.10 MASAKA-MBARARA'!L55,'23.10 MASAKA-MBARARA'!L55)</f>
        <v>0.7142857142857143</v>
      </c>
      <c r="M55" s="49">
        <f>AVERAGE('17.10 MASAKA-MBARARA'!M55,'18.10 MASAKA-MBARARA-24H'!M55,'19.10 MASAKA-MBARARA-24H'!M55,'20.10 MASAKA-MBARARA'!M55,'21.10 MASAKA-MBARARA'!M55,'22.10 MASAKA-MBARARA'!M55,'23.10 MASAKA-MBARARA'!M55)</f>
        <v>18.428571428571427</v>
      </c>
      <c r="N55" s="49">
        <f>AVERAGE('17.10 MASAKA-MBARARA'!N55,'18.10 MASAKA-MBARARA-24H'!N55,'19.10 MASAKA-MBARARA-24H'!N55,'20.10 MASAKA-MBARARA'!N55,'21.10 MASAKA-MBARARA'!N55,'22.10 MASAKA-MBARARA'!N55,'23.10 MASAKA-MBARARA'!N55)</f>
        <v>0</v>
      </c>
      <c r="O55" s="15">
        <f t="shared" si="0"/>
        <v>27.571428571428573</v>
      </c>
      <c r="P55" s="15">
        <f t="shared" si="1"/>
        <v>46</v>
      </c>
      <c r="R55" s="8"/>
      <c r="T55"/>
    </row>
    <row r="56" spans="2:20" ht="23.1" customHeight="1" x14ac:dyDescent="0.25">
      <c r="B56" s="23" t="s">
        <v>83</v>
      </c>
      <c r="C56" s="49">
        <f>AVERAGE('17.10 MASAKA-MBARARA'!C56,'18.10 MASAKA-MBARARA-24H'!C56,'19.10 MASAKA-MBARARA-24H'!C56,'20.10 MASAKA-MBARARA'!C56,'21.10 MASAKA-MBARARA'!C56,'22.10 MASAKA-MBARARA'!C56,'23.10 MASAKA-MBARARA'!C56)</f>
        <v>9.2857142857142865</v>
      </c>
      <c r="D56" s="49">
        <f>AVERAGE('17.10 MASAKA-MBARARA'!D56,'18.10 MASAKA-MBARARA-24H'!D56,'19.10 MASAKA-MBARARA-24H'!D56,'20.10 MASAKA-MBARARA'!D56,'21.10 MASAKA-MBARARA'!D56,'22.10 MASAKA-MBARARA'!D56,'23.10 MASAKA-MBARARA'!D56)</f>
        <v>3.4285714285714284</v>
      </c>
      <c r="E56" s="49">
        <f>AVERAGE('17.10 MASAKA-MBARARA'!E56,'18.10 MASAKA-MBARARA-24H'!E56,'19.10 MASAKA-MBARARA-24H'!E56,'20.10 MASAKA-MBARARA'!E56,'21.10 MASAKA-MBARARA'!E56,'22.10 MASAKA-MBARARA'!E56,'23.10 MASAKA-MBARARA'!E56)</f>
        <v>2.4285714285714284</v>
      </c>
      <c r="F56" s="49">
        <f>AVERAGE('17.10 MASAKA-MBARARA'!F56,'18.10 MASAKA-MBARARA-24H'!F56,'19.10 MASAKA-MBARARA-24H'!F56,'20.10 MASAKA-MBARARA'!F56,'21.10 MASAKA-MBARARA'!F56,'22.10 MASAKA-MBARARA'!F56,'23.10 MASAKA-MBARARA'!F56)</f>
        <v>3.8571428571428572</v>
      </c>
      <c r="G56" s="49">
        <f>AVERAGE('17.10 MASAKA-MBARARA'!G56,'18.10 MASAKA-MBARARA-24H'!G56,'19.10 MASAKA-MBARARA-24H'!G56,'20.10 MASAKA-MBARARA'!G56,'21.10 MASAKA-MBARARA'!G56,'22.10 MASAKA-MBARARA'!G56,'23.10 MASAKA-MBARARA'!G56)</f>
        <v>0.2857142857142857</v>
      </c>
      <c r="H56" s="49">
        <f>AVERAGE('17.10 MASAKA-MBARARA'!H56,'18.10 MASAKA-MBARARA-24H'!H56,'19.10 MASAKA-MBARARA-24H'!H56,'20.10 MASAKA-MBARARA'!H56,'21.10 MASAKA-MBARARA'!H56,'22.10 MASAKA-MBARARA'!H56,'23.10 MASAKA-MBARARA'!H56)</f>
        <v>1.5714285714285714</v>
      </c>
      <c r="I56" s="49">
        <f>AVERAGE('17.10 MASAKA-MBARARA'!I56,'18.10 MASAKA-MBARARA-24H'!I56,'19.10 MASAKA-MBARARA-24H'!I56,'20.10 MASAKA-MBARARA'!I56,'21.10 MASAKA-MBARARA'!I56,'22.10 MASAKA-MBARARA'!I56,'23.10 MASAKA-MBARARA'!I56)</f>
        <v>2.4285714285714284</v>
      </c>
      <c r="J56" s="49">
        <f>AVERAGE('17.10 MASAKA-MBARARA'!J56,'18.10 MASAKA-MBARARA-24H'!J56,'19.10 MASAKA-MBARARA-24H'!J56,'20.10 MASAKA-MBARARA'!J56,'21.10 MASAKA-MBARARA'!J56,'22.10 MASAKA-MBARARA'!J56,'23.10 MASAKA-MBARARA'!J56)</f>
        <v>2.4285714285714284</v>
      </c>
      <c r="K56" s="49">
        <f>AVERAGE('17.10 MASAKA-MBARARA'!K56,'18.10 MASAKA-MBARARA-24H'!K56,'19.10 MASAKA-MBARARA-24H'!K56,'20.10 MASAKA-MBARARA'!K56,'21.10 MASAKA-MBARARA'!K56,'22.10 MASAKA-MBARARA'!K56,'23.10 MASAKA-MBARARA'!K56)</f>
        <v>2</v>
      </c>
      <c r="L56" s="49">
        <f>AVERAGE('17.10 MASAKA-MBARARA'!L56,'18.10 MASAKA-MBARARA-24H'!L56,'19.10 MASAKA-MBARARA-24H'!L56,'20.10 MASAKA-MBARARA'!L56,'21.10 MASAKA-MBARARA'!L56,'22.10 MASAKA-MBARARA'!L56,'23.10 MASAKA-MBARARA'!L56)</f>
        <v>0.5714285714285714</v>
      </c>
      <c r="M56" s="49">
        <f>AVERAGE('17.10 MASAKA-MBARARA'!M56,'18.10 MASAKA-MBARARA-24H'!M56,'19.10 MASAKA-MBARARA-24H'!M56,'20.10 MASAKA-MBARARA'!M56,'21.10 MASAKA-MBARARA'!M56,'22.10 MASAKA-MBARARA'!M56,'23.10 MASAKA-MBARARA'!M56)</f>
        <v>16.571428571428573</v>
      </c>
      <c r="N56" s="49">
        <f>AVERAGE('17.10 MASAKA-MBARARA'!N56,'18.10 MASAKA-MBARARA-24H'!N56,'19.10 MASAKA-MBARARA-24H'!N56,'20.10 MASAKA-MBARARA'!N56,'21.10 MASAKA-MBARARA'!N56,'22.10 MASAKA-MBARARA'!N56,'23.10 MASAKA-MBARARA'!N56)</f>
        <v>0</v>
      </c>
      <c r="O56" s="15">
        <f t="shared" si="0"/>
        <v>28.285714285714285</v>
      </c>
      <c r="P56" s="15">
        <f t="shared" si="1"/>
        <v>44.857142857142861</v>
      </c>
      <c r="R56" s="8"/>
      <c r="T56"/>
    </row>
    <row r="57" spans="2:20" ht="23.1" customHeight="1" x14ac:dyDescent="0.25">
      <c r="B57" s="23" t="s">
        <v>84</v>
      </c>
      <c r="C57" s="49">
        <f>AVERAGE('17.10 MASAKA-MBARARA'!C57,'18.10 MASAKA-MBARARA-24H'!C57,'19.10 MASAKA-MBARARA-24H'!C57,'20.10 MASAKA-MBARARA'!C57,'21.10 MASAKA-MBARARA'!C57,'22.10 MASAKA-MBARARA'!C57,'23.10 MASAKA-MBARARA'!C57)</f>
        <v>7.4285714285714288</v>
      </c>
      <c r="D57" s="49">
        <f>AVERAGE('17.10 MASAKA-MBARARA'!D57,'18.10 MASAKA-MBARARA-24H'!D57,'19.10 MASAKA-MBARARA-24H'!D57,'20.10 MASAKA-MBARARA'!D57,'21.10 MASAKA-MBARARA'!D57,'22.10 MASAKA-MBARARA'!D57,'23.10 MASAKA-MBARARA'!D57)</f>
        <v>3.1428571428571428</v>
      </c>
      <c r="E57" s="49">
        <f>AVERAGE('17.10 MASAKA-MBARARA'!E57,'18.10 MASAKA-MBARARA-24H'!E57,'19.10 MASAKA-MBARARA-24H'!E57,'20.10 MASAKA-MBARARA'!E57,'21.10 MASAKA-MBARARA'!E57,'22.10 MASAKA-MBARARA'!E57,'23.10 MASAKA-MBARARA'!E57)</f>
        <v>1.7142857142857142</v>
      </c>
      <c r="F57" s="49">
        <f>AVERAGE('17.10 MASAKA-MBARARA'!F57,'18.10 MASAKA-MBARARA-24H'!F57,'19.10 MASAKA-MBARARA-24H'!F57,'20.10 MASAKA-MBARARA'!F57,'21.10 MASAKA-MBARARA'!F57,'22.10 MASAKA-MBARARA'!F57,'23.10 MASAKA-MBARARA'!F57)</f>
        <v>3.7142857142857144</v>
      </c>
      <c r="G57" s="49">
        <f>AVERAGE('17.10 MASAKA-MBARARA'!G57,'18.10 MASAKA-MBARARA-24H'!G57,'19.10 MASAKA-MBARARA-24H'!G57,'20.10 MASAKA-MBARARA'!G57,'21.10 MASAKA-MBARARA'!G57,'22.10 MASAKA-MBARARA'!G57,'23.10 MASAKA-MBARARA'!G57)</f>
        <v>0.2857142857142857</v>
      </c>
      <c r="H57" s="49">
        <f>AVERAGE('17.10 MASAKA-MBARARA'!H57,'18.10 MASAKA-MBARARA-24H'!H57,'19.10 MASAKA-MBARARA-24H'!H57,'20.10 MASAKA-MBARARA'!H57,'21.10 MASAKA-MBARARA'!H57,'22.10 MASAKA-MBARARA'!H57,'23.10 MASAKA-MBARARA'!H57)</f>
        <v>1.5714285714285714</v>
      </c>
      <c r="I57" s="49">
        <f>AVERAGE('17.10 MASAKA-MBARARA'!I57,'18.10 MASAKA-MBARARA-24H'!I57,'19.10 MASAKA-MBARARA-24H'!I57,'20.10 MASAKA-MBARARA'!I57,'21.10 MASAKA-MBARARA'!I57,'22.10 MASAKA-MBARARA'!I57,'23.10 MASAKA-MBARARA'!I57)</f>
        <v>1.8571428571428572</v>
      </c>
      <c r="J57" s="49">
        <f>AVERAGE('17.10 MASAKA-MBARARA'!J57,'18.10 MASAKA-MBARARA-24H'!J57,'19.10 MASAKA-MBARARA-24H'!J57,'20.10 MASAKA-MBARARA'!J57,'21.10 MASAKA-MBARARA'!J57,'22.10 MASAKA-MBARARA'!J57,'23.10 MASAKA-MBARARA'!J57)</f>
        <v>2.4285714285714284</v>
      </c>
      <c r="K57" s="49">
        <f>AVERAGE('17.10 MASAKA-MBARARA'!K57,'18.10 MASAKA-MBARARA-24H'!K57,'19.10 MASAKA-MBARARA-24H'!K57,'20.10 MASAKA-MBARARA'!K57,'21.10 MASAKA-MBARARA'!K57,'22.10 MASAKA-MBARARA'!K57,'23.10 MASAKA-MBARARA'!K57)</f>
        <v>2.1428571428571428</v>
      </c>
      <c r="L57" s="49">
        <f>AVERAGE('17.10 MASAKA-MBARARA'!L57,'18.10 MASAKA-MBARARA-24H'!L57,'19.10 MASAKA-MBARARA-24H'!L57,'20.10 MASAKA-MBARARA'!L57,'21.10 MASAKA-MBARARA'!L57,'22.10 MASAKA-MBARARA'!L57,'23.10 MASAKA-MBARARA'!L57)</f>
        <v>0.2857142857142857</v>
      </c>
      <c r="M57" s="49">
        <f>AVERAGE('17.10 MASAKA-MBARARA'!M57,'18.10 MASAKA-MBARARA-24H'!M57,'19.10 MASAKA-MBARARA-24H'!M57,'20.10 MASAKA-MBARARA'!M57,'21.10 MASAKA-MBARARA'!M57,'22.10 MASAKA-MBARARA'!M57,'23.10 MASAKA-MBARARA'!M57)</f>
        <v>14.714285714285714</v>
      </c>
      <c r="N57" s="49">
        <f>AVERAGE('17.10 MASAKA-MBARARA'!N57,'18.10 MASAKA-MBARARA-24H'!N57,'19.10 MASAKA-MBARARA-24H'!N57,'20.10 MASAKA-MBARARA'!N57,'21.10 MASAKA-MBARARA'!N57,'22.10 MASAKA-MBARARA'!N57,'23.10 MASAKA-MBARARA'!N57)</f>
        <v>0</v>
      </c>
      <c r="O57" s="15">
        <f t="shared" si="0"/>
        <v>24.571428571428569</v>
      </c>
      <c r="P57" s="15">
        <f t="shared" si="1"/>
        <v>39.285714285714285</v>
      </c>
      <c r="R57" s="8"/>
      <c r="T57"/>
    </row>
    <row r="58" spans="2:20" ht="23.1" customHeight="1" x14ac:dyDescent="0.25">
      <c r="B58" s="23" t="s">
        <v>99</v>
      </c>
      <c r="C58" s="49">
        <f>AVERAGE('18.10 MASAKA-MBARARA-24H'!C58,'19.10 MASAKA-MBARARA-24H'!C58)</f>
        <v>10</v>
      </c>
      <c r="D58" s="49">
        <f>AVERAGE('18.10 MASAKA-MBARARA-24H'!D58,'19.10 MASAKA-MBARARA-24H'!D58)</f>
        <v>3</v>
      </c>
      <c r="E58" s="49">
        <f>AVERAGE('18.10 MASAKA-MBARARA-24H'!E58,'19.10 MASAKA-MBARARA-24H'!E58)</f>
        <v>1.5</v>
      </c>
      <c r="F58" s="49">
        <f>AVERAGE('18.10 MASAKA-MBARARA-24H'!F58,'19.10 MASAKA-MBARARA-24H'!F58)</f>
        <v>4</v>
      </c>
      <c r="G58" s="49">
        <f>AVERAGE('18.10 MASAKA-MBARARA-24H'!G58,'19.10 MASAKA-MBARARA-24H'!G58)</f>
        <v>0</v>
      </c>
      <c r="H58" s="49">
        <f>AVERAGE('18.10 MASAKA-MBARARA-24H'!H58,'19.10 MASAKA-MBARARA-24H'!H58)</f>
        <v>0.5</v>
      </c>
      <c r="I58" s="49">
        <f>AVERAGE('18.10 MASAKA-MBARARA-24H'!I58,'19.10 MASAKA-MBARARA-24H'!I58)</f>
        <v>1</v>
      </c>
      <c r="J58" s="49">
        <f>AVERAGE('18.10 MASAKA-MBARARA-24H'!J58,'19.10 MASAKA-MBARARA-24H'!J58)</f>
        <v>4.5</v>
      </c>
      <c r="K58" s="49">
        <f>AVERAGE('18.10 MASAKA-MBARARA-24H'!K58,'19.10 MASAKA-MBARARA-24H'!K58)</f>
        <v>0</v>
      </c>
      <c r="L58" s="49">
        <f>AVERAGE('18.10 MASAKA-MBARARA-24H'!L58,'19.10 MASAKA-MBARARA-24H'!L58)</f>
        <v>0.5</v>
      </c>
      <c r="M58" s="49">
        <f>AVERAGE('18.10 MASAKA-MBARARA-24H'!M58,'19.10 MASAKA-MBARARA-24H'!M58)</f>
        <v>6</v>
      </c>
      <c r="N58" s="49">
        <f>AVERAGE('18.10 MASAKA-MBARARA-24H'!N58,'19.10 MASAKA-MBARARA-24H'!N58)</f>
        <v>0</v>
      </c>
      <c r="O58" s="15">
        <f t="shared" si="0"/>
        <v>25</v>
      </c>
      <c r="P58" s="15">
        <f t="shared" si="1"/>
        <v>31</v>
      </c>
      <c r="R58" s="8"/>
      <c r="T58"/>
    </row>
    <row r="59" spans="2:20" ht="23.1" customHeight="1" x14ac:dyDescent="0.25">
      <c r="B59" s="23" t="s">
        <v>100</v>
      </c>
      <c r="C59" s="49">
        <f>AVERAGE('18.10 MASAKA-MBARARA-24H'!C59,'19.10 MASAKA-MBARARA-24H'!C59)</f>
        <v>8</v>
      </c>
      <c r="D59" s="49">
        <f>AVERAGE('18.10 MASAKA-MBARARA-24H'!D59,'19.10 MASAKA-MBARARA-24H'!D59)</f>
        <v>2.5</v>
      </c>
      <c r="E59" s="49">
        <f>AVERAGE('18.10 MASAKA-MBARARA-24H'!E59,'19.10 MASAKA-MBARARA-24H'!E59)</f>
        <v>1.5</v>
      </c>
      <c r="F59" s="49">
        <f>AVERAGE('18.10 MASAKA-MBARARA-24H'!F59,'19.10 MASAKA-MBARARA-24H'!F59)</f>
        <v>3.5</v>
      </c>
      <c r="G59" s="49">
        <f>AVERAGE('18.10 MASAKA-MBARARA-24H'!G59,'19.10 MASAKA-MBARARA-24H'!G59)</f>
        <v>0</v>
      </c>
      <c r="H59" s="49">
        <f>AVERAGE('18.10 MASAKA-MBARARA-24H'!H59,'19.10 MASAKA-MBARARA-24H'!H59)</f>
        <v>2.5</v>
      </c>
      <c r="I59" s="49">
        <f>AVERAGE('18.10 MASAKA-MBARARA-24H'!I59,'19.10 MASAKA-MBARARA-24H'!I59)</f>
        <v>2.5</v>
      </c>
      <c r="J59" s="49">
        <f>AVERAGE('18.10 MASAKA-MBARARA-24H'!J59,'19.10 MASAKA-MBARARA-24H'!J59)</f>
        <v>2</v>
      </c>
      <c r="K59" s="49">
        <f>AVERAGE('18.10 MASAKA-MBARARA-24H'!K59,'19.10 MASAKA-MBARARA-24H'!K59)</f>
        <v>3.5</v>
      </c>
      <c r="L59" s="49">
        <f>AVERAGE('18.10 MASAKA-MBARARA-24H'!L59,'19.10 MASAKA-MBARARA-24H'!L59)</f>
        <v>0.5</v>
      </c>
      <c r="M59" s="49">
        <f>AVERAGE('18.10 MASAKA-MBARARA-24H'!M59,'19.10 MASAKA-MBARARA-24H'!M59)</f>
        <v>10.5</v>
      </c>
      <c r="N59" s="49">
        <f>AVERAGE('18.10 MASAKA-MBARARA-24H'!N59,'19.10 MASAKA-MBARARA-24H'!N59)</f>
        <v>0</v>
      </c>
      <c r="O59" s="15">
        <f t="shared" si="0"/>
        <v>26.5</v>
      </c>
      <c r="P59" s="15">
        <f t="shared" si="1"/>
        <v>37</v>
      </c>
      <c r="R59" s="8"/>
      <c r="T59"/>
    </row>
    <row r="60" spans="2:20" ht="23.1" customHeight="1" x14ac:dyDescent="0.25">
      <c r="B60" s="23" t="s">
        <v>101</v>
      </c>
      <c r="C60" s="49">
        <f>AVERAGE('18.10 MASAKA-MBARARA-24H'!C60,'19.10 MASAKA-MBARARA-24H'!C60)</f>
        <v>9</v>
      </c>
      <c r="D60" s="49">
        <f>AVERAGE('18.10 MASAKA-MBARARA-24H'!D60,'19.10 MASAKA-MBARARA-24H'!D60)</f>
        <v>3.5</v>
      </c>
      <c r="E60" s="49">
        <f>AVERAGE('18.10 MASAKA-MBARARA-24H'!E60,'19.10 MASAKA-MBARARA-24H'!E60)</f>
        <v>1.5</v>
      </c>
      <c r="F60" s="49">
        <f>AVERAGE('18.10 MASAKA-MBARARA-24H'!F60,'19.10 MASAKA-MBARARA-24H'!F60)</f>
        <v>4</v>
      </c>
      <c r="G60" s="49">
        <f>AVERAGE('18.10 MASAKA-MBARARA-24H'!G60,'19.10 MASAKA-MBARARA-24H'!G60)</f>
        <v>0.5</v>
      </c>
      <c r="H60" s="49">
        <f>AVERAGE('18.10 MASAKA-MBARARA-24H'!H60,'19.10 MASAKA-MBARARA-24H'!H60)</f>
        <v>2</v>
      </c>
      <c r="I60" s="49">
        <f>AVERAGE('18.10 MASAKA-MBARARA-24H'!I60,'19.10 MASAKA-MBARARA-24H'!I60)</f>
        <v>1.5</v>
      </c>
      <c r="J60" s="49">
        <f>AVERAGE('18.10 MASAKA-MBARARA-24H'!J60,'19.10 MASAKA-MBARARA-24H'!J60)</f>
        <v>3</v>
      </c>
      <c r="K60" s="49">
        <f>AVERAGE('18.10 MASAKA-MBARARA-24H'!K60,'19.10 MASAKA-MBARARA-24H'!K60)</f>
        <v>4.5</v>
      </c>
      <c r="L60" s="49">
        <f>AVERAGE('18.10 MASAKA-MBARARA-24H'!L60,'19.10 MASAKA-MBARARA-24H'!L60)</f>
        <v>1.5</v>
      </c>
      <c r="M60" s="49">
        <f>AVERAGE('18.10 MASAKA-MBARARA-24H'!M60,'19.10 MASAKA-MBARARA-24H'!M60)</f>
        <v>5.5</v>
      </c>
      <c r="N60" s="49">
        <f>AVERAGE('18.10 MASAKA-MBARARA-24H'!N60,'19.10 MASAKA-MBARARA-24H'!N60)</f>
        <v>0</v>
      </c>
      <c r="O60" s="15">
        <f t="shared" si="0"/>
        <v>31</v>
      </c>
      <c r="P60" s="15">
        <f t="shared" si="1"/>
        <v>36.5</v>
      </c>
      <c r="R60" s="8"/>
      <c r="T60"/>
    </row>
    <row r="61" spans="2:20" ht="23.1" customHeight="1" x14ac:dyDescent="0.25">
      <c r="B61" s="23" t="s">
        <v>102</v>
      </c>
      <c r="C61" s="49">
        <f>AVERAGE('18.10 MASAKA-MBARARA-24H'!C61,'19.10 MASAKA-MBARARA-24H'!C61)</f>
        <v>7</v>
      </c>
      <c r="D61" s="49">
        <f>AVERAGE('18.10 MASAKA-MBARARA-24H'!D61,'19.10 MASAKA-MBARARA-24H'!D61)</f>
        <v>2.5</v>
      </c>
      <c r="E61" s="49">
        <f>AVERAGE('18.10 MASAKA-MBARARA-24H'!E61,'19.10 MASAKA-MBARARA-24H'!E61)</f>
        <v>2</v>
      </c>
      <c r="F61" s="49">
        <f>AVERAGE('18.10 MASAKA-MBARARA-24H'!F61,'19.10 MASAKA-MBARARA-24H'!F61)</f>
        <v>4</v>
      </c>
      <c r="G61" s="49">
        <f>AVERAGE('18.10 MASAKA-MBARARA-24H'!G61,'19.10 MASAKA-MBARARA-24H'!G61)</f>
        <v>0</v>
      </c>
      <c r="H61" s="49">
        <f>AVERAGE('18.10 MASAKA-MBARARA-24H'!H61,'19.10 MASAKA-MBARARA-24H'!H61)</f>
        <v>0</v>
      </c>
      <c r="I61" s="49">
        <f>AVERAGE('18.10 MASAKA-MBARARA-24H'!I61,'19.10 MASAKA-MBARARA-24H'!I61)</f>
        <v>2.5</v>
      </c>
      <c r="J61" s="49">
        <f>AVERAGE('18.10 MASAKA-MBARARA-24H'!J61,'19.10 MASAKA-MBARARA-24H'!J61)</f>
        <v>1.5</v>
      </c>
      <c r="K61" s="49">
        <f>AVERAGE('18.10 MASAKA-MBARARA-24H'!K61,'19.10 MASAKA-MBARARA-24H'!K61)</f>
        <v>2</v>
      </c>
      <c r="L61" s="49">
        <f>AVERAGE('18.10 MASAKA-MBARARA-24H'!L61,'19.10 MASAKA-MBARARA-24H'!L61)</f>
        <v>1</v>
      </c>
      <c r="M61" s="49">
        <f>AVERAGE('18.10 MASAKA-MBARARA-24H'!M61,'19.10 MASAKA-MBARARA-24H'!M61)</f>
        <v>5</v>
      </c>
      <c r="N61" s="49">
        <f>AVERAGE('18.10 MASAKA-MBARARA-24H'!N61,'19.10 MASAKA-MBARARA-24H'!N61)</f>
        <v>0</v>
      </c>
      <c r="O61" s="15">
        <f t="shared" si="0"/>
        <v>22.5</v>
      </c>
      <c r="P61" s="15">
        <f t="shared" si="1"/>
        <v>27.5</v>
      </c>
      <c r="R61" s="8"/>
      <c r="T61"/>
    </row>
    <row r="62" spans="2:20" ht="23.1" customHeight="1" x14ac:dyDescent="0.25">
      <c r="B62" s="23" t="s">
        <v>107</v>
      </c>
      <c r="C62" s="49">
        <f>AVERAGE('18.10 MASAKA-MBARARA-24H'!C62,'19.10 MASAKA-MBARARA-24H'!C62)</f>
        <v>6.5</v>
      </c>
      <c r="D62" s="49">
        <f>AVERAGE('18.10 MASAKA-MBARARA-24H'!D62,'19.10 MASAKA-MBARARA-24H'!D62)</f>
        <v>1</v>
      </c>
      <c r="E62" s="49">
        <f>AVERAGE('18.10 MASAKA-MBARARA-24H'!E62,'19.10 MASAKA-MBARARA-24H'!E62)</f>
        <v>1</v>
      </c>
      <c r="F62" s="49">
        <f>AVERAGE('18.10 MASAKA-MBARARA-24H'!F62,'19.10 MASAKA-MBARARA-24H'!F62)</f>
        <v>3.5</v>
      </c>
      <c r="G62" s="49">
        <f>AVERAGE('18.10 MASAKA-MBARARA-24H'!G62,'19.10 MASAKA-MBARARA-24H'!G62)</f>
        <v>0</v>
      </c>
      <c r="H62" s="49">
        <f>AVERAGE('18.10 MASAKA-MBARARA-24H'!H62,'19.10 MASAKA-MBARARA-24H'!H62)</f>
        <v>1</v>
      </c>
      <c r="I62" s="49">
        <f>AVERAGE('18.10 MASAKA-MBARARA-24H'!I62,'19.10 MASAKA-MBARARA-24H'!I62)</f>
        <v>3</v>
      </c>
      <c r="J62" s="49">
        <f>AVERAGE('18.10 MASAKA-MBARARA-24H'!J62,'19.10 MASAKA-MBARARA-24H'!J62)</f>
        <v>3</v>
      </c>
      <c r="K62" s="49">
        <f>AVERAGE('18.10 MASAKA-MBARARA-24H'!K62,'19.10 MASAKA-MBARARA-24H'!K62)</f>
        <v>1.5</v>
      </c>
      <c r="L62" s="49">
        <f>AVERAGE('18.10 MASAKA-MBARARA-24H'!L62,'19.10 MASAKA-MBARARA-24H'!L62)</f>
        <v>1</v>
      </c>
      <c r="M62" s="49">
        <f>AVERAGE('18.10 MASAKA-MBARARA-24H'!M62,'19.10 MASAKA-MBARARA-24H'!M62)</f>
        <v>4</v>
      </c>
      <c r="N62" s="49">
        <f>AVERAGE('18.10 MASAKA-MBARARA-24H'!N62,'19.10 MASAKA-MBARARA-24H'!N62)</f>
        <v>0</v>
      </c>
      <c r="O62" s="15">
        <f t="shared" si="0"/>
        <v>21.5</v>
      </c>
      <c r="P62" s="15">
        <f t="shared" si="1"/>
        <v>25.5</v>
      </c>
      <c r="R62" s="8"/>
      <c r="T62"/>
    </row>
    <row r="63" spans="2:20" ht="23.1" customHeight="1" x14ac:dyDescent="0.25">
      <c r="B63" s="23" t="s">
        <v>108</v>
      </c>
      <c r="C63" s="49">
        <f>AVERAGE('18.10 MASAKA-MBARARA-24H'!C63,'19.10 MASAKA-MBARARA-24H'!C63)</f>
        <v>7</v>
      </c>
      <c r="D63" s="49">
        <f>AVERAGE('18.10 MASAKA-MBARARA-24H'!D63,'19.10 MASAKA-MBARARA-24H'!D63)</f>
        <v>1.5</v>
      </c>
      <c r="E63" s="49">
        <f>AVERAGE('18.10 MASAKA-MBARARA-24H'!E63,'19.10 MASAKA-MBARARA-24H'!E63)</f>
        <v>1</v>
      </c>
      <c r="F63" s="49">
        <f>AVERAGE('18.10 MASAKA-MBARARA-24H'!F63,'19.10 MASAKA-MBARARA-24H'!F63)</f>
        <v>1</v>
      </c>
      <c r="G63" s="49">
        <f>AVERAGE('18.10 MASAKA-MBARARA-24H'!G63,'19.10 MASAKA-MBARARA-24H'!G63)</f>
        <v>0</v>
      </c>
      <c r="H63" s="49">
        <f>AVERAGE('18.10 MASAKA-MBARARA-24H'!H63,'19.10 MASAKA-MBARARA-24H'!H63)</f>
        <v>0.5</v>
      </c>
      <c r="I63" s="49">
        <f>AVERAGE('18.10 MASAKA-MBARARA-24H'!I63,'19.10 MASAKA-MBARARA-24H'!I63)</f>
        <v>3</v>
      </c>
      <c r="J63" s="49">
        <f>AVERAGE('18.10 MASAKA-MBARARA-24H'!J63,'19.10 MASAKA-MBARARA-24H'!J63)</f>
        <v>2</v>
      </c>
      <c r="K63" s="49">
        <f>AVERAGE('18.10 MASAKA-MBARARA-24H'!K63,'19.10 MASAKA-MBARARA-24H'!K63)</f>
        <v>3</v>
      </c>
      <c r="L63" s="49">
        <f>AVERAGE('18.10 MASAKA-MBARARA-24H'!L63,'19.10 MASAKA-MBARARA-24H'!L63)</f>
        <v>1.5</v>
      </c>
      <c r="M63" s="49">
        <f>AVERAGE('18.10 MASAKA-MBARARA-24H'!M63,'19.10 MASAKA-MBARARA-24H'!M63)</f>
        <v>3.5</v>
      </c>
      <c r="N63" s="49">
        <f>AVERAGE('18.10 MASAKA-MBARARA-24H'!N63,'19.10 MASAKA-MBARARA-24H'!N63)</f>
        <v>0</v>
      </c>
      <c r="O63" s="15">
        <f t="shared" si="0"/>
        <v>20.5</v>
      </c>
      <c r="P63" s="15">
        <f t="shared" si="1"/>
        <v>24</v>
      </c>
      <c r="R63" s="8"/>
      <c r="T63"/>
    </row>
    <row r="64" spans="2:20" ht="23.1" customHeight="1" x14ac:dyDescent="0.25">
      <c r="B64" s="23" t="s">
        <v>109</v>
      </c>
      <c r="C64" s="49">
        <f>AVERAGE('18.10 MASAKA-MBARARA-24H'!C64,'19.10 MASAKA-MBARARA-24H'!C64)</f>
        <v>7</v>
      </c>
      <c r="D64" s="49">
        <f>AVERAGE('18.10 MASAKA-MBARARA-24H'!D64,'19.10 MASAKA-MBARARA-24H'!D64)</f>
        <v>2</v>
      </c>
      <c r="E64" s="49">
        <f>AVERAGE('18.10 MASAKA-MBARARA-24H'!E64,'19.10 MASAKA-MBARARA-24H'!E64)</f>
        <v>1.5</v>
      </c>
      <c r="F64" s="49">
        <f>AVERAGE('18.10 MASAKA-MBARARA-24H'!F64,'19.10 MASAKA-MBARARA-24H'!F64)</f>
        <v>3.5</v>
      </c>
      <c r="G64" s="49">
        <f>AVERAGE('18.10 MASAKA-MBARARA-24H'!G64,'19.10 MASAKA-MBARARA-24H'!G64)</f>
        <v>0</v>
      </c>
      <c r="H64" s="49">
        <f>AVERAGE('18.10 MASAKA-MBARARA-24H'!H64,'19.10 MASAKA-MBARARA-24H'!H64)</f>
        <v>1.5</v>
      </c>
      <c r="I64" s="49">
        <f>AVERAGE('18.10 MASAKA-MBARARA-24H'!I64,'19.10 MASAKA-MBARARA-24H'!I64)</f>
        <v>3</v>
      </c>
      <c r="J64" s="49">
        <f>AVERAGE('18.10 MASAKA-MBARARA-24H'!J64,'19.10 MASAKA-MBARARA-24H'!J64)</f>
        <v>2.5</v>
      </c>
      <c r="K64" s="49">
        <f>AVERAGE('18.10 MASAKA-MBARARA-24H'!K64,'19.10 MASAKA-MBARARA-24H'!K64)</f>
        <v>2.5</v>
      </c>
      <c r="L64" s="49">
        <f>AVERAGE('18.10 MASAKA-MBARARA-24H'!L64,'19.10 MASAKA-MBARARA-24H'!L64)</f>
        <v>0.5</v>
      </c>
      <c r="M64" s="49">
        <f>AVERAGE('18.10 MASAKA-MBARARA-24H'!M64,'19.10 MASAKA-MBARARA-24H'!M64)</f>
        <v>5</v>
      </c>
      <c r="N64" s="49">
        <f>AVERAGE('18.10 MASAKA-MBARARA-24H'!N64,'19.10 MASAKA-MBARARA-24H'!N64)</f>
        <v>0</v>
      </c>
      <c r="O64" s="15">
        <f t="shared" si="0"/>
        <v>24</v>
      </c>
      <c r="P64" s="15">
        <f t="shared" si="1"/>
        <v>29</v>
      </c>
      <c r="R64" s="8"/>
      <c r="T64"/>
    </row>
    <row r="65" spans="2:20" ht="23.1" customHeight="1" x14ac:dyDescent="0.25">
      <c r="B65" s="23" t="s">
        <v>158</v>
      </c>
      <c r="C65" s="49">
        <f>AVERAGE('18.10 MASAKA-MBARARA-24H'!C65,'19.10 MASAKA-MBARARA-24H'!C65)</f>
        <v>7</v>
      </c>
      <c r="D65" s="49">
        <f>AVERAGE('18.10 MASAKA-MBARARA-24H'!D65,'19.10 MASAKA-MBARARA-24H'!D65)</f>
        <v>0.5</v>
      </c>
      <c r="E65" s="49">
        <f>AVERAGE('18.10 MASAKA-MBARARA-24H'!E65,'19.10 MASAKA-MBARARA-24H'!E65)</f>
        <v>1.5</v>
      </c>
      <c r="F65" s="49">
        <f>AVERAGE('18.10 MASAKA-MBARARA-24H'!F65,'19.10 MASAKA-MBARARA-24H'!F65)</f>
        <v>3</v>
      </c>
      <c r="G65" s="49">
        <f>AVERAGE('18.10 MASAKA-MBARARA-24H'!G65,'19.10 MASAKA-MBARARA-24H'!G65)</f>
        <v>0</v>
      </c>
      <c r="H65" s="49">
        <f>AVERAGE('18.10 MASAKA-MBARARA-24H'!H65,'19.10 MASAKA-MBARARA-24H'!H65)</f>
        <v>1.5</v>
      </c>
      <c r="I65" s="49">
        <f>AVERAGE('18.10 MASAKA-MBARARA-24H'!I65,'19.10 MASAKA-MBARARA-24H'!I65)</f>
        <v>2</v>
      </c>
      <c r="J65" s="49">
        <f>AVERAGE('18.10 MASAKA-MBARARA-24H'!J65,'19.10 MASAKA-MBARARA-24H'!J65)</f>
        <v>0.5</v>
      </c>
      <c r="K65" s="49">
        <f>AVERAGE('18.10 MASAKA-MBARARA-24H'!K65,'19.10 MASAKA-MBARARA-24H'!K65)</f>
        <v>6.5</v>
      </c>
      <c r="L65" s="49">
        <f>AVERAGE('18.10 MASAKA-MBARARA-24H'!L65,'19.10 MASAKA-MBARARA-24H'!L65)</f>
        <v>0.5</v>
      </c>
      <c r="M65" s="49">
        <f>AVERAGE('18.10 MASAKA-MBARARA-24H'!M65,'19.10 MASAKA-MBARARA-24H'!M65)</f>
        <v>5</v>
      </c>
      <c r="N65" s="49">
        <f>AVERAGE('18.10 MASAKA-MBARARA-24H'!N65,'19.10 MASAKA-MBARARA-24H'!N65)</f>
        <v>0</v>
      </c>
      <c r="O65" s="15">
        <f t="shared" si="0"/>
        <v>23</v>
      </c>
      <c r="P65" s="15">
        <f t="shared" si="1"/>
        <v>28</v>
      </c>
      <c r="R65" s="8"/>
      <c r="T65"/>
    </row>
    <row r="66" spans="2:20" ht="23.1" customHeight="1" x14ac:dyDescent="0.25">
      <c r="B66" s="23" t="s">
        <v>103</v>
      </c>
      <c r="C66" s="49">
        <f>AVERAGE('18.10 MASAKA-MBARARA-24H'!C66,'19.10 MASAKA-MBARARA-24H'!C66)</f>
        <v>7.5</v>
      </c>
      <c r="D66" s="49">
        <f>AVERAGE('18.10 MASAKA-MBARARA-24H'!D66,'19.10 MASAKA-MBARARA-24H'!D66)</f>
        <v>0</v>
      </c>
      <c r="E66" s="49">
        <f>AVERAGE('18.10 MASAKA-MBARARA-24H'!E66,'19.10 MASAKA-MBARARA-24H'!E66)</f>
        <v>1.5</v>
      </c>
      <c r="F66" s="49">
        <f>AVERAGE('18.10 MASAKA-MBARARA-24H'!F66,'19.10 MASAKA-MBARARA-24H'!F66)</f>
        <v>4</v>
      </c>
      <c r="G66" s="49">
        <f>AVERAGE('18.10 MASAKA-MBARARA-24H'!G66,'19.10 MASAKA-MBARARA-24H'!G66)</f>
        <v>0</v>
      </c>
      <c r="H66" s="49">
        <f>AVERAGE('18.10 MASAKA-MBARARA-24H'!H66,'19.10 MASAKA-MBARARA-24H'!H66)</f>
        <v>0.5</v>
      </c>
      <c r="I66" s="49">
        <f>AVERAGE('18.10 MASAKA-MBARARA-24H'!I66,'19.10 MASAKA-MBARARA-24H'!I66)</f>
        <v>2.5</v>
      </c>
      <c r="J66" s="49">
        <f>AVERAGE('18.10 MASAKA-MBARARA-24H'!J66,'19.10 MASAKA-MBARARA-24H'!J66)</f>
        <v>2.5</v>
      </c>
      <c r="K66" s="49">
        <f>AVERAGE('18.10 MASAKA-MBARARA-24H'!K66,'19.10 MASAKA-MBARARA-24H'!K66)</f>
        <v>7</v>
      </c>
      <c r="L66" s="49">
        <f>AVERAGE('18.10 MASAKA-MBARARA-24H'!L66,'19.10 MASAKA-MBARARA-24H'!L66)</f>
        <v>1.5</v>
      </c>
      <c r="M66" s="49">
        <f>AVERAGE('18.10 MASAKA-MBARARA-24H'!M66,'19.10 MASAKA-MBARARA-24H'!M66)</f>
        <v>3</v>
      </c>
      <c r="N66" s="49">
        <f>AVERAGE('18.10 MASAKA-MBARARA-24H'!N66,'19.10 MASAKA-MBARARA-24H'!N66)</f>
        <v>0</v>
      </c>
      <c r="O66" s="15">
        <f t="shared" si="0"/>
        <v>27</v>
      </c>
      <c r="P66" s="15">
        <f t="shared" si="1"/>
        <v>30</v>
      </c>
      <c r="R66" s="8"/>
      <c r="T66"/>
    </row>
    <row r="67" spans="2:20" ht="23.1" customHeight="1" x14ac:dyDescent="0.25">
      <c r="B67" s="23" t="s">
        <v>104</v>
      </c>
      <c r="C67" s="49">
        <f>AVERAGE('18.10 MASAKA-MBARARA-24H'!C67,'19.10 MASAKA-MBARARA-24H'!C67)</f>
        <v>7.5</v>
      </c>
      <c r="D67" s="49">
        <f>AVERAGE('18.10 MASAKA-MBARARA-24H'!D67,'19.10 MASAKA-MBARARA-24H'!D67)</f>
        <v>0.5</v>
      </c>
      <c r="E67" s="49">
        <f>AVERAGE('18.10 MASAKA-MBARARA-24H'!E67,'19.10 MASAKA-MBARARA-24H'!E67)</f>
        <v>1.5</v>
      </c>
      <c r="F67" s="49">
        <f>AVERAGE('18.10 MASAKA-MBARARA-24H'!F67,'19.10 MASAKA-MBARARA-24H'!F67)</f>
        <v>2.5</v>
      </c>
      <c r="G67" s="49">
        <f>AVERAGE('18.10 MASAKA-MBARARA-24H'!G67,'19.10 MASAKA-MBARARA-24H'!G67)</f>
        <v>0.5</v>
      </c>
      <c r="H67" s="49">
        <f>AVERAGE('18.10 MASAKA-MBARARA-24H'!H67,'19.10 MASAKA-MBARARA-24H'!H67)</f>
        <v>2</v>
      </c>
      <c r="I67" s="49">
        <f>AVERAGE('18.10 MASAKA-MBARARA-24H'!I67,'19.10 MASAKA-MBARARA-24H'!I67)</f>
        <v>1</v>
      </c>
      <c r="J67" s="49">
        <f>AVERAGE('18.10 MASAKA-MBARARA-24H'!J67,'19.10 MASAKA-MBARARA-24H'!J67)</f>
        <v>2</v>
      </c>
      <c r="K67" s="49">
        <f>AVERAGE('18.10 MASAKA-MBARARA-24H'!K67,'19.10 MASAKA-MBARARA-24H'!K67)</f>
        <v>5</v>
      </c>
      <c r="L67" s="49">
        <f>AVERAGE('18.10 MASAKA-MBARARA-24H'!L67,'19.10 MASAKA-MBARARA-24H'!L67)</f>
        <v>0</v>
      </c>
      <c r="M67" s="49">
        <f>AVERAGE('18.10 MASAKA-MBARARA-24H'!M67,'19.10 MASAKA-MBARARA-24H'!M67)</f>
        <v>1</v>
      </c>
      <c r="N67" s="49">
        <f>AVERAGE('18.10 MASAKA-MBARARA-24H'!N67,'19.10 MASAKA-MBARARA-24H'!N67)</f>
        <v>0</v>
      </c>
      <c r="O67" s="15">
        <f t="shared" si="0"/>
        <v>22.5</v>
      </c>
      <c r="P67" s="15">
        <f t="shared" si="1"/>
        <v>23.5</v>
      </c>
      <c r="R67" s="8"/>
      <c r="T67"/>
    </row>
    <row r="68" spans="2:20" ht="23.1" customHeight="1" x14ac:dyDescent="0.25">
      <c r="B68" s="23" t="s">
        <v>105</v>
      </c>
      <c r="C68" s="49">
        <f>AVERAGE('18.10 MASAKA-MBARARA-24H'!C68,'19.10 MASAKA-MBARARA-24H'!C68)</f>
        <v>4.5</v>
      </c>
      <c r="D68" s="49">
        <f>AVERAGE('18.10 MASAKA-MBARARA-24H'!D68,'19.10 MASAKA-MBARARA-24H'!D68)</f>
        <v>1.5</v>
      </c>
      <c r="E68" s="49">
        <f>AVERAGE('18.10 MASAKA-MBARARA-24H'!E68,'19.10 MASAKA-MBARARA-24H'!E68)</f>
        <v>1</v>
      </c>
      <c r="F68" s="49">
        <f>AVERAGE('18.10 MASAKA-MBARARA-24H'!F68,'19.10 MASAKA-MBARARA-24H'!F68)</f>
        <v>1.5</v>
      </c>
      <c r="G68" s="49">
        <f>AVERAGE('18.10 MASAKA-MBARARA-24H'!G68,'19.10 MASAKA-MBARARA-24H'!G68)</f>
        <v>0</v>
      </c>
      <c r="H68" s="49">
        <f>AVERAGE('18.10 MASAKA-MBARARA-24H'!H68,'19.10 MASAKA-MBARARA-24H'!H68)</f>
        <v>1</v>
      </c>
      <c r="I68" s="49">
        <f>AVERAGE('18.10 MASAKA-MBARARA-24H'!I68,'19.10 MASAKA-MBARARA-24H'!I68)</f>
        <v>3</v>
      </c>
      <c r="J68" s="49">
        <f>AVERAGE('18.10 MASAKA-MBARARA-24H'!J68,'19.10 MASAKA-MBARARA-24H'!J68)</f>
        <v>0</v>
      </c>
      <c r="K68" s="49">
        <f>AVERAGE('18.10 MASAKA-MBARARA-24H'!K68,'19.10 MASAKA-MBARARA-24H'!K68)</f>
        <v>3</v>
      </c>
      <c r="L68" s="49">
        <f>AVERAGE('18.10 MASAKA-MBARARA-24H'!L68,'19.10 MASAKA-MBARARA-24H'!L68)</f>
        <v>0</v>
      </c>
      <c r="M68" s="49">
        <f>AVERAGE('18.10 MASAKA-MBARARA-24H'!M68,'19.10 MASAKA-MBARARA-24H'!M68)</f>
        <v>3.5</v>
      </c>
      <c r="N68" s="49">
        <f>AVERAGE('18.10 MASAKA-MBARARA-24H'!N68,'19.10 MASAKA-MBARARA-24H'!N68)</f>
        <v>0</v>
      </c>
      <c r="O68" s="15">
        <f t="shared" si="0"/>
        <v>15.5</v>
      </c>
      <c r="P68" s="15">
        <f t="shared" si="1"/>
        <v>19</v>
      </c>
      <c r="R68" s="8"/>
      <c r="T68"/>
    </row>
    <row r="69" spans="2:20" ht="23.1" customHeight="1" x14ac:dyDescent="0.25">
      <c r="B69" s="23" t="s">
        <v>106</v>
      </c>
      <c r="C69" s="49">
        <f>AVERAGE('18.10 MASAKA-MBARARA-24H'!C69,'19.10 MASAKA-MBARARA-24H'!C69)</f>
        <v>3.5</v>
      </c>
      <c r="D69" s="49">
        <f>AVERAGE('18.10 MASAKA-MBARARA-24H'!D69,'19.10 MASAKA-MBARARA-24H'!D69)</f>
        <v>2.5</v>
      </c>
      <c r="E69" s="49">
        <f>AVERAGE('18.10 MASAKA-MBARARA-24H'!E69,'19.10 MASAKA-MBARARA-24H'!E69)</f>
        <v>1</v>
      </c>
      <c r="F69" s="49">
        <f>AVERAGE('18.10 MASAKA-MBARARA-24H'!F69,'19.10 MASAKA-MBARARA-24H'!F69)</f>
        <v>2</v>
      </c>
      <c r="G69" s="49">
        <f>AVERAGE('18.10 MASAKA-MBARARA-24H'!G69,'19.10 MASAKA-MBARARA-24H'!G69)</f>
        <v>0</v>
      </c>
      <c r="H69" s="49">
        <f>AVERAGE('18.10 MASAKA-MBARARA-24H'!H69,'19.10 MASAKA-MBARARA-24H'!H69)</f>
        <v>0.5</v>
      </c>
      <c r="I69" s="49">
        <f>AVERAGE('18.10 MASAKA-MBARARA-24H'!I69,'19.10 MASAKA-MBARARA-24H'!I69)</f>
        <v>3.5</v>
      </c>
      <c r="J69" s="49">
        <f>AVERAGE('18.10 MASAKA-MBARARA-24H'!J69,'19.10 MASAKA-MBARARA-24H'!J69)</f>
        <v>2</v>
      </c>
      <c r="K69" s="49">
        <f>AVERAGE('18.10 MASAKA-MBARARA-24H'!K69,'19.10 MASAKA-MBARARA-24H'!K69)</f>
        <v>1</v>
      </c>
      <c r="L69" s="49">
        <f>AVERAGE('18.10 MASAKA-MBARARA-24H'!L69,'19.10 MASAKA-MBARARA-24H'!L69)</f>
        <v>0</v>
      </c>
      <c r="M69" s="49">
        <f>AVERAGE('18.10 MASAKA-MBARARA-24H'!M69,'19.10 MASAKA-MBARARA-24H'!M69)</f>
        <v>3.5</v>
      </c>
      <c r="N69" s="49">
        <f>AVERAGE('18.10 MASAKA-MBARARA-24H'!N69,'19.10 MASAKA-MBARARA-24H'!N69)</f>
        <v>0</v>
      </c>
      <c r="O69" s="15">
        <f t="shared" si="0"/>
        <v>16</v>
      </c>
      <c r="P69" s="15">
        <f t="shared" si="1"/>
        <v>19.5</v>
      </c>
      <c r="R69" s="8"/>
      <c r="T69"/>
    </row>
    <row r="70" spans="2:20" ht="23.1" customHeight="1" x14ac:dyDescent="0.25">
      <c r="B70" s="23" t="s">
        <v>110</v>
      </c>
      <c r="C70" s="49">
        <f>AVERAGE('18.10 MASAKA-MBARARA-24H'!C70,'19.10 MASAKA-MBARARA-24H'!C70)</f>
        <v>4.5</v>
      </c>
      <c r="D70" s="49">
        <f>AVERAGE('18.10 MASAKA-MBARARA-24H'!D70,'19.10 MASAKA-MBARARA-24H'!D70)</f>
        <v>1.5</v>
      </c>
      <c r="E70" s="49">
        <f>AVERAGE('18.10 MASAKA-MBARARA-24H'!E70,'19.10 MASAKA-MBARARA-24H'!E70)</f>
        <v>0.5</v>
      </c>
      <c r="F70" s="49">
        <f>AVERAGE('18.10 MASAKA-MBARARA-24H'!F70,'19.10 MASAKA-MBARARA-24H'!F70)</f>
        <v>1</v>
      </c>
      <c r="G70" s="49">
        <f>AVERAGE('18.10 MASAKA-MBARARA-24H'!G70,'19.10 MASAKA-MBARARA-24H'!G70)</f>
        <v>0.5</v>
      </c>
      <c r="H70" s="49">
        <f>AVERAGE('18.10 MASAKA-MBARARA-24H'!H70,'19.10 MASAKA-MBARARA-24H'!H70)</f>
        <v>0</v>
      </c>
      <c r="I70" s="49">
        <f>AVERAGE('18.10 MASAKA-MBARARA-24H'!I70,'19.10 MASAKA-MBARARA-24H'!I70)</f>
        <v>4</v>
      </c>
      <c r="J70" s="49">
        <f>AVERAGE('18.10 MASAKA-MBARARA-24H'!J70,'19.10 MASAKA-MBARARA-24H'!J70)</f>
        <v>3.5</v>
      </c>
      <c r="K70" s="49">
        <f>AVERAGE('18.10 MASAKA-MBARARA-24H'!K70,'19.10 MASAKA-MBARARA-24H'!K70)</f>
        <v>3.5</v>
      </c>
      <c r="L70" s="49">
        <f>AVERAGE('18.10 MASAKA-MBARARA-24H'!L70,'19.10 MASAKA-MBARARA-24H'!L70)</f>
        <v>0</v>
      </c>
      <c r="M70" s="49">
        <f>AVERAGE('18.10 MASAKA-MBARARA-24H'!M70,'19.10 MASAKA-MBARARA-24H'!M70)</f>
        <v>3</v>
      </c>
      <c r="N70" s="49">
        <f>AVERAGE('18.10 MASAKA-MBARARA-24H'!N70,'19.10 MASAKA-MBARARA-24H'!N70)</f>
        <v>0</v>
      </c>
      <c r="O70" s="15">
        <f t="shared" si="0"/>
        <v>19</v>
      </c>
      <c r="P70" s="15">
        <f t="shared" si="1"/>
        <v>22</v>
      </c>
      <c r="R70" s="8"/>
      <c r="T70"/>
    </row>
    <row r="71" spans="2:20" ht="23.1" customHeight="1" x14ac:dyDescent="0.25">
      <c r="B71" s="23" t="s">
        <v>111</v>
      </c>
      <c r="C71" s="49">
        <f>AVERAGE('18.10 MASAKA-MBARARA-24H'!C71,'19.10 MASAKA-MBARARA-24H'!C71)</f>
        <v>3</v>
      </c>
      <c r="D71" s="49">
        <f>AVERAGE('18.10 MASAKA-MBARARA-24H'!D71,'19.10 MASAKA-MBARARA-24H'!D71)</f>
        <v>0.5</v>
      </c>
      <c r="E71" s="49">
        <f>AVERAGE('18.10 MASAKA-MBARARA-24H'!E71,'19.10 MASAKA-MBARARA-24H'!E71)</f>
        <v>1</v>
      </c>
      <c r="F71" s="49">
        <f>AVERAGE('18.10 MASAKA-MBARARA-24H'!F71,'19.10 MASAKA-MBARARA-24H'!F71)</f>
        <v>0</v>
      </c>
      <c r="G71" s="49">
        <f>AVERAGE('18.10 MASAKA-MBARARA-24H'!G71,'19.10 MASAKA-MBARARA-24H'!G71)</f>
        <v>0.5</v>
      </c>
      <c r="H71" s="49">
        <f>AVERAGE('18.10 MASAKA-MBARARA-24H'!H71,'19.10 MASAKA-MBARARA-24H'!H71)</f>
        <v>1</v>
      </c>
      <c r="I71" s="49">
        <f>AVERAGE('18.10 MASAKA-MBARARA-24H'!I71,'19.10 MASAKA-MBARARA-24H'!I71)</f>
        <v>2</v>
      </c>
      <c r="J71" s="49">
        <f>AVERAGE('18.10 MASAKA-MBARARA-24H'!J71,'19.10 MASAKA-MBARARA-24H'!J71)</f>
        <v>2.5</v>
      </c>
      <c r="K71" s="49">
        <f>AVERAGE('18.10 MASAKA-MBARARA-24H'!K71,'19.10 MASAKA-MBARARA-24H'!K71)</f>
        <v>2</v>
      </c>
      <c r="L71" s="49">
        <f>AVERAGE('18.10 MASAKA-MBARARA-24H'!L71,'19.10 MASAKA-MBARARA-24H'!L71)</f>
        <v>1</v>
      </c>
      <c r="M71" s="49">
        <f>AVERAGE('18.10 MASAKA-MBARARA-24H'!M71,'19.10 MASAKA-MBARARA-24H'!M71)</f>
        <v>1.5</v>
      </c>
      <c r="N71" s="49">
        <f>AVERAGE('18.10 MASAKA-MBARARA-24H'!N71,'19.10 MASAKA-MBARARA-24H'!N71)</f>
        <v>0</v>
      </c>
      <c r="O71" s="15">
        <f t="shared" si="0"/>
        <v>13.5</v>
      </c>
      <c r="P71" s="15">
        <f t="shared" si="1"/>
        <v>15</v>
      </c>
      <c r="R71" s="8"/>
      <c r="T71"/>
    </row>
    <row r="72" spans="2:20" ht="23.1" customHeight="1" x14ac:dyDescent="0.25">
      <c r="B72" s="23" t="s">
        <v>112</v>
      </c>
      <c r="C72" s="49">
        <f>AVERAGE('18.10 MASAKA-MBARARA-24H'!C72,'19.10 MASAKA-MBARARA-24H'!C72)</f>
        <v>6.5</v>
      </c>
      <c r="D72" s="49">
        <f>AVERAGE('18.10 MASAKA-MBARARA-24H'!D72,'19.10 MASAKA-MBARARA-24H'!D72)</f>
        <v>1.5</v>
      </c>
      <c r="E72" s="49">
        <f>AVERAGE('18.10 MASAKA-MBARARA-24H'!E72,'19.10 MASAKA-MBARARA-24H'!E72)</f>
        <v>0.5</v>
      </c>
      <c r="F72" s="49">
        <f>AVERAGE('18.10 MASAKA-MBARARA-24H'!F72,'19.10 MASAKA-MBARARA-24H'!F72)</f>
        <v>2</v>
      </c>
      <c r="G72" s="49">
        <f>AVERAGE('18.10 MASAKA-MBARARA-24H'!G72,'19.10 MASAKA-MBARARA-24H'!G72)</f>
        <v>0.5</v>
      </c>
      <c r="H72" s="49">
        <f>AVERAGE('18.10 MASAKA-MBARARA-24H'!H72,'19.10 MASAKA-MBARARA-24H'!H72)</f>
        <v>2</v>
      </c>
      <c r="I72" s="49">
        <f>AVERAGE('18.10 MASAKA-MBARARA-24H'!I72,'19.10 MASAKA-MBARARA-24H'!I72)</f>
        <v>5</v>
      </c>
      <c r="J72" s="49">
        <f>AVERAGE('18.10 MASAKA-MBARARA-24H'!J72,'19.10 MASAKA-MBARARA-24H'!J72)</f>
        <v>1.5</v>
      </c>
      <c r="K72" s="49">
        <f>AVERAGE('18.10 MASAKA-MBARARA-24H'!K72,'19.10 MASAKA-MBARARA-24H'!K72)</f>
        <v>4.5</v>
      </c>
      <c r="L72" s="49">
        <f>AVERAGE('18.10 MASAKA-MBARARA-24H'!L72,'19.10 MASAKA-MBARARA-24H'!L72)</f>
        <v>0</v>
      </c>
      <c r="M72" s="49">
        <f>AVERAGE('18.10 MASAKA-MBARARA-24H'!M72,'19.10 MASAKA-MBARARA-24H'!M72)</f>
        <v>1.5</v>
      </c>
      <c r="N72" s="49">
        <f>AVERAGE('18.10 MASAKA-MBARARA-24H'!N72,'19.10 MASAKA-MBARARA-24H'!N72)</f>
        <v>0</v>
      </c>
      <c r="O72" s="15">
        <f t="shared" si="0"/>
        <v>24</v>
      </c>
      <c r="P72" s="15">
        <f t="shared" si="1"/>
        <v>25.5</v>
      </c>
      <c r="R72" s="8"/>
      <c r="T72"/>
    </row>
    <row r="73" spans="2:20" ht="23.1" customHeight="1" x14ac:dyDescent="0.25">
      <c r="B73" s="23" t="s">
        <v>113</v>
      </c>
      <c r="C73" s="49">
        <f>AVERAGE('18.10 MASAKA-MBARARA-24H'!C73,'19.10 MASAKA-MBARARA-24H'!C73)</f>
        <v>5</v>
      </c>
      <c r="D73" s="49">
        <f>AVERAGE('18.10 MASAKA-MBARARA-24H'!D73,'19.10 MASAKA-MBARARA-24H'!D73)</f>
        <v>1</v>
      </c>
      <c r="E73" s="49">
        <f>AVERAGE('18.10 MASAKA-MBARARA-24H'!E73,'19.10 MASAKA-MBARARA-24H'!E73)</f>
        <v>1.5</v>
      </c>
      <c r="F73" s="49">
        <f>AVERAGE('18.10 MASAKA-MBARARA-24H'!F73,'19.10 MASAKA-MBARARA-24H'!F73)</f>
        <v>1.5</v>
      </c>
      <c r="G73" s="49">
        <f>AVERAGE('18.10 MASAKA-MBARARA-24H'!G73,'19.10 MASAKA-MBARARA-24H'!G73)</f>
        <v>0</v>
      </c>
      <c r="H73" s="49">
        <f>AVERAGE('18.10 MASAKA-MBARARA-24H'!H73,'19.10 MASAKA-MBARARA-24H'!H73)</f>
        <v>2</v>
      </c>
      <c r="I73" s="49">
        <f>AVERAGE('18.10 MASAKA-MBARARA-24H'!I73,'19.10 MASAKA-MBARARA-24H'!I73)</f>
        <v>2.5</v>
      </c>
      <c r="J73" s="49">
        <f>AVERAGE('18.10 MASAKA-MBARARA-24H'!J73,'19.10 MASAKA-MBARARA-24H'!J73)</f>
        <v>3</v>
      </c>
      <c r="K73" s="49">
        <f>AVERAGE('18.10 MASAKA-MBARARA-24H'!K73,'19.10 MASAKA-MBARARA-24H'!K73)</f>
        <v>2.5</v>
      </c>
      <c r="L73" s="49">
        <f>AVERAGE('18.10 MASAKA-MBARARA-24H'!L73,'19.10 MASAKA-MBARARA-24H'!L73)</f>
        <v>0</v>
      </c>
      <c r="M73" s="49">
        <f>AVERAGE('18.10 MASAKA-MBARARA-24H'!M73,'19.10 MASAKA-MBARARA-24H'!M73)</f>
        <v>1.5</v>
      </c>
      <c r="N73" s="49">
        <f>AVERAGE('18.10 MASAKA-MBARARA-24H'!N73,'19.10 MASAKA-MBARARA-24H'!N73)</f>
        <v>0</v>
      </c>
      <c r="O73" s="15">
        <f t="shared" si="0"/>
        <v>19</v>
      </c>
      <c r="P73" s="15">
        <f t="shared" si="1"/>
        <v>20.5</v>
      </c>
      <c r="R73" s="8"/>
      <c r="T73"/>
    </row>
    <row r="74" spans="2:20" ht="23.1" customHeight="1" x14ac:dyDescent="0.25">
      <c r="B74" s="23" t="s">
        <v>114</v>
      </c>
      <c r="C74" s="49">
        <f>AVERAGE('18.10 MASAKA-MBARARA-24H'!C74,'19.10 MASAKA-MBARARA-24H'!C74)</f>
        <v>2.5</v>
      </c>
      <c r="D74" s="49">
        <f>AVERAGE('18.10 MASAKA-MBARARA-24H'!D74,'19.10 MASAKA-MBARARA-24H'!D74)</f>
        <v>1.5</v>
      </c>
      <c r="E74" s="49">
        <f>AVERAGE('18.10 MASAKA-MBARARA-24H'!E74,'19.10 MASAKA-MBARARA-24H'!E74)</f>
        <v>1.5</v>
      </c>
      <c r="F74" s="49">
        <f>AVERAGE('18.10 MASAKA-MBARARA-24H'!F74,'19.10 MASAKA-MBARARA-24H'!F74)</f>
        <v>0.5</v>
      </c>
      <c r="G74" s="49">
        <f>AVERAGE('18.10 MASAKA-MBARARA-24H'!G74,'19.10 MASAKA-MBARARA-24H'!G74)</f>
        <v>0</v>
      </c>
      <c r="H74" s="49">
        <f>AVERAGE('18.10 MASAKA-MBARARA-24H'!H74,'19.10 MASAKA-MBARARA-24H'!H74)</f>
        <v>1</v>
      </c>
      <c r="I74" s="49">
        <f>AVERAGE('18.10 MASAKA-MBARARA-24H'!I74,'19.10 MASAKA-MBARARA-24H'!I74)</f>
        <v>1</v>
      </c>
      <c r="J74" s="49">
        <f>AVERAGE('18.10 MASAKA-MBARARA-24H'!J74,'19.10 MASAKA-MBARARA-24H'!J74)</f>
        <v>3.5</v>
      </c>
      <c r="K74" s="49">
        <f>AVERAGE('18.10 MASAKA-MBARARA-24H'!K74,'19.10 MASAKA-MBARARA-24H'!K74)</f>
        <v>1.5</v>
      </c>
      <c r="L74" s="49">
        <f>AVERAGE('18.10 MASAKA-MBARARA-24H'!L74,'19.10 MASAKA-MBARARA-24H'!L74)</f>
        <v>0</v>
      </c>
      <c r="M74" s="49">
        <f>AVERAGE('18.10 MASAKA-MBARARA-24H'!M74,'19.10 MASAKA-MBARARA-24H'!M74)</f>
        <v>1</v>
      </c>
      <c r="N74" s="49">
        <f>AVERAGE('18.10 MASAKA-MBARARA-24H'!N74,'19.10 MASAKA-MBARARA-24H'!N74)</f>
        <v>0</v>
      </c>
      <c r="O74" s="15">
        <f t="shared" ref="O74:O105" si="35">SUM(C74:L74,N74)</f>
        <v>13</v>
      </c>
      <c r="P74" s="15">
        <f t="shared" ref="P74:P105" si="36">SUM(C74:N74)</f>
        <v>14</v>
      </c>
      <c r="R74" s="8"/>
      <c r="T74"/>
    </row>
    <row r="75" spans="2:20" ht="23.1" customHeight="1" x14ac:dyDescent="0.25">
      <c r="B75" s="23" t="s">
        <v>115</v>
      </c>
      <c r="C75" s="49">
        <f>AVERAGE('18.10 MASAKA-MBARARA-24H'!C75,'19.10 MASAKA-MBARARA-24H'!C75)</f>
        <v>6</v>
      </c>
      <c r="D75" s="49">
        <f>AVERAGE('18.10 MASAKA-MBARARA-24H'!D75,'19.10 MASAKA-MBARARA-24H'!D75)</f>
        <v>1.5</v>
      </c>
      <c r="E75" s="49">
        <f>AVERAGE('18.10 MASAKA-MBARARA-24H'!E75,'19.10 MASAKA-MBARARA-24H'!E75)</f>
        <v>0.5</v>
      </c>
      <c r="F75" s="49">
        <f>AVERAGE('18.10 MASAKA-MBARARA-24H'!F75,'19.10 MASAKA-MBARARA-24H'!F75)</f>
        <v>0.5</v>
      </c>
      <c r="G75" s="49">
        <f>AVERAGE('18.10 MASAKA-MBARARA-24H'!G75,'19.10 MASAKA-MBARARA-24H'!G75)</f>
        <v>1</v>
      </c>
      <c r="H75" s="49">
        <f>AVERAGE('18.10 MASAKA-MBARARA-24H'!H75,'19.10 MASAKA-MBARARA-24H'!H75)</f>
        <v>1</v>
      </c>
      <c r="I75" s="49">
        <f>AVERAGE('18.10 MASAKA-MBARARA-24H'!I75,'19.10 MASAKA-MBARARA-24H'!I75)</f>
        <v>1.5</v>
      </c>
      <c r="J75" s="49">
        <f>AVERAGE('18.10 MASAKA-MBARARA-24H'!J75,'19.10 MASAKA-MBARARA-24H'!J75)</f>
        <v>2</v>
      </c>
      <c r="K75" s="49">
        <f>AVERAGE('18.10 MASAKA-MBARARA-24H'!K75,'19.10 MASAKA-MBARARA-24H'!K75)</f>
        <v>3.5</v>
      </c>
      <c r="L75" s="49">
        <f>AVERAGE('18.10 MASAKA-MBARARA-24H'!L75,'19.10 MASAKA-MBARARA-24H'!L75)</f>
        <v>0</v>
      </c>
      <c r="M75" s="49">
        <f>AVERAGE('18.10 MASAKA-MBARARA-24H'!M75,'19.10 MASAKA-MBARARA-24H'!M75)</f>
        <v>2</v>
      </c>
      <c r="N75" s="49">
        <f>AVERAGE('18.10 MASAKA-MBARARA-24H'!N75,'19.10 MASAKA-MBARARA-24H'!N75)</f>
        <v>0</v>
      </c>
      <c r="O75" s="15">
        <f t="shared" si="35"/>
        <v>17.5</v>
      </c>
      <c r="P75" s="15">
        <f t="shared" si="36"/>
        <v>19.5</v>
      </c>
      <c r="R75" s="8"/>
      <c r="T75"/>
    </row>
    <row r="76" spans="2:20" ht="23.1" customHeight="1" x14ac:dyDescent="0.25">
      <c r="B76" s="23" t="s">
        <v>116</v>
      </c>
      <c r="C76" s="49">
        <f>AVERAGE('18.10 MASAKA-MBARARA-24H'!C76,'19.10 MASAKA-MBARARA-24H'!C76)</f>
        <v>6</v>
      </c>
      <c r="D76" s="49">
        <f>AVERAGE('18.10 MASAKA-MBARARA-24H'!D76,'19.10 MASAKA-MBARARA-24H'!D76)</f>
        <v>1</v>
      </c>
      <c r="E76" s="49">
        <f>AVERAGE('18.10 MASAKA-MBARARA-24H'!E76,'19.10 MASAKA-MBARARA-24H'!E76)</f>
        <v>1</v>
      </c>
      <c r="F76" s="49">
        <f>AVERAGE('18.10 MASAKA-MBARARA-24H'!F76,'19.10 MASAKA-MBARARA-24H'!F76)</f>
        <v>2</v>
      </c>
      <c r="G76" s="49">
        <f>AVERAGE('18.10 MASAKA-MBARARA-24H'!G76,'19.10 MASAKA-MBARARA-24H'!G76)</f>
        <v>0</v>
      </c>
      <c r="H76" s="49">
        <f>AVERAGE('18.10 MASAKA-MBARARA-24H'!H76,'19.10 MASAKA-MBARARA-24H'!H76)</f>
        <v>2</v>
      </c>
      <c r="I76" s="49">
        <f>AVERAGE('18.10 MASAKA-MBARARA-24H'!I76,'19.10 MASAKA-MBARARA-24H'!I76)</f>
        <v>2.5</v>
      </c>
      <c r="J76" s="49">
        <f>AVERAGE('18.10 MASAKA-MBARARA-24H'!J76,'19.10 MASAKA-MBARARA-24H'!J76)</f>
        <v>4</v>
      </c>
      <c r="K76" s="49">
        <f>AVERAGE('18.10 MASAKA-MBARARA-24H'!K76,'19.10 MASAKA-MBARARA-24H'!K76)</f>
        <v>2.5</v>
      </c>
      <c r="L76" s="49">
        <f>AVERAGE('18.10 MASAKA-MBARARA-24H'!L76,'19.10 MASAKA-MBARARA-24H'!L76)</f>
        <v>0</v>
      </c>
      <c r="M76" s="49">
        <f>AVERAGE('18.10 MASAKA-MBARARA-24H'!M76,'19.10 MASAKA-MBARARA-24H'!M76)</f>
        <v>2.5</v>
      </c>
      <c r="N76" s="49">
        <f>AVERAGE('18.10 MASAKA-MBARARA-24H'!N76,'19.10 MASAKA-MBARARA-24H'!N76)</f>
        <v>0</v>
      </c>
      <c r="O76" s="15">
        <f t="shared" si="35"/>
        <v>21</v>
      </c>
      <c r="P76" s="15">
        <f t="shared" si="36"/>
        <v>23.5</v>
      </c>
      <c r="R76" s="8"/>
      <c r="T76"/>
    </row>
    <row r="77" spans="2:20" ht="23.1" customHeight="1" x14ac:dyDescent="0.25">
      <c r="B77" s="23" t="s">
        <v>117</v>
      </c>
      <c r="C77" s="49">
        <f>AVERAGE('18.10 MASAKA-MBARARA-24H'!C77,'19.10 MASAKA-MBARARA-24H'!C77)</f>
        <v>2.5</v>
      </c>
      <c r="D77" s="49">
        <f>AVERAGE('18.10 MASAKA-MBARARA-24H'!D77,'19.10 MASAKA-MBARARA-24H'!D77)</f>
        <v>1.5</v>
      </c>
      <c r="E77" s="49">
        <f>AVERAGE('18.10 MASAKA-MBARARA-24H'!E77,'19.10 MASAKA-MBARARA-24H'!E77)</f>
        <v>1</v>
      </c>
      <c r="F77" s="49">
        <f>AVERAGE('18.10 MASAKA-MBARARA-24H'!F77,'19.10 MASAKA-MBARARA-24H'!F77)</f>
        <v>1.5</v>
      </c>
      <c r="G77" s="49">
        <f>AVERAGE('18.10 MASAKA-MBARARA-24H'!G77,'19.10 MASAKA-MBARARA-24H'!G77)</f>
        <v>0</v>
      </c>
      <c r="H77" s="49">
        <f>AVERAGE('18.10 MASAKA-MBARARA-24H'!H77,'19.10 MASAKA-MBARARA-24H'!H77)</f>
        <v>1</v>
      </c>
      <c r="I77" s="49">
        <f>AVERAGE('18.10 MASAKA-MBARARA-24H'!I77,'19.10 MASAKA-MBARARA-24H'!I77)</f>
        <v>1.5</v>
      </c>
      <c r="J77" s="49">
        <f>AVERAGE('18.10 MASAKA-MBARARA-24H'!J77,'19.10 MASAKA-MBARARA-24H'!J77)</f>
        <v>3.5</v>
      </c>
      <c r="K77" s="49">
        <f>AVERAGE('18.10 MASAKA-MBARARA-24H'!K77,'19.10 MASAKA-MBARARA-24H'!K77)</f>
        <v>2.5</v>
      </c>
      <c r="L77" s="49">
        <f>AVERAGE('18.10 MASAKA-MBARARA-24H'!L77,'19.10 MASAKA-MBARARA-24H'!L77)</f>
        <v>0.5</v>
      </c>
      <c r="M77" s="49">
        <f>AVERAGE('18.10 MASAKA-MBARARA-24H'!M77,'19.10 MASAKA-MBARARA-24H'!M77)</f>
        <v>1</v>
      </c>
      <c r="N77" s="49">
        <f>AVERAGE('18.10 MASAKA-MBARARA-24H'!N77,'19.10 MASAKA-MBARARA-24H'!N77)</f>
        <v>0</v>
      </c>
      <c r="O77" s="15">
        <f t="shared" si="35"/>
        <v>15.5</v>
      </c>
      <c r="P77" s="15">
        <f t="shared" si="36"/>
        <v>16.5</v>
      </c>
      <c r="R77" s="8"/>
      <c r="T77"/>
    </row>
    <row r="78" spans="2:20" ht="23.1" customHeight="1" x14ac:dyDescent="0.25">
      <c r="B78" s="24" t="s">
        <v>118</v>
      </c>
      <c r="C78" s="49">
        <f>AVERAGE('18.10 MASAKA-MBARARA-24H'!C78,'19.10 MASAKA-MBARARA-24H'!C78)</f>
        <v>2.5</v>
      </c>
      <c r="D78" s="49">
        <f>AVERAGE('18.10 MASAKA-MBARARA-24H'!D78,'19.10 MASAKA-MBARARA-24H'!D78)</f>
        <v>1</v>
      </c>
      <c r="E78" s="49">
        <f>AVERAGE('18.10 MASAKA-MBARARA-24H'!E78,'19.10 MASAKA-MBARARA-24H'!E78)</f>
        <v>2</v>
      </c>
      <c r="F78" s="49">
        <f>AVERAGE('18.10 MASAKA-MBARARA-24H'!F78,'19.10 MASAKA-MBARARA-24H'!F78)</f>
        <v>0.5</v>
      </c>
      <c r="G78" s="49">
        <f>AVERAGE('18.10 MASAKA-MBARARA-24H'!G78,'19.10 MASAKA-MBARARA-24H'!G78)</f>
        <v>0.5</v>
      </c>
      <c r="H78" s="49">
        <f>AVERAGE('18.10 MASAKA-MBARARA-24H'!H78,'19.10 MASAKA-MBARARA-24H'!H78)</f>
        <v>1</v>
      </c>
      <c r="I78" s="49">
        <f>AVERAGE('18.10 MASAKA-MBARARA-24H'!I78,'19.10 MASAKA-MBARARA-24H'!I78)</f>
        <v>1</v>
      </c>
      <c r="J78" s="49">
        <f>AVERAGE('18.10 MASAKA-MBARARA-24H'!J78,'19.10 MASAKA-MBARARA-24H'!J78)</f>
        <v>3</v>
      </c>
      <c r="K78" s="49">
        <f>AVERAGE('18.10 MASAKA-MBARARA-24H'!K78,'19.10 MASAKA-MBARARA-24H'!K78)</f>
        <v>2</v>
      </c>
      <c r="L78" s="49">
        <f>AVERAGE('18.10 MASAKA-MBARARA-24H'!L78,'19.10 MASAKA-MBARARA-24H'!L78)</f>
        <v>0</v>
      </c>
      <c r="M78" s="49">
        <f>AVERAGE('18.10 MASAKA-MBARARA-24H'!M78,'19.10 MASAKA-MBARARA-24H'!M78)</f>
        <v>0</v>
      </c>
      <c r="N78" s="49">
        <f>AVERAGE('18.10 MASAKA-MBARARA-24H'!N78,'19.10 MASAKA-MBARARA-24H'!N78)</f>
        <v>0</v>
      </c>
      <c r="O78" s="15">
        <f t="shared" si="35"/>
        <v>13.5</v>
      </c>
      <c r="P78" s="15">
        <f t="shared" si="36"/>
        <v>13.5</v>
      </c>
      <c r="R78" s="8"/>
      <c r="T78"/>
    </row>
    <row r="79" spans="2:20" ht="23.1" customHeight="1" x14ac:dyDescent="0.25">
      <c r="B79" s="23" t="s">
        <v>119</v>
      </c>
      <c r="C79" s="49">
        <f>AVERAGE('18.10 MASAKA-MBARARA-24H'!C79,'19.10 MASAKA-MBARARA-24H'!C79)</f>
        <v>4.5</v>
      </c>
      <c r="D79" s="49">
        <f>AVERAGE('18.10 MASAKA-MBARARA-24H'!D79,'19.10 MASAKA-MBARARA-24H'!D79)</f>
        <v>1</v>
      </c>
      <c r="E79" s="49">
        <f>AVERAGE('18.10 MASAKA-MBARARA-24H'!E79,'19.10 MASAKA-MBARARA-24H'!E79)</f>
        <v>0</v>
      </c>
      <c r="F79" s="49">
        <f>AVERAGE('18.10 MASAKA-MBARARA-24H'!F79,'19.10 MASAKA-MBARARA-24H'!F79)</f>
        <v>1.5</v>
      </c>
      <c r="G79" s="49">
        <f>AVERAGE('18.10 MASAKA-MBARARA-24H'!G79,'19.10 MASAKA-MBARARA-24H'!G79)</f>
        <v>1</v>
      </c>
      <c r="H79" s="49">
        <f>AVERAGE('18.10 MASAKA-MBARARA-24H'!H79,'19.10 MASAKA-MBARARA-24H'!H79)</f>
        <v>0.5</v>
      </c>
      <c r="I79" s="49">
        <f>AVERAGE('18.10 MASAKA-MBARARA-24H'!I79,'19.10 MASAKA-MBARARA-24H'!I79)</f>
        <v>2</v>
      </c>
      <c r="J79" s="49">
        <f>AVERAGE('18.10 MASAKA-MBARARA-24H'!J79,'19.10 MASAKA-MBARARA-24H'!J79)</f>
        <v>3</v>
      </c>
      <c r="K79" s="49">
        <f>AVERAGE('18.10 MASAKA-MBARARA-24H'!K79,'19.10 MASAKA-MBARARA-24H'!K79)</f>
        <v>1</v>
      </c>
      <c r="L79" s="49">
        <f>AVERAGE('18.10 MASAKA-MBARARA-24H'!L79,'19.10 MASAKA-MBARARA-24H'!L79)</f>
        <v>0</v>
      </c>
      <c r="M79" s="49">
        <f>AVERAGE('18.10 MASAKA-MBARARA-24H'!M79,'19.10 MASAKA-MBARARA-24H'!M79)</f>
        <v>1.5</v>
      </c>
      <c r="N79" s="49">
        <f>AVERAGE('18.10 MASAKA-MBARARA-24H'!N79,'19.10 MASAKA-MBARARA-24H'!N79)</f>
        <v>0</v>
      </c>
      <c r="O79" s="15">
        <f t="shared" si="35"/>
        <v>14.5</v>
      </c>
      <c r="P79" s="15">
        <f t="shared" si="36"/>
        <v>16</v>
      </c>
      <c r="R79" s="8"/>
      <c r="T79"/>
    </row>
    <row r="80" spans="2:20" ht="23.1" customHeight="1" x14ac:dyDescent="0.25">
      <c r="B80" s="25" t="s">
        <v>120</v>
      </c>
      <c r="C80" s="49">
        <f>AVERAGE('18.10 MASAKA-MBARARA-24H'!C80,'19.10 MASAKA-MBARARA-24H'!C80)</f>
        <v>3.5</v>
      </c>
      <c r="D80" s="49">
        <f>AVERAGE('18.10 MASAKA-MBARARA-24H'!D80,'19.10 MASAKA-MBARARA-24H'!D80)</f>
        <v>0</v>
      </c>
      <c r="E80" s="49">
        <f>AVERAGE('18.10 MASAKA-MBARARA-24H'!E80,'19.10 MASAKA-MBARARA-24H'!E80)</f>
        <v>0.5</v>
      </c>
      <c r="F80" s="49">
        <f>AVERAGE('18.10 MASAKA-MBARARA-24H'!F80,'19.10 MASAKA-MBARARA-24H'!F80)</f>
        <v>3</v>
      </c>
      <c r="G80" s="49">
        <f>AVERAGE('18.10 MASAKA-MBARARA-24H'!G80,'19.10 MASAKA-MBARARA-24H'!G80)</f>
        <v>0</v>
      </c>
      <c r="H80" s="49">
        <f>AVERAGE('18.10 MASAKA-MBARARA-24H'!H80,'19.10 MASAKA-MBARARA-24H'!H80)</f>
        <v>1.5</v>
      </c>
      <c r="I80" s="49">
        <f>AVERAGE('18.10 MASAKA-MBARARA-24H'!I80,'19.10 MASAKA-MBARARA-24H'!I80)</f>
        <v>1</v>
      </c>
      <c r="J80" s="49">
        <f>AVERAGE('18.10 MASAKA-MBARARA-24H'!J80,'19.10 MASAKA-MBARARA-24H'!J80)</f>
        <v>2.5</v>
      </c>
      <c r="K80" s="49">
        <f>AVERAGE('18.10 MASAKA-MBARARA-24H'!K80,'19.10 MASAKA-MBARARA-24H'!K80)</f>
        <v>3.5</v>
      </c>
      <c r="L80" s="49">
        <f>AVERAGE('18.10 MASAKA-MBARARA-24H'!L80,'19.10 MASAKA-MBARARA-24H'!L80)</f>
        <v>0</v>
      </c>
      <c r="M80" s="49">
        <f>AVERAGE('18.10 MASAKA-MBARARA-24H'!M80,'19.10 MASAKA-MBARARA-24H'!M80)</f>
        <v>1.5</v>
      </c>
      <c r="N80" s="49">
        <f>AVERAGE('18.10 MASAKA-MBARARA-24H'!N80,'19.10 MASAKA-MBARARA-24H'!N80)</f>
        <v>0</v>
      </c>
      <c r="O80" s="15">
        <f t="shared" si="35"/>
        <v>15.5</v>
      </c>
      <c r="P80" s="15">
        <f t="shared" si="36"/>
        <v>17</v>
      </c>
      <c r="R80" s="8"/>
      <c r="T80"/>
    </row>
    <row r="81" spans="2:20" ht="23.1" customHeight="1" x14ac:dyDescent="0.25">
      <c r="B81" s="23" t="s">
        <v>121</v>
      </c>
      <c r="C81" s="49">
        <f>AVERAGE('18.10 MASAKA-MBARARA-24H'!C81,'19.10 MASAKA-MBARARA-24H'!C81)</f>
        <v>2</v>
      </c>
      <c r="D81" s="49">
        <f>AVERAGE('18.10 MASAKA-MBARARA-24H'!D81,'19.10 MASAKA-MBARARA-24H'!D81)</f>
        <v>2</v>
      </c>
      <c r="E81" s="49">
        <f>AVERAGE('18.10 MASAKA-MBARARA-24H'!E81,'19.10 MASAKA-MBARARA-24H'!E81)</f>
        <v>1.5</v>
      </c>
      <c r="F81" s="49">
        <f>AVERAGE('18.10 MASAKA-MBARARA-24H'!F81,'19.10 MASAKA-MBARARA-24H'!F81)</f>
        <v>0.5</v>
      </c>
      <c r="G81" s="49">
        <f>AVERAGE('18.10 MASAKA-MBARARA-24H'!G81,'19.10 MASAKA-MBARARA-24H'!G81)</f>
        <v>0.5</v>
      </c>
      <c r="H81" s="49">
        <f>AVERAGE('18.10 MASAKA-MBARARA-24H'!H81,'19.10 MASAKA-MBARARA-24H'!H81)</f>
        <v>1</v>
      </c>
      <c r="I81" s="49">
        <f>AVERAGE('18.10 MASAKA-MBARARA-24H'!I81,'19.10 MASAKA-MBARARA-24H'!I81)</f>
        <v>1.5</v>
      </c>
      <c r="J81" s="49">
        <f>AVERAGE('18.10 MASAKA-MBARARA-24H'!J81,'19.10 MASAKA-MBARARA-24H'!J81)</f>
        <v>4</v>
      </c>
      <c r="K81" s="49">
        <f>AVERAGE('18.10 MASAKA-MBARARA-24H'!K81,'19.10 MASAKA-MBARARA-24H'!K81)</f>
        <v>3.5</v>
      </c>
      <c r="L81" s="49">
        <f>AVERAGE('18.10 MASAKA-MBARARA-24H'!L81,'19.10 MASAKA-MBARARA-24H'!L81)</f>
        <v>0.5</v>
      </c>
      <c r="M81" s="49">
        <f>AVERAGE('18.10 MASAKA-MBARARA-24H'!M81,'19.10 MASAKA-MBARARA-24H'!M81)</f>
        <v>0</v>
      </c>
      <c r="N81" s="49">
        <f>AVERAGE('18.10 MASAKA-MBARARA-24H'!N81,'19.10 MASAKA-MBARARA-24H'!N81)</f>
        <v>0</v>
      </c>
      <c r="O81" s="15">
        <f t="shared" si="35"/>
        <v>17</v>
      </c>
      <c r="P81" s="15">
        <f t="shared" si="36"/>
        <v>17</v>
      </c>
      <c r="R81" s="8"/>
      <c r="T81"/>
    </row>
    <row r="82" spans="2:20" ht="23.1" customHeight="1" x14ac:dyDescent="0.25">
      <c r="B82" s="24" t="s">
        <v>122</v>
      </c>
      <c r="C82" s="49">
        <f>AVERAGE('18.10 MASAKA-MBARARA-24H'!C82,'19.10 MASAKA-MBARARA-24H'!C82)</f>
        <v>3.5</v>
      </c>
      <c r="D82" s="49">
        <f>AVERAGE('18.10 MASAKA-MBARARA-24H'!D82,'19.10 MASAKA-MBARARA-24H'!D82)</f>
        <v>2.5</v>
      </c>
      <c r="E82" s="49">
        <f>AVERAGE('18.10 MASAKA-MBARARA-24H'!E82,'19.10 MASAKA-MBARARA-24H'!E82)</f>
        <v>2.5</v>
      </c>
      <c r="F82" s="49">
        <f>AVERAGE('18.10 MASAKA-MBARARA-24H'!F82,'19.10 MASAKA-MBARARA-24H'!F82)</f>
        <v>0</v>
      </c>
      <c r="G82" s="49">
        <f>AVERAGE('18.10 MASAKA-MBARARA-24H'!G82,'19.10 MASAKA-MBARARA-24H'!G82)</f>
        <v>0</v>
      </c>
      <c r="H82" s="49">
        <f>AVERAGE('18.10 MASAKA-MBARARA-24H'!H82,'19.10 MASAKA-MBARARA-24H'!H82)</f>
        <v>4</v>
      </c>
      <c r="I82" s="49">
        <f>AVERAGE('18.10 MASAKA-MBARARA-24H'!I82,'19.10 MASAKA-MBARARA-24H'!I82)</f>
        <v>2.5</v>
      </c>
      <c r="J82" s="49">
        <f>AVERAGE('18.10 MASAKA-MBARARA-24H'!J82,'19.10 MASAKA-MBARARA-24H'!J82)</f>
        <v>3.5</v>
      </c>
      <c r="K82" s="49">
        <f>AVERAGE('18.10 MASAKA-MBARARA-24H'!K82,'19.10 MASAKA-MBARARA-24H'!K82)</f>
        <v>3.5</v>
      </c>
      <c r="L82" s="49">
        <f>AVERAGE('18.10 MASAKA-MBARARA-24H'!L82,'19.10 MASAKA-MBARARA-24H'!L82)</f>
        <v>0</v>
      </c>
      <c r="M82" s="49">
        <f>AVERAGE('18.10 MASAKA-MBARARA-24H'!M82,'19.10 MASAKA-MBARARA-24H'!M82)</f>
        <v>0.5</v>
      </c>
      <c r="N82" s="49">
        <f>AVERAGE('18.10 MASAKA-MBARARA-24H'!N82,'19.10 MASAKA-MBARARA-24H'!N82)</f>
        <v>0</v>
      </c>
      <c r="O82" s="15">
        <f t="shared" si="35"/>
        <v>22</v>
      </c>
      <c r="P82" s="15">
        <f t="shared" si="36"/>
        <v>22.5</v>
      </c>
      <c r="R82" s="8"/>
      <c r="T82"/>
    </row>
    <row r="83" spans="2:20" ht="23.1" customHeight="1" x14ac:dyDescent="0.25">
      <c r="B83" s="23" t="s">
        <v>123</v>
      </c>
      <c r="C83" s="49">
        <f>AVERAGE('18.10 MASAKA-MBARARA-24H'!C83,'19.10 MASAKA-MBARARA-24H'!C83)</f>
        <v>4.5</v>
      </c>
      <c r="D83" s="49">
        <f>AVERAGE('18.10 MASAKA-MBARARA-24H'!D83,'19.10 MASAKA-MBARARA-24H'!D83)</f>
        <v>3</v>
      </c>
      <c r="E83" s="49">
        <f>AVERAGE('18.10 MASAKA-MBARARA-24H'!E83,'19.10 MASAKA-MBARARA-24H'!E83)</f>
        <v>1.5</v>
      </c>
      <c r="F83" s="49">
        <f>AVERAGE('18.10 MASAKA-MBARARA-24H'!F83,'19.10 MASAKA-MBARARA-24H'!F83)</f>
        <v>1</v>
      </c>
      <c r="G83" s="49">
        <f>AVERAGE('18.10 MASAKA-MBARARA-24H'!G83,'19.10 MASAKA-MBARARA-24H'!G83)</f>
        <v>0</v>
      </c>
      <c r="H83" s="49">
        <f>AVERAGE('18.10 MASAKA-MBARARA-24H'!H83,'19.10 MASAKA-MBARARA-24H'!H83)</f>
        <v>2</v>
      </c>
      <c r="I83" s="49">
        <f>AVERAGE('18.10 MASAKA-MBARARA-24H'!I83,'19.10 MASAKA-MBARARA-24H'!I83)</f>
        <v>1.5</v>
      </c>
      <c r="J83" s="49">
        <f>AVERAGE('18.10 MASAKA-MBARARA-24H'!J83,'19.10 MASAKA-MBARARA-24H'!J83)</f>
        <v>5</v>
      </c>
      <c r="K83" s="49">
        <f>AVERAGE('18.10 MASAKA-MBARARA-24H'!K83,'19.10 MASAKA-MBARARA-24H'!K83)</f>
        <v>2</v>
      </c>
      <c r="L83" s="49">
        <f>AVERAGE('18.10 MASAKA-MBARARA-24H'!L83,'19.10 MASAKA-MBARARA-24H'!L83)</f>
        <v>1</v>
      </c>
      <c r="M83" s="49">
        <f>AVERAGE('18.10 MASAKA-MBARARA-24H'!M83,'19.10 MASAKA-MBARARA-24H'!M83)</f>
        <v>0</v>
      </c>
      <c r="N83" s="49">
        <f>AVERAGE('18.10 MASAKA-MBARARA-24H'!N83,'19.10 MASAKA-MBARARA-24H'!N83)</f>
        <v>0</v>
      </c>
      <c r="O83" s="15">
        <f t="shared" si="35"/>
        <v>21.5</v>
      </c>
      <c r="P83" s="15">
        <f t="shared" si="36"/>
        <v>21.5</v>
      </c>
      <c r="R83" s="8"/>
      <c r="T83"/>
    </row>
    <row r="84" spans="2:20" ht="23.1" customHeight="1" x14ac:dyDescent="0.25">
      <c r="B84" s="25" t="s">
        <v>124</v>
      </c>
      <c r="C84" s="49">
        <f>AVERAGE('18.10 MASAKA-MBARARA-24H'!C84,'19.10 MASAKA-MBARARA-24H'!C84)</f>
        <v>5.5</v>
      </c>
      <c r="D84" s="49">
        <f>AVERAGE('18.10 MASAKA-MBARARA-24H'!D84,'19.10 MASAKA-MBARARA-24H'!D84)</f>
        <v>1</v>
      </c>
      <c r="E84" s="49">
        <f>AVERAGE('18.10 MASAKA-MBARARA-24H'!E84,'19.10 MASAKA-MBARARA-24H'!E84)</f>
        <v>1.5</v>
      </c>
      <c r="F84" s="49">
        <f>AVERAGE('18.10 MASAKA-MBARARA-24H'!F84,'19.10 MASAKA-MBARARA-24H'!F84)</f>
        <v>1</v>
      </c>
      <c r="G84" s="49">
        <f>AVERAGE('18.10 MASAKA-MBARARA-24H'!G84,'19.10 MASAKA-MBARARA-24H'!G84)</f>
        <v>0</v>
      </c>
      <c r="H84" s="49">
        <f>AVERAGE('18.10 MASAKA-MBARARA-24H'!H84,'19.10 MASAKA-MBARARA-24H'!H84)</f>
        <v>2.5</v>
      </c>
      <c r="I84" s="49">
        <f>AVERAGE('18.10 MASAKA-MBARARA-24H'!I84,'19.10 MASAKA-MBARARA-24H'!I84)</f>
        <v>3</v>
      </c>
      <c r="J84" s="49">
        <f>AVERAGE('18.10 MASAKA-MBARARA-24H'!J84,'19.10 MASAKA-MBARARA-24H'!J84)</f>
        <v>1.5</v>
      </c>
      <c r="K84" s="49">
        <f>AVERAGE('18.10 MASAKA-MBARARA-24H'!K84,'19.10 MASAKA-MBARARA-24H'!K84)</f>
        <v>1.5</v>
      </c>
      <c r="L84" s="49">
        <f>AVERAGE('18.10 MASAKA-MBARARA-24H'!L84,'19.10 MASAKA-MBARARA-24H'!L84)</f>
        <v>0</v>
      </c>
      <c r="M84" s="49">
        <f>AVERAGE('18.10 MASAKA-MBARARA-24H'!M84,'19.10 MASAKA-MBARARA-24H'!M84)</f>
        <v>0.5</v>
      </c>
      <c r="N84" s="49">
        <f>AVERAGE('18.10 MASAKA-MBARARA-24H'!N84,'19.10 MASAKA-MBARARA-24H'!N84)</f>
        <v>0</v>
      </c>
      <c r="O84" s="15">
        <f t="shared" si="35"/>
        <v>17.5</v>
      </c>
      <c r="P84" s="15">
        <f t="shared" si="36"/>
        <v>18</v>
      </c>
      <c r="R84" s="8"/>
      <c r="T84"/>
    </row>
    <row r="85" spans="2:20" ht="23.1" customHeight="1" x14ac:dyDescent="0.25">
      <c r="B85" s="23" t="s">
        <v>125</v>
      </c>
      <c r="C85" s="49">
        <f>AVERAGE('18.10 MASAKA-MBARARA-24H'!C85,'19.10 MASAKA-MBARARA-24H'!C85)</f>
        <v>9</v>
      </c>
      <c r="D85" s="49">
        <f>AVERAGE('18.10 MASAKA-MBARARA-24H'!D85,'19.10 MASAKA-MBARARA-24H'!D85)</f>
        <v>1.5</v>
      </c>
      <c r="E85" s="49">
        <f>AVERAGE('18.10 MASAKA-MBARARA-24H'!E85,'19.10 MASAKA-MBARARA-24H'!E85)</f>
        <v>2</v>
      </c>
      <c r="F85" s="49">
        <f>AVERAGE('18.10 MASAKA-MBARARA-24H'!F85,'19.10 MASAKA-MBARARA-24H'!F85)</f>
        <v>1.5</v>
      </c>
      <c r="G85" s="49">
        <f>AVERAGE('18.10 MASAKA-MBARARA-24H'!G85,'19.10 MASAKA-MBARARA-24H'!G85)</f>
        <v>0</v>
      </c>
      <c r="H85" s="49">
        <f>AVERAGE('18.10 MASAKA-MBARARA-24H'!H85,'19.10 MASAKA-MBARARA-24H'!H85)</f>
        <v>3.5</v>
      </c>
      <c r="I85" s="49">
        <f>AVERAGE('18.10 MASAKA-MBARARA-24H'!I85,'19.10 MASAKA-MBARARA-24H'!I85)</f>
        <v>1</v>
      </c>
      <c r="J85" s="49">
        <f>AVERAGE('18.10 MASAKA-MBARARA-24H'!J85,'19.10 MASAKA-MBARARA-24H'!J85)</f>
        <v>0.5</v>
      </c>
      <c r="K85" s="49">
        <f>AVERAGE('18.10 MASAKA-MBARARA-24H'!K85,'19.10 MASAKA-MBARARA-24H'!K85)</f>
        <v>2.5</v>
      </c>
      <c r="L85" s="49">
        <f>AVERAGE('18.10 MASAKA-MBARARA-24H'!L85,'19.10 MASAKA-MBARARA-24H'!L85)</f>
        <v>0</v>
      </c>
      <c r="M85" s="49">
        <f>AVERAGE('18.10 MASAKA-MBARARA-24H'!M85,'19.10 MASAKA-MBARARA-24H'!M85)</f>
        <v>0</v>
      </c>
      <c r="N85" s="49">
        <f>AVERAGE('18.10 MASAKA-MBARARA-24H'!N85,'19.10 MASAKA-MBARARA-24H'!N85)</f>
        <v>0</v>
      </c>
      <c r="O85" s="15">
        <f t="shared" si="35"/>
        <v>21.5</v>
      </c>
      <c r="P85" s="15">
        <f t="shared" si="36"/>
        <v>21.5</v>
      </c>
      <c r="R85" s="8"/>
      <c r="T85"/>
    </row>
    <row r="86" spans="2:20" ht="23.1" customHeight="1" x14ac:dyDescent="0.25">
      <c r="B86" s="24" t="s">
        <v>126</v>
      </c>
      <c r="C86" s="49">
        <f>AVERAGE('18.10 MASAKA-MBARARA-24H'!C86,'19.10 MASAKA-MBARARA-24H'!C86)</f>
        <v>5</v>
      </c>
      <c r="D86" s="49">
        <f>AVERAGE('18.10 MASAKA-MBARARA-24H'!D86,'19.10 MASAKA-MBARARA-24H'!D86)</f>
        <v>1.5</v>
      </c>
      <c r="E86" s="49">
        <f>AVERAGE('18.10 MASAKA-MBARARA-24H'!E86,'19.10 MASAKA-MBARARA-24H'!E86)</f>
        <v>0</v>
      </c>
      <c r="F86" s="49">
        <f>AVERAGE('18.10 MASAKA-MBARARA-24H'!F86,'19.10 MASAKA-MBARARA-24H'!F86)</f>
        <v>2</v>
      </c>
      <c r="G86" s="49">
        <f>AVERAGE('18.10 MASAKA-MBARARA-24H'!G86,'19.10 MASAKA-MBARARA-24H'!G86)</f>
        <v>0</v>
      </c>
      <c r="H86" s="49">
        <f>AVERAGE('18.10 MASAKA-MBARARA-24H'!H86,'19.10 MASAKA-MBARARA-24H'!H86)</f>
        <v>3.5</v>
      </c>
      <c r="I86" s="49">
        <f>AVERAGE('18.10 MASAKA-MBARARA-24H'!I86,'19.10 MASAKA-MBARARA-24H'!I86)</f>
        <v>3.5</v>
      </c>
      <c r="J86" s="49">
        <f>AVERAGE('18.10 MASAKA-MBARARA-24H'!J86,'19.10 MASAKA-MBARARA-24H'!J86)</f>
        <v>4.5</v>
      </c>
      <c r="K86" s="49">
        <f>AVERAGE('18.10 MASAKA-MBARARA-24H'!K86,'19.10 MASAKA-MBARARA-24H'!K86)</f>
        <v>2</v>
      </c>
      <c r="L86" s="49">
        <f>AVERAGE('18.10 MASAKA-MBARARA-24H'!L86,'19.10 MASAKA-MBARARA-24H'!L86)</f>
        <v>0</v>
      </c>
      <c r="M86" s="49">
        <f>AVERAGE('18.10 MASAKA-MBARARA-24H'!M86,'19.10 MASAKA-MBARARA-24H'!M86)</f>
        <v>0.5</v>
      </c>
      <c r="N86" s="49">
        <f>AVERAGE('18.10 MASAKA-MBARARA-24H'!N86,'19.10 MASAKA-MBARARA-24H'!N86)</f>
        <v>0</v>
      </c>
      <c r="O86" s="15">
        <f t="shared" si="35"/>
        <v>22</v>
      </c>
      <c r="P86" s="15">
        <f t="shared" si="36"/>
        <v>22.5</v>
      </c>
      <c r="R86" s="8"/>
      <c r="T86"/>
    </row>
    <row r="87" spans="2:20" ht="23.1" customHeight="1" x14ac:dyDescent="0.25">
      <c r="B87" s="23" t="s">
        <v>127</v>
      </c>
      <c r="C87" s="49">
        <f>AVERAGE('18.10 MASAKA-MBARARA-24H'!C87,'19.10 MASAKA-MBARARA-24H'!C87)</f>
        <v>0</v>
      </c>
      <c r="D87" s="49">
        <f>AVERAGE('18.10 MASAKA-MBARARA-24H'!D87,'19.10 MASAKA-MBARARA-24H'!D87)</f>
        <v>0.5</v>
      </c>
      <c r="E87" s="49">
        <f>AVERAGE('18.10 MASAKA-MBARARA-24H'!E87,'19.10 MASAKA-MBARARA-24H'!E87)</f>
        <v>0</v>
      </c>
      <c r="F87" s="49">
        <f>AVERAGE('18.10 MASAKA-MBARARA-24H'!F87,'19.10 MASAKA-MBARARA-24H'!F87)</f>
        <v>1</v>
      </c>
      <c r="G87" s="49">
        <f>AVERAGE('18.10 MASAKA-MBARARA-24H'!G87,'19.10 MASAKA-MBARARA-24H'!G87)</f>
        <v>0</v>
      </c>
      <c r="H87" s="49">
        <f>AVERAGE('18.10 MASAKA-MBARARA-24H'!H87,'19.10 MASAKA-MBARARA-24H'!H87)</f>
        <v>1</v>
      </c>
      <c r="I87" s="49">
        <f>AVERAGE('18.10 MASAKA-MBARARA-24H'!I87,'19.10 MASAKA-MBARARA-24H'!I87)</f>
        <v>0</v>
      </c>
      <c r="J87" s="49">
        <f>AVERAGE('18.10 MASAKA-MBARARA-24H'!J87,'19.10 MASAKA-MBARARA-24H'!J87)</f>
        <v>4</v>
      </c>
      <c r="K87" s="49">
        <f>AVERAGE('18.10 MASAKA-MBARARA-24H'!K87,'19.10 MASAKA-MBARARA-24H'!K87)</f>
        <v>1</v>
      </c>
      <c r="L87" s="49">
        <f>AVERAGE('18.10 MASAKA-MBARARA-24H'!L87,'19.10 MASAKA-MBARARA-24H'!L87)</f>
        <v>0</v>
      </c>
      <c r="M87" s="49">
        <f>AVERAGE('18.10 MASAKA-MBARARA-24H'!M87,'19.10 MASAKA-MBARARA-24H'!M87)</f>
        <v>0</v>
      </c>
      <c r="N87" s="49">
        <f>AVERAGE('18.10 MASAKA-MBARARA-24H'!N87,'19.10 MASAKA-MBARARA-24H'!N87)</f>
        <v>0</v>
      </c>
      <c r="O87" s="15">
        <f t="shared" si="35"/>
        <v>7.5</v>
      </c>
      <c r="P87" s="15">
        <f t="shared" si="36"/>
        <v>7.5</v>
      </c>
      <c r="R87" s="8"/>
      <c r="T87"/>
    </row>
    <row r="88" spans="2:20" ht="23.1" customHeight="1" x14ac:dyDescent="0.25">
      <c r="B88" s="25" t="s">
        <v>128</v>
      </c>
      <c r="C88" s="49">
        <f>AVERAGE('18.10 MASAKA-MBARARA-24H'!C88,'19.10 MASAKA-MBARARA-24H'!C88)</f>
        <v>1</v>
      </c>
      <c r="D88" s="49">
        <f>AVERAGE('18.10 MASAKA-MBARARA-24H'!D88,'19.10 MASAKA-MBARARA-24H'!D88)</f>
        <v>2</v>
      </c>
      <c r="E88" s="49">
        <f>AVERAGE('18.10 MASAKA-MBARARA-24H'!E88,'19.10 MASAKA-MBARARA-24H'!E88)</f>
        <v>0</v>
      </c>
      <c r="F88" s="49">
        <f>AVERAGE('18.10 MASAKA-MBARARA-24H'!F88,'19.10 MASAKA-MBARARA-24H'!F88)</f>
        <v>1.5</v>
      </c>
      <c r="G88" s="49">
        <f>AVERAGE('18.10 MASAKA-MBARARA-24H'!G88,'19.10 MASAKA-MBARARA-24H'!G88)</f>
        <v>1</v>
      </c>
      <c r="H88" s="49">
        <f>AVERAGE('18.10 MASAKA-MBARARA-24H'!H88,'19.10 MASAKA-MBARARA-24H'!H88)</f>
        <v>1</v>
      </c>
      <c r="I88" s="49">
        <f>AVERAGE('18.10 MASAKA-MBARARA-24H'!I88,'19.10 MASAKA-MBARARA-24H'!I88)</f>
        <v>0.5</v>
      </c>
      <c r="J88" s="49">
        <f>AVERAGE('18.10 MASAKA-MBARARA-24H'!J88,'19.10 MASAKA-MBARARA-24H'!J88)</f>
        <v>2.5</v>
      </c>
      <c r="K88" s="49">
        <f>AVERAGE('18.10 MASAKA-MBARARA-24H'!K88,'19.10 MASAKA-MBARARA-24H'!K88)</f>
        <v>3</v>
      </c>
      <c r="L88" s="49">
        <f>AVERAGE('18.10 MASAKA-MBARARA-24H'!L88,'19.10 MASAKA-MBARARA-24H'!L88)</f>
        <v>0.5</v>
      </c>
      <c r="M88" s="49">
        <f>AVERAGE('18.10 MASAKA-MBARARA-24H'!M88,'19.10 MASAKA-MBARARA-24H'!M88)</f>
        <v>0</v>
      </c>
      <c r="N88" s="49">
        <f>AVERAGE('18.10 MASAKA-MBARARA-24H'!N88,'19.10 MASAKA-MBARARA-24H'!N88)</f>
        <v>0</v>
      </c>
      <c r="O88" s="15">
        <f t="shared" si="35"/>
        <v>13</v>
      </c>
      <c r="P88" s="15">
        <f t="shared" si="36"/>
        <v>13</v>
      </c>
      <c r="R88" s="8"/>
      <c r="T88"/>
    </row>
    <row r="89" spans="2:20" ht="23.1" customHeight="1" x14ac:dyDescent="0.25">
      <c r="B89" s="23" t="s">
        <v>129</v>
      </c>
      <c r="C89" s="49">
        <f>AVERAGE('18.10 MASAKA-MBARARA-24H'!C89,'19.10 MASAKA-MBARARA-24H'!C89)</f>
        <v>3.5</v>
      </c>
      <c r="D89" s="49">
        <f>AVERAGE('18.10 MASAKA-MBARARA-24H'!D89,'19.10 MASAKA-MBARARA-24H'!D89)</f>
        <v>0</v>
      </c>
      <c r="E89" s="49">
        <f>AVERAGE('18.10 MASAKA-MBARARA-24H'!E89,'19.10 MASAKA-MBARARA-24H'!E89)</f>
        <v>0.5</v>
      </c>
      <c r="F89" s="49">
        <f>AVERAGE('18.10 MASAKA-MBARARA-24H'!F89,'19.10 MASAKA-MBARARA-24H'!F89)</f>
        <v>0</v>
      </c>
      <c r="G89" s="49">
        <f>AVERAGE('18.10 MASAKA-MBARARA-24H'!G89,'19.10 MASAKA-MBARARA-24H'!G89)</f>
        <v>0</v>
      </c>
      <c r="H89" s="49">
        <f>AVERAGE('18.10 MASAKA-MBARARA-24H'!H89,'19.10 MASAKA-MBARARA-24H'!H89)</f>
        <v>2</v>
      </c>
      <c r="I89" s="49">
        <f>AVERAGE('18.10 MASAKA-MBARARA-24H'!I89,'19.10 MASAKA-MBARARA-24H'!I89)</f>
        <v>0.5</v>
      </c>
      <c r="J89" s="49">
        <f>AVERAGE('18.10 MASAKA-MBARARA-24H'!J89,'19.10 MASAKA-MBARARA-24H'!J89)</f>
        <v>1.5</v>
      </c>
      <c r="K89" s="49">
        <f>AVERAGE('18.10 MASAKA-MBARARA-24H'!K89,'19.10 MASAKA-MBARARA-24H'!K89)</f>
        <v>4</v>
      </c>
      <c r="L89" s="49">
        <f>AVERAGE('18.10 MASAKA-MBARARA-24H'!L89,'19.10 MASAKA-MBARARA-24H'!L89)</f>
        <v>0</v>
      </c>
      <c r="M89" s="49">
        <f>AVERAGE('18.10 MASAKA-MBARARA-24H'!M89,'19.10 MASAKA-MBARARA-24H'!M89)</f>
        <v>0.5</v>
      </c>
      <c r="N89" s="49">
        <f>AVERAGE('18.10 MASAKA-MBARARA-24H'!N89,'19.10 MASAKA-MBARARA-24H'!N89)</f>
        <v>0</v>
      </c>
      <c r="O89" s="15">
        <f t="shared" si="35"/>
        <v>12</v>
      </c>
      <c r="P89" s="15">
        <f t="shared" si="36"/>
        <v>12.5</v>
      </c>
      <c r="R89" s="8"/>
      <c r="T89"/>
    </row>
    <row r="90" spans="2:20" ht="23.1" customHeight="1" x14ac:dyDescent="0.25">
      <c r="B90" s="24" t="s">
        <v>130</v>
      </c>
      <c r="C90" s="49">
        <f>AVERAGE('18.10 MASAKA-MBARARA-24H'!C90,'19.10 MASAKA-MBARARA-24H'!C90)</f>
        <v>2</v>
      </c>
      <c r="D90" s="49">
        <f>AVERAGE('18.10 MASAKA-MBARARA-24H'!D90,'19.10 MASAKA-MBARARA-24H'!D90)</f>
        <v>0</v>
      </c>
      <c r="E90" s="49">
        <f>AVERAGE('18.10 MASAKA-MBARARA-24H'!E90,'19.10 MASAKA-MBARARA-24H'!E90)</f>
        <v>0.5</v>
      </c>
      <c r="F90" s="49">
        <f>AVERAGE('18.10 MASAKA-MBARARA-24H'!F90,'19.10 MASAKA-MBARARA-24H'!F90)</f>
        <v>0</v>
      </c>
      <c r="G90" s="49">
        <f>AVERAGE('18.10 MASAKA-MBARARA-24H'!G90,'19.10 MASAKA-MBARARA-24H'!G90)</f>
        <v>0</v>
      </c>
      <c r="H90" s="49">
        <f>AVERAGE('18.10 MASAKA-MBARARA-24H'!H90,'19.10 MASAKA-MBARARA-24H'!H90)</f>
        <v>1.5</v>
      </c>
      <c r="I90" s="49">
        <f>AVERAGE('18.10 MASAKA-MBARARA-24H'!I90,'19.10 MASAKA-MBARARA-24H'!I90)</f>
        <v>1.5</v>
      </c>
      <c r="J90" s="49">
        <f>AVERAGE('18.10 MASAKA-MBARARA-24H'!J90,'19.10 MASAKA-MBARARA-24H'!J90)</f>
        <v>2.5</v>
      </c>
      <c r="K90" s="49">
        <f>AVERAGE('18.10 MASAKA-MBARARA-24H'!K90,'19.10 MASAKA-MBARARA-24H'!K90)</f>
        <v>1</v>
      </c>
      <c r="L90" s="49">
        <f>AVERAGE('18.10 MASAKA-MBARARA-24H'!L90,'19.10 MASAKA-MBARARA-24H'!L90)</f>
        <v>0</v>
      </c>
      <c r="M90" s="49">
        <f>AVERAGE('18.10 MASAKA-MBARARA-24H'!M90,'19.10 MASAKA-MBARARA-24H'!M90)</f>
        <v>1.5</v>
      </c>
      <c r="N90" s="49">
        <f>AVERAGE('18.10 MASAKA-MBARARA-24H'!N90,'19.10 MASAKA-MBARARA-24H'!N90)</f>
        <v>0</v>
      </c>
      <c r="O90" s="15">
        <f t="shared" si="35"/>
        <v>9</v>
      </c>
      <c r="P90" s="15">
        <f t="shared" si="36"/>
        <v>10.5</v>
      </c>
      <c r="R90" s="8"/>
      <c r="T90"/>
    </row>
    <row r="91" spans="2:20" ht="23.1" customHeight="1" x14ac:dyDescent="0.25">
      <c r="B91" s="23" t="s">
        <v>131</v>
      </c>
      <c r="C91" s="49">
        <f>AVERAGE('18.10 MASAKA-MBARARA-24H'!C91,'19.10 MASAKA-MBARARA-24H'!C91)</f>
        <v>4</v>
      </c>
      <c r="D91" s="49">
        <f>AVERAGE('18.10 MASAKA-MBARARA-24H'!D91,'19.10 MASAKA-MBARARA-24H'!D91)</f>
        <v>0.5</v>
      </c>
      <c r="E91" s="49">
        <f>AVERAGE('18.10 MASAKA-MBARARA-24H'!E91,'19.10 MASAKA-MBARARA-24H'!E91)</f>
        <v>0</v>
      </c>
      <c r="F91" s="49">
        <f>AVERAGE('18.10 MASAKA-MBARARA-24H'!F91,'19.10 MASAKA-MBARARA-24H'!F91)</f>
        <v>1.5</v>
      </c>
      <c r="G91" s="49">
        <f>AVERAGE('18.10 MASAKA-MBARARA-24H'!G91,'19.10 MASAKA-MBARARA-24H'!G91)</f>
        <v>0</v>
      </c>
      <c r="H91" s="49">
        <f>AVERAGE('18.10 MASAKA-MBARARA-24H'!H91,'19.10 MASAKA-MBARARA-24H'!H91)</f>
        <v>2.5</v>
      </c>
      <c r="I91" s="49">
        <f>AVERAGE('18.10 MASAKA-MBARARA-24H'!I91,'19.10 MASAKA-MBARARA-24H'!I91)</f>
        <v>3</v>
      </c>
      <c r="J91" s="49">
        <f>AVERAGE('18.10 MASAKA-MBARARA-24H'!J91,'19.10 MASAKA-MBARARA-24H'!J91)</f>
        <v>0.5</v>
      </c>
      <c r="K91" s="49">
        <f>AVERAGE('18.10 MASAKA-MBARARA-24H'!K91,'19.10 MASAKA-MBARARA-24H'!K91)</f>
        <v>6</v>
      </c>
      <c r="L91" s="49">
        <f>AVERAGE('18.10 MASAKA-MBARARA-24H'!L91,'19.10 MASAKA-MBARARA-24H'!L91)</f>
        <v>0</v>
      </c>
      <c r="M91" s="49">
        <f>AVERAGE('18.10 MASAKA-MBARARA-24H'!M91,'19.10 MASAKA-MBARARA-24H'!M91)</f>
        <v>0</v>
      </c>
      <c r="N91" s="49">
        <f>AVERAGE('18.10 MASAKA-MBARARA-24H'!N91,'19.10 MASAKA-MBARARA-24H'!N91)</f>
        <v>0</v>
      </c>
      <c r="O91" s="15">
        <f t="shared" si="35"/>
        <v>18</v>
      </c>
      <c r="P91" s="15">
        <f t="shared" si="36"/>
        <v>18</v>
      </c>
      <c r="R91" s="8"/>
      <c r="T91"/>
    </row>
    <row r="92" spans="2:20" ht="23.1" customHeight="1" x14ac:dyDescent="0.25">
      <c r="B92" s="25" t="s">
        <v>132</v>
      </c>
      <c r="C92" s="49">
        <f>AVERAGE('18.10 MASAKA-MBARARA-24H'!C92,'19.10 MASAKA-MBARARA-24H'!C92)</f>
        <v>2</v>
      </c>
      <c r="D92" s="49">
        <f>AVERAGE('18.10 MASAKA-MBARARA-24H'!D92,'19.10 MASAKA-MBARARA-24H'!D92)</f>
        <v>1</v>
      </c>
      <c r="E92" s="49">
        <f>AVERAGE('18.10 MASAKA-MBARARA-24H'!E92,'19.10 MASAKA-MBARARA-24H'!E92)</f>
        <v>1.5</v>
      </c>
      <c r="F92" s="49">
        <f>AVERAGE('18.10 MASAKA-MBARARA-24H'!F92,'19.10 MASAKA-MBARARA-24H'!F92)</f>
        <v>2</v>
      </c>
      <c r="G92" s="49">
        <f>AVERAGE('18.10 MASAKA-MBARARA-24H'!G92,'19.10 MASAKA-MBARARA-24H'!G92)</f>
        <v>0.5</v>
      </c>
      <c r="H92" s="49">
        <f>AVERAGE('18.10 MASAKA-MBARARA-24H'!H92,'19.10 MASAKA-MBARARA-24H'!H92)</f>
        <v>2.5</v>
      </c>
      <c r="I92" s="49">
        <f>AVERAGE('18.10 MASAKA-MBARARA-24H'!I92,'19.10 MASAKA-MBARARA-24H'!I92)</f>
        <v>3</v>
      </c>
      <c r="J92" s="49">
        <f>AVERAGE('18.10 MASAKA-MBARARA-24H'!J92,'19.10 MASAKA-MBARARA-24H'!J92)</f>
        <v>1.5</v>
      </c>
      <c r="K92" s="49">
        <f>AVERAGE('18.10 MASAKA-MBARARA-24H'!K92,'19.10 MASAKA-MBARARA-24H'!K92)</f>
        <v>3</v>
      </c>
      <c r="L92" s="49">
        <f>AVERAGE('18.10 MASAKA-MBARARA-24H'!L92,'19.10 MASAKA-MBARARA-24H'!L92)</f>
        <v>1</v>
      </c>
      <c r="M92" s="49">
        <f>AVERAGE('18.10 MASAKA-MBARARA-24H'!M92,'19.10 MASAKA-MBARARA-24H'!M92)</f>
        <v>0.5</v>
      </c>
      <c r="N92" s="49">
        <f>AVERAGE('18.10 MASAKA-MBARARA-24H'!N92,'19.10 MASAKA-MBARARA-24H'!N92)</f>
        <v>0</v>
      </c>
      <c r="O92" s="15">
        <f t="shared" si="35"/>
        <v>18</v>
      </c>
      <c r="P92" s="15">
        <f t="shared" si="36"/>
        <v>18.5</v>
      </c>
      <c r="R92" s="8"/>
      <c r="T92"/>
    </row>
    <row r="93" spans="2:20" ht="23.1" customHeight="1" x14ac:dyDescent="0.25">
      <c r="B93" s="23" t="s">
        <v>133</v>
      </c>
      <c r="C93" s="49">
        <f>AVERAGE('18.10 MASAKA-MBARARA-24H'!C93,'19.10 MASAKA-MBARARA-24H'!C93)</f>
        <v>0.5</v>
      </c>
      <c r="D93" s="49">
        <f>AVERAGE('18.10 MASAKA-MBARARA-24H'!D93,'19.10 MASAKA-MBARARA-24H'!D93)</f>
        <v>2</v>
      </c>
      <c r="E93" s="49">
        <f>AVERAGE('18.10 MASAKA-MBARARA-24H'!E93,'19.10 MASAKA-MBARARA-24H'!E93)</f>
        <v>0</v>
      </c>
      <c r="F93" s="49">
        <f>AVERAGE('18.10 MASAKA-MBARARA-24H'!F93,'19.10 MASAKA-MBARARA-24H'!F93)</f>
        <v>0</v>
      </c>
      <c r="G93" s="49">
        <f>AVERAGE('18.10 MASAKA-MBARARA-24H'!G93,'19.10 MASAKA-MBARARA-24H'!G93)</f>
        <v>0</v>
      </c>
      <c r="H93" s="49">
        <f>AVERAGE('18.10 MASAKA-MBARARA-24H'!H93,'19.10 MASAKA-MBARARA-24H'!H93)</f>
        <v>1.5</v>
      </c>
      <c r="I93" s="49">
        <f>AVERAGE('18.10 MASAKA-MBARARA-24H'!I93,'19.10 MASAKA-MBARARA-24H'!I93)</f>
        <v>2</v>
      </c>
      <c r="J93" s="49">
        <f>AVERAGE('18.10 MASAKA-MBARARA-24H'!J93,'19.10 MASAKA-MBARARA-24H'!J93)</f>
        <v>1</v>
      </c>
      <c r="K93" s="49">
        <f>AVERAGE('18.10 MASAKA-MBARARA-24H'!K93,'19.10 MASAKA-MBARARA-24H'!K93)</f>
        <v>5.5</v>
      </c>
      <c r="L93" s="49">
        <f>AVERAGE('18.10 MASAKA-MBARARA-24H'!L93,'19.10 MASAKA-MBARARA-24H'!L93)</f>
        <v>0</v>
      </c>
      <c r="M93" s="49">
        <f>AVERAGE('18.10 MASAKA-MBARARA-24H'!M93,'19.10 MASAKA-MBARARA-24H'!M93)</f>
        <v>0.5</v>
      </c>
      <c r="N93" s="49">
        <f>AVERAGE('18.10 MASAKA-MBARARA-24H'!N93,'19.10 MASAKA-MBARARA-24H'!N93)</f>
        <v>0</v>
      </c>
      <c r="O93" s="15">
        <f t="shared" si="35"/>
        <v>12.5</v>
      </c>
      <c r="P93" s="15">
        <f t="shared" si="36"/>
        <v>13</v>
      </c>
      <c r="R93" s="8"/>
      <c r="T93"/>
    </row>
    <row r="94" spans="2:20" ht="23.1" customHeight="1" x14ac:dyDescent="0.25">
      <c r="B94" s="24" t="s">
        <v>134</v>
      </c>
      <c r="C94" s="49">
        <f>AVERAGE('18.10 MASAKA-MBARARA-24H'!C94,'19.10 MASAKA-MBARARA-24H'!C94)</f>
        <v>1.5</v>
      </c>
      <c r="D94" s="49">
        <f>AVERAGE('18.10 MASAKA-MBARARA-24H'!D94,'19.10 MASAKA-MBARARA-24H'!D94)</f>
        <v>0</v>
      </c>
      <c r="E94" s="49">
        <f>AVERAGE('18.10 MASAKA-MBARARA-24H'!E94,'19.10 MASAKA-MBARARA-24H'!E94)</f>
        <v>0</v>
      </c>
      <c r="F94" s="49">
        <f>AVERAGE('18.10 MASAKA-MBARARA-24H'!F94,'19.10 MASAKA-MBARARA-24H'!F94)</f>
        <v>1.5</v>
      </c>
      <c r="G94" s="49">
        <f>AVERAGE('18.10 MASAKA-MBARARA-24H'!G94,'19.10 MASAKA-MBARARA-24H'!G94)</f>
        <v>0</v>
      </c>
      <c r="H94" s="49">
        <f>AVERAGE('18.10 MASAKA-MBARARA-24H'!H94,'19.10 MASAKA-MBARARA-24H'!H94)</f>
        <v>1</v>
      </c>
      <c r="I94" s="49">
        <f>AVERAGE('18.10 MASAKA-MBARARA-24H'!I94,'19.10 MASAKA-MBARARA-24H'!I94)</f>
        <v>0</v>
      </c>
      <c r="J94" s="49">
        <f>AVERAGE('18.10 MASAKA-MBARARA-24H'!J94,'19.10 MASAKA-MBARARA-24H'!J94)</f>
        <v>3</v>
      </c>
      <c r="K94" s="49">
        <f>AVERAGE('18.10 MASAKA-MBARARA-24H'!K94,'19.10 MASAKA-MBARARA-24H'!K94)</f>
        <v>2.5</v>
      </c>
      <c r="L94" s="49">
        <f>AVERAGE('18.10 MASAKA-MBARARA-24H'!L94,'19.10 MASAKA-MBARARA-24H'!L94)</f>
        <v>0</v>
      </c>
      <c r="M94" s="49">
        <f>AVERAGE('18.10 MASAKA-MBARARA-24H'!M94,'19.10 MASAKA-MBARARA-24H'!M94)</f>
        <v>0</v>
      </c>
      <c r="N94" s="49">
        <f>AVERAGE('18.10 MASAKA-MBARARA-24H'!N94,'19.10 MASAKA-MBARARA-24H'!N94)</f>
        <v>0</v>
      </c>
      <c r="O94" s="15">
        <f t="shared" si="35"/>
        <v>9.5</v>
      </c>
      <c r="P94" s="15">
        <f t="shared" si="36"/>
        <v>9.5</v>
      </c>
      <c r="R94" s="8"/>
      <c r="T94"/>
    </row>
    <row r="95" spans="2:20" ht="23.1" customHeight="1" x14ac:dyDescent="0.25">
      <c r="B95" s="23" t="s">
        <v>135</v>
      </c>
      <c r="C95" s="49">
        <f>AVERAGE('18.10 MASAKA-MBARARA-24H'!C95,'19.10 MASAKA-MBARARA-24H'!C95)</f>
        <v>5</v>
      </c>
      <c r="D95" s="49">
        <f>AVERAGE('18.10 MASAKA-MBARARA-24H'!D95,'19.10 MASAKA-MBARARA-24H'!D95)</f>
        <v>0.5</v>
      </c>
      <c r="E95" s="49">
        <f>AVERAGE('18.10 MASAKA-MBARARA-24H'!E95,'19.10 MASAKA-MBARARA-24H'!E95)</f>
        <v>0.5</v>
      </c>
      <c r="F95" s="49">
        <f>AVERAGE('18.10 MASAKA-MBARARA-24H'!F95,'19.10 MASAKA-MBARARA-24H'!F95)</f>
        <v>1</v>
      </c>
      <c r="G95" s="49">
        <f>AVERAGE('18.10 MASAKA-MBARARA-24H'!G95,'19.10 MASAKA-MBARARA-24H'!G95)</f>
        <v>0.5</v>
      </c>
      <c r="H95" s="49">
        <f>AVERAGE('18.10 MASAKA-MBARARA-24H'!H95,'19.10 MASAKA-MBARARA-24H'!H95)</f>
        <v>1</v>
      </c>
      <c r="I95" s="49">
        <f>AVERAGE('18.10 MASAKA-MBARARA-24H'!I95,'19.10 MASAKA-MBARARA-24H'!I95)</f>
        <v>0.5</v>
      </c>
      <c r="J95" s="49">
        <f>AVERAGE('18.10 MASAKA-MBARARA-24H'!J95,'19.10 MASAKA-MBARARA-24H'!J95)</f>
        <v>1.5</v>
      </c>
      <c r="K95" s="49">
        <f>AVERAGE('18.10 MASAKA-MBARARA-24H'!K95,'19.10 MASAKA-MBARARA-24H'!K95)</f>
        <v>0.5</v>
      </c>
      <c r="L95" s="49">
        <f>AVERAGE('18.10 MASAKA-MBARARA-24H'!L95,'19.10 MASAKA-MBARARA-24H'!L95)</f>
        <v>0</v>
      </c>
      <c r="M95" s="49">
        <f>AVERAGE('18.10 MASAKA-MBARARA-24H'!M95,'19.10 MASAKA-MBARARA-24H'!M95)</f>
        <v>0</v>
      </c>
      <c r="N95" s="49">
        <f>AVERAGE('18.10 MASAKA-MBARARA-24H'!N95,'19.10 MASAKA-MBARARA-24H'!N95)</f>
        <v>0</v>
      </c>
      <c r="O95" s="15">
        <f t="shared" si="35"/>
        <v>11</v>
      </c>
      <c r="P95" s="15">
        <f t="shared" si="36"/>
        <v>11</v>
      </c>
      <c r="R95" s="8"/>
      <c r="T95"/>
    </row>
    <row r="96" spans="2:20" ht="23.1" customHeight="1" x14ac:dyDescent="0.25">
      <c r="B96" s="25" t="s">
        <v>136</v>
      </c>
      <c r="C96" s="49">
        <f>AVERAGE('18.10 MASAKA-MBARARA-24H'!C96,'19.10 MASAKA-MBARARA-24H'!C96)</f>
        <v>2.5</v>
      </c>
      <c r="D96" s="49">
        <f>AVERAGE('18.10 MASAKA-MBARARA-24H'!D96,'19.10 MASAKA-MBARARA-24H'!D96)</f>
        <v>1</v>
      </c>
      <c r="E96" s="49">
        <f>AVERAGE('18.10 MASAKA-MBARARA-24H'!E96,'19.10 MASAKA-MBARARA-24H'!E96)</f>
        <v>0</v>
      </c>
      <c r="F96" s="49">
        <f>AVERAGE('18.10 MASAKA-MBARARA-24H'!F96,'19.10 MASAKA-MBARARA-24H'!F96)</f>
        <v>0.5</v>
      </c>
      <c r="G96" s="49">
        <f>AVERAGE('18.10 MASAKA-MBARARA-24H'!G96,'19.10 MASAKA-MBARARA-24H'!G96)</f>
        <v>0.5</v>
      </c>
      <c r="H96" s="49">
        <f>AVERAGE('18.10 MASAKA-MBARARA-24H'!H96,'19.10 MASAKA-MBARARA-24H'!H96)</f>
        <v>1.5</v>
      </c>
      <c r="I96" s="49">
        <f>AVERAGE('18.10 MASAKA-MBARARA-24H'!I96,'19.10 MASAKA-MBARARA-24H'!I96)</f>
        <v>0.5</v>
      </c>
      <c r="J96" s="49">
        <f>AVERAGE('18.10 MASAKA-MBARARA-24H'!J96,'19.10 MASAKA-MBARARA-24H'!J96)</f>
        <v>2</v>
      </c>
      <c r="K96" s="49">
        <f>AVERAGE('18.10 MASAKA-MBARARA-24H'!K96,'19.10 MASAKA-MBARARA-24H'!K96)</f>
        <v>3</v>
      </c>
      <c r="L96" s="49">
        <f>AVERAGE('18.10 MASAKA-MBARARA-24H'!L96,'19.10 MASAKA-MBARARA-24H'!L96)</f>
        <v>0</v>
      </c>
      <c r="M96" s="49">
        <f>AVERAGE('18.10 MASAKA-MBARARA-24H'!M96,'19.10 MASAKA-MBARARA-24H'!M96)</f>
        <v>0</v>
      </c>
      <c r="N96" s="49">
        <f>AVERAGE('18.10 MASAKA-MBARARA-24H'!N96,'19.10 MASAKA-MBARARA-24H'!N96)</f>
        <v>0</v>
      </c>
      <c r="O96" s="15">
        <f t="shared" si="35"/>
        <v>11.5</v>
      </c>
      <c r="P96" s="15">
        <f t="shared" si="36"/>
        <v>11.5</v>
      </c>
      <c r="R96" s="8"/>
      <c r="T96"/>
    </row>
    <row r="97" spans="2:20" ht="23.1" customHeight="1" x14ac:dyDescent="0.25">
      <c r="B97" s="23" t="s">
        <v>137</v>
      </c>
      <c r="C97" s="49">
        <f>AVERAGE('18.10 MASAKA-MBARARA-24H'!C97,'19.10 MASAKA-MBARARA-24H'!C97)</f>
        <v>3.5</v>
      </c>
      <c r="D97" s="49">
        <f>AVERAGE('18.10 MASAKA-MBARARA-24H'!D97,'19.10 MASAKA-MBARARA-24H'!D97)</f>
        <v>0</v>
      </c>
      <c r="E97" s="49">
        <f>AVERAGE('18.10 MASAKA-MBARARA-24H'!E97,'19.10 MASAKA-MBARARA-24H'!E97)</f>
        <v>0.5</v>
      </c>
      <c r="F97" s="49">
        <f>AVERAGE('18.10 MASAKA-MBARARA-24H'!F97,'19.10 MASAKA-MBARARA-24H'!F97)</f>
        <v>0</v>
      </c>
      <c r="G97" s="49">
        <f>AVERAGE('18.10 MASAKA-MBARARA-24H'!G97,'19.10 MASAKA-MBARARA-24H'!G97)</f>
        <v>0</v>
      </c>
      <c r="H97" s="49">
        <f>AVERAGE('18.10 MASAKA-MBARARA-24H'!H97,'19.10 MASAKA-MBARARA-24H'!H97)</f>
        <v>1</v>
      </c>
      <c r="I97" s="49">
        <f>AVERAGE('18.10 MASAKA-MBARARA-24H'!I97,'19.10 MASAKA-MBARARA-24H'!I97)</f>
        <v>0.5</v>
      </c>
      <c r="J97" s="49">
        <f>AVERAGE('18.10 MASAKA-MBARARA-24H'!J97,'19.10 MASAKA-MBARARA-24H'!J97)</f>
        <v>1.5</v>
      </c>
      <c r="K97" s="49">
        <f>AVERAGE('18.10 MASAKA-MBARARA-24H'!K97,'19.10 MASAKA-MBARARA-24H'!K97)</f>
        <v>2.5</v>
      </c>
      <c r="L97" s="49">
        <f>AVERAGE('18.10 MASAKA-MBARARA-24H'!L97,'19.10 MASAKA-MBARARA-24H'!L97)</f>
        <v>0.5</v>
      </c>
      <c r="M97" s="49">
        <f>AVERAGE('18.10 MASAKA-MBARARA-24H'!M97,'19.10 MASAKA-MBARARA-24H'!M97)</f>
        <v>2.5</v>
      </c>
      <c r="N97" s="49">
        <f>AVERAGE('18.10 MASAKA-MBARARA-24H'!N97,'19.10 MASAKA-MBARARA-24H'!N97)</f>
        <v>0</v>
      </c>
      <c r="O97" s="15">
        <f t="shared" si="35"/>
        <v>10</v>
      </c>
      <c r="P97" s="15">
        <f t="shared" si="36"/>
        <v>12.5</v>
      </c>
      <c r="R97" s="8"/>
      <c r="T97"/>
    </row>
    <row r="98" spans="2:20" ht="23.1" customHeight="1" x14ac:dyDescent="0.25">
      <c r="B98" s="24" t="s">
        <v>138</v>
      </c>
      <c r="C98" s="49">
        <f>AVERAGE('18.10 MASAKA-MBARARA-24H'!C98,'19.10 MASAKA-MBARARA-24H'!C98)</f>
        <v>0</v>
      </c>
      <c r="D98" s="49">
        <f>AVERAGE('18.10 MASAKA-MBARARA-24H'!D98,'19.10 MASAKA-MBARARA-24H'!D98)</f>
        <v>0</v>
      </c>
      <c r="E98" s="49">
        <f>AVERAGE('18.10 MASAKA-MBARARA-24H'!E98,'19.10 MASAKA-MBARARA-24H'!E98)</f>
        <v>0.5</v>
      </c>
      <c r="F98" s="49">
        <f>AVERAGE('18.10 MASAKA-MBARARA-24H'!F98,'19.10 MASAKA-MBARARA-24H'!F98)</f>
        <v>1</v>
      </c>
      <c r="G98" s="49">
        <f>AVERAGE('18.10 MASAKA-MBARARA-24H'!G98,'19.10 MASAKA-MBARARA-24H'!G98)</f>
        <v>0</v>
      </c>
      <c r="H98" s="49">
        <f>AVERAGE('18.10 MASAKA-MBARARA-24H'!H98,'19.10 MASAKA-MBARARA-24H'!H98)</f>
        <v>1</v>
      </c>
      <c r="I98" s="49">
        <f>AVERAGE('18.10 MASAKA-MBARARA-24H'!I98,'19.10 MASAKA-MBARARA-24H'!I98)</f>
        <v>0.5</v>
      </c>
      <c r="J98" s="49">
        <f>AVERAGE('18.10 MASAKA-MBARARA-24H'!J98,'19.10 MASAKA-MBARARA-24H'!J98)</f>
        <v>1.5</v>
      </c>
      <c r="K98" s="49">
        <f>AVERAGE('18.10 MASAKA-MBARARA-24H'!K98,'19.10 MASAKA-MBARARA-24H'!K98)</f>
        <v>0.5</v>
      </c>
      <c r="L98" s="49">
        <f>AVERAGE('18.10 MASAKA-MBARARA-24H'!L98,'19.10 MASAKA-MBARARA-24H'!L98)</f>
        <v>0.5</v>
      </c>
      <c r="M98" s="49">
        <f>AVERAGE('18.10 MASAKA-MBARARA-24H'!M98,'19.10 MASAKA-MBARARA-24H'!M98)</f>
        <v>1.5</v>
      </c>
      <c r="N98" s="49">
        <f>AVERAGE('18.10 MASAKA-MBARARA-24H'!N98,'19.10 MASAKA-MBARARA-24H'!N98)</f>
        <v>0</v>
      </c>
      <c r="O98" s="15">
        <f t="shared" si="35"/>
        <v>5.5</v>
      </c>
      <c r="P98" s="15">
        <f t="shared" si="36"/>
        <v>7</v>
      </c>
      <c r="R98" s="8"/>
      <c r="T98"/>
    </row>
    <row r="99" spans="2:20" ht="23.1" customHeight="1" x14ac:dyDescent="0.25">
      <c r="B99" s="23" t="s">
        <v>139</v>
      </c>
      <c r="C99" s="49">
        <f>AVERAGE('18.10 MASAKA-MBARARA-24H'!C99,'19.10 MASAKA-MBARARA-24H'!C99)</f>
        <v>1</v>
      </c>
      <c r="D99" s="49">
        <f>AVERAGE('18.10 MASAKA-MBARARA-24H'!D99,'19.10 MASAKA-MBARARA-24H'!D99)</f>
        <v>0.5</v>
      </c>
      <c r="E99" s="49">
        <f>AVERAGE('18.10 MASAKA-MBARARA-24H'!E99,'19.10 MASAKA-MBARARA-24H'!E99)</f>
        <v>0.5</v>
      </c>
      <c r="F99" s="49">
        <f>AVERAGE('18.10 MASAKA-MBARARA-24H'!F99,'19.10 MASAKA-MBARARA-24H'!F99)</f>
        <v>0.5</v>
      </c>
      <c r="G99" s="49">
        <f>AVERAGE('18.10 MASAKA-MBARARA-24H'!G99,'19.10 MASAKA-MBARARA-24H'!G99)</f>
        <v>0</v>
      </c>
      <c r="H99" s="49">
        <f>AVERAGE('18.10 MASAKA-MBARARA-24H'!H99,'19.10 MASAKA-MBARARA-24H'!H99)</f>
        <v>1</v>
      </c>
      <c r="I99" s="49">
        <f>AVERAGE('18.10 MASAKA-MBARARA-24H'!I99,'19.10 MASAKA-MBARARA-24H'!I99)</f>
        <v>0.5</v>
      </c>
      <c r="J99" s="49">
        <f>AVERAGE('18.10 MASAKA-MBARARA-24H'!J99,'19.10 MASAKA-MBARARA-24H'!J99)</f>
        <v>2</v>
      </c>
      <c r="K99" s="49">
        <f>AVERAGE('18.10 MASAKA-MBARARA-24H'!K99,'19.10 MASAKA-MBARARA-24H'!K99)</f>
        <v>1.5</v>
      </c>
      <c r="L99" s="49">
        <f>AVERAGE('18.10 MASAKA-MBARARA-24H'!L99,'19.10 MASAKA-MBARARA-24H'!L99)</f>
        <v>0</v>
      </c>
      <c r="M99" s="49">
        <f>AVERAGE('18.10 MASAKA-MBARARA-24H'!M99,'19.10 MASAKA-MBARARA-24H'!M99)</f>
        <v>1</v>
      </c>
      <c r="N99" s="49">
        <f>AVERAGE('18.10 MASAKA-MBARARA-24H'!N99,'19.10 MASAKA-MBARARA-24H'!N99)</f>
        <v>0</v>
      </c>
      <c r="O99" s="15">
        <f t="shared" si="35"/>
        <v>7.5</v>
      </c>
      <c r="P99" s="15">
        <f t="shared" si="36"/>
        <v>8.5</v>
      </c>
      <c r="R99" s="8"/>
      <c r="T99"/>
    </row>
    <row r="100" spans="2:20" ht="23.1" customHeight="1" x14ac:dyDescent="0.25">
      <c r="B100" s="25" t="s">
        <v>140</v>
      </c>
      <c r="C100" s="49">
        <f>AVERAGE('18.10 MASAKA-MBARARA-24H'!C100,'19.10 MASAKA-MBARARA-24H'!C100)</f>
        <v>2</v>
      </c>
      <c r="D100" s="49">
        <f>AVERAGE('18.10 MASAKA-MBARARA-24H'!D100,'19.10 MASAKA-MBARARA-24H'!D100)</f>
        <v>0.5</v>
      </c>
      <c r="E100" s="49">
        <f>AVERAGE('18.10 MASAKA-MBARARA-24H'!E100,'19.10 MASAKA-MBARARA-24H'!E100)</f>
        <v>0</v>
      </c>
      <c r="F100" s="49">
        <f>AVERAGE('18.10 MASAKA-MBARARA-24H'!F100,'19.10 MASAKA-MBARARA-24H'!F100)</f>
        <v>2</v>
      </c>
      <c r="G100" s="49">
        <f>AVERAGE('18.10 MASAKA-MBARARA-24H'!G100,'19.10 MASAKA-MBARARA-24H'!G100)</f>
        <v>0</v>
      </c>
      <c r="H100" s="49">
        <f>AVERAGE('18.10 MASAKA-MBARARA-24H'!H100,'19.10 MASAKA-MBARARA-24H'!H100)</f>
        <v>1.5</v>
      </c>
      <c r="I100" s="49">
        <f>AVERAGE('18.10 MASAKA-MBARARA-24H'!I100,'19.10 MASAKA-MBARARA-24H'!I100)</f>
        <v>0</v>
      </c>
      <c r="J100" s="49">
        <f>AVERAGE('18.10 MASAKA-MBARARA-24H'!J100,'19.10 MASAKA-MBARARA-24H'!J100)</f>
        <v>4</v>
      </c>
      <c r="K100" s="49">
        <f>AVERAGE('18.10 MASAKA-MBARARA-24H'!K100,'19.10 MASAKA-MBARARA-24H'!K100)</f>
        <v>2.5</v>
      </c>
      <c r="L100" s="49">
        <f>AVERAGE('18.10 MASAKA-MBARARA-24H'!L100,'19.10 MASAKA-MBARARA-24H'!L100)</f>
        <v>0</v>
      </c>
      <c r="M100" s="49">
        <f>AVERAGE('18.10 MASAKA-MBARARA-24H'!M100,'19.10 MASAKA-MBARARA-24H'!M100)</f>
        <v>1.5</v>
      </c>
      <c r="N100" s="49">
        <f>AVERAGE('18.10 MASAKA-MBARARA-24H'!N100,'19.10 MASAKA-MBARARA-24H'!N100)</f>
        <v>0</v>
      </c>
      <c r="O100" s="15">
        <f t="shared" si="35"/>
        <v>12.5</v>
      </c>
      <c r="P100" s="15">
        <f t="shared" si="36"/>
        <v>14</v>
      </c>
      <c r="R100" s="8"/>
      <c r="T100"/>
    </row>
    <row r="101" spans="2:20" ht="23.1" customHeight="1" x14ac:dyDescent="0.25">
      <c r="B101" s="23" t="s">
        <v>141</v>
      </c>
      <c r="C101" s="49">
        <f>AVERAGE('18.10 MASAKA-MBARARA-24H'!C101,'19.10 MASAKA-MBARARA-24H'!C101)</f>
        <v>1</v>
      </c>
      <c r="D101" s="49">
        <f>AVERAGE('18.10 MASAKA-MBARARA-24H'!D101,'19.10 MASAKA-MBARARA-24H'!D101)</f>
        <v>0.5</v>
      </c>
      <c r="E101" s="49">
        <f>AVERAGE('18.10 MASAKA-MBARARA-24H'!E101,'19.10 MASAKA-MBARARA-24H'!E101)</f>
        <v>1.5</v>
      </c>
      <c r="F101" s="49">
        <f>AVERAGE('18.10 MASAKA-MBARARA-24H'!F101,'19.10 MASAKA-MBARARA-24H'!F101)</f>
        <v>0.5</v>
      </c>
      <c r="G101" s="49">
        <f>AVERAGE('18.10 MASAKA-MBARARA-24H'!G101,'19.10 MASAKA-MBARARA-24H'!G101)</f>
        <v>0</v>
      </c>
      <c r="H101" s="49">
        <f>AVERAGE('18.10 MASAKA-MBARARA-24H'!H101,'19.10 MASAKA-MBARARA-24H'!H101)</f>
        <v>0</v>
      </c>
      <c r="I101" s="49">
        <f>AVERAGE('18.10 MASAKA-MBARARA-24H'!I101,'19.10 MASAKA-MBARARA-24H'!I101)</f>
        <v>0.5</v>
      </c>
      <c r="J101" s="49">
        <f>AVERAGE('18.10 MASAKA-MBARARA-24H'!J101,'19.10 MASAKA-MBARARA-24H'!J101)</f>
        <v>0.5</v>
      </c>
      <c r="K101" s="49">
        <f>AVERAGE('18.10 MASAKA-MBARARA-24H'!K101,'19.10 MASAKA-MBARARA-24H'!K101)</f>
        <v>0.5</v>
      </c>
      <c r="L101" s="49">
        <f>AVERAGE('18.10 MASAKA-MBARARA-24H'!L101,'19.10 MASAKA-MBARARA-24H'!L101)</f>
        <v>0</v>
      </c>
      <c r="M101" s="49">
        <f>AVERAGE('18.10 MASAKA-MBARARA-24H'!M101,'19.10 MASAKA-MBARARA-24H'!M101)</f>
        <v>0.5</v>
      </c>
      <c r="N101" s="49">
        <f>AVERAGE('18.10 MASAKA-MBARARA-24H'!N101,'19.10 MASAKA-MBARARA-24H'!N101)</f>
        <v>0</v>
      </c>
      <c r="O101" s="15">
        <f t="shared" si="35"/>
        <v>5</v>
      </c>
      <c r="P101" s="15">
        <f t="shared" si="36"/>
        <v>5.5</v>
      </c>
      <c r="R101" s="8"/>
      <c r="T101"/>
    </row>
    <row r="102" spans="2:20" ht="23.1" customHeight="1" x14ac:dyDescent="0.25">
      <c r="B102" s="24" t="s">
        <v>142</v>
      </c>
      <c r="C102" s="49">
        <f>AVERAGE('18.10 MASAKA-MBARARA-24H'!C102,'19.10 MASAKA-MBARARA-24H'!C102)</f>
        <v>2</v>
      </c>
      <c r="D102" s="49">
        <f>AVERAGE('18.10 MASAKA-MBARARA-24H'!D102,'19.10 MASAKA-MBARARA-24H'!D102)</f>
        <v>0</v>
      </c>
      <c r="E102" s="49">
        <f>AVERAGE('18.10 MASAKA-MBARARA-24H'!E102,'19.10 MASAKA-MBARARA-24H'!E102)</f>
        <v>0</v>
      </c>
      <c r="F102" s="49">
        <f>AVERAGE('18.10 MASAKA-MBARARA-24H'!F102,'19.10 MASAKA-MBARARA-24H'!F102)</f>
        <v>0</v>
      </c>
      <c r="G102" s="49">
        <f>AVERAGE('18.10 MASAKA-MBARARA-24H'!G102,'19.10 MASAKA-MBARARA-24H'!G102)</f>
        <v>0</v>
      </c>
      <c r="H102" s="49">
        <f>AVERAGE('18.10 MASAKA-MBARARA-24H'!H102,'19.10 MASAKA-MBARARA-24H'!H102)</f>
        <v>0</v>
      </c>
      <c r="I102" s="49">
        <f>AVERAGE('18.10 MASAKA-MBARARA-24H'!I102,'19.10 MASAKA-MBARARA-24H'!I102)</f>
        <v>0</v>
      </c>
      <c r="J102" s="49">
        <f>AVERAGE('18.10 MASAKA-MBARARA-24H'!J102,'19.10 MASAKA-MBARARA-24H'!J102)</f>
        <v>1</v>
      </c>
      <c r="K102" s="49">
        <f>AVERAGE('18.10 MASAKA-MBARARA-24H'!K102,'19.10 MASAKA-MBARARA-24H'!K102)</f>
        <v>0.5</v>
      </c>
      <c r="L102" s="49">
        <f>AVERAGE('18.10 MASAKA-MBARARA-24H'!L102,'19.10 MASAKA-MBARARA-24H'!L102)</f>
        <v>0</v>
      </c>
      <c r="M102" s="49">
        <f>AVERAGE('18.10 MASAKA-MBARARA-24H'!M102,'19.10 MASAKA-MBARARA-24H'!M102)</f>
        <v>0.5</v>
      </c>
      <c r="N102" s="49">
        <f>AVERAGE('18.10 MASAKA-MBARARA-24H'!N102,'19.10 MASAKA-MBARARA-24H'!N102)</f>
        <v>0</v>
      </c>
      <c r="O102" s="15">
        <f t="shared" si="35"/>
        <v>3.5</v>
      </c>
      <c r="P102" s="15">
        <f t="shared" si="36"/>
        <v>4</v>
      </c>
      <c r="R102" s="8"/>
      <c r="T102"/>
    </row>
    <row r="103" spans="2:20" ht="23.1" customHeight="1" x14ac:dyDescent="0.25">
      <c r="B103" s="23" t="s">
        <v>143</v>
      </c>
      <c r="C103" s="49">
        <f>AVERAGE('18.10 MASAKA-MBARARA-24H'!C103,'19.10 MASAKA-MBARARA-24H'!C103)</f>
        <v>4.5</v>
      </c>
      <c r="D103" s="49">
        <f>AVERAGE('18.10 MASAKA-MBARARA-24H'!D103,'19.10 MASAKA-MBARARA-24H'!D103)</f>
        <v>1</v>
      </c>
      <c r="E103" s="49">
        <f>AVERAGE('18.10 MASAKA-MBARARA-24H'!E103,'19.10 MASAKA-MBARARA-24H'!E103)</f>
        <v>0.5</v>
      </c>
      <c r="F103" s="49">
        <f>AVERAGE('18.10 MASAKA-MBARARA-24H'!F103,'19.10 MASAKA-MBARARA-24H'!F103)</f>
        <v>1</v>
      </c>
      <c r="G103" s="49">
        <f>AVERAGE('18.10 MASAKA-MBARARA-24H'!G103,'19.10 MASAKA-MBARARA-24H'!G103)</f>
        <v>0</v>
      </c>
      <c r="H103" s="49">
        <f>AVERAGE('18.10 MASAKA-MBARARA-24H'!H103,'19.10 MASAKA-MBARARA-24H'!H103)</f>
        <v>0</v>
      </c>
      <c r="I103" s="49">
        <f>AVERAGE('18.10 MASAKA-MBARARA-24H'!I103,'19.10 MASAKA-MBARARA-24H'!I103)</f>
        <v>1.5</v>
      </c>
      <c r="J103" s="49">
        <f>AVERAGE('18.10 MASAKA-MBARARA-24H'!J103,'19.10 MASAKA-MBARARA-24H'!J103)</f>
        <v>1.5</v>
      </c>
      <c r="K103" s="49">
        <f>AVERAGE('18.10 MASAKA-MBARARA-24H'!K103,'19.10 MASAKA-MBARARA-24H'!K103)</f>
        <v>4.5</v>
      </c>
      <c r="L103" s="49">
        <f>AVERAGE('18.10 MASAKA-MBARARA-24H'!L103,'19.10 MASAKA-MBARARA-24H'!L103)</f>
        <v>0</v>
      </c>
      <c r="M103" s="49">
        <f>AVERAGE('18.10 MASAKA-MBARARA-24H'!M103,'19.10 MASAKA-MBARARA-24H'!M103)</f>
        <v>1.5</v>
      </c>
      <c r="N103" s="49">
        <f>AVERAGE('18.10 MASAKA-MBARARA-24H'!N103,'19.10 MASAKA-MBARARA-24H'!N103)</f>
        <v>0</v>
      </c>
      <c r="O103" s="15">
        <f t="shared" si="35"/>
        <v>14.5</v>
      </c>
      <c r="P103" s="15">
        <f t="shared" si="36"/>
        <v>16</v>
      </c>
      <c r="R103" s="8"/>
      <c r="T103"/>
    </row>
    <row r="104" spans="2:20" ht="23.1" customHeight="1" x14ac:dyDescent="0.25">
      <c r="B104" s="25" t="s">
        <v>144</v>
      </c>
      <c r="C104" s="49">
        <f>AVERAGE('18.10 MASAKA-MBARARA-24H'!C104,'19.10 MASAKA-MBARARA-24H'!C104)</f>
        <v>4.5</v>
      </c>
      <c r="D104" s="49">
        <f>AVERAGE('18.10 MASAKA-MBARARA-24H'!D104,'19.10 MASAKA-MBARARA-24H'!D104)</f>
        <v>0</v>
      </c>
      <c r="E104" s="49">
        <f>AVERAGE('18.10 MASAKA-MBARARA-24H'!E104,'19.10 MASAKA-MBARARA-24H'!E104)</f>
        <v>0</v>
      </c>
      <c r="F104" s="49">
        <f>AVERAGE('18.10 MASAKA-MBARARA-24H'!F104,'19.10 MASAKA-MBARARA-24H'!F104)</f>
        <v>1.5</v>
      </c>
      <c r="G104" s="49">
        <f>AVERAGE('18.10 MASAKA-MBARARA-24H'!G104,'19.10 MASAKA-MBARARA-24H'!G104)</f>
        <v>0</v>
      </c>
      <c r="H104" s="49">
        <f>AVERAGE('18.10 MASAKA-MBARARA-24H'!H104,'19.10 MASAKA-MBARARA-24H'!H104)</f>
        <v>0.5</v>
      </c>
      <c r="I104" s="49">
        <f>AVERAGE('18.10 MASAKA-MBARARA-24H'!I104,'19.10 MASAKA-MBARARA-24H'!I104)</f>
        <v>1.5</v>
      </c>
      <c r="J104" s="49">
        <f>AVERAGE('18.10 MASAKA-MBARARA-24H'!J104,'19.10 MASAKA-MBARARA-24H'!J104)</f>
        <v>0</v>
      </c>
      <c r="K104" s="49">
        <f>AVERAGE('18.10 MASAKA-MBARARA-24H'!K104,'19.10 MASAKA-MBARARA-24H'!K104)</f>
        <v>3</v>
      </c>
      <c r="L104" s="49">
        <f>AVERAGE('18.10 MASAKA-MBARARA-24H'!L104,'19.10 MASAKA-MBARARA-24H'!L104)</f>
        <v>0</v>
      </c>
      <c r="M104" s="49">
        <f>AVERAGE('18.10 MASAKA-MBARARA-24H'!M104,'19.10 MASAKA-MBARARA-24H'!M104)</f>
        <v>4.5</v>
      </c>
      <c r="N104" s="49">
        <f>AVERAGE('18.10 MASAKA-MBARARA-24H'!N104,'19.10 MASAKA-MBARARA-24H'!N104)</f>
        <v>0</v>
      </c>
      <c r="O104" s="15">
        <f t="shared" si="35"/>
        <v>11</v>
      </c>
      <c r="P104" s="15">
        <f t="shared" si="36"/>
        <v>15.5</v>
      </c>
      <c r="R104" s="8"/>
      <c r="T104"/>
    </row>
    <row r="105" spans="2:20" ht="23.1" customHeight="1" x14ac:dyDescent="0.25">
      <c r="B105" s="23" t="s">
        <v>145</v>
      </c>
      <c r="C105" s="49">
        <f>AVERAGE('18.10 MASAKA-MBARARA-24H'!C105,'19.10 MASAKA-MBARARA-24H'!C105)</f>
        <v>4</v>
      </c>
      <c r="D105" s="49">
        <f>AVERAGE('18.10 MASAKA-MBARARA-24H'!D105,'19.10 MASAKA-MBARARA-24H'!D105)</f>
        <v>0.5</v>
      </c>
      <c r="E105" s="49">
        <f>AVERAGE('18.10 MASAKA-MBARARA-24H'!E105,'19.10 MASAKA-MBARARA-24H'!E105)</f>
        <v>2.5</v>
      </c>
      <c r="F105" s="49">
        <f>AVERAGE('18.10 MASAKA-MBARARA-24H'!F105,'19.10 MASAKA-MBARARA-24H'!F105)</f>
        <v>2</v>
      </c>
      <c r="G105" s="49">
        <f>AVERAGE('18.10 MASAKA-MBARARA-24H'!G105,'19.10 MASAKA-MBARARA-24H'!G105)</f>
        <v>0</v>
      </c>
      <c r="H105" s="49">
        <f>AVERAGE('18.10 MASAKA-MBARARA-24H'!H105,'19.10 MASAKA-MBARARA-24H'!H105)</f>
        <v>0.5</v>
      </c>
      <c r="I105" s="49">
        <f>AVERAGE('18.10 MASAKA-MBARARA-24H'!I105,'19.10 MASAKA-MBARARA-24H'!I105)</f>
        <v>2.5</v>
      </c>
      <c r="J105" s="49">
        <f>AVERAGE('18.10 MASAKA-MBARARA-24H'!J105,'19.10 MASAKA-MBARARA-24H'!J105)</f>
        <v>1.5</v>
      </c>
      <c r="K105" s="49">
        <f>AVERAGE('18.10 MASAKA-MBARARA-24H'!K105,'19.10 MASAKA-MBARARA-24H'!K105)</f>
        <v>3.5</v>
      </c>
      <c r="L105" s="49">
        <f>AVERAGE('18.10 MASAKA-MBARARA-24H'!L105,'19.10 MASAKA-MBARARA-24H'!L105)</f>
        <v>0</v>
      </c>
      <c r="M105" s="49">
        <f>AVERAGE('18.10 MASAKA-MBARARA-24H'!M105,'19.10 MASAKA-MBARARA-24H'!M105)</f>
        <v>9.5</v>
      </c>
      <c r="N105" s="49">
        <f>AVERAGE('18.10 MASAKA-MBARARA-24H'!N105,'19.10 MASAKA-MBARARA-24H'!N105)</f>
        <v>0</v>
      </c>
      <c r="O105" s="15">
        <f t="shared" si="35"/>
        <v>17</v>
      </c>
      <c r="P105" s="15">
        <f t="shared" si="36"/>
        <v>26.5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605.14285714285711</v>
      </c>
      <c r="D106" s="16">
        <f t="shared" ref="D106:P106" si="37">SUM(D10:D105)</f>
        <v>229.71428571428567</v>
      </c>
      <c r="E106" s="16">
        <f t="shared" si="37"/>
        <v>152.64285714285711</v>
      </c>
      <c r="F106" s="16">
        <f t="shared" si="37"/>
        <v>285.71428571428567</v>
      </c>
      <c r="G106" s="16">
        <f t="shared" si="37"/>
        <v>19.000000000000004</v>
      </c>
      <c r="H106" s="16">
        <f t="shared" si="37"/>
        <v>121.85714285714285</v>
      </c>
      <c r="I106" s="16">
        <f t="shared" si="37"/>
        <v>171.78571428571428</v>
      </c>
      <c r="J106" s="16">
        <f t="shared" si="37"/>
        <v>187.85714285714289</v>
      </c>
      <c r="K106" s="16">
        <f t="shared" si="37"/>
        <v>213</v>
      </c>
      <c r="L106" s="16">
        <f t="shared" si="37"/>
        <v>32.857142857142861</v>
      </c>
      <c r="M106" s="16">
        <f t="shared" si="37"/>
        <v>747.42857142857133</v>
      </c>
      <c r="N106" s="16">
        <f t="shared" si="37"/>
        <v>0.14285714285714285</v>
      </c>
      <c r="O106" s="16">
        <f t="shared" si="37"/>
        <v>2019.714285714286</v>
      </c>
      <c r="P106" s="16">
        <f t="shared" si="37"/>
        <v>2767.1428571428569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0.2186886938564791</v>
      </c>
      <c r="D107" s="43">
        <f t="shared" si="38"/>
        <v>8.3014971605575624E-2</v>
      </c>
      <c r="E107" s="43">
        <f t="shared" si="38"/>
        <v>5.5162622612287035E-2</v>
      </c>
      <c r="F107" s="43">
        <f t="shared" si="38"/>
        <v>0.10325245224574083</v>
      </c>
      <c r="G107" s="43">
        <f t="shared" si="38"/>
        <v>6.8662880743417679E-3</v>
      </c>
      <c r="H107" s="43">
        <f t="shared" si="38"/>
        <v>4.4037170882808466E-2</v>
      </c>
      <c r="I107" s="43">
        <f t="shared" si="38"/>
        <v>6.2080536912751678E-2</v>
      </c>
      <c r="J107" s="43">
        <f t="shared" si="38"/>
        <v>6.7888487351574614E-2</v>
      </c>
      <c r="K107" s="43">
        <f t="shared" si="38"/>
        <v>7.6974703149199797E-2</v>
      </c>
      <c r="L107" s="43">
        <f t="shared" si="38"/>
        <v>1.1874032008260199E-2</v>
      </c>
      <c r="M107" s="43">
        <f t="shared" si="38"/>
        <v>0.270108415074858</v>
      </c>
      <c r="N107" s="43">
        <f t="shared" si="38"/>
        <v>5.1626226122870418E-5</v>
      </c>
      <c r="R107" s="8"/>
      <c r="T107"/>
    </row>
    <row r="108" spans="2:20" ht="23.1" customHeight="1" x14ac:dyDescent="0.25">
      <c r="B108" s="42" t="s">
        <v>94</v>
      </c>
      <c r="C108" s="44">
        <f t="shared" ref="C108:L108" si="39">C106/$O$106</f>
        <v>0.29961805064365532</v>
      </c>
      <c r="D108" s="44">
        <f t="shared" si="39"/>
        <v>0.11373603055594847</v>
      </c>
      <c r="E108" s="44">
        <f t="shared" si="39"/>
        <v>7.5576460602631179E-2</v>
      </c>
      <c r="F108" s="44">
        <f t="shared" si="39"/>
        <v>0.1414627245720752</v>
      </c>
      <c r="G108" s="44">
        <f t="shared" si="39"/>
        <v>9.4072711840430048E-3</v>
      </c>
      <c r="H108" s="44">
        <f t="shared" si="39"/>
        <v>6.0333852029990087E-2</v>
      </c>
      <c r="I108" s="44">
        <f t="shared" si="39"/>
        <v>8.505446314896023E-2</v>
      </c>
      <c r="J108" s="44">
        <f t="shared" si="39"/>
        <v>9.3011741406139478E-2</v>
      </c>
      <c r="K108" s="44">
        <f t="shared" si="39"/>
        <v>0.10546046116848209</v>
      </c>
      <c r="L108" s="44">
        <f t="shared" si="39"/>
        <v>1.6268213325788653E-2</v>
      </c>
      <c r="M108" s="44"/>
      <c r="N108" s="44">
        <f>N106/$O$106</f>
        <v>7.073136228603762E-5</v>
      </c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R111" s="8"/>
      <c r="T111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R112" s="8"/>
      <c r="T112"/>
    </row>
    <row r="113" spans="2:20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R113" s="8"/>
      <c r="T113"/>
    </row>
    <row r="114" spans="2:20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R114" s="8"/>
      <c r="T114"/>
    </row>
    <row r="115" spans="2:20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R115" s="8"/>
      <c r="T115"/>
    </row>
    <row r="116" spans="2:20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R116" s="8"/>
      <c r="T116"/>
    </row>
    <row r="117" spans="2:20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Q117" s="7"/>
      <c r="R117" s="8"/>
      <c r="T117"/>
    </row>
    <row r="118" spans="2:20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Q118" s="7"/>
      <c r="R118" s="8"/>
      <c r="T118"/>
    </row>
    <row r="119" spans="2:20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Q119" s="7"/>
      <c r="R119" s="8"/>
      <c r="T119"/>
    </row>
    <row r="120" spans="2:20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Q120" s="7"/>
    </row>
    <row r="121" spans="2:20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Q121" s="7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S128" s="8"/>
      <c r="T128" s="8"/>
    </row>
    <row r="129" spans="2:20" s="7" customFormat="1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/>
      <c r="P129"/>
      <c r="S129" s="8"/>
      <c r="T129" s="8"/>
    </row>
    <row r="130" spans="2:20" s="7" customFormat="1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/>
      <c r="P130"/>
      <c r="S130" s="8"/>
      <c r="T130" s="8"/>
    </row>
    <row r="131" spans="2:20" s="7" customFormat="1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/>
      <c r="P131"/>
      <c r="S131" s="8"/>
      <c r="T131" s="8"/>
    </row>
    <row r="132" spans="2:20" s="7" customFormat="1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/>
      <c r="P132"/>
      <c r="S132" s="8"/>
      <c r="T132" s="8"/>
    </row>
    <row r="133" spans="2:20" s="7" customFormat="1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/>
      <c r="P133"/>
      <c r="S133" s="8"/>
      <c r="T133" s="8"/>
    </row>
    <row r="134" spans="2:20" s="7" customFormat="1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/>
      <c r="P134"/>
      <c r="Q134"/>
      <c r="S134" s="8"/>
      <c r="T134" s="8"/>
    </row>
    <row r="135" spans="2:20" s="7" customFormat="1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/>
      <c r="P135"/>
      <c r="Q135"/>
      <c r="S135" s="8"/>
      <c r="T135" s="8"/>
    </row>
    <row r="136" spans="2:20" s="7" customFormat="1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/>
      <c r="P136"/>
      <c r="Q136"/>
      <c r="S136" s="8"/>
      <c r="T136" s="8"/>
    </row>
    <row r="137" spans="2:20" s="7" customFormat="1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/>
      <c r="P137"/>
      <c r="Q137"/>
      <c r="S137" s="8"/>
      <c r="T137" s="8"/>
    </row>
    <row r="138" spans="2:20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20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20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20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20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20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20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0.10000000000000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2.5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O70" zoomScale="60" workbookViewId="0">
      <selection activeCell="W100" sqref="W10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3" t="s">
        <v>23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 spans="2:32" ht="20.100000000000001" customHeight="1" x14ac:dyDescent="0.25">
      <c r="B2" s="74" t="s">
        <v>95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</row>
    <row r="3" spans="2:32" ht="20.100000000000001" customHeight="1" x14ac:dyDescent="0.25">
      <c r="B3" s="22" t="s">
        <v>96</v>
      </c>
      <c r="C3" s="75" t="str">
        <f>'17.10 MBARARA-MASAKA'!C3:G3</f>
        <v>MASAKA-MBARARA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81" t="s">
        <v>162</v>
      </c>
      <c r="E5" s="82"/>
      <c r="F5" s="41" t="s">
        <v>1</v>
      </c>
      <c r="G5" s="71" t="str">
        <f>'17.10 MBARARA-MASAKA'!G5:H5</f>
        <v>KINONI</v>
      </c>
      <c r="H5" s="72"/>
      <c r="I5" s="14"/>
      <c r="J5" s="2" t="s">
        <v>5</v>
      </c>
      <c r="K5" s="71" t="s">
        <v>185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'17.10 MBARARA-MASAKA'!D6:E6</f>
        <v>MBARARA</v>
      </c>
      <c r="E6" s="72"/>
      <c r="F6" s="2" t="s">
        <v>2</v>
      </c>
      <c r="G6" s="71" t="str">
        <f>'17.10 MBARARA-MASAKA'!G6:H6</f>
        <v>MASAKA</v>
      </c>
      <c r="H6" s="72"/>
      <c r="J6" s="2" t="s">
        <v>21</v>
      </c>
      <c r="K6" s="71" t="str">
        <f>'17.10 MBARARA-MASAKA'!K6:L6</f>
        <v>SANDRA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52" t="s">
        <v>19</v>
      </c>
      <c r="S9" s="54" t="s">
        <v>24</v>
      </c>
      <c r="T9" s="54" t="s">
        <v>25</v>
      </c>
      <c r="U9" s="54" t="s">
        <v>26</v>
      </c>
      <c r="V9" s="54" t="s">
        <v>27</v>
      </c>
      <c r="W9" s="54" t="s">
        <v>28</v>
      </c>
      <c r="X9" s="54" t="s">
        <v>29</v>
      </c>
      <c r="Y9" s="54" t="s">
        <v>30</v>
      </c>
      <c r="Z9" s="54" t="s">
        <v>31</v>
      </c>
      <c r="AA9" s="54" t="s">
        <v>32</v>
      </c>
      <c r="AB9" s="54" t="s">
        <v>33</v>
      </c>
      <c r="AC9" s="54" t="s">
        <v>34</v>
      </c>
      <c r="AD9" s="54" t="s">
        <v>35</v>
      </c>
      <c r="AE9" s="55" t="s">
        <v>89</v>
      </c>
      <c r="AF9" s="55" t="s">
        <v>22</v>
      </c>
    </row>
    <row r="10" spans="2:32" ht="23.1" customHeight="1" x14ac:dyDescent="0.25">
      <c r="B10" s="23" t="s">
        <v>37</v>
      </c>
      <c r="C10" s="49">
        <f>AVERAGE('17.10 MBARARA-MASAKA'!C10,'18.10 MBARARA-MASAKA-24H'!C10,'19.10 MBARARA-MASAKA-24H'!C10,'20.10 MBARARA-MASAKA'!C10,'21.10 MBARARA- MASAKA'!C10,'22.10 MBARARA-MASAKA'!C10,'23.10 MBARARA-MASAKA'!C10)</f>
        <v>3.5714285714285716</v>
      </c>
      <c r="D10" s="49">
        <f>AVERAGE('17.10 MBARARA-MASAKA'!D10,'18.10 MBARARA-MASAKA-24H'!D10,'19.10 MBARARA-MASAKA-24H'!D10,'20.10 MBARARA-MASAKA'!D10,'21.10 MBARARA- MASAKA'!D10,'22.10 MBARARA-MASAKA'!D10,'23.10 MBARARA-MASAKA'!D10)</f>
        <v>1.1428571428571428</v>
      </c>
      <c r="E10" s="49">
        <f>AVERAGE('17.10 MBARARA-MASAKA'!E10,'18.10 MBARARA-MASAKA-24H'!E10,'19.10 MBARARA-MASAKA-24H'!E10,'20.10 MBARARA-MASAKA'!E10,'21.10 MBARARA- MASAKA'!E10,'22.10 MBARARA-MASAKA'!E10,'23.10 MBARARA-MASAKA'!E10)</f>
        <v>1.1428571428571428</v>
      </c>
      <c r="F10" s="49">
        <f>AVERAGE('17.10 MBARARA-MASAKA'!F10,'18.10 MBARARA-MASAKA-24H'!F10,'19.10 MBARARA-MASAKA-24H'!F10,'20.10 MBARARA-MASAKA'!F10,'21.10 MBARARA- MASAKA'!F10,'22.10 MBARARA-MASAKA'!F10,'23.10 MBARARA-MASAKA'!F10)</f>
        <v>3</v>
      </c>
      <c r="G10" s="49">
        <f>AVERAGE('17.10 MBARARA-MASAKA'!G10,'18.10 MBARARA-MASAKA-24H'!G10,'19.10 MBARARA-MASAKA-24H'!G10,'20.10 MBARARA-MASAKA'!G10,'21.10 MBARARA- MASAKA'!G10,'22.10 MBARARA-MASAKA'!G10,'23.10 MBARARA-MASAKA'!G10)</f>
        <v>0.14285714285714285</v>
      </c>
      <c r="H10" s="49">
        <f>AVERAGE('17.10 MBARARA-MASAKA'!H10,'18.10 MBARARA-MASAKA-24H'!H10,'19.10 MBARARA-MASAKA-24H'!H10,'20.10 MBARARA-MASAKA'!H10,'21.10 MBARARA- MASAKA'!H10,'22.10 MBARARA-MASAKA'!H10,'23.10 MBARARA-MASAKA'!H10)</f>
        <v>0.2857142857142857</v>
      </c>
      <c r="I10" s="49">
        <f>AVERAGE('17.10 MBARARA-MASAKA'!I10,'18.10 MBARARA-MASAKA-24H'!I10,'19.10 MBARARA-MASAKA-24H'!I10,'20.10 MBARARA-MASAKA'!I10,'21.10 MBARARA- MASAKA'!I10,'22.10 MBARARA-MASAKA'!I10,'23.10 MBARARA-MASAKA'!I10)</f>
        <v>0.14285714285714285</v>
      </c>
      <c r="J10" s="49">
        <f>AVERAGE('17.10 MBARARA-MASAKA'!J10,'18.10 MBARARA-MASAKA-24H'!J10,'19.10 MBARARA-MASAKA-24H'!J10,'20.10 MBARARA-MASAKA'!J10,'21.10 MBARARA- MASAKA'!J10,'22.10 MBARARA-MASAKA'!J10,'23.10 MBARARA-MASAKA'!J10)</f>
        <v>0.2857142857142857</v>
      </c>
      <c r="K10" s="49">
        <f>AVERAGE('17.10 MBARARA-MASAKA'!K10,'18.10 MBARARA-MASAKA-24H'!K10,'19.10 MBARARA-MASAKA-24H'!K10,'20.10 MBARARA-MASAKA'!K10,'21.10 MBARARA- MASAKA'!K10,'22.10 MBARARA-MASAKA'!K10,'23.10 MBARARA-MASAKA'!K10)</f>
        <v>1.2857142857142858</v>
      </c>
      <c r="L10" s="49">
        <f>AVERAGE('17.10 MBARARA-MASAKA'!L10,'18.10 MBARARA-MASAKA-24H'!L10,'19.10 MBARARA-MASAKA-24H'!L10,'20.10 MBARARA-MASAKA'!L10,'21.10 MBARARA- MASAKA'!L10,'22.10 MBARARA-MASAKA'!L10,'23.10 MBARARA-MASAKA'!L10)</f>
        <v>0.14285714285714285</v>
      </c>
      <c r="M10" s="49">
        <f>AVERAGE('17.10 MBARARA-MASAKA'!M10,'18.10 MBARARA-MASAKA-24H'!M10,'19.10 MBARARA-MASAKA-24H'!M10,'20.10 MBARARA-MASAKA'!M10,'21.10 MBARARA- MASAKA'!M10,'22.10 MBARARA-MASAKA'!M10,'23.10 MBARARA-MASAKA'!M10)</f>
        <v>14.285714285714286</v>
      </c>
      <c r="N10" s="49">
        <f>AVERAGE('17.10 MBARARA-MASAKA'!N10,'18.10 MBARARA-MASAKA-24H'!N10,'19.10 MBARARA-MASAKA-24H'!N10,'20.10 MBARARA-MASAKA'!N10,'21.10 MBARARA- MASAKA'!N10,'22.10 MBARARA-MASAKA'!N10,'23.10 MBARARA-MASAKA'!N10)</f>
        <v>0</v>
      </c>
      <c r="O10" s="15">
        <f t="shared" ref="O10:O73" si="0">SUM(C10:L10,N10)</f>
        <v>11.142857142857144</v>
      </c>
      <c r="P10" s="15">
        <f t="shared" ref="P10:P73" si="1">SUM(C10:N10)</f>
        <v>25.428571428571431</v>
      </c>
      <c r="R10" s="51" t="s">
        <v>6</v>
      </c>
      <c r="S10" s="53">
        <f t="shared" ref="S10:AF10" si="2">SUM(C10:C13)</f>
        <v>16.857142857142858</v>
      </c>
      <c r="T10" s="53">
        <f t="shared" si="2"/>
        <v>4.8571428571428577</v>
      </c>
      <c r="U10" s="53">
        <f t="shared" si="2"/>
        <v>3.5714285714285712</v>
      </c>
      <c r="V10" s="53">
        <f t="shared" si="2"/>
        <v>11</v>
      </c>
      <c r="W10" s="53">
        <f t="shared" si="2"/>
        <v>0.5714285714285714</v>
      </c>
      <c r="X10" s="53">
        <f t="shared" si="2"/>
        <v>1.4285714285714284</v>
      </c>
      <c r="Y10" s="53">
        <f t="shared" si="2"/>
        <v>2.5714285714285716</v>
      </c>
      <c r="Z10" s="53">
        <f t="shared" si="2"/>
        <v>2.4285714285714284</v>
      </c>
      <c r="AA10" s="53">
        <f t="shared" si="2"/>
        <v>6</v>
      </c>
      <c r="AB10" s="53">
        <f t="shared" si="2"/>
        <v>0.71428571428571419</v>
      </c>
      <c r="AC10" s="53">
        <f t="shared" si="2"/>
        <v>59.428571428571431</v>
      </c>
      <c r="AD10" s="53">
        <f t="shared" si="2"/>
        <v>0</v>
      </c>
      <c r="AE10" s="56">
        <f t="shared" si="2"/>
        <v>50</v>
      </c>
      <c r="AF10" s="56">
        <f t="shared" si="2"/>
        <v>109.42857142857144</v>
      </c>
    </row>
    <row r="11" spans="2:32" s="6" customFormat="1" ht="23.1" customHeight="1" x14ac:dyDescent="0.25">
      <c r="B11" s="23" t="s">
        <v>38</v>
      </c>
      <c r="C11" s="49">
        <f>AVERAGE('17.10 MBARARA-MASAKA'!C11,'18.10 MBARARA-MASAKA-24H'!C11,'19.10 MBARARA-MASAKA-24H'!C11,'20.10 MBARARA-MASAKA'!C11,'21.10 MBARARA- MASAKA'!C11,'22.10 MBARARA-MASAKA'!C11,'23.10 MBARARA-MASAKA'!C11)</f>
        <v>3.8571428571428572</v>
      </c>
      <c r="D11" s="49">
        <f>AVERAGE('17.10 MBARARA-MASAKA'!D11,'18.10 MBARARA-MASAKA-24H'!D11,'19.10 MBARARA-MASAKA-24H'!D11,'20.10 MBARARA-MASAKA'!D11,'21.10 MBARARA- MASAKA'!D11,'22.10 MBARARA-MASAKA'!D11,'23.10 MBARARA-MASAKA'!D11)</f>
        <v>1.2857142857142858</v>
      </c>
      <c r="E11" s="49">
        <f>AVERAGE('17.10 MBARARA-MASAKA'!E11,'18.10 MBARARA-MASAKA-24H'!E11,'19.10 MBARARA-MASAKA-24H'!E11,'20.10 MBARARA-MASAKA'!E11,'21.10 MBARARA- MASAKA'!E11,'22.10 MBARARA-MASAKA'!E11,'23.10 MBARARA-MASAKA'!E11)</f>
        <v>0.5714285714285714</v>
      </c>
      <c r="F11" s="49">
        <f>AVERAGE('17.10 MBARARA-MASAKA'!F11,'18.10 MBARARA-MASAKA-24H'!F11,'19.10 MBARARA-MASAKA-24H'!F11,'20.10 MBARARA-MASAKA'!F11,'21.10 MBARARA- MASAKA'!F11,'22.10 MBARARA-MASAKA'!F11,'23.10 MBARARA-MASAKA'!F11)</f>
        <v>3.4285714285714284</v>
      </c>
      <c r="G11" s="49">
        <f>AVERAGE('17.10 MBARARA-MASAKA'!G11,'18.10 MBARARA-MASAKA-24H'!G11,'19.10 MBARARA-MASAKA-24H'!G11,'20.10 MBARARA-MASAKA'!G11,'21.10 MBARARA- MASAKA'!G11,'22.10 MBARARA-MASAKA'!G11,'23.10 MBARARA-MASAKA'!G11)</f>
        <v>0</v>
      </c>
      <c r="H11" s="49">
        <f>AVERAGE('17.10 MBARARA-MASAKA'!H11,'18.10 MBARARA-MASAKA-24H'!H11,'19.10 MBARARA-MASAKA-24H'!H11,'20.10 MBARARA-MASAKA'!H11,'21.10 MBARARA- MASAKA'!H11,'22.10 MBARARA-MASAKA'!H11,'23.10 MBARARA-MASAKA'!H11)</f>
        <v>0.42857142857142855</v>
      </c>
      <c r="I11" s="49">
        <f>AVERAGE('17.10 MBARARA-MASAKA'!I11,'18.10 MBARARA-MASAKA-24H'!I11,'19.10 MBARARA-MASAKA-24H'!I11,'20.10 MBARARA-MASAKA'!I11,'21.10 MBARARA- MASAKA'!I11,'22.10 MBARARA-MASAKA'!I11,'23.10 MBARARA-MASAKA'!I11)</f>
        <v>0.8571428571428571</v>
      </c>
      <c r="J11" s="49">
        <f>AVERAGE('17.10 MBARARA-MASAKA'!J11,'18.10 MBARARA-MASAKA-24H'!J11,'19.10 MBARARA-MASAKA-24H'!J11,'20.10 MBARARA-MASAKA'!J11,'21.10 MBARARA- MASAKA'!J11,'22.10 MBARARA-MASAKA'!J11,'23.10 MBARARA-MASAKA'!J11)</f>
        <v>0.7142857142857143</v>
      </c>
      <c r="K11" s="49">
        <f>AVERAGE('17.10 MBARARA-MASAKA'!K11,'18.10 MBARARA-MASAKA-24H'!K11,'19.10 MBARARA-MASAKA-24H'!K11,'20.10 MBARARA-MASAKA'!K11,'21.10 MBARARA- MASAKA'!K11,'22.10 MBARARA-MASAKA'!K11,'23.10 MBARARA-MASAKA'!K11)</f>
        <v>2.1428571428571428</v>
      </c>
      <c r="L11" s="49">
        <f>AVERAGE('17.10 MBARARA-MASAKA'!L11,'18.10 MBARARA-MASAKA-24H'!L11,'19.10 MBARARA-MASAKA-24H'!L11,'20.10 MBARARA-MASAKA'!L11,'21.10 MBARARA- MASAKA'!L11,'22.10 MBARARA-MASAKA'!L11,'23.10 MBARARA-MASAKA'!L11)</f>
        <v>0.14285714285714285</v>
      </c>
      <c r="M11" s="49">
        <f>AVERAGE('17.10 MBARARA-MASAKA'!M11,'18.10 MBARARA-MASAKA-24H'!M11,'19.10 MBARARA-MASAKA-24H'!M11,'20.10 MBARARA-MASAKA'!M11,'21.10 MBARARA- MASAKA'!M11,'22.10 MBARARA-MASAKA'!M11,'23.10 MBARARA-MASAKA'!M11)</f>
        <v>16.714285714285715</v>
      </c>
      <c r="N11" s="49">
        <f>AVERAGE('17.10 MBARARA-MASAKA'!N11,'18.10 MBARARA-MASAKA-24H'!N11,'19.10 MBARARA-MASAKA-24H'!N11,'20.10 MBARARA-MASAKA'!N11,'21.10 MBARARA- MASAKA'!N11,'22.10 MBARARA-MASAKA'!N11,'23.10 MBARARA-MASAKA'!N11)</f>
        <v>0</v>
      </c>
      <c r="O11" s="15">
        <f t="shared" si="0"/>
        <v>13.428571428571427</v>
      </c>
      <c r="P11" s="15">
        <f t="shared" si="1"/>
        <v>30.142857142857142</v>
      </c>
      <c r="R11" s="51" t="s">
        <v>7</v>
      </c>
      <c r="S11" s="53">
        <f t="shared" ref="S11:AF11" si="3">SUM(C14:C17)</f>
        <v>18.857142857142854</v>
      </c>
      <c r="T11" s="53">
        <f t="shared" si="3"/>
        <v>8</v>
      </c>
      <c r="U11" s="53">
        <f t="shared" si="3"/>
        <v>5</v>
      </c>
      <c r="V11" s="53">
        <f t="shared" si="3"/>
        <v>15.857142857142858</v>
      </c>
      <c r="W11" s="53">
        <f t="shared" si="3"/>
        <v>0.14285714285714285</v>
      </c>
      <c r="X11" s="53">
        <f t="shared" si="3"/>
        <v>2.2857142857142856</v>
      </c>
      <c r="Y11" s="53">
        <f t="shared" si="3"/>
        <v>3.1428571428571428</v>
      </c>
      <c r="Z11" s="53">
        <f t="shared" si="3"/>
        <v>2.7142857142857144</v>
      </c>
      <c r="AA11" s="53">
        <f t="shared" si="3"/>
        <v>4.1428571428571423</v>
      </c>
      <c r="AB11" s="53">
        <f t="shared" si="3"/>
        <v>0.42857142857142855</v>
      </c>
      <c r="AC11" s="53">
        <f t="shared" si="3"/>
        <v>59.428571428571431</v>
      </c>
      <c r="AD11" s="53">
        <f t="shared" si="3"/>
        <v>0</v>
      </c>
      <c r="AE11" s="56">
        <f t="shared" si="3"/>
        <v>60.571428571428569</v>
      </c>
      <c r="AF11" s="56">
        <f t="shared" si="3"/>
        <v>120</v>
      </c>
    </row>
    <row r="12" spans="2:32" ht="23.1" customHeight="1" x14ac:dyDescent="0.25">
      <c r="B12" s="23" t="s">
        <v>39</v>
      </c>
      <c r="C12" s="49">
        <f>AVERAGE('17.10 MBARARA-MASAKA'!C12,'18.10 MBARARA-MASAKA-24H'!C12,'19.10 MBARARA-MASAKA-24H'!C12,'20.10 MBARARA-MASAKA'!C12,'21.10 MBARARA- MASAKA'!C12,'22.10 MBARARA-MASAKA'!C12,'23.10 MBARARA-MASAKA'!C12)</f>
        <v>3.8571428571428572</v>
      </c>
      <c r="D12" s="49">
        <f>AVERAGE('17.10 MBARARA-MASAKA'!D12,'18.10 MBARARA-MASAKA-24H'!D12,'19.10 MBARARA-MASAKA-24H'!D12,'20.10 MBARARA-MASAKA'!D12,'21.10 MBARARA- MASAKA'!D12,'22.10 MBARARA-MASAKA'!D12,'23.10 MBARARA-MASAKA'!D12)</f>
        <v>1.2857142857142858</v>
      </c>
      <c r="E12" s="49">
        <f>AVERAGE('17.10 MBARARA-MASAKA'!E12,'18.10 MBARARA-MASAKA-24H'!E12,'19.10 MBARARA-MASAKA-24H'!E12,'20.10 MBARARA-MASAKA'!E12,'21.10 MBARARA- MASAKA'!E12,'22.10 MBARARA-MASAKA'!E12,'23.10 MBARARA-MASAKA'!E12)</f>
        <v>0.42857142857142855</v>
      </c>
      <c r="F12" s="49">
        <f>AVERAGE('17.10 MBARARA-MASAKA'!F12,'18.10 MBARARA-MASAKA-24H'!F12,'19.10 MBARARA-MASAKA-24H'!F12,'20.10 MBARARA-MASAKA'!F12,'21.10 MBARARA- MASAKA'!F12,'22.10 MBARARA-MASAKA'!F12,'23.10 MBARARA-MASAKA'!F12)</f>
        <v>2.5714285714285716</v>
      </c>
      <c r="G12" s="49">
        <f>AVERAGE('17.10 MBARARA-MASAKA'!G12,'18.10 MBARARA-MASAKA-24H'!G12,'19.10 MBARARA-MASAKA-24H'!G12,'20.10 MBARARA-MASAKA'!G12,'21.10 MBARARA- MASAKA'!G12,'22.10 MBARARA-MASAKA'!G12,'23.10 MBARARA-MASAKA'!G12)</f>
        <v>0.14285714285714285</v>
      </c>
      <c r="H12" s="49">
        <f>AVERAGE('17.10 MBARARA-MASAKA'!H12,'18.10 MBARARA-MASAKA-24H'!H12,'19.10 MBARARA-MASAKA-24H'!H12,'20.10 MBARARA-MASAKA'!H12,'21.10 MBARARA- MASAKA'!H12,'22.10 MBARARA-MASAKA'!H12,'23.10 MBARARA-MASAKA'!H12)</f>
        <v>0.5714285714285714</v>
      </c>
      <c r="I12" s="49">
        <f>AVERAGE('17.10 MBARARA-MASAKA'!I12,'18.10 MBARARA-MASAKA-24H'!I12,'19.10 MBARARA-MASAKA-24H'!I12,'20.10 MBARARA-MASAKA'!I12,'21.10 MBARARA- MASAKA'!I12,'22.10 MBARARA-MASAKA'!I12,'23.10 MBARARA-MASAKA'!I12)</f>
        <v>0.7142857142857143</v>
      </c>
      <c r="J12" s="49">
        <f>AVERAGE('17.10 MBARARA-MASAKA'!J12,'18.10 MBARARA-MASAKA-24H'!J12,'19.10 MBARARA-MASAKA-24H'!J12,'20.10 MBARARA-MASAKA'!J12,'21.10 MBARARA- MASAKA'!J12,'22.10 MBARARA-MASAKA'!J12,'23.10 MBARARA-MASAKA'!J12)</f>
        <v>0.5714285714285714</v>
      </c>
      <c r="K12" s="49">
        <f>AVERAGE('17.10 MBARARA-MASAKA'!K12,'18.10 MBARARA-MASAKA-24H'!K12,'19.10 MBARARA-MASAKA-24H'!K12,'20.10 MBARARA-MASAKA'!K12,'21.10 MBARARA- MASAKA'!K12,'22.10 MBARARA-MASAKA'!K12,'23.10 MBARARA-MASAKA'!K12)</f>
        <v>1.2857142857142858</v>
      </c>
      <c r="L12" s="49">
        <f>AVERAGE('17.10 MBARARA-MASAKA'!L12,'18.10 MBARARA-MASAKA-24H'!L12,'19.10 MBARARA-MASAKA-24H'!L12,'20.10 MBARARA-MASAKA'!L12,'21.10 MBARARA- MASAKA'!L12,'22.10 MBARARA-MASAKA'!L12,'23.10 MBARARA-MASAKA'!L12)</f>
        <v>0.42857142857142855</v>
      </c>
      <c r="M12" s="49">
        <f>AVERAGE('17.10 MBARARA-MASAKA'!M12,'18.10 MBARARA-MASAKA-24H'!M12,'19.10 MBARARA-MASAKA-24H'!M12,'20.10 MBARARA-MASAKA'!M12,'21.10 MBARARA- MASAKA'!M12,'22.10 MBARARA-MASAKA'!M12,'23.10 MBARARA-MASAKA'!M12)</f>
        <v>15.285714285714286</v>
      </c>
      <c r="N12" s="49">
        <f>AVERAGE('17.10 MBARARA-MASAKA'!N12,'18.10 MBARARA-MASAKA-24H'!N12,'19.10 MBARARA-MASAKA-24H'!N12,'20.10 MBARARA-MASAKA'!N12,'21.10 MBARARA- MASAKA'!N12,'22.10 MBARARA-MASAKA'!N12,'23.10 MBARARA-MASAKA'!N12)</f>
        <v>0</v>
      </c>
      <c r="O12" s="15">
        <f t="shared" si="0"/>
        <v>11.857142857142858</v>
      </c>
      <c r="P12" s="15">
        <f t="shared" si="1"/>
        <v>27.142857142857146</v>
      </c>
      <c r="R12" s="51" t="s">
        <v>8</v>
      </c>
      <c r="S12" s="53">
        <f t="shared" ref="S12:AF12" si="4">SUM(C18:C21)</f>
        <v>21.714285714285715</v>
      </c>
      <c r="T12" s="53">
        <f t="shared" si="4"/>
        <v>10.142857142857142</v>
      </c>
      <c r="U12" s="53">
        <f t="shared" si="4"/>
        <v>6</v>
      </c>
      <c r="V12" s="53">
        <f t="shared" si="4"/>
        <v>19.142857142857146</v>
      </c>
      <c r="W12" s="53">
        <f t="shared" si="4"/>
        <v>0.2857142857142857</v>
      </c>
      <c r="X12" s="53">
        <f t="shared" si="4"/>
        <v>2</v>
      </c>
      <c r="Y12" s="53">
        <f t="shared" si="4"/>
        <v>4</v>
      </c>
      <c r="Z12" s="53">
        <f t="shared" si="4"/>
        <v>2.2857142857142856</v>
      </c>
      <c r="AA12" s="53">
        <f t="shared" si="4"/>
        <v>4.8571428571428568</v>
      </c>
      <c r="AB12" s="53">
        <f t="shared" si="4"/>
        <v>0.2857142857142857</v>
      </c>
      <c r="AC12" s="53">
        <f t="shared" si="4"/>
        <v>54.857142857142861</v>
      </c>
      <c r="AD12" s="53">
        <f t="shared" si="4"/>
        <v>0</v>
      </c>
      <c r="AE12" s="56">
        <f t="shared" si="4"/>
        <v>70.714285714285708</v>
      </c>
      <c r="AF12" s="56">
        <f t="shared" si="4"/>
        <v>125.57142857142856</v>
      </c>
    </row>
    <row r="13" spans="2:32" ht="23.1" customHeight="1" x14ac:dyDescent="0.25">
      <c r="B13" s="23" t="s">
        <v>40</v>
      </c>
      <c r="C13" s="49">
        <f>AVERAGE('17.10 MBARARA-MASAKA'!C13,'18.10 MBARARA-MASAKA-24H'!C13,'19.10 MBARARA-MASAKA-24H'!C13,'20.10 MBARARA-MASAKA'!C13,'21.10 MBARARA- MASAKA'!C13,'22.10 MBARARA-MASAKA'!C13,'23.10 MBARARA-MASAKA'!C13)</f>
        <v>5.5714285714285712</v>
      </c>
      <c r="D13" s="49">
        <f>AVERAGE('17.10 MBARARA-MASAKA'!D13,'18.10 MBARARA-MASAKA-24H'!D13,'19.10 MBARARA-MASAKA-24H'!D13,'20.10 MBARARA-MASAKA'!D13,'21.10 MBARARA- MASAKA'!D13,'22.10 MBARARA-MASAKA'!D13,'23.10 MBARARA-MASAKA'!D13)</f>
        <v>1.1428571428571428</v>
      </c>
      <c r="E13" s="49">
        <f>AVERAGE('17.10 MBARARA-MASAKA'!E13,'18.10 MBARARA-MASAKA-24H'!E13,'19.10 MBARARA-MASAKA-24H'!E13,'20.10 MBARARA-MASAKA'!E13,'21.10 MBARARA- MASAKA'!E13,'22.10 MBARARA-MASAKA'!E13,'23.10 MBARARA-MASAKA'!E13)</f>
        <v>1.4285714285714286</v>
      </c>
      <c r="F13" s="49">
        <f>AVERAGE('17.10 MBARARA-MASAKA'!F13,'18.10 MBARARA-MASAKA-24H'!F13,'19.10 MBARARA-MASAKA-24H'!F13,'20.10 MBARARA-MASAKA'!F13,'21.10 MBARARA- MASAKA'!F13,'22.10 MBARARA-MASAKA'!F13,'23.10 MBARARA-MASAKA'!F13)</f>
        <v>2</v>
      </c>
      <c r="G13" s="49">
        <f>AVERAGE('17.10 MBARARA-MASAKA'!G13,'18.10 MBARARA-MASAKA-24H'!G13,'19.10 MBARARA-MASAKA-24H'!G13,'20.10 MBARARA-MASAKA'!G13,'21.10 MBARARA- MASAKA'!G13,'22.10 MBARARA-MASAKA'!G13,'23.10 MBARARA-MASAKA'!G13)</f>
        <v>0.2857142857142857</v>
      </c>
      <c r="H13" s="49">
        <f>AVERAGE('17.10 MBARARA-MASAKA'!H13,'18.10 MBARARA-MASAKA-24H'!H13,'19.10 MBARARA-MASAKA-24H'!H13,'20.10 MBARARA-MASAKA'!H13,'21.10 MBARARA- MASAKA'!H13,'22.10 MBARARA-MASAKA'!H13,'23.10 MBARARA-MASAKA'!H13)</f>
        <v>0.14285714285714285</v>
      </c>
      <c r="I13" s="49">
        <f>AVERAGE('17.10 MBARARA-MASAKA'!I13,'18.10 MBARARA-MASAKA-24H'!I13,'19.10 MBARARA-MASAKA-24H'!I13,'20.10 MBARARA-MASAKA'!I13,'21.10 MBARARA- MASAKA'!I13,'22.10 MBARARA-MASAKA'!I13,'23.10 MBARARA-MASAKA'!I13)</f>
        <v>0.8571428571428571</v>
      </c>
      <c r="J13" s="49">
        <f>AVERAGE('17.10 MBARARA-MASAKA'!J13,'18.10 MBARARA-MASAKA-24H'!J13,'19.10 MBARARA-MASAKA-24H'!J13,'20.10 MBARARA-MASAKA'!J13,'21.10 MBARARA- MASAKA'!J13,'22.10 MBARARA-MASAKA'!J13,'23.10 MBARARA-MASAKA'!J13)</f>
        <v>0.8571428571428571</v>
      </c>
      <c r="K13" s="49">
        <f>AVERAGE('17.10 MBARARA-MASAKA'!K13,'18.10 MBARARA-MASAKA-24H'!K13,'19.10 MBARARA-MASAKA-24H'!K13,'20.10 MBARARA-MASAKA'!K13,'21.10 MBARARA- MASAKA'!K13,'22.10 MBARARA-MASAKA'!K13,'23.10 MBARARA-MASAKA'!K13)</f>
        <v>1.2857142857142858</v>
      </c>
      <c r="L13" s="49">
        <f>AVERAGE('17.10 MBARARA-MASAKA'!L13,'18.10 MBARARA-MASAKA-24H'!L13,'19.10 MBARARA-MASAKA-24H'!L13,'20.10 MBARARA-MASAKA'!L13,'21.10 MBARARA- MASAKA'!L13,'22.10 MBARARA-MASAKA'!L13,'23.10 MBARARA-MASAKA'!L13)</f>
        <v>0</v>
      </c>
      <c r="M13" s="49">
        <f>AVERAGE('17.10 MBARARA-MASAKA'!M13,'18.10 MBARARA-MASAKA-24H'!M13,'19.10 MBARARA-MASAKA-24H'!M13,'20.10 MBARARA-MASAKA'!M13,'21.10 MBARARA- MASAKA'!M13,'22.10 MBARARA-MASAKA'!M13,'23.10 MBARARA-MASAKA'!M13)</f>
        <v>13.142857142857142</v>
      </c>
      <c r="N13" s="49">
        <f>AVERAGE('17.10 MBARARA-MASAKA'!N13,'18.10 MBARARA-MASAKA-24H'!N13,'19.10 MBARARA-MASAKA-24H'!N13,'20.10 MBARARA-MASAKA'!N13,'21.10 MBARARA- MASAKA'!N13,'22.10 MBARARA-MASAKA'!N13,'23.10 MBARARA-MASAKA'!N13)</f>
        <v>0</v>
      </c>
      <c r="O13" s="15">
        <f t="shared" si="0"/>
        <v>13.571428571428573</v>
      </c>
      <c r="P13" s="15">
        <f t="shared" si="1"/>
        <v>26.714285714285715</v>
      </c>
      <c r="R13" s="51" t="s">
        <v>9</v>
      </c>
      <c r="S13" s="53">
        <f t="shared" ref="S13:AF13" si="5">SUM(C22:C25)</f>
        <v>28.714285714285715</v>
      </c>
      <c r="T13" s="53">
        <f t="shared" si="5"/>
        <v>11.857142857142858</v>
      </c>
      <c r="U13" s="53">
        <f t="shared" si="5"/>
        <v>6.5714285714285712</v>
      </c>
      <c r="V13" s="53">
        <f t="shared" si="5"/>
        <v>17.428571428571427</v>
      </c>
      <c r="W13" s="53">
        <f t="shared" si="5"/>
        <v>0.71428571428571419</v>
      </c>
      <c r="X13" s="53">
        <f t="shared" si="5"/>
        <v>4.4285714285714288</v>
      </c>
      <c r="Y13" s="53">
        <f t="shared" si="5"/>
        <v>4.8571428571428568</v>
      </c>
      <c r="Z13" s="53">
        <f t="shared" si="5"/>
        <v>3.1428571428571428</v>
      </c>
      <c r="AA13" s="53">
        <f t="shared" si="5"/>
        <v>5</v>
      </c>
      <c r="AB13" s="53">
        <f t="shared" si="5"/>
        <v>0.42857142857142855</v>
      </c>
      <c r="AC13" s="53">
        <f t="shared" si="5"/>
        <v>53.142857142857146</v>
      </c>
      <c r="AD13" s="53">
        <f t="shared" si="5"/>
        <v>0</v>
      </c>
      <c r="AE13" s="56">
        <f t="shared" si="5"/>
        <v>83.142857142857153</v>
      </c>
      <c r="AF13" s="56">
        <f t="shared" si="5"/>
        <v>136.28571428571431</v>
      </c>
    </row>
    <row r="14" spans="2:32" ht="23.1" customHeight="1" x14ac:dyDescent="0.25">
      <c r="B14" s="23" t="s">
        <v>41</v>
      </c>
      <c r="C14" s="49">
        <f>AVERAGE('17.10 MBARARA-MASAKA'!C14,'18.10 MBARARA-MASAKA-24H'!C14,'19.10 MBARARA-MASAKA-24H'!C14,'20.10 MBARARA-MASAKA'!C14,'21.10 MBARARA- MASAKA'!C14,'22.10 MBARARA-MASAKA'!C14,'23.10 MBARARA-MASAKA'!C14)</f>
        <v>3.8571428571428572</v>
      </c>
      <c r="D14" s="49">
        <f>AVERAGE('17.10 MBARARA-MASAKA'!D14,'18.10 MBARARA-MASAKA-24H'!D14,'19.10 MBARARA-MASAKA-24H'!D14,'20.10 MBARARA-MASAKA'!D14,'21.10 MBARARA- MASAKA'!D14,'22.10 MBARARA-MASAKA'!D14,'23.10 MBARARA-MASAKA'!D14)</f>
        <v>2.1428571428571428</v>
      </c>
      <c r="E14" s="49">
        <f>AVERAGE('17.10 MBARARA-MASAKA'!E14,'18.10 MBARARA-MASAKA-24H'!E14,'19.10 MBARARA-MASAKA-24H'!E14,'20.10 MBARARA-MASAKA'!E14,'21.10 MBARARA- MASAKA'!E14,'22.10 MBARARA-MASAKA'!E14,'23.10 MBARARA-MASAKA'!E14)</f>
        <v>0.8571428571428571</v>
      </c>
      <c r="F14" s="49">
        <f>AVERAGE('17.10 MBARARA-MASAKA'!F14,'18.10 MBARARA-MASAKA-24H'!F14,'19.10 MBARARA-MASAKA-24H'!F14,'20.10 MBARARA-MASAKA'!F14,'21.10 MBARARA- MASAKA'!F14,'22.10 MBARARA-MASAKA'!F14,'23.10 MBARARA-MASAKA'!F14)</f>
        <v>3.4285714285714284</v>
      </c>
      <c r="G14" s="49">
        <f>AVERAGE('17.10 MBARARA-MASAKA'!G14,'18.10 MBARARA-MASAKA-24H'!G14,'19.10 MBARARA-MASAKA-24H'!G14,'20.10 MBARARA-MASAKA'!G14,'21.10 MBARARA- MASAKA'!G14,'22.10 MBARARA-MASAKA'!G14,'23.10 MBARARA-MASAKA'!G14)</f>
        <v>0</v>
      </c>
      <c r="H14" s="49">
        <f>AVERAGE('17.10 MBARARA-MASAKA'!H14,'18.10 MBARARA-MASAKA-24H'!H14,'19.10 MBARARA-MASAKA-24H'!H14,'20.10 MBARARA-MASAKA'!H14,'21.10 MBARARA- MASAKA'!H14,'22.10 MBARARA-MASAKA'!H14,'23.10 MBARARA-MASAKA'!H14)</f>
        <v>0.42857142857142855</v>
      </c>
      <c r="I14" s="49">
        <f>AVERAGE('17.10 MBARARA-MASAKA'!I14,'18.10 MBARARA-MASAKA-24H'!I14,'19.10 MBARARA-MASAKA-24H'!I14,'20.10 MBARARA-MASAKA'!I14,'21.10 MBARARA- MASAKA'!I14,'22.10 MBARARA-MASAKA'!I14,'23.10 MBARARA-MASAKA'!I14)</f>
        <v>0.7142857142857143</v>
      </c>
      <c r="J14" s="49">
        <f>AVERAGE('17.10 MBARARA-MASAKA'!J14,'18.10 MBARARA-MASAKA-24H'!J14,'19.10 MBARARA-MASAKA-24H'!J14,'20.10 MBARARA-MASAKA'!J14,'21.10 MBARARA- MASAKA'!J14,'22.10 MBARARA-MASAKA'!J14,'23.10 MBARARA-MASAKA'!J14)</f>
        <v>0.2857142857142857</v>
      </c>
      <c r="K14" s="49">
        <f>AVERAGE('17.10 MBARARA-MASAKA'!K14,'18.10 MBARARA-MASAKA-24H'!K14,'19.10 MBARARA-MASAKA-24H'!K14,'20.10 MBARARA-MASAKA'!K14,'21.10 MBARARA- MASAKA'!K14,'22.10 MBARARA-MASAKA'!K14,'23.10 MBARARA-MASAKA'!K14)</f>
        <v>0.7142857142857143</v>
      </c>
      <c r="L14" s="49">
        <f>AVERAGE('17.10 MBARARA-MASAKA'!L14,'18.10 MBARARA-MASAKA-24H'!L14,'19.10 MBARARA-MASAKA-24H'!L14,'20.10 MBARARA-MASAKA'!L14,'21.10 MBARARA- MASAKA'!L14,'22.10 MBARARA-MASAKA'!L14,'23.10 MBARARA-MASAKA'!L14)</f>
        <v>0</v>
      </c>
      <c r="M14" s="49">
        <f>AVERAGE('17.10 MBARARA-MASAKA'!M14,'18.10 MBARARA-MASAKA-24H'!M14,'19.10 MBARARA-MASAKA-24H'!M14,'20.10 MBARARA-MASAKA'!M14,'21.10 MBARARA- MASAKA'!M14,'22.10 MBARARA-MASAKA'!M14,'23.10 MBARARA-MASAKA'!M14)</f>
        <v>14.285714285714286</v>
      </c>
      <c r="N14" s="49">
        <f>AVERAGE('17.10 MBARARA-MASAKA'!N14,'18.10 MBARARA-MASAKA-24H'!N14,'19.10 MBARARA-MASAKA-24H'!N14,'20.10 MBARARA-MASAKA'!N14,'21.10 MBARARA- MASAKA'!N14,'22.10 MBARARA-MASAKA'!N14,'23.10 MBARARA-MASAKA'!N14)</f>
        <v>0</v>
      </c>
      <c r="O14" s="15">
        <f t="shared" si="0"/>
        <v>12.428571428571427</v>
      </c>
      <c r="P14" s="15">
        <f t="shared" si="1"/>
        <v>26.714285714285715</v>
      </c>
      <c r="R14" s="51" t="s">
        <v>10</v>
      </c>
      <c r="S14" s="53">
        <f t="shared" ref="S14:AF14" si="6">SUM(C26:C29)</f>
        <v>30.857142857142854</v>
      </c>
      <c r="T14" s="53">
        <f t="shared" si="6"/>
        <v>20</v>
      </c>
      <c r="U14" s="53">
        <f t="shared" si="6"/>
        <v>10.857142857142858</v>
      </c>
      <c r="V14" s="53">
        <f t="shared" si="6"/>
        <v>19.428571428571431</v>
      </c>
      <c r="W14" s="53">
        <f t="shared" si="6"/>
        <v>0.5714285714285714</v>
      </c>
      <c r="X14" s="53">
        <f t="shared" si="6"/>
        <v>5.5714285714285712</v>
      </c>
      <c r="Y14" s="53">
        <f t="shared" si="6"/>
        <v>5.2857142857142856</v>
      </c>
      <c r="Z14" s="53">
        <f t="shared" si="6"/>
        <v>6</v>
      </c>
      <c r="AA14" s="53">
        <f t="shared" si="6"/>
        <v>4.7142857142857144</v>
      </c>
      <c r="AB14" s="53">
        <f t="shared" si="6"/>
        <v>1.8571428571428572</v>
      </c>
      <c r="AC14" s="53">
        <f t="shared" si="6"/>
        <v>52.142857142857146</v>
      </c>
      <c r="AD14" s="53">
        <f t="shared" si="6"/>
        <v>0</v>
      </c>
      <c r="AE14" s="56">
        <f t="shared" si="6"/>
        <v>105.14285714285712</v>
      </c>
      <c r="AF14" s="56">
        <f t="shared" si="6"/>
        <v>157.28571428571428</v>
      </c>
    </row>
    <row r="15" spans="2:32" ht="23.1" customHeight="1" x14ac:dyDescent="0.25">
      <c r="B15" s="23" t="s">
        <v>42</v>
      </c>
      <c r="C15" s="49">
        <f>AVERAGE('17.10 MBARARA-MASAKA'!C15,'18.10 MBARARA-MASAKA-24H'!C15,'19.10 MBARARA-MASAKA-24H'!C15,'20.10 MBARARA-MASAKA'!C15,'21.10 MBARARA- MASAKA'!C15,'22.10 MBARARA-MASAKA'!C15,'23.10 MBARARA-MASAKA'!C15)</f>
        <v>4.7142857142857144</v>
      </c>
      <c r="D15" s="49">
        <f>AVERAGE('17.10 MBARARA-MASAKA'!D15,'18.10 MBARARA-MASAKA-24H'!D15,'19.10 MBARARA-MASAKA-24H'!D15,'20.10 MBARARA-MASAKA'!D15,'21.10 MBARARA- MASAKA'!D15,'22.10 MBARARA-MASAKA'!D15,'23.10 MBARARA-MASAKA'!D15)</f>
        <v>2.2857142857142856</v>
      </c>
      <c r="E15" s="49">
        <f>AVERAGE('17.10 MBARARA-MASAKA'!E15,'18.10 MBARARA-MASAKA-24H'!E15,'19.10 MBARARA-MASAKA-24H'!E15,'20.10 MBARARA-MASAKA'!E15,'21.10 MBARARA- MASAKA'!E15,'22.10 MBARARA-MASAKA'!E15,'23.10 MBARARA-MASAKA'!E15)</f>
        <v>0.7142857142857143</v>
      </c>
      <c r="F15" s="49">
        <f>AVERAGE('17.10 MBARARA-MASAKA'!F15,'18.10 MBARARA-MASAKA-24H'!F15,'19.10 MBARARA-MASAKA-24H'!F15,'20.10 MBARARA-MASAKA'!F15,'21.10 MBARARA- MASAKA'!F15,'22.10 MBARARA-MASAKA'!F15,'23.10 MBARARA-MASAKA'!F15)</f>
        <v>3.5714285714285716</v>
      </c>
      <c r="G15" s="49">
        <f>AVERAGE('17.10 MBARARA-MASAKA'!G15,'18.10 MBARARA-MASAKA-24H'!G15,'19.10 MBARARA-MASAKA-24H'!G15,'20.10 MBARARA-MASAKA'!G15,'21.10 MBARARA- MASAKA'!G15,'22.10 MBARARA-MASAKA'!G15,'23.10 MBARARA-MASAKA'!G15)</f>
        <v>0</v>
      </c>
      <c r="H15" s="49">
        <f>AVERAGE('17.10 MBARARA-MASAKA'!H15,'18.10 MBARARA-MASAKA-24H'!H15,'19.10 MBARARA-MASAKA-24H'!H15,'20.10 MBARARA-MASAKA'!H15,'21.10 MBARARA- MASAKA'!H15,'22.10 MBARARA-MASAKA'!H15,'23.10 MBARARA-MASAKA'!H15)</f>
        <v>1</v>
      </c>
      <c r="I15" s="49">
        <f>AVERAGE('17.10 MBARARA-MASAKA'!I15,'18.10 MBARARA-MASAKA-24H'!I15,'19.10 MBARARA-MASAKA-24H'!I15,'20.10 MBARARA-MASAKA'!I15,'21.10 MBARARA- MASAKA'!I15,'22.10 MBARARA-MASAKA'!I15,'23.10 MBARARA-MASAKA'!I15)</f>
        <v>0.5714285714285714</v>
      </c>
      <c r="J15" s="49">
        <f>AVERAGE('17.10 MBARARA-MASAKA'!J15,'18.10 MBARARA-MASAKA-24H'!J15,'19.10 MBARARA-MASAKA-24H'!J15,'20.10 MBARARA-MASAKA'!J15,'21.10 MBARARA- MASAKA'!J15,'22.10 MBARARA-MASAKA'!J15,'23.10 MBARARA-MASAKA'!J15)</f>
        <v>1</v>
      </c>
      <c r="K15" s="49">
        <f>AVERAGE('17.10 MBARARA-MASAKA'!K15,'18.10 MBARARA-MASAKA-24H'!K15,'19.10 MBARARA-MASAKA-24H'!K15,'20.10 MBARARA-MASAKA'!K15,'21.10 MBARARA- MASAKA'!K15,'22.10 MBARARA-MASAKA'!K15,'23.10 MBARARA-MASAKA'!K15)</f>
        <v>1.5714285714285714</v>
      </c>
      <c r="L15" s="49">
        <f>AVERAGE('17.10 MBARARA-MASAKA'!L15,'18.10 MBARARA-MASAKA-24H'!L15,'19.10 MBARARA-MASAKA-24H'!L15,'20.10 MBARARA-MASAKA'!L15,'21.10 MBARARA- MASAKA'!L15,'22.10 MBARARA-MASAKA'!L15,'23.10 MBARARA-MASAKA'!L15)</f>
        <v>0</v>
      </c>
      <c r="M15" s="49">
        <f>AVERAGE('17.10 MBARARA-MASAKA'!M15,'18.10 MBARARA-MASAKA-24H'!M15,'19.10 MBARARA-MASAKA-24H'!M15,'20.10 MBARARA-MASAKA'!M15,'21.10 MBARARA- MASAKA'!M15,'22.10 MBARARA-MASAKA'!M15,'23.10 MBARARA-MASAKA'!M15)</f>
        <v>17.857142857142858</v>
      </c>
      <c r="N15" s="49">
        <f>AVERAGE('17.10 MBARARA-MASAKA'!N15,'18.10 MBARARA-MASAKA-24H'!N15,'19.10 MBARARA-MASAKA-24H'!N15,'20.10 MBARARA-MASAKA'!N15,'21.10 MBARARA- MASAKA'!N15,'22.10 MBARARA-MASAKA'!N15,'23.10 MBARARA-MASAKA'!N15)</f>
        <v>0</v>
      </c>
      <c r="O15" s="15">
        <f t="shared" si="0"/>
        <v>15.428571428571429</v>
      </c>
      <c r="P15" s="15">
        <f t="shared" si="1"/>
        <v>33.285714285714285</v>
      </c>
      <c r="R15" s="51" t="s">
        <v>11</v>
      </c>
      <c r="S15" s="53">
        <f t="shared" ref="S15:AF15" si="7">SUM(C30:C33)</f>
        <v>36.285714285714285</v>
      </c>
      <c r="T15" s="53">
        <f t="shared" si="7"/>
        <v>21.285714285714288</v>
      </c>
      <c r="U15" s="53">
        <f t="shared" si="7"/>
        <v>10.857142857142856</v>
      </c>
      <c r="V15" s="53">
        <f t="shared" si="7"/>
        <v>22</v>
      </c>
      <c r="W15" s="53">
        <f t="shared" si="7"/>
        <v>0.2857142857142857</v>
      </c>
      <c r="X15" s="53">
        <f t="shared" si="7"/>
        <v>5</v>
      </c>
      <c r="Y15" s="53">
        <f t="shared" si="7"/>
        <v>4.2857142857142856</v>
      </c>
      <c r="Z15" s="53">
        <f t="shared" si="7"/>
        <v>5.4285714285714288</v>
      </c>
      <c r="AA15" s="53">
        <f t="shared" si="7"/>
        <v>5.7142857142857144</v>
      </c>
      <c r="AB15" s="53">
        <f t="shared" si="7"/>
        <v>1.5714285714285714</v>
      </c>
      <c r="AC15" s="53">
        <f t="shared" si="7"/>
        <v>54.714285714285715</v>
      </c>
      <c r="AD15" s="53">
        <f t="shared" si="7"/>
        <v>0</v>
      </c>
      <c r="AE15" s="56">
        <f t="shared" si="7"/>
        <v>112.71428571428571</v>
      </c>
      <c r="AF15" s="56">
        <f t="shared" si="7"/>
        <v>167.42857142857142</v>
      </c>
    </row>
    <row r="16" spans="2:32" ht="23.1" customHeight="1" x14ac:dyDescent="0.25">
      <c r="B16" s="23" t="s">
        <v>43</v>
      </c>
      <c r="C16" s="49">
        <f>AVERAGE('17.10 MBARARA-MASAKA'!C16,'18.10 MBARARA-MASAKA-24H'!C16,'19.10 MBARARA-MASAKA-24H'!C16,'20.10 MBARARA-MASAKA'!C16,'21.10 MBARARA- MASAKA'!C16,'22.10 MBARARA-MASAKA'!C16,'23.10 MBARARA-MASAKA'!C16)</f>
        <v>4.8571428571428568</v>
      </c>
      <c r="D16" s="49">
        <f>AVERAGE('17.10 MBARARA-MASAKA'!D16,'18.10 MBARARA-MASAKA-24H'!D16,'19.10 MBARARA-MASAKA-24H'!D16,'20.10 MBARARA-MASAKA'!D16,'21.10 MBARARA- MASAKA'!D16,'22.10 MBARARA-MASAKA'!D16,'23.10 MBARARA-MASAKA'!D16)</f>
        <v>1.8571428571428572</v>
      </c>
      <c r="E16" s="49">
        <f>AVERAGE('17.10 MBARARA-MASAKA'!E16,'18.10 MBARARA-MASAKA-24H'!E16,'19.10 MBARARA-MASAKA-24H'!E16,'20.10 MBARARA-MASAKA'!E16,'21.10 MBARARA- MASAKA'!E16,'22.10 MBARARA-MASAKA'!E16,'23.10 MBARARA-MASAKA'!E16)</f>
        <v>1.8571428571428572</v>
      </c>
      <c r="F16" s="49">
        <f>AVERAGE('17.10 MBARARA-MASAKA'!F16,'18.10 MBARARA-MASAKA-24H'!F16,'19.10 MBARARA-MASAKA-24H'!F16,'20.10 MBARARA-MASAKA'!F16,'21.10 MBARARA- MASAKA'!F16,'22.10 MBARARA-MASAKA'!F16,'23.10 MBARARA-MASAKA'!F16)</f>
        <v>3.7142857142857144</v>
      </c>
      <c r="G16" s="49">
        <f>AVERAGE('17.10 MBARARA-MASAKA'!G16,'18.10 MBARARA-MASAKA-24H'!G16,'19.10 MBARARA-MASAKA-24H'!G16,'20.10 MBARARA-MASAKA'!G16,'21.10 MBARARA- MASAKA'!G16,'22.10 MBARARA-MASAKA'!G16,'23.10 MBARARA-MASAKA'!G16)</f>
        <v>0.14285714285714285</v>
      </c>
      <c r="H16" s="49">
        <f>AVERAGE('17.10 MBARARA-MASAKA'!H16,'18.10 MBARARA-MASAKA-24H'!H16,'19.10 MBARARA-MASAKA-24H'!H16,'20.10 MBARARA-MASAKA'!H16,'21.10 MBARARA- MASAKA'!H16,'22.10 MBARARA-MASAKA'!H16,'23.10 MBARARA-MASAKA'!H16)</f>
        <v>0.5714285714285714</v>
      </c>
      <c r="I16" s="49">
        <f>AVERAGE('17.10 MBARARA-MASAKA'!I16,'18.10 MBARARA-MASAKA-24H'!I16,'19.10 MBARARA-MASAKA-24H'!I16,'20.10 MBARARA-MASAKA'!I16,'21.10 MBARARA- MASAKA'!I16,'22.10 MBARARA-MASAKA'!I16,'23.10 MBARARA-MASAKA'!I16)</f>
        <v>0.8571428571428571</v>
      </c>
      <c r="J16" s="49">
        <f>AVERAGE('17.10 MBARARA-MASAKA'!J16,'18.10 MBARARA-MASAKA-24H'!J16,'19.10 MBARARA-MASAKA-24H'!J16,'20.10 MBARARA-MASAKA'!J16,'21.10 MBARARA- MASAKA'!J16,'22.10 MBARARA-MASAKA'!J16,'23.10 MBARARA-MASAKA'!J16)</f>
        <v>0.8571428571428571</v>
      </c>
      <c r="K16" s="49">
        <f>AVERAGE('17.10 MBARARA-MASAKA'!K16,'18.10 MBARARA-MASAKA-24H'!K16,'19.10 MBARARA-MASAKA-24H'!K16,'20.10 MBARARA-MASAKA'!K16,'21.10 MBARARA- MASAKA'!K16,'22.10 MBARARA-MASAKA'!K16,'23.10 MBARARA-MASAKA'!K16)</f>
        <v>1.2857142857142858</v>
      </c>
      <c r="L16" s="49">
        <f>AVERAGE('17.10 MBARARA-MASAKA'!L16,'18.10 MBARARA-MASAKA-24H'!L16,'19.10 MBARARA-MASAKA-24H'!L16,'20.10 MBARARA-MASAKA'!L16,'21.10 MBARARA- MASAKA'!L16,'22.10 MBARARA-MASAKA'!L16,'23.10 MBARARA-MASAKA'!L16)</f>
        <v>0.42857142857142855</v>
      </c>
      <c r="M16" s="49">
        <f>AVERAGE('17.10 MBARARA-MASAKA'!M16,'18.10 MBARARA-MASAKA-24H'!M16,'19.10 MBARARA-MASAKA-24H'!M16,'20.10 MBARARA-MASAKA'!M16,'21.10 MBARARA- MASAKA'!M16,'22.10 MBARARA-MASAKA'!M16,'23.10 MBARARA-MASAKA'!M16)</f>
        <v>14.714285714285714</v>
      </c>
      <c r="N16" s="49">
        <f>AVERAGE('17.10 MBARARA-MASAKA'!N16,'18.10 MBARARA-MASAKA-24H'!N16,'19.10 MBARARA-MASAKA-24H'!N16,'20.10 MBARARA-MASAKA'!N16,'21.10 MBARARA- MASAKA'!N16,'22.10 MBARARA-MASAKA'!N16,'23.10 MBARARA-MASAKA'!N16)</f>
        <v>0</v>
      </c>
      <c r="O16" s="15">
        <f t="shared" si="0"/>
        <v>16.428571428571427</v>
      </c>
      <c r="P16" s="15">
        <f t="shared" si="1"/>
        <v>31.142857142857139</v>
      </c>
      <c r="R16" s="51" t="s">
        <v>12</v>
      </c>
      <c r="S16" s="53">
        <f t="shared" ref="S16:AF16" si="8">SUM(C34:C37)</f>
        <v>40.857142857142861</v>
      </c>
      <c r="T16" s="53">
        <f t="shared" si="8"/>
        <v>18.142857142857142</v>
      </c>
      <c r="U16" s="53">
        <f t="shared" si="8"/>
        <v>10.571428571428571</v>
      </c>
      <c r="V16" s="53">
        <f t="shared" si="8"/>
        <v>17.428571428571427</v>
      </c>
      <c r="W16" s="53">
        <f t="shared" si="8"/>
        <v>1.1428571428571428</v>
      </c>
      <c r="X16" s="53">
        <f t="shared" si="8"/>
        <v>8.2857142857142865</v>
      </c>
      <c r="Y16" s="53">
        <f t="shared" si="8"/>
        <v>7.5714285714285712</v>
      </c>
      <c r="Z16" s="53">
        <f t="shared" si="8"/>
        <v>5.5714285714285712</v>
      </c>
      <c r="AA16" s="53">
        <f t="shared" si="8"/>
        <v>5.4285714285714288</v>
      </c>
      <c r="AB16" s="53">
        <f t="shared" si="8"/>
        <v>0.42857142857142855</v>
      </c>
      <c r="AC16" s="53">
        <f t="shared" si="8"/>
        <v>57</v>
      </c>
      <c r="AD16" s="53">
        <f t="shared" si="8"/>
        <v>0</v>
      </c>
      <c r="AE16" s="56">
        <f t="shared" si="8"/>
        <v>115.42857142857144</v>
      </c>
      <c r="AF16" s="56">
        <f t="shared" si="8"/>
        <v>172.42857142857144</v>
      </c>
    </row>
    <row r="17" spans="2:32" ht="23.1" customHeight="1" x14ac:dyDescent="0.25">
      <c r="B17" s="23" t="s">
        <v>44</v>
      </c>
      <c r="C17" s="49">
        <f>AVERAGE('17.10 MBARARA-MASAKA'!C17,'18.10 MBARARA-MASAKA-24H'!C17,'19.10 MBARARA-MASAKA-24H'!C17,'20.10 MBARARA-MASAKA'!C17,'21.10 MBARARA- MASAKA'!C17,'22.10 MBARARA-MASAKA'!C17,'23.10 MBARARA-MASAKA'!C17)</f>
        <v>5.4285714285714288</v>
      </c>
      <c r="D17" s="49">
        <f>AVERAGE('17.10 MBARARA-MASAKA'!D17,'18.10 MBARARA-MASAKA-24H'!D17,'19.10 MBARARA-MASAKA-24H'!D17,'20.10 MBARARA-MASAKA'!D17,'21.10 MBARARA- MASAKA'!D17,'22.10 MBARARA-MASAKA'!D17,'23.10 MBARARA-MASAKA'!D17)</f>
        <v>1.7142857142857142</v>
      </c>
      <c r="E17" s="49">
        <f>AVERAGE('17.10 MBARARA-MASAKA'!E17,'18.10 MBARARA-MASAKA-24H'!E17,'19.10 MBARARA-MASAKA-24H'!E17,'20.10 MBARARA-MASAKA'!E17,'21.10 MBARARA- MASAKA'!E17,'22.10 MBARARA-MASAKA'!E17,'23.10 MBARARA-MASAKA'!E17)</f>
        <v>1.5714285714285714</v>
      </c>
      <c r="F17" s="49">
        <f>AVERAGE('17.10 MBARARA-MASAKA'!F17,'18.10 MBARARA-MASAKA-24H'!F17,'19.10 MBARARA-MASAKA-24H'!F17,'20.10 MBARARA-MASAKA'!F17,'21.10 MBARARA- MASAKA'!F17,'22.10 MBARARA-MASAKA'!F17,'23.10 MBARARA-MASAKA'!F17)</f>
        <v>5.1428571428571432</v>
      </c>
      <c r="G17" s="49">
        <f>AVERAGE('17.10 MBARARA-MASAKA'!G17,'18.10 MBARARA-MASAKA-24H'!G17,'19.10 MBARARA-MASAKA-24H'!G17,'20.10 MBARARA-MASAKA'!G17,'21.10 MBARARA- MASAKA'!G17,'22.10 MBARARA-MASAKA'!G17,'23.10 MBARARA-MASAKA'!G17)</f>
        <v>0</v>
      </c>
      <c r="H17" s="49">
        <f>AVERAGE('17.10 MBARARA-MASAKA'!H17,'18.10 MBARARA-MASAKA-24H'!H17,'19.10 MBARARA-MASAKA-24H'!H17,'20.10 MBARARA-MASAKA'!H17,'21.10 MBARARA- MASAKA'!H17,'22.10 MBARARA-MASAKA'!H17,'23.10 MBARARA-MASAKA'!H17)</f>
        <v>0.2857142857142857</v>
      </c>
      <c r="I17" s="49">
        <f>AVERAGE('17.10 MBARARA-MASAKA'!I17,'18.10 MBARARA-MASAKA-24H'!I17,'19.10 MBARARA-MASAKA-24H'!I17,'20.10 MBARARA-MASAKA'!I17,'21.10 MBARARA- MASAKA'!I17,'22.10 MBARARA-MASAKA'!I17,'23.10 MBARARA-MASAKA'!I17)</f>
        <v>1</v>
      </c>
      <c r="J17" s="49">
        <f>AVERAGE('17.10 MBARARA-MASAKA'!J17,'18.10 MBARARA-MASAKA-24H'!J17,'19.10 MBARARA-MASAKA-24H'!J17,'20.10 MBARARA-MASAKA'!J17,'21.10 MBARARA- MASAKA'!J17,'22.10 MBARARA-MASAKA'!J17,'23.10 MBARARA-MASAKA'!J17)</f>
        <v>0.5714285714285714</v>
      </c>
      <c r="K17" s="49">
        <f>AVERAGE('17.10 MBARARA-MASAKA'!K17,'18.10 MBARARA-MASAKA-24H'!K17,'19.10 MBARARA-MASAKA-24H'!K17,'20.10 MBARARA-MASAKA'!K17,'21.10 MBARARA- MASAKA'!K17,'22.10 MBARARA-MASAKA'!K17,'23.10 MBARARA-MASAKA'!K17)</f>
        <v>0.5714285714285714</v>
      </c>
      <c r="L17" s="49">
        <f>AVERAGE('17.10 MBARARA-MASAKA'!L17,'18.10 MBARARA-MASAKA-24H'!L17,'19.10 MBARARA-MASAKA-24H'!L17,'20.10 MBARARA-MASAKA'!L17,'21.10 MBARARA- MASAKA'!L17,'22.10 MBARARA-MASAKA'!L17,'23.10 MBARARA-MASAKA'!L17)</f>
        <v>0</v>
      </c>
      <c r="M17" s="49">
        <f>AVERAGE('17.10 MBARARA-MASAKA'!M17,'18.10 MBARARA-MASAKA-24H'!M17,'19.10 MBARARA-MASAKA-24H'!M17,'20.10 MBARARA-MASAKA'!M17,'21.10 MBARARA- MASAKA'!M17,'22.10 MBARARA-MASAKA'!M17,'23.10 MBARARA-MASAKA'!M17)</f>
        <v>12.571428571428571</v>
      </c>
      <c r="N17" s="49">
        <f>AVERAGE('17.10 MBARARA-MASAKA'!N17,'18.10 MBARARA-MASAKA-24H'!N17,'19.10 MBARARA-MASAKA-24H'!N17,'20.10 MBARARA-MASAKA'!N17,'21.10 MBARARA- MASAKA'!N17,'22.10 MBARARA-MASAKA'!N17,'23.10 MBARARA-MASAKA'!N17)</f>
        <v>0</v>
      </c>
      <c r="O17" s="15">
        <f t="shared" si="0"/>
        <v>16.285714285714288</v>
      </c>
      <c r="P17" s="15">
        <f t="shared" si="1"/>
        <v>28.857142857142861</v>
      </c>
      <c r="R17" s="51" t="s">
        <v>13</v>
      </c>
      <c r="S17" s="53">
        <f t="shared" ref="S17:AF17" si="9">SUM(C38:C41)</f>
        <v>33.714285714285715</v>
      </c>
      <c r="T17" s="53">
        <f t="shared" si="9"/>
        <v>19.571428571428569</v>
      </c>
      <c r="U17" s="53">
        <f t="shared" si="9"/>
        <v>9.8571428571428577</v>
      </c>
      <c r="V17" s="53">
        <f t="shared" si="9"/>
        <v>18.571428571428569</v>
      </c>
      <c r="W17" s="53">
        <f t="shared" si="9"/>
        <v>0.5714285714285714</v>
      </c>
      <c r="X17" s="53">
        <f t="shared" si="9"/>
        <v>6.4285714285714288</v>
      </c>
      <c r="Y17" s="53">
        <f t="shared" si="9"/>
        <v>6</v>
      </c>
      <c r="Z17" s="53">
        <f t="shared" si="9"/>
        <v>6</v>
      </c>
      <c r="AA17" s="53">
        <f t="shared" si="9"/>
        <v>8.8571428571428559</v>
      </c>
      <c r="AB17" s="53">
        <f t="shared" si="9"/>
        <v>1</v>
      </c>
      <c r="AC17" s="53">
        <f t="shared" si="9"/>
        <v>54.857142857142854</v>
      </c>
      <c r="AD17" s="53">
        <f t="shared" si="9"/>
        <v>0</v>
      </c>
      <c r="AE17" s="56">
        <f t="shared" si="9"/>
        <v>110.57142857142856</v>
      </c>
      <c r="AF17" s="56">
        <f t="shared" si="9"/>
        <v>165.42857142857144</v>
      </c>
    </row>
    <row r="18" spans="2:32" ht="23.1" customHeight="1" x14ac:dyDescent="0.25">
      <c r="B18" s="23" t="s">
        <v>45</v>
      </c>
      <c r="C18" s="49">
        <f>AVERAGE('17.10 MBARARA-MASAKA'!C18,'18.10 MBARARA-MASAKA-24H'!C18,'19.10 MBARARA-MASAKA-24H'!C18,'20.10 MBARARA-MASAKA'!C18,'21.10 MBARARA- MASAKA'!C18,'22.10 MBARARA-MASAKA'!C18,'23.10 MBARARA-MASAKA'!C18)</f>
        <v>5</v>
      </c>
      <c r="D18" s="49">
        <f>AVERAGE('17.10 MBARARA-MASAKA'!D18,'18.10 MBARARA-MASAKA-24H'!D18,'19.10 MBARARA-MASAKA-24H'!D18,'20.10 MBARARA-MASAKA'!D18,'21.10 MBARARA- MASAKA'!D18,'22.10 MBARARA-MASAKA'!D18,'23.10 MBARARA-MASAKA'!D18)</f>
        <v>3.1428571428571428</v>
      </c>
      <c r="E18" s="49">
        <f>AVERAGE('17.10 MBARARA-MASAKA'!E18,'18.10 MBARARA-MASAKA-24H'!E18,'19.10 MBARARA-MASAKA-24H'!E18,'20.10 MBARARA-MASAKA'!E18,'21.10 MBARARA- MASAKA'!E18,'22.10 MBARARA-MASAKA'!E18,'23.10 MBARARA-MASAKA'!E18)</f>
        <v>2</v>
      </c>
      <c r="F18" s="49">
        <f>AVERAGE('17.10 MBARARA-MASAKA'!F18,'18.10 MBARARA-MASAKA-24H'!F18,'19.10 MBARARA-MASAKA-24H'!F18,'20.10 MBARARA-MASAKA'!F18,'21.10 MBARARA- MASAKA'!F18,'22.10 MBARARA-MASAKA'!F18,'23.10 MBARARA-MASAKA'!F18)</f>
        <v>4.4285714285714288</v>
      </c>
      <c r="G18" s="49">
        <f>AVERAGE('17.10 MBARARA-MASAKA'!G18,'18.10 MBARARA-MASAKA-24H'!G18,'19.10 MBARARA-MASAKA-24H'!G18,'20.10 MBARARA-MASAKA'!G18,'21.10 MBARARA- MASAKA'!G18,'22.10 MBARARA-MASAKA'!G18,'23.10 MBARARA-MASAKA'!G18)</f>
        <v>0.14285714285714285</v>
      </c>
      <c r="H18" s="49">
        <f>AVERAGE('17.10 MBARARA-MASAKA'!H18,'18.10 MBARARA-MASAKA-24H'!H18,'19.10 MBARARA-MASAKA-24H'!H18,'20.10 MBARARA-MASAKA'!H18,'21.10 MBARARA- MASAKA'!H18,'22.10 MBARARA-MASAKA'!H18,'23.10 MBARARA-MASAKA'!H18)</f>
        <v>0.7142857142857143</v>
      </c>
      <c r="I18" s="49">
        <f>AVERAGE('17.10 MBARARA-MASAKA'!I18,'18.10 MBARARA-MASAKA-24H'!I18,'19.10 MBARARA-MASAKA-24H'!I18,'20.10 MBARARA-MASAKA'!I18,'21.10 MBARARA- MASAKA'!I18,'22.10 MBARARA-MASAKA'!I18,'23.10 MBARARA-MASAKA'!I18)</f>
        <v>0.5714285714285714</v>
      </c>
      <c r="J18" s="49">
        <f>AVERAGE('17.10 MBARARA-MASAKA'!J18,'18.10 MBARARA-MASAKA-24H'!J18,'19.10 MBARARA-MASAKA-24H'!J18,'20.10 MBARARA-MASAKA'!J18,'21.10 MBARARA- MASAKA'!J18,'22.10 MBARARA-MASAKA'!J18,'23.10 MBARARA-MASAKA'!J18)</f>
        <v>0.2857142857142857</v>
      </c>
      <c r="K18" s="49">
        <f>AVERAGE('17.10 MBARARA-MASAKA'!K18,'18.10 MBARARA-MASAKA-24H'!K18,'19.10 MBARARA-MASAKA-24H'!K18,'20.10 MBARARA-MASAKA'!K18,'21.10 MBARARA- MASAKA'!K18,'22.10 MBARARA-MASAKA'!K18,'23.10 MBARARA-MASAKA'!K18)</f>
        <v>1.1428571428571428</v>
      </c>
      <c r="L18" s="49">
        <f>AVERAGE('17.10 MBARARA-MASAKA'!L18,'18.10 MBARARA-MASAKA-24H'!L18,'19.10 MBARARA-MASAKA-24H'!L18,'20.10 MBARARA-MASAKA'!L18,'21.10 MBARARA- MASAKA'!L18,'22.10 MBARARA-MASAKA'!L18,'23.10 MBARARA-MASAKA'!L18)</f>
        <v>0</v>
      </c>
      <c r="M18" s="49">
        <f>AVERAGE('17.10 MBARARA-MASAKA'!M18,'18.10 MBARARA-MASAKA-24H'!M18,'19.10 MBARARA-MASAKA-24H'!M18,'20.10 MBARARA-MASAKA'!M18,'21.10 MBARARA- MASAKA'!M18,'22.10 MBARARA-MASAKA'!M18,'23.10 MBARARA-MASAKA'!M18)</f>
        <v>15.428571428571429</v>
      </c>
      <c r="N18" s="49">
        <f>AVERAGE('17.10 MBARARA-MASAKA'!N18,'18.10 MBARARA-MASAKA-24H'!N18,'19.10 MBARARA-MASAKA-24H'!N18,'20.10 MBARARA-MASAKA'!N18,'21.10 MBARARA- MASAKA'!N18,'22.10 MBARARA-MASAKA'!N18,'23.10 MBARARA-MASAKA'!N18)</f>
        <v>0</v>
      </c>
      <c r="O18" s="15">
        <f t="shared" si="0"/>
        <v>17.428571428571427</v>
      </c>
      <c r="P18" s="15">
        <f t="shared" si="1"/>
        <v>32.857142857142854</v>
      </c>
      <c r="R18" s="51" t="s">
        <v>14</v>
      </c>
      <c r="S18" s="53">
        <f t="shared" ref="S18:AF18" si="10">SUM(C42:C45)</f>
        <v>37.571428571428569</v>
      </c>
      <c r="T18" s="53">
        <f t="shared" si="10"/>
        <v>18.857142857142854</v>
      </c>
      <c r="U18" s="53">
        <f t="shared" si="10"/>
        <v>10</v>
      </c>
      <c r="V18" s="53">
        <f t="shared" si="10"/>
        <v>18.571428571428569</v>
      </c>
      <c r="W18" s="53">
        <f t="shared" si="10"/>
        <v>1.2857142857142856</v>
      </c>
      <c r="X18" s="53">
        <f t="shared" si="10"/>
        <v>6</v>
      </c>
      <c r="Y18" s="53">
        <f t="shared" si="10"/>
        <v>5.4285714285714279</v>
      </c>
      <c r="Z18" s="53">
        <f t="shared" si="10"/>
        <v>7.5714285714285712</v>
      </c>
      <c r="AA18" s="53">
        <f t="shared" si="10"/>
        <v>10</v>
      </c>
      <c r="AB18" s="53">
        <f t="shared" si="10"/>
        <v>1.2857142857142856</v>
      </c>
      <c r="AC18" s="53">
        <f t="shared" si="10"/>
        <v>58.857142857142854</v>
      </c>
      <c r="AD18" s="53">
        <f t="shared" si="10"/>
        <v>0</v>
      </c>
      <c r="AE18" s="56">
        <f t="shared" si="10"/>
        <v>116.57142857142856</v>
      </c>
      <c r="AF18" s="56">
        <f t="shared" si="10"/>
        <v>175.42857142857142</v>
      </c>
    </row>
    <row r="19" spans="2:32" ht="23.1" customHeight="1" x14ac:dyDescent="0.25">
      <c r="B19" s="23" t="s">
        <v>46</v>
      </c>
      <c r="C19" s="49">
        <f>AVERAGE('17.10 MBARARA-MASAKA'!C19,'18.10 MBARARA-MASAKA-24H'!C19,'19.10 MBARARA-MASAKA-24H'!C19,'20.10 MBARARA-MASAKA'!C19,'21.10 MBARARA- MASAKA'!C19,'22.10 MBARARA-MASAKA'!C19,'23.10 MBARARA-MASAKA'!C19)</f>
        <v>4.8571428571428568</v>
      </c>
      <c r="D19" s="49">
        <f>AVERAGE('17.10 MBARARA-MASAKA'!D19,'18.10 MBARARA-MASAKA-24H'!D19,'19.10 MBARARA-MASAKA-24H'!D19,'20.10 MBARARA-MASAKA'!D19,'21.10 MBARARA- MASAKA'!D19,'22.10 MBARARA-MASAKA'!D19,'23.10 MBARARA-MASAKA'!D19)</f>
        <v>3.1428571428571428</v>
      </c>
      <c r="E19" s="49">
        <f>AVERAGE('17.10 MBARARA-MASAKA'!E19,'18.10 MBARARA-MASAKA-24H'!E19,'19.10 MBARARA-MASAKA-24H'!E19,'20.10 MBARARA-MASAKA'!E19,'21.10 MBARARA- MASAKA'!E19,'22.10 MBARARA-MASAKA'!E19,'23.10 MBARARA-MASAKA'!E19)</f>
        <v>1.1428571428571428</v>
      </c>
      <c r="F19" s="49">
        <f>AVERAGE('17.10 MBARARA-MASAKA'!F19,'18.10 MBARARA-MASAKA-24H'!F19,'19.10 MBARARA-MASAKA-24H'!F19,'20.10 MBARARA-MASAKA'!F19,'21.10 MBARARA- MASAKA'!F19,'22.10 MBARARA-MASAKA'!F19,'23.10 MBARARA-MASAKA'!F19)</f>
        <v>5.1428571428571432</v>
      </c>
      <c r="G19" s="49">
        <f>AVERAGE('17.10 MBARARA-MASAKA'!G19,'18.10 MBARARA-MASAKA-24H'!G19,'19.10 MBARARA-MASAKA-24H'!G19,'20.10 MBARARA-MASAKA'!G19,'21.10 MBARARA- MASAKA'!G19,'22.10 MBARARA-MASAKA'!G19,'23.10 MBARARA-MASAKA'!G19)</f>
        <v>0</v>
      </c>
      <c r="H19" s="49">
        <f>AVERAGE('17.10 MBARARA-MASAKA'!H19,'18.10 MBARARA-MASAKA-24H'!H19,'19.10 MBARARA-MASAKA-24H'!H19,'20.10 MBARARA-MASAKA'!H19,'21.10 MBARARA- MASAKA'!H19,'22.10 MBARARA-MASAKA'!H19,'23.10 MBARARA-MASAKA'!H19)</f>
        <v>0.14285714285714285</v>
      </c>
      <c r="I19" s="49">
        <f>AVERAGE('17.10 MBARARA-MASAKA'!I19,'18.10 MBARARA-MASAKA-24H'!I19,'19.10 MBARARA-MASAKA-24H'!I19,'20.10 MBARARA-MASAKA'!I19,'21.10 MBARARA- MASAKA'!I19,'22.10 MBARARA-MASAKA'!I19,'23.10 MBARARA-MASAKA'!I19)</f>
        <v>1.5714285714285714</v>
      </c>
      <c r="J19" s="49">
        <f>AVERAGE('17.10 MBARARA-MASAKA'!J19,'18.10 MBARARA-MASAKA-24H'!J19,'19.10 MBARARA-MASAKA-24H'!J19,'20.10 MBARARA-MASAKA'!J19,'21.10 MBARARA- MASAKA'!J19,'22.10 MBARARA-MASAKA'!J19,'23.10 MBARARA-MASAKA'!J19)</f>
        <v>0.42857142857142855</v>
      </c>
      <c r="K19" s="49">
        <f>AVERAGE('17.10 MBARARA-MASAKA'!K19,'18.10 MBARARA-MASAKA-24H'!K19,'19.10 MBARARA-MASAKA-24H'!K19,'20.10 MBARARA-MASAKA'!K19,'21.10 MBARARA- MASAKA'!K19,'22.10 MBARARA-MASAKA'!K19,'23.10 MBARARA-MASAKA'!K19)</f>
        <v>0.5714285714285714</v>
      </c>
      <c r="L19" s="49">
        <f>AVERAGE('17.10 MBARARA-MASAKA'!L19,'18.10 MBARARA-MASAKA-24H'!L19,'19.10 MBARARA-MASAKA-24H'!L19,'20.10 MBARARA-MASAKA'!L19,'21.10 MBARARA- MASAKA'!L19,'22.10 MBARARA-MASAKA'!L19,'23.10 MBARARA-MASAKA'!L19)</f>
        <v>0.14285714285714285</v>
      </c>
      <c r="M19" s="49">
        <f>AVERAGE('17.10 MBARARA-MASAKA'!M19,'18.10 MBARARA-MASAKA-24H'!M19,'19.10 MBARARA-MASAKA-24H'!M19,'20.10 MBARARA-MASAKA'!M19,'21.10 MBARARA- MASAKA'!M19,'22.10 MBARARA-MASAKA'!M19,'23.10 MBARARA-MASAKA'!M19)</f>
        <v>14.285714285714286</v>
      </c>
      <c r="N19" s="49">
        <f>AVERAGE('17.10 MBARARA-MASAKA'!N19,'18.10 MBARARA-MASAKA-24H'!N19,'19.10 MBARARA-MASAKA-24H'!N19,'20.10 MBARARA-MASAKA'!N19,'21.10 MBARARA- MASAKA'!N19,'22.10 MBARARA-MASAKA'!N19,'23.10 MBARARA-MASAKA'!N19)</f>
        <v>0</v>
      </c>
      <c r="O19" s="15">
        <f t="shared" si="0"/>
        <v>17.142857142857142</v>
      </c>
      <c r="P19" s="15">
        <f t="shared" si="1"/>
        <v>31.428571428571431</v>
      </c>
      <c r="R19" s="51" t="s">
        <v>15</v>
      </c>
      <c r="S19" s="53">
        <f t="shared" ref="S19:AF19" si="11">SUM(C46:C49)</f>
        <v>41.428571428571431</v>
      </c>
      <c r="T19" s="53">
        <f t="shared" si="11"/>
        <v>17</v>
      </c>
      <c r="U19" s="53">
        <f t="shared" si="11"/>
        <v>13.142857142857142</v>
      </c>
      <c r="V19" s="53">
        <f t="shared" si="11"/>
        <v>18.428571428571431</v>
      </c>
      <c r="W19" s="53">
        <f t="shared" si="11"/>
        <v>0.14285714285714285</v>
      </c>
      <c r="X19" s="53">
        <f t="shared" si="11"/>
        <v>5.5714285714285703</v>
      </c>
      <c r="Y19" s="53">
        <f t="shared" si="11"/>
        <v>6</v>
      </c>
      <c r="Z19" s="53">
        <f t="shared" si="11"/>
        <v>6.7142857142857153</v>
      </c>
      <c r="AA19" s="53">
        <f t="shared" si="11"/>
        <v>8.8571428571428559</v>
      </c>
      <c r="AB19" s="53">
        <f t="shared" si="11"/>
        <v>1.2857142857142856</v>
      </c>
      <c r="AC19" s="53">
        <f t="shared" si="11"/>
        <v>66.428571428571431</v>
      </c>
      <c r="AD19" s="53">
        <f t="shared" si="11"/>
        <v>0</v>
      </c>
      <c r="AE19" s="56">
        <f t="shared" si="11"/>
        <v>118.57142857142857</v>
      </c>
      <c r="AF19" s="56">
        <f t="shared" si="11"/>
        <v>185</v>
      </c>
    </row>
    <row r="20" spans="2:32" ht="23.1" customHeight="1" x14ac:dyDescent="0.25">
      <c r="B20" s="23" t="s">
        <v>47</v>
      </c>
      <c r="C20" s="49">
        <f>AVERAGE('17.10 MBARARA-MASAKA'!C20,'18.10 MBARARA-MASAKA-24H'!C20,'19.10 MBARARA-MASAKA-24H'!C20,'20.10 MBARARA-MASAKA'!C20,'21.10 MBARARA- MASAKA'!C20,'22.10 MBARARA-MASAKA'!C20,'23.10 MBARARA-MASAKA'!C20)</f>
        <v>7.2857142857142856</v>
      </c>
      <c r="D20" s="49">
        <f>AVERAGE('17.10 MBARARA-MASAKA'!D20,'18.10 MBARARA-MASAKA-24H'!D20,'19.10 MBARARA-MASAKA-24H'!D20,'20.10 MBARARA-MASAKA'!D20,'21.10 MBARARA- MASAKA'!D20,'22.10 MBARARA-MASAKA'!D20,'23.10 MBARARA-MASAKA'!D20)</f>
        <v>2</v>
      </c>
      <c r="E20" s="49">
        <f>AVERAGE('17.10 MBARARA-MASAKA'!E20,'18.10 MBARARA-MASAKA-24H'!E20,'19.10 MBARARA-MASAKA-24H'!E20,'20.10 MBARARA-MASAKA'!E20,'21.10 MBARARA- MASAKA'!E20,'22.10 MBARARA-MASAKA'!E20,'23.10 MBARARA-MASAKA'!E20)</f>
        <v>1.4285714285714286</v>
      </c>
      <c r="F20" s="49">
        <f>AVERAGE('17.10 MBARARA-MASAKA'!F20,'18.10 MBARARA-MASAKA-24H'!F20,'19.10 MBARARA-MASAKA-24H'!F20,'20.10 MBARARA-MASAKA'!F20,'21.10 MBARARA- MASAKA'!F20,'22.10 MBARARA-MASAKA'!F20,'23.10 MBARARA-MASAKA'!F20)</f>
        <v>5.4285714285714288</v>
      </c>
      <c r="G20" s="49">
        <f>AVERAGE('17.10 MBARARA-MASAKA'!G20,'18.10 MBARARA-MASAKA-24H'!G20,'19.10 MBARARA-MASAKA-24H'!G20,'20.10 MBARARA-MASAKA'!G20,'21.10 MBARARA- MASAKA'!G20,'22.10 MBARARA-MASAKA'!G20,'23.10 MBARARA-MASAKA'!G20)</f>
        <v>0</v>
      </c>
      <c r="H20" s="49">
        <f>AVERAGE('17.10 MBARARA-MASAKA'!H20,'18.10 MBARARA-MASAKA-24H'!H20,'19.10 MBARARA-MASAKA-24H'!H20,'20.10 MBARARA-MASAKA'!H20,'21.10 MBARARA- MASAKA'!H20,'22.10 MBARARA-MASAKA'!H20,'23.10 MBARARA-MASAKA'!H20)</f>
        <v>0.5714285714285714</v>
      </c>
      <c r="I20" s="49">
        <f>AVERAGE('17.10 MBARARA-MASAKA'!I20,'18.10 MBARARA-MASAKA-24H'!I20,'19.10 MBARARA-MASAKA-24H'!I20,'20.10 MBARARA-MASAKA'!I20,'21.10 MBARARA- MASAKA'!I20,'22.10 MBARARA-MASAKA'!I20,'23.10 MBARARA-MASAKA'!I20)</f>
        <v>1</v>
      </c>
      <c r="J20" s="49">
        <f>AVERAGE('17.10 MBARARA-MASAKA'!J20,'18.10 MBARARA-MASAKA-24H'!J20,'19.10 MBARARA-MASAKA-24H'!J20,'20.10 MBARARA-MASAKA'!J20,'21.10 MBARARA- MASAKA'!J20,'22.10 MBARARA-MASAKA'!J20,'23.10 MBARARA-MASAKA'!J20)</f>
        <v>1</v>
      </c>
      <c r="K20" s="49">
        <f>AVERAGE('17.10 MBARARA-MASAKA'!K20,'18.10 MBARARA-MASAKA-24H'!K20,'19.10 MBARARA-MASAKA-24H'!K20,'20.10 MBARARA-MASAKA'!K20,'21.10 MBARARA- MASAKA'!K20,'22.10 MBARARA-MASAKA'!K20,'23.10 MBARARA-MASAKA'!K20)</f>
        <v>1.4285714285714286</v>
      </c>
      <c r="L20" s="49">
        <f>AVERAGE('17.10 MBARARA-MASAKA'!L20,'18.10 MBARARA-MASAKA-24H'!L20,'19.10 MBARARA-MASAKA-24H'!L20,'20.10 MBARARA-MASAKA'!L20,'21.10 MBARARA- MASAKA'!L20,'22.10 MBARARA-MASAKA'!L20,'23.10 MBARARA-MASAKA'!L20)</f>
        <v>0.14285714285714285</v>
      </c>
      <c r="M20" s="49">
        <f>AVERAGE('17.10 MBARARA-MASAKA'!M20,'18.10 MBARARA-MASAKA-24H'!M20,'19.10 MBARARA-MASAKA-24H'!M20,'20.10 MBARARA-MASAKA'!M20,'21.10 MBARARA- MASAKA'!M20,'22.10 MBARARA-MASAKA'!M20,'23.10 MBARARA-MASAKA'!M20)</f>
        <v>13.714285714285714</v>
      </c>
      <c r="N20" s="49">
        <f>AVERAGE('17.10 MBARARA-MASAKA'!N20,'18.10 MBARARA-MASAKA-24H'!N20,'19.10 MBARARA-MASAKA-24H'!N20,'20.10 MBARARA-MASAKA'!N20,'21.10 MBARARA- MASAKA'!N20,'22.10 MBARARA-MASAKA'!N20,'23.10 MBARARA-MASAKA'!N20)</f>
        <v>0</v>
      </c>
      <c r="O20" s="15">
        <f t="shared" si="0"/>
        <v>20.285714285714285</v>
      </c>
      <c r="P20" s="15">
        <f t="shared" si="1"/>
        <v>34</v>
      </c>
      <c r="R20" s="51" t="s">
        <v>16</v>
      </c>
      <c r="S20" s="53">
        <f t="shared" ref="S20:AF20" si="12">SUM(C50:C53)</f>
        <v>47.142857142857139</v>
      </c>
      <c r="T20" s="53">
        <f t="shared" si="12"/>
        <v>24.428571428571427</v>
      </c>
      <c r="U20" s="53">
        <f t="shared" si="12"/>
        <v>17</v>
      </c>
      <c r="V20" s="53">
        <f t="shared" si="12"/>
        <v>21.857142857142858</v>
      </c>
      <c r="W20" s="53">
        <f t="shared" si="12"/>
        <v>1.4285714285714284</v>
      </c>
      <c r="X20" s="53">
        <f t="shared" si="12"/>
        <v>5.7142857142857135</v>
      </c>
      <c r="Y20" s="53">
        <f t="shared" si="12"/>
        <v>8.7142857142857135</v>
      </c>
      <c r="Z20" s="53">
        <f t="shared" si="12"/>
        <v>12.285714285714285</v>
      </c>
      <c r="AA20" s="53">
        <f t="shared" si="12"/>
        <v>12.428571428571431</v>
      </c>
      <c r="AB20" s="53">
        <f t="shared" si="12"/>
        <v>1.7142857142857142</v>
      </c>
      <c r="AC20" s="53">
        <f t="shared" si="12"/>
        <v>77.428571428571445</v>
      </c>
      <c r="AD20" s="53">
        <f t="shared" si="12"/>
        <v>0</v>
      </c>
      <c r="AE20" s="56">
        <f t="shared" si="12"/>
        <v>152.71428571428572</v>
      </c>
      <c r="AF20" s="56">
        <f t="shared" si="12"/>
        <v>230.14285714285717</v>
      </c>
    </row>
    <row r="21" spans="2:32" ht="23.1" customHeight="1" x14ac:dyDescent="0.25">
      <c r="B21" s="23" t="s">
        <v>48</v>
      </c>
      <c r="C21" s="49">
        <f>AVERAGE('17.10 MBARARA-MASAKA'!C21,'18.10 MBARARA-MASAKA-24H'!C21,'19.10 MBARARA-MASAKA-24H'!C21,'20.10 MBARARA-MASAKA'!C21,'21.10 MBARARA- MASAKA'!C21,'22.10 MBARARA-MASAKA'!C21,'23.10 MBARARA-MASAKA'!C21)</f>
        <v>4.5714285714285712</v>
      </c>
      <c r="D21" s="49">
        <f>AVERAGE('17.10 MBARARA-MASAKA'!D21,'18.10 MBARARA-MASAKA-24H'!D21,'19.10 MBARARA-MASAKA-24H'!D21,'20.10 MBARARA-MASAKA'!D21,'21.10 MBARARA- MASAKA'!D21,'22.10 MBARARA-MASAKA'!D21,'23.10 MBARARA-MASAKA'!D21)</f>
        <v>1.8571428571428572</v>
      </c>
      <c r="E21" s="49">
        <f>AVERAGE('17.10 MBARARA-MASAKA'!E21,'18.10 MBARARA-MASAKA-24H'!E21,'19.10 MBARARA-MASAKA-24H'!E21,'20.10 MBARARA-MASAKA'!E21,'21.10 MBARARA- MASAKA'!E21,'22.10 MBARARA-MASAKA'!E21,'23.10 MBARARA-MASAKA'!E21)</f>
        <v>1.4285714285714286</v>
      </c>
      <c r="F21" s="49">
        <f>AVERAGE('17.10 MBARARA-MASAKA'!F21,'18.10 MBARARA-MASAKA-24H'!F21,'19.10 MBARARA-MASAKA-24H'!F21,'20.10 MBARARA-MASAKA'!F21,'21.10 MBARARA- MASAKA'!F21,'22.10 MBARARA-MASAKA'!F21,'23.10 MBARARA-MASAKA'!F21)</f>
        <v>4.1428571428571432</v>
      </c>
      <c r="G21" s="49">
        <f>AVERAGE('17.10 MBARARA-MASAKA'!G21,'18.10 MBARARA-MASAKA-24H'!G21,'19.10 MBARARA-MASAKA-24H'!G21,'20.10 MBARARA-MASAKA'!G21,'21.10 MBARARA- MASAKA'!G21,'22.10 MBARARA-MASAKA'!G21,'23.10 MBARARA-MASAKA'!G21)</f>
        <v>0.14285714285714285</v>
      </c>
      <c r="H21" s="49">
        <f>AVERAGE('17.10 MBARARA-MASAKA'!H21,'18.10 MBARARA-MASAKA-24H'!H21,'19.10 MBARARA-MASAKA-24H'!H21,'20.10 MBARARA-MASAKA'!H21,'21.10 MBARARA- MASAKA'!H21,'22.10 MBARARA-MASAKA'!H21,'23.10 MBARARA-MASAKA'!H21)</f>
        <v>0.5714285714285714</v>
      </c>
      <c r="I21" s="49">
        <f>AVERAGE('17.10 MBARARA-MASAKA'!I21,'18.10 MBARARA-MASAKA-24H'!I21,'19.10 MBARARA-MASAKA-24H'!I21,'20.10 MBARARA-MASAKA'!I21,'21.10 MBARARA- MASAKA'!I21,'22.10 MBARARA-MASAKA'!I21,'23.10 MBARARA-MASAKA'!I21)</f>
        <v>0.8571428571428571</v>
      </c>
      <c r="J21" s="49">
        <f>AVERAGE('17.10 MBARARA-MASAKA'!J21,'18.10 MBARARA-MASAKA-24H'!J21,'19.10 MBARARA-MASAKA-24H'!J21,'20.10 MBARARA-MASAKA'!J21,'21.10 MBARARA- MASAKA'!J21,'22.10 MBARARA-MASAKA'!J21,'23.10 MBARARA-MASAKA'!J21)</f>
        <v>0.5714285714285714</v>
      </c>
      <c r="K21" s="49">
        <f>AVERAGE('17.10 MBARARA-MASAKA'!K21,'18.10 MBARARA-MASAKA-24H'!K21,'19.10 MBARARA-MASAKA-24H'!K21,'20.10 MBARARA-MASAKA'!K21,'21.10 MBARARA- MASAKA'!K21,'22.10 MBARARA-MASAKA'!K21,'23.10 MBARARA-MASAKA'!K21)</f>
        <v>1.7142857142857142</v>
      </c>
      <c r="L21" s="49">
        <f>AVERAGE('17.10 MBARARA-MASAKA'!L21,'18.10 MBARARA-MASAKA-24H'!L21,'19.10 MBARARA-MASAKA-24H'!L21,'20.10 MBARARA-MASAKA'!L21,'21.10 MBARARA- MASAKA'!L21,'22.10 MBARARA-MASAKA'!L21,'23.10 MBARARA-MASAKA'!L21)</f>
        <v>0</v>
      </c>
      <c r="M21" s="49">
        <f>AVERAGE('17.10 MBARARA-MASAKA'!M21,'18.10 MBARARA-MASAKA-24H'!M21,'19.10 MBARARA-MASAKA-24H'!M21,'20.10 MBARARA-MASAKA'!M21,'21.10 MBARARA- MASAKA'!M21,'22.10 MBARARA-MASAKA'!M21,'23.10 MBARARA-MASAKA'!M21)</f>
        <v>11.428571428571429</v>
      </c>
      <c r="N21" s="49">
        <f>AVERAGE('17.10 MBARARA-MASAKA'!N21,'18.10 MBARARA-MASAKA-24H'!N21,'19.10 MBARARA-MASAKA-24H'!N21,'20.10 MBARARA-MASAKA'!N21,'21.10 MBARARA- MASAKA'!N21,'22.10 MBARARA-MASAKA'!N21,'23.10 MBARARA-MASAKA'!N21)</f>
        <v>0</v>
      </c>
      <c r="O21" s="15">
        <f t="shared" si="0"/>
        <v>15.857142857142856</v>
      </c>
      <c r="P21" s="15">
        <f t="shared" si="1"/>
        <v>27.285714285714285</v>
      </c>
      <c r="R21" s="58" t="s">
        <v>20</v>
      </c>
      <c r="S21" s="57">
        <f t="shared" ref="S21:AF21" si="13">SUM(C54:C57)</f>
        <v>50.285714285714292</v>
      </c>
      <c r="T21" s="53">
        <f t="shared" si="13"/>
        <v>17</v>
      </c>
      <c r="U21" s="53">
        <f t="shared" si="13"/>
        <v>15.142857142857142</v>
      </c>
      <c r="V21" s="53">
        <f t="shared" si="13"/>
        <v>24.857142857142858</v>
      </c>
      <c r="W21" s="53">
        <f t="shared" si="13"/>
        <v>1.2857142857142856</v>
      </c>
      <c r="X21" s="53">
        <f t="shared" si="13"/>
        <v>4.4285714285714288</v>
      </c>
      <c r="Y21" s="53">
        <f t="shared" si="13"/>
        <v>11.142857142857144</v>
      </c>
      <c r="Z21" s="53">
        <f t="shared" si="13"/>
        <v>13.428571428571429</v>
      </c>
      <c r="AA21" s="53">
        <f t="shared" si="13"/>
        <v>13.857142857142856</v>
      </c>
      <c r="AB21" s="53">
        <f t="shared" si="13"/>
        <v>1.2857142857142856</v>
      </c>
      <c r="AC21" s="53">
        <f t="shared" si="13"/>
        <v>76.285714285714292</v>
      </c>
      <c r="AD21" s="53">
        <f t="shared" si="13"/>
        <v>0</v>
      </c>
      <c r="AE21" s="56">
        <f t="shared" si="13"/>
        <v>152.71428571428572</v>
      </c>
      <c r="AF21" s="56">
        <f t="shared" si="13"/>
        <v>229.00000000000003</v>
      </c>
    </row>
    <row r="22" spans="2:32" ht="23.1" customHeight="1" x14ac:dyDescent="0.25">
      <c r="B22" s="23" t="s">
        <v>49</v>
      </c>
      <c r="C22" s="49">
        <f>AVERAGE('17.10 MBARARA-MASAKA'!C22,'18.10 MBARARA-MASAKA-24H'!C22,'19.10 MBARARA-MASAKA-24H'!C22,'20.10 MBARARA-MASAKA'!C22,'21.10 MBARARA- MASAKA'!C22,'22.10 MBARARA-MASAKA'!C22,'23.10 MBARARA-MASAKA'!C22)</f>
        <v>6.5714285714285712</v>
      </c>
      <c r="D22" s="49">
        <f>AVERAGE('17.10 MBARARA-MASAKA'!D22,'18.10 MBARARA-MASAKA-24H'!D22,'19.10 MBARARA-MASAKA-24H'!D22,'20.10 MBARARA-MASAKA'!D22,'21.10 MBARARA- MASAKA'!D22,'22.10 MBARARA-MASAKA'!D22,'23.10 MBARARA-MASAKA'!D22)</f>
        <v>3.4285714285714284</v>
      </c>
      <c r="E22" s="49">
        <f>AVERAGE('17.10 MBARARA-MASAKA'!E22,'18.10 MBARARA-MASAKA-24H'!E22,'19.10 MBARARA-MASAKA-24H'!E22,'20.10 MBARARA-MASAKA'!E22,'21.10 MBARARA- MASAKA'!E22,'22.10 MBARARA-MASAKA'!E22,'23.10 MBARARA-MASAKA'!E22)</f>
        <v>1.4285714285714286</v>
      </c>
      <c r="F22" s="49">
        <f>AVERAGE('17.10 MBARARA-MASAKA'!F22,'18.10 MBARARA-MASAKA-24H'!F22,'19.10 MBARARA-MASAKA-24H'!F22,'20.10 MBARARA-MASAKA'!F22,'21.10 MBARARA- MASAKA'!F22,'22.10 MBARARA-MASAKA'!F22,'23.10 MBARARA-MASAKA'!F22)</f>
        <v>4.2857142857142856</v>
      </c>
      <c r="G22" s="49">
        <f>AVERAGE('17.10 MBARARA-MASAKA'!G22,'18.10 MBARARA-MASAKA-24H'!G22,'19.10 MBARARA-MASAKA-24H'!G22,'20.10 MBARARA-MASAKA'!G22,'21.10 MBARARA- MASAKA'!G22,'22.10 MBARARA-MASAKA'!G22,'23.10 MBARARA-MASAKA'!G22)</f>
        <v>0.42857142857142855</v>
      </c>
      <c r="H22" s="49">
        <f>AVERAGE('17.10 MBARARA-MASAKA'!H22,'18.10 MBARARA-MASAKA-24H'!H22,'19.10 MBARARA-MASAKA-24H'!H22,'20.10 MBARARA-MASAKA'!H22,'21.10 MBARARA- MASAKA'!H22,'22.10 MBARARA-MASAKA'!H22,'23.10 MBARARA-MASAKA'!H22)</f>
        <v>0.7142857142857143</v>
      </c>
      <c r="I22" s="49">
        <f>AVERAGE('17.10 MBARARA-MASAKA'!I22,'18.10 MBARARA-MASAKA-24H'!I22,'19.10 MBARARA-MASAKA-24H'!I22,'20.10 MBARARA-MASAKA'!I22,'21.10 MBARARA- MASAKA'!I22,'22.10 MBARARA-MASAKA'!I22,'23.10 MBARARA-MASAKA'!I22)</f>
        <v>1.5714285714285714</v>
      </c>
      <c r="J22" s="49">
        <f>AVERAGE('17.10 MBARARA-MASAKA'!J22,'18.10 MBARARA-MASAKA-24H'!J22,'19.10 MBARARA-MASAKA-24H'!J22,'20.10 MBARARA-MASAKA'!J22,'21.10 MBARARA- MASAKA'!J22,'22.10 MBARARA-MASAKA'!J22,'23.10 MBARARA-MASAKA'!J22)</f>
        <v>0.5714285714285714</v>
      </c>
      <c r="K22" s="49">
        <f>AVERAGE('17.10 MBARARA-MASAKA'!K22,'18.10 MBARARA-MASAKA-24H'!K22,'19.10 MBARARA-MASAKA-24H'!K22,'20.10 MBARARA-MASAKA'!K22,'21.10 MBARARA- MASAKA'!K22,'22.10 MBARARA-MASAKA'!K22,'23.10 MBARARA-MASAKA'!K22)</f>
        <v>1.1428571428571428</v>
      </c>
      <c r="L22" s="49">
        <f>AVERAGE('17.10 MBARARA-MASAKA'!L22,'18.10 MBARARA-MASAKA-24H'!L22,'19.10 MBARARA-MASAKA-24H'!L22,'20.10 MBARARA-MASAKA'!L22,'21.10 MBARARA- MASAKA'!L22,'22.10 MBARARA-MASAKA'!L22,'23.10 MBARARA-MASAKA'!L22)</f>
        <v>0</v>
      </c>
      <c r="M22" s="49">
        <f>AVERAGE('17.10 MBARARA-MASAKA'!M22,'18.10 MBARARA-MASAKA-24H'!M22,'19.10 MBARARA-MASAKA-24H'!M22,'20.10 MBARARA-MASAKA'!M22,'21.10 MBARARA- MASAKA'!M22,'22.10 MBARARA-MASAKA'!M22,'23.10 MBARARA-MASAKA'!M22)</f>
        <v>16.714285714285715</v>
      </c>
      <c r="N22" s="49">
        <f>AVERAGE('17.10 MBARARA-MASAKA'!N22,'18.10 MBARARA-MASAKA-24H'!N22,'19.10 MBARARA-MASAKA-24H'!N22,'20.10 MBARARA-MASAKA'!N22,'21.10 MBARARA- MASAKA'!N22,'22.10 MBARARA-MASAKA'!N22,'23.10 MBARARA-MASAKA'!N22)</f>
        <v>0</v>
      </c>
      <c r="O22" s="15">
        <f t="shared" si="0"/>
        <v>20.142857142857146</v>
      </c>
      <c r="P22" s="15">
        <f t="shared" si="1"/>
        <v>36.857142857142861</v>
      </c>
      <c r="R22" s="51" t="s">
        <v>146</v>
      </c>
      <c r="S22" s="57">
        <f>SUM(C58:C61)</f>
        <v>33.5</v>
      </c>
      <c r="T22" s="57">
        <f t="shared" ref="T22:AF22" si="14">SUM(D58:D61)</f>
        <v>12</v>
      </c>
      <c r="U22" s="57">
        <f t="shared" si="14"/>
        <v>9</v>
      </c>
      <c r="V22" s="57">
        <f t="shared" si="14"/>
        <v>18</v>
      </c>
      <c r="W22" s="57">
        <f t="shared" si="14"/>
        <v>1</v>
      </c>
      <c r="X22" s="57">
        <f t="shared" si="14"/>
        <v>4.5</v>
      </c>
      <c r="Y22" s="57">
        <f t="shared" si="14"/>
        <v>15.5</v>
      </c>
      <c r="Z22" s="57">
        <f t="shared" si="14"/>
        <v>8</v>
      </c>
      <c r="AA22" s="57">
        <f t="shared" si="14"/>
        <v>17.5</v>
      </c>
      <c r="AB22" s="57">
        <f t="shared" si="14"/>
        <v>0.5</v>
      </c>
      <c r="AC22" s="57">
        <f t="shared" si="14"/>
        <v>41</v>
      </c>
      <c r="AD22" s="57">
        <f t="shared" si="14"/>
        <v>0</v>
      </c>
      <c r="AE22" s="56">
        <f t="shared" si="14"/>
        <v>119.5</v>
      </c>
      <c r="AF22" s="56">
        <f t="shared" si="14"/>
        <v>160.5</v>
      </c>
    </row>
    <row r="23" spans="2:32" ht="23.1" customHeight="1" x14ac:dyDescent="0.25">
      <c r="B23" s="23" t="s">
        <v>50</v>
      </c>
      <c r="C23" s="49">
        <f>AVERAGE('17.10 MBARARA-MASAKA'!C23,'18.10 MBARARA-MASAKA-24H'!C23,'19.10 MBARARA-MASAKA-24H'!C23,'20.10 MBARARA-MASAKA'!C23,'21.10 MBARARA- MASAKA'!C23,'22.10 MBARARA-MASAKA'!C23,'23.10 MBARARA-MASAKA'!C23)</f>
        <v>8.4285714285714288</v>
      </c>
      <c r="D23" s="49">
        <f>AVERAGE('17.10 MBARARA-MASAKA'!D23,'18.10 MBARARA-MASAKA-24H'!D23,'19.10 MBARARA-MASAKA-24H'!D23,'20.10 MBARARA-MASAKA'!D23,'21.10 MBARARA- MASAKA'!D23,'22.10 MBARARA-MASAKA'!D23,'23.10 MBARARA-MASAKA'!D23)</f>
        <v>3.8571428571428572</v>
      </c>
      <c r="E23" s="49">
        <f>AVERAGE('17.10 MBARARA-MASAKA'!E23,'18.10 MBARARA-MASAKA-24H'!E23,'19.10 MBARARA-MASAKA-24H'!E23,'20.10 MBARARA-MASAKA'!E23,'21.10 MBARARA- MASAKA'!E23,'22.10 MBARARA-MASAKA'!E23,'23.10 MBARARA-MASAKA'!E23)</f>
        <v>1.7142857142857142</v>
      </c>
      <c r="F23" s="49">
        <f>AVERAGE('17.10 MBARARA-MASAKA'!F23,'18.10 MBARARA-MASAKA-24H'!F23,'19.10 MBARARA-MASAKA-24H'!F23,'20.10 MBARARA-MASAKA'!F23,'21.10 MBARARA- MASAKA'!F23,'22.10 MBARARA-MASAKA'!F23,'23.10 MBARARA-MASAKA'!F23)</f>
        <v>3.8571428571428572</v>
      </c>
      <c r="G23" s="49">
        <f>AVERAGE('17.10 MBARARA-MASAKA'!G23,'18.10 MBARARA-MASAKA-24H'!G23,'19.10 MBARARA-MASAKA-24H'!G23,'20.10 MBARARA-MASAKA'!G23,'21.10 MBARARA- MASAKA'!G23,'22.10 MBARARA-MASAKA'!G23,'23.10 MBARARA-MASAKA'!G23)</f>
        <v>0</v>
      </c>
      <c r="H23" s="49">
        <f>AVERAGE('17.10 MBARARA-MASAKA'!H23,'18.10 MBARARA-MASAKA-24H'!H23,'19.10 MBARARA-MASAKA-24H'!H23,'20.10 MBARARA-MASAKA'!H23,'21.10 MBARARA- MASAKA'!H23,'22.10 MBARARA-MASAKA'!H23,'23.10 MBARARA-MASAKA'!H23)</f>
        <v>1.1428571428571428</v>
      </c>
      <c r="I23" s="49">
        <f>AVERAGE('17.10 MBARARA-MASAKA'!I23,'18.10 MBARARA-MASAKA-24H'!I23,'19.10 MBARARA-MASAKA-24H'!I23,'20.10 MBARARA-MASAKA'!I23,'21.10 MBARARA- MASAKA'!I23,'22.10 MBARARA-MASAKA'!I23,'23.10 MBARARA-MASAKA'!I23)</f>
        <v>1</v>
      </c>
      <c r="J23" s="49">
        <f>AVERAGE('17.10 MBARARA-MASAKA'!J23,'18.10 MBARARA-MASAKA-24H'!J23,'19.10 MBARARA-MASAKA-24H'!J23,'20.10 MBARARA-MASAKA'!J23,'21.10 MBARARA- MASAKA'!J23,'22.10 MBARARA-MASAKA'!J23,'23.10 MBARARA-MASAKA'!J23)</f>
        <v>1.5714285714285714</v>
      </c>
      <c r="K23" s="49">
        <f>AVERAGE('17.10 MBARARA-MASAKA'!K23,'18.10 MBARARA-MASAKA-24H'!K23,'19.10 MBARARA-MASAKA-24H'!K23,'20.10 MBARARA-MASAKA'!K23,'21.10 MBARARA- MASAKA'!K23,'22.10 MBARARA-MASAKA'!K23,'23.10 MBARARA-MASAKA'!K23)</f>
        <v>1.5714285714285714</v>
      </c>
      <c r="L23" s="49">
        <f>AVERAGE('17.10 MBARARA-MASAKA'!L23,'18.10 MBARARA-MASAKA-24H'!L23,'19.10 MBARARA-MASAKA-24H'!L23,'20.10 MBARARA-MASAKA'!L23,'21.10 MBARARA- MASAKA'!L23,'22.10 MBARARA-MASAKA'!L23,'23.10 MBARARA-MASAKA'!L23)</f>
        <v>0</v>
      </c>
      <c r="M23" s="49">
        <f>AVERAGE('17.10 MBARARA-MASAKA'!M23,'18.10 MBARARA-MASAKA-24H'!M23,'19.10 MBARARA-MASAKA-24H'!M23,'20.10 MBARARA-MASAKA'!M23,'21.10 MBARARA- MASAKA'!M23,'22.10 MBARARA-MASAKA'!M23,'23.10 MBARARA-MASAKA'!M23)</f>
        <v>11.571428571428571</v>
      </c>
      <c r="N23" s="49">
        <f>AVERAGE('17.10 MBARARA-MASAKA'!N23,'18.10 MBARARA-MASAKA-24H'!N23,'19.10 MBARARA-MASAKA-24H'!N23,'20.10 MBARARA-MASAKA'!N23,'21.10 MBARARA- MASAKA'!N23,'22.10 MBARARA-MASAKA'!N23,'23.10 MBARARA-MASAKA'!N23)</f>
        <v>0</v>
      </c>
      <c r="O23" s="15">
        <f t="shared" si="0"/>
        <v>23.142857142857146</v>
      </c>
      <c r="P23" s="15">
        <f t="shared" si="1"/>
        <v>34.714285714285715</v>
      </c>
      <c r="R23" s="51" t="s">
        <v>147</v>
      </c>
      <c r="S23" s="57">
        <f>SUM(C62:C65)</f>
        <v>36</v>
      </c>
      <c r="T23" s="57">
        <f t="shared" ref="T23:AF23" si="15">SUM(D62:D65)</f>
        <v>10.5</v>
      </c>
      <c r="U23" s="57">
        <f t="shared" si="15"/>
        <v>6.5</v>
      </c>
      <c r="V23" s="57">
        <f t="shared" si="15"/>
        <v>19</v>
      </c>
      <c r="W23" s="57">
        <f t="shared" si="15"/>
        <v>1.5</v>
      </c>
      <c r="X23" s="57">
        <f t="shared" si="15"/>
        <v>4</v>
      </c>
      <c r="Y23" s="57">
        <f t="shared" si="15"/>
        <v>12</v>
      </c>
      <c r="Z23" s="57">
        <f t="shared" si="15"/>
        <v>14.5</v>
      </c>
      <c r="AA23" s="57">
        <f t="shared" si="15"/>
        <v>12.5</v>
      </c>
      <c r="AB23" s="57">
        <f t="shared" si="15"/>
        <v>0</v>
      </c>
      <c r="AC23" s="57">
        <f t="shared" si="15"/>
        <v>28.5</v>
      </c>
      <c r="AD23" s="57">
        <f t="shared" si="15"/>
        <v>0</v>
      </c>
      <c r="AE23" s="56">
        <f t="shared" si="15"/>
        <v>116.5</v>
      </c>
      <c r="AF23" s="56">
        <f t="shared" si="15"/>
        <v>145</v>
      </c>
    </row>
    <row r="24" spans="2:32" ht="23.1" customHeight="1" x14ac:dyDescent="0.25">
      <c r="B24" s="23" t="s">
        <v>51</v>
      </c>
      <c r="C24" s="49">
        <f>AVERAGE('17.10 MBARARA-MASAKA'!C24,'18.10 MBARARA-MASAKA-24H'!C24,'19.10 MBARARA-MASAKA-24H'!C24,'20.10 MBARARA-MASAKA'!C24,'21.10 MBARARA- MASAKA'!C24,'22.10 MBARARA-MASAKA'!C24,'23.10 MBARARA-MASAKA'!C24)</f>
        <v>6.2857142857142856</v>
      </c>
      <c r="D24" s="49">
        <f>AVERAGE('17.10 MBARARA-MASAKA'!D24,'18.10 MBARARA-MASAKA-24H'!D24,'19.10 MBARARA-MASAKA-24H'!D24,'20.10 MBARARA-MASAKA'!D24,'21.10 MBARARA- MASAKA'!D24,'22.10 MBARARA-MASAKA'!D24,'23.10 MBARARA-MASAKA'!D24)</f>
        <v>2.2857142857142856</v>
      </c>
      <c r="E24" s="49">
        <f>AVERAGE('17.10 MBARARA-MASAKA'!E24,'18.10 MBARARA-MASAKA-24H'!E24,'19.10 MBARARA-MASAKA-24H'!E24,'20.10 MBARARA-MASAKA'!E24,'21.10 MBARARA- MASAKA'!E24,'22.10 MBARARA-MASAKA'!E24,'23.10 MBARARA-MASAKA'!E24)</f>
        <v>1.8571428571428572</v>
      </c>
      <c r="F24" s="49">
        <f>AVERAGE('17.10 MBARARA-MASAKA'!F24,'18.10 MBARARA-MASAKA-24H'!F24,'19.10 MBARARA-MASAKA-24H'!F24,'20.10 MBARARA-MASAKA'!F24,'21.10 MBARARA- MASAKA'!F24,'22.10 MBARARA-MASAKA'!F24,'23.10 MBARARA-MASAKA'!F24)</f>
        <v>5</v>
      </c>
      <c r="G24" s="49">
        <f>AVERAGE('17.10 MBARARA-MASAKA'!G24,'18.10 MBARARA-MASAKA-24H'!G24,'19.10 MBARARA-MASAKA-24H'!G24,'20.10 MBARARA-MASAKA'!G24,'21.10 MBARARA- MASAKA'!G24,'22.10 MBARARA-MASAKA'!G24,'23.10 MBARARA-MASAKA'!G24)</f>
        <v>0.2857142857142857</v>
      </c>
      <c r="H24" s="49">
        <f>AVERAGE('17.10 MBARARA-MASAKA'!H24,'18.10 MBARARA-MASAKA-24H'!H24,'19.10 MBARARA-MASAKA-24H'!H24,'20.10 MBARARA-MASAKA'!H24,'21.10 MBARARA- MASAKA'!H24,'22.10 MBARARA-MASAKA'!H24,'23.10 MBARARA-MASAKA'!H24)</f>
        <v>1.4285714285714286</v>
      </c>
      <c r="I24" s="49">
        <f>AVERAGE('17.10 MBARARA-MASAKA'!I24,'18.10 MBARARA-MASAKA-24H'!I24,'19.10 MBARARA-MASAKA-24H'!I24,'20.10 MBARARA-MASAKA'!I24,'21.10 MBARARA- MASAKA'!I24,'22.10 MBARARA-MASAKA'!I24,'23.10 MBARARA-MASAKA'!I24)</f>
        <v>0.8571428571428571</v>
      </c>
      <c r="J24" s="49">
        <f>AVERAGE('17.10 MBARARA-MASAKA'!J24,'18.10 MBARARA-MASAKA-24H'!J24,'19.10 MBARARA-MASAKA-24H'!J24,'20.10 MBARARA-MASAKA'!J24,'21.10 MBARARA- MASAKA'!J24,'22.10 MBARARA-MASAKA'!J24,'23.10 MBARARA-MASAKA'!J24)</f>
        <v>0.8571428571428571</v>
      </c>
      <c r="K24" s="49">
        <f>AVERAGE('17.10 MBARARA-MASAKA'!K24,'18.10 MBARARA-MASAKA-24H'!K24,'19.10 MBARARA-MASAKA-24H'!K24,'20.10 MBARARA-MASAKA'!K24,'21.10 MBARARA- MASAKA'!K24,'22.10 MBARARA-MASAKA'!K24,'23.10 MBARARA-MASAKA'!K24)</f>
        <v>1.1428571428571428</v>
      </c>
      <c r="L24" s="49">
        <f>AVERAGE('17.10 MBARARA-MASAKA'!L24,'18.10 MBARARA-MASAKA-24H'!L24,'19.10 MBARARA-MASAKA-24H'!L24,'20.10 MBARARA-MASAKA'!L24,'21.10 MBARARA- MASAKA'!L24,'22.10 MBARARA-MASAKA'!L24,'23.10 MBARARA-MASAKA'!L24)</f>
        <v>0.42857142857142855</v>
      </c>
      <c r="M24" s="49">
        <f>AVERAGE('17.10 MBARARA-MASAKA'!M24,'18.10 MBARARA-MASAKA-24H'!M24,'19.10 MBARARA-MASAKA-24H'!M24,'20.10 MBARARA-MASAKA'!M24,'21.10 MBARARA- MASAKA'!M24,'22.10 MBARARA-MASAKA'!M24,'23.10 MBARARA-MASAKA'!M24)</f>
        <v>11.428571428571429</v>
      </c>
      <c r="N24" s="49">
        <f>AVERAGE('17.10 MBARARA-MASAKA'!N24,'18.10 MBARARA-MASAKA-24H'!N24,'19.10 MBARARA-MASAKA-24H'!N24,'20.10 MBARARA-MASAKA'!N24,'21.10 MBARARA- MASAKA'!N24,'22.10 MBARARA-MASAKA'!N24,'23.10 MBARARA-MASAKA'!N24)</f>
        <v>0</v>
      </c>
      <c r="O24" s="15">
        <f t="shared" si="0"/>
        <v>20.428571428571427</v>
      </c>
      <c r="P24" s="15">
        <f t="shared" si="1"/>
        <v>31.857142857142854</v>
      </c>
      <c r="R24" s="51" t="s">
        <v>148</v>
      </c>
      <c r="S24" s="57">
        <f>SUM(C66:C69)</f>
        <v>31.5</v>
      </c>
      <c r="T24" s="57">
        <f t="shared" ref="T24:AF24" si="16">SUM(D66:D69)</f>
        <v>13.5</v>
      </c>
      <c r="U24" s="57">
        <f t="shared" si="16"/>
        <v>8.5</v>
      </c>
      <c r="V24" s="57">
        <f t="shared" si="16"/>
        <v>10</v>
      </c>
      <c r="W24" s="57">
        <f t="shared" si="16"/>
        <v>2</v>
      </c>
      <c r="X24" s="57">
        <f t="shared" si="16"/>
        <v>4</v>
      </c>
      <c r="Y24" s="57">
        <f t="shared" si="16"/>
        <v>8</v>
      </c>
      <c r="Z24" s="57">
        <f t="shared" si="16"/>
        <v>25</v>
      </c>
      <c r="AA24" s="57">
        <f t="shared" si="16"/>
        <v>16.5</v>
      </c>
      <c r="AB24" s="57">
        <f t="shared" si="16"/>
        <v>0</v>
      </c>
      <c r="AC24" s="57">
        <f t="shared" si="16"/>
        <v>15</v>
      </c>
      <c r="AD24" s="57">
        <f t="shared" si="16"/>
        <v>0</v>
      </c>
      <c r="AE24" s="56">
        <f t="shared" si="16"/>
        <v>119</v>
      </c>
      <c r="AF24" s="56">
        <f t="shared" si="16"/>
        <v>134</v>
      </c>
    </row>
    <row r="25" spans="2:32" ht="23.1" customHeight="1" x14ac:dyDescent="0.25">
      <c r="B25" s="23" t="s">
        <v>52</v>
      </c>
      <c r="C25" s="49">
        <f>AVERAGE('17.10 MBARARA-MASAKA'!C25,'18.10 MBARARA-MASAKA-24H'!C25,'19.10 MBARARA-MASAKA-24H'!C25,'20.10 MBARARA-MASAKA'!C25,'21.10 MBARARA- MASAKA'!C25,'22.10 MBARARA-MASAKA'!C25,'23.10 MBARARA-MASAKA'!C25)</f>
        <v>7.4285714285714288</v>
      </c>
      <c r="D25" s="49">
        <f>AVERAGE('17.10 MBARARA-MASAKA'!D25,'18.10 MBARARA-MASAKA-24H'!D25,'19.10 MBARARA-MASAKA-24H'!D25,'20.10 MBARARA-MASAKA'!D25,'21.10 MBARARA- MASAKA'!D25,'22.10 MBARARA-MASAKA'!D25,'23.10 MBARARA-MASAKA'!D25)</f>
        <v>2.2857142857142856</v>
      </c>
      <c r="E25" s="49">
        <f>AVERAGE('17.10 MBARARA-MASAKA'!E25,'18.10 MBARARA-MASAKA-24H'!E25,'19.10 MBARARA-MASAKA-24H'!E25,'20.10 MBARARA-MASAKA'!E25,'21.10 MBARARA- MASAKA'!E25,'22.10 MBARARA-MASAKA'!E25,'23.10 MBARARA-MASAKA'!E25)</f>
        <v>1.5714285714285714</v>
      </c>
      <c r="F25" s="49">
        <f>AVERAGE('17.10 MBARARA-MASAKA'!F25,'18.10 MBARARA-MASAKA-24H'!F25,'19.10 MBARARA-MASAKA-24H'!F25,'20.10 MBARARA-MASAKA'!F25,'21.10 MBARARA- MASAKA'!F25,'22.10 MBARARA-MASAKA'!F25,'23.10 MBARARA-MASAKA'!F25)</f>
        <v>4.2857142857142856</v>
      </c>
      <c r="G25" s="49">
        <f>AVERAGE('17.10 MBARARA-MASAKA'!G25,'18.10 MBARARA-MASAKA-24H'!G25,'19.10 MBARARA-MASAKA-24H'!G25,'20.10 MBARARA-MASAKA'!G25,'21.10 MBARARA- MASAKA'!G25,'22.10 MBARARA-MASAKA'!G25,'23.10 MBARARA-MASAKA'!G25)</f>
        <v>0</v>
      </c>
      <c r="H25" s="49">
        <f>AVERAGE('17.10 MBARARA-MASAKA'!H25,'18.10 MBARARA-MASAKA-24H'!H25,'19.10 MBARARA-MASAKA-24H'!H25,'20.10 MBARARA-MASAKA'!H25,'21.10 MBARARA- MASAKA'!H25,'22.10 MBARARA-MASAKA'!H25,'23.10 MBARARA-MASAKA'!H25)</f>
        <v>1.1428571428571428</v>
      </c>
      <c r="I25" s="49">
        <f>AVERAGE('17.10 MBARARA-MASAKA'!I25,'18.10 MBARARA-MASAKA-24H'!I25,'19.10 MBARARA-MASAKA-24H'!I25,'20.10 MBARARA-MASAKA'!I25,'21.10 MBARARA- MASAKA'!I25,'22.10 MBARARA-MASAKA'!I25,'23.10 MBARARA-MASAKA'!I25)</f>
        <v>1.4285714285714286</v>
      </c>
      <c r="J25" s="49">
        <f>AVERAGE('17.10 MBARARA-MASAKA'!J25,'18.10 MBARARA-MASAKA-24H'!J25,'19.10 MBARARA-MASAKA-24H'!J25,'20.10 MBARARA-MASAKA'!J25,'21.10 MBARARA- MASAKA'!J25,'22.10 MBARARA-MASAKA'!J25,'23.10 MBARARA-MASAKA'!J25)</f>
        <v>0.14285714285714285</v>
      </c>
      <c r="K25" s="49">
        <f>AVERAGE('17.10 MBARARA-MASAKA'!K25,'18.10 MBARARA-MASAKA-24H'!K25,'19.10 MBARARA-MASAKA-24H'!K25,'20.10 MBARARA-MASAKA'!K25,'21.10 MBARARA- MASAKA'!K25,'22.10 MBARARA-MASAKA'!K25,'23.10 MBARARA-MASAKA'!K25)</f>
        <v>1.1428571428571428</v>
      </c>
      <c r="L25" s="49">
        <f>AVERAGE('17.10 MBARARA-MASAKA'!L25,'18.10 MBARARA-MASAKA-24H'!L25,'19.10 MBARARA-MASAKA-24H'!L25,'20.10 MBARARA-MASAKA'!L25,'21.10 MBARARA- MASAKA'!L25,'22.10 MBARARA-MASAKA'!L25,'23.10 MBARARA-MASAKA'!L25)</f>
        <v>0</v>
      </c>
      <c r="M25" s="49">
        <f>AVERAGE('17.10 MBARARA-MASAKA'!M25,'18.10 MBARARA-MASAKA-24H'!M25,'19.10 MBARARA-MASAKA-24H'!M25,'20.10 MBARARA-MASAKA'!M25,'21.10 MBARARA- MASAKA'!M25,'22.10 MBARARA-MASAKA'!M25,'23.10 MBARARA-MASAKA'!M25)</f>
        <v>13.428571428571429</v>
      </c>
      <c r="N25" s="49">
        <f>AVERAGE('17.10 MBARARA-MASAKA'!N25,'18.10 MBARARA-MASAKA-24H'!N25,'19.10 MBARARA-MASAKA-24H'!N25,'20.10 MBARARA-MASAKA'!N25,'21.10 MBARARA- MASAKA'!N25,'22.10 MBARARA-MASAKA'!N25,'23.10 MBARARA-MASAKA'!N25)</f>
        <v>0</v>
      </c>
      <c r="O25" s="15">
        <f t="shared" si="0"/>
        <v>19.428571428571427</v>
      </c>
      <c r="P25" s="15">
        <f t="shared" si="1"/>
        <v>32.857142857142854</v>
      </c>
      <c r="R25" s="51" t="s">
        <v>149</v>
      </c>
      <c r="S25" s="57">
        <f>SUM(C70:C73)</f>
        <v>22.5</v>
      </c>
      <c r="T25" s="57">
        <f t="shared" ref="T25:AF25" si="17">SUM(D70:D73)</f>
        <v>7</v>
      </c>
      <c r="U25" s="57">
        <f t="shared" si="17"/>
        <v>5</v>
      </c>
      <c r="V25" s="57">
        <f t="shared" si="17"/>
        <v>4.5</v>
      </c>
      <c r="W25" s="57">
        <f t="shared" si="17"/>
        <v>2</v>
      </c>
      <c r="X25" s="57">
        <f t="shared" si="17"/>
        <v>2.5</v>
      </c>
      <c r="Y25" s="57">
        <f t="shared" si="17"/>
        <v>2</v>
      </c>
      <c r="Z25" s="57">
        <f t="shared" si="17"/>
        <v>20.5</v>
      </c>
      <c r="AA25" s="57">
        <f t="shared" si="17"/>
        <v>14</v>
      </c>
      <c r="AB25" s="57">
        <f t="shared" si="17"/>
        <v>0</v>
      </c>
      <c r="AC25" s="57">
        <f t="shared" si="17"/>
        <v>15</v>
      </c>
      <c r="AD25" s="57">
        <f t="shared" si="17"/>
        <v>0</v>
      </c>
      <c r="AE25" s="56">
        <f t="shared" si="17"/>
        <v>80</v>
      </c>
      <c r="AF25" s="56">
        <f t="shared" si="17"/>
        <v>95</v>
      </c>
    </row>
    <row r="26" spans="2:32" ht="23.1" customHeight="1" x14ac:dyDescent="0.25">
      <c r="B26" s="23" t="s">
        <v>53</v>
      </c>
      <c r="C26" s="49">
        <f>AVERAGE('17.10 MBARARA-MASAKA'!C26,'18.10 MBARARA-MASAKA-24H'!C26,'19.10 MBARARA-MASAKA-24H'!C26,'20.10 MBARARA-MASAKA'!C26,'21.10 MBARARA- MASAKA'!C26,'22.10 MBARARA-MASAKA'!C26,'23.10 MBARARA-MASAKA'!C26)</f>
        <v>8.7142857142857135</v>
      </c>
      <c r="D26" s="49">
        <f>AVERAGE('17.10 MBARARA-MASAKA'!D26,'18.10 MBARARA-MASAKA-24H'!D26,'19.10 MBARARA-MASAKA-24H'!D26,'20.10 MBARARA-MASAKA'!D26,'21.10 MBARARA- MASAKA'!D26,'22.10 MBARARA-MASAKA'!D26,'23.10 MBARARA-MASAKA'!D26)</f>
        <v>5</v>
      </c>
      <c r="E26" s="49">
        <f>AVERAGE('17.10 MBARARA-MASAKA'!E26,'18.10 MBARARA-MASAKA-24H'!E26,'19.10 MBARARA-MASAKA-24H'!E26,'20.10 MBARARA-MASAKA'!E26,'21.10 MBARARA- MASAKA'!E26,'22.10 MBARARA-MASAKA'!E26,'23.10 MBARARA-MASAKA'!E26)</f>
        <v>2.8571428571428572</v>
      </c>
      <c r="F26" s="49">
        <f>AVERAGE('17.10 MBARARA-MASAKA'!F26,'18.10 MBARARA-MASAKA-24H'!F26,'19.10 MBARARA-MASAKA-24H'!F26,'20.10 MBARARA-MASAKA'!F26,'21.10 MBARARA- MASAKA'!F26,'22.10 MBARARA-MASAKA'!F26,'23.10 MBARARA-MASAKA'!F26)</f>
        <v>4</v>
      </c>
      <c r="G26" s="49">
        <f>AVERAGE('17.10 MBARARA-MASAKA'!G26,'18.10 MBARARA-MASAKA-24H'!G26,'19.10 MBARARA-MASAKA-24H'!G26,'20.10 MBARARA-MASAKA'!G26,'21.10 MBARARA- MASAKA'!G26,'22.10 MBARARA-MASAKA'!G26,'23.10 MBARARA-MASAKA'!G26)</f>
        <v>0</v>
      </c>
      <c r="H26" s="49">
        <f>AVERAGE('17.10 MBARARA-MASAKA'!H26,'18.10 MBARARA-MASAKA-24H'!H26,'19.10 MBARARA-MASAKA-24H'!H26,'20.10 MBARARA-MASAKA'!H26,'21.10 MBARARA- MASAKA'!H26,'22.10 MBARARA-MASAKA'!H26,'23.10 MBARARA-MASAKA'!H26)</f>
        <v>1.1428571428571428</v>
      </c>
      <c r="I26" s="49">
        <f>AVERAGE('17.10 MBARARA-MASAKA'!I26,'18.10 MBARARA-MASAKA-24H'!I26,'19.10 MBARARA-MASAKA-24H'!I26,'20.10 MBARARA-MASAKA'!I26,'21.10 MBARARA- MASAKA'!I26,'22.10 MBARARA-MASAKA'!I26,'23.10 MBARARA-MASAKA'!I26)</f>
        <v>1.4285714285714286</v>
      </c>
      <c r="J26" s="49">
        <f>AVERAGE('17.10 MBARARA-MASAKA'!J26,'18.10 MBARARA-MASAKA-24H'!J26,'19.10 MBARARA-MASAKA-24H'!J26,'20.10 MBARARA-MASAKA'!J26,'21.10 MBARARA- MASAKA'!J26,'22.10 MBARARA-MASAKA'!J26,'23.10 MBARARA-MASAKA'!J26)</f>
        <v>2</v>
      </c>
      <c r="K26" s="49">
        <f>AVERAGE('17.10 MBARARA-MASAKA'!K26,'18.10 MBARARA-MASAKA-24H'!K26,'19.10 MBARARA-MASAKA-24H'!K26,'20.10 MBARARA-MASAKA'!K26,'21.10 MBARARA- MASAKA'!K26,'22.10 MBARARA-MASAKA'!K26,'23.10 MBARARA-MASAKA'!K26)</f>
        <v>1.2857142857142858</v>
      </c>
      <c r="L26" s="49">
        <f>AVERAGE('17.10 MBARARA-MASAKA'!L26,'18.10 MBARARA-MASAKA-24H'!L26,'19.10 MBARARA-MASAKA-24H'!L26,'20.10 MBARARA-MASAKA'!L26,'21.10 MBARARA- MASAKA'!L26,'22.10 MBARARA-MASAKA'!L26,'23.10 MBARARA-MASAKA'!L26)</f>
        <v>1</v>
      </c>
      <c r="M26" s="49">
        <f>AVERAGE('17.10 MBARARA-MASAKA'!M26,'18.10 MBARARA-MASAKA-24H'!M26,'19.10 MBARARA-MASAKA-24H'!M26,'20.10 MBARARA-MASAKA'!M26,'21.10 MBARARA- MASAKA'!M26,'22.10 MBARARA-MASAKA'!M26,'23.10 MBARARA-MASAKA'!M26)</f>
        <v>14.714285714285714</v>
      </c>
      <c r="N26" s="49">
        <f>AVERAGE('17.10 MBARARA-MASAKA'!N26,'18.10 MBARARA-MASAKA-24H'!N26,'19.10 MBARARA-MASAKA-24H'!N26,'20.10 MBARARA-MASAKA'!N26,'21.10 MBARARA- MASAKA'!N26,'22.10 MBARARA-MASAKA'!N26,'23.10 MBARARA-MASAKA'!N26)</f>
        <v>0</v>
      </c>
      <c r="O26" s="15">
        <f t="shared" si="0"/>
        <v>27.428571428571423</v>
      </c>
      <c r="P26" s="15">
        <f t="shared" si="1"/>
        <v>42.142857142857139</v>
      </c>
      <c r="R26" s="51" t="s">
        <v>150</v>
      </c>
      <c r="S26" s="57">
        <f>SUM(C74:C77)</f>
        <v>18</v>
      </c>
      <c r="T26" s="57">
        <f t="shared" ref="T26:AF26" si="18">SUM(D74:D77)</f>
        <v>4.5</v>
      </c>
      <c r="U26" s="57">
        <f t="shared" si="18"/>
        <v>0.5</v>
      </c>
      <c r="V26" s="57">
        <f t="shared" si="18"/>
        <v>2</v>
      </c>
      <c r="W26" s="57">
        <f t="shared" si="18"/>
        <v>0.5</v>
      </c>
      <c r="X26" s="57">
        <f t="shared" si="18"/>
        <v>2</v>
      </c>
      <c r="Y26" s="57">
        <f t="shared" si="18"/>
        <v>3</v>
      </c>
      <c r="Z26" s="57">
        <f t="shared" si="18"/>
        <v>22.5</v>
      </c>
      <c r="AA26" s="57">
        <f t="shared" si="18"/>
        <v>17</v>
      </c>
      <c r="AB26" s="57">
        <f t="shared" si="18"/>
        <v>0.5</v>
      </c>
      <c r="AC26" s="57">
        <f t="shared" si="18"/>
        <v>6.5</v>
      </c>
      <c r="AD26" s="57">
        <f t="shared" si="18"/>
        <v>0</v>
      </c>
      <c r="AE26" s="56">
        <f t="shared" si="18"/>
        <v>70.5</v>
      </c>
      <c r="AF26" s="56">
        <f t="shared" si="18"/>
        <v>77</v>
      </c>
    </row>
    <row r="27" spans="2:32" ht="23.1" customHeight="1" x14ac:dyDescent="0.25">
      <c r="B27" s="23" t="s">
        <v>54</v>
      </c>
      <c r="C27" s="49">
        <f>AVERAGE('17.10 MBARARA-MASAKA'!C27,'18.10 MBARARA-MASAKA-24H'!C27,'19.10 MBARARA-MASAKA-24H'!C27,'20.10 MBARARA-MASAKA'!C27,'21.10 MBARARA- MASAKA'!C27,'22.10 MBARARA-MASAKA'!C27,'23.10 MBARARA-MASAKA'!C27)</f>
        <v>5.8571428571428568</v>
      </c>
      <c r="D27" s="49">
        <f>AVERAGE('17.10 MBARARA-MASAKA'!D27,'18.10 MBARARA-MASAKA-24H'!D27,'19.10 MBARARA-MASAKA-24H'!D27,'20.10 MBARARA-MASAKA'!D27,'21.10 MBARARA- MASAKA'!D27,'22.10 MBARARA-MASAKA'!D27,'23.10 MBARARA-MASAKA'!D27)</f>
        <v>5</v>
      </c>
      <c r="E27" s="49">
        <f>AVERAGE('17.10 MBARARA-MASAKA'!E27,'18.10 MBARARA-MASAKA-24H'!E27,'19.10 MBARARA-MASAKA-24H'!E27,'20.10 MBARARA-MASAKA'!E27,'21.10 MBARARA- MASAKA'!E27,'22.10 MBARARA-MASAKA'!E27,'23.10 MBARARA-MASAKA'!E27)</f>
        <v>1.7142857142857142</v>
      </c>
      <c r="F27" s="49">
        <f>AVERAGE('17.10 MBARARA-MASAKA'!F27,'18.10 MBARARA-MASAKA-24H'!F27,'19.10 MBARARA-MASAKA-24H'!F27,'20.10 MBARARA-MASAKA'!F27,'21.10 MBARARA- MASAKA'!F27,'22.10 MBARARA-MASAKA'!F27,'23.10 MBARARA-MASAKA'!F27)</f>
        <v>4.4285714285714288</v>
      </c>
      <c r="G27" s="49">
        <f>AVERAGE('17.10 MBARARA-MASAKA'!G27,'18.10 MBARARA-MASAKA-24H'!G27,'19.10 MBARARA-MASAKA-24H'!G27,'20.10 MBARARA-MASAKA'!G27,'21.10 MBARARA- MASAKA'!G27,'22.10 MBARARA-MASAKA'!G27,'23.10 MBARARA-MASAKA'!G27)</f>
        <v>0.2857142857142857</v>
      </c>
      <c r="H27" s="49">
        <f>AVERAGE('17.10 MBARARA-MASAKA'!H27,'18.10 MBARARA-MASAKA-24H'!H27,'19.10 MBARARA-MASAKA-24H'!H27,'20.10 MBARARA-MASAKA'!H27,'21.10 MBARARA- MASAKA'!H27,'22.10 MBARARA-MASAKA'!H27,'23.10 MBARARA-MASAKA'!H27)</f>
        <v>1</v>
      </c>
      <c r="I27" s="49">
        <f>AVERAGE('17.10 MBARARA-MASAKA'!I27,'18.10 MBARARA-MASAKA-24H'!I27,'19.10 MBARARA-MASAKA-24H'!I27,'20.10 MBARARA-MASAKA'!I27,'21.10 MBARARA- MASAKA'!I27,'22.10 MBARARA-MASAKA'!I27,'23.10 MBARARA-MASAKA'!I27)</f>
        <v>0.8571428571428571</v>
      </c>
      <c r="J27" s="49">
        <f>AVERAGE('17.10 MBARARA-MASAKA'!J27,'18.10 MBARARA-MASAKA-24H'!J27,'19.10 MBARARA-MASAKA-24H'!J27,'20.10 MBARARA-MASAKA'!J27,'21.10 MBARARA- MASAKA'!J27,'22.10 MBARARA-MASAKA'!J27,'23.10 MBARARA-MASAKA'!J27)</f>
        <v>1.1428571428571428</v>
      </c>
      <c r="K27" s="49">
        <f>AVERAGE('17.10 MBARARA-MASAKA'!K27,'18.10 MBARARA-MASAKA-24H'!K27,'19.10 MBARARA-MASAKA-24H'!K27,'20.10 MBARARA-MASAKA'!K27,'21.10 MBARARA- MASAKA'!K27,'22.10 MBARARA-MASAKA'!K27,'23.10 MBARARA-MASAKA'!K27)</f>
        <v>1.5714285714285714</v>
      </c>
      <c r="L27" s="49">
        <f>AVERAGE('17.10 MBARARA-MASAKA'!L27,'18.10 MBARARA-MASAKA-24H'!L27,'19.10 MBARARA-MASAKA-24H'!L27,'20.10 MBARARA-MASAKA'!L27,'21.10 MBARARA- MASAKA'!L27,'22.10 MBARARA-MASAKA'!L27,'23.10 MBARARA-MASAKA'!L27)</f>
        <v>0.42857142857142855</v>
      </c>
      <c r="M27" s="49">
        <f>AVERAGE('17.10 MBARARA-MASAKA'!M27,'18.10 MBARARA-MASAKA-24H'!M27,'19.10 MBARARA-MASAKA-24H'!M27,'20.10 MBARARA-MASAKA'!M27,'21.10 MBARARA- MASAKA'!M27,'22.10 MBARARA-MASAKA'!M27,'23.10 MBARARA-MASAKA'!M27)</f>
        <v>12.285714285714286</v>
      </c>
      <c r="N27" s="49">
        <f>AVERAGE('17.10 MBARARA-MASAKA'!N27,'18.10 MBARARA-MASAKA-24H'!N27,'19.10 MBARARA-MASAKA-24H'!N27,'20.10 MBARARA-MASAKA'!N27,'21.10 MBARARA- MASAKA'!N27,'22.10 MBARARA-MASAKA'!N27,'23.10 MBARARA-MASAKA'!N27)</f>
        <v>0</v>
      </c>
      <c r="O27" s="15">
        <f t="shared" si="0"/>
        <v>22.285714285714285</v>
      </c>
      <c r="P27" s="15">
        <f t="shared" si="1"/>
        <v>34.571428571428569</v>
      </c>
      <c r="R27" s="51" t="s">
        <v>151</v>
      </c>
      <c r="S27" s="57">
        <f>SUM(C78:C81)</f>
        <v>6.5</v>
      </c>
      <c r="T27" s="57">
        <f t="shared" ref="T27:AF27" si="19">SUM(D78:D81)</f>
        <v>4.5</v>
      </c>
      <c r="U27" s="57">
        <f t="shared" si="19"/>
        <v>2.5</v>
      </c>
      <c r="V27" s="57">
        <f t="shared" si="19"/>
        <v>2</v>
      </c>
      <c r="W27" s="57">
        <f t="shared" si="19"/>
        <v>0.5</v>
      </c>
      <c r="X27" s="57">
        <f t="shared" si="19"/>
        <v>5</v>
      </c>
      <c r="Y27" s="57">
        <f t="shared" si="19"/>
        <v>3.5</v>
      </c>
      <c r="Z27" s="57">
        <f t="shared" si="19"/>
        <v>27</v>
      </c>
      <c r="AA27" s="57">
        <f t="shared" si="19"/>
        <v>9</v>
      </c>
      <c r="AB27" s="57">
        <f t="shared" si="19"/>
        <v>1</v>
      </c>
      <c r="AC27" s="57">
        <f t="shared" si="19"/>
        <v>0</v>
      </c>
      <c r="AD27" s="57">
        <f t="shared" si="19"/>
        <v>0</v>
      </c>
      <c r="AE27" s="56">
        <f t="shared" si="19"/>
        <v>61.5</v>
      </c>
      <c r="AF27" s="56">
        <f t="shared" si="19"/>
        <v>61.5</v>
      </c>
    </row>
    <row r="28" spans="2:32" ht="23.1" customHeight="1" x14ac:dyDescent="0.25">
      <c r="B28" s="23" t="s">
        <v>55</v>
      </c>
      <c r="C28" s="49">
        <f>AVERAGE('17.10 MBARARA-MASAKA'!C28,'18.10 MBARARA-MASAKA-24H'!C28,'19.10 MBARARA-MASAKA-24H'!C28,'20.10 MBARARA-MASAKA'!C28,'21.10 MBARARA- MASAKA'!C28,'22.10 MBARARA-MASAKA'!C28,'23.10 MBARARA-MASAKA'!C28)</f>
        <v>8.8571428571428577</v>
      </c>
      <c r="D28" s="49">
        <f>AVERAGE('17.10 MBARARA-MASAKA'!D28,'18.10 MBARARA-MASAKA-24H'!D28,'19.10 MBARARA-MASAKA-24H'!D28,'20.10 MBARARA-MASAKA'!D28,'21.10 MBARARA- MASAKA'!D28,'22.10 MBARARA-MASAKA'!D28,'23.10 MBARARA-MASAKA'!D28)</f>
        <v>4.1428571428571432</v>
      </c>
      <c r="E28" s="49">
        <f>AVERAGE('17.10 MBARARA-MASAKA'!E28,'18.10 MBARARA-MASAKA-24H'!E28,'19.10 MBARARA-MASAKA-24H'!E28,'20.10 MBARARA-MASAKA'!E28,'21.10 MBARARA- MASAKA'!E28,'22.10 MBARARA-MASAKA'!E28,'23.10 MBARARA-MASAKA'!E28)</f>
        <v>2.5714285714285716</v>
      </c>
      <c r="F28" s="49">
        <f>AVERAGE('17.10 MBARARA-MASAKA'!F28,'18.10 MBARARA-MASAKA-24H'!F28,'19.10 MBARARA-MASAKA-24H'!F28,'20.10 MBARARA-MASAKA'!F28,'21.10 MBARARA- MASAKA'!F28,'22.10 MBARARA-MASAKA'!F28,'23.10 MBARARA-MASAKA'!F28)</f>
        <v>4</v>
      </c>
      <c r="G28" s="49">
        <f>AVERAGE('17.10 MBARARA-MASAKA'!G28,'18.10 MBARARA-MASAKA-24H'!G28,'19.10 MBARARA-MASAKA-24H'!G28,'20.10 MBARARA-MASAKA'!G28,'21.10 MBARARA- MASAKA'!G28,'22.10 MBARARA-MASAKA'!G28,'23.10 MBARARA-MASAKA'!G28)</f>
        <v>0.14285714285714285</v>
      </c>
      <c r="H28" s="49">
        <f>AVERAGE('17.10 MBARARA-MASAKA'!H28,'18.10 MBARARA-MASAKA-24H'!H28,'19.10 MBARARA-MASAKA-24H'!H28,'20.10 MBARARA-MASAKA'!H28,'21.10 MBARARA- MASAKA'!H28,'22.10 MBARARA-MASAKA'!H28,'23.10 MBARARA-MASAKA'!H28)</f>
        <v>2.1428571428571428</v>
      </c>
      <c r="I28" s="49">
        <f>AVERAGE('17.10 MBARARA-MASAKA'!I28,'18.10 MBARARA-MASAKA-24H'!I28,'19.10 MBARARA-MASAKA-24H'!I28,'20.10 MBARARA-MASAKA'!I28,'21.10 MBARARA- MASAKA'!I28,'22.10 MBARARA-MASAKA'!I28,'23.10 MBARARA-MASAKA'!I28)</f>
        <v>1.2857142857142858</v>
      </c>
      <c r="J28" s="49">
        <f>AVERAGE('17.10 MBARARA-MASAKA'!J28,'18.10 MBARARA-MASAKA-24H'!J28,'19.10 MBARARA-MASAKA-24H'!J28,'20.10 MBARARA-MASAKA'!J28,'21.10 MBARARA- MASAKA'!J28,'22.10 MBARARA-MASAKA'!J28,'23.10 MBARARA-MASAKA'!J28)</f>
        <v>1.4285714285714286</v>
      </c>
      <c r="K28" s="49">
        <f>AVERAGE('17.10 MBARARA-MASAKA'!K28,'18.10 MBARARA-MASAKA-24H'!K28,'19.10 MBARARA-MASAKA-24H'!K28,'20.10 MBARARA-MASAKA'!K28,'21.10 MBARARA- MASAKA'!K28,'22.10 MBARARA-MASAKA'!K28,'23.10 MBARARA-MASAKA'!K28)</f>
        <v>1.1428571428571428</v>
      </c>
      <c r="L28" s="49">
        <f>AVERAGE('17.10 MBARARA-MASAKA'!L28,'18.10 MBARARA-MASAKA-24H'!L28,'19.10 MBARARA-MASAKA-24H'!L28,'20.10 MBARARA-MASAKA'!L28,'21.10 MBARARA- MASAKA'!L28,'22.10 MBARARA-MASAKA'!L28,'23.10 MBARARA-MASAKA'!L28)</f>
        <v>0.2857142857142857</v>
      </c>
      <c r="M28" s="49">
        <f>AVERAGE('17.10 MBARARA-MASAKA'!M28,'18.10 MBARARA-MASAKA-24H'!M28,'19.10 MBARARA-MASAKA-24H'!M28,'20.10 MBARARA-MASAKA'!M28,'21.10 MBARARA- MASAKA'!M28,'22.10 MBARARA-MASAKA'!M28,'23.10 MBARARA-MASAKA'!M28)</f>
        <v>10.714285714285714</v>
      </c>
      <c r="N28" s="49">
        <f>AVERAGE('17.10 MBARARA-MASAKA'!N28,'18.10 MBARARA-MASAKA-24H'!N28,'19.10 MBARARA-MASAKA-24H'!N28,'20.10 MBARARA-MASAKA'!N28,'21.10 MBARARA- MASAKA'!N28,'22.10 MBARARA-MASAKA'!N28,'23.10 MBARARA-MASAKA'!N28)</f>
        <v>0</v>
      </c>
      <c r="O28" s="15">
        <f t="shared" si="0"/>
        <v>25.999999999999993</v>
      </c>
      <c r="P28" s="15">
        <f t="shared" si="1"/>
        <v>36.714285714285708</v>
      </c>
      <c r="R28" s="51" t="s">
        <v>152</v>
      </c>
      <c r="S28" s="57">
        <f>SUM(C82:C85)</f>
        <v>5.5</v>
      </c>
      <c r="T28" s="57">
        <f t="shared" ref="T28:AF28" si="20">SUM(D82:D85)</f>
        <v>2.5</v>
      </c>
      <c r="U28" s="57">
        <f t="shared" si="20"/>
        <v>1.5</v>
      </c>
      <c r="V28" s="57">
        <f t="shared" si="20"/>
        <v>1.5</v>
      </c>
      <c r="W28" s="57">
        <f t="shared" si="20"/>
        <v>0</v>
      </c>
      <c r="X28" s="57">
        <f t="shared" si="20"/>
        <v>8.5</v>
      </c>
      <c r="Y28" s="57">
        <f t="shared" si="20"/>
        <v>2.5</v>
      </c>
      <c r="Z28" s="57">
        <f t="shared" si="20"/>
        <v>20</v>
      </c>
      <c r="AA28" s="57">
        <f t="shared" si="20"/>
        <v>3.5</v>
      </c>
      <c r="AB28" s="57">
        <f t="shared" si="20"/>
        <v>2</v>
      </c>
      <c r="AC28" s="57">
        <f t="shared" si="20"/>
        <v>2.5</v>
      </c>
      <c r="AD28" s="57">
        <f t="shared" si="20"/>
        <v>0</v>
      </c>
      <c r="AE28" s="56">
        <f t="shared" si="20"/>
        <v>47.5</v>
      </c>
      <c r="AF28" s="56">
        <f t="shared" si="20"/>
        <v>50</v>
      </c>
    </row>
    <row r="29" spans="2:32" ht="23.1" customHeight="1" x14ac:dyDescent="0.25">
      <c r="B29" s="23" t="s">
        <v>56</v>
      </c>
      <c r="C29" s="49">
        <f>AVERAGE('17.10 MBARARA-MASAKA'!C29,'18.10 MBARARA-MASAKA-24H'!C29,'19.10 MBARARA-MASAKA-24H'!C29,'20.10 MBARARA-MASAKA'!C29,'21.10 MBARARA- MASAKA'!C29,'22.10 MBARARA-MASAKA'!C29,'23.10 MBARARA-MASAKA'!C29)</f>
        <v>7.4285714285714288</v>
      </c>
      <c r="D29" s="49">
        <f>AVERAGE('17.10 MBARARA-MASAKA'!D29,'18.10 MBARARA-MASAKA-24H'!D29,'19.10 MBARARA-MASAKA-24H'!D29,'20.10 MBARARA-MASAKA'!D29,'21.10 MBARARA- MASAKA'!D29,'22.10 MBARARA-MASAKA'!D29,'23.10 MBARARA-MASAKA'!D29)</f>
        <v>5.8571428571428568</v>
      </c>
      <c r="E29" s="49">
        <f>AVERAGE('17.10 MBARARA-MASAKA'!E29,'18.10 MBARARA-MASAKA-24H'!E29,'19.10 MBARARA-MASAKA-24H'!E29,'20.10 MBARARA-MASAKA'!E29,'21.10 MBARARA- MASAKA'!E29,'22.10 MBARARA-MASAKA'!E29,'23.10 MBARARA-MASAKA'!E29)</f>
        <v>3.7142857142857144</v>
      </c>
      <c r="F29" s="49">
        <f>AVERAGE('17.10 MBARARA-MASAKA'!F29,'18.10 MBARARA-MASAKA-24H'!F29,'19.10 MBARARA-MASAKA-24H'!F29,'20.10 MBARARA-MASAKA'!F29,'21.10 MBARARA- MASAKA'!F29,'22.10 MBARARA-MASAKA'!F29,'23.10 MBARARA-MASAKA'!F29)</f>
        <v>7</v>
      </c>
      <c r="G29" s="49">
        <f>AVERAGE('17.10 MBARARA-MASAKA'!G29,'18.10 MBARARA-MASAKA-24H'!G29,'19.10 MBARARA-MASAKA-24H'!G29,'20.10 MBARARA-MASAKA'!G29,'21.10 MBARARA- MASAKA'!G29,'22.10 MBARARA-MASAKA'!G29,'23.10 MBARARA-MASAKA'!G29)</f>
        <v>0.14285714285714285</v>
      </c>
      <c r="H29" s="49">
        <f>AVERAGE('17.10 MBARARA-MASAKA'!H29,'18.10 MBARARA-MASAKA-24H'!H29,'19.10 MBARARA-MASAKA-24H'!H29,'20.10 MBARARA-MASAKA'!H29,'21.10 MBARARA- MASAKA'!H29,'22.10 MBARARA-MASAKA'!H29,'23.10 MBARARA-MASAKA'!H29)</f>
        <v>1.2857142857142858</v>
      </c>
      <c r="I29" s="49">
        <f>AVERAGE('17.10 MBARARA-MASAKA'!I29,'18.10 MBARARA-MASAKA-24H'!I29,'19.10 MBARARA-MASAKA-24H'!I29,'20.10 MBARARA-MASAKA'!I29,'21.10 MBARARA- MASAKA'!I29,'22.10 MBARARA-MASAKA'!I29,'23.10 MBARARA-MASAKA'!I29)</f>
        <v>1.7142857142857142</v>
      </c>
      <c r="J29" s="49">
        <f>AVERAGE('17.10 MBARARA-MASAKA'!J29,'18.10 MBARARA-MASAKA-24H'!J29,'19.10 MBARARA-MASAKA-24H'!J29,'20.10 MBARARA-MASAKA'!J29,'21.10 MBARARA- MASAKA'!J29,'22.10 MBARARA-MASAKA'!J29,'23.10 MBARARA-MASAKA'!J29)</f>
        <v>1.4285714285714286</v>
      </c>
      <c r="K29" s="49">
        <f>AVERAGE('17.10 MBARARA-MASAKA'!K29,'18.10 MBARARA-MASAKA-24H'!K29,'19.10 MBARARA-MASAKA-24H'!K29,'20.10 MBARARA-MASAKA'!K29,'21.10 MBARARA- MASAKA'!K29,'22.10 MBARARA-MASAKA'!K29,'23.10 MBARARA-MASAKA'!K29)</f>
        <v>0.7142857142857143</v>
      </c>
      <c r="L29" s="49">
        <f>AVERAGE('17.10 MBARARA-MASAKA'!L29,'18.10 MBARARA-MASAKA-24H'!L29,'19.10 MBARARA-MASAKA-24H'!L29,'20.10 MBARARA-MASAKA'!L29,'21.10 MBARARA- MASAKA'!L29,'22.10 MBARARA-MASAKA'!L29,'23.10 MBARARA-MASAKA'!L29)</f>
        <v>0.14285714285714285</v>
      </c>
      <c r="M29" s="49">
        <f>AVERAGE('17.10 MBARARA-MASAKA'!M29,'18.10 MBARARA-MASAKA-24H'!M29,'19.10 MBARARA-MASAKA-24H'!M29,'20.10 MBARARA-MASAKA'!M29,'21.10 MBARARA- MASAKA'!M29,'22.10 MBARARA-MASAKA'!M29,'23.10 MBARARA-MASAKA'!M29)</f>
        <v>14.428571428571429</v>
      </c>
      <c r="N29" s="49">
        <f>AVERAGE('17.10 MBARARA-MASAKA'!N29,'18.10 MBARARA-MASAKA-24H'!N29,'19.10 MBARARA-MASAKA-24H'!N29,'20.10 MBARARA-MASAKA'!N29,'21.10 MBARARA- MASAKA'!N29,'22.10 MBARARA-MASAKA'!N29,'23.10 MBARARA-MASAKA'!N29)</f>
        <v>0</v>
      </c>
      <c r="O29" s="15">
        <f t="shared" si="0"/>
        <v>29.428571428571427</v>
      </c>
      <c r="P29" s="15">
        <f t="shared" si="1"/>
        <v>43.857142857142854</v>
      </c>
      <c r="R29" s="51" t="s">
        <v>153</v>
      </c>
      <c r="S29" s="57">
        <f>SUM(C86:C89)</f>
        <v>6.5</v>
      </c>
      <c r="T29" s="57">
        <f t="shared" ref="T29:AF29" si="21">SUM(D86:D89)</f>
        <v>1.5</v>
      </c>
      <c r="U29" s="57">
        <f t="shared" si="21"/>
        <v>2</v>
      </c>
      <c r="V29" s="57">
        <f t="shared" si="21"/>
        <v>1</v>
      </c>
      <c r="W29" s="57">
        <f t="shared" si="21"/>
        <v>2.5</v>
      </c>
      <c r="X29" s="57">
        <f t="shared" si="21"/>
        <v>6.5</v>
      </c>
      <c r="Y29" s="57">
        <f t="shared" si="21"/>
        <v>9</v>
      </c>
      <c r="Z29" s="57">
        <f t="shared" si="21"/>
        <v>17</v>
      </c>
      <c r="AA29" s="57">
        <f t="shared" si="21"/>
        <v>1</v>
      </c>
      <c r="AB29" s="57">
        <f t="shared" si="21"/>
        <v>1</v>
      </c>
      <c r="AC29" s="57">
        <f t="shared" si="21"/>
        <v>1.5</v>
      </c>
      <c r="AD29" s="57">
        <f t="shared" si="21"/>
        <v>0</v>
      </c>
      <c r="AE29" s="56">
        <f t="shared" si="21"/>
        <v>48</v>
      </c>
      <c r="AF29" s="56">
        <f t="shared" si="21"/>
        <v>49.5</v>
      </c>
    </row>
    <row r="30" spans="2:32" ht="23.1" customHeight="1" x14ac:dyDescent="0.25">
      <c r="B30" s="23" t="s">
        <v>57</v>
      </c>
      <c r="C30" s="49">
        <f>AVERAGE('17.10 MBARARA-MASAKA'!C30,'18.10 MBARARA-MASAKA-24H'!C30,'19.10 MBARARA-MASAKA-24H'!C30,'20.10 MBARARA-MASAKA'!C30,'21.10 MBARARA- MASAKA'!C30,'22.10 MBARARA-MASAKA'!C30,'23.10 MBARARA-MASAKA'!C30)</f>
        <v>6.8571428571428568</v>
      </c>
      <c r="D30" s="49">
        <f>AVERAGE('17.10 MBARARA-MASAKA'!D30,'18.10 MBARARA-MASAKA-24H'!D30,'19.10 MBARARA-MASAKA-24H'!D30,'20.10 MBARARA-MASAKA'!D30,'21.10 MBARARA- MASAKA'!D30,'22.10 MBARARA-MASAKA'!D30,'23.10 MBARARA-MASAKA'!D30)</f>
        <v>6.1428571428571432</v>
      </c>
      <c r="E30" s="49">
        <f>AVERAGE('17.10 MBARARA-MASAKA'!E30,'18.10 MBARARA-MASAKA-24H'!E30,'19.10 MBARARA-MASAKA-24H'!E30,'20.10 MBARARA-MASAKA'!E30,'21.10 MBARARA- MASAKA'!E30,'22.10 MBARARA-MASAKA'!E30,'23.10 MBARARA-MASAKA'!E30)</f>
        <v>2.4285714285714284</v>
      </c>
      <c r="F30" s="49">
        <f>AVERAGE('17.10 MBARARA-MASAKA'!F30,'18.10 MBARARA-MASAKA-24H'!F30,'19.10 MBARARA-MASAKA-24H'!F30,'20.10 MBARARA-MASAKA'!F30,'21.10 MBARARA- MASAKA'!F30,'22.10 MBARARA-MASAKA'!F30,'23.10 MBARARA-MASAKA'!F30)</f>
        <v>6</v>
      </c>
      <c r="G30" s="49">
        <f>AVERAGE('17.10 MBARARA-MASAKA'!G30,'18.10 MBARARA-MASAKA-24H'!G30,'19.10 MBARARA-MASAKA-24H'!G30,'20.10 MBARARA-MASAKA'!G30,'21.10 MBARARA- MASAKA'!G30,'22.10 MBARARA-MASAKA'!G30,'23.10 MBARARA-MASAKA'!G30)</f>
        <v>0.14285714285714285</v>
      </c>
      <c r="H30" s="49">
        <f>AVERAGE('17.10 MBARARA-MASAKA'!H30,'18.10 MBARARA-MASAKA-24H'!H30,'19.10 MBARARA-MASAKA-24H'!H30,'20.10 MBARARA-MASAKA'!H30,'21.10 MBARARA- MASAKA'!H30,'22.10 MBARARA-MASAKA'!H30,'23.10 MBARARA-MASAKA'!H30)</f>
        <v>1.2857142857142858</v>
      </c>
      <c r="I30" s="49">
        <f>AVERAGE('17.10 MBARARA-MASAKA'!I30,'18.10 MBARARA-MASAKA-24H'!I30,'19.10 MBARARA-MASAKA-24H'!I30,'20.10 MBARARA-MASAKA'!I30,'21.10 MBARARA- MASAKA'!I30,'22.10 MBARARA-MASAKA'!I30,'23.10 MBARARA-MASAKA'!I30)</f>
        <v>0.8571428571428571</v>
      </c>
      <c r="J30" s="49">
        <f>AVERAGE('17.10 MBARARA-MASAKA'!J30,'18.10 MBARARA-MASAKA-24H'!J30,'19.10 MBARARA-MASAKA-24H'!J30,'20.10 MBARARA-MASAKA'!J30,'21.10 MBARARA- MASAKA'!J30,'22.10 MBARARA-MASAKA'!J30,'23.10 MBARARA-MASAKA'!J30)</f>
        <v>1.1428571428571428</v>
      </c>
      <c r="K30" s="49">
        <f>AVERAGE('17.10 MBARARA-MASAKA'!K30,'18.10 MBARARA-MASAKA-24H'!K30,'19.10 MBARARA-MASAKA-24H'!K30,'20.10 MBARARA-MASAKA'!K30,'21.10 MBARARA- MASAKA'!K30,'22.10 MBARARA-MASAKA'!K30,'23.10 MBARARA-MASAKA'!K30)</f>
        <v>1.1428571428571428</v>
      </c>
      <c r="L30" s="49">
        <f>AVERAGE('17.10 MBARARA-MASAKA'!L30,'18.10 MBARARA-MASAKA-24H'!L30,'19.10 MBARARA-MASAKA-24H'!L30,'20.10 MBARARA-MASAKA'!L30,'21.10 MBARARA- MASAKA'!L30,'22.10 MBARARA-MASAKA'!L30,'23.10 MBARARA-MASAKA'!L30)</f>
        <v>0.7142857142857143</v>
      </c>
      <c r="M30" s="49">
        <f>AVERAGE('17.10 MBARARA-MASAKA'!M30,'18.10 MBARARA-MASAKA-24H'!M30,'19.10 MBARARA-MASAKA-24H'!M30,'20.10 MBARARA-MASAKA'!M30,'21.10 MBARARA- MASAKA'!M30,'22.10 MBARARA-MASAKA'!M30,'23.10 MBARARA-MASAKA'!M30)</f>
        <v>15.428571428571429</v>
      </c>
      <c r="N30" s="49">
        <f>AVERAGE('17.10 MBARARA-MASAKA'!N30,'18.10 MBARARA-MASAKA-24H'!N30,'19.10 MBARARA-MASAKA-24H'!N30,'20.10 MBARARA-MASAKA'!N30,'21.10 MBARARA- MASAKA'!N30,'22.10 MBARARA-MASAKA'!N30,'23.10 MBARARA-MASAKA'!N30)</f>
        <v>0</v>
      </c>
      <c r="O30" s="15">
        <f t="shared" si="0"/>
        <v>26.714285714285715</v>
      </c>
      <c r="P30" s="15">
        <f t="shared" si="1"/>
        <v>42.142857142857146</v>
      </c>
      <c r="R30" s="51" t="s">
        <v>154</v>
      </c>
      <c r="S30" s="57">
        <f>SUM(C90:C93)</f>
        <v>8.5</v>
      </c>
      <c r="T30" s="57">
        <f t="shared" ref="T30:AF30" si="22">SUM(D90:D93)</f>
        <v>2.5</v>
      </c>
      <c r="U30" s="57">
        <f t="shared" si="22"/>
        <v>0</v>
      </c>
      <c r="V30" s="57">
        <f t="shared" si="22"/>
        <v>2</v>
      </c>
      <c r="W30" s="57">
        <f t="shared" si="22"/>
        <v>0.5</v>
      </c>
      <c r="X30" s="57">
        <f t="shared" si="22"/>
        <v>6.5</v>
      </c>
      <c r="Y30" s="57">
        <f t="shared" si="22"/>
        <v>0.5</v>
      </c>
      <c r="Z30" s="57">
        <f t="shared" si="22"/>
        <v>12.5</v>
      </c>
      <c r="AA30" s="57">
        <f t="shared" si="22"/>
        <v>3</v>
      </c>
      <c r="AB30" s="57">
        <f t="shared" si="22"/>
        <v>0.5</v>
      </c>
      <c r="AC30" s="57">
        <f t="shared" si="22"/>
        <v>0</v>
      </c>
      <c r="AD30" s="57">
        <f t="shared" si="22"/>
        <v>0</v>
      </c>
      <c r="AE30" s="56">
        <f t="shared" si="22"/>
        <v>36.5</v>
      </c>
      <c r="AF30" s="56">
        <f t="shared" si="22"/>
        <v>36.5</v>
      </c>
    </row>
    <row r="31" spans="2:32" ht="23.1" customHeight="1" x14ac:dyDescent="0.25">
      <c r="B31" s="24" t="s">
        <v>58</v>
      </c>
      <c r="C31" s="49">
        <f>AVERAGE('17.10 MBARARA-MASAKA'!C31,'18.10 MBARARA-MASAKA-24H'!C31,'19.10 MBARARA-MASAKA-24H'!C31,'20.10 MBARARA-MASAKA'!C31,'21.10 MBARARA- MASAKA'!C31,'22.10 MBARARA-MASAKA'!C31,'23.10 MBARARA-MASAKA'!C31)</f>
        <v>9.4285714285714288</v>
      </c>
      <c r="D31" s="49">
        <f>AVERAGE('17.10 MBARARA-MASAKA'!D31,'18.10 MBARARA-MASAKA-24H'!D31,'19.10 MBARARA-MASAKA-24H'!D31,'20.10 MBARARA-MASAKA'!D31,'21.10 MBARARA- MASAKA'!D31,'22.10 MBARARA-MASAKA'!D31,'23.10 MBARARA-MASAKA'!D31)</f>
        <v>4.1428571428571432</v>
      </c>
      <c r="E31" s="49">
        <f>AVERAGE('17.10 MBARARA-MASAKA'!E31,'18.10 MBARARA-MASAKA-24H'!E31,'19.10 MBARARA-MASAKA-24H'!E31,'20.10 MBARARA-MASAKA'!E31,'21.10 MBARARA- MASAKA'!E31,'22.10 MBARARA-MASAKA'!E31,'23.10 MBARARA-MASAKA'!E31)</f>
        <v>3.2857142857142856</v>
      </c>
      <c r="F31" s="49">
        <f>AVERAGE('17.10 MBARARA-MASAKA'!F31,'18.10 MBARARA-MASAKA-24H'!F31,'19.10 MBARARA-MASAKA-24H'!F31,'20.10 MBARARA-MASAKA'!F31,'21.10 MBARARA- MASAKA'!F31,'22.10 MBARARA-MASAKA'!F31,'23.10 MBARARA-MASAKA'!F31)</f>
        <v>7.2857142857142856</v>
      </c>
      <c r="G31" s="49">
        <f>AVERAGE('17.10 MBARARA-MASAKA'!G31,'18.10 MBARARA-MASAKA-24H'!G31,'19.10 MBARARA-MASAKA-24H'!G31,'20.10 MBARARA-MASAKA'!G31,'21.10 MBARARA- MASAKA'!G31,'22.10 MBARARA-MASAKA'!G31,'23.10 MBARARA-MASAKA'!G31)</f>
        <v>0</v>
      </c>
      <c r="H31" s="49">
        <f>AVERAGE('17.10 MBARARA-MASAKA'!H31,'18.10 MBARARA-MASAKA-24H'!H31,'19.10 MBARARA-MASAKA-24H'!H31,'20.10 MBARARA-MASAKA'!H31,'21.10 MBARARA- MASAKA'!H31,'22.10 MBARARA-MASAKA'!H31,'23.10 MBARARA-MASAKA'!H31)</f>
        <v>1</v>
      </c>
      <c r="I31" s="49">
        <f>AVERAGE('17.10 MBARARA-MASAKA'!I31,'18.10 MBARARA-MASAKA-24H'!I31,'19.10 MBARARA-MASAKA-24H'!I31,'20.10 MBARARA-MASAKA'!I31,'21.10 MBARARA- MASAKA'!I31,'22.10 MBARARA-MASAKA'!I31,'23.10 MBARARA-MASAKA'!I31)</f>
        <v>1</v>
      </c>
      <c r="J31" s="49">
        <f>AVERAGE('17.10 MBARARA-MASAKA'!J31,'18.10 MBARARA-MASAKA-24H'!J31,'19.10 MBARARA-MASAKA-24H'!J31,'20.10 MBARARA-MASAKA'!J31,'21.10 MBARARA- MASAKA'!J31,'22.10 MBARARA-MASAKA'!J31,'23.10 MBARARA-MASAKA'!J31)</f>
        <v>1.1428571428571428</v>
      </c>
      <c r="K31" s="49">
        <f>AVERAGE('17.10 MBARARA-MASAKA'!K31,'18.10 MBARARA-MASAKA-24H'!K31,'19.10 MBARARA-MASAKA-24H'!K31,'20.10 MBARARA-MASAKA'!K31,'21.10 MBARARA- MASAKA'!K31,'22.10 MBARARA-MASAKA'!K31,'23.10 MBARARA-MASAKA'!K31)</f>
        <v>1.5714285714285714</v>
      </c>
      <c r="L31" s="49">
        <f>AVERAGE('17.10 MBARARA-MASAKA'!L31,'18.10 MBARARA-MASAKA-24H'!L31,'19.10 MBARARA-MASAKA-24H'!L31,'20.10 MBARARA-MASAKA'!L31,'21.10 MBARARA- MASAKA'!L31,'22.10 MBARARA-MASAKA'!L31,'23.10 MBARARA-MASAKA'!L31)</f>
        <v>0</v>
      </c>
      <c r="M31" s="49">
        <f>AVERAGE('17.10 MBARARA-MASAKA'!M31,'18.10 MBARARA-MASAKA-24H'!M31,'19.10 MBARARA-MASAKA-24H'!M31,'20.10 MBARARA-MASAKA'!M31,'21.10 MBARARA- MASAKA'!M31,'22.10 MBARARA-MASAKA'!M31,'23.10 MBARARA-MASAKA'!M31)</f>
        <v>12.285714285714286</v>
      </c>
      <c r="N31" s="49">
        <f>AVERAGE('17.10 MBARARA-MASAKA'!N31,'18.10 MBARARA-MASAKA-24H'!N31,'19.10 MBARARA-MASAKA-24H'!N31,'20.10 MBARARA-MASAKA'!N31,'21.10 MBARARA- MASAKA'!N31,'22.10 MBARARA-MASAKA'!N31,'23.10 MBARARA-MASAKA'!N31)</f>
        <v>0</v>
      </c>
      <c r="O31" s="15">
        <f t="shared" si="0"/>
        <v>28.857142857142858</v>
      </c>
      <c r="P31" s="15">
        <f t="shared" si="1"/>
        <v>41.142857142857146</v>
      </c>
      <c r="R31" s="51" t="s">
        <v>155</v>
      </c>
      <c r="S31" s="57">
        <f>SUM(C94:C97)</f>
        <v>9.5</v>
      </c>
      <c r="T31" s="57">
        <f t="shared" ref="T31:AF31" si="23">SUM(D94:D97)</f>
        <v>2</v>
      </c>
      <c r="U31" s="57">
        <f t="shared" si="23"/>
        <v>2.5</v>
      </c>
      <c r="V31" s="57">
        <f t="shared" si="23"/>
        <v>3</v>
      </c>
      <c r="W31" s="57">
        <f t="shared" si="23"/>
        <v>3</v>
      </c>
      <c r="X31" s="57">
        <f t="shared" si="23"/>
        <v>7.5</v>
      </c>
      <c r="Y31" s="57">
        <f t="shared" si="23"/>
        <v>3</v>
      </c>
      <c r="Z31" s="57">
        <f t="shared" si="23"/>
        <v>5</v>
      </c>
      <c r="AA31" s="57">
        <f t="shared" si="23"/>
        <v>4.5</v>
      </c>
      <c r="AB31" s="57">
        <f t="shared" si="23"/>
        <v>0</v>
      </c>
      <c r="AC31" s="57">
        <f t="shared" si="23"/>
        <v>7</v>
      </c>
      <c r="AD31" s="57">
        <f t="shared" si="23"/>
        <v>0</v>
      </c>
      <c r="AE31" s="56">
        <f t="shared" si="23"/>
        <v>40</v>
      </c>
      <c r="AF31" s="56">
        <f t="shared" si="23"/>
        <v>47</v>
      </c>
    </row>
    <row r="32" spans="2:32" ht="23.1" customHeight="1" x14ac:dyDescent="0.25">
      <c r="B32" s="24" t="s">
        <v>59</v>
      </c>
      <c r="C32" s="49">
        <f>AVERAGE('17.10 MBARARA-MASAKA'!C32,'18.10 MBARARA-MASAKA-24H'!C32,'19.10 MBARARA-MASAKA-24H'!C32,'20.10 MBARARA-MASAKA'!C32,'21.10 MBARARA- MASAKA'!C32,'22.10 MBARARA-MASAKA'!C32,'23.10 MBARARA-MASAKA'!C32)</f>
        <v>11.714285714285714</v>
      </c>
      <c r="D32" s="49">
        <f>AVERAGE('17.10 MBARARA-MASAKA'!D32,'18.10 MBARARA-MASAKA-24H'!D32,'19.10 MBARARA-MASAKA-24H'!D32,'20.10 MBARARA-MASAKA'!D32,'21.10 MBARARA- MASAKA'!D32,'22.10 MBARARA-MASAKA'!D32,'23.10 MBARARA-MASAKA'!D32)</f>
        <v>5.2857142857142856</v>
      </c>
      <c r="E32" s="49">
        <f>AVERAGE('17.10 MBARARA-MASAKA'!E32,'18.10 MBARARA-MASAKA-24H'!E32,'19.10 MBARARA-MASAKA-24H'!E32,'20.10 MBARARA-MASAKA'!E32,'21.10 MBARARA- MASAKA'!E32,'22.10 MBARARA-MASAKA'!E32,'23.10 MBARARA-MASAKA'!E32)</f>
        <v>3</v>
      </c>
      <c r="F32" s="49">
        <f>AVERAGE('17.10 MBARARA-MASAKA'!F32,'18.10 MBARARA-MASAKA-24H'!F32,'19.10 MBARARA-MASAKA-24H'!F32,'20.10 MBARARA-MASAKA'!F32,'21.10 MBARARA- MASAKA'!F32,'22.10 MBARARA-MASAKA'!F32,'23.10 MBARARA-MASAKA'!F32)</f>
        <v>4.1428571428571432</v>
      </c>
      <c r="G32" s="49">
        <f>AVERAGE('17.10 MBARARA-MASAKA'!G32,'18.10 MBARARA-MASAKA-24H'!G32,'19.10 MBARARA-MASAKA-24H'!G32,'20.10 MBARARA-MASAKA'!G32,'21.10 MBARARA- MASAKA'!G32,'22.10 MBARARA-MASAKA'!G32,'23.10 MBARARA-MASAKA'!G32)</f>
        <v>0.14285714285714285</v>
      </c>
      <c r="H32" s="49">
        <f>AVERAGE('17.10 MBARARA-MASAKA'!H32,'18.10 MBARARA-MASAKA-24H'!H32,'19.10 MBARARA-MASAKA-24H'!H32,'20.10 MBARARA-MASAKA'!H32,'21.10 MBARARA- MASAKA'!H32,'22.10 MBARARA-MASAKA'!H32,'23.10 MBARARA-MASAKA'!H32)</f>
        <v>1.2857142857142858</v>
      </c>
      <c r="I32" s="49">
        <f>AVERAGE('17.10 MBARARA-MASAKA'!I32,'18.10 MBARARA-MASAKA-24H'!I32,'19.10 MBARARA-MASAKA-24H'!I32,'20.10 MBARARA-MASAKA'!I32,'21.10 MBARARA- MASAKA'!I32,'22.10 MBARARA-MASAKA'!I32,'23.10 MBARARA-MASAKA'!I32)</f>
        <v>1.4285714285714286</v>
      </c>
      <c r="J32" s="49">
        <f>AVERAGE('17.10 MBARARA-MASAKA'!J32,'18.10 MBARARA-MASAKA-24H'!J32,'19.10 MBARARA-MASAKA-24H'!J32,'20.10 MBARARA-MASAKA'!J32,'21.10 MBARARA- MASAKA'!J32,'22.10 MBARARA-MASAKA'!J32,'23.10 MBARARA-MASAKA'!J32)</f>
        <v>1.4285714285714286</v>
      </c>
      <c r="K32" s="49">
        <f>AVERAGE('17.10 MBARARA-MASAKA'!K32,'18.10 MBARARA-MASAKA-24H'!K32,'19.10 MBARARA-MASAKA-24H'!K32,'20.10 MBARARA-MASAKA'!K32,'21.10 MBARARA- MASAKA'!K32,'22.10 MBARARA-MASAKA'!K32,'23.10 MBARARA-MASAKA'!K32)</f>
        <v>1.4285714285714286</v>
      </c>
      <c r="L32" s="49">
        <f>AVERAGE('17.10 MBARARA-MASAKA'!L32,'18.10 MBARARA-MASAKA-24H'!L32,'19.10 MBARARA-MASAKA-24H'!L32,'20.10 MBARARA-MASAKA'!L32,'21.10 MBARARA- MASAKA'!L32,'22.10 MBARARA-MASAKA'!L32,'23.10 MBARARA-MASAKA'!L32)</f>
        <v>0.42857142857142855</v>
      </c>
      <c r="M32" s="49">
        <f>AVERAGE('17.10 MBARARA-MASAKA'!M32,'18.10 MBARARA-MASAKA-24H'!M32,'19.10 MBARARA-MASAKA-24H'!M32,'20.10 MBARARA-MASAKA'!M32,'21.10 MBARARA- MASAKA'!M32,'22.10 MBARARA-MASAKA'!M32,'23.10 MBARARA-MASAKA'!M32)</f>
        <v>13.571428571428571</v>
      </c>
      <c r="N32" s="49">
        <f>AVERAGE('17.10 MBARARA-MASAKA'!N32,'18.10 MBARARA-MASAKA-24H'!N32,'19.10 MBARARA-MASAKA-24H'!N32,'20.10 MBARARA-MASAKA'!N32,'21.10 MBARARA- MASAKA'!N32,'22.10 MBARARA-MASAKA'!N32,'23.10 MBARARA-MASAKA'!N32)</f>
        <v>0</v>
      </c>
      <c r="O32" s="15">
        <f t="shared" si="0"/>
        <v>30.285714285714278</v>
      </c>
      <c r="P32" s="15">
        <f t="shared" si="1"/>
        <v>43.857142857142847</v>
      </c>
      <c r="R32" s="51" t="s">
        <v>156</v>
      </c>
      <c r="S32" s="57">
        <f>SUM(C98:C101)</f>
        <v>3.5</v>
      </c>
      <c r="T32" s="57">
        <f t="shared" ref="T32:AF32" si="24">SUM(D98:D101)</f>
        <v>2.5</v>
      </c>
      <c r="U32" s="57">
        <f t="shared" si="24"/>
        <v>1.5</v>
      </c>
      <c r="V32" s="57">
        <f t="shared" si="24"/>
        <v>7</v>
      </c>
      <c r="W32" s="57">
        <f t="shared" si="24"/>
        <v>1</v>
      </c>
      <c r="X32" s="57">
        <f t="shared" si="24"/>
        <v>4</v>
      </c>
      <c r="Y32" s="57">
        <f t="shared" si="24"/>
        <v>1</v>
      </c>
      <c r="Z32" s="57">
        <f t="shared" si="24"/>
        <v>4</v>
      </c>
      <c r="AA32" s="57">
        <f t="shared" si="24"/>
        <v>6</v>
      </c>
      <c r="AB32" s="57">
        <f t="shared" si="24"/>
        <v>1.5</v>
      </c>
      <c r="AC32" s="57">
        <f t="shared" si="24"/>
        <v>6.5</v>
      </c>
      <c r="AD32" s="57">
        <f t="shared" si="24"/>
        <v>0</v>
      </c>
      <c r="AE32" s="56">
        <f t="shared" si="24"/>
        <v>32</v>
      </c>
      <c r="AF32" s="56">
        <f t="shared" si="24"/>
        <v>38.5</v>
      </c>
    </row>
    <row r="33" spans="2:32" ht="23.1" customHeight="1" x14ac:dyDescent="0.25">
      <c r="B33" s="23" t="s">
        <v>60</v>
      </c>
      <c r="C33" s="49">
        <f>AVERAGE('17.10 MBARARA-MASAKA'!C33,'18.10 MBARARA-MASAKA-24H'!C33,'19.10 MBARARA-MASAKA-24H'!C33,'20.10 MBARARA-MASAKA'!C33,'21.10 MBARARA- MASAKA'!C33,'22.10 MBARARA-MASAKA'!C33,'23.10 MBARARA-MASAKA'!C33)</f>
        <v>8.2857142857142865</v>
      </c>
      <c r="D33" s="49">
        <f>AVERAGE('17.10 MBARARA-MASAKA'!D33,'18.10 MBARARA-MASAKA-24H'!D33,'19.10 MBARARA-MASAKA-24H'!D33,'20.10 MBARARA-MASAKA'!D33,'21.10 MBARARA- MASAKA'!D33,'22.10 MBARARA-MASAKA'!D33,'23.10 MBARARA-MASAKA'!D33)</f>
        <v>5.7142857142857144</v>
      </c>
      <c r="E33" s="49">
        <f>AVERAGE('17.10 MBARARA-MASAKA'!E33,'18.10 MBARARA-MASAKA-24H'!E33,'19.10 MBARARA-MASAKA-24H'!E33,'20.10 MBARARA-MASAKA'!E33,'21.10 MBARARA- MASAKA'!E33,'22.10 MBARARA-MASAKA'!E33,'23.10 MBARARA-MASAKA'!E33)</f>
        <v>2.1428571428571428</v>
      </c>
      <c r="F33" s="49">
        <f>AVERAGE('17.10 MBARARA-MASAKA'!F33,'18.10 MBARARA-MASAKA-24H'!F33,'19.10 MBARARA-MASAKA-24H'!F33,'20.10 MBARARA-MASAKA'!F33,'21.10 MBARARA- MASAKA'!F33,'22.10 MBARARA-MASAKA'!F33,'23.10 MBARARA-MASAKA'!F33)</f>
        <v>4.5714285714285712</v>
      </c>
      <c r="G33" s="49">
        <f>AVERAGE('17.10 MBARARA-MASAKA'!G33,'18.10 MBARARA-MASAKA-24H'!G33,'19.10 MBARARA-MASAKA-24H'!G33,'20.10 MBARARA-MASAKA'!G33,'21.10 MBARARA- MASAKA'!G33,'22.10 MBARARA-MASAKA'!G33,'23.10 MBARARA-MASAKA'!G33)</f>
        <v>0</v>
      </c>
      <c r="H33" s="49">
        <f>AVERAGE('17.10 MBARARA-MASAKA'!H33,'18.10 MBARARA-MASAKA-24H'!H33,'19.10 MBARARA-MASAKA-24H'!H33,'20.10 MBARARA-MASAKA'!H33,'21.10 MBARARA- MASAKA'!H33,'22.10 MBARARA-MASAKA'!H33,'23.10 MBARARA-MASAKA'!H33)</f>
        <v>1.4285714285714286</v>
      </c>
      <c r="I33" s="49">
        <f>AVERAGE('17.10 MBARARA-MASAKA'!I33,'18.10 MBARARA-MASAKA-24H'!I33,'19.10 MBARARA-MASAKA-24H'!I33,'20.10 MBARARA-MASAKA'!I33,'21.10 MBARARA- MASAKA'!I33,'22.10 MBARARA-MASAKA'!I33,'23.10 MBARARA-MASAKA'!I33)</f>
        <v>1</v>
      </c>
      <c r="J33" s="49">
        <f>AVERAGE('17.10 MBARARA-MASAKA'!J33,'18.10 MBARARA-MASAKA-24H'!J33,'19.10 MBARARA-MASAKA-24H'!J33,'20.10 MBARARA-MASAKA'!J33,'21.10 MBARARA- MASAKA'!J33,'22.10 MBARARA-MASAKA'!J33,'23.10 MBARARA-MASAKA'!J33)</f>
        <v>1.7142857142857142</v>
      </c>
      <c r="K33" s="49">
        <f>AVERAGE('17.10 MBARARA-MASAKA'!K33,'18.10 MBARARA-MASAKA-24H'!K33,'19.10 MBARARA-MASAKA-24H'!K33,'20.10 MBARARA-MASAKA'!K33,'21.10 MBARARA- MASAKA'!K33,'22.10 MBARARA-MASAKA'!K33,'23.10 MBARARA-MASAKA'!K33)</f>
        <v>1.5714285714285714</v>
      </c>
      <c r="L33" s="49">
        <f>AVERAGE('17.10 MBARARA-MASAKA'!L33,'18.10 MBARARA-MASAKA-24H'!L33,'19.10 MBARARA-MASAKA-24H'!L33,'20.10 MBARARA-MASAKA'!L33,'21.10 MBARARA- MASAKA'!L33,'22.10 MBARARA-MASAKA'!L33,'23.10 MBARARA-MASAKA'!L33)</f>
        <v>0.42857142857142855</v>
      </c>
      <c r="M33" s="49">
        <f>AVERAGE('17.10 MBARARA-MASAKA'!M33,'18.10 MBARARA-MASAKA-24H'!M33,'19.10 MBARARA-MASAKA-24H'!M33,'20.10 MBARARA-MASAKA'!M33,'21.10 MBARARA- MASAKA'!M33,'22.10 MBARARA-MASAKA'!M33,'23.10 MBARARA-MASAKA'!M33)</f>
        <v>13.428571428571429</v>
      </c>
      <c r="N33" s="49">
        <f>AVERAGE('17.10 MBARARA-MASAKA'!N33,'18.10 MBARARA-MASAKA-24H'!N33,'19.10 MBARARA-MASAKA-24H'!N33,'20.10 MBARARA-MASAKA'!N33,'21.10 MBARARA- MASAKA'!N33,'22.10 MBARARA-MASAKA'!N33,'23.10 MBARARA-MASAKA'!N33)</f>
        <v>0</v>
      </c>
      <c r="O33" s="15">
        <f t="shared" si="0"/>
        <v>26.857142857142858</v>
      </c>
      <c r="P33" s="15">
        <f t="shared" si="1"/>
        <v>40.285714285714285</v>
      </c>
      <c r="R33" s="51" t="s">
        <v>157</v>
      </c>
      <c r="S33" s="57">
        <f>SUM(C102:C105)</f>
        <v>11</v>
      </c>
      <c r="T33" s="57">
        <f t="shared" ref="T33:AF33" si="25">SUM(D102:D105)</f>
        <v>2</v>
      </c>
      <c r="U33" s="57">
        <f t="shared" si="25"/>
        <v>3</v>
      </c>
      <c r="V33" s="57">
        <f t="shared" si="25"/>
        <v>11</v>
      </c>
      <c r="W33" s="57">
        <f t="shared" si="25"/>
        <v>0</v>
      </c>
      <c r="X33" s="57">
        <f t="shared" si="25"/>
        <v>1</v>
      </c>
      <c r="Y33" s="57">
        <f t="shared" si="25"/>
        <v>2</v>
      </c>
      <c r="Z33" s="57">
        <f t="shared" si="25"/>
        <v>4</v>
      </c>
      <c r="AA33" s="57">
        <f t="shared" si="25"/>
        <v>7.5</v>
      </c>
      <c r="AB33" s="57">
        <f t="shared" si="25"/>
        <v>0</v>
      </c>
      <c r="AC33" s="57">
        <f t="shared" si="25"/>
        <v>18</v>
      </c>
      <c r="AD33" s="57">
        <f t="shared" si="25"/>
        <v>0</v>
      </c>
      <c r="AE33" s="56">
        <f t="shared" si="25"/>
        <v>41.5</v>
      </c>
      <c r="AF33" s="56">
        <f t="shared" si="25"/>
        <v>59.5</v>
      </c>
    </row>
    <row r="34" spans="2:32" ht="23.1" customHeight="1" x14ac:dyDescent="0.25">
      <c r="B34" s="24" t="s">
        <v>61</v>
      </c>
      <c r="C34" s="49">
        <f>AVERAGE('17.10 MBARARA-MASAKA'!C34,'18.10 MBARARA-MASAKA-24H'!C34,'19.10 MBARARA-MASAKA-24H'!C34,'20.10 MBARARA-MASAKA'!C34,'21.10 MBARARA- MASAKA'!C34,'22.10 MBARARA-MASAKA'!C34,'23.10 MBARARA-MASAKA'!C34)</f>
        <v>11.571428571428571</v>
      </c>
      <c r="D34" s="49">
        <f>AVERAGE('17.10 MBARARA-MASAKA'!D34,'18.10 MBARARA-MASAKA-24H'!D34,'19.10 MBARARA-MASAKA-24H'!D34,'20.10 MBARARA-MASAKA'!D34,'21.10 MBARARA- MASAKA'!D34,'22.10 MBARARA-MASAKA'!D34,'23.10 MBARARA-MASAKA'!D34)</f>
        <v>4.5714285714285712</v>
      </c>
      <c r="E34" s="49">
        <f>AVERAGE('17.10 MBARARA-MASAKA'!E34,'18.10 MBARARA-MASAKA-24H'!E34,'19.10 MBARARA-MASAKA-24H'!E34,'20.10 MBARARA-MASAKA'!E34,'21.10 MBARARA- MASAKA'!E34,'22.10 MBARARA-MASAKA'!E34,'23.10 MBARARA-MASAKA'!E34)</f>
        <v>3.1428571428571428</v>
      </c>
      <c r="F34" s="49">
        <f>AVERAGE('17.10 MBARARA-MASAKA'!F34,'18.10 MBARARA-MASAKA-24H'!F34,'19.10 MBARARA-MASAKA-24H'!F34,'20.10 MBARARA-MASAKA'!F34,'21.10 MBARARA- MASAKA'!F34,'22.10 MBARARA-MASAKA'!F34,'23.10 MBARARA-MASAKA'!F34)</f>
        <v>5.2857142857142856</v>
      </c>
      <c r="G34" s="49">
        <f>AVERAGE('17.10 MBARARA-MASAKA'!G34,'18.10 MBARARA-MASAKA-24H'!G34,'19.10 MBARARA-MASAKA-24H'!G34,'20.10 MBARARA-MASAKA'!G34,'21.10 MBARARA- MASAKA'!G34,'22.10 MBARARA-MASAKA'!G34,'23.10 MBARARA-MASAKA'!G34)</f>
        <v>0</v>
      </c>
      <c r="H34" s="49">
        <f>AVERAGE('17.10 MBARARA-MASAKA'!H34,'18.10 MBARARA-MASAKA-24H'!H34,'19.10 MBARARA-MASAKA-24H'!H34,'20.10 MBARARA-MASAKA'!H34,'21.10 MBARARA- MASAKA'!H34,'22.10 MBARARA-MASAKA'!H34,'23.10 MBARARA-MASAKA'!H34)</f>
        <v>2.5714285714285716</v>
      </c>
      <c r="I34" s="49">
        <f>AVERAGE('17.10 MBARARA-MASAKA'!I34,'18.10 MBARARA-MASAKA-24H'!I34,'19.10 MBARARA-MASAKA-24H'!I34,'20.10 MBARARA-MASAKA'!I34,'21.10 MBARARA- MASAKA'!I34,'22.10 MBARARA-MASAKA'!I34,'23.10 MBARARA-MASAKA'!I34)</f>
        <v>2.4285714285714284</v>
      </c>
      <c r="J34" s="49">
        <f>AVERAGE('17.10 MBARARA-MASAKA'!J34,'18.10 MBARARA-MASAKA-24H'!J34,'19.10 MBARARA-MASAKA-24H'!J34,'20.10 MBARARA-MASAKA'!J34,'21.10 MBARARA- MASAKA'!J34,'22.10 MBARARA-MASAKA'!J34,'23.10 MBARARA-MASAKA'!J34)</f>
        <v>2</v>
      </c>
      <c r="K34" s="49">
        <f>AVERAGE('17.10 MBARARA-MASAKA'!K34,'18.10 MBARARA-MASAKA-24H'!K34,'19.10 MBARARA-MASAKA-24H'!K34,'20.10 MBARARA-MASAKA'!K34,'21.10 MBARARA- MASAKA'!K34,'22.10 MBARARA-MASAKA'!K34,'23.10 MBARARA-MASAKA'!K34)</f>
        <v>1.4285714285714286</v>
      </c>
      <c r="L34" s="49">
        <f>AVERAGE('17.10 MBARARA-MASAKA'!L34,'18.10 MBARARA-MASAKA-24H'!L34,'19.10 MBARARA-MASAKA-24H'!L34,'20.10 MBARARA-MASAKA'!L34,'21.10 MBARARA- MASAKA'!L34,'22.10 MBARARA-MASAKA'!L34,'23.10 MBARARA-MASAKA'!L34)</f>
        <v>0.42857142857142855</v>
      </c>
      <c r="M34" s="49">
        <f>AVERAGE('17.10 MBARARA-MASAKA'!M34,'18.10 MBARARA-MASAKA-24H'!M34,'19.10 MBARARA-MASAKA-24H'!M34,'20.10 MBARARA-MASAKA'!M34,'21.10 MBARARA- MASAKA'!M34,'22.10 MBARARA-MASAKA'!M34,'23.10 MBARARA-MASAKA'!M34)</f>
        <v>15.285714285714286</v>
      </c>
      <c r="N34" s="49">
        <f>AVERAGE('17.10 MBARARA-MASAKA'!N34,'18.10 MBARARA-MASAKA-24H'!N34,'19.10 MBARARA-MASAKA-24H'!N34,'20.10 MBARARA-MASAKA'!N34,'21.10 MBARARA- MASAKA'!N34,'22.10 MBARARA-MASAKA'!N34,'23.10 MBARARA-MASAKA'!N34)</f>
        <v>0</v>
      </c>
      <c r="O34" s="15">
        <f t="shared" si="0"/>
        <v>33.428571428571431</v>
      </c>
      <c r="P34" s="15">
        <f t="shared" si="1"/>
        <v>48.714285714285715</v>
      </c>
      <c r="R34" s="64" t="s">
        <v>90</v>
      </c>
      <c r="S34" s="65">
        <f t="shared" ref="S34:AF34" si="26">MAX(S10:S12)</f>
        <v>21.714285714285715</v>
      </c>
      <c r="T34" s="65">
        <f t="shared" si="26"/>
        <v>10.142857142857142</v>
      </c>
      <c r="U34" s="65">
        <f t="shared" si="26"/>
        <v>6</v>
      </c>
      <c r="V34" s="65">
        <f t="shared" si="26"/>
        <v>19.142857142857146</v>
      </c>
      <c r="W34" s="65">
        <f t="shared" si="26"/>
        <v>0.5714285714285714</v>
      </c>
      <c r="X34" s="65">
        <f t="shared" si="26"/>
        <v>2.2857142857142856</v>
      </c>
      <c r="Y34" s="65">
        <f t="shared" si="26"/>
        <v>4</v>
      </c>
      <c r="Z34" s="65">
        <f t="shared" si="26"/>
        <v>2.7142857142857144</v>
      </c>
      <c r="AA34" s="65">
        <f t="shared" si="26"/>
        <v>6</v>
      </c>
      <c r="AB34" s="65">
        <f t="shared" si="26"/>
        <v>0.71428571428571419</v>
      </c>
      <c r="AC34" s="65">
        <f t="shared" si="26"/>
        <v>59.428571428571431</v>
      </c>
      <c r="AD34" s="65">
        <f t="shared" si="26"/>
        <v>0</v>
      </c>
      <c r="AE34" s="63">
        <f t="shared" si="26"/>
        <v>70.714285714285708</v>
      </c>
      <c r="AF34" s="63">
        <f t="shared" si="26"/>
        <v>125.57142857142856</v>
      </c>
    </row>
    <row r="35" spans="2:32" ht="23.1" customHeight="1" x14ac:dyDescent="0.25">
      <c r="B35" s="24" t="s">
        <v>62</v>
      </c>
      <c r="C35" s="49">
        <f>AVERAGE('17.10 MBARARA-MASAKA'!C35,'18.10 MBARARA-MASAKA-24H'!C35,'19.10 MBARARA-MASAKA-24H'!C35,'20.10 MBARARA-MASAKA'!C35,'21.10 MBARARA- MASAKA'!C35,'22.10 MBARARA-MASAKA'!C35,'23.10 MBARARA-MASAKA'!C35)</f>
        <v>10.857142857142858</v>
      </c>
      <c r="D35" s="49">
        <f>AVERAGE('17.10 MBARARA-MASAKA'!D35,'18.10 MBARARA-MASAKA-24H'!D35,'19.10 MBARARA-MASAKA-24H'!D35,'20.10 MBARARA-MASAKA'!D35,'21.10 MBARARA- MASAKA'!D35,'22.10 MBARARA-MASAKA'!D35,'23.10 MBARARA-MASAKA'!D35)</f>
        <v>4.4285714285714288</v>
      </c>
      <c r="E35" s="49">
        <f>AVERAGE('17.10 MBARARA-MASAKA'!E35,'18.10 MBARARA-MASAKA-24H'!E35,'19.10 MBARARA-MASAKA-24H'!E35,'20.10 MBARARA-MASAKA'!E35,'21.10 MBARARA- MASAKA'!E35,'22.10 MBARARA-MASAKA'!E35,'23.10 MBARARA-MASAKA'!E35)</f>
        <v>3.4285714285714284</v>
      </c>
      <c r="F35" s="49">
        <f>AVERAGE('17.10 MBARARA-MASAKA'!F35,'18.10 MBARARA-MASAKA-24H'!F35,'19.10 MBARARA-MASAKA-24H'!F35,'20.10 MBARARA-MASAKA'!F35,'21.10 MBARARA- MASAKA'!F35,'22.10 MBARARA-MASAKA'!F35,'23.10 MBARARA-MASAKA'!F35)</f>
        <v>3.7142857142857144</v>
      </c>
      <c r="G35" s="49">
        <f>AVERAGE('17.10 MBARARA-MASAKA'!G35,'18.10 MBARARA-MASAKA-24H'!G35,'19.10 MBARARA-MASAKA-24H'!G35,'20.10 MBARARA-MASAKA'!G35,'21.10 MBARARA- MASAKA'!G35,'22.10 MBARARA-MASAKA'!G35,'23.10 MBARARA-MASAKA'!G35)</f>
        <v>0.5714285714285714</v>
      </c>
      <c r="H35" s="49">
        <f>AVERAGE('17.10 MBARARA-MASAKA'!H35,'18.10 MBARARA-MASAKA-24H'!H35,'19.10 MBARARA-MASAKA-24H'!H35,'20.10 MBARARA-MASAKA'!H35,'21.10 MBARARA- MASAKA'!H35,'22.10 MBARARA-MASAKA'!H35,'23.10 MBARARA-MASAKA'!H35)</f>
        <v>1.5714285714285714</v>
      </c>
      <c r="I35" s="49">
        <f>AVERAGE('17.10 MBARARA-MASAKA'!I35,'18.10 MBARARA-MASAKA-24H'!I35,'19.10 MBARARA-MASAKA-24H'!I35,'20.10 MBARARA-MASAKA'!I35,'21.10 MBARARA- MASAKA'!I35,'22.10 MBARARA-MASAKA'!I35,'23.10 MBARARA-MASAKA'!I35)</f>
        <v>2.2857142857142856</v>
      </c>
      <c r="J35" s="49">
        <f>AVERAGE('17.10 MBARARA-MASAKA'!J35,'18.10 MBARARA-MASAKA-24H'!J35,'19.10 MBARARA-MASAKA-24H'!J35,'20.10 MBARARA-MASAKA'!J35,'21.10 MBARARA- MASAKA'!J35,'22.10 MBARARA-MASAKA'!J35,'23.10 MBARARA-MASAKA'!J35)</f>
        <v>0.14285714285714285</v>
      </c>
      <c r="K35" s="49">
        <f>AVERAGE('17.10 MBARARA-MASAKA'!K35,'18.10 MBARARA-MASAKA-24H'!K35,'19.10 MBARARA-MASAKA-24H'!K35,'20.10 MBARARA-MASAKA'!K35,'21.10 MBARARA- MASAKA'!K35,'22.10 MBARARA-MASAKA'!K35,'23.10 MBARARA-MASAKA'!K35)</f>
        <v>0.7142857142857143</v>
      </c>
      <c r="L35" s="49">
        <f>AVERAGE('17.10 MBARARA-MASAKA'!L35,'18.10 MBARARA-MASAKA-24H'!L35,'19.10 MBARARA-MASAKA-24H'!L35,'20.10 MBARARA-MASAKA'!L35,'21.10 MBARARA- MASAKA'!L35,'22.10 MBARARA-MASAKA'!L35,'23.10 MBARARA-MASAKA'!L35)</f>
        <v>0</v>
      </c>
      <c r="M35" s="49">
        <f>AVERAGE('17.10 MBARARA-MASAKA'!M35,'18.10 MBARARA-MASAKA-24H'!M35,'19.10 MBARARA-MASAKA-24H'!M35,'20.10 MBARARA-MASAKA'!M35,'21.10 MBARARA- MASAKA'!M35,'22.10 MBARARA-MASAKA'!M35,'23.10 MBARARA-MASAKA'!M35)</f>
        <v>16.285714285714285</v>
      </c>
      <c r="N35" s="49">
        <f>AVERAGE('17.10 MBARARA-MASAKA'!N35,'18.10 MBARARA-MASAKA-24H'!N35,'19.10 MBARARA-MASAKA-24H'!N35,'20.10 MBARARA-MASAKA'!N35,'21.10 MBARARA- MASAKA'!N35,'22.10 MBARARA-MASAKA'!N35,'23.10 MBARARA-MASAKA'!N35)</f>
        <v>0</v>
      </c>
      <c r="O35" s="15">
        <f t="shared" si="0"/>
        <v>27.714285714285719</v>
      </c>
      <c r="P35" s="15">
        <f t="shared" si="1"/>
        <v>44</v>
      </c>
      <c r="R35" s="64" t="s">
        <v>91</v>
      </c>
      <c r="S35" s="65">
        <f t="shared" ref="S35:AF35" si="27">MAX(S13:S18)</f>
        <v>40.857142857142861</v>
      </c>
      <c r="T35" s="65">
        <f t="shared" si="27"/>
        <v>21.285714285714288</v>
      </c>
      <c r="U35" s="65">
        <f t="shared" si="27"/>
        <v>10.857142857142858</v>
      </c>
      <c r="V35" s="65">
        <f t="shared" si="27"/>
        <v>22</v>
      </c>
      <c r="W35" s="65">
        <f t="shared" si="27"/>
        <v>1.2857142857142856</v>
      </c>
      <c r="X35" s="65">
        <f t="shared" si="27"/>
        <v>8.2857142857142865</v>
      </c>
      <c r="Y35" s="65">
        <f t="shared" si="27"/>
        <v>7.5714285714285712</v>
      </c>
      <c r="Z35" s="65">
        <f t="shared" si="27"/>
        <v>7.5714285714285712</v>
      </c>
      <c r="AA35" s="65">
        <f t="shared" si="27"/>
        <v>10</v>
      </c>
      <c r="AB35" s="65">
        <f t="shared" si="27"/>
        <v>1.8571428571428572</v>
      </c>
      <c r="AC35" s="65">
        <f t="shared" si="27"/>
        <v>58.857142857142854</v>
      </c>
      <c r="AD35" s="65">
        <f t="shared" si="27"/>
        <v>0</v>
      </c>
      <c r="AE35" s="63">
        <f t="shared" si="27"/>
        <v>116.57142857142856</v>
      </c>
      <c r="AF35" s="63">
        <f t="shared" si="27"/>
        <v>175.42857142857142</v>
      </c>
    </row>
    <row r="36" spans="2:32" ht="23.1" customHeight="1" x14ac:dyDescent="0.25">
      <c r="B36" s="24" t="s">
        <v>63</v>
      </c>
      <c r="C36" s="49">
        <f>AVERAGE('17.10 MBARARA-MASAKA'!C36,'18.10 MBARARA-MASAKA-24H'!C36,'19.10 MBARARA-MASAKA-24H'!C36,'20.10 MBARARA-MASAKA'!C36,'21.10 MBARARA- MASAKA'!C36,'22.10 MBARARA-MASAKA'!C36,'23.10 MBARARA-MASAKA'!C36)</f>
        <v>9.4285714285714288</v>
      </c>
      <c r="D36" s="49">
        <f>AVERAGE('17.10 MBARARA-MASAKA'!D36,'18.10 MBARARA-MASAKA-24H'!D36,'19.10 MBARARA-MASAKA-24H'!D36,'20.10 MBARARA-MASAKA'!D36,'21.10 MBARARA- MASAKA'!D36,'22.10 MBARARA-MASAKA'!D36,'23.10 MBARARA-MASAKA'!D36)</f>
        <v>5.1428571428571432</v>
      </c>
      <c r="E36" s="49">
        <f>AVERAGE('17.10 MBARARA-MASAKA'!E36,'18.10 MBARARA-MASAKA-24H'!E36,'19.10 MBARARA-MASAKA-24H'!E36,'20.10 MBARARA-MASAKA'!E36,'21.10 MBARARA- MASAKA'!E36,'22.10 MBARARA-MASAKA'!E36,'23.10 MBARARA-MASAKA'!E36)</f>
        <v>2.2857142857142856</v>
      </c>
      <c r="F36" s="49">
        <f>AVERAGE('17.10 MBARARA-MASAKA'!F36,'18.10 MBARARA-MASAKA-24H'!F36,'19.10 MBARARA-MASAKA-24H'!F36,'20.10 MBARARA-MASAKA'!F36,'21.10 MBARARA- MASAKA'!F36,'22.10 MBARARA-MASAKA'!F36,'23.10 MBARARA-MASAKA'!F36)</f>
        <v>4.2857142857142856</v>
      </c>
      <c r="G36" s="49">
        <f>AVERAGE('17.10 MBARARA-MASAKA'!G36,'18.10 MBARARA-MASAKA-24H'!G36,'19.10 MBARARA-MASAKA-24H'!G36,'20.10 MBARARA-MASAKA'!G36,'21.10 MBARARA- MASAKA'!G36,'22.10 MBARARA-MASAKA'!G36,'23.10 MBARARA-MASAKA'!G36)</f>
        <v>0</v>
      </c>
      <c r="H36" s="49">
        <f>AVERAGE('17.10 MBARARA-MASAKA'!H36,'18.10 MBARARA-MASAKA-24H'!H36,'19.10 MBARARA-MASAKA-24H'!H36,'20.10 MBARARA-MASAKA'!H36,'21.10 MBARARA- MASAKA'!H36,'22.10 MBARARA-MASAKA'!H36,'23.10 MBARARA-MASAKA'!H36)</f>
        <v>2</v>
      </c>
      <c r="I36" s="49">
        <f>AVERAGE('17.10 MBARARA-MASAKA'!I36,'18.10 MBARARA-MASAKA-24H'!I36,'19.10 MBARARA-MASAKA-24H'!I36,'20.10 MBARARA-MASAKA'!I36,'21.10 MBARARA- MASAKA'!I36,'22.10 MBARARA-MASAKA'!I36,'23.10 MBARARA-MASAKA'!I36)</f>
        <v>1.4285714285714286</v>
      </c>
      <c r="J36" s="49">
        <f>AVERAGE('17.10 MBARARA-MASAKA'!J36,'18.10 MBARARA-MASAKA-24H'!J36,'19.10 MBARARA-MASAKA-24H'!J36,'20.10 MBARARA-MASAKA'!J36,'21.10 MBARARA- MASAKA'!J36,'22.10 MBARARA-MASAKA'!J36,'23.10 MBARARA-MASAKA'!J36)</f>
        <v>1.4285714285714286</v>
      </c>
      <c r="K36" s="49">
        <f>AVERAGE('17.10 MBARARA-MASAKA'!K36,'18.10 MBARARA-MASAKA-24H'!K36,'19.10 MBARARA-MASAKA-24H'!K36,'20.10 MBARARA-MASAKA'!K36,'21.10 MBARARA- MASAKA'!K36,'22.10 MBARARA-MASAKA'!K36,'23.10 MBARARA-MASAKA'!K36)</f>
        <v>1.4285714285714286</v>
      </c>
      <c r="L36" s="49">
        <f>AVERAGE('17.10 MBARARA-MASAKA'!L36,'18.10 MBARARA-MASAKA-24H'!L36,'19.10 MBARARA-MASAKA-24H'!L36,'20.10 MBARARA-MASAKA'!L36,'21.10 MBARARA- MASAKA'!L36,'22.10 MBARARA-MASAKA'!L36,'23.10 MBARARA-MASAKA'!L36)</f>
        <v>0</v>
      </c>
      <c r="M36" s="49">
        <f>AVERAGE('17.10 MBARARA-MASAKA'!M36,'18.10 MBARARA-MASAKA-24H'!M36,'19.10 MBARARA-MASAKA-24H'!M36,'20.10 MBARARA-MASAKA'!M36,'21.10 MBARARA- MASAKA'!M36,'22.10 MBARARA-MASAKA'!M36,'23.10 MBARARA-MASAKA'!M36)</f>
        <v>11.428571428571429</v>
      </c>
      <c r="N36" s="49">
        <f>AVERAGE('17.10 MBARARA-MASAKA'!N36,'18.10 MBARARA-MASAKA-24H'!N36,'19.10 MBARARA-MASAKA-24H'!N36,'20.10 MBARARA-MASAKA'!N36,'21.10 MBARARA- MASAKA'!N36,'22.10 MBARARA-MASAKA'!N36,'23.10 MBARARA-MASAKA'!N36)</f>
        <v>0</v>
      </c>
      <c r="O36" s="15">
        <f t="shared" si="0"/>
        <v>27.428571428571423</v>
      </c>
      <c r="P36" s="15">
        <f t="shared" si="1"/>
        <v>38.857142857142854</v>
      </c>
      <c r="R36" s="64" t="s">
        <v>92</v>
      </c>
      <c r="S36" s="65">
        <f t="shared" ref="S36:AF36" si="28">MAX(S19:S21)</f>
        <v>50.285714285714292</v>
      </c>
      <c r="T36" s="65">
        <f t="shared" si="28"/>
        <v>24.428571428571427</v>
      </c>
      <c r="U36" s="65">
        <f t="shared" si="28"/>
        <v>17</v>
      </c>
      <c r="V36" s="65">
        <f t="shared" si="28"/>
        <v>24.857142857142858</v>
      </c>
      <c r="W36" s="65">
        <f t="shared" si="28"/>
        <v>1.4285714285714284</v>
      </c>
      <c r="X36" s="65">
        <f t="shared" si="28"/>
        <v>5.7142857142857135</v>
      </c>
      <c r="Y36" s="65">
        <f t="shared" si="28"/>
        <v>11.142857142857144</v>
      </c>
      <c r="Z36" s="65">
        <f t="shared" si="28"/>
        <v>13.428571428571429</v>
      </c>
      <c r="AA36" s="65">
        <f t="shared" si="28"/>
        <v>13.857142857142856</v>
      </c>
      <c r="AB36" s="65">
        <f t="shared" si="28"/>
        <v>1.7142857142857142</v>
      </c>
      <c r="AC36" s="65">
        <f t="shared" si="28"/>
        <v>77.428571428571445</v>
      </c>
      <c r="AD36" s="65">
        <f t="shared" si="28"/>
        <v>0</v>
      </c>
      <c r="AE36" s="63">
        <f t="shared" si="28"/>
        <v>152.71428571428572</v>
      </c>
      <c r="AF36" s="63">
        <f t="shared" si="28"/>
        <v>230.14285714285717</v>
      </c>
    </row>
    <row r="37" spans="2:32" ht="23.1" customHeight="1" x14ac:dyDescent="0.25">
      <c r="B37" s="23" t="s">
        <v>64</v>
      </c>
      <c r="C37" s="49">
        <f>AVERAGE('17.10 MBARARA-MASAKA'!C37,'18.10 MBARARA-MASAKA-24H'!C37,'19.10 MBARARA-MASAKA-24H'!C37,'20.10 MBARARA-MASAKA'!C37,'21.10 MBARARA- MASAKA'!C37,'22.10 MBARARA-MASAKA'!C37,'23.10 MBARARA-MASAKA'!C37)</f>
        <v>9</v>
      </c>
      <c r="D37" s="49">
        <f>AVERAGE('17.10 MBARARA-MASAKA'!D37,'18.10 MBARARA-MASAKA-24H'!D37,'19.10 MBARARA-MASAKA-24H'!D37,'20.10 MBARARA-MASAKA'!D37,'21.10 MBARARA- MASAKA'!D37,'22.10 MBARARA-MASAKA'!D37,'23.10 MBARARA-MASAKA'!D37)</f>
        <v>4</v>
      </c>
      <c r="E37" s="49">
        <f>AVERAGE('17.10 MBARARA-MASAKA'!E37,'18.10 MBARARA-MASAKA-24H'!E37,'19.10 MBARARA-MASAKA-24H'!E37,'20.10 MBARARA-MASAKA'!E37,'21.10 MBARARA- MASAKA'!E37,'22.10 MBARARA-MASAKA'!E37,'23.10 MBARARA-MASAKA'!E37)</f>
        <v>1.7142857142857142</v>
      </c>
      <c r="F37" s="49">
        <f>AVERAGE('17.10 MBARARA-MASAKA'!F37,'18.10 MBARARA-MASAKA-24H'!F37,'19.10 MBARARA-MASAKA-24H'!F37,'20.10 MBARARA-MASAKA'!F37,'21.10 MBARARA- MASAKA'!F37,'22.10 MBARARA-MASAKA'!F37,'23.10 MBARARA-MASAKA'!F37)</f>
        <v>4.1428571428571432</v>
      </c>
      <c r="G37" s="49">
        <f>AVERAGE('17.10 MBARARA-MASAKA'!G37,'18.10 MBARARA-MASAKA-24H'!G37,'19.10 MBARARA-MASAKA-24H'!G37,'20.10 MBARARA-MASAKA'!G37,'21.10 MBARARA- MASAKA'!G37,'22.10 MBARARA-MASAKA'!G37,'23.10 MBARARA-MASAKA'!G37)</f>
        <v>0.5714285714285714</v>
      </c>
      <c r="H37" s="49">
        <f>AVERAGE('17.10 MBARARA-MASAKA'!H37,'18.10 MBARARA-MASAKA-24H'!H37,'19.10 MBARARA-MASAKA-24H'!H37,'20.10 MBARARA-MASAKA'!H37,'21.10 MBARARA- MASAKA'!H37,'22.10 MBARARA-MASAKA'!H37,'23.10 MBARARA-MASAKA'!H37)</f>
        <v>2.1428571428571428</v>
      </c>
      <c r="I37" s="49">
        <f>AVERAGE('17.10 MBARARA-MASAKA'!I37,'18.10 MBARARA-MASAKA-24H'!I37,'19.10 MBARARA-MASAKA-24H'!I37,'20.10 MBARARA-MASAKA'!I37,'21.10 MBARARA- MASAKA'!I37,'22.10 MBARARA-MASAKA'!I37,'23.10 MBARARA-MASAKA'!I37)</f>
        <v>1.4285714285714286</v>
      </c>
      <c r="J37" s="49">
        <f>AVERAGE('17.10 MBARARA-MASAKA'!J37,'18.10 MBARARA-MASAKA-24H'!J37,'19.10 MBARARA-MASAKA-24H'!J37,'20.10 MBARARA-MASAKA'!J37,'21.10 MBARARA- MASAKA'!J37,'22.10 MBARARA-MASAKA'!J37,'23.10 MBARARA-MASAKA'!J37)</f>
        <v>2</v>
      </c>
      <c r="K37" s="49">
        <f>AVERAGE('17.10 MBARARA-MASAKA'!K37,'18.10 MBARARA-MASAKA-24H'!K37,'19.10 MBARARA-MASAKA-24H'!K37,'20.10 MBARARA-MASAKA'!K37,'21.10 MBARARA- MASAKA'!K37,'22.10 MBARARA-MASAKA'!K37,'23.10 MBARARA-MASAKA'!K37)</f>
        <v>1.8571428571428572</v>
      </c>
      <c r="L37" s="49">
        <f>AVERAGE('17.10 MBARARA-MASAKA'!L37,'18.10 MBARARA-MASAKA-24H'!L37,'19.10 MBARARA-MASAKA-24H'!L37,'20.10 MBARARA-MASAKA'!L37,'21.10 MBARARA- MASAKA'!L37,'22.10 MBARARA-MASAKA'!L37,'23.10 MBARARA-MASAKA'!L37)</f>
        <v>0</v>
      </c>
      <c r="M37" s="49">
        <f>AVERAGE('17.10 MBARARA-MASAKA'!M37,'18.10 MBARARA-MASAKA-24H'!M37,'19.10 MBARARA-MASAKA-24H'!M37,'20.10 MBARARA-MASAKA'!M37,'21.10 MBARARA- MASAKA'!M37,'22.10 MBARARA-MASAKA'!M37,'23.10 MBARARA-MASAKA'!M37)</f>
        <v>14</v>
      </c>
      <c r="N37" s="49">
        <f>AVERAGE('17.10 MBARARA-MASAKA'!N37,'18.10 MBARARA-MASAKA-24H'!N37,'19.10 MBARARA-MASAKA-24H'!N37,'20.10 MBARARA-MASAKA'!N37,'21.10 MBARARA- MASAKA'!N37,'22.10 MBARARA-MASAKA'!N37,'23.10 MBARARA-MASAKA'!N37)</f>
        <v>0</v>
      </c>
      <c r="O37" s="15">
        <f t="shared" si="0"/>
        <v>26.857142857142858</v>
      </c>
      <c r="P37" s="15">
        <f t="shared" si="1"/>
        <v>40.857142857142861</v>
      </c>
      <c r="R37" s="62" t="s">
        <v>85</v>
      </c>
      <c r="S37" s="66">
        <f t="shared" ref="S37:AF37" si="29">SUM(S10:S12)</f>
        <v>57.428571428571423</v>
      </c>
      <c r="T37" s="67">
        <f t="shared" si="29"/>
        <v>23</v>
      </c>
      <c r="U37" s="67">
        <f t="shared" si="29"/>
        <v>14.571428571428571</v>
      </c>
      <c r="V37" s="67">
        <f t="shared" si="29"/>
        <v>46</v>
      </c>
      <c r="W37" s="67">
        <f t="shared" si="29"/>
        <v>0.99999999999999989</v>
      </c>
      <c r="X37" s="67">
        <f t="shared" si="29"/>
        <v>5.7142857142857135</v>
      </c>
      <c r="Y37" s="67">
        <f t="shared" si="29"/>
        <v>9.7142857142857153</v>
      </c>
      <c r="Z37" s="67">
        <f t="shared" si="29"/>
        <v>7.4285714285714279</v>
      </c>
      <c r="AA37" s="67">
        <f t="shared" si="29"/>
        <v>15</v>
      </c>
      <c r="AB37" s="67">
        <f t="shared" si="29"/>
        <v>1.4285714285714284</v>
      </c>
      <c r="AC37" s="67">
        <f t="shared" si="29"/>
        <v>173.71428571428572</v>
      </c>
      <c r="AD37" s="67">
        <f t="shared" si="29"/>
        <v>0</v>
      </c>
      <c r="AE37" s="68">
        <f t="shared" si="29"/>
        <v>181.28571428571428</v>
      </c>
      <c r="AF37" s="68">
        <f t="shared" si="29"/>
        <v>355</v>
      </c>
    </row>
    <row r="38" spans="2:32" ht="23.1" customHeight="1" x14ac:dyDescent="0.25">
      <c r="B38" s="24" t="s">
        <v>65</v>
      </c>
      <c r="C38" s="49">
        <f>AVERAGE('17.10 MBARARA-MASAKA'!C38,'18.10 MBARARA-MASAKA-24H'!C38,'19.10 MBARARA-MASAKA-24H'!C38,'20.10 MBARARA-MASAKA'!C38,'21.10 MBARARA- MASAKA'!C38,'22.10 MBARARA-MASAKA'!C38,'23.10 MBARARA-MASAKA'!C38)</f>
        <v>8.7142857142857135</v>
      </c>
      <c r="D38" s="49">
        <f>AVERAGE('17.10 MBARARA-MASAKA'!D38,'18.10 MBARARA-MASAKA-24H'!D38,'19.10 MBARARA-MASAKA-24H'!D38,'20.10 MBARARA-MASAKA'!D38,'21.10 MBARARA- MASAKA'!D38,'22.10 MBARARA-MASAKA'!D38,'23.10 MBARARA-MASAKA'!D38)</f>
        <v>5.7142857142857144</v>
      </c>
      <c r="E38" s="49">
        <f>AVERAGE('17.10 MBARARA-MASAKA'!E38,'18.10 MBARARA-MASAKA-24H'!E38,'19.10 MBARARA-MASAKA-24H'!E38,'20.10 MBARARA-MASAKA'!E38,'21.10 MBARARA- MASAKA'!E38,'22.10 MBARARA-MASAKA'!E38,'23.10 MBARARA-MASAKA'!E38)</f>
        <v>3</v>
      </c>
      <c r="F38" s="49">
        <f>AVERAGE('17.10 MBARARA-MASAKA'!F38,'18.10 MBARARA-MASAKA-24H'!F38,'19.10 MBARARA-MASAKA-24H'!F38,'20.10 MBARARA-MASAKA'!F38,'21.10 MBARARA- MASAKA'!F38,'22.10 MBARARA-MASAKA'!F38,'23.10 MBARARA-MASAKA'!F38)</f>
        <v>5.1428571428571432</v>
      </c>
      <c r="G38" s="49">
        <f>AVERAGE('17.10 MBARARA-MASAKA'!G38,'18.10 MBARARA-MASAKA-24H'!G38,'19.10 MBARARA-MASAKA-24H'!G38,'20.10 MBARARA-MASAKA'!G38,'21.10 MBARARA- MASAKA'!G38,'22.10 MBARARA-MASAKA'!G38,'23.10 MBARARA-MASAKA'!G38)</f>
        <v>0.2857142857142857</v>
      </c>
      <c r="H38" s="49">
        <f>AVERAGE('17.10 MBARARA-MASAKA'!H38,'18.10 MBARARA-MASAKA-24H'!H38,'19.10 MBARARA-MASAKA-24H'!H38,'20.10 MBARARA-MASAKA'!H38,'21.10 MBARARA- MASAKA'!H38,'22.10 MBARARA-MASAKA'!H38,'23.10 MBARARA-MASAKA'!H38)</f>
        <v>0.5714285714285714</v>
      </c>
      <c r="I38" s="49">
        <f>AVERAGE('17.10 MBARARA-MASAKA'!I38,'18.10 MBARARA-MASAKA-24H'!I38,'19.10 MBARARA-MASAKA-24H'!I38,'20.10 MBARARA-MASAKA'!I38,'21.10 MBARARA- MASAKA'!I38,'22.10 MBARARA-MASAKA'!I38,'23.10 MBARARA-MASAKA'!I38)</f>
        <v>1.5714285714285714</v>
      </c>
      <c r="J38" s="49">
        <f>AVERAGE('17.10 MBARARA-MASAKA'!J38,'18.10 MBARARA-MASAKA-24H'!J38,'19.10 MBARARA-MASAKA-24H'!J38,'20.10 MBARARA-MASAKA'!J38,'21.10 MBARARA- MASAKA'!J38,'22.10 MBARARA-MASAKA'!J38,'23.10 MBARARA-MASAKA'!J38)</f>
        <v>1.2857142857142858</v>
      </c>
      <c r="K38" s="49">
        <f>AVERAGE('17.10 MBARARA-MASAKA'!K38,'18.10 MBARARA-MASAKA-24H'!K38,'19.10 MBARARA-MASAKA-24H'!K38,'20.10 MBARARA-MASAKA'!K38,'21.10 MBARARA- MASAKA'!K38,'22.10 MBARARA-MASAKA'!K38,'23.10 MBARARA-MASAKA'!K38)</f>
        <v>1.4285714285714286</v>
      </c>
      <c r="L38" s="49">
        <f>AVERAGE('17.10 MBARARA-MASAKA'!L38,'18.10 MBARARA-MASAKA-24H'!L38,'19.10 MBARARA-MASAKA-24H'!L38,'20.10 MBARARA-MASAKA'!L38,'21.10 MBARARA- MASAKA'!L38,'22.10 MBARARA-MASAKA'!L38,'23.10 MBARARA-MASAKA'!L38)</f>
        <v>0</v>
      </c>
      <c r="M38" s="49">
        <f>AVERAGE('17.10 MBARARA-MASAKA'!M38,'18.10 MBARARA-MASAKA-24H'!M38,'19.10 MBARARA-MASAKA-24H'!M38,'20.10 MBARARA-MASAKA'!M38,'21.10 MBARARA- MASAKA'!M38,'22.10 MBARARA-MASAKA'!M38,'23.10 MBARARA-MASAKA'!M38)</f>
        <v>14.428571428571429</v>
      </c>
      <c r="N38" s="49">
        <f>AVERAGE('17.10 MBARARA-MASAKA'!N38,'18.10 MBARARA-MASAKA-24H'!N38,'19.10 MBARARA-MASAKA-24H'!N38,'20.10 MBARARA-MASAKA'!N38,'21.10 MBARARA- MASAKA'!N38,'22.10 MBARARA-MASAKA'!N38,'23.10 MBARARA-MASAKA'!N38)</f>
        <v>0</v>
      </c>
      <c r="O38" s="15">
        <f t="shared" si="0"/>
        <v>27.714285714285712</v>
      </c>
      <c r="P38" s="15">
        <f t="shared" si="1"/>
        <v>42.142857142857139</v>
      </c>
      <c r="R38" s="60" t="s">
        <v>86</v>
      </c>
      <c r="S38" s="67">
        <f t="shared" ref="S38:AF38" si="30">SUM(S13:S18)</f>
        <v>208</v>
      </c>
      <c r="T38" s="67">
        <f t="shared" si="30"/>
        <v>109.71428571428572</v>
      </c>
      <c r="U38" s="67">
        <f t="shared" si="30"/>
        <v>58.714285714285708</v>
      </c>
      <c r="V38" s="67">
        <f t="shared" si="30"/>
        <v>113.42857142857143</v>
      </c>
      <c r="W38" s="67">
        <f t="shared" si="30"/>
        <v>4.5714285714285712</v>
      </c>
      <c r="X38" s="67">
        <f t="shared" si="30"/>
        <v>35.714285714285715</v>
      </c>
      <c r="Y38" s="67">
        <f t="shared" si="30"/>
        <v>33.428571428571431</v>
      </c>
      <c r="Z38" s="67">
        <f t="shared" si="30"/>
        <v>33.714285714285715</v>
      </c>
      <c r="AA38" s="67">
        <f t="shared" si="30"/>
        <v>39.714285714285715</v>
      </c>
      <c r="AB38" s="67">
        <f t="shared" si="30"/>
        <v>6.5714285714285712</v>
      </c>
      <c r="AC38" s="67">
        <f t="shared" si="30"/>
        <v>330.71428571428567</v>
      </c>
      <c r="AD38" s="67">
        <f t="shared" si="30"/>
        <v>0</v>
      </c>
      <c r="AE38" s="68">
        <f t="shared" si="30"/>
        <v>643.57142857142856</v>
      </c>
      <c r="AF38" s="68">
        <f t="shared" si="30"/>
        <v>974.28571428571433</v>
      </c>
    </row>
    <row r="39" spans="2:32" ht="23.1" customHeight="1" x14ac:dyDescent="0.25">
      <c r="B39" s="24" t="s">
        <v>66</v>
      </c>
      <c r="C39" s="49">
        <f>AVERAGE('17.10 MBARARA-MASAKA'!C39,'18.10 MBARARA-MASAKA-24H'!C39,'19.10 MBARARA-MASAKA-24H'!C39,'20.10 MBARARA-MASAKA'!C39,'21.10 MBARARA- MASAKA'!C39,'22.10 MBARARA-MASAKA'!C39,'23.10 MBARARA-MASAKA'!C39)</f>
        <v>9.4285714285714288</v>
      </c>
      <c r="D39" s="49">
        <f>AVERAGE('17.10 MBARARA-MASAKA'!D39,'18.10 MBARARA-MASAKA-24H'!D39,'19.10 MBARARA-MASAKA-24H'!D39,'20.10 MBARARA-MASAKA'!D39,'21.10 MBARARA- MASAKA'!D39,'22.10 MBARARA-MASAKA'!D39,'23.10 MBARARA-MASAKA'!D39)</f>
        <v>6.2857142857142856</v>
      </c>
      <c r="E39" s="49">
        <f>AVERAGE('17.10 MBARARA-MASAKA'!E39,'18.10 MBARARA-MASAKA-24H'!E39,'19.10 MBARARA-MASAKA-24H'!E39,'20.10 MBARARA-MASAKA'!E39,'21.10 MBARARA- MASAKA'!E39,'22.10 MBARARA-MASAKA'!E39,'23.10 MBARARA-MASAKA'!E39)</f>
        <v>1.8571428571428572</v>
      </c>
      <c r="F39" s="49">
        <f>AVERAGE('17.10 MBARARA-MASAKA'!F39,'18.10 MBARARA-MASAKA-24H'!F39,'19.10 MBARARA-MASAKA-24H'!F39,'20.10 MBARARA-MASAKA'!F39,'21.10 MBARARA- MASAKA'!F39,'22.10 MBARARA-MASAKA'!F39,'23.10 MBARARA-MASAKA'!F39)</f>
        <v>4.1428571428571432</v>
      </c>
      <c r="G39" s="49">
        <f>AVERAGE('17.10 MBARARA-MASAKA'!G39,'18.10 MBARARA-MASAKA-24H'!G39,'19.10 MBARARA-MASAKA-24H'!G39,'20.10 MBARARA-MASAKA'!G39,'21.10 MBARARA- MASAKA'!G39,'22.10 MBARARA-MASAKA'!G39,'23.10 MBARARA-MASAKA'!G39)</f>
        <v>0.14285714285714285</v>
      </c>
      <c r="H39" s="49">
        <f>AVERAGE('17.10 MBARARA-MASAKA'!H39,'18.10 MBARARA-MASAKA-24H'!H39,'19.10 MBARARA-MASAKA-24H'!H39,'20.10 MBARARA-MASAKA'!H39,'21.10 MBARARA- MASAKA'!H39,'22.10 MBARARA-MASAKA'!H39,'23.10 MBARARA-MASAKA'!H39)</f>
        <v>2.4285714285714284</v>
      </c>
      <c r="I39" s="49">
        <f>AVERAGE('17.10 MBARARA-MASAKA'!I39,'18.10 MBARARA-MASAKA-24H'!I39,'19.10 MBARARA-MASAKA-24H'!I39,'20.10 MBARARA-MASAKA'!I39,'21.10 MBARARA- MASAKA'!I39,'22.10 MBARARA-MASAKA'!I39,'23.10 MBARARA-MASAKA'!I39)</f>
        <v>1.1428571428571428</v>
      </c>
      <c r="J39" s="49">
        <f>AVERAGE('17.10 MBARARA-MASAKA'!J39,'18.10 MBARARA-MASAKA-24H'!J39,'19.10 MBARARA-MASAKA-24H'!J39,'20.10 MBARARA-MASAKA'!J39,'21.10 MBARARA- MASAKA'!J39,'22.10 MBARARA-MASAKA'!J39,'23.10 MBARARA-MASAKA'!J39)</f>
        <v>1.2857142857142858</v>
      </c>
      <c r="K39" s="49">
        <f>AVERAGE('17.10 MBARARA-MASAKA'!K39,'18.10 MBARARA-MASAKA-24H'!K39,'19.10 MBARARA-MASAKA-24H'!K39,'20.10 MBARARA-MASAKA'!K39,'21.10 MBARARA- MASAKA'!K39,'22.10 MBARARA-MASAKA'!K39,'23.10 MBARARA-MASAKA'!K39)</f>
        <v>2.4285714285714284</v>
      </c>
      <c r="L39" s="49">
        <f>AVERAGE('17.10 MBARARA-MASAKA'!L39,'18.10 MBARARA-MASAKA-24H'!L39,'19.10 MBARARA-MASAKA-24H'!L39,'20.10 MBARARA-MASAKA'!L39,'21.10 MBARARA- MASAKA'!L39,'22.10 MBARARA-MASAKA'!L39,'23.10 MBARARA-MASAKA'!L39)</f>
        <v>1</v>
      </c>
      <c r="M39" s="49">
        <f>AVERAGE('17.10 MBARARA-MASAKA'!M39,'18.10 MBARARA-MASAKA-24H'!M39,'19.10 MBARARA-MASAKA-24H'!M39,'20.10 MBARARA-MASAKA'!M39,'21.10 MBARARA- MASAKA'!M39,'22.10 MBARARA-MASAKA'!M39,'23.10 MBARARA-MASAKA'!M39)</f>
        <v>9.5714285714285712</v>
      </c>
      <c r="N39" s="49">
        <f>AVERAGE('17.10 MBARARA-MASAKA'!N39,'18.10 MBARARA-MASAKA-24H'!N39,'19.10 MBARARA-MASAKA-24H'!N39,'20.10 MBARARA-MASAKA'!N39,'21.10 MBARARA- MASAKA'!N39,'22.10 MBARARA-MASAKA'!N39,'23.10 MBARARA-MASAKA'!N39)</f>
        <v>0</v>
      </c>
      <c r="O39" s="15">
        <f t="shared" si="0"/>
        <v>30.142857142857139</v>
      </c>
      <c r="P39" s="15">
        <f t="shared" si="1"/>
        <v>39.714285714285708</v>
      </c>
      <c r="R39" s="61" t="s">
        <v>87</v>
      </c>
      <c r="S39" s="67">
        <f t="shared" ref="S39:AF39" si="31">SUM(S19:S21)</f>
        <v>138.85714285714286</v>
      </c>
      <c r="T39" s="67">
        <f t="shared" si="31"/>
        <v>58.428571428571431</v>
      </c>
      <c r="U39" s="67">
        <f t="shared" si="31"/>
        <v>45.285714285714285</v>
      </c>
      <c r="V39" s="67">
        <f t="shared" si="31"/>
        <v>65.142857142857153</v>
      </c>
      <c r="W39" s="67">
        <f t="shared" si="31"/>
        <v>2.8571428571428568</v>
      </c>
      <c r="X39" s="67">
        <f t="shared" si="31"/>
        <v>15.714285714285714</v>
      </c>
      <c r="Y39" s="67">
        <f t="shared" si="31"/>
        <v>25.857142857142858</v>
      </c>
      <c r="Z39" s="67">
        <f t="shared" si="31"/>
        <v>32.428571428571431</v>
      </c>
      <c r="AA39" s="67">
        <f t="shared" si="31"/>
        <v>35.142857142857139</v>
      </c>
      <c r="AB39" s="67">
        <f t="shared" si="31"/>
        <v>4.2857142857142856</v>
      </c>
      <c r="AC39" s="67">
        <f t="shared" si="31"/>
        <v>220.14285714285717</v>
      </c>
      <c r="AD39" s="67">
        <f t="shared" si="31"/>
        <v>0</v>
      </c>
      <c r="AE39" s="68">
        <f t="shared" si="31"/>
        <v>424</v>
      </c>
      <c r="AF39" s="68">
        <f t="shared" si="31"/>
        <v>644.14285714285722</v>
      </c>
    </row>
    <row r="40" spans="2:32" ht="23.1" customHeight="1" x14ac:dyDescent="0.25">
      <c r="B40" s="24" t="s">
        <v>67</v>
      </c>
      <c r="C40" s="49">
        <f>AVERAGE('17.10 MBARARA-MASAKA'!C40,'18.10 MBARARA-MASAKA-24H'!C40,'19.10 MBARARA-MASAKA-24H'!C40,'20.10 MBARARA-MASAKA'!C40,'21.10 MBARARA- MASAKA'!C40,'22.10 MBARARA-MASAKA'!C40,'23.10 MBARARA-MASAKA'!C40)</f>
        <v>8.1428571428571423</v>
      </c>
      <c r="D40" s="49">
        <f>AVERAGE('17.10 MBARARA-MASAKA'!D40,'18.10 MBARARA-MASAKA-24H'!D40,'19.10 MBARARA-MASAKA-24H'!D40,'20.10 MBARARA-MASAKA'!D40,'21.10 MBARARA- MASAKA'!D40,'22.10 MBARARA-MASAKA'!D40,'23.10 MBARARA-MASAKA'!D40)</f>
        <v>3.1428571428571428</v>
      </c>
      <c r="E40" s="49">
        <f>AVERAGE('17.10 MBARARA-MASAKA'!E40,'18.10 MBARARA-MASAKA-24H'!E40,'19.10 MBARARA-MASAKA-24H'!E40,'20.10 MBARARA-MASAKA'!E40,'21.10 MBARARA- MASAKA'!E40,'22.10 MBARARA-MASAKA'!E40,'23.10 MBARARA-MASAKA'!E40)</f>
        <v>2.7142857142857144</v>
      </c>
      <c r="F40" s="49">
        <f>AVERAGE('17.10 MBARARA-MASAKA'!F40,'18.10 MBARARA-MASAKA-24H'!F40,'19.10 MBARARA-MASAKA-24H'!F40,'20.10 MBARARA-MASAKA'!F40,'21.10 MBARARA- MASAKA'!F40,'22.10 MBARARA-MASAKA'!F40,'23.10 MBARARA-MASAKA'!F40)</f>
        <v>3.7142857142857144</v>
      </c>
      <c r="G40" s="49">
        <f>AVERAGE('17.10 MBARARA-MASAKA'!G40,'18.10 MBARARA-MASAKA-24H'!G40,'19.10 MBARARA-MASAKA-24H'!G40,'20.10 MBARARA-MASAKA'!G40,'21.10 MBARARA- MASAKA'!G40,'22.10 MBARARA-MASAKA'!G40,'23.10 MBARARA-MASAKA'!G40)</f>
        <v>0.14285714285714285</v>
      </c>
      <c r="H40" s="49">
        <f>AVERAGE('17.10 MBARARA-MASAKA'!H40,'18.10 MBARARA-MASAKA-24H'!H40,'19.10 MBARARA-MASAKA-24H'!H40,'20.10 MBARARA-MASAKA'!H40,'21.10 MBARARA- MASAKA'!H40,'22.10 MBARARA-MASAKA'!H40,'23.10 MBARARA-MASAKA'!H40)</f>
        <v>1.5714285714285714</v>
      </c>
      <c r="I40" s="49">
        <f>AVERAGE('17.10 MBARARA-MASAKA'!I40,'18.10 MBARARA-MASAKA-24H'!I40,'19.10 MBARARA-MASAKA-24H'!I40,'20.10 MBARARA-MASAKA'!I40,'21.10 MBARARA- MASAKA'!I40,'22.10 MBARARA-MASAKA'!I40,'23.10 MBARARA-MASAKA'!I40)</f>
        <v>1.8571428571428572</v>
      </c>
      <c r="J40" s="49">
        <f>AVERAGE('17.10 MBARARA-MASAKA'!J40,'18.10 MBARARA-MASAKA-24H'!J40,'19.10 MBARARA-MASAKA-24H'!J40,'20.10 MBARARA-MASAKA'!J40,'21.10 MBARARA- MASAKA'!J40,'22.10 MBARARA-MASAKA'!J40,'23.10 MBARARA-MASAKA'!J40)</f>
        <v>1.8571428571428572</v>
      </c>
      <c r="K40" s="49">
        <f>AVERAGE('17.10 MBARARA-MASAKA'!K40,'18.10 MBARARA-MASAKA-24H'!K40,'19.10 MBARARA-MASAKA-24H'!K40,'20.10 MBARARA-MASAKA'!K40,'21.10 MBARARA- MASAKA'!K40,'22.10 MBARARA-MASAKA'!K40,'23.10 MBARARA-MASAKA'!K40)</f>
        <v>2.4285714285714284</v>
      </c>
      <c r="L40" s="49">
        <f>AVERAGE('17.10 MBARARA-MASAKA'!L40,'18.10 MBARARA-MASAKA-24H'!L40,'19.10 MBARARA-MASAKA-24H'!L40,'20.10 MBARARA-MASAKA'!L40,'21.10 MBARARA- MASAKA'!L40,'22.10 MBARARA-MASAKA'!L40,'23.10 MBARARA-MASAKA'!L40)</f>
        <v>0</v>
      </c>
      <c r="M40" s="49">
        <f>AVERAGE('17.10 MBARARA-MASAKA'!M40,'18.10 MBARARA-MASAKA-24H'!M40,'19.10 MBARARA-MASAKA-24H'!M40,'20.10 MBARARA-MASAKA'!M40,'21.10 MBARARA- MASAKA'!M40,'22.10 MBARARA-MASAKA'!M40,'23.10 MBARARA-MASAKA'!M40)</f>
        <v>15.571428571428571</v>
      </c>
      <c r="N40" s="49">
        <f>AVERAGE('17.10 MBARARA-MASAKA'!N40,'18.10 MBARARA-MASAKA-24H'!N40,'19.10 MBARARA-MASAKA-24H'!N40,'20.10 MBARARA-MASAKA'!N40,'21.10 MBARARA- MASAKA'!N40,'22.10 MBARARA-MASAKA'!N40,'23.10 MBARARA-MASAKA'!N40)</f>
        <v>0</v>
      </c>
      <c r="O40" s="15">
        <f t="shared" si="0"/>
        <v>25.571428571428573</v>
      </c>
      <c r="P40" s="15">
        <f t="shared" si="1"/>
        <v>41.142857142857146</v>
      </c>
      <c r="R40" s="59" t="s">
        <v>17</v>
      </c>
      <c r="S40" s="67">
        <f t="shared" ref="S40:AF40" si="32">SUM(S10:S21)</f>
        <v>404.28571428571428</v>
      </c>
      <c r="T40" s="67">
        <f t="shared" si="32"/>
        <v>191.14285714285714</v>
      </c>
      <c r="U40" s="67">
        <f t="shared" si="32"/>
        <v>118.57142857142856</v>
      </c>
      <c r="V40" s="67">
        <f t="shared" si="32"/>
        <v>224.57142857142861</v>
      </c>
      <c r="W40" s="67">
        <f t="shared" si="32"/>
        <v>8.428571428571427</v>
      </c>
      <c r="X40" s="67">
        <f t="shared" si="32"/>
        <v>57.142857142857146</v>
      </c>
      <c r="Y40" s="67">
        <f t="shared" si="32"/>
        <v>69</v>
      </c>
      <c r="Z40" s="67">
        <f t="shared" si="32"/>
        <v>73.571428571428569</v>
      </c>
      <c r="AA40" s="67">
        <f t="shared" si="32"/>
        <v>89.857142857142861</v>
      </c>
      <c r="AB40" s="67">
        <f t="shared" si="32"/>
        <v>12.285714285714285</v>
      </c>
      <c r="AC40" s="67">
        <f t="shared" si="32"/>
        <v>724.57142857142856</v>
      </c>
      <c r="AD40" s="67">
        <f t="shared" si="32"/>
        <v>0</v>
      </c>
      <c r="AE40" s="68">
        <f t="shared" si="32"/>
        <v>1248.8571428571429</v>
      </c>
      <c r="AF40" s="68">
        <f t="shared" si="32"/>
        <v>1973.4285714285716</v>
      </c>
    </row>
    <row r="41" spans="2:32" ht="23.1" customHeight="1" x14ac:dyDescent="0.25">
      <c r="B41" s="23" t="s">
        <v>68</v>
      </c>
      <c r="C41" s="49">
        <f>AVERAGE('17.10 MBARARA-MASAKA'!C41,'18.10 MBARARA-MASAKA-24H'!C41,'19.10 MBARARA-MASAKA-24H'!C41,'20.10 MBARARA-MASAKA'!C41,'21.10 MBARARA- MASAKA'!C41,'22.10 MBARARA-MASAKA'!C41,'23.10 MBARARA-MASAKA'!C41)</f>
        <v>7.4285714285714288</v>
      </c>
      <c r="D41" s="49">
        <f>AVERAGE('17.10 MBARARA-MASAKA'!D41,'18.10 MBARARA-MASAKA-24H'!D41,'19.10 MBARARA-MASAKA-24H'!D41,'20.10 MBARARA-MASAKA'!D41,'21.10 MBARARA- MASAKA'!D41,'22.10 MBARARA-MASAKA'!D41,'23.10 MBARARA-MASAKA'!D41)</f>
        <v>4.4285714285714288</v>
      </c>
      <c r="E41" s="49">
        <f>AVERAGE('17.10 MBARARA-MASAKA'!E41,'18.10 MBARARA-MASAKA-24H'!E41,'19.10 MBARARA-MASAKA-24H'!E41,'20.10 MBARARA-MASAKA'!E41,'21.10 MBARARA- MASAKA'!E41,'22.10 MBARARA-MASAKA'!E41,'23.10 MBARARA-MASAKA'!E41)</f>
        <v>2.2857142857142856</v>
      </c>
      <c r="F41" s="49">
        <f>AVERAGE('17.10 MBARARA-MASAKA'!F41,'18.10 MBARARA-MASAKA-24H'!F41,'19.10 MBARARA-MASAKA-24H'!F41,'20.10 MBARARA-MASAKA'!F41,'21.10 MBARARA- MASAKA'!F41,'22.10 MBARARA-MASAKA'!F41,'23.10 MBARARA-MASAKA'!F41)</f>
        <v>5.5714285714285712</v>
      </c>
      <c r="G41" s="49">
        <f>AVERAGE('17.10 MBARARA-MASAKA'!G41,'18.10 MBARARA-MASAKA-24H'!G41,'19.10 MBARARA-MASAKA-24H'!G41,'20.10 MBARARA-MASAKA'!G41,'21.10 MBARARA- MASAKA'!G41,'22.10 MBARARA-MASAKA'!G41,'23.10 MBARARA-MASAKA'!G41)</f>
        <v>0</v>
      </c>
      <c r="H41" s="49">
        <f>AVERAGE('17.10 MBARARA-MASAKA'!H41,'18.10 MBARARA-MASAKA-24H'!H41,'19.10 MBARARA-MASAKA-24H'!H41,'20.10 MBARARA-MASAKA'!H41,'21.10 MBARARA- MASAKA'!H41,'22.10 MBARARA-MASAKA'!H41,'23.10 MBARARA-MASAKA'!H41)</f>
        <v>1.8571428571428572</v>
      </c>
      <c r="I41" s="49">
        <f>AVERAGE('17.10 MBARARA-MASAKA'!I41,'18.10 MBARARA-MASAKA-24H'!I41,'19.10 MBARARA-MASAKA-24H'!I41,'20.10 MBARARA-MASAKA'!I41,'21.10 MBARARA- MASAKA'!I41,'22.10 MBARARA-MASAKA'!I41,'23.10 MBARARA-MASAKA'!I41)</f>
        <v>1.4285714285714286</v>
      </c>
      <c r="J41" s="49">
        <f>AVERAGE('17.10 MBARARA-MASAKA'!J41,'18.10 MBARARA-MASAKA-24H'!J41,'19.10 MBARARA-MASAKA-24H'!J41,'20.10 MBARARA-MASAKA'!J41,'21.10 MBARARA- MASAKA'!J41,'22.10 MBARARA-MASAKA'!J41,'23.10 MBARARA-MASAKA'!J41)</f>
        <v>1.5714285714285714</v>
      </c>
      <c r="K41" s="49">
        <f>AVERAGE('17.10 MBARARA-MASAKA'!K41,'18.10 MBARARA-MASAKA-24H'!K41,'19.10 MBARARA-MASAKA-24H'!K41,'20.10 MBARARA-MASAKA'!K41,'21.10 MBARARA- MASAKA'!K41,'22.10 MBARARA-MASAKA'!K41,'23.10 MBARARA-MASAKA'!K41)</f>
        <v>2.5714285714285716</v>
      </c>
      <c r="L41" s="49">
        <f>AVERAGE('17.10 MBARARA-MASAKA'!L41,'18.10 MBARARA-MASAKA-24H'!L41,'19.10 MBARARA-MASAKA-24H'!L41,'20.10 MBARARA-MASAKA'!L41,'21.10 MBARARA- MASAKA'!L41,'22.10 MBARARA-MASAKA'!L41,'23.10 MBARARA-MASAKA'!L41)</f>
        <v>0</v>
      </c>
      <c r="M41" s="49">
        <f>AVERAGE('17.10 MBARARA-MASAKA'!M41,'18.10 MBARARA-MASAKA-24H'!M41,'19.10 MBARARA-MASAKA-24H'!M41,'20.10 MBARARA-MASAKA'!M41,'21.10 MBARARA- MASAKA'!M41,'22.10 MBARARA-MASAKA'!M41,'23.10 MBARARA-MASAKA'!M41)</f>
        <v>15.285714285714286</v>
      </c>
      <c r="N41" s="49">
        <f>AVERAGE('17.10 MBARARA-MASAKA'!N41,'18.10 MBARARA-MASAKA-24H'!N41,'19.10 MBARARA-MASAKA-24H'!N41,'20.10 MBARARA-MASAKA'!N41,'21.10 MBARARA- MASAKA'!N41,'22.10 MBARARA-MASAKA'!N41,'23.10 MBARARA-MASAKA'!N41)</f>
        <v>0</v>
      </c>
      <c r="O41" s="15">
        <f t="shared" si="0"/>
        <v>27.142857142857146</v>
      </c>
      <c r="P41" s="15">
        <f t="shared" si="1"/>
        <v>42.428571428571431</v>
      </c>
      <c r="R41" s="59" t="s">
        <v>186</v>
      </c>
      <c r="S41" s="67">
        <f>SUM(S10:S33)</f>
        <v>596.78571428571422</v>
      </c>
      <c r="T41" s="67">
        <f t="shared" ref="T41:AD41" si="33">SUM(T10:T33)</f>
        <v>256.14285714285711</v>
      </c>
      <c r="U41" s="67">
        <f t="shared" si="33"/>
        <v>161.07142857142856</v>
      </c>
      <c r="V41" s="67">
        <f t="shared" si="33"/>
        <v>305.57142857142861</v>
      </c>
      <c r="W41" s="67">
        <f t="shared" si="33"/>
        <v>22.928571428571427</v>
      </c>
      <c r="X41" s="67">
        <f t="shared" si="33"/>
        <v>113.14285714285714</v>
      </c>
      <c r="Y41" s="67">
        <f t="shared" si="33"/>
        <v>131</v>
      </c>
      <c r="Z41" s="67">
        <f t="shared" si="33"/>
        <v>253.57142857142856</v>
      </c>
      <c r="AA41" s="67">
        <f t="shared" si="33"/>
        <v>201.85714285714286</v>
      </c>
      <c r="AB41" s="67">
        <f t="shared" si="33"/>
        <v>19.285714285714285</v>
      </c>
      <c r="AC41" s="67">
        <f t="shared" si="33"/>
        <v>866.07142857142856</v>
      </c>
      <c r="AD41" s="67">
        <f t="shared" si="33"/>
        <v>0</v>
      </c>
      <c r="AE41" s="68">
        <f>SUM(AE10:AE33)</f>
        <v>2061.3571428571431</v>
      </c>
      <c r="AF41" s="68">
        <f>SUM(AF10:AF33)</f>
        <v>2927.4285714285716</v>
      </c>
    </row>
    <row r="42" spans="2:32" ht="23.1" customHeight="1" x14ac:dyDescent="0.25">
      <c r="B42" s="24" t="s">
        <v>69</v>
      </c>
      <c r="C42" s="49">
        <f>AVERAGE('17.10 MBARARA-MASAKA'!C42,'18.10 MBARARA-MASAKA-24H'!C42,'19.10 MBARARA-MASAKA-24H'!C42,'20.10 MBARARA-MASAKA'!C42,'21.10 MBARARA- MASAKA'!C42,'22.10 MBARARA-MASAKA'!C42,'23.10 MBARARA-MASAKA'!C42)</f>
        <v>6.8571428571428568</v>
      </c>
      <c r="D42" s="49">
        <f>AVERAGE('17.10 MBARARA-MASAKA'!D42,'18.10 MBARARA-MASAKA-24H'!D42,'19.10 MBARARA-MASAKA-24H'!D42,'20.10 MBARARA-MASAKA'!D42,'21.10 MBARARA- MASAKA'!D42,'22.10 MBARARA-MASAKA'!D42,'23.10 MBARARA-MASAKA'!D42)</f>
        <v>3.4285714285714284</v>
      </c>
      <c r="E42" s="49">
        <f>AVERAGE('17.10 MBARARA-MASAKA'!E42,'18.10 MBARARA-MASAKA-24H'!E42,'19.10 MBARARA-MASAKA-24H'!E42,'20.10 MBARARA-MASAKA'!E42,'21.10 MBARARA- MASAKA'!E42,'22.10 MBARARA-MASAKA'!E42,'23.10 MBARARA-MASAKA'!E42)</f>
        <v>2.1428571428571428</v>
      </c>
      <c r="F42" s="49">
        <f>AVERAGE('17.10 MBARARA-MASAKA'!F42,'18.10 MBARARA-MASAKA-24H'!F42,'19.10 MBARARA-MASAKA-24H'!F42,'20.10 MBARARA-MASAKA'!F42,'21.10 MBARARA- MASAKA'!F42,'22.10 MBARARA-MASAKA'!F42,'23.10 MBARARA-MASAKA'!F42)</f>
        <v>3.2857142857142856</v>
      </c>
      <c r="G42" s="49">
        <f>AVERAGE('17.10 MBARARA-MASAKA'!G42,'18.10 MBARARA-MASAKA-24H'!G42,'19.10 MBARARA-MASAKA-24H'!G42,'20.10 MBARARA-MASAKA'!G42,'21.10 MBARARA- MASAKA'!G42,'22.10 MBARARA-MASAKA'!G42,'23.10 MBARARA-MASAKA'!G42)</f>
        <v>0.5714285714285714</v>
      </c>
      <c r="H42" s="49">
        <f>AVERAGE('17.10 MBARARA-MASAKA'!H42,'18.10 MBARARA-MASAKA-24H'!H42,'19.10 MBARARA-MASAKA-24H'!H42,'20.10 MBARARA-MASAKA'!H42,'21.10 MBARARA- MASAKA'!H42,'22.10 MBARARA-MASAKA'!H42,'23.10 MBARARA-MASAKA'!H42)</f>
        <v>1.4285714285714286</v>
      </c>
      <c r="I42" s="49">
        <f>AVERAGE('17.10 MBARARA-MASAKA'!I42,'18.10 MBARARA-MASAKA-24H'!I42,'19.10 MBARARA-MASAKA-24H'!I42,'20.10 MBARARA-MASAKA'!I42,'21.10 MBARARA- MASAKA'!I42,'22.10 MBARARA-MASAKA'!I42,'23.10 MBARARA-MASAKA'!I42)</f>
        <v>0.8571428571428571</v>
      </c>
      <c r="J42" s="49">
        <f>AVERAGE('17.10 MBARARA-MASAKA'!J42,'18.10 MBARARA-MASAKA-24H'!J42,'19.10 MBARARA-MASAKA-24H'!J42,'20.10 MBARARA-MASAKA'!J42,'21.10 MBARARA- MASAKA'!J42,'22.10 MBARARA-MASAKA'!J42,'23.10 MBARARA-MASAKA'!J42)</f>
        <v>1.2857142857142858</v>
      </c>
      <c r="K42" s="49">
        <f>AVERAGE('17.10 MBARARA-MASAKA'!K42,'18.10 MBARARA-MASAKA-24H'!K42,'19.10 MBARARA-MASAKA-24H'!K42,'20.10 MBARARA-MASAKA'!K42,'21.10 MBARARA- MASAKA'!K42,'22.10 MBARARA-MASAKA'!K42,'23.10 MBARARA-MASAKA'!K42)</f>
        <v>2.1428571428571428</v>
      </c>
      <c r="L42" s="49">
        <f>AVERAGE('17.10 MBARARA-MASAKA'!L42,'18.10 MBARARA-MASAKA-24H'!L42,'19.10 MBARARA-MASAKA-24H'!L42,'20.10 MBARARA-MASAKA'!L42,'21.10 MBARARA- MASAKA'!L42,'22.10 MBARARA-MASAKA'!L42,'23.10 MBARARA-MASAKA'!L42)</f>
        <v>0</v>
      </c>
      <c r="M42" s="49">
        <f>AVERAGE('17.10 MBARARA-MASAKA'!M42,'18.10 MBARARA-MASAKA-24H'!M42,'19.10 MBARARA-MASAKA-24H'!M42,'20.10 MBARARA-MASAKA'!M42,'21.10 MBARARA- MASAKA'!M42,'22.10 MBARARA-MASAKA'!M42,'23.10 MBARARA-MASAKA'!M42)</f>
        <v>14.285714285714286</v>
      </c>
      <c r="N42" s="49">
        <f>AVERAGE('17.10 MBARARA-MASAKA'!N42,'18.10 MBARARA-MASAKA-24H'!N42,'19.10 MBARARA-MASAKA-24H'!N42,'20.10 MBARARA-MASAKA'!N42,'21.10 MBARARA- MASAKA'!N42,'22.10 MBARARA-MASAKA'!N42,'23.10 MBARARA-MASAKA'!N42)</f>
        <v>0</v>
      </c>
      <c r="O42" s="15">
        <f t="shared" si="0"/>
        <v>21.999999999999996</v>
      </c>
      <c r="P42" s="15">
        <f t="shared" si="1"/>
        <v>36.285714285714285</v>
      </c>
      <c r="R42" s="59" t="s">
        <v>160</v>
      </c>
      <c r="S42" s="48">
        <f>S41/S40</f>
        <v>1.4761484098939928</v>
      </c>
      <c r="T42" s="48">
        <f t="shared" ref="T42:AF42" si="34">T41/T40</f>
        <v>1.3400597907324363</v>
      </c>
      <c r="U42" s="48">
        <f t="shared" si="34"/>
        <v>1.3584337349397591</v>
      </c>
      <c r="V42" s="48">
        <f t="shared" si="34"/>
        <v>1.3606870229007633</v>
      </c>
      <c r="W42" s="48">
        <f t="shared" si="34"/>
        <v>2.7203389830508478</v>
      </c>
      <c r="X42" s="48">
        <f t="shared" si="34"/>
        <v>1.9799999999999998</v>
      </c>
      <c r="Y42" s="48">
        <f t="shared" si="34"/>
        <v>1.8985507246376812</v>
      </c>
      <c r="Z42" s="48">
        <f t="shared" si="34"/>
        <v>3.4466019417475726</v>
      </c>
      <c r="AA42" s="48">
        <f t="shared" si="34"/>
        <v>2.246422893481717</v>
      </c>
      <c r="AB42" s="48">
        <f t="shared" si="34"/>
        <v>1.5697674418604652</v>
      </c>
      <c r="AC42" s="48">
        <f t="shared" si="34"/>
        <v>1.19528785488959</v>
      </c>
      <c r="AD42" s="48" t="e">
        <f t="shared" si="34"/>
        <v>#DIV/0!</v>
      </c>
      <c r="AE42" s="69">
        <f t="shared" si="34"/>
        <v>1.6505948295584536</v>
      </c>
      <c r="AF42" s="69">
        <f t="shared" si="34"/>
        <v>1.4834226147386709</v>
      </c>
    </row>
    <row r="43" spans="2:32" ht="23.1" customHeight="1" x14ac:dyDescent="0.25">
      <c r="B43" s="23" t="s">
        <v>70</v>
      </c>
      <c r="C43" s="49">
        <f>AVERAGE('17.10 MBARARA-MASAKA'!C43,'18.10 MBARARA-MASAKA-24H'!C43,'19.10 MBARARA-MASAKA-24H'!C43,'20.10 MBARARA-MASAKA'!C43,'21.10 MBARARA- MASAKA'!C43,'22.10 MBARARA-MASAKA'!C43,'23.10 MBARARA-MASAKA'!C43)</f>
        <v>10.857142857142858</v>
      </c>
      <c r="D43" s="49">
        <f>AVERAGE('17.10 MBARARA-MASAKA'!D43,'18.10 MBARARA-MASAKA-24H'!D43,'19.10 MBARARA-MASAKA-24H'!D43,'20.10 MBARARA-MASAKA'!D43,'21.10 MBARARA- MASAKA'!D43,'22.10 MBARARA-MASAKA'!D43,'23.10 MBARARA-MASAKA'!D43)</f>
        <v>4.1428571428571432</v>
      </c>
      <c r="E43" s="49">
        <f>AVERAGE('17.10 MBARARA-MASAKA'!E43,'18.10 MBARARA-MASAKA-24H'!E43,'19.10 MBARARA-MASAKA-24H'!E43,'20.10 MBARARA-MASAKA'!E43,'21.10 MBARARA- MASAKA'!E43,'22.10 MBARARA-MASAKA'!E43,'23.10 MBARARA-MASAKA'!E43)</f>
        <v>2.4285714285714284</v>
      </c>
      <c r="F43" s="49">
        <f>AVERAGE('17.10 MBARARA-MASAKA'!F43,'18.10 MBARARA-MASAKA-24H'!F43,'19.10 MBARARA-MASAKA-24H'!F43,'20.10 MBARARA-MASAKA'!F43,'21.10 MBARARA- MASAKA'!F43,'22.10 MBARARA-MASAKA'!F43,'23.10 MBARARA-MASAKA'!F43)</f>
        <v>4.2857142857142856</v>
      </c>
      <c r="G43" s="49">
        <f>AVERAGE('17.10 MBARARA-MASAKA'!G43,'18.10 MBARARA-MASAKA-24H'!G43,'19.10 MBARARA-MASAKA-24H'!G43,'20.10 MBARARA-MASAKA'!G43,'21.10 MBARARA- MASAKA'!G43,'22.10 MBARARA-MASAKA'!G43,'23.10 MBARARA-MASAKA'!G43)</f>
        <v>0.2857142857142857</v>
      </c>
      <c r="H43" s="49">
        <f>AVERAGE('17.10 MBARARA-MASAKA'!H43,'18.10 MBARARA-MASAKA-24H'!H43,'19.10 MBARARA-MASAKA-24H'!H43,'20.10 MBARARA-MASAKA'!H43,'21.10 MBARARA- MASAKA'!H43,'22.10 MBARARA-MASAKA'!H43,'23.10 MBARARA-MASAKA'!H43)</f>
        <v>1.7142857142857142</v>
      </c>
      <c r="I43" s="49">
        <f>AVERAGE('17.10 MBARARA-MASAKA'!I43,'18.10 MBARARA-MASAKA-24H'!I43,'19.10 MBARARA-MASAKA-24H'!I43,'20.10 MBARARA-MASAKA'!I43,'21.10 MBARARA- MASAKA'!I43,'22.10 MBARARA-MASAKA'!I43,'23.10 MBARARA-MASAKA'!I43)</f>
        <v>1.5714285714285714</v>
      </c>
      <c r="J43" s="49">
        <f>AVERAGE('17.10 MBARARA-MASAKA'!J43,'18.10 MBARARA-MASAKA-24H'!J43,'19.10 MBARARA-MASAKA-24H'!J43,'20.10 MBARARA-MASAKA'!J43,'21.10 MBARARA- MASAKA'!J43,'22.10 MBARARA-MASAKA'!J43,'23.10 MBARARA-MASAKA'!J43)</f>
        <v>2.4285714285714284</v>
      </c>
      <c r="K43" s="49">
        <f>AVERAGE('17.10 MBARARA-MASAKA'!K43,'18.10 MBARARA-MASAKA-24H'!K43,'19.10 MBARARA-MASAKA-24H'!K43,'20.10 MBARARA-MASAKA'!K43,'21.10 MBARARA- MASAKA'!K43,'22.10 MBARARA-MASAKA'!K43,'23.10 MBARARA-MASAKA'!K43)</f>
        <v>3.1428571428571428</v>
      </c>
      <c r="L43" s="49">
        <f>AVERAGE('17.10 MBARARA-MASAKA'!L43,'18.10 MBARARA-MASAKA-24H'!L43,'19.10 MBARARA-MASAKA-24H'!L43,'20.10 MBARARA-MASAKA'!L43,'21.10 MBARARA- MASAKA'!L43,'22.10 MBARARA-MASAKA'!L43,'23.10 MBARARA-MASAKA'!L43)</f>
        <v>0.8571428571428571</v>
      </c>
      <c r="M43" s="49">
        <f>AVERAGE('17.10 MBARARA-MASAKA'!M43,'18.10 MBARARA-MASAKA-24H'!M43,'19.10 MBARARA-MASAKA-24H'!M43,'20.10 MBARARA-MASAKA'!M43,'21.10 MBARARA- MASAKA'!M43,'22.10 MBARARA-MASAKA'!M43,'23.10 MBARARA-MASAKA'!M43)</f>
        <v>13.571428571428571</v>
      </c>
      <c r="N43" s="49">
        <f>AVERAGE('17.10 MBARARA-MASAKA'!N43,'18.10 MBARARA-MASAKA-24H'!N43,'19.10 MBARARA-MASAKA-24H'!N43,'20.10 MBARARA-MASAKA'!N43,'21.10 MBARARA- MASAKA'!N43,'22.10 MBARARA-MASAKA'!N43,'23.10 MBARARA-MASAKA'!N43)</f>
        <v>0</v>
      </c>
      <c r="O43" s="15">
        <f t="shared" si="0"/>
        <v>31.714285714285712</v>
      </c>
      <c r="P43" s="15">
        <f t="shared" si="1"/>
        <v>45.285714285714285</v>
      </c>
    </row>
    <row r="44" spans="2:32" ht="23.1" customHeight="1" x14ac:dyDescent="0.25">
      <c r="B44" s="25" t="s">
        <v>71</v>
      </c>
      <c r="C44" s="49">
        <f>AVERAGE('17.10 MBARARA-MASAKA'!C44,'18.10 MBARARA-MASAKA-24H'!C44,'19.10 MBARARA-MASAKA-24H'!C44,'20.10 MBARARA-MASAKA'!C44,'21.10 MBARARA- MASAKA'!C44,'22.10 MBARARA-MASAKA'!C44,'23.10 MBARARA-MASAKA'!C44)</f>
        <v>9.8571428571428577</v>
      </c>
      <c r="D44" s="49">
        <f>AVERAGE('17.10 MBARARA-MASAKA'!D44,'18.10 MBARARA-MASAKA-24H'!D44,'19.10 MBARARA-MASAKA-24H'!D44,'20.10 MBARARA-MASAKA'!D44,'21.10 MBARARA- MASAKA'!D44,'22.10 MBARARA-MASAKA'!D44,'23.10 MBARARA-MASAKA'!D44)</f>
        <v>5.8571428571428568</v>
      </c>
      <c r="E44" s="49">
        <f>AVERAGE('17.10 MBARARA-MASAKA'!E44,'18.10 MBARARA-MASAKA-24H'!E44,'19.10 MBARARA-MASAKA-24H'!E44,'20.10 MBARARA-MASAKA'!E44,'21.10 MBARARA- MASAKA'!E44,'22.10 MBARARA-MASAKA'!E44,'23.10 MBARARA-MASAKA'!E44)</f>
        <v>2</v>
      </c>
      <c r="F44" s="49">
        <f>AVERAGE('17.10 MBARARA-MASAKA'!F44,'18.10 MBARARA-MASAKA-24H'!F44,'19.10 MBARARA-MASAKA-24H'!F44,'20.10 MBARARA-MASAKA'!F44,'21.10 MBARARA- MASAKA'!F44,'22.10 MBARARA-MASAKA'!F44,'23.10 MBARARA-MASAKA'!F44)</f>
        <v>7</v>
      </c>
      <c r="G44" s="49">
        <f>AVERAGE('17.10 MBARARA-MASAKA'!G44,'18.10 MBARARA-MASAKA-24H'!G44,'19.10 MBARARA-MASAKA-24H'!G44,'20.10 MBARARA-MASAKA'!G44,'21.10 MBARARA- MASAKA'!G44,'22.10 MBARARA-MASAKA'!G44,'23.10 MBARARA-MASAKA'!G44)</f>
        <v>0.14285714285714285</v>
      </c>
      <c r="H44" s="49">
        <f>AVERAGE('17.10 MBARARA-MASAKA'!H44,'18.10 MBARARA-MASAKA-24H'!H44,'19.10 MBARARA-MASAKA-24H'!H44,'20.10 MBARARA-MASAKA'!H44,'21.10 MBARARA- MASAKA'!H44,'22.10 MBARARA-MASAKA'!H44,'23.10 MBARARA-MASAKA'!H44)</f>
        <v>1.7142857142857142</v>
      </c>
      <c r="I44" s="49">
        <f>AVERAGE('17.10 MBARARA-MASAKA'!I44,'18.10 MBARARA-MASAKA-24H'!I44,'19.10 MBARARA-MASAKA-24H'!I44,'20.10 MBARARA-MASAKA'!I44,'21.10 MBARARA- MASAKA'!I44,'22.10 MBARARA-MASAKA'!I44,'23.10 MBARARA-MASAKA'!I44)</f>
        <v>1.4285714285714286</v>
      </c>
      <c r="J44" s="49">
        <f>AVERAGE('17.10 MBARARA-MASAKA'!J44,'18.10 MBARARA-MASAKA-24H'!J44,'19.10 MBARARA-MASAKA-24H'!J44,'20.10 MBARARA-MASAKA'!J44,'21.10 MBARARA- MASAKA'!J44,'22.10 MBARARA-MASAKA'!J44,'23.10 MBARARA-MASAKA'!J44)</f>
        <v>1.8571428571428572</v>
      </c>
      <c r="K44" s="49">
        <f>AVERAGE('17.10 MBARARA-MASAKA'!K44,'18.10 MBARARA-MASAKA-24H'!K44,'19.10 MBARARA-MASAKA-24H'!K44,'20.10 MBARARA-MASAKA'!K44,'21.10 MBARARA- MASAKA'!K44,'22.10 MBARARA-MASAKA'!K44,'23.10 MBARARA-MASAKA'!K44)</f>
        <v>3.2857142857142856</v>
      </c>
      <c r="L44" s="49">
        <f>AVERAGE('17.10 MBARARA-MASAKA'!L44,'18.10 MBARARA-MASAKA-24H'!L44,'19.10 MBARARA-MASAKA-24H'!L44,'20.10 MBARARA-MASAKA'!L44,'21.10 MBARARA- MASAKA'!L44,'22.10 MBARARA-MASAKA'!L44,'23.10 MBARARA-MASAKA'!L44)</f>
        <v>0.42857142857142855</v>
      </c>
      <c r="M44" s="49">
        <f>AVERAGE('17.10 MBARARA-MASAKA'!M44,'18.10 MBARARA-MASAKA-24H'!M44,'19.10 MBARARA-MASAKA-24H'!M44,'20.10 MBARARA-MASAKA'!M44,'21.10 MBARARA- MASAKA'!M44,'22.10 MBARARA-MASAKA'!M44,'23.10 MBARARA-MASAKA'!M44)</f>
        <v>16.428571428571427</v>
      </c>
      <c r="N44" s="49">
        <f>AVERAGE('17.10 MBARARA-MASAKA'!N44,'18.10 MBARARA-MASAKA-24H'!N44,'19.10 MBARARA-MASAKA-24H'!N44,'20.10 MBARARA-MASAKA'!N44,'21.10 MBARARA- MASAKA'!N44,'22.10 MBARARA-MASAKA'!N44,'23.10 MBARARA-MASAKA'!N44)</f>
        <v>0</v>
      </c>
      <c r="O44" s="15">
        <f t="shared" si="0"/>
        <v>33.571428571428577</v>
      </c>
      <c r="P44" s="15">
        <f t="shared" si="1"/>
        <v>50</v>
      </c>
    </row>
    <row r="45" spans="2:32" ht="23.1" customHeight="1" x14ac:dyDescent="0.25">
      <c r="B45" s="23" t="s">
        <v>72</v>
      </c>
      <c r="C45" s="49">
        <f>AVERAGE('17.10 MBARARA-MASAKA'!C45,'18.10 MBARARA-MASAKA-24H'!C45,'19.10 MBARARA-MASAKA-24H'!C45,'20.10 MBARARA-MASAKA'!C45,'21.10 MBARARA- MASAKA'!C45,'22.10 MBARARA-MASAKA'!C45,'23.10 MBARARA-MASAKA'!C45)</f>
        <v>10</v>
      </c>
      <c r="D45" s="49">
        <f>AVERAGE('17.10 MBARARA-MASAKA'!D45,'18.10 MBARARA-MASAKA-24H'!D45,'19.10 MBARARA-MASAKA-24H'!D45,'20.10 MBARARA-MASAKA'!D45,'21.10 MBARARA- MASAKA'!D45,'22.10 MBARARA-MASAKA'!D45,'23.10 MBARARA-MASAKA'!D45)</f>
        <v>5.4285714285714288</v>
      </c>
      <c r="E45" s="49">
        <f>AVERAGE('17.10 MBARARA-MASAKA'!E45,'18.10 MBARARA-MASAKA-24H'!E45,'19.10 MBARARA-MASAKA-24H'!E45,'20.10 MBARARA-MASAKA'!E45,'21.10 MBARARA- MASAKA'!E45,'22.10 MBARARA-MASAKA'!E45,'23.10 MBARARA-MASAKA'!E45)</f>
        <v>3.4285714285714284</v>
      </c>
      <c r="F45" s="49">
        <f>AVERAGE('17.10 MBARARA-MASAKA'!F45,'18.10 MBARARA-MASAKA-24H'!F45,'19.10 MBARARA-MASAKA-24H'!F45,'20.10 MBARARA-MASAKA'!F45,'21.10 MBARARA- MASAKA'!F45,'22.10 MBARARA-MASAKA'!F45,'23.10 MBARARA-MASAKA'!F45)</f>
        <v>4</v>
      </c>
      <c r="G45" s="49">
        <f>AVERAGE('17.10 MBARARA-MASAKA'!G45,'18.10 MBARARA-MASAKA-24H'!G45,'19.10 MBARARA-MASAKA-24H'!G45,'20.10 MBARARA-MASAKA'!G45,'21.10 MBARARA- MASAKA'!G45,'22.10 MBARARA-MASAKA'!G45,'23.10 MBARARA-MASAKA'!G45)</f>
        <v>0.2857142857142857</v>
      </c>
      <c r="H45" s="49">
        <f>AVERAGE('17.10 MBARARA-MASAKA'!H45,'18.10 MBARARA-MASAKA-24H'!H45,'19.10 MBARARA-MASAKA-24H'!H45,'20.10 MBARARA-MASAKA'!H45,'21.10 MBARARA- MASAKA'!H45,'22.10 MBARARA-MASAKA'!H45,'23.10 MBARARA-MASAKA'!H45)</f>
        <v>1.1428571428571428</v>
      </c>
      <c r="I45" s="49">
        <f>AVERAGE('17.10 MBARARA-MASAKA'!I45,'18.10 MBARARA-MASAKA-24H'!I45,'19.10 MBARARA-MASAKA-24H'!I45,'20.10 MBARARA-MASAKA'!I45,'21.10 MBARARA- MASAKA'!I45,'22.10 MBARARA-MASAKA'!I45,'23.10 MBARARA-MASAKA'!I45)</f>
        <v>1.5714285714285714</v>
      </c>
      <c r="J45" s="49">
        <f>AVERAGE('17.10 MBARARA-MASAKA'!J45,'18.10 MBARARA-MASAKA-24H'!J45,'19.10 MBARARA-MASAKA-24H'!J45,'20.10 MBARARA-MASAKA'!J45,'21.10 MBARARA- MASAKA'!J45,'22.10 MBARARA-MASAKA'!J45,'23.10 MBARARA-MASAKA'!J45)</f>
        <v>2</v>
      </c>
      <c r="K45" s="49">
        <f>AVERAGE('17.10 MBARARA-MASAKA'!K45,'18.10 MBARARA-MASAKA-24H'!K45,'19.10 MBARARA-MASAKA-24H'!K45,'20.10 MBARARA-MASAKA'!K45,'21.10 MBARARA- MASAKA'!K45,'22.10 MBARARA-MASAKA'!K45,'23.10 MBARARA-MASAKA'!K45)</f>
        <v>1.4285714285714286</v>
      </c>
      <c r="L45" s="49">
        <f>AVERAGE('17.10 MBARARA-MASAKA'!L45,'18.10 MBARARA-MASAKA-24H'!L45,'19.10 MBARARA-MASAKA-24H'!L45,'20.10 MBARARA-MASAKA'!L45,'21.10 MBARARA- MASAKA'!L45,'22.10 MBARARA-MASAKA'!L45,'23.10 MBARARA-MASAKA'!L45)</f>
        <v>0</v>
      </c>
      <c r="M45" s="49">
        <f>AVERAGE('17.10 MBARARA-MASAKA'!M45,'18.10 MBARARA-MASAKA-24H'!M45,'19.10 MBARARA-MASAKA-24H'!M45,'20.10 MBARARA-MASAKA'!M45,'21.10 MBARARA- MASAKA'!M45,'22.10 MBARARA-MASAKA'!M45,'23.10 MBARARA-MASAKA'!M45)</f>
        <v>14.571428571428571</v>
      </c>
      <c r="N45" s="49">
        <f>AVERAGE('17.10 MBARARA-MASAKA'!N45,'18.10 MBARARA-MASAKA-24H'!N45,'19.10 MBARARA-MASAKA-24H'!N45,'20.10 MBARARA-MASAKA'!N45,'21.10 MBARARA- MASAKA'!N45,'22.10 MBARARA-MASAKA'!N45,'23.10 MBARARA-MASAKA'!N45)</f>
        <v>0</v>
      </c>
      <c r="O45" s="15">
        <f t="shared" si="0"/>
        <v>29.285714285714285</v>
      </c>
      <c r="P45" s="15">
        <f t="shared" si="1"/>
        <v>43.857142857142854</v>
      </c>
    </row>
    <row r="46" spans="2:32" ht="23.1" customHeight="1" x14ac:dyDescent="0.25">
      <c r="B46" s="24" t="s">
        <v>73</v>
      </c>
      <c r="C46" s="49">
        <f>AVERAGE('17.10 MBARARA-MASAKA'!C46,'18.10 MBARARA-MASAKA-24H'!C46,'19.10 MBARARA-MASAKA-24H'!C46,'20.10 MBARARA-MASAKA'!C46,'21.10 MBARARA- MASAKA'!C46,'22.10 MBARARA-MASAKA'!C46,'23.10 MBARARA-MASAKA'!C46)</f>
        <v>10.428571428571429</v>
      </c>
      <c r="D46" s="49">
        <f>AVERAGE('17.10 MBARARA-MASAKA'!D46,'18.10 MBARARA-MASAKA-24H'!D46,'19.10 MBARARA-MASAKA-24H'!D46,'20.10 MBARARA-MASAKA'!D46,'21.10 MBARARA- MASAKA'!D46,'22.10 MBARARA-MASAKA'!D46,'23.10 MBARARA-MASAKA'!D46)</f>
        <v>3.8571428571428572</v>
      </c>
      <c r="E46" s="49">
        <f>AVERAGE('17.10 MBARARA-MASAKA'!E46,'18.10 MBARARA-MASAKA-24H'!E46,'19.10 MBARARA-MASAKA-24H'!E46,'20.10 MBARARA-MASAKA'!E46,'21.10 MBARARA- MASAKA'!E46,'22.10 MBARARA-MASAKA'!E46,'23.10 MBARARA-MASAKA'!E46)</f>
        <v>3.8571428571428572</v>
      </c>
      <c r="F46" s="49">
        <f>AVERAGE('17.10 MBARARA-MASAKA'!F46,'18.10 MBARARA-MASAKA-24H'!F46,'19.10 MBARARA-MASAKA-24H'!F46,'20.10 MBARARA-MASAKA'!F46,'21.10 MBARARA- MASAKA'!F46,'22.10 MBARARA-MASAKA'!F46,'23.10 MBARARA-MASAKA'!F46)</f>
        <v>4.2857142857142856</v>
      </c>
      <c r="G46" s="49">
        <f>AVERAGE('17.10 MBARARA-MASAKA'!G46,'18.10 MBARARA-MASAKA-24H'!G46,'19.10 MBARARA-MASAKA-24H'!G46,'20.10 MBARARA-MASAKA'!G46,'21.10 MBARARA- MASAKA'!G46,'22.10 MBARARA-MASAKA'!G46,'23.10 MBARARA-MASAKA'!G46)</f>
        <v>0</v>
      </c>
      <c r="H46" s="49">
        <f>AVERAGE('17.10 MBARARA-MASAKA'!H46,'18.10 MBARARA-MASAKA-24H'!H46,'19.10 MBARARA-MASAKA-24H'!H46,'20.10 MBARARA-MASAKA'!H46,'21.10 MBARARA- MASAKA'!H46,'22.10 MBARARA-MASAKA'!H46,'23.10 MBARARA-MASAKA'!H46)</f>
        <v>1.7142857142857142</v>
      </c>
      <c r="I46" s="49">
        <f>AVERAGE('17.10 MBARARA-MASAKA'!I46,'18.10 MBARARA-MASAKA-24H'!I46,'19.10 MBARARA-MASAKA-24H'!I46,'20.10 MBARARA-MASAKA'!I46,'21.10 MBARARA- MASAKA'!I46,'22.10 MBARARA-MASAKA'!I46,'23.10 MBARARA-MASAKA'!I46)</f>
        <v>2</v>
      </c>
      <c r="J46" s="49">
        <f>AVERAGE('17.10 MBARARA-MASAKA'!J46,'18.10 MBARARA-MASAKA-24H'!J46,'19.10 MBARARA-MASAKA-24H'!J46,'20.10 MBARARA-MASAKA'!J46,'21.10 MBARARA- MASAKA'!J46,'22.10 MBARARA-MASAKA'!J46,'23.10 MBARARA-MASAKA'!J46)</f>
        <v>1.1428571428571428</v>
      </c>
      <c r="K46" s="49">
        <f>AVERAGE('17.10 MBARARA-MASAKA'!K46,'18.10 MBARARA-MASAKA-24H'!K46,'19.10 MBARARA-MASAKA-24H'!K46,'20.10 MBARARA-MASAKA'!K46,'21.10 MBARARA- MASAKA'!K46,'22.10 MBARARA-MASAKA'!K46,'23.10 MBARARA-MASAKA'!K46)</f>
        <v>2.4285714285714284</v>
      </c>
      <c r="L46" s="49">
        <f>AVERAGE('17.10 MBARARA-MASAKA'!L46,'18.10 MBARARA-MASAKA-24H'!L46,'19.10 MBARARA-MASAKA-24H'!L46,'20.10 MBARARA-MASAKA'!L46,'21.10 MBARARA- MASAKA'!L46,'22.10 MBARARA-MASAKA'!L46,'23.10 MBARARA-MASAKA'!L46)</f>
        <v>0.2857142857142857</v>
      </c>
      <c r="M46" s="49">
        <f>AVERAGE('17.10 MBARARA-MASAKA'!M46,'18.10 MBARARA-MASAKA-24H'!M46,'19.10 MBARARA-MASAKA-24H'!M46,'20.10 MBARARA-MASAKA'!M46,'21.10 MBARARA- MASAKA'!M46,'22.10 MBARARA-MASAKA'!M46,'23.10 MBARARA-MASAKA'!M46)</f>
        <v>16.714285714285715</v>
      </c>
      <c r="N46" s="49">
        <f>AVERAGE('17.10 MBARARA-MASAKA'!N46,'18.10 MBARARA-MASAKA-24H'!N46,'19.10 MBARARA-MASAKA-24H'!N46,'20.10 MBARARA-MASAKA'!N46,'21.10 MBARARA- MASAKA'!N46,'22.10 MBARARA-MASAKA'!N46,'23.10 MBARARA-MASAKA'!N46)</f>
        <v>0</v>
      </c>
      <c r="O46" s="15">
        <f t="shared" si="0"/>
        <v>29.999999999999996</v>
      </c>
      <c r="P46" s="15">
        <f t="shared" si="1"/>
        <v>46.714285714285708</v>
      </c>
      <c r="R46" s="8"/>
      <c r="T46"/>
    </row>
    <row r="47" spans="2:32" ht="23.1" customHeight="1" x14ac:dyDescent="0.25">
      <c r="B47" s="24" t="s">
        <v>74</v>
      </c>
      <c r="C47" s="49">
        <f>AVERAGE('17.10 MBARARA-MASAKA'!C47,'18.10 MBARARA-MASAKA-24H'!C47,'19.10 MBARARA-MASAKA-24H'!C47,'20.10 MBARARA-MASAKA'!C47,'21.10 MBARARA- MASAKA'!C47,'22.10 MBARARA-MASAKA'!C47,'23.10 MBARARA-MASAKA'!C47)</f>
        <v>9</v>
      </c>
      <c r="D47" s="49">
        <f>AVERAGE('17.10 MBARARA-MASAKA'!D47,'18.10 MBARARA-MASAKA-24H'!D47,'19.10 MBARARA-MASAKA-24H'!D47,'20.10 MBARARA-MASAKA'!D47,'21.10 MBARARA- MASAKA'!D47,'22.10 MBARARA-MASAKA'!D47,'23.10 MBARARA-MASAKA'!D47)</f>
        <v>4</v>
      </c>
      <c r="E47" s="49">
        <f>AVERAGE('17.10 MBARARA-MASAKA'!E47,'18.10 MBARARA-MASAKA-24H'!E47,'19.10 MBARARA-MASAKA-24H'!E47,'20.10 MBARARA-MASAKA'!E47,'21.10 MBARARA- MASAKA'!E47,'22.10 MBARARA-MASAKA'!E47,'23.10 MBARARA-MASAKA'!E47)</f>
        <v>3.4285714285714284</v>
      </c>
      <c r="F47" s="49">
        <f>AVERAGE('17.10 MBARARA-MASAKA'!F47,'18.10 MBARARA-MASAKA-24H'!F47,'19.10 MBARARA-MASAKA-24H'!F47,'20.10 MBARARA-MASAKA'!F47,'21.10 MBARARA- MASAKA'!F47,'22.10 MBARARA-MASAKA'!F47,'23.10 MBARARA-MASAKA'!F47)</f>
        <v>4.7142857142857144</v>
      </c>
      <c r="G47" s="49">
        <f>AVERAGE('17.10 MBARARA-MASAKA'!G47,'18.10 MBARARA-MASAKA-24H'!G47,'19.10 MBARARA-MASAKA-24H'!G47,'20.10 MBARARA-MASAKA'!G47,'21.10 MBARARA- MASAKA'!G47,'22.10 MBARARA-MASAKA'!G47,'23.10 MBARARA-MASAKA'!G47)</f>
        <v>0</v>
      </c>
      <c r="H47" s="49">
        <f>AVERAGE('17.10 MBARARA-MASAKA'!H47,'18.10 MBARARA-MASAKA-24H'!H47,'19.10 MBARARA-MASAKA-24H'!H47,'20.10 MBARARA-MASAKA'!H47,'21.10 MBARARA- MASAKA'!H47,'22.10 MBARARA-MASAKA'!H47,'23.10 MBARARA-MASAKA'!H47)</f>
        <v>1.1428571428571428</v>
      </c>
      <c r="I47" s="49">
        <f>AVERAGE('17.10 MBARARA-MASAKA'!I47,'18.10 MBARARA-MASAKA-24H'!I47,'19.10 MBARARA-MASAKA-24H'!I47,'20.10 MBARARA-MASAKA'!I47,'21.10 MBARARA- MASAKA'!I47,'22.10 MBARARA-MASAKA'!I47,'23.10 MBARARA-MASAKA'!I47)</f>
        <v>1.1428571428571428</v>
      </c>
      <c r="J47" s="49">
        <f>AVERAGE('17.10 MBARARA-MASAKA'!J47,'18.10 MBARARA-MASAKA-24H'!J47,'19.10 MBARARA-MASAKA-24H'!J47,'20.10 MBARARA-MASAKA'!J47,'21.10 MBARARA- MASAKA'!J47,'22.10 MBARARA-MASAKA'!J47,'23.10 MBARARA-MASAKA'!J47)</f>
        <v>1.2857142857142858</v>
      </c>
      <c r="K47" s="49">
        <f>AVERAGE('17.10 MBARARA-MASAKA'!K47,'18.10 MBARARA-MASAKA-24H'!K47,'19.10 MBARARA-MASAKA-24H'!K47,'20.10 MBARARA-MASAKA'!K47,'21.10 MBARARA- MASAKA'!K47,'22.10 MBARARA-MASAKA'!K47,'23.10 MBARARA-MASAKA'!K47)</f>
        <v>2.2857142857142856</v>
      </c>
      <c r="L47" s="49">
        <f>AVERAGE('17.10 MBARARA-MASAKA'!L47,'18.10 MBARARA-MASAKA-24H'!L47,'19.10 MBARARA-MASAKA-24H'!L47,'20.10 MBARARA-MASAKA'!L47,'21.10 MBARARA- MASAKA'!L47,'22.10 MBARARA-MASAKA'!L47,'23.10 MBARARA-MASAKA'!L47)</f>
        <v>0.5714285714285714</v>
      </c>
      <c r="M47" s="49">
        <f>AVERAGE('17.10 MBARARA-MASAKA'!M47,'18.10 MBARARA-MASAKA-24H'!M47,'19.10 MBARARA-MASAKA-24H'!M47,'20.10 MBARARA-MASAKA'!M47,'21.10 MBARARA- MASAKA'!M47,'22.10 MBARARA-MASAKA'!M47,'23.10 MBARARA-MASAKA'!M47)</f>
        <v>15.428571428571429</v>
      </c>
      <c r="N47" s="49">
        <f>AVERAGE('17.10 MBARARA-MASAKA'!N47,'18.10 MBARARA-MASAKA-24H'!N47,'19.10 MBARARA-MASAKA-24H'!N47,'20.10 MBARARA-MASAKA'!N47,'21.10 MBARARA- MASAKA'!N47,'22.10 MBARARA-MASAKA'!N47,'23.10 MBARARA-MASAKA'!N47)</f>
        <v>0</v>
      </c>
      <c r="O47" s="15">
        <f t="shared" si="0"/>
        <v>27.571428571428569</v>
      </c>
      <c r="P47" s="15">
        <f t="shared" si="1"/>
        <v>43</v>
      </c>
      <c r="R47" s="8"/>
      <c r="T47"/>
    </row>
    <row r="48" spans="2:32" ht="23.1" customHeight="1" x14ac:dyDescent="0.25">
      <c r="B48" s="24" t="s">
        <v>75</v>
      </c>
      <c r="C48" s="49">
        <f>AVERAGE('17.10 MBARARA-MASAKA'!C48,'18.10 MBARARA-MASAKA-24H'!C48,'19.10 MBARARA-MASAKA-24H'!C48,'20.10 MBARARA-MASAKA'!C48,'21.10 MBARARA- MASAKA'!C48,'22.10 MBARARA-MASAKA'!C48,'23.10 MBARARA-MASAKA'!C48)</f>
        <v>11.428571428571429</v>
      </c>
      <c r="D48" s="49">
        <f>AVERAGE('17.10 MBARARA-MASAKA'!D48,'18.10 MBARARA-MASAKA-24H'!D48,'19.10 MBARARA-MASAKA-24H'!D48,'20.10 MBARARA-MASAKA'!D48,'21.10 MBARARA- MASAKA'!D48,'22.10 MBARARA-MASAKA'!D48,'23.10 MBARARA-MASAKA'!D48)</f>
        <v>4.5714285714285712</v>
      </c>
      <c r="E48" s="49">
        <f>AVERAGE('17.10 MBARARA-MASAKA'!E48,'18.10 MBARARA-MASAKA-24H'!E48,'19.10 MBARARA-MASAKA-24H'!E48,'20.10 MBARARA-MASAKA'!E48,'21.10 MBARARA- MASAKA'!E48,'22.10 MBARARA-MASAKA'!E48,'23.10 MBARARA-MASAKA'!E48)</f>
        <v>2.5714285714285716</v>
      </c>
      <c r="F48" s="49">
        <f>AVERAGE('17.10 MBARARA-MASAKA'!F48,'18.10 MBARARA-MASAKA-24H'!F48,'19.10 MBARARA-MASAKA-24H'!F48,'20.10 MBARARA-MASAKA'!F48,'21.10 MBARARA- MASAKA'!F48,'22.10 MBARARA-MASAKA'!F48,'23.10 MBARARA-MASAKA'!F48)</f>
        <v>4.8571428571428568</v>
      </c>
      <c r="G48" s="49">
        <f>AVERAGE('17.10 MBARARA-MASAKA'!G48,'18.10 MBARARA-MASAKA-24H'!G48,'19.10 MBARARA-MASAKA-24H'!G48,'20.10 MBARARA-MASAKA'!G48,'21.10 MBARARA- MASAKA'!G48,'22.10 MBARARA-MASAKA'!G48,'23.10 MBARARA-MASAKA'!G48)</f>
        <v>0</v>
      </c>
      <c r="H48" s="49">
        <f>AVERAGE('17.10 MBARARA-MASAKA'!H48,'18.10 MBARARA-MASAKA-24H'!H48,'19.10 MBARARA-MASAKA-24H'!H48,'20.10 MBARARA-MASAKA'!H48,'21.10 MBARARA- MASAKA'!H48,'22.10 MBARARA-MASAKA'!H48,'23.10 MBARARA-MASAKA'!H48)</f>
        <v>1.8571428571428572</v>
      </c>
      <c r="I48" s="49">
        <f>AVERAGE('17.10 MBARARA-MASAKA'!I48,'18.10 MBARARA-MASAKA-24H'!I48,'19.10 MBARARA-MASAKA-24H'!I48,'20.10 MBARARA-MASAKA'!I48,'21.10 MBARARA- MASAKA'!I48,'22.10 MBARARA-MASAKA'!I48,'23.10 MBARARA-MASAKA'!I48)</f>
        <v>1.1428571428571428</v>
      </c>
      <c r="J48" s="49">
        <f>AVERAGE('17.10 MBARARA-MASAKA'!J48,'18.10 MBARARA-MASAKA-24H'!J48,'19.10 MBARARA-MASAKA-24H'!J48,'20.10 MBARARA-MASAKA'!J48,'21.10 MBARARA- MASAKA'!J48,'22.10 MBARARA-MASAKA'!J48,'23.10 MBARARA-MASAKA'!J48)</f>
        <v>1.8571428571428572</v>
      </c>
      <c r="K48" s="49">
        <f>AVERAGE('17.10 MBARARA-MASAKA'!K48,'18.10 MBARARA-MASAKA-24H'!K48,'19.10 MBARARA-MASAKA-24H'!K48,'20.10 MBARARA-MASAKA'!K48,'21.10 MBARARA- MASAKA'!K48,'22.10 MBARARA-MASAKA'!K48,'23.10 MBARARA-MASAKA'!K48)</f>
        <v>2</v>
      </c>
      <c r="L48" s="49">
        <f>AVERAGE('17.10 MBARARA-MASAKA'!L48,'18.10 MBARARA-MASAKA-24H'!L48,'19.10 MBARARA-MASAKA-24H'!L48,'20.10 MBARARA-MASAKA'!L48,'21.10 MBARARA- MASAKA'!L48,'22.10 MBARARA-MASAKA'!L48,'23.10 MBARARA-MASAKA'!L48)</f>
        <v>0.14285714285714285</v>
      </c>
      <c r="M48" s="49">
        <f>AVERAGE('17.10 MBARARA-MASAKA'!M48,'18.10 MBARARA-MASAKA-24H'!M48,'19.10 MBARARA-MASAKA-24H'!M48,'20.10 MBARARA-MASAKA'!M48,'21.10 MBARARA- MASAKA'!M48,'22.10 MBARARA-MASAKA'!M48,'23.10 MBARARA-MASAKA'!M48)</f>
        <v>17.142857142857142</v>
      </c>
      <c r="N48" s="49">
        <f>AVERAGE('17.10 MBARARA-MASAKA'!N48,'18.10 MBARARA-MASAKA-24H'!N48,'19.10 MBARARA-MASAKA-24H'!N48,'20.10 MBARARA-MASAKA'!N48,'21.10 MBARARA- MASAKA'!N48,'22.10 MBARARA-MASAKA'!N48,'23.10 MBARARA-MASAKA'!N48)</f>
        <v>0</v>
      </c>
      <c r="O48" s="15">
        <f t="shared" si="0"/>
        <v>30.428571428571431</v>
      </c>
      <c r="P48" s="15">
        <f t="shared" si="1"/>
        <v>47.571428571428569</v>
      </c>
      <c r="R48" s="8"/>
      <c r="T48"/>
    </row>
    <row r="49" spans="2:20" ht="23.1" customHeight="1" x14ac:dyDescent="0.25">
      <c r="B49" s="23" t="s">
        <v>76</v>
      </c>
      <c r="C49" s="49">
        <f>AVERAGE('17.10 MBARARA-MASAKA'!C49,'18.10 MBARARA-MASAKA-24H'!C49,'19.10 MBARARA-MASAKA-24H'!C49,'20.10 MBARARA-MASAKA'!C49,'21.10 MBARARA- MASAKA'!C49,'22.10 MBARARA-MASAKA'!C49,'23.10 MBARARA-MASAKA'!C49)</f>
        <v>10.571428571428571</v>
      </c>
      <c r="D49" s="49">
        <f>AVERAGE('17.10 MBARARA-MASAKA'!D49,'18.10 MBARARA-MASAKA-24H'!D49,'19.10 MBARARA-MASAKA-24H'!D49,'20.10 MBARARA-MASAKA'!D49,'21.10 MBARARA- MASAKA'!D49,'22.10 MBARARA-MASAKA'!D49,'23.10 MBARARA-MASAKA'!D49)</f>
        <v>4.5714285714285712</v>
      </c>
      <c r="E49" s="49">
        <f>AVERAGE('17.10 MBARARA-MASAKA'!E49,'18.10 MBARARA-MASAKA-24H'!E49,'19.10 MBARARA-MASAKA-24H'!E49,'20.10 MBARARA-MASAKA'!E49,'21.10 MBARARA- MASAKA'!E49,'22.10 MBARARA-MASAKA'!E49,'23.10 MBARARA-MASAKA'!E49)</f>
        <v>3.2857142857142856</v>
      </c>
      <c r="F49" s="49">
        <f>AVERAGE('17.10 MBARARA-MASAKA'!F49,'18.10 MBARARA-MASAKA-24H'!F49,'19.10 MBARARA-MASAKA-24H'!F49,'20.10 MBARARA-MASAKA'!F49,'21.10 MBARARA- MASAKA'!F49,'22.10 MBARARA-MASAKA'!F49,'23.10 MBARARA-MASAKA'!F49)</f>
        <v>4.5714285714285712</v>
      </c>
      <c r="G49" s="49">
        <f>AVERAGE('17.10 MBARARA-MASAKA'!G49,'18.10 MBARARA-MASAKA-24H'!G49,'19.10 MBARARA-MASAKA-24H'!G49,'20.10 MBARARA-MASAKA'!G49,'21.10 MBARARA- MASAKA'!G49,'22.10 MBARARA-MASAKA'!G49,'23.10 MBARARA-MASAKA'!G49)</f>
        <v>0.14285714285714285</v>
      </c>
      <c r="H49" s="49">
        <f>AVERAGE('17.10 MBARARA-MASAKA'!H49,'18.10 MBARARA-MASAKA-24H'!H49,'19.10 MBARARA-MASAKA-24H'!H49,'20.10 MBARARA-MASAKA'!H49,'21.10 MBARARA- MASAKA'!H49,'22.10 MBARARA-MASAKA'!H49,'23.10 MBARARA-MASAKA'!H49)</f>
        <v>0.8571428571428571</v>
      </c>
      <c r="I49" s="49">
        <f>AVERAGE('17.10 MBARARA-MASAKA'!I49,'18.10 MBARARA-MASAKA-24H'!I49,'19.10 MBARARA-MASAKA-24H'!I49,'20.10 MBARARA-MASAKA'!I49,'21.10 MBARARA- MASAKA'!I49,'22.10 MBARARA-MASAKA'!I49,'23.10 MBARARA-MASAKA'!I49)</f>
        <v>1.7142857142857142</v>
      </c>
      <c r="J49" s="49">
        <f>AVERAGE('17.10 MBARARA-MASAKA'!J49,'18.10 MBARARA-MASAKA-24H'!J49,'19.10 MBARARA-MASAKA-24H'!J49,'20.10 MBARARA-MASAKA'!J49,'21.10 MBARARA- MASAKA'!J49,'22.10 MBARARA-MASAKA'!J49,'23.10 MBARARA-MASAKA'!J49)</f>
        <v>2.4285714285714284</v>
      </c>
      <c r="K49" s="49">
        <f>AVERAGE('17.10 MBARARA-MASAKA'!K49,'18.10 MBARARA-MASAKA-24H'!K49,'19.10 MBARARA-MASAKA-24H'!K49,'20.10 MBARARA-MASAKA'!K49,'21.10 MBARARA- MASAKA'!K49,'22.10 MBARARA-MASAKA'!K49,'23.10 MBARARA-MASAKA'!K49)</f>
        <v>2.1428571428571428</v>
      </c>
      <c r="L49" s="49">
        <f>AVERAGE('17.10 MBARARA-MASAKA'!L49,'18.10 MBARARA-MASAKA-24H'!L49,'19.10 MBARARA-MASAKA-24H'!L49,'20.10 MBARARA-MASAKA'!L49,'21.10 MBARARA- MASAKA'!L49,'22.10 MBARARA-MASAKA'!L49,'23.10 MBARARA-MASAKA'!L49)</f>
        <v>0.2857142857142857</v>
      </c>
      <c r="M49" s="49">
        <f>AVERAGE('17.10 MBARARA-MASAKA'!M49,'18.10 MBARARA-MASAKA-24H'!M49,'19.10 MBARARA-MASAKA-24H'!M49,'20.10 MBARARA-MASAKA'!M49,'21.10 MBARARA- MASAKA'!M49,'22.10 MBARARA-MASAKA'!M49,'23.10 MBARARA-MASAKA'!M49)</f>
        <v>17.142857142857142</v>
      </c>
      <c r="N49" s="49">
        <f>AVERAGE('17.10 MBARARA-MASAKA'!N49,'18.10 MBARARA-MASAKA-24H'!N49,'19.10 MBARARA-MASAKA-24H'!N49,'20.10 MBARARA-MASAKA'!N49,'21.10 MBARARA- MASAKA'!N49,'22.10 MBARARA-MASAKA'!N49,'23.10 MBARARA-MASAKA'!N49)</f>
        <v>0</v>
      </c>
      <c r="O49" s="15">
        <f t="shared" si="0"/>
        <v>30.571428571428569</v>
      </c>
      <c r="P49" s="15">
        <f t="shared" si="1"/>
        <v>47.714285714285708</v>
      </c>
      <c r="R49" s="8"/>
      <c r="T49"/>
    </row>
    <row r="50" spans="2:20" ht="23.1" customHeight="1" x14ac:dyDescent="0.25">
      <c r="B50" s="24" t="s">
        <v>77</v>
      </c>
      <c r="C50" s="49">
        <f>AVERAGE('17.10 MBARARA-MASAKA'!C50,'18.10 MBARARA-MASAKA-24H'!C50,'19.10 MBARARA-MASAKA-24H'!C50,'20.10 MBARARA-MASAKA'!C50,'21.10 MBARARA- MASAKA'!C50,'22.10 MBARARA-MASAKA'!C50,'23.10 MBARARA-MASAKA'!C50)</f>
        <v>11.142857142857142</v>
      </c>
      <c r="D50" s="49">
        <f>AVERAGE('17.10 MBARARA-MASAKA'!D50,'18.10 MBARARA-MASAKA-24H'!D50,'19.10 MBARARA-MASAKA-24H'!D50,'20.10 MBARARA-MASAKA'!D50,'21.10 MBARARA- MASAKA'!D50,'22.10 MBARARA-MASAKA'!D50,'23.10 MBARARA-MASAKA'!D50)</f>
        <v>8</v>
      </c>
      <c r="E50" s="49">
        <f>AVERAGE('17.10 MBARARA-MASAKA'!E50,'18.10 MBARARA-MASAKA-24H'!E50,'19.10 MBARARA-MASAKA-24H'!E50,'20.10 MBARARA-MASAKA'!E50,'21.10 MBARARA- MASAKA'!E50,'22.10 MBARARA-MASAKA'!E50,'23.10 MBARARA-MASAKA'!E50)</f>
        <v>7.1428571428571432</v>
      </c>
      <c r="F50" s="49">
        <f>AVERAGE('17.10 MBARARA-MASAKA'!F50,'18.10 MBARARA-MASAKA-24H'!F50,'19.10 MBARARA-MASAKA-24H'!F50,'20.10 MBARARA-MASAKA'!F50,'21.10 MBARARA- MASAKA'!F50,'22.10 MBARARA-MASAKA'!F50,'23.10 MBARARA-MASAKA'!F50)</f>
        <v>6.1428571428571432</v>
      </c>
      <c r="G50" s="49">
        <f>AVERAGE('17.10 MBARARA-MASAKA'!G50,'18.10 MBARARA-MASAKA-24H'!G50,'19.10 MBARARA-MASAKA-24H'!G50,'20.10 MBARARA-MASAKA'!G50,'21.10 MBARARA- MASAKA'!G50,'22.10 MBARARA-MASAKA'!G50,'23.10 MBARARA-MASAKA'!G50)</f>
        <v>0.7142857142857143</v>
      </c>
      <c r="H50" s="49">
        <f>AVERAGE('17.10 MBARARA-MASAKA'!H50,'18.10 MBARARA-MASAKA-24H'!H50,'19.10 MBARARA-MASAKA-24H'!H50,'20.10 MBARARA-MASAKA'!H50,'21.10 MBARARA- MASAKA'!H50,'22.10 MBARARA-MASAKA'!H50,'23.10 MBARARA-MASAKA'!H50)</f>
        <v>2.1428571428571428</v>
      </c>
      <c r="I50" s="49">
        <f>AVERAGE('17.10 MBARARA-MASAKA'!I50,'18.10 MBARARA-MASAKA-24H'!I50,'19.10 MBARARA-MASAKA-24H'!I50,'20.10 MBARARA-MASAKA'!I50,'21.10 MBARARA- MASAKA'!I50,'22.10 MBARARA-MASAKA'!I50,'23.10 MBARARA-MASAKA'!I50)</f>
        <v>1.7142857142857142</v>
      </c>
      <c r="J50" s="49">
        <f>AVERAGE('17.10 MBARARA-MASAKA'!J50,'18.10 MBARARA-MASAKA-24H'!J50,'19.10 MBARARA-MASAKA-24H'!J50,'20.10 MBARARA-MASAKA'!J50,'21.10 MBARARA- MASAKA'!J50,'22.10 MBARARA-MASAKA'!J50,'23.10 MBARARA-MASAKA'!J50)</f>
        <v>3.1428571428571428</v>
      </c>
      <c r="K50" s="49">
        <f>AVERAGE('17.10 MBARARA-MASAKA'!K50,'18.10 MBARARA-MASAKA-24H'!K50,'19.10 MBARARA-MASAKA-24H'!K50,'20.10 MBARARA-MASAKA'!K50,'21.10 MBARARA- MASAKA'!K50,'22.10 MBARARA-MASAKA'!K50,'23.10 MBARARA-MASAKA'!K50)</f>
        <v>4.1428571428571432</v>
      </c>
      <c r="L50" s="49">
        <f>AVERAGE('17.10 MBARARA-MASAKA'!L50,'18.10 MBARARA-MASAKA-24H'!L50,'19.10 MBARARA-MASAKA-24H'!L50,'20.10 MBARARA-MASAKA'!L50,'21.10 MBARARA- MASAKA'!L50,'22.10 MBARARA-MASAKA'!L50,'23.10 MBARARA-MASAKA'!L50)</f>
        <v>0.8571428571428571</v>
      </c>
      <c r="M50" s="49">
        <f>AVERAGE('17.10 MBARARA-MASAKA'!M50,'18.10 MBARARA-MASAKA-24H'!M50,'19.10 MBARARA-MASAKA-24H'!M50,'20.10 MBARARA-MASAKA'!M50,'21.10 MBARARA- MASAKA'!M50,'22.10 MBARARA-MASAKA'!M50,'23.10 MBARARA-MASAKA'!M50)</f>
        <v>20.714285714285715</v>
      </c>
      <c r="N50" s="49">
        <f>AVERAGE('17.10 MBARARA-MASAKA'!N50,'18.10 MBARARA-MASAKA-24H'!N50,'19.10 MBARARA-MASAKA-24H'!N50,'20.10 MBARARA-MASAKA'!N50,'21.10 MBARARA- MASAKA'!N50,'22.10 MBARARA-MASAKA'!N50,'23.10 MBARARA-MASAKA'!N50)</f>
        <v>0</v>
      </c>
      <c r="O50" s="15">
        <f t="shared" si="0"/>
        <v>45.142857142857153</v>
      </c>
      <c r="P50" s="15">
        <f t="shared" si="1"/>
        <v>65.857142857142861</v>
      </c>
      <c r="R50" s="8"/>
      <c r="T50"/>
    </row>
    <row r="51" spans="2:20" ht="23.1" customHeight="1" x14ac:dyDescent="0.25">
      <c r="B51" s="24" t="s">
        <v>78</v>
      </c>
      <c r="C51" s="49">
        <f>AVERAGE('17.10 MBARARA-MASAKA'!C51,'18.10 MBARARA-MASAKA-24H'!C51,'19.10 MBARARA-MASAKA-24H'!C51,'20.10 MBARARA-MASAKA'!C51,'21.10 MBARARA- MASAKA'!C51,'22.10 MBARARA-MASAKA'!C51,'23.10 MBARARA-MASAKA'!C51)</f>
        <v>12.285714285714286</v>
      </c>
      <c r="D51" s="49">
        <f>AVERAGE('17.10 MBARARA-MASAKA'!D51,'18.10 MBARARA-MASAKA-24H'!D51,'19.10 MBARARA-MASAKA-24H'!D51,'20.10 MBARARA-MASAKA'!D51,'21.10 MBARARA- MASAKA'!D51,'22.10 MBARARA-MASAKA'!D51,'23.10 MBARARA-MASAKA'!D51)</f>
        <v>5.2857142857142856</v>
      </c>
      <c r="E51" s="49">
        <f>AVERAGE('17.10 MBARARA-MASAKA'!E51,'18.10 MBARARA-MASAKA-24H'!E51,'19.10 MBARARA-MASAKA-24H'!E51,'20.10 MBARARA-MASAKA'!E51,'21.10 MBARARA- MASAKA'!E51,'22.10 MBARARA-MASAKA'!E51,'23.10 MBARARA-MASAKA'!E51)</f>
        <v>3</v>
      </c>
      <c r="F51" s="49">
        <f>AVERAGE('17.10 MBARARA-MASAKA'!F51,'18.10 MBARARA-MASAKA-24H'!F51,'19.10 MBARARA-MASAKA-24H'!F51,'20.10 MBARARA-MASAKA'!F51,'21.10 MBARARA- MASAKA'!F51,'22.10 MBARARA-MASAKA'!F51,'23.10 MBARARA-MASAKA'!F51)</f>
        <v>5.1428571428571432</v>
      </c>
      <c r="G51" s="49">
        <f>AVERAGE('17.10 MBARARA-MASAKA'!G51,'18.10 MBARARA-MASAKA-24H'!G51,'19.10 MBARARA-MASAKA-24H'!G51,'20.10 MBARARA-MASAKA'!G51,'21.10 MBARARA- MASAKA'!G51,'22.10 MBARARA-MASAKA'!G51,'23.10 MBARARA-MASAKA'!G51)</f>
        <v>0</v>
      </c>
      <c r="H51" s="49">
        <f>AVERAGE('17.10 MBARARA-MASAKA'!H51,'18.10 MBARARA-MASAKA-24H'!H51,'19.10 MBARARA-MASAKA-24H'!H51,'20.10 MBARARA-MASAKA'!H51,'21.10 MBARARA- MASAKA'!H51,'22.10 MBARARA-MASAKA'!H51,'23.10 MBARARA-MASAKA'!H51)</f>
        <v>1.4285714285714286</v>
      </c>
      <c r="I51" s="49">
        <f>AVERAGE('17.10 MBARARA-MASAKA'!I51,'18.10 MBARARA-MASAKA-24H'!I51,'19.10 MBARARA-MASAKA-24H'!I51,'20.10 MBARARA-MASAKA'!I51,'21.10 MBARARA- MASAKA'!I51,'22.10 MBARARA-MASAKA'!I51,'23.10 MBARARA-MASAKA'!I51)</f>
        <v>2.4285714285714284</v>
      </c>
      <c r="J51" s="49">
        <f>AVERAGE('17.10 MBARARA-MASAKA'!J51,'18.10 MBARARA-MASAKA-24H'!J51,'19.10 MBARARA-MASAKA-24H'!J51,'20.10 MBARARA-MASAKA'!J51,'21.10 MBARARA- MASAKA'!J51,'22.10 MBARARA-MASAKA'!J51,'23.10 MBARARA-MASAKA'!J51)</f>
        <v>3</v>
      </c>
      <c r="K51" s="49">
        <f>AVERAGE('17.10 MBARARA-MASAKA'!K51,'18.10 MBARARA-MASAKA-24H'!K51,'19.10 MBARARA-MASAKA-24H'!K51,'20.10 MBARARA-MASAKA'!K51,'21.10 MBARARA- MASAKA'!K51,'22.10 MBARARA-MASAKA'!K51,'23.10 MBARARA-MASAKA'!K51)</f>
        <v>2.1428571428571428</v>
      </c>
      <c r="L51" s="49">
        <f>AVERAGE('17.10 MBARARA-MASAKA'!L51,'18.10 MBARARA-MASAKA-24H'!L51,'19.10 MBARARA-MASAKA-24H'!L51,'20.10 MBARARA-MASAKA'!L51,'21.10 MBARARA- MASAKA'!L51,'22.10 MBARARA-MASAKA'!L51,'23.10 MBARARA-MASAKA'!L51)</f>
        <v>0.42857142857142855</v>
      </c>
      <c r="M51" s="49">
        <f>AVERAGE('17.10 MBARARA-MASAKA'!M51,'18.10 MBARARA-MASAKA-24H'!M51,'19.10 MBARARA-MASAKA-24H'!M51,'20.10 MBARARA-MASAKA'!M51,'21.10 MBARARA- MASAKA'!M51,'22.10 MBARARA-MASAKA'!M51,'23.10 MBARARA-MASAKA'!M51)</f>
        <v>16.571428571428573</v>
      </c>
      <c r="N51" s="49">
        <f>AVERAGE('17.10 MBARARA-MASAKA'!N51,'18.10 MBARARA-MASAKA-24H'!N51,'19.10 MBARARA-MASAKA-24H'!N51,'20.10 MBARARA-MASAKA'!N51,'21.10 MBARARA- MASAKA'!N51,'22.10 MBARARA-MASAKA'!N51,'23.10 MBARARA-MASAKA'!N51)</f>
        <v>0</v>
      </c>
      <c r="O51" s="15">
        <f t="shared" si="0"/>
        <v>35.142857142857146</v>
      </c>
      <c r="P51" s="15">
        <f t="shared" si="1"/>
        <v>51.714285714285722</v>
      </c>
      <c r="R51" s="8"/>
      <c r="T51"/>
    </row>
    <row r="52" spans="2:20" ht="23.1" customHeight="1" x14ac:dyDescent="0.25">
      <c r="B52" s="24" t="s">
        <v>79</v>
      </c>
      <c r="C52" s="49">
        <f>AVERAGE('17.10 MBARARA-MASAKA'!C52,'18.10 MBARARA-MASAKA-24H'!C52,'19.10 MBARARA-MASAKA-24H'!C52,'20.10 MBARARA-MASAKA'!C52,'21.10 MBARARA- MASAKA'!C52,'22.10 MBARARA-MASAKA'!C52,'23.10 MBARARA-MASAKA'!C52)</f>
        <v>11.571428571428571</v>
      </c>
      <c r="D52" s="49">
        <f>AVERAGE('17.10 MBARARA-MASAKA'!D52,'18.10 MBARARA-MASAKA-24H'!D52,'19.10 MBARARA-MASAKA-24H'!D52,'20.10 MBARARA-MASAKA'!D52,'21.10 MBARARA- MASAKA'!D52,'22.10 MBARARA-MASAKA'!D52,'23.10 MBARARA-MASAKA'!D52)</f>
        <v>5.8571428571428568</v>
      </c>
      <c r="E52" s="49">
        <f>AVERAGE('17.10 MBARARA-MASAKA'!E52,'18.10 MBARARA-MASAKA-24H'!E52,'19.10 MBARARA-MASAKA-24H'!E52,'20.10 MBARARA-MASAKA'!E52,'21.10 MBARARA- MASAKA'!E52,'22.10 MBARARA-MASAKA'!E52,'23.10 MBARARA-MASAKA'!E52)</f>
        <v>4.1428571428571432</v>
      </c>
      <c r="F52" s="49">
        <f>AVERAGE('17.10 MBARARA-MASAKA'!F52,'18.10 MBARARA-MASAKA-24H'!F52,'19.10 MBARARA-MASAKA-24H'!F52,'20.10 MBARARA-MASAKA'!F52,'21.10 MBARARA- MASAKA'!F52,'22.10 MBARARA-MASAKA'!F52,'23.10 MBARARA-MASAKA'!F52)</f>
        <v>4.8571428571428568</v>
      </c>
      <c r="G52" s="49">
        <f>AVERAGE('17.10 MBARARA-MASAKA'!G52,'18.10 MBARARA-MASAKA-24H'!G52,'19.10 MBARARA-MASAKA-24H'!G52,'20.10 MBARARA-MASAKA'!G52,'21.10 MBARARA- MASAKA'!G52,'22.10 MBARARA-MASAKA'!G52,'23.10 MBARARA-MASAKA'!G52)</f>
        <v>0.5714285714285714</v>
      </c>
      <c r="H52" s="49">
        <f>AVERAGE('17.10 MBARARA-MASAKA'!H52,'18.10 MBARARA-MASAKA-24H'!H52,'19.10 MBARARA-MASAKA-24H'!H52,'20.10 MBARARA-MASAKA'!H52,'21.10 MBARARA- MASAKA'!H52,'22.10 MBARARA-MASAKA'!H52,'23.10 MBARARA-MASAKA'!H52)</f>
        <v>1.2857142857142858</v>
      </c>
      <c r="I52" s="49">
        <f>AVERAGE('17.10 MBARARA-MASAKA'!I52,'18.10 MBARARA-MASAKA-24H'!I52,'19.10 MBARARA-MASAKA-24H'!I52,'20.10 MBARARA-MASAKA'!I52,'21.10 MBARARA- MASAKA'!I52,'22.10 MBARARA-MASAKA'!I52,'23.10 MBARARA-MASAKA'!I52)</f>
        <v>2.8571428571428572</v>
      </c>
      <c r="J52" s="49">
        <f>AVERAGE('17.10 MBARARA-MASAKA'!J52,'18.10 MBARARA-MASAKA-24H'!J52,'19.10 MBARARA-MASAKA-24H'!J52,'20.10 MBARARA-MASAKA'!J52,'21.10 MBARARA- MASAKA'!J52,'22.10 MBARARA-MASAKA'!J52,'23.10 MBARARA-MASAKA'!J52)</f>
        <v>3.5714285714285716</v>
      </c>
      <c r="K52" s="49">
        <f>AVERAGE('17.10 MBARARA-MASAKA'!K52,'18.10 MBARARA-MASAKA-24H'!K52,'19.10 MBARARA-MASAKA-24H'!K52,'20.10 MBARARA-MASAKA'!K52,'21.10 MBARARA- MASAKA'!K52,'22.10 MBARARA-MASAKA'!K52,'23.10 MBARARA-MASAKA'!K52)</f>
        <v>3.8571428571428572</v>
      </c>
      <c r="L52" s="49">
        <f>AVERAGE('17.10 MBARARA-MASAKA'!L52,'18.10 MBARARA-MASAKA-24H'!L52,'19.10 MBARARA-MASAKA-24H'!L52,'20.10 MBARARA-MASAKA'!L52,'21.10 MBARARA- MASAKA'!L52,'22.10 MBARARA-MASAKA'!L52,'23.10 MBARARA-MASAKA'!L52)</f>
        <v>0</v>
      </c>
      <c r="M52" s="49">
        <f>AVERAGE('17.10 MBARARA-MASAKA'!M52,'18.10 MBARARA-MASAKA-24H'!M52,'19.10 MBARARA-MASAKA-24H'!M52,'20.10 MBARARA-MASAKA'!M52,'21.10 MBARARA- MASAKA'!M52,'22.10 MBARARA-MASAKA'!M52,'23.10 MBARARA-MASAKA'!M52)</f>
        <v>19.428571428571427</v>
      </c>
      <c r="N52" s="49">
        <f>AVERAGE('17.10 MBARARA-MASAKA'!N52,'18.10 MBARARA-MASAKA-24H'!N52,'19.10 MBARARA-MASAKA-24H'!N52,'20.10 MBARARA-MASAKA'!N52,'21.10 MBARARA- MASAKA'!N52,'22.10 MBARARA-MASAKA'!N52,'23.10 MBARARA-MASAKA'!N52)</f>
        <v>0</v>
      </c>
      <c r="O52" s="15">
        <f t="shared" si="0"/>
        <v>38.571428571428569</v>
      </c>
      <c r="P52" s="15">
        <f t="shared" si="1"/>
        <v>58</v>
      </c>
      <c r="R52" s="8"/>
      <c r="T52"/>
    </row>
    <row r="53" spans="2:20" ht="23.1" customHeight="1" x14ac:dyDescent="0.25">
      <c r="B53" s="23" t="s">
        <v>80</v>
      </c>
      <c r="C53" s="49">
        <f>AVERAGE('17.10 MBARARA-MASAKA'!C53,'18.10 MBARARA-MASAKA-24H'!C53,'19.10 MBARARA-MASAKA-24H'!C53,'20.10 MBARARA-MASAKA'!C53,'21.10 MBARARA- MASAKA'!C53,'22.10 MBARARA-MASAKA'!C53,'23.10 MBARARA-MASAKA'!C53)</f>
        <v>12.142857142857142</v>
      </c>
      <c r="D53" s="49">
        <f>AVERAGE('17.10 MBARARA-MASAKA'!D53,'18.10 MBARARA-MASAKA-24H'!D53,'19.10 MBARARA-MASAKA-24H'!D53,'20.10 MBARARA-MASAKA'!D53,'21.10 MBARARA- MASAKA'!D53,'22.10 MBARARA-MASAKA'!D53,'23.10 MBARARA-MASAKA'!D53)</f>
        <v>5.2857142857142856</v>
      </c>
      <c r="E53" s="49">
        <f>AVERAGE('17.10 MBARARA-MASAKA'!E53,'18.10 MBARARA-MASAKA-24H'!E53,'19.10 MBARARA-MASAKA-24H'!E53,'20.10 MBARARA-MASAKA'!E53,'21.10 MBARARA- MASAKA'!E53,'22.10 MBARARA-MASAKA'!E53,'23.10 MBARARA-MASAKA'!E53)</f>
        <v>2.7142857142857144</v>
      </c>
      <c r="F53" s="49">
        <f>AVERAGE('17.10 MBARARA-MASAKA'!F53,'18.10 MBARARA-MASAKA-24H'!F53,'19.10 MBARARA-MASAKA-24H'!F53,'20.10 MBARARA-MASAKA'!F53,'21.10 MBARARA- MASAKA'!F53,'22.10 MBARARA-MASAKA'!F53,'23.10 MBARARA-MASAKA'!F53)</f>
        <v>5.7142857142857144</v>
      </c>
      <c r="G53" s="49">
        <f>AVERAGE('17.10 MBARARA-MASAKA'!G53,'18.10 MBARARA-MASAKA-24H'!G53,'19.10 MBARARA-MASAKA-24H'!G53,'20.10 MBARARA-MASAKA'!G53,'21.10 MBARARA- MASAKA'!G53,'22.10 MBARARA-MASAKA'!G53,'23.10 MBARARA-MASAKA'!G53)</f>
        <v>0.14285714285714285</v>
      </c>
      <c r="H53" s="49">
        <f>AVERAGE('17.10 MBARARA-MASAKA'!H53,'18.10 MBARARA-MASAKA-24H'!H53,'19.10 MBARARA-MASAKA-24H'!H53,'20.10 MBARARA-MASAKA'!H53,'21.10 MBARARA- MASAKA'!H53,'22.10 MBARARA-MASAKA'!H53,'23.10 MBARARA-MASAKA'!H53)</f>
        <v>0.8571428571428571</v>
      </c>
      <c r="I53" s="49">
        <f>AVERAGE('17.10 MBARARA-MASAKA'!I53,'18.10 MBARARA-MASAKA-24H'!I53,'19.10 MBARARA-MASAKA-24H'!I53,'20.10 MBARARA-MASAKA'!I53,'21.10 MBARARA- MASAKA'!I53,'22.10 MBARARA-MASAKA'!I53,'23.10 MBARARA-MASAKA'!I53)</f>
        <v>1.7142857142857142</v>
      </c>
      <c r="J53" s="49">
        <f>AVERAGE('17.10 MBARARA-MASAKA'!J53,'18.10 MBARARA-MASAKA-24H'!J53,'19.10 MBARARA-MASAKA-24H'!J53,'20.10 MBARARA-MASAKA'!J53,'21.10 MBARARA- MASAKA'!J53,'22.10 MBARARA-MASAKA'!J53,'23.10 MBARARA-MASAKA'!J53)</f>
        <v>2.5714285714285716</v>
      </c>
      <c r="K53" s="49">
        <f>AVERAGE('17.10 MBARARA-MASAKA'!K53,'18.10 MBARARA-MASAKA-24H'!K53,'19.10 MBARARA-MASAKA-24H'!K53,'20.10 MBARARA-MASAKA'!K53,'21.10 MBARARA- MASAKA'!K53,'22.10 MBARARA-MASAKA'!K53,'23.10 MBARARA-MASAKA'!K53)</f>
        <v>2.2857142857142856</v>
      </c>
      <c r="L53" s="49">
        <f>AVERAGE('17.10 MBARARA-MASAKA'!L53,'18.10 MBARARA-MASAKA-24H'!L53,'19.10 MBARARA-MASAKA-24H'!L53,'20.10 MBARARA-MASAKA'!L53,'21.10 MBARARA- MASAKA'!L53,'22.10 MBARARA-MASAKA'!L53,'23.10 MBARARA-MASAKA'!L53)</f>
        <v>0.42857142857142855</v>
      </c>
      <c r="M53" s="49">
        <f>AVERAGE('17.10 MBARARA-MASAKA'!M53,'18.10 MBARARA-MASAKA-24H'!M53,'19.10 MBARARA-MASAKA-24H'!M53,'20.10 MBARARA-MASAKA'!M53,'21.10 MBARARA- MASAKA'!M53,'22.10 MBARARA-MASAKA'!M53,'23.10 MBARARA-MASAKA'!M53)</f>
        <v>20.714285714285715</v>
      </c>
      <c r="N53" s="49">
        <f>AVERAGE('17.10 MBARARA-MASAKA'!N53,'18.10 MBARARA-MASAKA-24H'!N53,'19.10 MBARARA-MASAKA-24H'!N53,'20.10 MBARARA-MASAKA'!N53,'21.10 MBARARA- MASAKA'!N53,'22.10 MBARARA-MASAKA'!N53,'23.10 MBARARA-MASAKA'!N53)</f>
        <v>0</v>
      </c>
      <c r="O53" s="15">
        <f t="shared" si="0"/>
        <v>33.857142857142861</v>
      </c>
      <c r="P53" s="15">
        <f t="shared" si="1"/>
        <v>54.571428571428577</v>
      </c>
      <c r="R53" s="8"/>
      <c r="T53"/>
    </row>
    <row r="54" spans="2:20" ht="23.1" customHeight="1" x14ac:dyDescent="0.25">
      <c r="B54" s="23" t="s">
        <v>81</v>
      </c>
      <c r="C54" s="49">
        <f>AVERAGE('17.10 MBARARA-MASAKA'!C54,'18.10 MBARARA-MASAKA-24H'!C54,'19.10 MBARARA-MASAKA-24H'!C54,'20.10 MBARARA-MASAKA'!C54,'21.10 MBARARA- MASAKA'!C54,'22.10 MBARARA-MASAKA'!C54,'23.10 MBARARA-MASAKA'!C54)</f>
        <v>13</v>
      </c>
      <c r="D54" s="49">
        <f>AVERAGE('17.10 MBARARA-MASAKA'!D54,'18.10 MBARARA-MASAKA-24H'!D54,'19.10 MBARARA-MASAKA-24H'!D54,'20.10 MBARARA-MASAKA'!D54,'21.10 MBARARA- MASAKA'!D54,'22.10 MBARARA-MASAKA'!D54,'23.10 MBARARA-MASAKA'!D54)</f>
        <v>3.2857142857142856</v>
      </c>
      <c r="E54" s="49">
        <f>AVERAGE('17.10 MBARARA-MASAKA'!E54,'18.10 MBARARA-MASAKA-24H'!E54,'19.10 MBARARA-MASAKA-24H'!E54,'20.10 MBARARA-MASAKA'!E54,'21.10 MBARARA- MASAKA'!E54,'22.10 MBARARA-MASAKA'!E54,'23.10 MBARARA-MASAKA'!E54)</f>
        <v>4.4285714285714288</v>
      </c>
      <c r="F54" s="49">
        <f>AVERAGE('17.10 MBARARA-MASAKA'!F54,'18.10 MBARARA-MASAKA-24H'!F54,'19.10 MBARARA-MASAKA-24H'!F54,'20.10 MBARARA-MASAKA'!F54,'21.10 MBARARA- MASAKA'!F54,'22.10 MBARARA-MASAKA'!F54,'23.10 MBARARA-MASAKA'!F54)</f>
        <v>6.5714285714285712</v>
      </c>
      <c r="G54" s="49">
        <f>AVERAGE('17.10 MBARARA-MASAKA'!G54,'18.10 MBARARA-MASAKA-24H'!G54,'19.10 MBARARA-MASAKA-24H'!G54,'20.10 MBARARA-MASAKA'!G54,'21.10 MBARARA- MASAKA'!G54,'22.10 MBARARA-MASAKA'!G54,'23.10 MBARARA-MASAKA'!G54)</f>
        <v>0.42857142857142855</v>
      </c>
      <c r="H54" s="49">
        <f>AVERAGE('17.10 MBARARA-MASAKA'!H54,'18.10 MBARARA-MASAKA-24H'!H54,'19.10 MBARARA-MASAKA-24H'!H54,'20.10 MBARARA-MASAKA'!H54,'21.10 MBARARA- MASAKA'!H54,'22.10 MBARARA-MASAKA'!H54,'23.10 MBARARA-MASAKA'!H54)</f>
        <v>1.4285714285714286</v>
      </c>
      <c r="I54" s="49">
        <f>AVERAGE('17.10 MBARARA-MASAKA'!I54,'18.10 MBARARA-MASAKA-24H'!I54,'19.10 MBARARA-MASAKA-24H'!I54,'20.10 MBARARA-MASAKA'!I54,'21.10 MBARARA- MASAKA'!I54,'22.10 MBARARA-MASAKA'!I54,'23.10 MBARARA-MASAKA'!I54)</f>
        <v>3.1428571428571428</v>
      </c>
      <c r="J54" s="49">
        <f>AVERAGE('17.10 MBARARA-MASAKA'!J54,'18.10 MBARARA-MASAKA-24H'!J54,'19.10 MBARARA-MASAKA-24H'!J54,'20.10 MBARARA-MASAKA'!J54,'21.10 MBARARA- MASAKA'!J54,'22.10 MBARARA-MASAKA'!J54,'23.10 MBARARA-MASAKA'!J54)</f>
        <v>4.7142857142857144</v>
      </c>
      <c r="K54" s="49">
        <f>AVERAGE('17.10 MBARARA-MASAKA'!K54,'18.10 MBARARA-MASAKA-24H'!K54,'19.10 MBARARA-MASAKA-24H'!K54,'20.10 MBARARA-MASAKA'!K54,'21.10 MBARARA- MASAKA'!K54,'22.10 MBARARA-MASAKA'!K54,'23.10 MBARARA-MASAKA'!K54)</f>
        <v>4.2857142857142856</v>
      </c>
      <c r="L54" s="49">
        <f>AVERAGE('17.10 MBARARA-MASAKA'!L54,'18.10 MBARARA-MASAKA-24H'!L54,'19.10 MBARARA-MASAKA-24H'!L54,'20.10 MBARARA-MASAKA'!L54,'21.10 MBARARA- MASAKA'!L54,'22.10 MBARARA-MASAKA'!L54,'23.10 MBARARA-MASAKA'!L54)</f>
        <v>0.14285714285714285</v>
      </c>
      <c r="M54" s="49">
        <f>AVERAGE('17.10 MBARARA-MASAKA'!M54,'18.10 MBARARA-MASAKA-24H'!M54,'19.10 MBARARA-MASAKA-24H'!M54,'20.10 MBARARA-MASAKA'!M54,'21.10 MBARARA- MASAKA'!M54,'22.10 MBARARA-MASAKA'!M54,'23.10 MBARARA-MASAKA'!M54)</f>
        <v>19</v>
      </c>
      <c r="N54" s="49">
        <f>AVERAGE('17.10 MBARARA-MASAKA'!N54,'18.10 MBARARA-MASAKA-24H'!N54,'19.10 MBARARA-MASAKA-24H'!N54,'20.10 MBARARA-MASAKA'!N54,'21.10 MBARARA- MASAKA'!N54,'22.10 MBARARA-MASAKA'!N54,'23.10 MBARARA-MASAKA'!N54)</f>
        <v>0</v>
      </c>
      <c r="O54" s="15">
        <f t="shared" si="0"/>
        <v>41.428571428571431</v>
      </c>
      <c r="P54" s="15">
        <f t="shared" si="1"/>
        <v>60.428571428571431</v>
      </c>
      <c r="R54" s="8"/>
      <c r="T54"/>
    </row>
    <row r="55" spans="2:20" ht="23.1" customHeight="1" x14ac:dyDescent="0.25">
      <c r="B55" s="23" t="s">
        <v>82</v>
      </c>
      <c r="C55" s="49">
        <f>AVERAGE('17.10 MBARARA-MASAKA'!C55,'18.10 MBARARA-MASAKA-24H'!C55,'19.10 MBARARA-MASAKA-24H'!C55,'20.10 MBARARA-MASAKA'!C55,'21.10 MBARARA- MASAKA'!C55,'22.10 MBARARA-MASAKA'!C55,'23.10 MBARARA-MASAKA'!C55)</f>
        <v>13.428571428571429</v>
      </c>
      <c r="D55" s="49">
        <f>AVERAGE('17.10 MBARARA-MASAKA'!D55,'18.10 MBARARA-MASAKA-24H'!D55,'19.10 MBARARA-MASAKA-24H'!D55,'20.10 MBARARA-MASAKA'!D55,'21.10 MBARARA- MASAKA'!D55,'22.10 MBARARA-MASAKA'!D55,'23.10 MBARARA-MASAKA'!D55)</f>
        <v>5.2857142857142856</v>
      </c>
      <c r="E55" s="49">
        <f>AVERAGE('17.10 MBARARA-MASAKA'!E55,'18.10 MBARARA-MASAKA-24H'!E55,'19.10 MBARARA-MASAKA-24H'!E55,'20.10 MBARARA-MASAKA'!E55,'21.10 MBARARA- MASAKA'!E55,'22.10 MBARARA-MASAKA'!E55,'23.10 MBARARA-MASAKA'!E55)</f>
        <v>3.1428571428571428</v>
      </c>
      <c r="F55" s="49">
        <f>AVERAGE('17.10 MBARARA-MASAKA'!F55,'18.10 MBARARA-MASAKA-24H'!F55,'19.10 MBARARA-MASAKA-24H'!F55,'20.10 MBARARA-MASAKA'!F55,'21.10 MBARARA- MASAKA'!F55,'22.10 MBARARA-MASAKA'!F55,'23.10 MBARARA-MASAKA'!F55)</f>
        <v>6.1428571428571432</v>
      </c>
      <c r="G55" s="49">
        <f>AVERAGE('17.10 MBARARA-MASAKA'!G55,'18.10 MBARARA-MASAKA-24H'!G55,'19.10 MBARARA-MASAKA-24H'!G55,'20.10 MBARARA-MASAKA'!G55,'21.10 MBARARA- MASAKA'!G55,'22.10 MBARARA-MASAKA'!G55,'23.10 MBARARA-MASAKA'!G55)</f>
        <v>0.14285714285714285</v>
      </c>
      <c r="H55" s="49">
        <f>AVERAGE('17.10 MBARARA-MASAKA'!H55,'18.10 MBARARA-MASAKA-24H'!H55,'19.10 MBARARA-MASAKA-24H'!H55,'20.10 MBARARA-MASAKA'!H55,'21.10 MBARARA- MASAKA'!H55,'22.10 MBARARA-MASAKA'!H55,'23.10 MBARARA-MASAKA'!H55)</f>
        <v>1</v>
      </c>
      <c r="I55" s="49">
        <f>AVERAGE('17.10 MBARARA-MASAKA'!I55,'18.10 MBARARA-MASAKA-24H'!I55,'19.10 MBARARA-MASAKA-24H'!I55,'20.10 MBARARA-MASAKA'!I55,'21.10 MBARARA- MASAKA'!I55,'22.10 MBARARA-MASAKA'!I55,'23.10 MBARARA-MASAKA'!I55)</f>
        <v>3.4285714285714284</v>
      </c>
      <c r="J55" s="49">
        <f>AVERAGE('17.10 MBARARA-MASAKA'!J55,'18.10 MBARARA-MASAKA-24H'!J55,'19.10 MBARARA-MASAKA-24H'!J55,'20.10 MBARARA-MASAKA'!J55,'21.10 MBARARA- MASAKA'!J55,'22.10 MBARARA-MASAKA'!J55,'23.10 MBARARA-MASAKA'!J55)</f>
        <v>3.1428571428571428</v>
      </c>
      <c r="K55" s="49">
        <f>AVERAGE('17.10 MBARARA-MASAKA'!K55,'18.10 MBARARA-MASAKA-24H'!K55,'19.10 MBARARA-MASAKA-24H'!K55,'20.10 MBARARA-MASAKA'!K55,'21.10 MBARARA- MASAKA'!K55,'22.10 MBARARA-MASAKA'!K55,'23.10 MBARARA-MASAKA'!K55)</f>
        <v>2.4285714285714284</v>
      </c>
      <c r="L55" s="49">
        <f>AVERAGE('17.10 MBARARA-MASAKA'!L55,'18.10 MBARARA-MASAKA-24H'!L55,'19.10 MBARARA-MASAKA-24H'!L55,'20.10 MBARARA-MASAKA'!L55,'21.10 MBARARA- MASAKA'!L55,'22.10 MBARARA-MASAKA'!L55,'23.10 MBARARA-MASAKA'!L55)</f>
        <v>0.2857142857142857</v>
      </c>
      <c r="M55" s="49">
        <f>AVERAGE('17.10 MBARARA-MASAKA'!M55,'18.10 MBARARA-MASAKA-24H'!M55,'19.10 MBARARA-MASAKA-24H'!M55,'20.10 MBARARA-MASAKA'!M55,'21.10 MBARARA- MASAKA'!M55,'22.10 MBARARA-MASAKA'!M55,'23.10 MBARARA-MASAKA'!M55)</f>
        <v>18.857142857142858</v>
      </c>
      <c r="N55" s="49">
        <f>AVERAGE('17.10 MBARARA-MASAKA'!N55,'18.10 MBARARA-MASAKA-24H'!N55,'19.10 MBARARA-MASAKA-24H'!N55,'20.10 MBARARA-MASAKA'!N55,'21.10 MBARARA- MASAKA'!N55,'22.10 MBARARA-MASAKA'!N55,'23.10 MBARARA-MASAKA'!N55)</f>
        <v>0</v>
      </c>
      <c r="O55" s="15">
        <f t="shared" si="0"/>
        <v>38.428571428571431</v>
      </c>
      <c r="P55" s="15">
        <f t="shared" si="1"/>
        <v>57.285714285714292</v>
      </c>
      <c r="R55" s="8"/>
      <c r="T55"/>
    </row>
    <row r="56" spans="2:20" ht="23.1" customHeight="1" x14ac:dyDescent="0.25">
      <c r="B56" s="23" t="s">
        <v>83</v>
      </c>
      <c r="C56" s="49">
        <f>AVERAGE('17.10 MBARARA-MASAKA'!C56,'18.10 MBARARA-MASAKA-24H'!C56,'19.10 MBARARA-MASAKA-24H'!C56,'20.10 MBARARA-MASAKA'!C56,'21.10 MBARARA- MASAKA'!C56,'22.10 MBARARA-MASAKA'!C56,'23.10 MBARARA-MASAKA'!C56)</f>
        <v>10.428571428571429</v>
      </c>
      <c r="D56" s="49">
        <f>AVERAGE('17.10 MBARARA-MASAKA'!D56,'18.10 MBARARA-MASAKA-24H'!D56,'19.10 MBARARA-MASAKA-24H'!D56,'20.10 MBARARA-MASAKA'!D56,'21.10 MBARARA- MASAKA'!D56,'22.10 MBARARA-MASAKA'!D56,'23.10 MBARARA-MASAKA'!D56)</f>
        <v>5</v>
      </c>
      <c r="E56" s="49">
        <f>AVERAGE('17.10 MBARARA-MASAKA'!E56,'18.10 MBARARA-MASAKA-24H'!E56,'19.10 MBARARA-MASAKA-24H'!E56,'20.10 MBARARA-MASAKA'!E56,'21.10 MBARARA- MASAKA'!E56,'22.10 MBARARA-MASAKA'!E56,'23.10 MBARARA-MASAKA'!E56)</f>
        <v>4</v>
      </c>
      <c r="F56" s="49">
        <f>AVERAGE('17.10 MBARARA-MASAKA'!F56,'18.10 MBARARA-MASAKA-24H'!F56,'19.10 MBARARA-MASAKA-24H'!F56,'20.10 MBARARA-MASAKA'!F56,'21.10 MBARARA- MASAKA'!F56,'22.10 MBARARA-MASAKA'!F56,'23.10 MBARARA-MASAKA'!F56)</f>
        <v>6</v>
      </c>
      <c r="G56" s="49">
        <f>AVERAGE('17.10 MBARARA-MASAKA'!G56,'18.10 MBARARA-MASAKA-24H'!G56,'19.10 MBARARA-MASAKA-24H'!G56,'20.10 MBARARA-MASAKA'!G56,'21.10 MBARARA- MASAKA'!G56,'22.10 MBARARA-MASAKA'!G56,'23.10 MBARARA-MASAKA'!G56)</f>
        <v>0.5714285714285714</v>
      </c>
      <c r="H56" s="49">
        <f>AVERAGE('17.10 MBARARA-MASAKA'!H56,'18.10 MBARARA-MASAKA-24H'!H56,'19.10 MBARARA-MASAKA-24H'!H56,'20.10 MBARARA-MASAKA'!H56,'21.10 MBARARA- MASAKA'!H56,'22.10 MBARARA-MASAKA'!H56,'23.10 MBARARA-MASAKA'!H56)</f>
        <v>1.1428571428571428</v>
      </c>
      <c r="I56" s="49">
        <f>AVERAGE('17.10 MBARARA-MASAKA'!I56,'18.10 MBARARA-MASAKA-24H'!I56,'19.10 MBARARA-MASAKA-24H'!I56,'20.10 MBARARA-MASAKA'!I56,'21.10 MBARARA- MASAKA'!I56,'22.10 MBARARA-MASAKA'!I56,'23.10 MBARARA-MASAKA'!I56)</f>
        <v>3.2857142857142856</v>
      </c>
      <c r="J56" s="49">
        <f>AVERAGE('17.10 MBARARA-MASAKA'!J56,'18.10 MBARARA-MASAKA-24H'!J56,'19.10 MBARARA-MASAKA-24H'!J56,'20.10 MBARARA-MASAKA'!J56,'21.10 MBARARA- MASAKA'!J56,'22.10 MBARARA-MASAKA'!J56,'23.10 MBARARA-MASAKA'!J56)</f>
        <v>2.5714285714285716</v>
      </c>
      <c r="K56" s="49">
        <f>AVERAGE('17.10 MBARARA-MASAKA'!K56,'18.10 MBARARA-MASAKA-24H'!K56,'19.10 MBARARA-MASAKA-24H'!K56,'20.10 MBARARA-MASAKA'!K56,'21.10 MBARARA- MASAKA'!K56,'22.10 MBARARA-MASAKA'!K56,'23.10 MBARARA-MASAKA'!K56)</f>
        <v>4.5714285714285712</v>
      </c>
      <c r="L56" s="49">
        <f>AVERAGE('17.10 MBARARA-MASAKA'!L56,'18.10 MBARARA-MASAKA-24H'!L56,'19.10 MBARARA-MASAKA-24H'!L56,'20.10 MBARARA-MASAKA'!L56,'21.10 MBARARA- MASAKA'!L56,'22.10 MBARARA-MASAKA'!L56,'23.10 MBARARA-MASAKA'!L56)</f>
        <v>0.42857142857142855</v>
      </c>
      <c r="M56" s="49">
        <f>AVERAGE('17.10 MBARARA-MASAKA'!M56,'18.10 MBARARA-MASAKA-24H'!M56,'19.10 MBARARA-MASAKA-24H'!M56,'20.10 MBARARA-MASAKA'!M56,'21.10 MBARARA- MASAKA'!M56,'22.10 MBARARA-MASAKA'!M56,'23.10 MBARARA-MASAKA'!M56)</f>
        <v>20.714285714285715</v>
      </c>
      <c r="N56" s="49">
        <f>AVERAGE('17.10 MBARARA-MASAKA'!N56,'18.10 MBARARA-MASAKA-24H'!N56,'19.10 MBARARA-MASAKA-24H'!N56,'20.10 MBARARA-MASAKA'!N56,'21.10 MBARARA- MASAKA'!N56,'22.10 MBARARA-MASAKA'!N56,'23.10 MBARARA-MASAKA'!N56)</f>
        <v>0</v>
      </c>
      <c r="O56" s="15">
        <f t="shared" si="0"/>
        <v>38</v>
      </c>
      <c r="P56" s="15">
        <f t="shared" si="1"/>
        <v>58.714285714285715</v>
      </c>
      <c r="R56" s="8"/>
      <c r="T56"/>
    </row>
    <row r="57" spans="2:20" ht="23.1" customHeight="1" x14ac:dyDescent="0.25">
      <c r="B57" s="23" t="s">
        <v>84</v>
      </c>
      <c r="C57" s="49">
        <f>AVERAGE('17.10 MBARARA-MASAKA'!C57,'18.10 MBARARA-MASAKA-24H'!C57,'19.10 MBARARA-MASAKA-24H'!C57,'20.10 MBARARA-MASAKA'!C57,'21.10 MBARARA- MASAKA'!C57,'22.10 MBARARA-MASAKA'!C57,'23.10 MBARARA-MASAKA'!C57)</f>
        <v>13.428571428571429</v>
      </c>
      <c r="D57" s="49">
        <f>AVERAGE('17.10 MBARARA-MASAKA'!D57,'18.10 MBARARA-MASAKA-24H'!D57,'19.10 MBARARA-MASAKA-24H'!D57,'20.10 MBARARA-MASAKA'!D57,'21.10 MBARARA- MASAKA'!D57,'22.10 MBARARA-MASAKA'!D57,'23.10 MBARARA-MASAKA'!D57)</f>
        <v>3.4285714285714284</v>
      </c>
      <c r="E57" s="49">
        <f>AVERAGE('17.10 MBARARA-MASAKA'!E57,'18.10 MBARARA-MASAKA-24H'!E57,'19.10 MBARARA-MASAKA-24H'!E57,'20.10 MBARARA-MASAKA'!E57,'21.10 MBARARA- MASAKA'!E57,'22.10 MBARARA-MASAKA'!E57,'23.10 MBARARA-MASAKA'!E57)</f>
        <v>3.5714285714285716</v>
      </c>
      <c r="F57" s="49">
        <f>AVERAGE('17.10 MBARARA-MASAKA'!F57,'18.10 MBARARA-MASAKA-24H'!F57,'19.10 MBARARA-MASAKA-24H'!F57,'20.10 MBARARA-MASAKA'!F57,'21.10 MBARARA- MASAKA'!F57,'22.10 MBARARA-MASAKA'!F57,'23.10 MBARARA-MASAKA'!F57)</f>
        <v>6.1428571428571432</v>
      </c>
      <c r="G57" s="49">
        <f>AVERAGE('17.10 MBARARA-MASAKA'!G57,'18.10 MBARARA-MASAKA-24H'!G57,'19.10 MBARARA-MASAKA-24H'!G57,'20.10 MBARARA-MASAKA'!G57,'21.10 MBARARA- MASAKA'!G57,'22.10 MBARARA-MASAKA'!G57,'23.10 MBARARA-MASAKA'!G57)</f>
        <v>0.14285714285714285</v>
      </c>
      <c r="H57" s="49">
        <f>AVERAGE('17.10 MBARARA-MASAKA'!H57,'18.10 MBARARA-MASAKA-24H'!H57,'19.10 MBARARA-MASAKA-24H'!H57,'20.10 MBARARA-MASAKA'!H57,'21.10 MBARARA- MASAKA'!H57,'22.10 MBARARA-MASAKA'!H57,'23.10 MBARARA-MASAKA'!H57)</f>
        <v>0.8571428571428571</v>
      </c>
      <c r="I57" s="49">
        <f>AVERAGE('17.10 MBARARA-MASAKA'!I57,'18.10 MBARARA-MASAKA-24H'!I57,'19.10 MBARARA-MASAKA-24H'!I57,'20.10 MBARARA-MASAKA'!I57,'21.10 MBARARA- MASAKA'!I57,'22.10 MBARARA-MASAKA'!I57,'23.10 MBARARA-MASAKA'!I57)</f>
        <v>1.2857142857142858</v>
      </c>
      <c r="J57" s="49">
        <f>AVERAGE('17.10 MBARARA-MASAKA'!J57,'18.10 MBARARA-MASAKA-24H'!J57,'19.10 MBARARA-MASAKA-24H'!J57,'20.10 MBARARA-MASAKA'!J57,'21.10 MBARARA- MASAKA'!J57,'22.10 MBARARA-MASAKA'!J57,'23.10 MBARARA-MASAKA'!J57)</f>
        <v>3</v>
      </c>
      <c r="K57" s="49">
        <f>AVERAGE('17.10 MBARARA-MASAKA'!K57,'18.10 MBARARA-MASAKA-24H'!K57,'19.10 MBARARA-MASAKA-24H'!K57,'20.10 MBARARA-MASAKA'!K57,'21.10 MBARARA- MASAKA'!K57,'22.10 MBARARA-MASAKA'!K57,'23.10 MBARARA-MASAKA'!K57)</f>
        <v>2.5714285714285716</v>
      </c>
      <c r="L57" s="49">
        <f>AVERAGE('17.10 MBARARA-MASAKA'!L57,'18.10 MBARARA-MASAKA-24H'!L57,'19.10 MBARARA-MASAKA-24H'!L57,'20.10 MBARARA-MASAKA'!L57,'21.10 MBARARA- MASAKA'!L57,'22.10 MBARARA-MASAKA'!L57,'23.10 MBARARA-MASAKA'!L57)</f>
        <v>0.42857142857142855</v>
      </c>
      <c r="M57" s="49">
        <f>AVERAGE('17.10 MBARARA-MASAKA'!M57,'18.10 MBARARA-MASAKA-24H'!M57,'19.10 MBARARA-MASAKA-24H'!M57,'20.10 MBARARA-MASAKA'!M57,'21.10 MBARARA- MASAKA'!M57,'22.10 MBARARA-MASAKA'!M57,'23.10 MBARARA-MASAKA'!M57)</f>
        <v>17.714285714285715</v>
      </c>
      <c r="N57" s="49">
        <f>AVERAGE('17.10 MBARARA-MASAKA'!N57,'18.10 MBARARA-MASAKA-24H'!N57,'19.10 MBARARA-MASAKA-24H'!N57,'20.10 MBARARA-MASAKA'!N57,'21.10 MBARARA- MASAKA'!N57,'22.10 MBARARA-MASAKA'!N57,'23.10 MBARARA-MASAKA'!N57)</f>
        <v>0</v>
      </c>
      <c r="O57" s="15">
        <f t="shared" si="0"/>
        <v>34.857142857142861</v>
      </c>
      <c r="P57" s="15">
        <f t="shared" si="1"/>
        <v>52.571428571428577</v>
      </c>
      <c r="R57" s="8"/>
      <c r="T57"/>
    </row>
    <row r="58" spans="2:20" ht="23.1" customHeight="1" x14ac:dyDescent="0.25">
      <c r="B58" s="23" t="s">
        <v>99</v>
      </c>
      <c r="C58" s="49">
        <f>AVERAGE('18.10 MBARARA-MASAKA-24H'!C58,'19.10 MBARARA-MASAKA-24H'!C58)</f>
        <v>5.5</v>
      </c>
      <c r="D58" s="49">
        <f>AVERAGE('18.10 MBARARA-MASAKA-24H'!D58,'19.10 MBARARA-MASAKA-24H'!D58)</f>
        <v>1</v>
      </c>
      <c r="E58" s="49">
        <f>AVERAGE('18.10 MBARARA-MASAKA-24H'!E58,'19.10 MBARARA-MASAKA-24H'!E58)</f>
        <v>2.5</v>
      </c>
      <c r="F58" s="49">
        <f>AVERAGE('18.10 MBARARA-MASAKA-24H'!F58,'19.10 MBARARA-MASAKA-24H'!F58)</f>
        <v>2.5</v>
      </c>
      <c r="G58" s="49">
        <f>AVERAGE('18.10 MBARARA-MASAKA-24H'!G58,'19.10 MBARARA-MASAKA-24H'!G58)</f>
        <v>0.5</v>
      </c>
      <c r="H58" s="49">
        <f>AVERAGE('18.10 MBARARA-MASAKA-24H'!H58,'19.10 MBARARA-MASAKA-24H'!H58)</f>
        <v>1.5</v>
      </c>
      <c r="I58" s="49">
        <f>AVERAGE('18.10 MBARARA-MASAKA-24H'!I58,'19.10 MBARARA-MASAKA-24H'!I58)</f>
        <v>3.5</v>
      </c>
      <c r="J58" s="49">
        <f>AVERAGE('18.10 MBARARA-MASAKA-24H'!J58,'19.10 MBARARA-MASAKA-24H'!J58)</f>
        <v>2.5</v>
      </c>
      <c r="K58" s="49">
        <f>AVERAGE('18.10 MBARARA-MASAKA-24H'!K58,'19.10 MBARARA-MASAKA-24H'!K58)</f>
        <v>4</v>
      </c>
      <c r="L58" s="49">
        <f>AVERAGE('18.10 MBARARA-MASAKA-24H'!L58,'19.10 MBARARA-MASAKA-24H'!L58)</f>
        <v>0</v>
      </c>
      <c r="M58" s="49">
        <f>AVERAGE('18.10 MBARARA-MASAKA-24H'!M58,'19.10 MBARARA-MASAKA-24H'!M58)</f>
        <v>8</v>
      </c>
      <c r="N58" s="49">
        <f>AVERAGE('18.10 MBARARA-MASAKA-24H'!N58,'19.10 MBARARA-MASAKA-24H'!N58)</f>
        <v>0</v>
      </c>
      <c r="O58" s="15">
        <f t="shared" si="0"/>
        <v>23.5</v>
      </c>
      <c r="P58" s="15">
        <f t="shared" si="1"/>
        <v>31.5</v>
      </c>
      <c r="R58" s="8"/>
      <c r="T58"/>
    </row>
    <row r="59" spans="2:20" ht="23.1" customHeight="1" x14ac:dyDescent="0.25">
      <c r="B59" s="23" t="s">
        <v>100</v>
      </c>
      <c r="C59" s="49">
        <f>AVERAGE('18.10 MBARARA-MASAKA-24H'!C59,'19.10 MBARARA-MASAKA-24H'!C59)</f>
        <v>11.5</v>
      </c>
      <c r="D59" s="49">
        <f>AVERAGE('18.10 MBARARA-MASAKA-24H'!D59,'19.10 MBARARA-MASAKA-24H'!D59)</f>
        <v>3</v>
      </c>
      <c r="E59" s="49">
        <f>AVERAGE('18.10 MBARARA-MASAKA-24H'!E59,'19.10 MBARARA-MASAKA-24H'!E59)</f>
        <v>1.5</v>
      </c>
      <c r="F59" s="49">
        <f>AVERAGE('18.10 MBARARA-MASAKA-24H'!F59,'19.10 MBARARA-MASAKA-24H'!F59)</f>
        <v>4.5</v>
      </c>
      <c r="G59" s="49">
        <f>AVERAGE('18.10 MBARARA-MASAKA-24H'!G59,'19.10 MBARARA-MASAKA-24H'!G59)</f>
        <v>0.5</v>
      </c>
      <c r="H59" s="49">
        <f>AVERAGE('18.10 MBARARA-MASAKA-24H'!H59,'19.10 MBARARA-MASAKA-24H'!H59)</f>
        <v>0</v>
      </c>
      <c r="I59" s="49">
        <f>AVERAGE('18.10 MBARARA-MASAKA-24H'!I59,'19.10 MBARARA-MASAKA-24H'!I59)</f>
        <v>2</v>
      </c>
      <c r="J59" s="49">
        <f>AVERAGE('18.10 MBARARA-MASAKA-24H'!J59,'19.10 MBARARA-MASAKA-24H'!J59)</f>
        <v>2.5</v>
      </c>
      <c r="K59" s="49">
        <f>AVERAGE('18.10 MBARARA-MASAKA-24H'!K59,'19.10 MBARARA-MASAKA-24H'!K59)</f>
        <v>4.5</v>
      </c>
      <c r="L59" s="49">
        <f>AVERAGE('18.10 MBARARA-MASAKA-24H'!L59,'19.10 MBARARA-MASAKA-24H'!L59)</f>
        <v>0</v>
      </c>
      <c r="M59" s="49">
        <f>AVERAGE('18.10 MBARARA-MASAKA-24H'!M59,'19.10 MBARARA-MASAKA-24H'!M59)</f>
        <v>15.5</v>
      </c>
      <c r="N59" s="49">
        <f>AVERAGE('18.10 MBARARA-MASAKA-24H'!N59,'19.10 MBARARA-MASAKA-24H'!N59)</f>
        <v>0</v>
      </c>
      <c r="O59" s="15">
        <f t="shared" si="0"/>
        <v>30</v>
      </c>
      <c r="P59" s="15">
        <f t="shared" si="1"/>
        <v>45.5</v>
      </c>
      <c r="R59" s="8"/>
      <c r="T59"/>
    </row>
    <row r="60" spans="2:20" ht="23.1" customHeight="1" x14ac:dyDescent="0.25">
      <c r="B60" s="23" t="s">
        <v>101</v>
      </c>
      <c r="C60" s="49">
        <f>AVERAGE('18.10 MBARARA-MASAKA-24H'!C60,'19.10 MBARARA-MASAKA-24H'!C60)</f>
        <v>10.5</v>
      </c>
      <c r="D60" s="49">
        <f>AVERAGE('18.10 MBARARA-MASAKA-24H'!D60,'19.10 MBARARA-MASAKA-24H'!D60)</f>
        <v>3.5</v>
      </c>
      <c r="E60" s="49">
        <f>AVERAGE('18.10 MBARARA-MASAKA-24H'!E60,'19.10 MBARARA-MASAKA-24H'!E60)</f>
        <v>1.5</v>
      </c>
      <c r="F60" s="49">
        <f>AVERAGE('18.10 MBARARA-MASAKA-24H'!F60,'19.10 MBARARA-MASAKA-24H'!F60)</f>
        <v>6.5</v>
      </c>
      <c r="G60" s="49">
        <f>AVERAGE('18.10 MBARARA-MASAKA-24H'!G60,'19.10 MBARARA-MASAKA-24H'!G60)</f>
        <v>0</v>
      </c>
      <c r="H60" s="49">
        <f>AVERAGE('18.10 MBARARA-MASAKA-24H'!H60,'19.10 MBARARA-MASAKA-24H'!H60)</f>
        <v>1.5</v>
      </c>
      <c r="I60" s="49">
        <f>AVERAGE('18.10 MBARARA-MASAKA-24H'!I60,'19.10 MBARARA-MASAKA-24H'!I60)</f>
        <v>4.5</v>
      </c>
      <c r="J60" s="49">
        <f>AVERAGE('18.10 MBARARA-MASAKA-24H'!J60,'19.10 MBARARA-MASAKA-24H'!J60)</f>
        <v>1.5</v>
      </c>
      <c r="K60" s="49">
        <f>AVERAGE('18.10 MBARARA-MASAKA-24H'!K60,'19.10 MBARARA-MASAKA-24H'!K60)</f>
        <v>3</v>
      </c>
      <c r="L60" s="49">
        <f>AVERAGE('18.10 MBARARA-MASAKA-24H'!L60,'19.10 MBARARA-MASAKA-24H'!L60)</f>
        <v>0.5</v>
      </c>
      <c r="M60" s="49">
        <f>AVERAGE('18.10 MBARARA-MASAKA-24H'!M60,'19.10 MBARARA-MASAKA-24H'!M60)</f>
        <v>9</v>
      </c>
      <c r="N60" s="49">
        <f>AVERAGE('18.10 MBARARA-MASAKA-24H'!N60,'19.10 MBARARA-MASAKA-24H'!N60)</f>
        <v>0</v>
      </c>
      <c r="O60" s="15">
        <f t="shared" si="0"/>
        <v>33</v>
      </c>
      <c r="P60" s="15">
        <f t="shared" si="1"/>
        <v>42</v>
      </c>
      <c r="R60" s="8"/>
      <c r="T60"/>
    </row>
    <row r="61" spans="2:20" ht="23.1" customHeight="1" x14ac:dyDescent="0.25">
      <c r="B61" s="23" t="s">
        <v>102</v>
      </c>
      <c r="C61" s="49">
        <f>AVERAGE('18.10 MBARARA-MASAKA-24H'!C61,'19.10 MBARARA-MASAKA-24H'!C61)</f>
        <v>6</v>
      </c>
      <c r="D61" s="49">
        <f>AVERAGE('18.10 MBARARA-MASAKA-24H'!D61,'19.10 MBARARA-MASAKA-24H'!D61)</f>
        <v>4.5</v>
      </c>
      <c r="E61" s="49">
        <f>AVERAGE('18.10 MBARARA-MASAKA-24H'!E61,'19.10 MBARARA-MASAKA-24H'!E61)</f>
        <v>3.5</v>
      </c>
      <c r="F61" s="49">
        <f>AVERAGE('18.10 MBARARA-MASAKA-24H'!F61,'19.10 MBARARA-MASAKA-24H'!F61)</f>
        <v>4.5</v>
      </c>
      <c r="G61" s="49">
        <f>AVERAGE('18.10 MBARARA-MASAKA-24H'!G61,'19.10 MBARARA-MASAKA-24H'!G61)</f>
        <v>0</v>
      </c>
      <c r="H61" s="49">
        <f>AVERAGE('18.10 MBARARA-MASAKA-24H'!H61,'19.10 MBARARA-MASAKA-24H'!H61)</f>
        <v>1.5</v>
      </c>
      <c r="I61" s="49">
        <f>AVERAGE('18.10 MBARARA-MASAKA-24H'!I61,'19.10 MBARARA-MASAKA-24H'!I61)</f>
        <v>5.5</v>
      </c>
      <c r="J61" s="49">
        <f>AVERAGE('18.10 MBARARA-MASAKA-24H'!J61,'19.10 MBARARA-MASAKA-24H'!J61)</f>
        <v>1.5</v>
      </c>
      <c r="K61" s="49">
        <f>AVERAGE('18.10 MBARARA-MASAKA-24H'!K61,'19.10 MBARARA-MASAKA-24H'!K61)</f>
        <v>6</v>
      </c>
      <c r="L61" s="49">
        <f>AVERAGE('18.10 MBARARA-MASAKA-24H'!L61,'19.10 MBARARA-MASAKA-24H'!L61)</f>
        <v>0</v>
      </c>
      <c r="M61" s="49">
        <f>AVERAGE('18.10 MBARARA-MASAKA-24H'!M61,'19.10 MBARARA-MASAKA-24H'!M61)</f>
        <v>8.5</v>
      </c>
      <c r="N61" s="49">
        <f>AVERAGE('18.10 MBARARA-MASAKA-24H'!N61,'19.10 MBARARA-MASAKA-24H'!N61)</f>
        <v>0</v>
      </c>
      <c r="O61" s="15">
        <f t="shared" si="0"/>
        <v>33</v>
      </c>
      <c r="P61" s="15">
        <f t="shared" si="1"/>
        <v>41.5</v>
      </c>
      <c r="R61" s="8"/>
      <c r="T61"/>
    </row>
    <row r="62" spans="2:20" ht="23.1" customHeight="1" x14ac:dyDescent="0.25">
      <c r="B62" s="23" t="s">
        <v>107</v>
      </c>
      <c r="C62" s="49">
        <f>AVERAGE('18.10 MBARARA-MASAKA-24H'!C62,'19.10 MBARARA-MASAKA-24H'!C62)</f>
        <v>8</v>
      </c>
      <c r="D62" s="49">
        <f>AVERAGE('18.10 MBARARA-MASAKA-24H'!D62,'19.10 MBARARA-MASAKA-24H'!D62)</f>
        <v>2</v>
      </c>
      <c r="E62" s="49">
        <f>AVERAGE('18.10 MBARARA-MASAKA-24H'!E62,'19.10 MBARARA-MASAKA-24H'!E62)</f>
        <v>1.5</v>
      </c>
      <c r="F62" s="49">
        <f>AVERAGE('18.10 MBARARA-MASAKA-24H'!F62,'19.10 MBARARA-MASAKA-24H'!F62)</f>
        <v>4</v>
      </c>
      <c r="G62" s="49">
        <f>AVERAGE('18.10 MBARARA-MASAKA-24H'!G62,'19.10 MBARARA-MASAKA-24H'!G62)</f>
        <v>0</v>
      </c>
      <c r="H62" s="49">
        <f>AVERAGE('18.10 MBARARA-MASAKA-24H'!H62,'19.10 MBARARA-MASAKA-24H'!H62)</f>
        <v>1.5</v>
      </c>
      <c r="I62" s="49">
        <f>AVERAGE('18.10 MBARARA-MASAKA-24H'!I62,'19.10 MBARARA-MASAKA-24H'!I62)</f>
        <v>4</v>
      </c>
      <c r="J62" s="49">
        <f>AVERAGE('18.10 MBARARA-MASAKA-24H'!J62,'19.10 MBARARA-MASAKA-24H'!J62)</f>
        <v>4.5</v>
      </c>
      <c r="K62" s="49">
        <f>AVERAGE('18.10 MBARARA-MASAKA-24H'!K62,'19.10 MBARARA-MASAKA-24H'!K62)</f>
        <v>1.5</v>
      </c>
      <c r="L62" s="49">
        <f>AVERAGE('18.10 MBARARA-MASAKA-24H'!L62,'19.10 MBARARA-MASAKA-24H'!L62)</f>
        <v>0</v>
      </c>
      <c r="M62" s="49">
        <f>AVERAGE('18.10 MBARARA-MASAKA-24H'!M62,'19.10 MBARARA-MASAKA-24H'!M62)</f>
        <v>4</v>
      </c>
      <c r="N62" s="49">
        <f>AVERAGE('18.10 MBARARA-MASAKA-24H'!N62,'19.10 MBARARA-MASAKA-24H'!N62)</f>
        <v>0</v>
      </c>
      <c r="O62" s="15">
        <f t="shared" si="0"/>
        <v>27</v>
      </c>
      <c r="P62" s="15">
        <f t="shared" si="1"/>
        <v>31</v>
      </c>
      <c r="R62" s="8"/>
      <c r="T62"/>
    </row>
    <row r="63" spans="2:20" ht="23.1" customHeight="1" x14ac:dyDescent="0.25">
      <c r="B63" s="23" t="s">
        <v>108</v>
      </c>
      <c r="C63" s="49">
        <f>AVERAGE('18.10 MBARARA-MASAKA-24H'!C63,'19.10 MBARARA-MASAKA-24H'!C63)</f>
        <v>8.5</v>
      </c>
      <c r="D63" s="49">
        <f>AVERAGE('18.10 MBARARA-MASAKA-24H'!D63,'19.10 MBARARA-MASAKA-24H'!D63)</f>
        <v>3</v>
      </c>
      <c r="E63" s="49">
        <f>AVERAGE('18.10 MBARARA-MASAKA-24H'!E63,'19.10 MBARARA-MASAKA-24H'!E63)</f>
        <v>1</v>
      </c>
      <c r="F63" s="49">
        <f>AVERAGE('18.10 MBARARA-MASAKA-24H'!F63,'19.10 MBARARA-MASAKA-24H'!F63)</f>
        <v>5.5</v>
      </c>
      <c r="G63" s="49">
        <f>AVERAGE('18.10 MBARARA-MASAKA-24H'!G63,'19.10 MBARARA-MASAKA-24H'!G63)</f>
        <v>0.5</v>
      </c>
      <c r="H63" s="49">
        <f>AVERAGE('18.10 MBARARA-MASAKA-24H'!H63,'19.10 MBARARA-MASAKA-24H'!H63)</f>
        <v>0</v>
      </c>
      <c r="I63" s="49">
        <f>AVERAGE('18.10 MBARARA-MASAKA-24H'!I63,'19.10 MBARARA-MASAKA-24H'!I63)</f>
        <v>1.5</v>
      </c>
      <c r="J63" s="49">
        <f>AVERAGE('18.10 MBARARA-MASAKA-24H'!J63,'19.10 MBARARA-MASAKA-24H'!J63)</f>
        <v>3.5</v>
      </c>
      <c r="K63" s="49">
        <f>AVERAGE('18.10 MBARARA-MASAKA-24H'!K63,'19.10 MBARARA-MASAKA-24H'!K63)</f>
        <v>4</v>
      </c>
      <c r="L63" s="49">
        <f>AVERAGE('18.10 MBARARA-MASAKA-24H'!L63,'19.10 MBARARA-MASAKA-24H'!L63)</f>
        <v>0</v>
      </c>
      <c r="M63" s="49">
        <f>AVERAGE('18.10 MBARARA-MASAKA-24H'!M63,'19.10 MBARARA-MASAKA-24H'!M63)</f>
        <v>6.5</v>
      </c>
      <c r="N63" s="49">
        <f>AVERAGE('18.10 MBARARA-MASAKA-24H'!N63,'19.10 MBARARA-MASAKA-24H'!N63)</f>
        <v>0</v>
      </c>
      <c r="O63" s="15">
        <f t="shared" si="0"/>
        <v>27.5</v>
      </c>
      <c r="P63" s="15">
        <f t="shared" si="1"/>
        <v>34</v>
      </c>
      <c r="R63" s="8"/>
      <c r="T63"/>
    </row>
    <row r="64" spans="2:20" ht="23.1" customHeight="1" x14ac:dyDescent="0.25">
      <c r="B64" s="23" t="s">
        <v>109</v>
      </c>
      <c r="C64" s="49">
        <f>AVERAGE('18.10 MBARARA-MASAKA-24H'!C64,'19.10 MBARARA-MASAKA-24H'!C64)</f>
        <v>10</v>
      </c>
      <c r="D64" s="49">
        <f>AVERAGE('18.10 MBARARA-MASAKA-24H'!D64,'19.10 MBARARA-MASAKA-24H'!D64)</f>
        <v>3.5</v>
      </c>
      <c r="E64" s="49">
        <f>AVERAGE('18.10 MBARARA-MASAKA-24H'!E64,'19.10 MBARARA-MASAKA-24H'!E64)</f>
        <v>2</v>
      </c>
      <c r="F64" s="49">
        <f>AVERAGE('18.10 MBARARA-MASAKA-24H'!F64,'19.10 MBARARA-MASAKA-24H'!F64)</f>
        <v>5.5</v>
      </c>
      <c r="G64" s="49">
        <f>AVERAGE('18.10 MBARARA-MASAKA-24H'!G64,'19.10 MBARARA-MASAKA-24H'!G64)</f>
        <v>0.5</v>
      </c>
      <c r="H64" s="49">
        <f>AVERAGE('18.10 MBARARA-MASAKA-24H'!H64,'19.10 MBARARA-MASAKA-24H'!H64)</f>
        <v>1</v>
      </c>
      <c r="I64" s="49">
        <f>AVERAGE('18.10 MBARARA-MASAKA-24H'!I64,'19.10 MBARARA-MASAKA-24H'!I64)</f>
        <v>5.5</v>
      </c>
      <c r="J64" s="49">
        <f>AVERAGE('18.10 MBARARA-MASAKA-24H'!J64,'19.10 MBARARA-MASAKA-24H'!J64)</f>
        <v>2</v>
      </c>
      <c r="K64" s="49">
        <f>AVERAGE('18.10 MBARARA-MASAKA-24H'!K64,'19.10 MBARARA-MASAKA-24H'!K64)</f>
        <v>5</v>
      </c>
      <c r="L64" s="49">
        <f>AVERAGE('18.10 MBARARA-MASAKA-24H'!L64,'19.10 MBARARA-MASAKA-24H'!L64)</f>
        <v>0</v>
      </c>
      <c r="M64" s="49">
        <f>AVERAGE('18.10 MBARARA-MASAKA-24H'!M64,'19.10 MBARARA-MASAKA-24H'!M64)</f>
        <v>8.5</v>
      </c>
      <c r="N64" s="49">
        <f>AVERAGE('18.10 MBARARA-MASAKA-24H'!N64,'19.10 MBARARA-MASAKA-24H'!N64)</f>
        <v>0</v>
      </c>
      <c r="O64" s="15">
        <f t="shared" si="0"/>
        <v>35</v>
      </c>
      <c r="P64" s="15">
        <f t="shared" si="1"/>
        <v>43.5</v>
      </c>
      <c r="R64" s="8"/>
      <c r="T64"/>
    </row>
    <row r="65" spans="2:20" ht="23.1" customHeight="1" x14ac:dyDescent="0.25">
      <c r="B65" s="23" t="s">
        <v>158</v>
      </c>
      <c r="C65" s="49">
        <f>AVERAGE('18.10 MBARARA-MASAKA-24H'!C65,'19.10 MBARARA-MASAKA-24H'!C65)</f>
        <v>9.5</v>
      </c>
      <c r="D65" s="49">
        <f>AVERAGE('18.10 MBARARA-MASAKA-24H'!D65,'19.10 MBARARA-MASAKA-24H'!D65)</f>
        <v>2</v>
      </c>
      <c r="E65" s="49">
        <f>AVERAGE('18.10 MBARARA-MASAKA-24H'!E65,'19.10 MBARARA-MASAKA-24H'!E65)</f>
        <v>2</v>
      </c>
      <c r="F65" s="49">
        <f>AVERAGE('18.10 MBARARA-MASAKA-24H'!F65,'19.10 MBARARA-MASAKA-24H'!F65)</f>
        <v>4</v>
      </c>
      <c r="G65" s="49">
        <f>AVERAGE('18.10 MBARARA-MASAKA-24H'!G65,'19.10 MBARARA-MASAKA-24H'!G65)</f>
        <v>0.5</v>
      </c>
      <c r="H65" s="49">
        <f>AVERAGE('18.10 MBARARA-MASAKA-24H'!H65,'19.10 MBARARA-MASAKA-24H'!H65)</f>
        <v>1.5</v>
      </c>
      <c r="I65" s="49">
        <f>AVERAGE('18.10 MBARARA-MASAKA-24H'!I65,'19.10 MBARARA-MASAKA-24H'!I65)</f>
        <v>1</v>
      </c>
      <c r="J65" s="49">
        <f>AVERAGE('18.10 MBARARA-MASAKA-24H'!J65,'19.10 MBARARA-MASAKA-24H'!J65)</f>
        <v>4.5</v>
      </c>
      <c r="K65" s="49">
        <f>AVERAGE('18.10 MBARARA-MASAKA-24H'!K65,'19.10 MBARARA-MASAKA-24H'!K65)</f>
        <v>2</v>
      </c>
      <c r="L65" s="49">
        <f>AVERAGE('18.10 MBARARA-MASAKA-24H'!L65,'19.10 MBARARA-MASAKA-24H'!L65)</f>
        <v>0</v>
      </c>
      <c r="M65" s="49">
        <f>AVERAGE('18.10 MBARARA-MASAKA-24H'!M65,'19.10 MBARARA-MASAKA-24H'!M65)</f>
        <v>9.5</v>
      </c>
      <c r="N65" s="49">
        <f>AVERAGE('18.10 MBARARA-MASAKA-24H'!N65,'19.10 MBARARA-MASAKA-24H'!N65)</f>
        <v>0</v>
      </c>
      <c r="O65" s="15">
        <f t="shared" si="0"/>
        <v>27</v>
      </c>
      <c r="P65" s="15">
        <f t="shared" si="1"/>
        <v>36.5</v>
      </c>
      <c r="R65" s="8"/>
      <c r="T65"/>
    </row>
    <row r="66" spans="2:20" ht="23.1" customHeight="1" x14ac:dyDescent="0.25">
      <c r="B66" s="23" t="s">
        <v>103</v>
      </c>
      <c r="C66" s="49">
        <f>AVERAGE('18.10 MBARARA-MASAKA-24H'!C66,'19.10 MBARARA-MASAKA-24H'!C66)</f>
        <v>10</v>
      </c>
      <c r="D66" s="49">
        <f>AVERAGE('18.10 MBARARA-MASAKA-24H'!D66,'19.10 MBARARA-MASAKA-24H'!D66)</f>
        <v>3.5</v>
      </c>
      <c r="E66" s="49">
        <f>AVERAGE('18.10 MBARARA-MASAKA-24H'!E66,'19.10 MBARARA-MASAKA-24H'!E66)</f>
        <v>1.5</v>
      </c>
      <c r="F66" s="49">
        <f>AVERAGE('18.10 MBARARA-MASAKA-24H'!F66,'19.10 MBARARA-MASAKA-24H'!F66)</f>
        <v>3</v>
      </c>
      <c r="G66" s="49">
        <f>AVERAGE('18.10 MBARARA-MASAKA-24H'!G66,'19.10 MBARARA-MASAKA-24H'!G66)</f>
        <v>0.5</v>
      </c>
      <c r="H66" s="49">
        <f>AVERAGE('18.10 MBARARA-MASAKA-24H'!H66,'19.10 MBARARA-MASAKA-24H'!H66)</f>
        <v>1</v>
      </c>
      <c r="I66" s="49">
        <f>AVERAGE('18.10 MBARARA-MASAKA-24H'!I66,'19.10 MBARARA-MASAKA-24H'!I66)</f>
        <v>3.5</v>
      </c>
      <c r="J66" s="49">
        <f>AVERAGE('18.10 MBARARA-MASAKA-24H'!J66,'19.10 MBARARA-MASAKA-24H'!J66)</f>
        <v>5.5</v>
      </c>
      <c r="K66" s="49">
        <f>AVERAGE('18.10 MBARARA-MASAKA-24H'!K66,'19.10 MBARARA-MASAKA-24H'!K66)</f>
        <v>6</v>
      </c>
      <c r="L66" s="49">
        <f>AVERAGE('18.10 MBARARA-MASAKA-24H'!L66,'19.10 MBARARA-MASAKA-24H'!L66)</f>
        <v>0</v>
      </c>
      <c r="M66" s="49">
        <f>AVERAGE('18.10 MBARARA-MASAKA-24H'!M66,'19.10 MBARARA-MASAKA-24H'!M66)</f>
        <v>4</v>
      </c>
      <c r="N66" s="49">
        <f>AVERAGE('18.10 MBARARA-MASAKA-24H'!N66,'19.10 MBARARA-MASAKA-24H'!N66)</f>
        <v>0</v>
      </c>
      <c r="O66" s="15">
        <f t="shared" si="0"/>
        <v>34.5</v>
      </c>
      <c r="P66" s="15">
        <f t="shared" si="1"/>
        <v>38.5</v>
      </c>
      <c r="R66" s="8"/>
      <c r="T66"/>
    </row>
    <row r="67" spans="2:20" ht="23.1" customHeight="1" x14ac:dyDescent="0.25">
      <c r="B67" s="23" t="s">
        <v>104</v>
      </c>
      <c r="C67" s="49">
        <f>AVERAGE('18.10 MBARARA-MASAKA-24H'!C67,'19.10 MBARARA-MASAKA-24H'!C67)</f>
        <v>12.5</v>
      </c>
      <c r="D67" s="49">
        <f>AVERAGE('18.10 MBARARA-MASAKA-24H'!D67,'19.10 MBARARA-MASAKA-24H'!D67)</f>
        <v>6.5</v>
      </c>
      <c r="E67" s="49">
        <f>AVERAGE('18.10 MBARARA-MASAKA-24H'!E67,'19.10 MBARARA-MASAKA-24H'!E67)</f>
        <v>4</v>
      </c>
      <c r="F67" s="49">
        <f>AVERAGE('18.10 MBARARA-MASAKA-24H'!F67,'19.10 MBARARA-MASAKA-24H'!F67)</f>
        <v>3</v>
      </c>
      <c r="G67" s="49">
        <f>AVERAGE('18.10 MBARARA-MASAKA-24H'!G67,'19.10 MBARARA-MASAKA-24H'!G67)</f>
        <v>0</v>
      </c>
      <c r="H67" s="49">
        <f>AVERAGE('18.10 MBARARA-MASAKA-24H'!H67,'19.10 MBARARA-MASAKA-24H'!H67)</f>
        <v>2</v>
      </c>
      <c r="I67" s="49">
        <f>AVERAGE('18.10 MBARARA-MASAKA-24H'!I67,'19.10 MBARARA-MASAKA-24H'!I67)</f>
        <v>1</v>
      </c>
      <c r="J67" s="49">
        <f>AVERAGE('18.10 MBARARA-MASAKA-24H'!J67,'19.10 MBARARA-MASAKA-24H'!J67)</f>
        <v>6.5</v>
      </c>
      <c r="K67" s="49">
        <f>AVERAGE('18.10 MBARARA-MASAKA-24H'!K67,'19.10 MBARARA-MASAKA-24H'!K67)</f>
        <v>4</v>
      </c>
      <c r="L67" s="49">
        <f>AVERAGE('18.10 MBARARA-MASAKA-24H'!L67,'19.10 MBARARA-MASAKA-24H'!L67)</f>
        <v>0</v>
      </c>
      <c r="M67" s="49">
        <f>AVERAGE('18.10 MBARARA-MASAKA-24H'!M67,'19.10 MBARARA-MASAKA-24H'!M67)</f>
        <v>4</v>
      </c>
      <c r="N67" s="49">
        <f>AVERAGE('18.10 MBARARA-MASAKA-24H'!N67,'19.10 MBARARA-MASAKA-24H'!N67)</f>
        <v>0</v>
      </c>
      <c r="O67" s="15">
        <f t="shared" si="0"/>
        <v>39.5</v>
      </c>
      <c r="P67" s="15">
        <f t="shared" si="1"/>
        <v>43.5</v>
      </c>
      <c r="R67" s="8"/>
      <c r="T67"/>
    </row>
    <row r="68" spans="2:20" ht="23.1" customHeight="1" x14ac:dyDescent="0.25">
      <c r="B68" s="23" t="s">
        <v>105</v>
      </c>
      <c r="C68" s="49">
        <f>AVERAGE('18.10 MBARARA-MASAKA-24H'!C68,'19.10 MBARARA-MASAKA-24H'!C68)</f>
        <v>4.5</v>
      </c>
      <c r="D68" s="49">
        <f>AVERAGE('18.10 MBARARA-MASAKA-24H'!D68,'19.10 MBARARA-MASAKA-24H'!D68)</f>
        <v>1</v>
      </c>
      <c r="E68" s="49">
        <f>AVERAGE('18.10 MBARARA-MASAKA-24H'!E68,'19.10 MBARARA-MASAKA-24H'!E68)</f>
        <v>2.5</v>
      </c>
      <c r="F68" s="49">
        <f>AVERAGE('18.10 MBARARA-MASAKA-24H'!F68,'19.10 MBARARA-MASAKA-24H'!F68)</f>
        <v>1</v>
      </c>
      <c r="G68" s="49">
        <f>AVERAGE('18.10 MBARARA-MASAKA-24H'!G68,'19.10 MBARARA-MASAKA-24H'!G68)</f>
        <v>1</v>
      </c>
      <c r="H68" s="49">
        <f>AVERAGE('18.10 MBARARA-MASAKA-24H'!H68,'19.10 MBARARA-MASAKA-24H'!H68)</f>
        <v>0</v>
      </c>
      <c r="I68" s="49">
        <f>AVERAGE('18.10 MBARARA-MASAKA-24H'!I68,'19.10 MBARARA-MASAKA-24H'!I68)</f>
        <v>1</v>
      </c>
      <c r="J68" s="49">
        <f>AVERAGE('18.10 MBARARA-MASAKA-24H'!J68,'19.10 MBARARA-MASAKA-24H'!J68)</f>
        <v>4.5</v>
      </c>
      <c r="K68" s="49">
        <f>AVERAGE('18.10 MBARARA-MASAKA-24H'!K68,'19.10 MBARARA-MASAKA-24H'!K68)</f>
        <v>1.5</v>
      </c>
      <c r="L68" s="49">
        <f>AVERAGE('18.10 MBARARA-MASAKA-24H'!L68,'19.10 MBARARA-MASAKA-24H'!L68)</f>
        <v>0</v>
      </c>
      <c r="M68" s="49">
        <f>AVERAGE('18.10 MBARARA-MASAKA-24H'!M68,'19.10 MBARARA-MASAKA-24H'!M68)</f>
        <v>4.5</v>
      </c>
      <c r="N68" s="49">
        <f>AVERAGE('18.10 MBARARA-MASAKA-24H'!N68,'19.10 MBARARA-MASAKA-24H'!N68)</f>
        <v>0</v>
      </c>
      <c r="O68" s="15">
        <f t="shared" si="0"/>
        <v>17</v>
      </c>
      <c r="P68" s="15">
        <f t="shared" si="1"/>
        <v>21.5</v>
      </c>
      <c r="R68" s="8"/>
      <c r="T68"/>
    </row>
    <row r="69" spans="2:20" ht="23.1" customHeight="1" x14ac:dyDescent="0.25">
      <c r="B69" s="23" t="s">
        <v>106</v>
      </c>
      <c r="C69" s="49">
        <f>AVERAGE('18.10 MBARARA-MASAKA-24H'!C69,'19.10 MBARARA-MASAKA-24H'!C69)</f>
        <v>4.5</v>
      </c>
      <c r="D69" s="49">
        <f>AVERAGE('18.10 MBARARA-MASAKA-24H'!D69,'19.10 MBARARA-MASAKA-24H'!D69)</f>
        <v>2.5</v>
      </c>
      <c r="E69" s="49">
        <f>AVERAGE('18.10 MBARARA-MASAKA-24H'!E69,'19.10 MBARARA-MASAKA-24H'!E69)</f>
        <v>0.5</v>
      </c>
      <c r="F69" s="49">
        <f>AVERAGE('18.10 MBARARA-MASAKA-24H'!F69,'19.10 MBARARA-MASAKA-24H'!F69)</f>
        <v>3</v>
      </c>
      <c r="G69" s="49">
        <f>AVERAGE('18.10 MBARARA-MASAKA-24H'!G69,'19.10 MBARARA-MASAKA-24H'!G69)</f>
        <v>0.5</v>
      </c>
      <c r="H69" s="49">
        <f>AVERAGE('18.10 MBARARA-MASAKA-24H'!H69,'19.10 MBARARA-MASAKA-24H'!H69)</f>
        <v>1</v>
      </c>
      <c r="I69" s="49">
        <f>AVERAGE('18.10 MBARARA-MASAKA-24H'!I69,'19.10 MBARARA-MASAKA-24H'!I69)</f>
        <v>2.5</v>
      </c>
      <c r="J69" s="49">
        <f>AVERAGE('18.10 MBARARA-MASAKA-24H'!J69,'19.10 MBARARA-MASAKA-24H'!J69)</f>
        <v>8.5</v>
      </c>
      <c r="K69" s="49">
        <f>AVERAGE('18.10 MBARARA-MASAKA-24H'!K69,'19.10 MBARARA-MASAKA-24H'!K69)</f>
        <v>5</v>
      </c>
      <c r="L69" s="49">
        <f>AVERAGE('18.10 MBARARA-MASAKA-24H'!L69,'19.10 MBARARA-MASAKA-24H'!L69)</f>
        <v>0</v>
      </c>
      <c r="M69" s="49">
        <f>AVERAGE('18.10 MBARARA-MASAKA-24H'!M69,'19.10 MBARARA-MASAKA-24H'!M69)</f>
        <v>2.5</v>
      </c>
      <c r="N69" s="49">
        <f>AVERAGE('18.10 MBARARA-MASAKA-24H'!N69,'19.10 MBARARA-MASAKA-24H'!N69)</f>
        <v>0</v>
      </c>
      <c r="O69" s="15">
        <f t="shared" si="0"/>
        <v>28</v>
      </c>
      <c r="P69" s="15">
        <f t="shared" si="1"/>
        <v>30.5</v>
      </c>
      <c r="R69" s="8"/>
      <c r="T69"/>
    </row>
    <row r="70" spans="2:20" ht="23.1" customHeight="1" x14ac:dyDescent="0.25">
      <c r="B70" s="23" t="s">
        <v>110</v>
      </c>
      <c r="C70" s="49">
        <f>AVERAGE('18.10 MBARARA-MASAKA-24H'!C70,'19.10 MBARARA-MASAKA-24H'!C70)</f>
        <v>8</v>
      </c>
      <c r="D70" s="49">
        <f>AVERAGE('18.10 MBARARA-MASAKA-24H'!D70,'19.10 MBARARA-MASAKA-24H'!D70)</f>
        <v>3.5</v>
      </c>
      <c r="E70" s="49">
        <f>AVERAGE('18.10 MBARARA-MASAKA-24H'!E70,'19.10 MBARARA-MASAKA-24H'!E70)</f>
        <v>3.5</v>
      </c>
      <c r="F70" s="49">
        <f>AVERAGE('18.10 MBARARA-MASAKA-24H'!F70,'19.10 MBARARA-MASAKA-24H'!F70)</f>
        <v>0</v>
      </c>
      <c r="G70" s="49">
        <f>AVERAGE('18.10 MBARARA-MASAKA-24H'!G70,'19.10 MBARARA-MASAKA-24H'!G70)</f>
        <v>0.5</v>
      </c>
      <c r="H70" s="49">
        <f>AVERAGE('18.10 MBARARA-MASAKA-24H'!H70,'19.10 MBARARA-MASAKA-24H'!H70)</f>
        <v>0.5</v>
      </c>
      <c r="I70" s="49">
        <f>AVERAGE('18.10 MBARARA-MASAKA-24H'!I70,'19.10 MBARARA-MASAKA-24H'!I70)</f>
        <v>1</v>
      </c>
      <c r="J70" s="49">
        <f>AVERAGE('18.10 MBARARA-MASAKA-24H'!J70,'19.10 MBARARA-MASAKA-24H'!J70)</f>
        <v>3</v>
      </c>
      <c r="K70" s="49">
        <f>AVERAGE('18.10 MBARARA-MASAKA-24H'!K70,'19.10 MBARARA-MASAKA-24H'!K70)</f>
        <v>4</v>
      </c>
      <c r="L70" s="49">
        <f>AVERAGE('18.10 MBARARA-MASAKA-24H'!L70,'19.10 MBARARA-MASAKA-24H'!L70)</f>
        <v>0</v>
      </c>
      <c r="M70" s="49">
        <f>AVERAGE('18.10 MBARARA-MASAKA-24H'!M70,'19.10 MBARARA-MASAKA-24H'!M70)</f>
        <v>6</v>
      </c>
      <c r="N70" s="49">
        <f>AVERAGE('18.10 MBARARA-MASAKA-24H'!N70,'19.10 MBARARA-MASAKA-24H'!N70)</f>
        <v>0</v>
      </c>
      <c r="O70" s="15">
        <f t="shared" si="0"/>
        <v>24</v>
      </c>
      <c r="P70" s="15">
        <f t="shared" si="1"/>
        <v>30</v>
      </c>
      <c r="R70" s="8"/>
      <c r="T70"/>
    </row>
    <row r="71" spans="2:20" ht="23.1" customHeight="1" x14ac:dyDescent="0.25">
      <c r="B71" s="23" t="s">
        <v>111</v>
      </c>
      <c r="C71" s="49">
        <f>AVERAGE('18.10 MBARARA-MASAKA-24H'!C71,'19.10 MBARARA-MASAKA-24H'!C71)</f>
        <v>6.5</v>
      </c>
      <c r="D71" s="49">
        <f>AVERAGE('18.10 MBARARA-MASAKA-24H'!D71,'19.10 MBARARA-MASAKA-24H'!D71)</f>
        <v>1.5</v>
      </c>
      <c r="E71" s="49">
        <f>AVERAGE('18.10 MBARARA-MASAKA-24H'!E71,'19.10 MBARARA-MASAKA-24H'!E71)</f>
        <v>1</v>
      </c>
      <c r="F71" s="49">
        <f>AVERAGE('18.10 MBARARA-MASAKA-24H'!F71,'19.10 MBARARA-MASAKA-24H'!F71)</f>
        <v>0.5</v>
      </c>
      <c r="G71" s="49">
        <f>AVERAGE('18.10 MBARARA-MASAKA-24H'!G71,'19.10 MBARARA-MASAKA-24H'!G71)</f>
        <v>1</v>
      </c>
      <c r="H71" s="49">
        <f>AVERAGE('18.10 MBARARA-MASAKA-24H'!H71,'19.10 MBARARA-MASAKA-24H'!H71)</f>
        <v>0</v>
      </c>
      <c r="I71" s="49">
        <f>AVERAGE('18.10 MBARARA-MASAKA-24H'!I71,'19.10 MBARARA-MASAKA-24H'!I71)</f>
        <v>0.5</v>
      </c>
      <c r="J71" s="49">
        <f>AVERAGE('18.10 MBARARA-MASAKA-24H'!J71,'19.10 MBARARA-MASAKA-24H'!J71)</f>
        <v>7.5</v>
      </c>
      <c r="K71" s="49">
        <f>AVERAGE('18.10 MBARARA-MASAKA-24H'!K71,'19.10 MBARARA-MASAKA-24H'!K71)</f>
        <v>2</v>
      </c>
      <c r="L71" s="49">
        <f>AVERAGE('18.10 MBARARA-MASAKA-24H'!L71,'19.10 MBARARA-MASAKA-24H'!L71)</f>
        <v>0</v>
      </c>
      <c r="M71" s="49">
        <f>AVERAGE('18.10 MBARARA-MASAKA-24H'!M71,'19.10 MBARARA-MASAKA-24H'!M71)</f>
        <v>1</v>
      </c>
      <c r="N71" s="49">
        <f>AVERAGE('18.10 MBARARA-MASAKA-24H'!N71,'19.10 MBARARA-MASAKA-24H'!N71)</f>
        <v>0</v>
      </c>
      <c r="O71" s="15">
        <f t="shared" si="0"/>
        <v>20.5</v>
      </c>
      <c r="P71" s="15">
        <f t="shared" si="1"/>
        <v>21.5</v>
      </c>
      <c r="R71" s="8"/>
      <c r="T71"/>
    </row>
    <row r="72" spans="2:20" ht="23.1" customHeight="1" x14ac:dyDescent="0.25">
      <c r="B72" s="23" t="s">
        <v>112</v>
      </c>
      <c r="C72" s="49">
        <f>AVERAGE('18.10 MBARARA-MASAKA-24H'!C72,'19.10 MBARARA-MASAKA-24H'!C72)</f>
        <v>4</v>
      </c>
      <c r="D72" s="49">
        <f>AVERAGE('18.10 MBARARA-MASAKA-24H'!D72,'19.10 MBARARA-MASAKA-24H'!D72)</f>
        <v>1</v>
      </c>
      <c r="E72" s="49">
        <f>AVERAGE('18.10 MBARARA-MASAKA-24H'!E72,'19.10 MBARARA-MASAKA-24H'!E72)</f>
        <v>0</v>
      </c>
      <c r="F72" s="49">
        <f>AVERAGE('18.10 MBARARA-MASAKA-24H'!F72,'19.10 MBARARA-MASAKA-24H'!F72)</f>
        <v>1.5</v>
      </c>
      <c r="G72" s="49">
        <f>AVERAGE('18.10 MBARARA-MASAKA-24H'!G72,'19.10 MBARARA-MASAKA-24H'!G72)</f>
        <v>0</v>
      </c>
      <c r="H72" s="49">
        <f>AVERAGE('18.10 MBARARA-MASAKA-24H'!H72,'19.10 MBARARA-MASAKA-24H'!H72)</f>
        <v>2</v>
      </c>
      <c r="I72" s="49">
        <f>AVERAGE('18.10 MBARARA-MASAKA-24H'!I72,'19.10 MBARARA-MASAKA-24H'!I72)</f>
        <v>0</v>
      </c>
      <c r="J72" s="49">
        <f>AVERAGE('18.10 MBARARA-MASAKA-24H'!J72,'19.10 MBARARA-MASAKA-24H'!J72)</f>
        <v>5.5</v>
      </c>
      <c r="K72" s="49">
        <f>AVERAGE('18.10 MBARARA-MASAKA-24H'!K72,'19.10 MBARARA-MASAKA-24H'!K72)</f>
        <v>2</v>
      </c>
      <c r="L72" s="49">
        <f>AVERAGE('18.10 MBARARA-MASAKA-24H'!L72,'19.10 MBARARA-MASAKA-24H'!L72)</f>
        <v>0</v>
      </c>
      <c r="M72" s="49">
        <f>AVERAGE('18.10 MBARARA-MASAKA-24H'!M72,'19.10 MBARARA-MASAKA-24H'!M72)</f>
        <v>5.5</v>
      </c>
      <c r="N72" s="49">
        <f>AVERAGE('18.10 MBARARA-MASAKA-24H'!N72,'19.10 MBARARA-MASAKA-24H'!N72)</f>
        <v>0</v>
      </c>
      <c r="O72" s="15">
        <f t="shared" si="0"/>
        <v>16</v>
      </c>
      <c r="P72" s="15">
        <f t="shared" si="1"/>
        <v>21.5</v>
      </c>
      <c r="R72" s="8"/>
      <c r="T72"/>
    </row>
    <row r="73" spans="2:20" ht="23.1" customHeight="1" x14ac:dyDescent="0.25">
      <c r="B73" s="23" t="s">
        <v>113</v>
      </c>
      <c r="C73" s="49">
        <f>AVERAGE('18.10 MBARARA-MASAKA-24H'!C73,'19.10 MBARARA-MASAKA-24H'!C73)</f>
        <v>4</v>
      </c>
      <c r="D73" s="49">
        <f>AVERAGE('18.10 MBARARA-MASAKA-24H'!D73,'19.10 MBARARA-MASAKA-24H'!D73)</f>
        <v>1</v>
      </c>
      <c r="E73" s="49">
        <f>AVERAGE('18.10 MBARARA-MASAKA-24H'!E73,'19.10 MBARARA-MASAKA-24H'!E73)</f>
        <v>0.5</v>
      </c>
      <c r="F73" s="49">
        <f>AVERAGE('18.10 MBARARA-MASAKA-24H'!F73,'19.10 MBARARA-MASAKA-24H'!F73)</f>
        <v>2.5</v>
      </c>
      <c r="G73" s="49">
        <f>AVERAGE('18.10 MBARARA-MASAKA-24H'!G73,'19.10 MBARARA-MASAKA-24H'!G73)</f>
        <v>0.5</v>
      </c>
      <c r="H73" s="49">
        <f>AVERAGE('18.10 MBARARA-MASAKA-24H'!H73,'19.10 MBARARA-MASAKA-24H'!H73)</f>
        <v>0</v>
      </c>
      <c r="I73" s="49">
        <f>AVERAGE('18.10 MBARARA-MASAKA-24H'!I73,'19.10 MBARARA-MASAKA-24H'!I73)</f>
        <v>0.5</v>
      </c>
      <c r="J73" s="49">
        <f>AVERAGE('18.10 MBARARA-MASAKA-24H'!J73,'19.10 MBARARA-MASAKA-24H'!J73)</f>
        <v>4.5</v>
      </c>
      <c r="K73" s="49">
        <f>AVERAGE('18.10 MBARARA-MASAKA-24H'!K73,'19.10 MBARARA-MASAKA-24H'!K73)</f>
        <v>6</v>
      </c>
      <c r="L73" s="49">
        <f>AVERAGE('18.10 MBARARA-MASAKA-24H'!L73,'19.10 MBARARA-MASAKA-24H'!L73)</f>
        <v>0</v>
      </c>
      <c r="M73" s="49">
        <f>AVERAGE('18.10 MBARARA-MASAKA-24H'!M73,'19.10 MBARARA-MASAKA-24H'!M73)</f>
        <v>2.5</v>
      </c>
      <c r="N73" s="49">
        <f>AVERAGE('18.10 MBARARA-MASAKA-24H'!N73,'19.10 MBARARA-MASAKA-24H'!N73)</f>
        <v>0</v>
      </c>
      <c r="O73" s="15">
        <f t="shared" si="0"/>
        <v>19.5</v>
      </c>
      <c r="P73" s="15">
        <f t="shared" si="1"/>
        <v>22</v>
      </c>
      <c r="R73" s="8"/>
      <c r="T73"/>
    </row>
    <row r="74" spans="2:20" ht="23.1" customHeight="1" x14ac:dyDescent="0.25">
      <c r="B74" s="23" t="s">
        <v>114</v>
      </c>
      <c r="C74" s="49">
        <f>AVERAGE('18.10 MBARARA-MASAKA-24H'!C74,'19.10 MBARARA-MASAKA-24H'!C74)</f>
        <v>3</v>
      </c>
      <c r="D74" s="49">
        <f>AVERAGE('18.10 MBARARA-MASAKA-24H'!D74,'19.10 MBARARA-MASAKA-24H'!D74)</f>
        <v>2</v>
      </c>
      <c r="E74" s="49">
        <f>AVERAGE('18.10 MBARARA-MASAKA-24H'!E74,'19.10 MBARARA-MASAKA-24H'!E74)</f>
        <v>0</v>
      </c>
      <c r="F74" s="49">
        <f>AVERAGE('18.10 MBARARA-MASAKA-24H'!F74,'19.10 MBARARA-MASAKA-24H'!F74)</f>
        <v>1</v>
      </c>
      <c r="G74" s="49">
        <f>AVERAGE('18.10 MBARARA-MASAKA-24H'!G74,'19.10 MBARARA-MASAKA-24H'!G74)</f>
        <v>0</v>
      </c>
      <c r="H74" s="49">
        <f>AVERAGE('18.10 MBARARA-MASAKA-24H'!H74,'19.10 MBARARA-MASAKA-24H'!H74)</f>
        <v>1</v>
      </c>
      <c r="I74" s="49">
        <f>AVERAGE('18.10 MBARARA-MASAKA-24H'!I74,'19.10 MBARARA-MASAKA-24H'!I74)</f>
        <v>1</v>
      </c>
      <c r="J74" s="49">
        <f>AVERAGE('18.10 MBARARA-MASAKA-24H'!J74,'19.10 MBARARA-MASAKA-24H'!J74)</f>
        <v>9</v>
      </c>
      <c r="K74" s="49">
        <f>AVERAGE('18.10 MBARARA-MASAKA-24H'!K74,'19.10 MBARARA-MASAKA-24H'!K74)</f>
        <v>4.5</v>
      </c>
      <c r="L74" s="49">
        <f>AVERAGE('18.10 MBARARA-MASAKA-24H'!L74,'19.10 MBARARA-MASAKA-24H'!L74)</f>
        <v>0</v>
      </c>
      <c r="M74" s="49">
        <f>AVERAGE('18.10 MBARARA-MASAKA-24H'!M74,'19.10 MBARARA-MASAKA-24H'!M74)</f>
        <v>2.5</v>
      </c>
      <c r="N74" s="49">
        <f>AVERAGE('18.10 MBARARA-MASAKA-24H'!N74,'19.10 MBARARA-MASAKA-24H'!N74)</f>
        <v>0</v>
      </c>
      <c r="O74" s="15">
        <f t="shared" ref="O74:O105" si="35">SUM(C74:L74,N74)</f>
        <v>21.5</v>
      </c>
      <c r="P74" s="15">
        <f t="shared" ref="P74:P105" si="36">SUM(C74:N74)</f>
        <v>24</v>
      </c>
      <c r="R74" s="8"/>
      <c r="T74"/>
    </row>
    <row r="75" spans="2:20" ht="23.1" customHeight="1" x14ac:dyDescent="0.25">
      <c r="B75" s="23" t="s">
        <v>115</v>
      </c>
      <c r="C75" s="49">
        <f>AVERAGE('18.10 MBARARA-MASAKA-24H'!C75,'19.10 MBARARA-MASAKA-24H'!C75)</f>
        <v>5</v>
      </c>
      <c r="D75" s="49">
        <f>AVERAGE('18.10 MBARARA-MASAKA-24H'!D75,'19.10 MBARARA-MASAKA-24H'!D75)</f>
        <v>0.5</v>
      </c>
      <c r="E75" s="49">
        <f>AVERAGE('18.10 MBARARA-MASAKA-24H'!E75,'19.10 MBARARA-MASAKA-24H'!E75)</f>
        <v>0</v>
      </c>
      <c r="F75" s="49">
        <f>AVERAGE('18.10 MBARARA-MASAKA-24H'!F75,'19.10 MBARARA-MASAKA-24H'!F75)</f>
        <v>0</v>
      </c>
      <c r="G75" s="49">
        <f>AVERAGE('18.10 MBARARA-MASAKA-24H'!G75,'19.10 MBARARA-MASAKA-24H'!G75)</f>
        <v>0</v>
      </c>
      <c r="H75" s="49">
        <f>AVERAGE('18.10 MBARARA-MASAKA-24H'!H75,'19.10 MBARARA-MASAKA-24H'!H75)</f>
        <v>0</v>
      </c>
      <c r="I75" s="49">
        <f>AVERAGE('18.10 MBARARA-MASAKA-24H'!I75,'19.10 MBARARA-MASAKA-24H'!I75)</f>
        <v>1</v>
      </c>
      <c r="J75" s="49">
        <f>AVERAGE('18.10 MBARARA-MASAKA-24H'!J75,'19.10 MBARARA-MASAKA-24H'!J75)</f>
        <v>7</v>
      </c>
      <c r="K75" s="49">
        <f>AVERAGE('18.10 MBARARA-MASAKA-24H'!K75,'19.10 MBARARA-MASAKA-24H'!K75)</f>
        <v>5.5</v>
      </c>
      <c r="L75" s="49">
        <f>AVERAGE('18.10 MBARARA-MASAKA-24H'!L75,'19.10 MBARARA-MASAKA-24H'!L75)</f>
        <v>0</v>
      </c>
      <c r="M75" s="49">
        <f>AVERAGE('18.10 MBARARA-MASAKA-24H'!M75,'19.10 MBARARA-MASAKA-24H'!M75)</f>
        <v>2</v>
      </c>
      <c r="N75" s="49">
        <f>AVERAGE('18.10 MBARARA-MASAKA-24H'!N75,'19.10 MBARARA-MASAKA-24H'!N75)</f>
        <v>0</v>
      </c>
      <c r="O75" s="15">
        <f t="shared" si="35"/>
        <v>19</v>
      </c>
      <c r="P75" s="15">
        <f t="shared" si="36"/>
        <v>21</v>
      </c>
      <c r="R75" s="8"/>
      <c r="T75"/>
    </row>
    <row r="76" spans="2:20" ht="23.1" customHeight="1" x14ac:dyDescent="0.25">
      <c r="B76" s="23" t="s">
        <v>116</v>
      </c>
      <c r="C76" s="49">
        <f>AVERAGE('18.10 MBARARA-MASAKA-24H'!C76,'19.10 MBARARA-MASAKA-24H'!C76)</f>
        <v>5</v>
      </c>
      <c r="D76" s="49">
        <f>AVERAGE('18.10 MBARARA-MASAKA-24H'!D76,'19.10 MBARARA-MASAKA-24H'!D76)</f>
        <v>2</v>
      </c>
      <c r="E76" s="49">
        <f>AVERAGE('18.10 MBARARA-MASAKA-24H'!E76,'19.10 MBARARA-MASAKA-24H'!E76)</f>
        <v>0.5</v>
      </c>
      <c r="F76" s="49">
        <f>AVERAGE('18.10 MBARARA-MASAKA-24H'!F76,'19.10 MBARARA-MASAKA-24H'!F76)</f>
        <v>0.5</v>
      </c>
      <c r="G76" s="49">
        <f>AVERAGE('18.10 MBARARA-MASAKA-24H'!G76,'19.10 MBARARA-MASAKA-24H'!G76)</f>
        <v>0.5</v>
      </c>
      <c r="H76" s="49">
        <f>AVERAGE('18.10 MBARARA-MASAKA-24H'!H76,'19.10 MBARARA-MASAKA-24H'!H76)</f>
        <v>0.5</v>
      </c>
      <c r="I76" s="49">
        <f>AVERAGE('18.10 MBARARA-MASAKA-24H'!I76,'19.10 MBARARA-MASAKA-24H'!I76)</f>
        <v>0.5</v>
      </c>
      <c r="J76" s="49">
        <f>AVERAGE('18.10 MBARARA-MASAKA-24H'!J76,'19.10 MBARARA-MASAKA-24H'!J76)</f>
        <v>3</v>
      </c>
      <c r="K76" s="49">
        <f>AVERAGE('18.10 MBARARA-MASAKA-24H'!K76,'19.10 MBARARA-MASAKA-24H'!K76)</f>
        <v>4</v>
      </c>
      <c r="L76" s="49">
        <f>AVERAGE('18.10 MBARARA-MASAKA-24H'!L76,'19.10 MBARARA-MASAKA-24H'!L76)</f>
        <v>0.5</v>
      </c>
      <c r="M76" s="49">
        <f>AVERAGE('18.10 MBARARA-MASAKA-24H'!M76,'19.10 MBARARA-MASAKA-24H'!M76)</f>
        <v>1.5</v>
      </c>
      <c r="N76" s="49">
        <f>AVERAGE('18.10 MBARARA-MASAKA-24H'!N76,'19.10 MBARARA-MASAKA-24H'!N76)</f>
        <v>0</v>
      </c>
      <c r="O76" s="15">
        <f t="shared" si="35"/>
        <v>17</v>
      </c>
      <c r="P76" s="15">
        <f t="shared" si="36"/>
        <v>18.5</v>
      </c>
      <c r="R76" s="8"/>
      <c r="T76"/>
    </row>
    <row r="77" spans="2:20" ht="23.1" customHeight="1" x14ac:dyDescent="0.25">
      <c r="B77" s="23" t="s">
        <v>117</v>
      </c>
      <c r="C77" s="49">
        <f>AVERAGE('18.10 MBARARA-MASAKA-24H'!C77,'19.10 MBARARA-MASAKA-24H'!C77)</f>
        <v>5</v>
      </c>
      <c r="D77" s="49">
        <f>AVERAGE('18.10 MBARARA-MASAKA-24H'!D77,'19.10 MBARARA-MASAKA-24H'!D77)</f>
        <v>0</v>
      </c>
      <c r="E77" s="49">
        <f>AVERAGE('18.10 MBARARA-MASAKA-24H'!E77,'19.10 MBARARA-MASAKA-24H'!E77)</f>
        <v>0</v>
      </c>
      <c r="F77" s="49">
        <f>AVERAGE('18.10 MBARARA-MASAKA-24H'!F77,'19.10 MBARARA-MASAKA-24H'!F77)</f>
        <v>0.5</v>
      </c>
      <c r="G77" s="49">
        <f>AVERAGE('18.10 MBARARA-MASAKA-24H'!G77,'19.10 MBARARA-MASAKA-24H'!G77)</f>
        <v>0</v>
      </c>
      <c r="H77" s="49">
        <f>AVERAGE('18.10 MBARARA-MASAKA-24H'!H77,'19.10 MBARARA-MASAKA-24H'!H77)</f>
        <v>0.5</v>
      </c>
      <c r="I77" s="49">
        <f>AVERAGE('18.10 MBARARA-MASAKA-24H'!I77,'19.10 MBARARA-MASAKA-24H'!I77)</f>
        <v>0.5</v>
      </c>
      <c r="J77" s="49">
        <f>AVERAGE('18.10 MBARARA-MASAKA-24H'!J77,'19.10 MBARARA-MASAKA-24H'!J77)</f>
        <v>3.5</v>
      </c>
      <c r="K77" s="49">
        <f>AVERAGE('18.10 MBARARA-MASAKA-24H'!K77,'19.10 MBARARA-MASAKA-24H'!K77)</f>
        <v>3</v>
      </c>
      <c r="L77" s="49">
        <f>AVERAGE('18.10 MBARARA-MASAKA-24H'!L77,'19.10 MBARARA-MASAKA-24H'!L77)</f>
        <v>0</v>
      </c>
      <c r="M77" s="49">
        <f>AVERAGE('18.10 MBARARA-MASAKA-24H'!M77,'19.10 MBARARA-MASAKA-24H'!M77)</f>
        <v>0.5</v>
      </c>
      <c r="N77" s="49">
        <f>AVERAGE('18.10 MBARARA-MASAKA-24H'!N77,'19.10 MBARARA-MASAKA-24H'!N77)</f>
        <v>0</v>
      </c>
      <c r="O77" s="15">
        <f t="shared" si="35"/>
        <v>13</v>
      </c>
      <c r="P77" s="15">
        <f t="shared" si="36"/>
        <v>13.5</v>
      </c>
      <c r="R77" s="8"/>
      <c r="T77"/>
    </row>
    <row r="78" spans="2:20" ht="23.1" customHeight="1" x14ac:dyDescent="0.25">
      <c r="B78" s="24" t="s">
        <v>118</v>
      </c>
      <c r="C78" s="49">
        <f>AVERAGE('18.10 MBARARA-MASAKA-24H'!C78,'19.10 MBARARA-MASAKA-24H'!C78)</f>
        <v>1.5</v>
      </c>
      <c r="D78" s="49">
        <f>AVERAGE('18.10 MBARARA-MASAKA-24H'!D78,'19.10 MBARARA-MASAKA-24H'!D78)</f>
        <v>1</v>
      </c>
      <c r="E78" s="49">
        <f>AVERAGE('18.10 MBARARA-MASAKA-24H'!E78,'19.10 MBARARA-MASAKA-24H'!E78)</f>
        <v>1</v>
      </c>
      <c r="F78" s="49">
        <f>AVERAGE('18.10 MBARARA-MASAKA-24H'!F78,'19.10 MBARARA-MASAKA-24H'!F78)</f>
        <v>0</v>
      </c>
      <c r="G78" s="49">
        <f>AVERAGE('18.10 MBARARA-MASAKA-24H'!G78,'19.10 MBARARA-MASAKA-24H'!G78)</f>
        <v>0</v>
      </c>
      <c r="H78" s="49">
        <f>AVERAGE('18.10 MBARARA-MASAKA-24H'!H78,'19.10 MBARARA-MASAKA-24H'!H78)</f>
        <v>1.5</v>
      </c>
      <c r="I78" s="49">
        <f>AVERAGE('18.10 MBARARA-MASAKA-24H'!I78,'19.10 MBARARA-MASAKA-24H'!I78)</f>
        <v>2</v>
      </c>
      <c r="J78" s="49">
        <f>AVERAGE('18.10 MBARARA-MASAKA-24H'!J78,'19.10 MBARARA-MASAKA-24H'!J78)</f>
        <v>7.5</v>
      </c>
      <c r="K78" s="49">
        <f>AVERAGE('18.10 MBARARA-MASAKA-24H'!K78,'19.10 MBARARA-MASAKA-24H'!K78)</f>
        <v>2</v>
      </c>
      <c r="L78" s="49">
        <f>AVERAGE('18.10 MBARARA-MASAKA-24H'!L78,'19.10 MBARARA-MASAKA-24H'!L78)</f>
        <v>0</v>
      </c>
      <c r="M78" s="49">
        <f>AVERAGE('18.10 MBARARA-MASAKA-24H'!M78,'19.10 MBARARA-MASAKA-24H'!M78)</f>
        <v>0</v>
      </c>
      <c r="N78" s="49">
        <f>AVERAGE('18.10 MBARARA-MASAKA-24H'!N78,'19.10 MBARARA-MASAKA-24H'!N78)</f>
        <v>0</v>
      </c>
      <c r="O78" s="15">
        <f t="shared" si="35"/>
        <v>16.5</v>
      </c>
      <c r="P78" s="15">
        <f t="shared" si="36"/>
        <v>16.5</v>
      </c>
      <c r="R78" s="8"/>
      <c r="T78"/>
    </row>
    <row r="79" spans="2:20" ht="23.1" customHeight="1" x14ac:dyDescent="0.25">
      <c r="B79" s="23" t="s">
        <v>119</v>
      </c>
      <c r="C79" s="49">
        <f>AVERAGE('18.10 MBARARA-MASAKA-24H'!C79,'19.10 MBARARA-MASAKA-24H'!C79)</f>
        <v>0.5</v>
      </c>
      <c r="D79" s="49">
        <f>AVERAGE('18.10 MBARARA-MASAKA-24H'!D79,'19.10 MBARARA-MASAKA-24H'!D79)</f>
        <v>1</v>
      </c>
      <c r="E79" s="49">
        <f>AVERAGE('18.10 MBARARA-MASAKA-24H'!E79,'19.10 MBARARA-MASAKA-24H'!E79)</f>
        <v>0</v>
      </c>
      <c r="F79" s="49">
        <f>AVERAGE('18.10 MBARARA-MASAKA-24H'!F79,'19.10 MBARARA-MASAKA-24H'!F79)</f>
        <v>2</v>
      </c>
      <c r="G79" s="49">
        <f>AVERAGE('18.10 MBARARA-MASAKA-24H'!G79,'19.10 MBARARA-MASAKA-24H'!G79)</f>
        <v>0</v>
      </c>
      <c r="H79" s="49">
        <f>AVERAGE('18.10 MBARARA-MASAKA-24H'!H79,'19.10 MBARARA-MASAKA-24H'!H79)</f>
        <v>1</v>
      </c>
      <c r="I79" s="49">
        <f>AVERAGE('18.10 MBARARA-MASAKA-24H'!I79,'19.10 MBARARA-MASAKA-24H'!I79)</f>
        <v>1.5</v>
      </c>
      <c r="J79" s="49">
        <f>AVERAGE('18.10 MBARARA-MASAKA-24H'!J79,'19.10 MBARARA-MASAKA-24H'!J79)</f>
        <v>6.5</v>
      </c>
      <c r="K79" s="49">
        <f>AVERAGE('18.10 MBARARA-MASAKA-24H'!K79,'19.10 MBARARA-MASAKA-24H'!K79)</f>
        <v>2</v>
      </c>
      <c r="L79" s="49">
        <f>AVERAGE('18.10 MBARARA-MASAKA-24H'!L79,'19.10 MBARARA-MASAKA-24H'!L79)</f>
        <v>0</v>
      </c>
      <c r="M79" s="49">
        <f>AVERAGE('18.10 MBARARA-MASAKA-24H'!M79,'19.10 MBARARA-MASAKA-24H'!M79)</f>
        <v>0</v>
      </c>
      <c r="N79" s="49">
        <f>AVERAGE('18.10 MBARARA-MASAKA-24H'!N79,'19.10 MBARARA-MASAKA-24H'!N79)</f>
        <v>0</v>
      </c>
      <c r="O79" s="15">
        <f t="shared" si="35"/>
        <v>14.5</v>
      </c>
      <c r="P79" s="15">
        <f t="shared" si="36"/>
        <v>14.5</v>
      </c>
      <c r="R79" s="8"/>
      <c r="T79"/>
    </row>
    <row r="80" spans="2:20" ht="23.1" customHeight="1" x14ac:dyDescent="0.25">
      <c r="B80" s="25" t="s">
        <v>120</v>
      </c>
      <c r="C80" s="49">
        <f>AVERAGE('18.10 MBARARA-MASAKA-24H'!C80,'19.10 MBARARA-MASAKA-24H'!C80)</f>
        <v>2</v>
      </c>
      <c r="D80" s="49">
        <f>AVERAGE('18.10 MBARARA-MASAKA-24H'!D80,'19.10 MBARARA-MASAKA-24H'!D80)</f>
        <v>2.5</v>
      </c>
      <c r="E80" s="49">
        <f>AVERAGE('18.10 MBARARA-MASAKA-24H'!E80,'19.10 MBARARA-MASAKA-24H'!E80)</f>
        <v>1</v>
      </c>
      <c r="F80" s="49">
        <f>AVERAGE('18.10 MBARARA-MASAKA-24H'!F80,'19.10 MBARARA-MASAKA-24H'!F80)</f>
        <v>0</v>
      </c>
      <c r="G80" s="49">
        <f>AVERAGE('18.10 MBARARA-MASAKA-24H'!G80,'19.10 MBARARA-MASAKA-24H'!G80)</f>
        <v>0</v>
      </c>
      <c r="H80" s="49">
        <f>AVERAGE('18.10 MBARARA-MASAKA-24H'!H80,'19.10 MBARARA-MASAKA-24H'!H80)</f>
        <v>2.5</v>
      </c>
      <c r="I80" s="49">
        <f>AVERAGE('18.10 MBARARA-MASAKA-24H'!I80,'19.10 MBARARA-MASAKA-24H'!I80)</f>
        <v>0</v>
      </c>
      <c r="J80" s="49">
        <f>AVERAGE('18.10 MBARARA-MASAKA-24H'!J80,'19.10 MBARARA-MASAKA-24H'!J80)</f>
        <v>4.5</v>
      </c>
      <c r="K80" s="49">
        <f>AVERAGE('18.10 MBARARA-MASAKA-24H'!K80,'19.10 MBARARA-MASAKA-24H'!K80)</f>
        <v>1.5</v>
      </c>
      <c r="L80" s="49">
        <f>AVERAGE('18.10 MBARARA-MASAKA-24H'!L80,'19.10 MBARARA-MASAKA-24H'!L80)</f>
        <v>0</v>
      </c>
      <c r="M80" s="49">
        <f>AVERAGE('18.10 MBARARA-MASAKA-24H'!M80,'19.10 MBARARA-MASAKA-24H'!M80)</f>
        <v>0</v>
      </c>
      <c r="N80" s="49">
        <f>AVERAGE('18.10 MBARARA-MASAKA-24H'!N80,'19.10 MBARARA-MASAKA-24H'!N80)</f>
        <v>0</v>
      </c>
      <c r="O80" s="15">
        <f t="shared" si="35"/>
        <v>14</v>
      </c>
      <c r="P80" s="15">
        <f t="shared" si="36"/>
        <v>14</v>
      </c>
      <c r="R80" s="8"/>
      <c r="T80"/>
    </row>
    <row r="81" spans="2:20" ht="23.1" customHeight="1" x14ac:dyDescent="0.25">
      <c r="B81" s="23" t="s">
        <v>121</v>
      </c>
      <c r="C81" s="49">
        <f>AVERAGE('18.10 MBARARA-MASAKA-24H'!C81,'19.10 MBARARA-MASAKA-24H'!C81)</f>
        <v>2.5</v>
      </c>
      <c r="D81" s="49">
        <f>AVERAGE('18.10 MBARARA-MASAKA-24H'!D81,'19.10 MBARARA-MASAKA-24H'!D81)</f>
        <v>0</v>
      </c>
      <c r="E81" s="49">
        <f>AVERAGE('18.10 MBARARA-MASAKA-24H'!E81,'19.10 MBARARA-MASAKA-24H'!E81)</f>
        <v>0.5</v>
      </c>
      <c r="F81" s="49">
        <f>AVERAGE('18.10 MBARARA-MASAKA-24H'!F81,'19.10 MBARARA-MASAKA-24H'!F81)</f>
        <v>0</v>
      </c>
      <c r="G81" s="49">
        <f>AVERAGE('18.10 MBARARA-MASAKA-24H'!G81,'19.10 MBARARA-MASAKA-24H'!G81)</f>
        <v>0.5</v>
      </c>
      <c r="H81" s="49">
        <f>AVERAGE('18.10 MBARARA-MASAKA-24H'!H81,'19.10 MBARARA-MASAKA-24H'!H81)</f>
        <v>0</v>
      </c>
      <c r="I81" s="49">
        <f>AVERAGE('18.10 MBARARA-MASAKA-24H'!I81,'19.10 MBARARA-MASAKA-24H'!I81)</f>
        <v>0</v>
      </c>
      <c r="J81" s="49">
        <f>AVERAGE('18.10 MBARARA-MASAKA-24H'!J81,'19.10 MBARARA-MASAKA-24H'!J81)</f>
        <v>8.5</v>
      </c>
      <c r="K81" s="49">
        <f>AVERAGE('18.10 MBARARA-MASAKA-24H'!K81,'19.10 MBARARA-MASAKA-24H'!K81)</f>
        <v>3.5</v>
      </c>
      <c r="L81" s="49">
        <f>AVERAGE('18.10 MBARARA-MASAKA-24H'!L81,'19.10 MBARARA-MASAKA-24H'!L81)</f>
        <v>1</v>
      </c>
      <c r="M81" s="49">
        <f>AVERAGE('18.10 MBARARA-MASAKA-24H'!M81,'19.10 MBARARA-MASAKA-24H'!M81)</f>
        <v>0</v>
      </c>
      <c r="N81" s="49">
        <f>AVERAGE('18.10 MBARARA-MASAKA-24H'!N81,'19.10 MBARARA-MASAKA-24H'!N81)</f>
        <v>0</v>
      </c>
      <c r="O81" s="15">
        <f t="shared" si="35"/>
        <v>16.5</v>
      </c>
      <c r="P81" s="15">
        <f t="shared" si="36"/>
        <v>16.5</v>
      </c>
      <c r="R81" s="8"/>
      <c r="T81"/>
    </row>
    <row r="82" spans="2:20" ht="23.1" customHeight="1" x14ac:dyDescent="0.25">
      <c r="B82" s="24" t="s">
        <v>122</v>
      </c>
      <c r="C82" s="49">
        <f>AVERAGE('18.10 MBARARA-MASAKA-24H'!C82,'19.10 MBARARA-MASAKA-24H'!C82)</f>
        <v>1</v>
      </c>
      <c r="D82" s="49">
        <f>AVERAGE('18.10 MBARARA-MASAKA-24H'!D82,'19.10 MBARARA-MASAKA-24H'!D82)</f>
        <v>1.5</v>
      </c>
      <c r="E82" s="49">
        <f>AVERAGE('18.10 MBARARA-MASAKA-24H'!E82,'19.10 MBARARA-MASAKA-24H'!E82)</f>
        <v>0.5</v>
      </c>
      <c r="F82" s="49">
        <f>AVERAGE('18.10 MBARARA-MASAKA-24H'!F82,'19.10 MBARARA-MASAKA-24H'!F82)</f>
        <v>1</v>
      </c>
      <c r="G82" s="49">
        <f>AVERAGE('18.10 MBARARA-MASAKA-24H'!G82,'19.10 MBARARA-MASAKA-24H'!G82)</f>
        <v>0</v>
      </c>
      <c r="H82" s="49">
        <f>AVERAGE('18.10 MBARARA-MASAKA-24H'!H82,'19.10 MBARARA-MASAKA-24H'!H82)</f>
        <v>2.5</v>
      </c>
      <c r="I82" s="49">
        <f>AVERAGE('18.10 MBARARA-MASAKA-24H'!I82,'19.10 MBARARA-MASAKA-24H'!I82)</f>
        <v>1</v>
      </c>
      <c r="J82" s="49">
        <f>AVERAGE('18.10 MBARARA-MASAKA-24H'!J82,'19.10 MBARARA-MASAKA-24H'!J82)</f>
        <v>3.5</v>
      </c>
      <c r="K82" s="49">
        <f>AVERAGE('18.10 MBARARA-MASAKA-24H'!K82,'19.10 MBARARA-MASAKA-24H'!K82)</f>
        <v>1.5</v>
      </c>
      <c r="L82" s="49">
        <f>AVERAGE('18.10 MBARARA-MASAKA-24H'!L82,'19.10 MBARARA-MASAKA-24H'!L82)</f>
        <v>0.5</v>
      </c>
      <c r="M82" s="49">
        <f>AVERAGE('18.10 MBARARA-MASAKA-24H'!M82,'19.10 MBARARA-MASAKA-24H'!M82)</f>
        <v>1.5</v>
      </c>
      <c r="N82" s="49">
        <f>AVERAGE('18.10 MBARARA-MASAKA-24H'!N82,'19.10 MBARARA-MASAKA-24H'!N82)</f>
        <v>0</v>
      </c>
      <c r="O82" s="15">
        <f t="shared" si="35"/>
        <v>13</v>
      </c>
      <c r="P82" s="15">
        <f t="shared" si="36"/>
        <v>14.5</v>
      </c>
      <c r="R82" s="8"/>
      <c r="T82"/>
    </row>
    <row r="83" spans="2:20" ht="23.1" customHeight="1" x14ac:dyDescent="0.25">
      <c r="B83" s="23" t="s">
        <v>123</v>
      </c>
      <c r="C83" s="49">
        <f>AVERAGE('18.10 MBARARA-MASAKA-24H'!C83,'19.10 MBARARA-MASAKA-24H'!C83)</f>
        <v>2.5</v>
      </c>
      <c r="D83" s="49">
        <f>AVERAGE('18.10 MBARARA-MASAKA-24H'!D83,'19.10 MBARARA-MASAKA-24H'!D83)</f>
        <v>0</v>
      </c>
      <c r="E83" s="49">
        <f>AVERAGE('18.10 MBARARA-MASAKA-24H'!E83,'19.10 MBARARA-MASAKA-24H'!E83)</f>
        <v>1</v>
      </c>
      <c r="F83" s="49">
        <f>AVERAGE('18.10 MBARARA-MASAKA-24H'!F83,'19.10 MBARARA-MASAKA-24H'!F83)</f>
        <v>0.5</v>
      </c>
      <c r="G83" s="49">
        <f>AVERAGE('18.10 MBARARA-MASAKA-24H'!G83,'19.10 MBARARA-MASAKA-24H'!G83)</f>
        <v>0</v>
      </c>
      <c r="H83" s="49">
        <f>AVERAGE('18.10 MBARARA-MASAKA-24H'!H83,'19.10 MBARARA-MASAKA-24H'!H83)</f>
        <v>2.5</v>
      </c>
      <c r="I83" s="49">
        <f>AVERAGE('18.10 MBARARA-MASAKA-24H'!I83,'19.10 MBARARA-MASAKA-24H'!I83)</f>
        <v>0</v>
      </c>
      <c r="J83" s="49">
        <f>AVERAGE('18.10 MBARARA-MASAKA-24H'!J83,'19.10 MBARARA-MASAKA-24H'!J83)</f>
        <v>8</v>
      </c>
      <c r="K83" s="49">
        <f>AVERAGE('18.10 MBARARA-MASAKA-24H'!K83,'19.10 MBARARA-MASAKA-24H'!K83)</f>
        <v>0.5</v>
      </c>
      <c r="L83" s="49">
        <f>AVERAGE('18.10 MBARARA-MASAKA-24H'!L83,'19.10 MBARARA-MASAKA-24H'!L83)</f>
        <v>1.5</v>
      </c>
      <c r="M83" s="49">
        <f>AVERAGE('18.10 MBARARA-MASAKA-24H'!M83,'19.10 MBARARA-MASAKA-24H'!M83)</f>
        <v>1</v>
      </c>
      <c r="N83" s="49">
        <f>AVERAGE('18.10 MBARARA-MASAKA-24H'!N83,'19.10 MBARARA-MASAKA-24H'!N83)</f>
        <v>0</v>
      </c>
      <c r="O83" s="15">
        <f t="shared" si="35"/>
        <v>16.5</v>
      </c>
      <c r="P83" s="15">
        <f t="shared" si="36"/>
        <v>17.5</v>
      </c>
      <c r="R83" s="8"/>
      <c r="T83"/>
    </row>
    <row r="84" spans="2:20" ht="23.1" customHeight="1" x14ac:dyDescent="0.25">
      <c r="B84" s="25" t="s">
        <v>124</v>
      </c>
      <c r="C84" s="49">
        <f>AVERAGE('18.10 MBARARA-MASAKA-24H'!C84,'19.10 MBARARA-MASAKA-24H'!C84)</f>
        <v>1</v>
      </c>
      <c r="D84" s="49">
        <f>AVERAGE('18.10 MBARARA-MASAKA-24H'!D84,'19.10 MBARARA-MASAKA-24H'!D84)</f>
        <v>0</v>
      </c>
      <c r="E84" s="49">
        <f>AVERAGE('18.10 MBARARA-MASAKA-24H'!E84,'19.10 MBARARA-MASAKA-24H'!E84)</f>
        <v>0</v>
      </c>
      <c r="F84" s="49">
        <f>AVERAGE('18.10 MBARARA-MASAKA-24H'!F84,'19.10 MBARARA-MASAKA-24H'!F84)</f>
        <v>0</v>
      </c>
      <c r="G84" s="49">
        <f>AVERAGE('18.10 MBARARA-MASAKA-24H'!G84,'19.10 MBARARA-MASAKA-24H'!G84)</f>
        <v>0</v>
      </c>
      <c r="H84" s="49">
        <f>AVERAGE('18.10 MBARARA-MASAKA-24H'!H84,'19.10 MBARARA-MASAKA-24H'!H84)</f>
        <v>1.5</v>
      </c>
      <c r="I84" s="49">
        <f>AVERAGE('18.10 MBARARA-MASAKA-24H'!I84,'19.10 MBARARA-MASAKA-24H'!I84)</f>
        <v>1</v>
      </c>
      <c r="J84" s="49">
        <f>AVERAGE('18.10 MBARARA-MASAKA-24H'!J84,'19.10 MBARARA-MASAKA-24H'!J84)</f>
        <v>4</v>
      </c>
      <c r="K84" s="49">
        <f>AVERAGE('18.10 MBARARA-MASAKA-24H'!K84,'19.10 MBARARA-MASAKA-24H'!K84)</f>
        <v>0.5</v>
      </c>
      <c r="L84" s="49">
        <f>AVERAGE('18.10 MBARARA-MASAKA-24H'!L84,'19.10 MBARARA-MASAKA-24H'!L84)</f>
        <v>0</v>
      </c>
      <c r="M84" s="49">
        <f>AVERAGE('18.10 MBARARA-MASAKA-24H'!M84,'19.10 MBARARA-MASAKA-24H'!M84)</f>
        <v>0</v>
      </c>
      <c r="N84" s="49">
        <f>AVERAGE('18.10 MBARARA-MASAKA-24H'!N84,'19.10 MBARARA-MASAKA-24H'!N84)</f>
        <v>0</v>
      </c>
      <c r="O84" s="15">
        <f t="shared" si="35"/>
        <v>8</v>
      </c>
      <c r="P84" s="15">
        <f t="shared" si="36"/>
        <v>8</v>
      </c>
      <c r="R84" s="8"/>
      <c r="T84"/>
    </row>
    <row r="85" spans="2:20" ht="23.1" customHeight="1" x14ac:dyDescent="0.25">
      <c r="B85" s="23" t="s">
        <v>125</v>
      </c>
      <c r="C85" s="49">
        <f>AVERAGE('18.10 MBARARA-MASAKA-24H'!C85,'19.10 MBARARA-MASAKA-24H'!C85)</f>
        <v>1</v>
      </c>
      <c r="D85" s="49">
        <f>AVERAGE('18.10 MBARARA-MASAKA-24H'!D85,'19.10 MBARARA-MASAKA-24H'!D85)</f>
        <v>1</v>
      </c>
      <c r="E85" s="49">
        <f>AVERAGE('18.10 MBARARA-MASAKA-24H'!E85,'19.10 MBARARA-MASAKA-24H'!E85)</f>
        <v>0</v>
      </c>
      <c r="F85" s="49">
        <f>AVERAGE('18.10 MBARARA-MASAKA-24H'!F85,'19.10 MBARARA-MASAKA-24H'!F85)</f>
        <v>0</v>
      </c>
      <c r="G85" s="49">
        <f>AVERAGE('18.10 MBARARA-MASAKA-24H'!G85,'19.10 MBARARA-MASAKA-24H'!G85)</f>
        <v>0</v>
      </c>
      <c r="H85" s="49">
        <f>AVERAGE('18.10 MBARARA-MASAKA-24H'!H85,'19.10 MBARARA-MASAKA-24H'!H85)</f>
        <v>2</v>
      </c>
      <c r="I85" s="49">
        <f>AVERAGE('18.10 MBARARA-MASAKA-24H'!I85,'19.10 MBARARA-MASAKA-24H'!I85)</f>
        <v>0.5</v>
      </c>
      <c r="J85" s="49">
        <f>AVERAGE('18.10 MBARARA-MASAKA-24H'!J85,'19.10 MBARARA-MASAKA-24H'!J85)</f>
        <v>4.5</v>
      </c>
      <c r="K85" s="49">
        <f>AVERAGE('18.10 MBARARA-MASAKA-24H'!K85,'19.10 MBARARA-MASAKA-24H'!K85)</f>
        <v>1</v>
      </c>
      <c r="L85" s="49">
        <f>AVERAGE('18.10 MBARARA-MASAKA-24H'!L85,'19.10 MBARARA-MASAKA-24H'!L85)</f>
        <v>0</v>
      </c>
      <c r="M85" s="49">
        <f>AVERAGE('18.10 MBARARA-MASAKA-24H'!M85,'19.10 MBARARA-MASAKA-24H'!M85)</f>
        <v>0</v>
      </c>
      <c r="N85" s="49">
        <f>AVERAGE('18.10 MBARARA-MASAKA-24H'!N85,'19.10 MBARARA-MASAKA-24H'!N85)</f>
        <v>0</v>
      </c>
      <c r="O85" s="15">
        <f t="shared" si="35"/>
        <v>10</v>
      </c>
      <c r="P85" s="15">
        <f t="shared" si="36"/>
        <v>10</v>
      </c>
      <c r="R85" s="8"/>
      <c r="T85"/>
    </row>
    <row r="86" spans="2:20" ht="23.1" customHeight="1" x14ac:dyDescent="0.25">
      <c r="B86" s="24" t="s">
        <v>126</v>
      </c>
      <c r="C86" s="49">
        <f>AVERAGE('18.10 MBARARA-MASAKA-24H'!C86,'19.10 MBARARA-MASAKA-24H'!C86)</f>
        <v>2</v>
      </c>
      <c r="D86" s="49">
        <f>AVERAGE('18.10 MBARARA-MASAKA-24H'!D86,'19.10 MBARARA-MASAKA-24H'!D86)</f>
        <v>1.5</v>
      </c>
      <c r="E86" s="49">
        <f>AVERAGE('18.10 MBARARA-MASAKA-24H'!E86,'19.10 MBARARA-MASAKA-24H'!E86)</f>
        <v>1</v>
      </c>
      <c r="F86" s="49">
        <f>AVERAGE('18.10 MBARARA-MASAKA-24H'!F86,'19.10 MBARARA-MASAKA-24H'!F86)</f>
        <v>0.5</v>
      </c>
      <c r="G86" s="49">
        <f>AVERAGE('18.10 MBARARA-MASAKA-24H'!G86,'19.10 MBARARA-MASAKA-24H'!G86)</f>
        <v>0</v>
      </c>
      <c r="H86" s="49">
        <f>AVERAGE('18.10 MBARARA-MASAKA-24H'!H86,'19.10 MBARARA-MASAKA-24H'!H86)</f>
        <v>2.5</v>
      </c>
      <c r="I86" s="49">
        <f>AVERAGE('18.10 MBARARA-MASAKA-24H'!I86,'19.10 MBARARA-MASAKA-24H'!I86)</f>
        <v>0.5</v>
      </c>
      <c r="J86" s="49">
        <f>AVERAGE('18.10 MBARARA-MASAKA-24H'!J86,'19.10 MBARARA-MASAKA-24H'!J86)</f>
        <v>4.5</v>
      </c>
      <c r="K86" s="49">
        <f>AVERAGE('18.10 MBARARA-MASAKA-24H'!K86,'19.10 MBARARA-MASAKA-24H'!K86)</f>
        <v>0</v>
      </c>
      <c r="L86" s="49">
        <f>AVERAGE('18.10 MBARARA-MASAKA-24H'!L86,'19.10 MBARARA-MASAKA-24H'!L86)</f>
        <v>0</v>
      </c>
      <c r="M86" s="49">
        <f>AVERAGE('18.10 MBARARA-MASAKA-24H'!M86,'19.10 MBARARA-MASAKA-24H'!M86)</f>
        <v>1</v>
      </c>
      <c r="N86" s="49">
        <f>AVERAGE('18.10 MBARARA-MASAKA-24H'!N86,'19.10 MBARARA-MASAKA-24H'!N86)</f>
        <v>0</v>
      </c>
      <c r="O86" s="15">
        <f t="shared" si="35"/>
        <v>12.5</v>
      </c>
      <c r="P86" s="15">
        <f t="shared" si="36"/>
        <v>13.5</v>
      </c>
      <c r="R86" s="8"/>
      <c r="T86"/>
    </row>
    <row r="87" spans="2:20" ht="23.1" customHeight="1" x14ac:dyDescent="0.25">
      <c r="B87" s="23" t="s">
        <v>127</v>
      </c>
      <c r="C87" s="49">
        <f>AVERAGE('18.10 MBARARA-MASAKA-24H'!C87,'19.10 MBARARA-MASAKA-24H'!C87)</f>
        <v>2</v>
      </c>
      <c r="D87" s="49">
        <f>AVERAGE('18.10 MBARARA-MASAKA-24H'!D87,'19.10 MBARARA-MASAKA-24H'!D87)</f>
        <v>0</v>
      </c>
      <c r="E87" s="49">
        <f>AVERAGE('18.10 MBARARA-MASAKA-24H'!E87,'19.10 MBARARA-MASAKA-24H'!E87)</f>
        <v>1</v>
      </c>
      <c r="F87" s="49">
        <f>AVERAGE('18.10 MBARARA-MASAKA-24H'!F87,'19.10 MBARARA-MASAKA-24H'!F87)</f>
        <v>0</v>
      </c>
      <c r="G87" s="49">
        <f>AVERAGE('18.10 MBARARA-MASAKA-24H'!G87,'19.10 MBARARA-MASAKA-24H'!G87)</f>
        <v>0</v>
      </c>
      <c r="H87" s="49">
        <f>AVERAGE('18.10 MBARARA-MASAKA-24H'!H87,'19.10 MBARARA-MASAKA-24H'!H87)</f>
        <v>1</v>
      </c>
      <c r="I87" s="49">
        <f>AVERAGE('18.10 MBARARA-MASAKA-24H'!I87,'19.10 MBARARA-MASAKA-24H'!I87)</f>
        <v>2</v>
      </c>
      <c r="J87" s="49">
        <f>AVERAGE('18.10 MBARARA-MASAKA-24H'!J87,'19.10 MBARARA-MASAKA-24H'!J87)</f>
        <v>7</v>
      </c>
      <c r="K87" s="49">
        <f>AVERAGE('18.10 MBARARA-MASAKA-24H'!K87,'19.10 MBARARA-MASAKA-24H'!K87)</f>
        <v>0</v>
      </c>
      <c r="L87" s="49">
        <f>AVERAGE('18.10 MBARARA-MASAKA-24H'!L87,'19.10 MBARARA-MASAKA-24H'!L87)</f>
        <v>0.5</v>
      </c>
      <c r="M87" s="49">
        <f>AVERAGE('18.10 MBARARA-MASAKA-24H'!M87,'19.10 MBARARA-MASAKA-24H'!M87)</f>
        <v>0</v>
      </c>
      <c r="N87" s="49">
        <f>AVERAGE('18.10 MBARARA-MASAKA-24H'!N87,'19.10 MBARARA-MASAKA-24H'!N87)</f>
        <v>0</v>
      </c>
      <c r="O87" s="15">
        <f t="shared" si="35"/>
        <v>13.5</v>
      </c>
      <c r="P87" s="15">
        <f t="shared" si="36"/>
        <v>13.5</v>
      </c>
      <c r="R87" s="8"/>
      <c r="T87"/>
    </row>
    <row r="88" spans="2:20" ht="23.1" customHeight="1" x14ac:dyDescent="0.25">
      <c r="B88" s="25" t="s">
        <v>128</v>
      </c>
      <c r="C88" s="49">
        <f>AVERAGE('18.10 MBARARA-MASAKA-24H'!C88,'19.10 MBARARA-MASAKA-24H'!C88)</f>
        <v>1</v>
      </c>
      <c r="D88" s="49">
        <f>AVERAGE('18.10 MBARARA-MASAKA-24H'!D88,'19.10 MBARARA-MASAKA-24H'!D88)</f>
        <v>0</v>
      </c>
      <c r="E88" s="49">
        <f>AVERAGE('18.10 MBARARA-MASAKA-24H'!E88,'19.10 MBARARA-MASAKA-24H'!E88)</f>
        <v>0</v>
      </c>
      <c r="F88" s="49">
        <f>AVERAGE('18.10 MBARARA-MASAKA-24H'!F88,'19.10 MBARARA-MASAKA-24H'!F88)</f>
        <v>0.5</v>
      </c>
      <c r="G88" s="49">
        <f>AVERAGE('18.10 MBARARA-MASAKA-24H'!G88,'19.10 MBARARA-MASAKA-24H'!G88)</f>
        <v>1</v>
      </c>
      <c r="H88" s="49">
        <f>AVERAGE('18.10 MBARARA-MASAKA-24H'!H88,'19.10 MBARARA-MASAKA-24H'!H88)</f>
        <v>2.5</v>
      </c>
      <c r="I88" s="49">
        <f>AVERAGE('18.10 MBARARA-MASAKA-24H'!I88,'19.10 MBARARA-MASAKA-24H'!I88)</f>
        <v>3</v>
      </c>
      <c r="J88" s="49">
        <f>AVERAGE('18.10 MBARARA-MASAKA-24H'!J88,'19.10 MBARARA-MASAKA-24H'!J88)</f>
        <v>5</v>
      </c>
      <c r="K88" s="49">
        <f>AVERAGE('18.10 MBARARA-MASAKA-24H'!K88,'19.10 MBARARA-MASAKA-24H'!K88)</f>
        <v>1</v>
      </c>
      <c r="L88" s="49">
        <f>AVERAGE('18.10 MBARARA-MASAKA-24H'!L88,'19.10 MBARARA-MASAKA-24H'!L88)</f>
        <v>0</v>
      </c>
      <c r="M88" s="49">
        <f>AVERAGE('18.10 MBARARA-MASAKA-24H'!M88,'19.10 MBARARA-MASAKA-24H'!M88)</f>
        <v>0</v>
      </c>
      <c r="N88" s="49">
        <f>AVERAGE('18.10 MBARARA-MASAKA-24H'!N88,'19.10 MBARARA-MASAKA-24H'!N88)</f>
        <v>0</v>
      </c>
      <c r="O88" s="15">
        <f t="shared" si="35"/>
        <v>14</v>
      </c>
      <c r="P88" s="15">
        <f t="shared" si="36"/>
        <v>14</v>
      </c>
      <c r="R88" s="8"/>
      <c r="T88"/>
    </row>
    <row r="89" spans="2:20" ht="23.1" customHeight="1" x14ac:dyDescent="0.25">
      <c r="B89" s="23" t="s">
        <v>129</v>
      </c>
      <c r="C89" s="49">
        <f>AVERAGE('18.10 MBARARA-MASAKA-24H'!C89,'19.10 MBARARA-MASAKA-24H'!C89)</f>
        <v>1.5</v>
      </c>
      <c r="D89" s="49">
        <f>AVERAGE('18.10 MBARARA-MASAKA-24H'!D89,'19.10 MBARARA-MASAKA-24H'!D89)</f>
        <v>0</v>
      </c>
      <c r="E89" s="49">
        <f>AVERAGE('18.10 MBARARA-MASAKA-24H'!E89,'19.10 MBARARA-MASAKA-24H'!E89)</f>
        <v>0</v>
      </c>
      <c r="F89" s="49">
        <f>AVERAGE('18.10 MBARARA-MASAKA-24H'!F89,'19.10 MBARARA-MASAKA-24H'!F89)</f>
        <v>0</v>
      </c>
      <c r="G89" s="49">
        <f>AVERAGE('18.10 MBARARA-MASAKA-24H'!G89,'19.10 MBARARA-MASAKA-24H'!G89)</f>
        <v>1.5</v>
      </c>
      <c r="H89" s="49">
        <f>AVERAGE('18.10 MBARARA-MASAKA-24H'!H89,'19.10 MBARARA-MASAKA-24H'!H89)</f>
        <v>0.5</v>
      </c>
      <c r="I89" s="49">
        <f>AVERAGE('18.10 MBARARA-MASAKA-24H'!I89,'19.10 MBARARA-MASAKA-24H'!I89)</f>
        <v>3.5</v>
      </c>
      <c r="J89" s="49">
        <f>AVERAGE('18.10 MBARARA-MASAKA-24H'!J89,'19.10 MBARARA-MASAKA-24H'!J89)</f>
        <v>0.5</v>
      </c>
      <c r="K89" s="49">
        <f>AVERAGE('18.10 MBARARA-MASAKA-24H'!K89,'19.10 MBARARA-MASAKA-24H'!K89)</f>
        <v>0</v>
      </c>
      <c r="L89" s="49">
        <f>AVERAGE('18.10 MBARARA-MASAKA-24H'!L89,'19.10 MBARARA-MASAKA-24H'!L89)</f>
        <v>0.5</v>
      </c>
      <c r="M89" s="49">
        <f>AVERAGE('18.10 MBARARA-MASAKA-24H'!M89,'19.10 MBARARA-MASAKA-24H'!M89)</f>
        <v>0.5</v>
      </c>
      <c r="N89" s="49">
        <f>AVERAGE('18.10 MBARARA-MASAKA-24H'!N89,'19.10 MBARARA-MASAKA-24H'!N89)</f>
        <v>0</v>
      </c>
      <c r="O89" s="15">
        <f t="shared" si="35"/>
        <v>8</v>
      </c>
      <c r="P89" s="15">
        <f t="shared" si="36"/>
        <v>8.5</v>
      </c>
      <c r="R89" s="8"/>
      <c r="T89"/>
    </row>
    <row r="90" spans="2:20" ht="23.1" customHeight="1" x14ac:dyDescent="0.25">
      <c r="B90" s="24" t="s">
        <v>130</v>
      </c>
      <c r="C90" s="49">
        <f>AVERAGE('18.10 MBARARA-MASAKA-24H'!C90,'19.10 MBARARA-MASAKA-24H'!C90)</f>
        <v>3</v>
      </c>
      <c r="D90" s="49">
        <f>AVERAGE('18.10 MBARARA-MASAKA-24H'!D90,'19.10 MBARARA-MASAKA-24H'!D90)</f>
        <v>1</v>
      </c>
      <c r="E90" s="49">
        <f>AVERAGE('18.10 MBARARA-MASAKA-24H'!E90,'19.10 MBARARA-MASAKA-24H'!E90)</f>
        <v>0</v>
      </c>
      <c r="F90" s="49">
        <f>AVERAGE('18.10 MBARARA-MASAKA-24H'!F90,'19.10 MBARARA-MASAKA-24H'!F90)</f>
        <v>0.5</v>
      </c>
      <c r="G90" s="49">
        <f>AVERAGE('18.10 MBARARA-MASAKA-24H'!G90,'19.10 MBARARA-MASAKA-24H'!G90)</f>
        <v>0</v>
      </c>
      <c r="H90" s="49">
        <f>AVERAGE('18.10 MBARARA-MASAKA-24H'!H90,'19.10 MBARARA-MASAKA-24H'!H90)</f>
        <v>3</v>
      </c>
      <c r="I90" s="49">
        <f>AVERAGE('18.10 MBARARA-MASAKA-24H'!I90,'19.10 MBARARA-MASAKA-24H'!I90)</f>
        <v>0</v>
      </c>
      <c r="J90" s="49">
        <f>AVERAGE('18.10 MBARARA-MASAKA-24H'!J90,'19.10 MBARARA-MASAKA-24H'!J90)</f>
        <v>3</v>
      </c>
      <c r="K90" s="49">
        <f>AVERAGE('18.10 MBARARA-MASAKA-24H'!K90,'19.10 MBARARA-MASAKA-24H'!K90)</f>
        <v>0.5</v>
      </c>
      <c r="L90" s="49">
        <f>AVERAGE('18.10 MBARARA-MASAKA-24H'!L90,'19.10 MBARARA-MASAKA-24H'!L90)</f>
        <v>0</v>
      </c>
      <c r="M90" s="49">
        <f>AVERAGE('18.10 MBARARA-MASAKA-24H'!M90,'19.10 MBARARA-MASAKA-24H'!M90)</f>
        <v>0</v>
      </c>
      <c r="N90" s="49">
        <f>AVERAGE('18.10 MBARARA-MASAKA-24H'!N90,'19.10 MBARARA-MASAKA-24H'!N90)</f>
        <v>0</v>
      </c>
      <c r="O90" s="15">
        <f t="shared" si="35"/>
        <v>11</v>
      </c>
      <c r="P90" s="15">
        <f t="shared" si="36"/>
        <v>11</v>
      </c>
      <c r="R90" s="8"/>
      <c r="T90"/>
    </row>
    <row r="91" spans="2:20" ht="23.1" customHeight="1" x14ac:dyDescent="0.25">
      <c r="B91" s="23" t="s">
        <v>131</v>
      </c>
      <c r="C91" s="49">
        <f>AVERAGE('18.10 MBARARA-MASAKA-24H'!C91,'19.10 MBARARA-MASAKA-24H'!C91)</f>
        <v>2</v>
      </c>
      <c r="D91" s="49">
        <f>AVERAGE('18.10 MBARARA-MASAKA-24H'!D91,'19.10 MBARARA-MASAKA-24H'!D91)</f>
        <v>0.5</v>
      </c>
      <c r="E91" s="49">
        <f>AVERAGE('18.10 MBARARA-MASAKA-24H'!E91,'19.10 MBARARA-MASAKA-24H'!E91)</f>
        <v>0</v>
      </c>
      <c r="F91" s="49">
        <f>AVERAGE('18.10 MBARARA-MASAKA-24H'!F91,'19.10 MBARARA-MASAKA-24H'!F91)</f>
        <v>0</v>
      </c>
      <c r="G91" s="49">
        <f>AVERAGE('18.10 MBARARA-MASAKA-24H'!G91,'19.10 MBARARA-MASAKA-24H'!G91)</f>
        <v>0</v>
      </c>
      <c r="H91" s="49">
        <f>AVERAGE('18.10 MBARARA-MASAKA-24H'!H91,'19.10 MBARARA-MASAKA-24H'!H91)</f>
        <v>0.5</v>
      </c>
      <c r="I91" s="49">
        <f>AVERAGE('18.10 MBARARA-MASAKA-24H'!I91,'19.10 MBARARA-MASAKA-24H'!I91)</f>
        <v>0.5</v>
      </c>
      <c r="J91" s="49">
        <f>AVERAGE('18.10 MBARARA-MASAKA-24H'!J91,'19.10 MBARARA-MASAKA-24H'!J91)</f>
        <v>3.5</v>
      </c>
      <c r="K91" s="49">
        <f>AVERAGE('18.10 MBARARA-MASAKA-24H'!K91,'19.10 MBARARA-MASAKA-24H'!K91)</f>
        <v>1</v>
      </c>
      <c r="L91" s="49">
        <f>AVERAGE('18.10 MBARARA-MASAKA-24H'!L91,'19.10 MBARARA-MASAKA-24H'!L91)</f>
        <v>0</v>
      </c>
      <c r="M91" s="49">
        <f>AVERAGE('18.10 MBARARA-MASAKA-24H'!M91,'19.10 MBARARA-MASAKA-24H'!M91)</f>
        <v>0</v>
      </c>
      <c r="N91" s="49">
        <f>AVERAGE('18.10 MBARARA-MASAKA-24H'!N91,'19.10 MBARARA-MASAKA-24H'!N91)</f>
        <v>0</v>
      </c>
      <c r="O91" s="15">
        <f t="shared" si="35"/>
        <v>8</v>
      </c>
      <c r="P91" s="15">
        <f t="shared" si="36"/>
        <v>8</v>
      </c>
      <c r="R91" s="8"/>
      <c r="T91"/>
    </row>
    <row r="92" spans="2:20" ht="23.1" customHeight="1" x14ac:dyDescent="0.25">
      <c r="B92" s="25" t="s">
        <v>132</v>
      </c>
      <c r="C92" s="49">
        <f>AVERAGE('18.10 MBARARA-MASAKA-24H'!C92,'19.10 MBARARA-MASAKA-24H'!C92)</f>
        <v>1.5</v>
      </c>
      <c r="D92" s="49">
        <f>AVERAGE('18.10 MBARARA-MASAKA-24H'!D92,'19.10 MBARARA-MASAKA-24H'!D92)</f>
        <v>0.5</v>
      </c>
      <c r="E92" s="49">
        <f>AVERAGE('18.10 MBARARA-MASAKA-24H'!E92,'19.10 MBARARA-MASAKA-24H'!E92)</f>
        <v>0</v>
      </c>
      <c r="F92" s="49">
        <f>AVERAGE('18.10 MBARARA-MASAKA-24H'!F92,'19.10 MBARARA-MASAKA-24H'!F92)</f>
        <v>0</v>
      </c>
      <c r="G92" s="49">
        <f>AVERAGE('18.10 MBARARA-MASAKA-24H'!G92,'19.10 MBARARA-MASAKA-24H'!G92)</f>
        <v>0</v>
      </c>
      <c r="H92" s="49">
        <f>AVERAGE('18.10 MBARARA-MASAKA-24H'!H92,'19.10 MBARARA-MASAKA-24H'!H92)</f>
        <v>1.5</v>
      </c>
      <c r="I92" s="49">
        <f>AVERAGE('18.10 MBARARA-MASAKA-24H'!I92,'19.10 MBARARA-MASAKA-24H'!I92)</f>
        <v>0</v>
      </c>
      <c r="J92" s="49">
        <f>AVERAGE('18.10 MBARARA-MASAKA-24H'!J92,'19.10 MBARARA-MASAKA-24H'!J92)</f>
        <v>2</v>
      </c>
      <c r="K92" s="49">
        <f>AVERAGE('18.10 MBARARA-MASAKA-24H'!K92,'19.10 MBARARA-MASAKA-24H'!K92)</f>
        <v>0.5</v>
      </c>
      <c r="L92" s="49">
        <f>AVERAGE('18.10 MBARARA-MASAKA-24H'!L92,'19.10 MBARARA-MASAKA-24H'!L92)</f>
        <v>0.5</v>
      </c>
      <c r="M92" s="49">
        <f>AVERAGE('18.10 MBARARA-MASAKA-24H'!M92,'19.10 MBARARA-MASAKA-24H'!M92)</f>
        <v>0</v>
      </c>
      <c r="N92" s="49">
        <f>AVERAGE('18.10 MBARARA-MASAKA-24H'!N92,'19.10 MBARARA-MASAKA-24H'!N92)</f>
        <v>0</v>
      </c>
      <c r="O92" s="15">
        <f t="shared" si="35"/>
        <v>6.5</v>
      </c>
      <c r="P92" s="15">
        <f t="shared" si="36"/>
        <v>6.5</v>
      </c>
      <c r="R92" s="8"/>
      <c r="T92"/>
    </row>
    <row r="93" spans="2:20" ht="23.1" customHeight="1" x14ac:dyDescent="0.25">
      <c r="B93" s="23" t="s">
        <v>133</v>
      </c>
      <c r="C93" s="49">
        <f>AVERAGE('18.10 MBARARA-MASAKA-24H'!C93,'19.10 MBARARA-MASAKA-24H'!C93)</f>
        <v>2</v>
      </c>
      <c r="D93" s="49">
        <f>AVERAGE('18.10 MBARARA-MASAKA-24H'!D93,'19.10 MBARARA-MASAKA-24H'!D93)</f>
        <v>0.5</v>
      </c>
      <c r="E93" s="49">
        <f>AVERAGE('18.10 MBARARA-MASAKA-24H'!E93,'19.10 MBARARA-MASAKA-24H'!E93)</f>
        <v>0</v>
      </c>
      <c r="F93" s="49">
        <f>AVERAGE('18.10 MBARARA-MASAKA-24H'!F93,'19.10 MBARARA-MASAKA-24H'!F93)</f>
        <v>1.5</v>
      </c>
      <c r="G93" s="49">
        <f>AVERAGE('18.10 MBARARA-MASAKA-24H'!G93,'19.10 MBARARA-MASAKA-24H'!G93)</f>
        <v>0.5</v>
      </c>
      <c r="H93" s="49">
        <f>AVERAGE('18.10 MBARARA-MASAKA-24H'!H93,'19.10 MBARARA-MASAKA-24H'!H93)</f>
        <v>1.5</v>
      </c>
      <c r="I93" s="49">
        <f>AVERAGE('18.10 MBARARA-MASAKA-24H'!I93,'19.10 MBARARA-MASAKA-24H'!I93)</f>
        <v>0</v>
      </c>
      <c r="J93" s="49">
        <f>AVERAGE('18.10 MBARARA-MASAKA-24H'!J93,'19.10 MBARARA-MASAKA-24H'!J93)</f>
        <v>4</v>
      </c>
      <c r="K93" s="49">
        <f>AVERAGE('18.10 MBARARA-MASAKA-24H'!K93,'19.10 MBARARA-MASAKA-24H'!K93)</f>
        <v>1</v>
      </c>
      <c r="L93" s="49">
        <f>AVERAGE('18.10 MBARARA-MASAKA-24H'!L93,'19.10 MBARARA-MASAKA-24H'!L93)</f>
        <v>0</v>
      </c>
      <c r="M93" s="49">
        <f>AVERAGE('18.10 MBARARA-MASAKA-24H'!M93,'19.10 MBARARA-MASAKA-24H'!M93)</f>
        <v>0</v>
      </c>
      <c r="N93" s="49">
        <f>AVERAGE('18.10 MBARARA-MASAKA-24H'!N93,'19.10 MBARARA-MASAKA-24H'!N93)</f>
        <v>0</v>
      </c>
      <c r="O93" s="15">
        <f t="shared" si="35"/>
        <v>11</v>
      </c>
      <c r="P93" s="15">
        <f t="shared" si="36"/>
        <v>11</v>
      </c>
      <c r="R93" s="8"/>
      <c r="T93"/>
    </row>
    <row r="94" spans="2:20" ht="23.1" customHeight="1" x14ac:dyDescent="0.25">
      <c r="B94" s="24" t="s">
        <v>134</v>
      </c>
      <c r="C94" s="49">
        <f>AVERAGE('18.10 MBARARA-MASAKA-24H'!C94,'19.10 MBARARA-MASAKA-24H'!C94)</f>
        <v>1.5</v>
      </c>
      <c r="D94" s="49">
        <f>AVERAGE('18.10 MBARARA-MASAKA-24H'!D94,'19.10 MBARARA-MASAKA-24H'!D94)</f>
        <v>1</v>
      </c>
      <c r="E94" s="49">
        <f>AVERAGE('18.10 MBARARA-MASAKA-24H'!E94,'19.10 MBARARA-MASAKA-24H'!E94)</f>
        <v>1</v>
      </c>
      <c r="F94" s="49">
        <f>AVERAGE('18.10 MBARARA-MASAKA-24H'!F94,'19.10 MBARARA-MASAKA-24H'!F94)</f>
        <v>0.5</v>
      </c>
      <c r="G94" s="49">
        <f>AVERAGE('18.10 MBARARA-MASAKA-24H'!G94,'19.10 MBARARA-MASAKA-24H'!G94)</f>
        <v>0.5</v>
      </c>
      <c r="H94" s="49">
        <f>AVERAGE('18.10 MBARARA-MASAKA-24H'!H94,'19.10 MBARARA-MASAKA-24H'!H94)</f>
        <v>2</v>
      </c>
      <c r="I94" s="49">
        <f>AVERAGE('18.10 MBARARA-MASAKA-24H'!I94,'19.10 MBARARA-MASAKA-24H'!I94)</f>
        <v>1</v>
      </c>
      <c r="J94" s="49">
        <f>AVERAGE('18.10 MBARARA-MASAKA-24H'!J94,'19.10 MBARARA-MASAKA-24H'!J94)</f>
        <v>1.5</v>
      </c>
      <c r="K94" s="49">
        <f>AVERAGE('18.10 MBARARA-MASAKA-24H'!K94,'19.10 MBARARA-MASAKA-24H'!K94)</f>
        <v>0</v>
      </c>
      <c r="L94" s="49">
        <f>AVERAGE('18.10 MBARARA-MASAKA-24H'!L94,'19.10 MBARARA-MASAKA-24H'!L94)</f>
        <v>0</v>
      </c>
      <c r="M94" s="49">
        <f>AVERAGE('18.10 MBARARA-MASAKA-24H'!M94,'19.10 MBARARA-MASAKA-24H'!M94)</f>
        <v>0</v>
      </c>
      <c r="N94" s="49">
        <f>AVERAGE('18.10 MBARARA-MASAKA-24H'!N94,'19.10 MBARARA-MASAKA-24H'!N94)</f>
        <v>0</v>
      </c>
      <c r="O94" s="15">
        <f t="shared" si="35"/>
        <v>9</v>
      </c>
      <c r="P94" s="15">
        <f t="shared" si="36"/>
        <v>9</v>
      </c>
      <c r="R94" s="8"/>
      <c r="T94"/>
    </row>
    <row r="95" spans="2:20" ht="23.1" customHeight="1" x14ac:dyDescent="0.25">
      <c r="B95" s="23" t="s">
        <v>135</v>
      </c>
      <c r="C95" s="49">
        <f>AVERAGE('18.10 MBARARA-MASAKA-24H'!C95,'19.10 MBARARA-MASAKA-24H'!C95)</f>
        <v>4.5</v>
      </c>
      <c r="D95" s="49">
        <f>AVERAGE('18.10 MBARARA-MASAKA-24H'!D95,'19.10 MBARARA-MASAKA-24H'!D95)</f>
        <v>0.5</v>
      </c>
      <c r="E95" s="49">
        <f>AVERAGE('18.10 MBARARA-MASAKA-24H'!E95,'19.10 MBARARA-MASAKA-24H'!E95)</f>
        <v>1.5</v>
      </c>
      <c r="F95" s="49">
        <f>AVERAGE('18.10 MBARARA-MASAKA-24H'!F95,'19.10 MBARARA-MASAKA-24H'!F95)</f>
        <v>1.5</v>
      </c>
      <c r="G95" s="49">
        <f>AVERAGE('18.10 MBARARA-MASAKA-24H'!G95,'19.10 MBARARA-MASAKA-24H'!G95)</f>
        <v>1</v>
      </c>
      <c r="H95" s="49">
        <f>AVERAGE('18.10 MBARARA-MASAKA-24H'!H95,'19.10 MBARARA-MASAKA-24H'!H95)</f>
        <v>2.5</v>
      </c>
      <c r="I95" s="49">
        <f>AVERAGE('18.10 MBARARA-MASAKA-24H'!I95,'19.10 MBARARA-MASAKA-24H'!I95)</f>
        <v>0.5</v>
      </c>
      <c r="J95" s="49">
        <f>AVERAGE('18.10 MBARARA-MASAKA-24H'!J95,'19.10 MBARARA-MASAKA-24H'!J95)</f>
        <v>1</v>
      </c>
      <c r="K95" s="49">
        <f>AVERAGE('18.10 MBARARA-MASAKA-24H'!K95,'19.10 MBARARA-MASAKA-24H'!K95)</f>
        <v>0.5</v>
      </c>
      <c r="L95" s="49">
        <f>AVERAGE('18.10 MBARARA-MASAKA-24H'!L95,'19.10 MBARARA-MASAKA-24H'!L95)</f>
        <v>0</v>
      </c>
      <c r="M95" s="49">
        <f>AVERAGE('18.10 MBARARA-MASAKA-24H'!M95,'19.10 MBARARA-MASAKA-24H'!M95)</f>
        <v>0</v>
      </c>
      <c r="N95" s="49">
        <f>AVERAGE('18.10 MBARARA-MASAKA-24H'!N95,'19.10 MBARARA-MASAKA-24H'!N95)</f>
        <v>0</v>
      </c>
      <c r="O95" s="15">
        <f t="shared" si="35"/>
        <v>13.5</v>
      </c>
      <c r="P95" s="15">
        <f t="shared" si="36"/>
        <v>13.5</v>
      </c>
      <c r="R95" s="8"/>
      <c r="T95"/>
    </row>
    <row r="96" spans="2:20" ht="23.1" customHeight="1" x14ac:dyDescent="0.25">
      <c r="B96" s="25" t="s">
        <v>136</v>
      </c>
      <c r="C96" s="49">
        <f>AVERAGE('18.10 MBARARA-MASAKA-24H'!C96,'19.10 MBARARA-MASAKA-24H'!C96)</f>
        <v>2</v>
      </c>
      <c r="D96" s="49">
        <f>AVERAGE('18.10 MBARARA-MASAKA-24H'!D96,'19.10 MBARARA-MASAKA-24H'!D96)</f>
        <v>0.5</v>
      </c>
      <c r="E96" s="49">
        <f>AVERAGE('18.10 MBARARA-MASAKA-24H'!E96,'19.10 MBARARA-MASAKA-24H'!E96)</f>
        <v>0</v>
      </c>
      <c r="F96" s="49">
        <f>AVERAGE('18.10 MBARARA-MASAKA-24H'!F96,'19.10 MBARARA-MASAKA-24H'!F96)</f>
        <v>1</v>
      </c>
      <c r="G96" s="49">
        <f>AVERAGE('18.10 MBARARA-MASAKA-24H'!G96,'19.10 MBARARA-MASAKA-24H'!G96)</f>
        <v>1.5</v>
      </c>
      <c r="H96" s="49">
        <f>AVERAGE('18.10 MBARARA-MASAKA-24H'!H96,'19.10 MBARARA-MASAKA-24H'!H96)</f>
        <v>1</v>
      </c>
      <c r="I96" s="49">
        <f>AVERAGE('18.10 MBARARA-MASAKA-24H'!I96,'19.10 MBARARA-MASAKA-24H'!I96)</f>
        <v>0</v>
      </c>
      <c r="J96" s="49">
        <f>AVERAGE('18.10 MBARARA-MASAKA-24H'!J96,'19.10 MBARARA-MASAKA-24H'!J96)</f>
        <v>0</v>
      </c>
      <c r="K96" s="49">
        <f>AVERAGE('18.10 MBARARA-MASAKA-24H'!K96,'19.10 MBARARA-MASAKA-24H'!K96)</f>
        <v>2</v>
      </c>
      <c r="L96" s="49">
        <f>AVERAGE('18.10 MBARARA-MASAKA-24H'!L96,'19.10 MBARARA-MASAKA-24H'!L96)</f>
        <v>0</v>
      </c>
      <c r="M96" s="49">
        <f>AVERAGE('18.10 MBARARA-MASAKA-24H'!M96,'19.10 MBARARA-MASAKA-24H'!M96)</f>
        <v>4</v>
      </c>
      <c r="N96" s="49">
        <f>AVERAGE('18.10 MBARARA-MASAKA-24H'!N96,'19.10 MBARARA-MASAKA-24H'!N96)</f>
        <v>0</v>
      </c>
      <c r="O96" s="15">
        <f t="shared" si="35"/>
        <v>8</v>
      </c>
      <c r="P96" s="15">
        <f t="shared" si="36"/>
        <v>12</v>
      </c>
      <c r="R96" s="8"/>
      <c r="T96"/>
    </row>
    <row r="97" spans="2:20" ht="23.1" customHeight="1" x14ac:dyDescent="0.25">
      <c r="B97" s="23" t="s">
        <v>137</v>
      </c>
      <c r="C97" s="49">
        <f>AVERAGE('18.10 MBARARA-MASAKA-24H'!C97,'19.10 MBARARA-MASAKA-24H'!C97)</f>
        <v>1.5</v>
      </c>
      <c r="D97" s="49">
        <f>AVERAGE('18.10 MBARARA-MASAKA-24H'!D97,'19.10 MBARARA-MASAKA-24H'!D97)</f>
        <v>0</v>
      </c>
      <c r="E97" s="49">
        <f>AVERAGE('18.10 MBARARA-MASAKA-24H'!E97,'19.10 MBARARA-MASAKA-24H'!E97)</f>
        <v>0</v>
      </c>
      <c r="F97" s="49">
        <f>AVERAGE('18.10 MBARARA-MASAKA-24H'!F97,'19.10 MBARARA-MASAKA-24H'!F97)</f>
        <v>0</v>
      </c>
      <c r="G97" s="49">
        <f>AVERAGE('18.10 MBARARA-MASAKA-24H'!G97,'19.10 MBARARA-MASAKA-24H'!G97)</f>
        <v>0</v>
      </c>
      <c r="H97" s="49">
        <f>AVERAGE('18.10 MBARARA-MASAKA-24H'!H97,'19.10 MBARARA-MASAKA-24H'!H97)</f>
        <v>2</v>
      </c>
      <c r="I97" s="49">
        <f>AVERAGE('18.10 MBARARA-MASAKA-24H'!I97,'19.10 MBARARA-MASAKA-24H'!I97)</f>
        <v>1.5</v>
      </c>
      <c r="J97" s="49">
        <f>AVERAGE('18.10 MBARARA-MASAKA-24H'!J97,'19.10 MBARARA-MASAKA-24H'!J97)</f>
        <v>2.5</v>
      </c>
      <c r="K97" s="49">
        <f>AVERAGE('18.10 MBARARA-MASAKA-24H'!K97,'19.10 MBARARA-MASAKA-24H'!K97)</f>
        <v>2</v>
      </c>
      <c r="L97" s="49">
        <f>AVERAGE('18.10 MBARARA-MASAKA-24H'!L97,'19.10 MBARARA-MASAKA-24H'!L97)</f>
        <v>0</v>
      </c>
      <c r="M97" s="49">
        <f>AVERAGE('18.10 MBARARA-MASAKA-24H'!M97,'19.10 MBARARA-MASAKA-24H'!M97)</f>
        <v>3</v>
      </c>
      <c r="N97" s="49">
        <f>AVERAGE('18.10 MBARARA-MASAKA-24H'!N97,'19.10 MBARARA-MASAKA-24H'!N97)</f>
        <v>0</v>
      </c>
      <c r="O97" s="15">
        <f t="shared" si="35"/>
        <v>9.5</v>
      </c>
      <c r="P97" s="15">
        <f t="shared" si="36"/>
        <v>12.5</v>
      </c>
      <c r="R97" s="8"/>
      <c r="T97"/>
    </row>
    <row r="98" spans="2:20" ht="23.1" customHeight="1" x14ac:dyDescent="0.25">
      <c r="B98" s="24" t="s">
        <v>138</v>
      </c>
      <c r="C98" s="49">
        <f>AVERAGE('18.10 MBARARA-MASAKA-24H'!C98,'19.10 MBARARA-MASAKA-24H'!C98)</f>
        <v>1</v>
      </c>
      <c r="D98" s="49">
        <f>AVERAGE('18.10 MBARARA-MASAKA-24H'!D98,'19.10 MBARARA-MASAKA-24H'!D98)</f>
        <v>1</v>
      </c>
      <c r="E98" s="49">
        <f>AVERAGE('18.10 MBARARA-MASAKA-24H'!E98,'19.10 MBARARA-MASAKA-24H'!E98)</f>
        <v>0</v>
      </c>
      <c r="F98" s="49">
        <f>AVERAGE('18.10 MBARARA-MASAKA-24H'!F98,'19.10 MBARARA-MASAKA-24H'!F98)</f>
        <v>2</v>
      </c>
      <c r="G98" s="49">
        <f>AVERAGE('18.10 MBARARA-MASAKA-24H'!G98,'19.10 MBARARA-MASAKA-24H'!G98)</f>
        <v>0</v>
      </c>
      <c r="H98" s="49">
        <f>AVERAGE('18.10 MBARARA-MASAKA-24H'!H98,'19.10 MBARARA-MASAKA-24H'!H98)</f>
        <v>1</v>
      </c>
      <c r="I98" s="49">
        <f>AVERAGE('18.10 MBARARA-MASAKA-24H'!I98,'19.10 MBARARA-MASAKA-24H'!I98)</f>
        <v>0.5</v>
      </c>
      <c r="J98" s="49">
        <f>AVERAGE('18.10 MBARARA-MASAKA-24H'!J98,'19.10 MBARARA-MASAKA-24H'!J98)</f>
        <v>1</v>
      </c>
      <c r="K98" s="49">
        <f>AVERAGE('18.10 MBARARA-MASAKA-24H'!K98,'19.10 MBARARA-MASAKA-24H'!K98)</f>
        <v>1</v>
      </c>
      <c r="L98" s="49">
        <f>AVERAGE('18.10 MBARARA-MASAKA-24H'!L98,'19.10 MBARARA-MASAKA-24H'!L98)</f>
        <v>0.5</v>
      </c>
      <c r="M98" s="49">
        <f>AVERAGE('18.10 MBARARA-MASAKA-24H'!M98,'19.10 MBARARA-MASAKA-24H'!M98)</f>
        <v>1.5</v>
      </c>
      <c r="N98" s="49">
        <f>AVERAGE('18.10 MBARARA-MASAKA-24H'!N98,'19.10 MBARARA-MASAKA-24H'!N98)</f>
        <v>0</v>
      </c>
      <c r="O98" s="15">
        <f t="shared" si="35"/>
        <v>8</v>
      </c>
      <c r="P98" s="15">
        <f t="shared" si="36"/>
        <v>9.5</v>
      </c>
      <c r="R98" s="8"/>
      <c r="T98"/>
    </row>
    <row r="99" spans="2:20" ht="23.1" customHeight="1" x14ac:dyDescent="0.25">
      <c r="B99" s="23" t="s">
        <v>139</v>
      </c>
      <c r="C99" s="49">
        <f>AVERAGE('18.10 MBARARA-MASAKA-24H'!C99,'19.10 MBARARA-MASAKA-24H'!C99)</f>
        <v>0</v>
      </c>
      <c r="D99" s="49">
        <f>AVERAGE('18.10 MBARARA-MASAKA-24H'!D99,'19.10 MBARARA-MASAKA-24H'!D99)</f>
        <v>0.5</v>
      </c>
      <c r="E99" s="49">
        <f>AVERAGE('18.10 MBARARA-MASAKA-24H'!E99,'19.10 MBARARA-MASAKA-24H'!E99)</f>
        <v>0</v>
      </c>
      <c r="F99" s="49">
        <f>AVERAGE('18.10 MBARARA-MASAKA-24H'!F99,'19.10 MBARARA-MASAKA-24H'!F99)</f>
        <v>1.5</v>
      </c>
      <c r="G99" s="49">
        <f>AVERAGE('18.10 MBARARA-MASAKA-24H'!G99,'19.10 MBARARA-MASAKA-24H'!G99)</f>
        <v>0.5</v>
      </c>
      <c r="H99" s="49">
        <f>AVERAGE('18.10 MBARARA-MASAKA-24H'!H99,'19.10 MBARARA-MASAKA-24H'!H99)</f>
        <v>0.5</v>
      </c>
      <c r="I99" s="49">
        <f>AVERAGE('18.10 MBARARA-MASAKA-24H'!I99,'19.10 MBARARA-MASAKA-24H'!I99)</f>
        <v>0</v>
      </c>
      <c r="J99" s="49">
        <f>AVERAGE('18.10 MBARARA-MASAKA-24H'!J99,'19.10 MBARARA-MASAKA-24H'!J99)</f>
        <v>2.5</v>
      </c>
      <c r="K99" s="49">
        <f>AVERAGE('18.10 MBARARA-MASAKA-24H'!K99,'19.10 MBARARA-MASAKA-24H'!K99)</f>
        <v>2</v>
      </c>
      <c r="L99" s="49">
        <f>AVERAGE('18.10 MBARARA-MASAKA-24H'!L99,'19.10 MBARARA-MASAKA-24H'!L99)</f>
        <v>0</v>
      </c>
      <c r="M99" s="49">
        <f>AVERAGE('18.10 MBARARA-MASAKA-24H'!M99,'19.10 MBARARA-MASAKA-24H'!M99)</f>
        <v>2.5</v>
      </c>
      <c r="N99" s="49">
        <f>AVERAGE('18.10 MBARARA-MASAKA-24H'!N99,'19.10 MBARARA-MASAKA-24H'!N99)</f>
        <v>0</v>
      </c>
      <c r="O99" s="15">
        <f t="shared" si="35"/>
        <v>7.5</v>
      </c>
      <c r="P99" s="15">
        <f t="shared" si="36"/>
        <v>10</v>
      </c>
      <c r="R99" s="8"/>
      <c r="T99"/>
    </row>
    <row r="100" spans="2:20" ht="23.1" customHeight="1" x14ac:dyDescent="0.25">
      <c r="B100" s="25" t="s">
        <v>140</v>
      </c>
      <c r="C100" s="49">
        <f>AVERAGE('18.10 MBARARA-MASAKA-24H'!C100,'19.10 MBARARA-MASAKA-24H'!C100)</f>
        <v>0</v>
      </c>
      <c r="D100" s="49">
        <f>AVERAGE('18.10 MBARARA-MASAKA-24H'!D100,'19.10 MBARARA-MASAKA-24H'!D100)</f>
        <v>0.5</v>
      </c>
      <c r="E100" s="49">
        <f>AVERAGE('18.10 MBARARA-MASAKA-24H'!E100,'19.10 MBARARA-MASAKA-24H'!E100)</f>
        <v>1.5</v>
      </c>
      <c r="F100" s="49">
        <f>AVERAGE('18.10 MBARARA-MASAKA-24H'!F100,'19.10 MBARARA-MASAKA-24H'!F100)</f>
        <v>1.5</v>
      </c>
      <c r="G100" s="49">
        <f>AVERAGE('18.10 MBARARA-MASAKA-24H'!G100,'19.10 MBARARA-MASAKA-24H'!G100)</f>
        <v>0.5</v>
      </c>
      <c r="H100" s="49">
        <f>AVERAGE('18.10 MBARARA-MASAKA-24H'!H100,'19.10 MBARARA-MASAKA-24H'!H100)</f>
        <v>1.5</v>
      </c>
      <c r="I100" s="49">
        <f>AVERAGE('18.10 MBARARA-MASAKA-24H'!I100,'19.10 MBARARA-MASAKA-24H'!I100)</f>
        <v>0</v>
      </c>
      <c r="J100" s="49">
        <f>AVERAGE('18.10 MBARARA-MASAKA-24H'!J100,'19.10 MBARARA-MASAKA-24H'!J100)</f>
        <v>0.5</v>
      </c>
      <c r="K100" s="49">
        <f>AVERAGE('18.10 MBARARA-MASAKA-24H'!K100,'19.10 MBARARA-MASAKA-24H'!K100)</f>
        <v>2.5</v>
      </c>
      <c r="L100" s="49">
        <f>AVERAGE('18.10 MBARARA-MASAKA-24H'!L100,'19.10 MBARARA-MASAKA-24H'!L100)</f>
        <v>0.5</v>
      </c>
      <c r="M100" s="49">
        <f>AVERAGE('18.10 MBARARA-MASAKA-24H'!M100,'19.10 MBARARA-MASAKA-24H'!M100)</f>
        <v>1.5</v>
      </c>
      <c r="N100" s="49">
        <f>AVERAGE('18.10 MBARARA-MASAKA-24H'!N100,'19.10 MBARARA-MASAKA-24H'!N100)</f>
        <v>0</v>
      </c>
      <c r="O100" s="15">
        <f t="shared" si="35"/>
        <v>9</v>
      </c>
      <c r="P100" s="15">
        <f t="shared" si="36"/>
        <v>10.5</v>
      </c>
      <c r="R100" s="8"/>
      <c r="T100"/>
    </row>
    <row r="101" spans="2:20" ht="23.1" customHeight="1" x14ac:dyDescent="0.25">
      <c r="B101" s="23" t="s">
        <v>141</v>
      </c>
      <c r="C101" s="49">
        <f>AVERAGE('18.10 MBARARA-MASAKA-24H'!C101,'19.10 MBARARA-MASAKA-24H'!C101)</f>
        <v>2.5</v>
      </c>
      <c r="D101" s="49">
        <f>AVERAGE('18.10 MBARARA-MASAKA-24H'!D101,'19.10 MBARARA-MASAKA-24H'!D101)</f>
        <v>0.5</v>
      </c>
      <c r="E101" s="49">
        <f>AVERAGE('18.10 MBARARA-MASAKA-24H'!E101,'19.10 MBARARA-MASAKA-24H'!E101)</f>
        <v>0</v>
      </c>
      <c r="F101" s="49">
        <f>AVERAGE('18.10 MBARARA-MASAKA-24H'!F101,'19.10 MBARARA-MASAKA-24H'!F101)</f>
        <v>2</v>
      </c>
      <c r="G101" s="49">
        <f>AVERAGE('18.10 MBARARA-MASAKA-24H'!G101,'19.10 MBARARA-MASAKA-24H'!G101)</f>
        <v>0</v>
      </c>
      <c r="H101" s="49">
        <f>AVERAGE('18.10 MBARARA-MASAKA-24H'!H101,'19.10 MBARARA-MASAKA-24H'!H101)</f>
        <v>1</v>
      </c>
      <c r="I101" s="49">
        <f>AVERAGE('18.10 MBARARA-MASAKA-24H'!I101,'19.10 MBARARA-MASAKA-24H'!I101)</f>
        <v>0.5</v>
      </c>
      <c r="J101" s="49">
        <f>AVERAGE('18.10 MBARARA-MASAKA-24H'!J101,'19.10 MBARARA-MASAKA-24H'!J101)</f>
        <v>0</v>
      </c>
      <c r="K101" s="49">
        <f>AVERAGE('18.10 MBARARA-MASAKA-24H'!K101,'19.10 MBARARA-MASAKA-24H'!K101)</f>
        <v>0.5</v>
      </c>
      <c r="L101" s="49">
        <f>AVERAGE('18.10 MBARARA-MASAKA-24H'!L101,'19.10 MBARARA-MASAKA-24H'!L101)</f>
        <v>0.5</v>
      </c>
      <c r="M101" s="49">
        <f>AVERAGE('18.10 MBARARA-MASAKA-24H'!M101,'19.10 MBARARA-MASAKA-24H'!M101)</f>
        <v>1</v>
      </c>
      <c r="N101" s="49">
        <f>AVERAGE('18.10 MBARARA-MASAKA-24H'!N101,'19.10 MBARARA-MASAKA-24H'!N101)</f>
        <v>0</v>
      </c>
      <c r="O101" s="15">
        <f t="shared" si="35"/>
        <v>7.5</v>
      </c>
      <c r="P101" s="15">
        <f t="shared" si="36"/>
        <v>8.5</v>
      </c>
      <c r="R101" s="8"/>
      <c r="T101"/>
    </row>
    <row r="102" spans="2:20" ht="23.1" customHeight="1" x14ac:dyDescent="0.25">
      <c r="B102" s="24" t="s">
        <v>142</v>
      </c>
      <c r="C102" s="49">
        <f>AVERAGE('18.10 MBARARA-MASAKA-24H'!C102,'19.10 MBARARA-MASAKA-24H'!C102)</f>
        <v>0.5</v>
      </c>
      <c r="D102" s="49">
        <f>AVERAGE('18.10 MBARARA-MASAKA-24H'!D102,'19.10 MBARARA-MASAKA-24H'!D102)</f>
        <v>1</v>
      </c>
      <c r="E102" s="49">
        <f>AVERAGE('18.10 MBARARA-MASAKA-24H'!E102,'19.10 MBARARA-MASAKA-24H'!E102)</f>
        <v>0</v>
      </c>
      <c r="F102" s="49">
        <f>AVERAGE('18.10 MBARARA-MASAKA-24H'!F102,'19.10 MBARARA-MASAKA-24H'!F102)</f>
        <v>0.5</v>
      </c>
      <c r="G102" s="49">
        <f>AVERAGE('18.10 MBARARA-MASAKA-24H'!G102,'19.10 MBARARA-MASAKA-24H'!G102)</f>
        <v>0</v>
      </c>
      <c r="H102" s="49">
        <f>AVERAGE('18.10 MBARARA-MASAKA-24H'!H102,'19.10 MBARARA-MASAKA-24H'!H102)</f>
        <v>0</v>
      </c>
      <c r="I102" s="49">
        <f>AVERAGE('18.10 MBARARA-MASAKA-24H'!I102,'19.10 MBARARA-MASAKA-24H'!I102)</f>
        <v>0.5</v>
      </c>
      <c r="J102" s="49">
        <f>AVERAGE('18.10 MBARARA-MASAKA-24H'!J102,'19.10 MBARARA-MASAKA-24H'!J102)</f>
        <v>0.5</v>
      </c>
      <c r="K102" s="49">
        <f>AVERAGE('18.10 MBARARA-MASAKA-24H'!K102,'19.10 MBARARA-MASAKA-24H'!K102)</f>
        <v>1.5</v>
      </c>
      <c r="L102" s="49">
        <f>AVERAGE('18.10 MBARARA-MASAKA-24H'!L102,'19.10 MBARARA-MASAKA-24H'!L102)</f>
        <v>0</v>
      </c>
      <c r="M102" s="49">
        <f>AVERAGE('18.10 MBARARA-MASAKA-24H'!M102,'19.10 MBARARA-MASAKA-24H'!M102)</f>
        <v>0.5</v>
      </c>
      <c r="N102" s="49">
        <f>AVERAGE('18.10 MBARARA-MASAKA-24H'!N102,'19.10 MBARARA-MASAKA-24H'!N102)</f>
        <v>0</v>
      </c>
      <c r="O102" s="15">
        <f t="shared" si="35"/>
        <v>4.5</v>
      </c>
      <c r="P102" s="15">
        <f t="shared" si="36"/>
        <v>5</v>
      </c>
      <c r="R102" s="8"/>
      <c r="T102"/>
    </row>
    <row r="103" spans="2:20" ht="23.1" customHeight="1" x14ac:dyDescent="0.25">
      <c r="B103" s="23" t="s">
        <v>143</v>
      </c>
      <c r="C103" s="49">
        <f>AVERAGE('18.10 MBARARA-MASAKA-24H'!C103,'19.10 MBARARA-MASAKA-24H'!C103)</f>
        <v>1</v>
      </c>
      <c r="D103" s="49">
        <f>AVERAGE('18.10 MBARARA-MASAKA-24H'!D103,'19.10 MBARARA-MASAKA-24H'!D103)</f>
        <v>0</v>
      </c>
      <c r="E103" s="49">
        <f>AVERAGE('18.10 MBARARA-MASAKA-24H'!E103,'19.10 MBARARA-MASAKA-24H'!E103)</f>
        <v>0</v>
      </c>
      <c r="F103" s="49">
        <f>AVERAGE('18.10 MBARARA-MASAKA-24H'!F103,'19.10 MBARARA-MASAKA-24H'!F103)</f>
        <v>3.5</v>
      </c>
      <c r="G103" s="49">
        <f>AVERAGE('18.10 MBARARA-MASAKA-24H'!G103,'19.10 MBARARA-MASAKA-24H'!G103)</f>
        <v>0</v>
      </c>
      <c r="H103" s="49">
        <f>AVERAGE('18.10 MBARARA-MASAKA-24H'!H103,'19.10 MBARARA-MASAKA-24H'!H103)</f>
        <v>1</v>
      </c>
      <c r="I103" s="49">
        <f>AVERAGE('18.10 MBARARA-MASAKA-24H'!I103,'19.10 MBARARA-MASAKA-24H'!I103)</f>
        <v>1</v>
      </c>
      <c r="J103" s="49">
        <f>AVERAGE('18.10 MBARARA-MASAKA-24H'!J103,'19.10 MBARARA-MASAKA-24H'!J103)</f>
        <v>1.5</v>
      </c>
      <c r="K103" s="49">
        <f>AVERAGE('18.10 MBARARA-MASAKA-24H'!K103,'19.10 MBARARA-MASAKA-24H'!K103)</f>
        <v>2.5</v>
      </c>
      <c r="L103" s="49">
        <f>AVERAGE('18.10 MBARARA-MASAKA-24H'!L103,'19.10 MBARARA-MASAKA-24H'!L103)</f>
        <v>0</v>
      </c>
      <c r="M103" s="49">
        <f>AVERAGE('18.10 MBARARA-MASAKA-24H'!M103,'19.10 MBARARA-MASAKA-24H'!M103)</f>
        <v>2.5</v>
      </c>
      <c r="N103" s="49">
        <f>AVERAGE('18.10 MBARARA-MASAKA-24H'!N103,'19.10 MBARARA-MASAKA-24H'!N103)</f>
        <v>0</v>
      </c>
      <c r="O103" s="15">
        <f t="shared" si="35"/>
        <v>10.5</v>
      </c>
      <c r="P103" s="15">
        <f t="shared" si="36"/>
        <v>13</v>
      </c>
      <c r="R103" s="8"/>
      <c r="T103"/>
    </row>
    <row r="104" spans="2:20" ht="23.1" customHeight="1" x14ac:dyDescent="0.25">
      <c r="B104" s="25" t="s">
        <v>144</v>
      </c>
      <c r="C104" s="49">
        <f>AVERAGE('18.10 MBARARA-MASAKA-24H'!C104,'19.10 MBARARA-MASAKA-24H'!C104)</f>
        <v>4</v>
      </c>
      <c r="D104" s="49">
        <f>AVERAGE('18.10 MBARARA-MASAKA-24H'!D104,'19.10 MBARARA-MASAKA-24H'!D104)</f>
        <v>1</v>
      </c>
      <c r="E104" s="49">
        <f>AVERAGE('18.10 MBARARA-MASAKA-24H'!E104,'19.10 MBARARA-MASAKA-24H'!E104)</f>
        <v>1</v>
      </c>
      <c r="F104" s="49">
        <f>AVERAGE('18.10 MBARARA-MASAKA-24H'!F104,'19.10 MBARARA-MASAKA-24H'!F104)</f>
        <v>2.5</v>
      </c>
      <c r="G104" s="49">
        <f>AVERAGE('18.10 MBARARA-MASAKA-24H'!G104,'19.10 MBARARA-MASAKA-24H'!G104)</f>
        <v>0</v>
      </c>
      <c r="H104" s="49">
        <f>AVERAGE('18.10 MBARARA-MASAKA-24H'!H104,'19.10 MBARARA-MASAKA-24H'!H104)</f>
        <v>0</v>
      </c>
      <c r="I104" s="49">
        <f>AVERAGE('18.10 MBARARA-MASAKA-24H'!I104,'19.10 MBARARA-MASAKA-24H'!I104)</f>
        <v>0.5</v>
      </c>
      <c r="J104" s="49">
        <f>AVERAGE('18.10 MBARARA-MASAKA-24H'!J104,'19.10 MBARARA-MASAKA-24H'!J104)</f>
        <v>1.5</v>
      </c>
      <c r="K104" s="49">
        <f>AVERAGE('18.10 MBARARA-MASAKA-24H'!K104,'19.10 MBARARA-MASAKA-24H'!K104)</f>
        <v>2</v>
      </c>
      <c r="L104" s="49">
        <f>AVERAGE('18.10 MBARARA-MASAKA-24H'!L104,'19.10 MBARARA-MASAKA-24H'!L104)</f>
        <v>0</v>
      </c>
      <c r="M104" s="49">
        <f>AVERAGE('18.10 MBARARA-MASAKA-24H'!M104,'19.10 MBARARA-MASAKA-24H'!M104)</f>
        <v>4.5</v>
      </c>
      <c r="N104" s="49">
        <f>AVERAGE('18.10 MBARARA-MASAKA-24H'!N104,'19.10 MBARARA-MASAKA-24H'!N104)</f>
        <v>0</v>
      </c>
      <c r="O104" s="15">
        <f t="shared" si="35"/>
        <v>12.5</v>
      </c>
      <c r="P104" s="15">
        <f t="shared" si="36"/>
        <v>17</v>
      </c>
      <c r="R104" s="8"/>
      <c r="T104"/>
    </row>
    <row r="105" spans="2:20" ht="23.1" customHeight="1" x14ac:dyDescent="0.25">
      <c r="B105" s="23" t="s">
        <v>145</v>
      </c>
      <c r="C105" s="49">
        <f>AVERAGE('18.10 MBARARA-MASAKA-24H'!C105,'19.10 MBARARA-MASAKA-24H'!C105)</f>
        <v>5.5</v>
      </c>
      <c r="D105" s="49">
        <f>AVERAGE('18.10 MBARARA-MASAKA-24H'!D105,'19.10 MBARARA-MASAKA-24H'!D105)</f>
        <v>0</v>
      </c>
      <c r="E105" s="49">
        <f>AVERAGE('18.10 MBARARA-MASAKA-24H'!E105,'19.10 MBARARA-MASAKA-24H'!E105)</f>
        <v>2</v>
      </c>
      <c r="F105" s="49">
        <f>AVERAGE('18.10 MBARARA-MASAKA-24H'!F105,'19.10 MBARARA-MASAKA-24H'!F105)</f>
        <v>4.5</v>
      </c>
      <c r="G105" s="49">
        <f>AVERAGE('18.10 MBARARA-MASAKA-24H'!G105,'19.10 MBARARA-MASAKA-24H'!G105)</f>
        <v>0</v>
      </c>
      <c r="H105" s="49">
        <f>AVERAGE('18.10 MBARARA-MASAKA-24H'!H105,'19.10 MBARARA-MASAKA-24H'!H105)</f>
        <v>0</v>
      </c>
      <c r="I105" s="49">
        <f>AVERAGE('18.10 MBARARA-MASAKA-24H'!I105,'19.10 MBARARA-MASAKA-24H'!I105)</f>
        <v>0</v>
      </c>
      <c r="J105" s="49">
        <f>AVERAGE('18.10 MBARARA-MASAKA-24H'!J105,'19.10 MBARARA-MASAKA-24H'!J105)</f>
        <v>0.5</v>
      </c>
      <c r="K105" s="49">
        <f>AVERAGE('18.10 MBARARA-MASAKA-24H'!K105,'19.10 MBARARA-MASAKA-24H'!K105)</f>
        <v>1.5</v>
      </c>
      <c r="L105" s="49">
        <f>AVERAGE('18.10 MBARARA-MASAKA-24H'!L105,'19.10 MBARARA-MASAKA-24H'!L105)</f>
        <v>0</v>
      </c>
      <c r="M105" s="49">
        <f>AVERAGE('18.10 MBARARA-MASAKA-24H'!M105,'19.10 MBARARA-MASAKA-24H'!M105)</f>
        <v>10.5</v>
      </c>
      <c r="N105" s="49">
        <f>AVERAGE('18.10 MBARARA-MASAKA-24H'!N105,'19.10 MBARARA-MASAKA-24H'!N105)</f>
        <v>0</v>
      </c>
      <c r="O105" s="15">
        <f t="shared" si="35"/>
        <v>14</v>
      </c>
      <c r="P105" s="15">
        <f t="shared" si="36"/>
        <v>24.5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596.78571428571445</v>
      </c>
      <c r="D106" s="16">
        <f t="shared" ref="D106:P106" si="37">SUM(D10:D105)</f>
        <v>256.14285714285711</v>
      </c>
      <c r="E106" s="16">
        <f t="shared" si="37"/>
        <v>161.07142857142858</v>
      </c>
      <c r="F106" s="16">
        <f t="shared" si="37"/>
        <v>305.57142857142861</v>
      </c>
      <c r="G106" s="16">
        <f t="shared" si="37"/>
        <v>22.928571428571431</v>
      </c>
      <c r="H106" s="16">
        <f t="shared" si="37"/>
        <v>113.14285714285714</v>
      </c>
      <c r="I106" s="16">
        <f t="shared" si="37"/>
        <v>131</v>
      </c>
      <c r="J106" s="16">
        <f t="shared" si="37"/>
        <v>253.57142857142856</v>
      </c>
      <c r="K106" s="16">
        <f t="shared" si="37"/>
        <v>201.85714285714289</v>
      </c>
      <c r="L106" s="16">
        <f t="shared" si="37"/>
        <v>19.285714285714288</v>
      </c>
      <c r="M106" s="16">
        <f t="shared" si="37"/>
        <v>866.07142857142833</v>
      </c>
      <c r="N106" s="16">
        <f t="shared" si="37"/>
        <v>0</v>
      </c>
      <c r="O106" s="16">
        <f t="shared" si="37"/>
        <v>2061.3571428571422</v>
      </c>
      <c r="P106" s="16">
        <f t="shared" si="37"/>
        <v>2927.4285714285716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0.20386004294358778</v>
      </c>
      <c r="D107" s="43">
        <f t="shared" si="38"/>
        <v>8.7497560023423765E-2</v>
      </c>
      <c r="E107" s="43">
        <f t="shared" si="38"/>
        <v>5.5021471793870784E-2</v>
      </c>
      <c r="F107" s="43">
        <f t="shared" si="38"/>
        <v>0.10438219793089987</v>
      </c>
      <c r="G107" s="43">
        <f t="shared" si="38"/>
        <v>7.8323248096818267E-3</v>
      </c>
      <c r="H107" s="43">
        <f t="shared" si="38"/>
        <v>3.8649228967401909E-2</v>
      </c>
      <c r="I107" s="43">
        <f t="shared" si="38"/>
        <v>4.4749170407964084E-2</v>
      </c>
      <c r="J107" s="43">
        <f t="shared" si="38"/>
        <v>8.6619168455982817E-2</v>
      </c>
      <c r="K107" s="43">
        <f t="shared" si="38"/>
        <v>6.8953738044114782E-2</v>
      </c>
      <c r="L107" s="43">
        <f t="shared" si="38"/>
        <v>6.5879367558071451E-3</v>
      </c>
      <c r="M107" s="43">
        <f t="shared" si="38"/>
        <v>0.29584715986726517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0.28951107106968382</v>
      </c>
      <c r="D108" s="44">
        <f t="shared" ref="D108:N108" si="39">D106/$O$106</f>
        <v>0.124259329845109</v>
      </c>
      <c r="E108" s="44">
        <f t="shared" si="39"/>
        <v>7.8138535638795553E-2</v>
      </c>
      <c r="F108" s="44">
        <f t="shared" si="39"/>
        <v>0.14823798468415406</v>
      </c>
      <c r="G108" s="44">
        <f t="shared" si="39"/>
        <v>1.1123046536609034E-2</v>
      </c>
      <c r="H108" s="44">
        <f t="shared" si="39"/>
        <v>5.4887556741397843E-2</v>
      </c>
      <c r="I108" s="44">
        <f t="shared" si="39"/>
        <v>6.3550365570532605E-2</v>
      </c>
      <c r="J108" s="44">
        <f t="shared" si="39"/>
        <v>0.1230118853737136</v>
      </c>
      <c r="K108" s="44">
        <f t="shared" si="39"/>
        <v>9.7924391004539355E-2</v>
      </c>
      <c r="L108" s="44">
        <f t="shared" si="39"/>
        <v>9.3558335354655443E-3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O49" zoomScale="62" zoomScaleSheetLayoutView="62" workbookViewId="0">
      <selection activeCell="AD50" sqref="AD5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73" t="s">
        <v>23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</row>
    <row r="2" spans="2:32" ht="20.100000000000001" customHeight="1" x14ac:dyDescent="0.25">
      <c r="B2" s="74" t="s">
        <v>95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</row>
    <row r="3" spans="2:32" ht="20.100000000000001" customHeight="1" x14ac:dyDescent="0.25">
      <c r="B3" s="22" t="s">
        <v>96</v>
      </c>
      <c r="C3" s="75" t="str">
        <f>'17.10 MBARARA-MASAKA'!C3:G3</f>
        <v>MASAKA-MBARARA</v>
      </c>
      <c r="D3" s="75"/>
      <c r="E3" s="75"/>
      <c r="F3" s="75"/>
      <c r="G3" s="7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81" t="s">
        <v>162</v>
      </c>
      <c r="E5" s="82"/>
      <c r="F5" s="41" t="s">
        <v>1</v>
      </c>
      <c r="G5" s="71" t="str">
        <f>'Avg Week Mbarara-Masaka'!G5:H5</f>
        <v>KINONI</v>
      </c>
      <c r="H5" s="72"/>
      <c r="I5" s="14"/>
      <c r="J5" s="2" t="s">
        <v>5</v>
      </c>
      <c r="K5" s="71" t="str">
        <f>'Avg Week Mbarara-Masaka'!K5:L5</f>
        <v>XXXX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83" t="s">
        <v>161</v>
      </c>
      <c r="E6" s="84"/>
      <c r="F6" s="2" t="s">
        <v>2</v>
      </c>
      <c r="G6" s="83" t="s">
        <v>161</v>
      </c>
      <c r="H6" s="84"/>
      <c r="J6" s="2" t="s">
        <v>21</v>
      </c>
      <c r="K6" s="71" t="str">
        <f>'Avg Week Mbarara-Masaka'!K6:L6</f>
        <v>SANDRA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52" t="s">
        <v>19</v>
      </c>
      <c r="S9" s="54" t="s">
        <v>24</v>
      </c>
      <c r="T9" s="54" t="s">
        <v>25</v>
      </c>
      <c r="U9" s="54" t="s">
        <v>26</v>
      </c>
      <c r="V9" s="54" t="s">
        <v>27</v>
      </c>
      <c r="W9" s="54" t="s">
        <v>28</v>
      </c>
      <c r="X9" s="54" t="s">
        <v>29</v>
      </c>
      <c r="Y9" s="54" t="s">
        <v>30</v>
      </c>
      <c r="Z9" s="54" t="s">
        <v>31</v>
      </c>
      <c r="AA9" s="54" t="s">
        <v>32</v>
      </c>
      <c r="AB9" s="54" t="s">
        <v>33</v>
      </c>
      <c r="AC9" s="54" t="s">
        <v>34</v>
      </c>
      <c r="AD9" s="54" t="s">
        <v>35</v>
      </c>
      <c r="AE9" s="55" t="s">
        <v>89</v>
      </c>
      <c r="AF9" s="55" t="s">
        <v>22</v>
      </c>
    </row>
    <row r="10" spans="2:32" ht="23.1" customHeight="1" x14ac:dyDescent="0.25">
      <c r="B10" s="23" t="s">
        <v>37</v>
      </c>
      <c r="C10" s="49">
        <f>'Avg Week Masaka-Mbarara'!C10+'Avg Week Mbarara-Masaka'!C10</f>
        <v>9.1428571428571423</v>
      </c>
      <c r="D10" s="49">
        <f>'Avg Week Masaka-Mbarara'!D10+'Avg Week Mbarara-Masaka'!D10</f>
        <v>2.8571428571428568</v>
      </c>
      <c r="E10" s="49">
        <f>'Avg Week Masaka-Mbarara'!E10+'Avg Week Mbarara-Masaka'!E10</f>
        <v>2</v>
      </c>
      <c r="F10" s="49">
        <f>'Avg Week Masaka-Mbarara'!F10+'Avg Week Mbarara-Masaka'!F10</f>
        <v>5.8571428571428577</v>
      </c>
      <c r="G10" s="49">
        <f>'Avg Week Masaka-Mbarara'!G10+'Avg Week Mbarara-Masaka'!G10</f>
        <v>0.2857142857142857</v>
      </c>
      <c r="H10" s="49">
        <f>'Avg Week Masaka-Mbarara'!H10+'Avg Week Mbarara-Masaka'!H10</f>
        <v>0.8571428571428571</v>
      </c>
      <c r="I10" s="49">
        <f>'Avg Week Masaka-Mbarara'!I10+'Avg Week Mbarara-Masaka'!I10</f>
        <v>1.1428571428571428</v>
      </c>
      <c r="J10" s="49">
        <f>'Avg Week Masaka-Mbarara'!J10+'Avg Week Mbarara-Masaka'!J10</f>
        <v>0.8571428571428571</v>
      </c>
      <c r="K10" s="49">
        <f>'Avg Week Masaka-Mbarara'!K10+'Avg Week Mbarara-Masaka'!K10</f>
        <v>3.1428571428571432</v>
      </c>
      <c r="L10" s="49">
        <f>'Avg Week Masaka-Mbarara'!L10+'Avg Week Mbarara-Masaka'!L10</f>
        <v>0.14285714285714285</v>
      </c>
      <c r="M10" s="49">
        <f>'Avg Week Masaka-Mbarara'!M10+'Avg Week Mbarara-Masaka'!M10</f>
        <v>25.428571428571431</v>
      </c>
      <c r="N10" s="49">
        <f>'Avg Week Masaka-Mbarara'!N10+'Avg Week Mbarara-Masaka'!N10</f>
        <v>0</v>
      </c>
      <c r="O10" s="15">
        <f t="shared" ref="O10:O73" si="0">SUM(C10:L10,N10)</f>
        <v>26.285714285714285</v>
      </c>
      <c r="P10" s="15">
        <f t="shared" ref="P10:P73" si="1">SUM(C10:N10)</f>
        <v>51.714285714285715</v>
      </c>
      <c r="R10" s="51" t="s">
        <v>6</v>
      </c>
      <c r="S10" s="53">
        <f t="shared" ref="S10:AF10" si="2">SUM(C10:C13)</f>
        <v>41.857142857142854</v>
      </c>
      <c r="T10" s="53">
        <f t="shared" si="2"/>
        <v>15.714285714285715</v>
      </c>
      <c r="U10" s="53">
        <f t="shared" si="2"/>
        <v>10</v>
      </c>
      <c r="V10" s="53">
        <f t="shared" si="2"/>
        <v>21.285714285714285</v>
      </c>
      <c r="W10" s="53">
        <f t="shared" si="2"/>
        <v>1.5714285714285712</v>
      </c>
      <c r="X10" s="53">
        <f t="shared" si="2"/>
        <v>1.9999999999999998</v>
      </c>
      <c r="Y10" s="53">
        <f t="shared" si="2"/>
        <v>9.2857142857142847</v>
      </c>
      <c r="Z10" s="53">
        <f t="shared" si="2"/>
        <v>4.8571428571428568</v>
      </c>
      <c r="AA10" s="53">
        <f t="shared" si="2"/>
        <v>13.571428571428573</v>
      </c>
      <c r="AB10" s="53">
        <f t="shared" si="2"/>
        <v>2</v>
      </c>
      <c r="AC10" s="53">
        <f t="shared" si="2"/>
        <v>104</v>
      </c>
      <c r="AD10" s="53">
        <f t="shared" si="2"/>
        <v>0</v>
      </c>
      <c r="AE10" s="56">
        <f t="shared" si="2"/>
        <v>122.14285714285715</v>
      </c>
      <c r="AF10" s="56">
        <f t="shared" si="2"/>
        <v>226.14285714285717</v>
      </c>
    </row>
    <row r="11" spans="2:32" s="6" customFormat="1" ht="23.1" customHeight="1" x14ac:dyDescent="0.25">
      <c r="B11" s="23" t="s">
        <v>38</v>
      </c>
      <c r="C11" s="49">
        <f>'Avg Week Masaka-Mbarara'!C11+'Avg Week Mbarara-Masaka'!C11</f>
        <v>10</v>
      </c>
      <c r="D11" s="49">
        <f>'Avg Week Masaka-Mbarara'!D11+'Avg Week Mbarara-Masaka'!D11</f>
        <v>4.2857142857142856</v>
      </c>
      <c r="E11" s="49">
        <f>'Avg Week Masaka-Mbarara'!E11+'Avg Week Mbarara-Masaka'!E11</f>
        <v>1.7142857142857142</v>
      </c>
      <c r="F11" s="49">
        <f>'Avg Week Masaka-Mbarara'!F11+'Avg Week Mbarara-Masaka'!F11</f>
        <v>7</v>
      </c>
      <c r="G11" s="49">
        <f>'Avg Week Masaka-Mbarara'!G11+'Avg Week Mbarara-Masaka'!G11</f>
        <v>0.42857142857142855</v>
      </c>
      <c r="H11" s="49">
        <f>'Avg Week Masaka-Mbarara'!H11+'Avg Week Mbarara-Masaka'!H11</f>
        <v>0.42857142857142855</v>
      </c>
      <c r="I11" s="49">
        <f>'Avg Week Masaka-Mbarara'!I11+'Avg Week Mbarara-Masaka'!I11</f>
        <v>2.8571428571428572</v>
      </c>
      <c r="J11" s="49">
        <f>'Avg Week Masaka-Mbarara'!J11+'Avg Week Mbarara-Masaka'!J11</f>
        <v>1.4285714285714286</v>
      </c>
      <c r="K11" s="49">
        <f>'Avg Week Masaka-Mbarara'!K11+'Avg Week Mbarara-Masaka'!K11</f>
        <v>3.8571428571428568</v>
      </c>
      <c r="L11" s="49">
        <f>'Avg Week Masaka-Mbarara'!L11+'Avg Week Mbarara-Masaka'!L11</f>
        <v>0.14285714285714285</v>
      </c>
      <c r="M11" s="49">
        <f>'Avg Week Masaka-Mbarara'!M11+'Avg Week Mbarara-Masaka'!M11</f>
        <v>27.857142857142858</v>
      </c>
      <c r="N11" s="49">
        <f>'Avg Week Masaka-Mbarara'!N11+'Avg Week Mbarara-Masaka'!N11</f>
        <v>0</v>
      </c>
      <c r="O11" s="15">
        <f t="shared" si="0"/>
        <v>32.142857142857139</v>
      </c>
      <c r="P11" s="15">
        <f t="shared" si="1"/>
        <v>60</v>
      </c>
      <c r="R11" s="51" t="s">
        <v>7</v>
      </c>
      <c r="S11" s="53">
        <f t="shared" ref="S11:AF11" si="3">SUM(C14:C17)</f>
        <v>49.857142857142854</v>
      </c>
      <c r="T11" s="53">
        <f t="shared" si="3"/>
        <v>24.428571428571427</v>
      </c>
      <c r="U11" s="53">
        <f t="shared" si="3"/>
        <v>14.142857142857144</v>
      </c>
      <c r="V11" s="53">
        <f t="shared" si="3"/>
        <v>31.142857142857142</v>
      </c>
      <c r="W11" s="53">
        <f t="shared" si="3"/>
        <v>0.2857142857142857</v>
      </c>
      <c r="X11" s="53">
        <f t="shared" si="3"/>
        <v>4.2857142857142856</v>
      </c>
      <c r="Y11" s="53">
        <f t="shared" si="3"/>
        <v>9.7142857142857153</v>
      </c>
      <c r="Z11" s="53">
        <f t="shared" si="3"/>
        <v>7.8571428571428568</v>
      </c>
      <c r="AA11" s="53">
        <f t="shared" si="3"/>
        <v>10.571428571428571</v>
      </c>
      <c r="AB11" s="53">
        <f t="shared" si="3"/>
        <v>0.8571428571428571</v>
      </c>
      <c r="AC11" s="53">
        <f t="shared" si="3"/>
        <v>105.71428571428572</v>
      </c>
      <c r="AD11" s="53">
        <f t="shared" si="3"/>
        <v>0</v>
      </c>
      <c r="AE11" s="56">
        <f t="shared" si="3"/>
        <v>153.14285714285714</v>
      </c>
      <c r="AF11" s="56">
        <f t="shared" si="3"/>
        <v>258.85714285714289</v>
      </c>
    </row>
    <row r="12" spans="2:32" ht="23.1" customHeight="1" x14ac:dyDescent="0.25">
      <c r="B12" s="23" t="s">
        <v>39</v>
      </c>
      <c r="C12" s="49">
        <f>'Avg Week Masaka-Mbarara'!C12+'Avg Week Mbarara-Masaka'!C12</f>
        <v>11.428571428571429</v>
      </c>
      <c r="D12" s="49">
        <f>'Avg Week Masaka-Mbarara'!D12+'Avg Week Mbarara-Masaka'!D12</f>
        <v>3.8571428571428577</v>
      </c>
      <c r="E12" s="49">
        <f>'Avg Week Masaka-Mbarara'!E12+'Avg Week Mbarara-Masaka'!E12</f>
        <v>2.1428571428571428</v>
      </c>
      <c r="F12" s="49">
        <f>'Avg Week Masaka-Mbarara'!F12+'Avg Week Mbarara-Masaka'!F12</f>
        <v>3.8571428571428577</v>
      </c>
      <c r="G12" s="49">
        <f>'Avg Week Masaka-Mbarara'!G12+'Avg Week Mbarara-Masaka'!G12</f>
        <v>0.2857142857142857</v>
      </c>
      <c r="H12" s="49">
        <f>'Avg Week Masaka-Mbarara'!H12+'Avg Week Mbarara-Masaka'!H12</f>
        <v>0.5714285714285714</v>
      </c>
      <c r="I12" s="49">
        <f>'Avg Week Masaka-Mbarara'!I12+'Avg Week Mbarara-Masaka'!I12</f>
        <v>2.5714285714285716</v>
      </c>
      <c r="J12" s="49">
        <f>'Avg Week Masaka-Mbarara'!J12+'Avg Week Mbarara-Masaka'!J12</f>
        <v>1.2857142857142856</v>
      </c>
      <c r="K12" s="49">
        <f>'Avg Week Masaka-Mbarara'!K12+'Avg Week Mbarara-Masaka'!K12</f>
        <v>3.4285714285714288</v>
      </c>
      <c r="L12" s="49">
        <f>'Avg Week Masaka-Mbarara'!L12+'Avg Week Mbarara-Masaka'!L12</f>
        <v>1.5714285714285714</v>
      </c>
      <c r="M12" s="49">
        <f>'Avg Week Masaka-Mbarara'!M12+'Avg Week Mbarara-Masaka'!M12</f>
        <v>26.857142857142858</v>
      </c>
      <c r="N12" s="49">
        <f>'Avg Week Masaka-Mbarara'!N12+'Avg Week Mbarara-Masaka'!N12</f>
        <v>0</v>
      </c>
      <c r="O12" s="15">
        <f t="shared" si="0"/>
        <v>31.000000000000004</v>
      </c>
      <c r="P12" s="15">
        <f t="shared" si="1"/>
        <v>57.857142857142861</v>
      </c>
      <c r="R12" s="51" t="s">
        <v>8</v>
      </c>
      <c r="S12" s="53">
        <f t="shared" ref="S12:AF12" si="4">SUM(C18:C21)</f>
        <v>54.857142857142861</v>
      </c>
      <c r="T12" s="53">
        <f t="shared" si="4"/>
        <v>27</v>
      </c>
      <c r="U12" s="53">
        <f t="shared" si="4"/>
        <v>15.428571428571427</v>
      </c>
      <c r="V12" s="53">
        <f t="shared" si="4"/>
        <v>34.857142857142861</v>
      </c>
      <c r="W12" s="53">
        <f t="shared" si="4"/>
        <v>1.7142857142857144</v>
      </c>
      <c r="X12" s="53">
        <f t="shared" si="4"/>
        <v>5.8571428571428577</v>
      </c>
      <c r="Y12" s="53">
        <f t="shared" si="4"/>
        <v>11.285714285714285</v>
      </c>
      <c r="Z12" s="53">
        <f t="shared" si="4"/>
        <v>7.4285714285714288</v>
      </c>
      <c r="AA12" s="53">
        <f t="shared" si="4"/>
        <v>13.714285714285715</v>
      </c>
      <c r="AB12" s="53">
        <f t="shared" si="4"/>
        <v>1.7142857142857142</v>
      </c>
      <c r="AC12" s="53">
        <f t="shared" si="4"/>
        <v>103.42857142857143</v>
      </c>
      <c r="AD12" s="53">
        <f t="shared" si="4"/>
        <v>0</v>
      </c>
      <c r="AE12" s="56">
        <f t="shared" si="4"/>
        <v>173.85714285714286</v>
      </c>
      <c r="AF12" s="56">
        <f t="shared" si="4"/>
        <v>277.28571428571428</v>
      </c>
    </row>
    <row r="13" spans="2:32" ht="23.1" customHeight="1" x14ac:dyDescent="0.25">
      <c r="B13" s="23" t="s">
        <v>40</v>
      </c>
      <c r="C13" s="49">
        <f>'Avg Week Masaka-Mbarara'!C13+'Avg Week Mbarara-Masaka'!C13</f>
        <v>11.285714285714285</v>
      </c>
      <c r="D13" s="49">
        <f>'Avg Week Masaka-Mbarara'!D13+'Avg Week Mbarara-Masaka'!D13</f>
        <v>4.7142857142857144</v>
      </c>
      <c r="E13" s="49">
        <f>'Avg Week Masaka-Mbarara'!E13+'Avg Week Mbarara-Masaka'!E13</f>
        <v>4.1428571428571432</v>
      </c>
      <c r="F13" s="49">
        <f>'Avg Week Masaka-Mbarara'!F13+'Avg Week Mbarara-Masaka'!F13</f>
        <v>4.5714285714285712</v>
      </c>
      <c r="G13" s="49">
        <f>'Avg Week Masaka-Mbarara'!G13+'Avg Week Mbarara-Masaka'!G13</f>
        <v>0.5714285714285714</v>
      </c>
      <c r="H13" s="49">
        <f>'Avg Week Masaka-Mbarara'!H13+'Avg Week Mbarara-Masaka'!H13</f>
        <v>0.14285714285714285</v>
      </c>
      <c r="I13" s="49">
        <f>'Avg Week Masaka-Mbarara'!I13+'Avg Week Mbarara-Masaka'!I13</f>
        <v>2.7142857142857144</v>
      </c>
      <c r="J13" s="49">
        <f>'Avg Week Masaka-Mbarara'!J13+'Avg Week Mbarara-Masaka'!J13</f>
        <v>1.2857142857142856</v>
      </c>
      <c r="K13" s="49">
        <f>'Avg Week Masaka-Mbarara'!K13+'Avg Week Mbarara-Masaka'!K13</f>
        <v>3.1428571428571432</v>
      </c>
      <c r="L13" s="49">
        <f>'Avg Week Masaka-Mbarara'!L13+'Avg Week Mbarara-Masaka'!L13</f>
        <v>0.14285714285714285</v>
      </c>
      <c r="M13" s="49">
        <f>'Avg Week Masaka-Mbarara'!M13+'Avg Week Mbarara-Masaka'!M13</f>
        <v>23.857142857142854</v>
      </c>
      <c r="N13" s="49">
        <f>'Avg Week Masaka-Mbarara'!N13+'Avg Week Mbarara-Masaka'!N13</f>
        <v>0</v>
      </c>
      <c r="O13" s="15">
        <f t="shared" si="0"/>
        <v>32.714285714285722</v>
      </c>
      <c r="P13" s="15">
        <f t="shared" si="1"/>
        <v>56.571428571428577</v>
      </c>
      <c r="R13" s="51" t="s">
        <v>9</v>
      </c>
      <c r="S13" s="53">
        <f t="shared" ref="S13:AF13" si="5">SUM(C22:C25)</f>
        <v>61.571428571428577</v>
      </c>
      <c r="T13" s="53">
        <f t="shared" si="5"/>
        <v>29.142857142857139</v>
      </c>
      <c r="U13" s="53">
        <f t="shared" si="5"/>
        <v>19.142857142857142</v>
      </c>
      <c r="V13" s="53">
        <f t="shared" si="5"/>
        <v>38.285714285714285</v>
      </c>
      <c r="W13" s="53">
        <f t="shared" si="5"/>
        <v>1.4285714285714284</v>
      </c>
      <c r="X13" s="53">
        <f t="shared" si="5"/>
        <v>8.4285714285714288</v>
      </c>
      <c r="Y13" s="53">
        <f t="shared" si="5"/>
        <v>12.428571428571427</v>
      </c>
      <c r="Z13" s="53">
        <f t="shared" si="5"/>
        <v>9.5714285714285712</v>
      </c>
      <c r="AA13" s="53">
        <f t="shared" si="5"/>
        <v>13.142857142857142</v>
      </c>
      <c r="AB13" s="53">
        <f t="shared" si="5"/>
        <v>2.2857142857142856</v>
      </c>
      <c r="AC13" s="53">
        <f t="shared" si="5"/>
        <v>108.71428571428572</v>
      </c>
      <c r="AD13" s="53">
        <f t="shared" si="5"/>
        <v>0</v>
      </c>
      <c r="AE13" s="56">
        <f t="shared" si="5"/>
        <v>195.42857142857142</v>
      </c>
      <c r="AF13" s="56">
        <f t="shared" si="5"/>
        <v>304.14285714285711</v>
      </c>
    </row>
    <row r="14" spans="2:32" ht="23.1" customHeight="1" x14ac:dyDescent="0.25">
      <c r="B14" s="23" t="s">
        <v>41</v>
      </c>
      <c r="C14" s="49">
        <f>'Avg Week Masaka-Mbarara'!C14+'Avg Week Mbarara-Masaka'!C14</f>
        <v>12.142857142857144</v>
      </c>
      <c r="D14" s="49">
        <f>'Avg Week Masaka-Mbarara'!D14+'Avg Week Mbarara-Masaka'!D14</f>
        <v>5.2857142857142856</v>
      </c>
      <c r="E14" s="49">
        <f>'Avg Week Masaka-Mbarara'!E14+'Avg Week Mbarara-Masaka'!E14</f>
        <v>2.7142857142857144</v>
      </c>
      <c r="F14" s="49">
        <f>'Avg Week Masaka-Mbarara'!F14+'Avg Week Mbarara-Masaka'!F14</f>
        <v>7</v>
      </c>
      <c r="G14" s="49">
        <f>'Avg Week Masaka-Mbarara'!G14+'Avg Week Mbarara-Masaka'!G14</f>
        <v>0</v>
      </c>
      <c r="H14" s="49">
        <f>'Avg Week Masaka-Mbarara'!H14+'Avg Week Mbarara-Masaka'!H14</f>
        <v>0.8571428571428571</v>
      </c>
      <c r="I14" s="49">
        <f>'Avg Week Masaka-Mbarara'!I14+'Avg Week Mbarara-Masaka'!I14</f>
        <v>2.4285714285714284</v>
      </c>
      <c r="J14" s="49">
        <f>'Avg Week Masaka-Mbarara'!J14+'Avg Week Mbarara-Masaka'!J14</f>
        <v>1.4285714285714284</v>
      </c>
      <c r="K14" s="49">
        <f>'Avg Week Masaka-Mbarara'!K14+'Avg Week Mbarara-Masaka'!K14</f>
        <v>2.8571428571428572</v>
      </c>
      <c r="L14" s="49">
        <f>'Avg Week Masaka-Mbarara'!L14+'Avg Week Mbarara-Masaka'!L14</f>
        <v>0.14285714285714285</v>
      </c>
      <c r="M14" s="49">
        <f>'Avg Week Masaka-Mbarara'!M14+'Avg Week Mbarara-Masaka'!M14</f>
        <v>25</v>
      </c>
      <c r="N14" s="49">
        <f>'Avg Week Masaka-Mbarara'!N14+'Avg Week Mbarara-Masaka'!N14</f>
        <v>0</v>
      </c>
      <c r="O14" s="15">
        <f t="shared" si="0"/>
        <v>34.857142857142861</v>
      </c>
      <c r="P14" s="15">
        <f t="shared" si="1"/>
        <v>59.857142857142861</v>
      </c>
      <c r="R14" s="51" t="s">
        <v>10</v>
      </c>
      <c r="S14" s="53">
        <f t="shared" ref="S14:AF14" si="6">SUM(C26:C29)</f>
        <v>66.857142857142861</v>
      </c>
      <c r="T14" s="53">
        <f t="shared" si="6"/>
        <v>32.857142857142854</v>
      </c>
      <c r="U14" s="53">
        <f t="shared" si="6"/>
        <v>22.142857142857146</v>
      </c>
      <c r="V14" s="53">
        <f t="shared" si="6"/>
        <v>38.142857142857139</v>
      </c>
      <c r="W14" s="53">
        <f t="shared" si="6"/>
        <v>1.9999999999999998</v>
      </c>
      <c r="X14" s="53">
        <f t="shared" si="6"/>
        <v>10</v>
      </c>
      <c r="Y14" s="53">
        <f t="shared" si="6"/>
        <v>8.2857142857142847</v>
      </c>
      <c r="Z14" s="53">
        <f t="shared" si="6"/>
        <v>10.285714285714285</v>
      </c>
      <c r="AA14" s="53">
        <f t="shared" si="6"/>
        <v>11.428571428571429</v>
      </c>
      <c r="AB14" s="53">
        <f t="shared" si="6"/>
        <v>3.1428571428571423</v>
      </c>
      <c r="AC14" s="53">
        <f t="shared" si="6"/>
        <v>97.142857142857139</v>
      </c>
      <c r="AD14" s="53">
        <f t="shared" si="6"/>
        <v>0</v>
      </c>
      <c r="AE14" s="56">
        <f t="shared" si="6"/>
        <v>205.14285714285714</v>
      </c>
      <c r="AF14" s="56">
        <f t="shared" si="6"/>
        <v>302.28571428571428</v>
      </c>
    </row>
    <row r="15" spans="2:32" ht="23.1" customHeight="1" x14ac:dyDescent="0.25">
      <c r="B15" s="23" t="s">
        <v>42</v>
      </c>
      <c r="C15" s="49">
        <f>'Avg Week Masaka-Mbarara'!C15+'Avg Week Mbarara-Masaka'!C15</f>
        <v>12.142857142857142</v>
      </c>
      <c r="D15" s="49">
        <f>'Avg Week Masaka-Mbarara'!D15+'Avg Week Mbarara-Masaka'!D15</f>
        <v>7.1428571428571423</v>
      </c>
      <c r="E15" s="49">
        <f>'Avg Week Masaka-Mbarara'!E15+'Avg Week Mbarara-Masaka'!E15</f>
        <v>3.4285714285714288</v>
      </c>
      <c r="F15" s="49">
        <f>'Avg Week Masaka-Mbarara'!F15+'Avg Week Mbarara-Masaka'!F15</f>
        <v>6.7142857142857144</v>
      </c>
      <c r="G15" s="49">
        <f>'Avg Week Masaka-Mbarara'!G15+'Avg Week Mbarara-Masaka'!G15</f>
        <v>0</v>
      </c>
      <c r="H15" s="49">
        <f>'Avg Week Masaka-Mbarara'!H15+'Avg Week Mbarara-Masaka'!H15</f>
        <v>1.5714285714285714</v>
      </c>
      <c r="I15" s="49">
        <f>'Avg Week Masaka-Mbarara'!I15+'Avg Week Mbarara-Masaka'!I15</f>
        <v>2</v>
      </c>
      <c r="J15" s="49">
        <f>'Avg Week Masaka-Mbarara'!J15+'Avg Week Mbarara-Masaka'!J15</f>
        <v>1.8571428571428572</v>
      </c>
      <c r="K15" s="49">
        <f>'Avg Week Masaka-Mbarara'!K15+'Avg Week Mbarara-Masaka'!K15</f>
        <v>3.2857142857142856</v>
      </c>
      <c r="L15" s="49">
        <f>'Avg Week Masaka-Mbarara'!L15+'Avg Week Mbarara-Masaka'!L15</f>
        <v>0.14285714285714285</v>
      </c>
      <c r="M15" s="49">
        <f>'Avg Week Masaka-Mbarara'!M15+'Avg Week Mbarara-Masaka'!M15</f>
        <v>30.857142857142858</v>
      </c>
      <c r="N15" s="49">
        <f>'Avg Week Masaka-Mbarara'!N15+'Avg Week Mbarara-Masaka'!N15</f>
        <v>0</v>
      </c>
      <c r="O15" s="15">
        <f t="shared" si="0"/>
        <v>38.285714285714285</v>
      </c>
      <c r="P15" s="15">
        <f t="shared" si="1"/>
        <v>69.142857142857139</v>
      </c>
      <c r="R15" s="51" t="s">
        <v>11</v>
      </c>
      <c r="S15" s="53">
        <f t="shared" ref="S15:AF15" si="7">SUM(C30:C33)</f>
        <v>68.142857142857139</v>
      </c>
      <c r="T15" s="53">
        <f t="shared" si="7"/>
        <v>35</v>
      </c>
      <c r="U15" s="53">
        <f t="shared" si="7"/>
        <v>20.428571428571427</v>
      </c>
      <c r="V15" s="53">
        <f t="shared" si="7"/>
        <v>42.857142857142861</v>
      </c>
      <c r="W15" s="53">
        <f t="shared" si="7"/>
        <v>1</v>
      </c>
      <c r="X15" s="53">
        <f t="shared" si="7"/>
        <v>10.857142857142858</v>
      </c>
      <c r="Y15" s="53">
        <f t="shared" si="7"/>
        <v>11.285714285714286</v>
      </c>
      <c r="Z15" s="53">
        <f t="shared" si="7"/>
        <v>9.571428571428573</v>
      </c>
      <c r="AA15" s="53">
        <f t="shared" si="7"/>
        <v>10.428571428571429</v>
      </c>
      <c r="AB15" s="53">
        <f t="shared" si="7"/>
        <v>4</v>
      </c>
      <c r="AC15" s="53">
        <f t="shared" si="7"/>
        <v>115.71428571428572</v>
      </c>
      <c r="AD15" s="53">
        <f t="shared" si="7"/>
        <v>0</v>
      </c>
      <c r="AE15" s="56">
        <f t="shared" si="7"/>
        <v>213.57142857142858</v>
      </c>
      <c r="AF15" s="56">
        <f t="shared" si="7"/>
        <v>329.28571428571433</v>
      </c>
    </row>
    <row r="16" spans="2:32" ht="23.1" customHeight="1" x14ac:dyDescent="0.25">
      <c r="B16" s="23" t="s">
        <v>43</v>
      </c>
      <c r="C16" s="49">
        <f>'Avg Week Masaka-Mbarara'!C16+'Avg Week Mbarara-Masaka'!C16</f>
        <v>12.571428571428571</v>
      </c>
      <c r="D16" s="49">
        <f>'Avg Week Masaka-Mbarara'!D16+'Avg Week Mbarara-Masaka'!D16</f>
        <v>4.8571428571428577</v>
      </c>
      <c r="E16" s="49">
        <f>'Avg Week Masaka-Mbarara'!E16+'Avg Week Mbarara-Masaka'!E16</f>
        <v>4.4285714285714288</v>
      </c>
      <c r="F16" s="49">
        <f>'Avg Week Masaka-Mbarara'!F16+'Avg Week Mbarara-Masaka'!F16</f>
        <v>8.2857142857142847</v>
      </c>
      <c r="G16" s="49">
        <f>'Avg Week Masaka-Mbarara'!G16+'Avg Week Mbarara-Masaka'!G16</f>
        <v>0.14285714285714285</v>
      </c>
      <c r="H16" s="49">
        <f>'Avg Week Masaka-Mbarara'!H16+'Avg Week Mbarara-Masaka'!H16</f>
        <v>1.4285714285714284</v>
      </c>
      <c r="I16" s="49">
        <f>'Avg Week Masaka-Mbarara'!I16+'Avg Week Mbarara-Masaka'!I16</f>
        <v>2.7142857142857144</v>
      </c>
      <c r="J16" s="49">
        <f>'Avg Week Masaka-Mbarara'!J16+'Avg Week Mbarara-Masaka'!J16</f>
        <v>3.2857142857142856</v>
      </c>
      <c r="K16" s="49">
        <f>'Avg Week Masaka-Mbarara'!K16+'Avg Week Mbarara-Masaka'!K16</f>
        <v>2.7142857142857144</v>
      </c>
      <c r="L16" s="49">
        <f>'Avg Week Masaka-Mbarara'!L16+'Avg Week Mbarara-Masaka'!L16</f>
        <v>0.5714285714285714</v>
      </c>
      <c r="M16" s="49">
        <f>'Avg Week Masaka-Mbarara'!M16+'Avg Week Mbarara-Masaka'!M16</f>
        <v>24.714285714285715</v>
      </c>
      <c r="N16" s="49">
        <f>'Avg Week Masaka-Mbarara'!N16+'Avg Week Mbarara-Masaka'!N16</f>
        <v>0</v>
      </c>
      <c r="O16" s="15">
        <f t="shared" si="0"/>
        <v>41</v>
      </c>
      <c r="P16" s="15">
        <f t="shared" si="1"/>
        <v>65.714285714285722</v>
      </c>
      <c r="R16" s="51" t="s">
        <v>12</v>
      </c>
      <c r="S16" s="53">
        <f t="shared" ref="S16:AF16" si="8">SUM(C34:C37)</f>
        <v>73</v>
      </c>
      <c r="T16" s="53">
        <f t="shared" si="8"/>
        <v>28.571428571428573</v>
      </c>
      <c r="U16" s="53">
        <f t="shared" si="8"/>
        <v>17.999999999999996</v>
      </c>
      <c r="V16" s="53">
        <f t="shared" si="8"/>
        <v>35.857142857142861</v>
      </c>
      <c r="W16" s="53">
        <f t="shared" si="8"/>
        <v>2.2857142857142856</v>
      </c>
      <c r="X16" s="53">
        <f t="shared" si="8"/>
        <v>12.857142857142856</v>
      </c>
      <c r="Y16" s="53">
        <f t="shared" si="8"/>
        <v>15</v>
      </c>
      <c r="Z16" s="53">
        <f t="shared" si="8"/>
        <v>10.428571428571429</v>
      </c>
      <c r="AA16" s="53">
        <f t="shared" si="8"/>
        <v>10.857142857142858</v>
      </c>
      <c r="AB16" s="53">
        <f t="shared" si="8"/>
        <v>1.857142857142857</v>
      </c>
      <c r="AC16" s="53">
        <f t="shared" si="8"/>
        <v>111.28571428571428</v>
      </c>
      <c r="AD16" s="53">
        <f t="shared" si="8"/>
        <v>0</v>
      </c>
      <c r="AE16" s="56">
        <f t="shared" si="8"/>
        <v>208.71428571428575</v>
      </c>
      <c r="AF16" s="56">
        <f t="shared" si="8"/>
        <v>320</v>
      </c>
    </row>
    <row r="17" spans="2:32" ht="23.1" customHeight="1" x14ac:dyDescent="0.25">
      <c r="B17" s="23" t="s">
        <v>44</v>
      </c>
      <c r="C17" s="49">
        <f>'Avg Week Masaka-Mbarara'!C17+'Avg Week Mbarara-Masaka'!C17</f>
        <v>13</v>
      </c>
      <c r="D17" s="49">
        <f>'Avg Week Masaka-Mbarara'!D17+'Avg Week Mbarara-Masaka'!D17</f>
        <v>7.1428571428571432</v>
      </c>
      <c r="E17" s="49">
        <f>'Avg Week Masaka-Mbarara'!E17+'Avg Week Mbarara-Masaka'!E17</f>
        <v>3.5714285714285712</v>
      </c>
      <c r="F17" s="49">
        <f>'Avg Week Masaka-Mbarara'!F17+'Avg Week Mbarara-Masaka'!F17</f>
        <v>9.1428571428571423</v>
      </c>
      <c r="G17" s="49">
        <f>'Avg Week Masaka-Mbarara'!G17+'Avg Week Mbarara-Masaka'!G17</f>
        <v>0.14285714285714285</v>
      </c>
      <c r="H17" s="49">
        <f>'Avg Week Masaka-Mbarara'!H17+'Avg Week Mbarara-Masaka'!H17</f>
        <v>0.42857142857142855</v>
      </c>
      <c r="I17" s="49">
        <f>'Avg Week Masaka-Mbarara'!I17+'Avg Week Mbarara-Masaka'!I17</f>
        <v>2.5714285714285712</v>
      </c>
      <c r="J17" s="49">
        <f>'Avg Week Masaka-Mbarara'!J17+'Avg Week Mbarara-Masaka'!J17</f>
        <v>1.2857142857142856</v>
      </c>
      <c r="K17" s="49">
        <f>'Avg Week Masaka-Mbarara'!K17+'Avg Week Mbarara-Masaka'!K17</f>
        <v>1.7142857142857142</v>
      </c>
      <c r="L17" s="49">
        <f>'Avg Week Masaka-Mbarara'!L17+'Avg Week Mbarara-Masaka'!L17</f>
        <v>0</v>
      </c>
      <c r="M17" s="49">
        <f>'Avg Week Masaka-Mbarara'!M17+'Avg Week Mbarara-Masaka'!M17</f>
        <v>25.142857142857142</v>
      </c>
      <c r="N17" s="49">
        <f>'Avg Week Masaka-Mbarara'!N17+'Avg Week Mbarara-Masaka'!N17</f>
        <v>0</v>
      </c>
      <c r="O17" s="15">
        <f t="shared" si="0"/>
        <v>39.000000000000007</v>
      </c>
      <c r="P17" s="15">
        <f t="shared" si="1"/>
        <v>64.142857142857153</v>
      </c>
      <c r="R17" s="51" t="s">
        <v>13</v>
      </c>
      <c r="S17" s="53">
        <f t="shared" ref="S17:AF17" si="9">SUM(C38:C41)</f>
        <v>63.714285714285715</v>
      </c>
      <c r="T17" s="53">
        <f t="shared" si="9"/>
        <v>32.571428571428569</v>
      </c>
      <c r="U17" s="53">
        <f t="shared" si="9"/>
        <v>16.285714285714285</v>
      </c>
      <c r="V17" s="53">
        <f t="shared" si="9"/>
        <v>34.428571428571431</v>
      </c>
      <c r="W17" s="53">
        <f t="shared" si="9"/>
        <v>1.4285714285714284</v>
      </c>
      <c r="X17" s="53">
        <f t="shared" si="9"/>
        <v>12.285714285714285</v>
      </c>
      <c r="Y17" s="53">
        <f t="shared" si="9"/>
        <v>11.285714285714285</v>
      </c>
      <c r="Z17" s="53">
        <f t="shared" si="9"/>
        <v>12.714285714285715</v>
      </c>
      <c r="AA17" s="53">
        <f t="shared" si="9"/>
        <v>15</v>
      </c>
      <c r="AB17" s="53">
        <f t="shared" si="9"/>
        <v>2.714285714285714</v>
      </c>
      <c r="AC17" s="53">
        <f t="shared" si="9"/>
        <v>107.42857142857144</v>
      </c>
      <c r="AD17" s="53">
        <f t="shared" si="9"/>
        <v>0</v>
      </c>
      <c r="AE17" s="56">
        <f t="shared" si="9"/>
        <v>202.42857142857144</v>
      </c>
      <c r="AF17" s="56">
        <f t="shared" si="9"/>
        <v>309.85714285714289</v>
      </c>
    </row>
    <row r="18" spans="2:32" ht="23.1" customHeight="1" x14ac:dyDescent="0.25">
      <c r="B18" s="23" t="s">
        <v>45</v>
      </c>
      <c r="C18" s="49">
        <f>'Avg Week Masaka-Mbarara'!C18+'Avg Week Mbarara-Masaka'!C18</f>
        <v>13</v>
      </c>
      <c r="D18" s="49">
        <f>'Avg Week Masaka-Mbarara'!D18+'Avg Week Mbarara-Masaka'!D18</f>
        <v>6.2857142857142856</v>
      </c>
      <c r="E18" s="49">
        <f>'Avg Week Masaka-Mbarara'!E18+'Avg Week Mbarara-Masaka'!E18</f>
        <v>3</v>
      </c>
      <c r="F18" s="49">
        <f>'Avg Week Masaka-Mbarara'!F18+'Avg Week Mbarara-Masaka'!F18</f>
        <v>7.7142857142857144</v>
      </c>
      <c r="G18" s="49">
        <f>'Avg Week Masaka-Mbarara'!G18+'Avg Week Mbarara-Masaka'!G18</f>
        <v>0.42857142857142855</v>
      </c>
      <c r="H18" s="49">
        <f>'Avg Week Masaka-Mbarara'!H18+'Avg Week Mbarara-Masaka'!H18</f>
        <v>1.8571428571428572</v>
      </c>
      <c r="I18" s="49">
        <f>'Avg Week Masaka-Mbarara'!I18+'Avg Week Mbarara-Masaka'!I18</f>
        <v>2.1428571428571428</v>
      </c>
      <c r="J18" s="49">
        <f>'Avg Week Masaka-Mbarara'!J18+'Avg Week Mbarara-Masaka'!J18</f>
        <v>1.8571428571428572</v>
      </c>
      <c r="K18" s="49">
        <f>'Avg Week Masaka-Mbarara'!K18+'Avg Week Mbarara-Masaka'!K18</f>
        <v>2.5714285714285712</v>
      </c>
      <c r="L18" s="49">
        <f>'Avg Week Masaka-Mbarara'!L18+'Avg Week Mbarara-Masaka'!L18</f>
        <v>0.2857142857142857</v>
      </c>
      <c r="M18" s="49">
        <f>'Avg Week Masaka-Mbarara'!M18+'Avg Week Mbarara-Masaka'!M18</f>
        <v>27.142857142857142</v>
      </c>
      <c r="N18" s="49">
        <f>'Avg Week Masaka-Mbarara'!N18+'Avg Week Mbarara-Masaka'!N18</f>
        <v>0</v>
      </c>
      <c r="O18" s="15">
        <f t="shared" si="0"/>
        <v>39.142857142857139</v>
      </c>
      <c r="P18" s="15">
        <f t="shared" si="1"/>
        <v>66.285714285714278</v>
      </c>
      <c r="R18" s="51" t="s">
        <v>14</v>
      </c>
      <c r="S18" s="53">
        <f t="shared" ref="S18:AF18" si="10">SUM(C42:C45)</f>
        <v>72.571428571428584</v>
      </c>
      <c r="T18" s="53">
        <f t="shared" si="10"/>
        <v>34.857142857142861</v>
      </c>
      <c r="U18" s="53">
        <f t="shared" si="10"/>
        <v>19</v>
      </c>
      <c r="V18" s="53">
        <f t="shared" si="10"/>
        <v>39.857142857142854</v>
      </c>
      <c r="W18" s="53">
        <f t="shared" si="10"/>
        <v>1.857142857142857</v>
      </c>
      <c r="X18" s="53">
        <f t="shared" si="10"/>
        <v>13.857142857142858</v>
      </c>
      <c r="Y18" s="53">
        <f t="shared" si="10"/>
        <v>13.857142857142858</v>
      </c>
      <c r="Z18" s="53">
        <f t="shared" si="10"/>
        <v>14.285714285714285</v>
      </c>
      <c r="AA18" s="53">
        <f t="shared" si="10"/>
        <v>15.285714285714286</v>
      </c>
      <c r="AB18" s="53">
        <f t="shared" si="10"/>
        <v>2.2857142857142856</v>
      </c>
      <c r="AC18" s="53">
        <f t="shared" si="10"/>
        <v>113.42857142857143</v>
      </c>
      <c r="AD18" s="53">
        <f t="shared" si="10"/>
        <v>0.14285714285714285</v>
      </c>
      <c r="AE18" s="56">
        <f t="shared" si="10"/>
        <v>227.85714285714286</v>
      </c>
      <c r="AF18" s="56">
        <f t="shared" si="10"/>
        <v>341.28571428571428</v>
      </c>
    </row>
    <row r="19" spans="2:32" ht="23.1" customHeight="1" x14ac:dyDescent="0.25">
      <c r="B19" s="23" t="s">
        <v>46</v>
      </c>
      <c r="C19" s="49">
        <f>'Avg Week Masaka-Mbarara'!C19+'Avg Week Mbarara-Masaka'!C19</f>
        <v>11.714285714285714</v>
      </c>
      <c r="D19" s="49">
        <f>'Avg Week Masaka-Mbarara'!D19+'Avg Week Mbarara-Masaka'!D19</f>
        <v>7.1428571428571423</v>
      </c>
      <c r="E19" s="49">
        <f>'Avg Week Masaka-Mbarara'!E19+'Avg Week Mbarara-Masaka'!E19</f>
        <v>4.5714285714285712</v>
      </c>
      <c r="F19" s="49">
        <f>'Avg Week Masaka-Mbarara'!F19+'Avg Week Mbarara-Masaka'!F19</f>
        <v>10.142857142857142</v>
      </c>
      <c r="G19" s="49">
        <f>'Avg Week Masaka-Mbarara'!G19+'Avg Week Mbarara-Masaka'!G19</f>
        <v>0.42857142857142855</v>
      </c>
      <c r="H19" s="49">
        <f>'Avg Week Masaka-Mbarara'!H19+'Avg Week Mbarara-Masaka'!H19</f>
        <v>1.1428571428571428</v>
      </c>
      <c r="I19" s="49">
        <f>'Avg Week Masaka-Mbarara'!I19+'Avg Week Mbarara-Masaka'!I19</f>
        <v>3.2857142857142856</v>
      </c>
      <c r="J19" s="49">
        <f>'Avg Week Masaka-Mbarara'!J19+'Avg Week Mbarara-Masaka'!J19</f>
        <v>1.5714285714285714</v>
      </c>
      <c r="K19" s="49">
        <f>'Avg Week Masaka-Mbarara'!K19+'Avg Week Mbarara-Masaka'!K19</f>
        <v>3.8571428571428568</v>
      </c>
      <c r="L19" s="49">
        <f>'Avg Week Masaka-Mbarara'!L19+'Avg Week Mbarara-Masaka'!L19</f>
        <v>0.5714285714285714</v>
      </c>
      <c r="M19" s="49">
        <f>'Avg Week Masaka-Mbarara'!M19+'Avg Week Mbarara-Masaka'!M19</f>
        <v>26</v>
      </c>
      <c r="N19" s="49">
        <f>'Avg Week Masaka-Mbarara'!N19+'Avg Week Mbarara-Masaka'!N19</f>
        <v>0</v>
      </c>
      <c r="O19" s="15">
        <f t="shared" si="0"/>
        <v>44.428571428571423</v>
      </c>
      <c r="P19" s="15">
        <f t="shared" si="1"/>
        <v>70.428571428571416</v>
      </c>
      <c r="R19" s="51" t="s">
        <v>15</v>
      </c>
      <c r="S19" s="53">
        <f t="shared" ref="S19:AF19" si="11">SUM(C46:C49)</f>
        <v>77.428571428571445</v>
      </c>
      <c r="T19" s="53">
        <f t="shared" si="11"/>
        <v>35.142857142857139</v>
      </c>
      <c r="U19" s="53">
        <f t="shared" si="11"/>
        <v>21.428571428571427</v>
      </c>
      <c r="V19" s="53">
        <f t="shared" si="11"/>
        <v>35.571428571428569</v>
      </c>
      <c r="W19" s="53">
        <f t="shared" si="11"/>
        <v>1</v>
      </c>
      <c r="X19" s="53">
        <f t="shared" si="11"/>
        <v>13.142857142857142</v>
      </c>
      <c r="Y19" s="53">
        <f t="shared" si="11"/>
        <v>14.428571428571427</v>
      </c>
      <c r="Z19" s="53">
        <f t="shared" si="11"/>
        <v>17.285714285714285</v>
      </c>
      <c r="AA19" s="53">
        <f t="shared" si="11"/>
        <v>15.285714285714286</v>
      </c>
      <c r="AB19" s="53">
        <f t="shared" si="11"/>
        <v>2.8571428571428568</v>
      </c>
      <c r="AC19" s="53">
        <f t="shared" si="11"/>
        <v>128.85714285714283</v>
      </c>
      <c r="AD19" s="53">
        <f t="shared" si="11"/>
        <v>0</v>
      </c>
      <c r="AE19" s="56">
        <f t="shared" si="11"/>
        <v>233.57142857142856</v>
      </c>
      <c r="AF19" s="56">
        <f t="shared" si="11"/>
        <v>362.42857142857144</v>
      </c>
    </row>
    <row r="20" spans="2:32" ht="23.1" customHeight="1" x14ac:dyDescent="0.25">
      <c r="B20" s="23" t="s">
        <v>47</v>
      </c>
      <c r="C20" s="49">
        <f>'Avg Week Masaka-Mbarara'!C20+'Avg Week Mbarara-Masaka'!C20</f>
        <v>18.571428571428573</v>
      </c>
      <c r="D20" s="49">
        <f>'Avg Week Masaka-Mbarara'!D20+'Avg Week Mbarara-Masaka'!D20</f>
        <v>6</v>
      </c>
      <c r="E20" s="49">
        <f>'Avg Week Masaka-Mbarara'!E20+'Avg Week Mbarara-Masaka'!E20</f>
        <v>4</v>
      </c>
      <c r="F20" s="49">
        <f>'Avg Week Masaka-Mbarara'!F20+'Avg Week Mbarara-Masaka'!F20</f>
        <v>10.571428571428573</v>
      </c>
      <c r="G20" s="49">
        <f>'Avg Week Masaka-Mbarara'!G20+'Avg Week Mbarara-Masaka'!G20</f>
        <v>0</v>
      </c>
      <c r="H20" s="49">
        <f>'Avg Week Masaka-Mbarara'!H20+'Avg Week Mbarara-Masaka'!H20</f>
        <v>1.8571428571428572</v>
      </c>
      <c r="I20" s="49">
        <f>'Avg Week Masaka-Mbarara'!I20+'Avg Week Mbarara-Masaka'!I20</f>
        <v>3.1428571428571428</v>
      </c>
      <c r="J20" s="49">
        <f>'Avg Week Masaka-Mbarara'!J20+'Avg Week Mbarara-Masaka'!J20</f>
        <v>2.4285714285714288</v>
      </c>
      <c r="K20" s="49">
        <f>'Avg Week Masaka-Mbarara'!K20+'Avg Week Mbarara-Masaka'!K20</f>
        <v>4.5714285714285712</v>
      </c>
      <c r="L20" s="49">
        <f>'Avg Week Masaka-Mbarara'!L20+'Avg Week Mbarara-Masaka'!L20</f>
        <v>0.42857142857142855</v>
      </c>
      <c r="M20" s="49">
        <f>'Avg Week Masaka-Mbarara'!M20+'Avg Week Mbarara-Masaka'!M20</f>
        <v>27.857142857142854</v>
      </c>
      <c r="N20" s="49">
        <f>'Avg Week Masaka-Mbarara'!N20+'Avg Week Mbarara-Masaka'!N20</f>
        <v>0</v>
      </c>
      <c r="O20" s="15">
        <f t="shared" si="0"/>
        <v>51.571428571428577</v>
      </c>
      <c r="P20" s="15">
        <f t="shared" si="1"/>
        <v>79.428571428571431</v>
      </c>
      <c r="R20" s="51" t="s">
        <v>16</v>
      </c>
      <c r="S20" s="53">
        <f t="shared" ref="S20:AF20" si="12">SUM(C50:C53)</f>
        <v>87.714285714285708</v>
      </c>
      <c r="T20" s="53">
        <f t="shared" si="12"/>
        <v>40.714285714285708</v>
      </c>
      <c r="U20" s="53">
        <f t="shared" si="12"/>
        <v>26.428571428571431</v>
      </c>
      <c r="V20" s="53">
        <f t="shared" si="12"/>
        <v>40.714285714285715</v>
      </c>
      <c r="W20" s="53">
        <f t="shared" si="12"/>
        <v>2.2857142857142856</v>
      </c>
      <c r="X20" s="53">
        <f t="shared" si="12"/>
        <v>11.571428571428569</v>
      </c>
      <c r="Y20" s="53">
        <f t="shared" si="12"/>
        <v>19.999999999999996</v>
      </c>
      <c r="Z20" s="53">
        <f t="shared" si="12"/>
        <v>22.714285714285715</v>
      </c>
      <c r="AA20" s="53">
        <f t="shared" si="12"/>
        <v>20.714285714285715</v>
      </c>
      <c r="AB20" s="53">
        <f t="shared" si="12"/>
        <v>4.1428571428571423</v>
      </c>
      <c r="AC20" s="53">
        <f t="shared" si="12"/>
        <v>137.85714285714283</v>
      </c>
      <c r="AD20" s="53">
        <f t="shared" si="12"/>
        <v>0</v>
      </c>
      <c r="AE20" s="56">
        <f t="shared" si="12"/>
        <v>277</v>
      </c>
      <c r="AF20" s="56">
        <f t="shared" si="12"/>
        <v>414.85714285714283</v>
      </c>
    </row>
    <row r="21" spans="2:32" ht="23.1" customHeight="1" x14ac:dyDescent="0.25">
      <c r="B21" s="23" t="s">
        <v>48</v>
      </c>
      <c r="C21" s="49">
        <f>'Avg Week Masaka-Mbarara'!C21+'Avg Week Mbarara-Masaka'!C21</f>
        <v>11.571428571428571</v>
      </c>
      <c r="D21" s="49">
        <f>'Avg Week Masaka-Mbarara'!D21+'Avg Week Mbarara-Masaka'!D21</f>
        <v>7.5714285714285712</v>
      </c>
      <c r="E21" s="49">
        <f>'Avg Week Masaka-Mbarara'!E21+'Avg Week Mbarara-Masaka'!E21</f>
        <v>3.8571428571428568</v>
      </c>
      <c r="F21" s="49">
        <f>'Avg Week Masaka-Mbarara'!F21+'Avg Week Mbarara-Masaka'!F21</f>
        <v>6.4285714285714288</v>
      </c>
      <c r="G21" s="49">
        <f>'Avg Week Masaka-Mbarara'!G21+'Avg Week Mbarara-Masaka'!G21</f>
        <v>0.85714285714285721</v>
      </c>
      <c r="H21" s="49">
        <f>'Avg Week Masaka-Mbarara'!H21+'Avg Week Mbarara-Masaka'!H21</f>
        <v>1</v>
      </c>
      <c r="I21" s="49">
        <f>'Avg Week Masaka-Mbarara'!I21+'Avg Week Mbarara-Masaka'!I21</f>
        <v>2.7142857142857144</v>
      </c>
      <c r="J21" s="49">
        <f>'Avg Week Masaka-Mbarara'!J21+'Avg Week Mbarara-Masaka'!J21</f>
        <v>1.5714285714285714</v>
      </c>
      <c r="K21" s="49">
        <f>'Avg Week Masaka-Mbarara'!K21+'Avg Week Mbarara-Masaka'!K21</f>
        <v>2.7142857142857144</v>
      </c>
      <c r="L21" s="49">
        <f>'Avg Week Masaka-Mbarara'!L21+'Avg Week Mbarara-Masaka'!L21</f>
        <v>0.42857142857142855</v>
      </c>
      <c r="M21" s="49">
        <f>'Avg Week Masaka-Mbarara'!M21+'Avg Week Mbarara-Masaka'!M21</f>
        <v>22.428571428571431</v>
      </c>
      <c r="N21" s="49">
        <f>'Avg Week Masaka-Mbarara'!N21+'Avg Week Mbarara-Masaka'!N21</f>
        <v>0</v>
      </c>
      <c r="O21" s="15">
        <f t="shared" si="0"/>
        <v>38.714285714285715</v>
      </c>
      <c r="P21" s="15">
        <f t="shared" si="1"/>
        <v>61.142857142857146</v>
      </c>
      <c r="R21" s="58" t="s">
        <v>20</v>
      </c>
      <c r="S21" s="57">
        <f t="shared" ref="S21:AF21" si="13">SUM(C54:C57)</f>
        <v>86.857142857142861</v>
      </c>
      <c r="T21" s="53">
        <f t="shared" si="13"/>
        <v>29.857142857142854</v>
      </c>
      <c r="U21" s="53">
        <f t="shared" si="13"/>
        <v>24.285714285714285</v>
      </c>
      <c r="V21" s="53">
        <f t="shared" si="13"/>
        <v>43.285714285714292</v>
      </c>
      <c r="W21" s="53">
        <f t="shared" si="13"/>
        <v>2.5714285714285712</v>
      </c>
      <c r="X21" s="53">
        <f t="shared" si="13"/>
        <v>9.8571428571428577</v>
      </c>
      <c r="Y21" s="53">
        <f t="shared" si="13"/>
        <v>19.428571428571427</v>
      </c>
      <c r="Z21" s="53">
        <f t="shared" si="13"/>
        <v>24.428571428571431</v>
      </c>
      <c r="AA21" s="53">
        <f t="shared" si="13"/>
        <v>20.857142857142858</v>
      </c>
      <c r="AB21" s="53">
        <f t="shared" si="13"/>
        <v>3.2857142857142856</v>
      </c>
      <c r="AC21" s="53">
        <f t="shared" si="13"/>
        <v>138.42857142857144</v>
      </c>
      <c r="AD21" s="53">
        <f t="shared" si="13"/>
        <v>0</v>
      </c>
      <c r="AE21" s="56">
        <f t="shared" si="13"/>
        <v>264.71428571428572</v>
      </c>
      <c r="AF21" s="56">
        <f t="shared" si="13"/>
        <v>403.14285714285711</v>
      </c>
    </row>
    <row r="22" spans="2:32" ht="23.1" customHeight="1" x14ac:dyDescent="0.25">
      <c r="B22" s="23" t="s">
        <v>49</v>
      </c>
      <c r="C22" s="49">
        <f>'Avg Week Masaka-Mbarara'!C22+'Avg Week Mbarara-Masaka'!C22</f>
        <v>13.857142857142858</v>
      </c>
      <c r="D22" s="49">
        <f>'Avg Week Masaka-Mbarara'!D22+'Avg Week Mbarara-Masaka'!D22</f>
        <v>7.7142857142857135</v>
      </c>
      <c r="E22" s="49">
        <f>'Avg Week Masaka-Mbarara'!E22+'Avg Week Mbarara-Masaka'!E22</f>
        <v>6.2857142857142856</v>
      </c>
      <c r="F22" s="49">
        <f>'Avg Week Masaka-Mbarara'!F22+'Avg Week Mbarara-Masaka'!F22</f>
        <v>10.857142857142858</v>
      </c>
      <c r="G22" s="49">
        <f>'Avg Week Masaka-Mbarara'!G22+'Avg Week Mbarara-Masaka'!G22</f>
        <v>0.71428571428571419</v>
      </c>
      <c r="H22" s="49">
        <f>'Avg Week Masaka-Mbarara'!H22+'Avg Week Mbarara-Masaka'!H22</f>
        <v>1.7142857142857144</v>
      </c>
      <c r="I22" s="49">
        <f>'Avg Week Masaka-Mbarara'!I22+'Avg Week Mbarara-Masaka'!I22</f>
        <v>4</v>
      </c>
      <c r="J22" s="49">
        <f>'Avg Week Masaka-Mbarara'!J22+'Avg Week Mbarara-Masaka'!J22</f>
        <v>3</v>
      </c>
      <c r="K22" s="49">
        <f>'Avg Week Masaka-Mbarara'!K22+'Avg Week Mbarara-Masaka'!K22</f>
        <v>3.7142857142857144</v>
      </c>
      <c r="L22" s="49">
        <f>'Avg Week Masaka-Mbarara'!L22+'Avg Week Mbarara-Masaka'!L22</f>
        <v>0.8571428571428571</v>
      </c>
      <c r="M22" s="49">
        <f>'Avg Week Masaka-Mbarara'!M22+'Avg Week Mbarara-Masaka'!M22</f>
        <v>29.428571428571431</v>
      </c>
      <c r="N22" s="49">
        <f>'Avg Week Masaka-Mbarara'!N22+'Avg Week Mbarara-Masaka'!N22</f>
        <v>0</v>
      </c>
      <c r="O22" s="15">
        <f t="shared" si="0"/>
        <v>52.714285714285708</v>
      </c>
      <c r="P22" s="15">
        <f t="shared" si="1"/>
        <v>82.142857142857139</v>
      </c>
      <c r="R22" s="51" t="s">
        <v>146</v>
      </c>
      <c r="S22" s="57">
        <f>SUM(C58:C61)</f>
        <v>67.5</v>
      </c>
      <c r="T22" s="57">
        <f t="shared" ref="T22:AF22" si="14">SUM(D58:D61)</f>
        <v>23.5</v>
      </c>
      <c r="U22" s="57">
        <f t="shared" si="14"/>
        <v>15.5</v>
      </c>
      <c r="V22" s="57">
        <f t="shared" si="14"/>
        <v>33.5</v>
      </c>
      <c r="W22" s="57">
        <f t="shared" si="14"/>
        <v>1.5</v>
      </c>
      <c r="X22" s="57">
        <f t="shared" si="14"/>
        <v>9.5</v>
      </c>
      <c r="Y22" s="57">
        <f t="shared" si="14"/>
        <v>23</v>
      </c>
      <c r="Z22" s="57">
        <f t="shared" si="14"/>
        <v>19</v>
      </c>
      <c r="AA22" s="57">
        <f t="shared" si="14"/>
        <v>27.5</v>
      </c>
      <c r="AB22" s="57">
        <f t="shared" si="14"/>
        <v>4</v>
      </c>
      <c r="AC22" s="57">
        <f t="shared" si="14"/>
        <v>68</v>
      </c>
      <c r="AD22" s="57">
        <f t="shared" si="14"/>
        <v>0</v>
      </c>
      <c r="AE22" s="56">
        <f t="shared" si="14"/>
        <v>224.5</v>
      </c>
      <c r="AF22" s="56">
        <f t="shared" si="14"/>
        <v>292.5</v>
      </c>
    </row>
    <row r="23" spans="2:32" ht="23.1" customHeight="1" x14ac:dyDescent="0.25">
      <c r="B23" s="23" t="s">
        <v>50</v>
      </c>
      <c r="C23" s="49">
        <f>'Avg Week Masaka-Mbarara'!C23+'Avg Week Mbarara-Masaka'!C23</f>
        <v>17.428571428571431</v>
      </c>
      <c r="D23" s="49">
        <f>'Avg Week Masaka-Mbarara'!D23+'Avg Week Mbarara-Masaka'!D23</f>
        <v>8.8571428571428577</v>
      </c>
      <c r="E23" s="49">
        <f>'Avg Week Masaka-Mbarara'!E23+'Avg Week Mbarara-Masaka'!E23</f>
        <v>4.2857142857142856</v>
      </c>
      <c r="F23" s="49">
        <f>'Avg Week Masaka-Mbarara'!F23+'Avg Week Mbarara-Masaka'!F23</f>
        <v>8.8571428571428577</v>
      </c>
      <c r="G23" s="49">
        <f>'Avg Week Masaka-Mbarara'!G23+'Avg Week Mbarara-Masaka'!G23</f>
        <v>0.14285714285714285</v>
      </c>
      <c r="H23" s="49">
        <f>'Avg Week Masaka-Mbarara'!H23+'Avg Week Mbarara-Masaka'!H23</f>
        <v>2.1428571428571428</v>
      </c>
      <c r="I23" s="49">
        <f>'Avg Week Masaka-Mbarara'!I23+'Avg Week Mbarara-Masaka'!I23</f>
        <v>3.1428571428571428</v>
      </c>
      <c r="J23" s="49">
        <f>'Avg Week Masaka-Mbarara'!J23+'Avg Week Mbarara-Masaka'!J23</f>
        <v>3.2857142857142856</v>
      </c>
      <c r="K23" s="49">
        <f>'Avg Week Masaka-Mbarara'!K23+'Avg Week Mbarara-Masaka'!K23</f>
        <v>3.2857142857142856</v>
      </c>
      <c r="L23" s="49">
        <f>'Avg Week Masaka-Mbarara'!L23+'Avg Week Mbarara-Masaka'!L23</f>
        <v>0.2857142857142857</v>
      </c>
      <c r="M23" s="49">
        <f>'Avg Week Masaka-Mbarara'!M23+'Avg Week Mbarara-Masaka'!M23</f>
        <v>27.428571428571431</v>
      </c>
      <c r="N23" s="49">
        <f>'Avg Week Masaka-Mbarara'!N23+'Avg Week Mbarara-Masaka'!N23</f>
        <v>0</v>
      </c>
      <c r="O23" s="15">
        <f t="shared" si="0"/>
        <v>51.714285714285722</v>
      </c>
      <c r="P23" s="15">
        <f t="shared" si="1"/>
        <v>79.142857142857153</v>
      </c>
      <c r="R23" s="51" t="s">
        <v>147</v>
      </c>
      <c r="S23" s="57">
        <f>SUM(C62:C65)</f>
        <v>63.5</v>
      </c>
      <c r="T23" s="57">
        <f t="shared" ref="T23:AF23" si="15">SUM(D62:D65)</f>
        <v>15.5</v>
      </c>
      <c r="U23" s="57">
        <f t="shared" si="15"/>
        <v>11.5</v>
      </c>
      <c r="V23" s="57">
        <f t="shared" si="15"/>
        <v>30</v>
      </c>
      <c r="W23" s="57">
        <f t="shared" si="15"/>
        <v>1.5</v>
      </c>
      <c r="X23" s="57">
        <f t="shared" si="15"/>
        <v>8.5</v>
      </c>
      <c r="Y23" s="57">
        <f t="shared" si="15"/>
        <v>23</v>
      </c>
      <c r="Z23" s="57">
        <f t="shared" si="15"/>
        <v>22.5</v>
      </c>
      <c r="AA23" s="57">
        <f t="shared" si="15"/>
        <v>26</v>
      </c>
      <c r="AB23" s="57">
        <f t="shared" si="15"/>
        <v>3.5</v>
      </c>
      <c r="AC23" s="57">
        <f t="shared" si="15"/>
        <v>46</v>
      </c>
      <c r="AD23" s="57">
        <f t="shared" si="15"/>
        <v>0</v>
      </c>
      <c r="AE23" s="56">
        <f t="shared" si="15"/>
        <v>205.5</v>
      </c>
      <c r="AF23" s="56">
        <f t="shared" si="15"/>
        <v>251.5</v>
      </c>
    </row>
    <row r="24" spans="2:32" ht="23.1" customHeight="1" x14ac:dyDescent="0.25">
      <c r="B24" s="23" t="s">
        <v>51</v>
      </c>
      <c r="C24" s="49">
        <f>'Avg Week Masaka-Mbarara'!C24+'Avg Week Mbarara-Masaka'!C24</f>
        <v>13</v>
      </c>
      <c r="D24" s="49">
        <f>'Avg Week Masaka-Mbarara'!D24+'Avg Week Mbarara-Masaka'!D24</f>
        <v>6.5714285714285712</v>
      </c>
      <c r="E24" s="49">
        <f>'Avg Week Masaka-Mbarara'!E24+'Avg Week Mbarara-Masaka'!E24</f>
        <v>4.4285714285714288</v>
      </c>
      <c r="F24" s="49">
        <f>'Avg Week Masaka-Mbarara'!F24+'Avg Week Mbarara-Masaka'!F24</f>
        <v>10.142857142857142</v>
      </c>
      <c r="G24" s="49">
        <f>'Avg Week Masaka-Mbarara'!G24+'Avg Week Mbarara-Masaka'!G24</f>
        <v>0.42857142857142855</v>
      </c>
      <c r="H24" s="49">
        <f>'Avg Week Masaka-Mbarara'!H24+'Avg Week Mbarara-Masaka'!H24</f>
        <v>2.5714285714285712</v>
      </c>
      <c r="I24" s="49">
        <f>'Avg Week Masaka-Mbarara'!I24+'Avg Week Mbarara-Masaka'!I24</f>
        <v>3</v>
      </c>
      <c r="J24" s="49">
        <f>'Avg Week Masaka-Mbarara'!J24+'Avg Week Mbarara-Masaka'!J24</f>
        <v>2.2857142857142856</v>
      </c>
      <c r="K24" s="49">
        <f>'Avg Week Masaka-Mbarara'!K24+'Avg Week Mbarara-Masaka'!K24</f>
        <v>3.5714285714285712</v>
      </c>
      <c r="L24" s="49">
        <f>'Avg Week Masaka-Mbarara'!L24+'Avg Week Mbarara-Masaka'!L24</f>
        <v>0.8571428571428571</v>
      </c>
      <c r="M24" s="49">
        <f>'Avg Week Masaka-Mbarara'!M24+'Avg Week Mbarara-Masaka'!M24</f>
        <v>22.714285714285715</v>
      </c>
      <c r="N24" s="49">
        <f>'Avg Week Masaka-Mbarara'!N24+'Avg Week Mbarara-Masaka'!N24</f>
        <v>0</v>
      </c>
      <c r="O24" s="15">
        <f t="shared" si="0"/>
        <v>46.857142857142847</v>
      </c>
      <c r="P24" s="15">
        <f t="shared" si="1"/>
        <v>69.571428571428555</v>
      </c>
      <c r="R24" s="51" t="s">
        <v>148</v>
      </c>
      <c r="S24" s="57">
        <f>SUM(C66:C69)</f>
        <v>54.5</v>
      </c>
      <c r="T24" s="57">
        <f t="shared" ref="T24:AF24" si="16">SUM(D66:D69)</f>
        <v>18</v>
      </c>
      <c r="U24" s="57">
        <f t="shared" si="16"/>
        <v>13.5</v>
      </c>
      <c r="V24" s="57">
        <f t="shared" si="16"/>
        <v>20</v>
      </c>
      <c r="W24" s="57">
        <f t="shared" si="16"/>
        <v>2.5</v>
      </c>
      <c r="X24" s="57">
        <f t="shared" si="16"/>
        <v>8</v>
      </c>
      <c r="Y24" s="57">
        <f t="shared" si="16"/>
        <v>18</v>
      </c>
      <c r="Z24" s="57">
        <f t="shared" si="16"/>
        <v>31.5</v>
      </c>
      <c r="AA24" s="57">
        <f t="shared" si="16"/>
        <v>32.5</v>
      </c>
      <c r="AB24" s="57">
        <f t="shared" si="16"/>
        <v>1.5</v>
      </c>
      <c r="AC24" s="57">
        <f t="shared" si="16"/>
        <v>26</v>
      </c>
      <c r="AD24" s="57">
        <f t="shared" si="16"/>
        <v>0</v>
      </c>
      <c r="AE24" s="56">
        <f t="shared" si="16"/>
        <v>200</v>
      </c>
      <c r="AF24" s="56">
        <f t="shared" si="16"/>
        <v>226</v>
      </c>
    </row>
    <row r="25" spans="2:32" ht="23.1" customHeight="1" x14ac:dyDescent="0.25">
      <c r="B25" s="23" t="s">
        <v>52</v>
      </c>
      <c r="C25" s="49">
        <f>'Avg Week Masaka-Mbarara'!C25+'Avg Week Mbarara-Masaka'!C25</f>
        <v>17.285714285714285</v>
      </c>
      <c r="D25" s="49">
        <f>'Avg Week Masaka-Mbarara'!D25+'Avg Week Mbarara-Masaka'!D25</f>
        <v>6</v>
      </c>
      <c r="E25" s="49">
        <f>'Avg Week Masaka-Mbarara'!E25+'Avg Week Mbarara-Masaka'!E25</f>
        <v>4.1428571428571432</v>
      </c>
      <c r="F25" s="49">
        <f>'Avg Week Masaka-Mbarara'!F25+'Avg Week Mbarara-Masaka'!F25</f>
        <v>8.4285714285714288</v>
      </c>
      <c r="G25" s="49">
        <f>'Avg Week Masaka-Mbarara'!G25+'Avg Week Mbarara-Masaka'!G25</f>
        <v>0.14285714285714285</v>
      </c>
      <c r="H25" s="49">
        <f>'Avg Week Masaka-Mbarara'!H25+'Avg Week Mbarara-Masaka'!H25</f>
        <v>2</v>
      </c>
      <c r="I25" s="49">
        <f>'Avg Week Masaka-Mbarara'!I25+'Avg Week Mbarara-Masaka'!I25</f>
        <v>2.2857142857142856</v>
      </c>
      <c r="J25" s="49">
        <f>'Avg Week Masaka-Mbarara'!J25+'Avg Week Mbarara-Masaka'!J25</f>
        <v>1</v>
      </c>
      <c r="K25" s="49">
        <f>'Avg Week Masaka-Mbarara'!K25+'Avg Week Mbarara-Masaka'!K25</f>
        <v>2.5714285714285712</v>
      </c>
      <c r="L25" s="49">
        <f>'Avg Week Masaka-Mbarara'!L25+'Avg Week Mbarara-Masaka'!L25</f>
        <v>0.2857142857142857</v>
      </c>
      <c r="M25" s="49">
        <f>'Avg Week Masaka-Mbarara'!M25+'Avg Week Mbarara-Masaka'!M25</f>
        <v>29.142857142857142</v>
      </c>
      <c r="N25" s="49">
        <f>'Avg Week Masaka-Mbarara'!N25+'Avg Week Mbarara-Masaka'!N25</f>
        <v>0</v>
      </c>
      <c r="O25" s="15">
        <f t="shared" si="0"/>
        <v>44.142857142857139</v>
      </c>
      <c r="P25" s="15">
        <f t="shared" si="1"/>
        <v>73.285714285714278</v>
      </c>
      <c r="R25" s="51" t="s">
        <v>149</v>
      </c>
      <c r="S25" s="57">
        <f>SUM(C70:C73)</f>
        <v>41.5</v>
      </c>
      <c r="T25" s="57">
        <f t="shared" ref="T25:AF25" si="17">SUM(D70:D73)</f>
        <v>11.5</v>
      </c>
      <c r="U25" s="57">
        <f t="shared" si="17"/>
        <v>8.5</v>
      </c>
      <c r="V25" s="57">
        <f t="shared" si="17"/>
        <v>9</v>
      </c>
      <c r="W25" s="57">
        <f t="shared" si="17"/>
        <v>3.5</v>
      </c>
      <c r="X25" s="57">
        <f t="shared" si="17"/>
        <v>7.5</v>
      </c>
      <c r="Y25" s="57">
        <f t="shared" si="17"/>
        <v>15.5</v>
      </c>
      <c r="Z25" s="57">
        <f t="shared" si="17"/>
        <v>31</v>
      </c>
      <c r="AA25" s="57">
        <f t="shared" si="17"/>
        <v>26.5</v>
      </c>
      <c r="AB25" s="57">
        <f t="shared" si="17"/>
        <v>1</v>
      </c>
      <c r="AC25" s="57">
        <f t="shared" si="17"/>
        <v>22.5</v>
      </c>
      <c r="AD25" s="57">
        <f t="shared" si="17"/>
        <v>0</v>
      </c>
      <c r="AE25" s="56">
        <f t="shared" si="17"/>
        <v>155.5</v>
      </c>
      <c r="AF25" s="56">
        <f t="shared" si="17"/>
        <v>178</v>
      </c>
    </row>
    <row r="26" spans="2:32" ht="23.1" customHeight="1" x14ac:dyDescent="0.25">
      <c r="B26" s="23" t="s">
        <v>53</v>
      </c>
      <c r="C26" s="49">
        <f>'Avg Week Masaka-Mbarara'!C26+'Avg Week Mbarara-Masaka'!C26</f>
        <v>18.285714285714285</v>
      </c>
      <c r="D26" s="49">
        <f>'Avg Week Masaka-Mbarara'!D26+'Avg Week Mbarara-Masaka'!D26</f>
        <v>8.1428571428571423</v>
      </c>
      <c r="E26" s="49">
        <f>'Avg Week Masaka-Mbarara'!E26+'Avg Week Mbarara-Masaka'!E26</f>
        <v>5.8571428571428577</v>
      </c>
      <c r="F26" s="49">
        <f>'Avg Week Masaka-Mbarara'!F26+'Avg Week Mbarara-Masaka'!F26</f>
        <v>8</v>
      </c>
      <c r="G26" s="49">
        <f>'Avg Week Masaka-Mbarara'!G26+'Avg Week Mbarara-Masaka'!G26</f>
        <v>0.42857142857142855</v>
      </c>
      <c r="H26" s="49">
        <f>'Avg Week Masaka-Mbarara'!H26+'Avg Week Mbarara-Masaka'!H26</f>
        <v>2.1428571428571428</v>
      </c>
      <c r="I26" s="49">
        <f>'Avg Week Masaka-Mbarara'!I26+'Avg Week Mbarara-Masaka'!I26</f>
        <v>1.7142857142857144</v>
      </c>
      <c r="J26" s="49">
        <f>'Avg Week Masaka-Mbarara'!J26+'Avg Week Mbarara-Masaka'!J26</f>
        <v>2.8571428571428572</v>
      </c>
      <c r="K26" s="49">
        <f>'Avg Week Masaka-Mbarara'!K26+'Avg Week Mbarara-Masaka'!K26</f>
        <v>4</v>
      </c>
      <c r="L26" s="49">
        <f>'Avg Week Masaka-Mbarara'!L26+'Avg Week Mbarara-Masaka'!L26</f>
        <v>1.5714285714285714</v>
      </c>
      <c r="M26" s="49">
        <f>'Avg Week Masaka-Mbarara'!M26+'Avg Week Mbarara-Masaka'!M26</f>
        <v>25.857142857142854</v>
      </c>
      <c r="N26" s="49">
        <f>'Avg Week Masaka-Mbarara'!N26+'Avg Week Mbarara-Masaka'!N26</f>
        <v>0</v>
      </c>
      <c r="O26" s="15">
        <f t="shared" si="0"/>
        <v>53</v>
      </c>
      <c r="P26" s="15">
        <f t="shared" si="1"/>
        <v>78.857142857142861</v>
      </c>
      <c r="R26" s="51" t="s">
        <v>150</v>
      </c>
      <c r="S26" s="57">
        <f>SUM(C74:C77)</f>
        <v>35</v>
      </c>
      <c r="T26" s="57">
        <f t="shared" ref="T26:AF26" si="18">SUM(D74:D77)</f>
        <v>10</v>
      </c>
      <c r="U26" s="57">
        <f t="shared" si="18"/>
        <v>4.5</v>
      </c>
      <c r="V26" s="57">
        <f t="shared" si="18"/>
        <v>6.5</v>
      </c>
      <c r="W26" s="57">
        <f t="shared" si="18"/>
        <v>1.5</v>
      </c>
      <c r="X26" s="57">
        <f t="shared" si="18"/>
        <v>7</v>
      </c>
      <c r="Y26" s="57">
        <f t="shared" si="18"/>
        <v>9.5</v>
      </c>
      <c r="Z26" s="57">
        <f t="shared" si="18"/>
        <v>35.5</v>
      </c>
      <c r="AA26" s="57">
        <f t="shared" si="18"/>
        <v>27</v>
      </c>
      <c r="AB26" s="57">
        <f t="shared" si="18"/>
        <v>1</v>
      </c>
      <c r="AC26" s="57">
        <f t="shared" si="18"/>
        <v>13</v>
      </c>
      <c r="AD26" s="57">
        <f t="shared" si="18"/>
        <v>0</v>
      </c>
      <c r="AE26" s="56">
        <f t="shared" si="18"/>
        <v>137.5</v>
      </c>
      <c r="AF26" s="56">
        <f t="shared" si="18"/>
        <v>150.5</v>
      </c>
    </row>
    <row r="27" spans="2:32" ht="23.1" customHeight="1" x14ac:dyDescent="0.25">
      <c r="B27" s="23" t="s">
        <v>54</v>
      </c>
      <c r="C27" s="49">
        <f>'Avg Week Masaka-Mbarara'!C27+'Avg Week Mbarara-Masaka'!C27</f>
        <v>13.714285714285714</v>
      </c>
      <c r="D27" s="49">
        <f>'Avg Week Masaka-Mbarara'!D27+'Avg Week Mbarara-Masaka'!D27</f>
        <v>8.2857142857142847</v>
      </c>
      <c r="E27" s="49">
        <f>'Avg Week Masaka-Mbarara'!E27+'Avg Week Mbarara-Masaka'!E27</f>
        <v>4.7142857142857144</v>
      </c>
      <c r="F27" s="49">
        <f>'Avg Week Masaka-Mbarara'!F27+'Avg Week Mbarara-Masaka'!F27</f>
        <v>8</v>
      </c>
      <c r="G27" s="49">
        <f>'Avg Week Masaka-Mbarara'!G27+'Avg Week Mbarara-Masaka'!G27</f>
        <v>0.42857142857142855</v>
      </c>
      <c r="H27" s="49">
        <f>'Avg Week Masaka-Mbarara'!H27+'Avg Week Mbarara-Masaka'!H27</f>
        <v>1.5714285714285714</v>
      </c>
      <c r="I27" s="49">
        <f>'Avg Week Masaka-Mbarara'!I27+'Avg Week Mbarara-Masaka'!I27</f>
        <v>1.5714285714285714</v>
      </c>
      <c r="J27" s="49">
        <f>'Avg Week Masaka-Mbarara'!J27+'Avg Week Mbarara-Masaka'!J27</f>
        <v>2.5714285714285712</v>
      </c>
      <c r="K27" s="49">
        <f>'Avg Week Masaka-Mbarara'!K27+'Avg Week Mbarara-Masaka'!K27</f>
        <v>2.4285714285714284</v>
      </c>
      <c r="L27" s="49">
        <f>'Avg Week Masaka-Mbarara'!L27+'Avg Week Mbarara-Masaka'!L27</f>
        <v>0.71428571428571419</v>
      </c>
      <c r="M27" s="49">
        <f>'Avg Week Masaka-Mbarara'!M27+'Avg Week Mbarara-Masaka'!M27</f>
        <v>22.571428571428573</v>
      </c>
      <c r="N27" s="49">
        <f>'Avg Week Masaka-Mbarara'!N27+'Avg Week Mbarara-Masaka'!N27</f>
        <v>0</v>
      </c>
      <c r="O27" s="15">
        <f t="shared" si="0"/>
        <v>44</v>
      </c>
      <c r="P27" s="15">
        <f t="shared" si="1"/>
        <v>66.571428571428569</v>
      </c>
      <c r="R27" s="51" t="s">
        <v>151</v>
      </c>
      <c r="S27" s="57">
        <f>SUM(C78:C81)</f>
        <v>19</v>
      </c>
      <c r="T27" s="57">
        <f t="shared" ref="T27:AF27" si="19">SUM(D78:D81)</f>
        <v>8.5</v>
      </c>
      <c r="U27" s="57">
        <f t="shared" si="19"/>
        <v>6.5</v>
      </c>
      <c r="V27" s="57">
        <f t="shared" si="19"/>
        <v>7.5</v>
      </c>
      <c r="W27" s="57">
        <f t="shared" si="19"/>
        <v>2.5</v>
      </c>
      <c r="X27" s="57">
        <f t="shared" si="19"/>
        <v>9</v>
      </c>
      <c r="Y27" s="57">
        <f t="shared" si="19"/>
        <v>9</v>
      </c>
      <c r="Z27" s="57">
        <f t="shared" si="19"/>
        <v>39.5</v>
      </c>
      <c r="AA27" s="57">
        <f t="shared" si="19"/>
        <v>19</v>
      </c>
      <c r="AB27" s="57">
        <f t="shared" si="19"/>
        <v>1.5</v>
      </c>
      <c r="AC27" s="57">
        <f t="shared" si="19"/>
        <v>3</v>
      </c>
      <c r="AD27" s="57">
        <f t="shared" si="19"/>
        <v>0</v>
      </c>
      <c r="AE27" s="56">
        <f t="shared" si="19"/>
        <v>122</v>
      </c>
      <c r="AF27" s="56">
        <f t="shared" si="19"/>
        <v>125</v>
      </c>
    </row>
    <row r="28" spans="2:32" ht="23.1" customHeight="1" x14ac:dyDescent="0.25">
      <c r="B28" s="23" t="s">
        <v>55</v>
      </c>
      <c r="C28" s="49">
        <f>'Avg Week Masaka-Mbarara'!C28+'Avg Week Mbarara-Masaka'!C28</f>
        <v>18.714285714285715</v>
      </c>
      <c r="D28" s="49">
        <f>'Avg Week Masaka-Mbarara'!D28+'Avg Week Mbarara-Masaka'!D28</f>
        <v>7.4285714285714288</v>
      </c>
      <c r="E28" s="49">
        <f>'Avg Week Masaka-Mbarara'!E28+'Avg Week Mbarara-Masaka'!E28</f>
        <v>6.2857142857142865</v>
      </c>
      <c r="F28" s="49">
        <f>'Avg Week Masaka-Mbarara'!F28+'Avg Week Mbarara-Masaka'!F28</f>
        <v>10</v>
      </c>
      <c r="G28" s="49">
        <f>'Avg Week Masaka-Mbarara'!G28+'Avg Week Mbarara-Masaka'!G28</f>
        <v>0.71428571428571419</v>
      </c>
      <c r="H28" s="49">
        <f>'Avg Week Masaka-Mbarara'!H28+'Avg Week Mbarara-Masaka'!H28</f>
        <v>3.2857142857142856</v>
      </c>
      <c r="I28" s="49">
        <f>'Avg Week Masaka-Mbarara'!I28+'Avg Week Mbarara-Masaka'!I28</f>
        <v>2</v>
      </c>
      <c r="J28" s="49">
        <f>'Avg Week Masaka-Mbarara'!J28+'Avg Week Mbarara-Masaka'!J28</f>
        <v>2.2857142857142856</v>
      </c>
      <c r="K28" s="49">
        <f>'Avg Week Masaka-Mbarara'!K28+'Avg Week Mbarara-Masaka'!K28</f>
        <v>3</v>
      </c>
      <c r="L28" s="49">
        <f>'Avg Week Masaka-Mbarara'!L28+'Avg Week Mbarara-Masaka'!L28</f>
        <v>0.2857142857142857</v>
      </c>
      <c r="M28" s="49">
        <f>'Avg Week Masaka-Mbarara'!M28+'Avg Week Mbarara-Masaka'!M28</f>
        <v>23.571428571428569</v>
      </c>
      <c r="N28" s="49">
        <f>'Avg Week Masaka-Mbarara'!N28+'Avg Week Mbarara-Masaka'!N28</f>
        <v>0</v>
      </c>
      <c r="O28" s="15">
        <f t="shared" si="0"/>
        <v>54</v>
      </c>
      <c r="P28" s="15">
        <f t="shared" si="1"/>
        <v>77.571428571428569</v>
      </c>
      <c r="R28" s="51" t="s">
        <v>152</v>
      </c>
      <c r="S28" s="57">
        <f>SUM(C82:C85)</f>
        <v>28</v>
      </c>
      <c r="T28" s="57">
        <f t="shared" ref="T28:AF28" si="20">SUM(D82:D85)</f>
        <v>10.5</v>
      </c>
      <c r="U28" s="57">
        <f t="shared" si="20"/>
        <v>9</v>
      </c>
      <c r="V28" s="57">
        <f t="shared" si="20"/>
        <v>5</v>
      </c>
      <c r="W28" s="57">
        <f t="shared" si="20"/>
        <v>0</v>
      </c>
      <c r="X28" s="57">
        <f t="shared" si="20"/>
        <v>20.5</v>
      </c>
      <c r="Y28" s="57">
        <f t="shared" si="20"/>
        <v>10.5</v>
      </c>
      <c r="Z28" s="57">
        <f t="shared" si="20"/>
        <v>30.5</v>
      </c>
      <c r="AA28" s="57">
        <f t="shared" si="20"/>
        <v>13</v>
      </c>
      <c r="AB28" s="57">
        <f t="shared" si="20"/>
        <v>3</v>
      </c>
      <c r="AC28" s="57">
        <f t="shared" si="20"/>
        <v>3.5</v>
      </c>
      <c r="AD28" s="57">
        <f t="shared" si="20"/>
        <v>0</v>
      </c>
      <c r="AE28" s="56">
        <f t="shared" si="20"/>
        <v>130</v>
      </c>
      <c r="AF28" s="56">
        <f t="shared" si="20"/>
        <v>133.5</v>
      </c>
    </row>
    <row r="29" spans="2:32" ht="23.1" customHeight="1" x14ac:dyDescent="0.25">
      <c r="B29" s="23" t="s">
        <v>56</v>
      </c>
      <c r="C29" s="49">
        <f>'Avg Week Masaka-Mbarara'!C29+'Avg Week Mbarara-Masaka'!C29</f>
        <v>16.142857142857142</v>
      </c>
      <c r="D29" s="49">
        <f>'Avg Week Masaka-Mbarara'!D29+'Avg Week Mbarara-Masaka'!D29</f>
        <v>9</v>
      </c>
      <c r="E29" s="49">
        <f>'Avg Week Masaka-Mbarara'!E29+'Avg Week Mbarara-Masaka'!E29</f>
        <v>5.2857142857142856</v>
      </c>
      <c r="F29" s="49">
        <f>'Avg Week Masaka-Mbarara'!F29+'Avg Week Mbarara-Masaka'!F29</f>
        <v>12.142857142857142</v>
      </c>
      <c r="G29" s="49">
        <f>'Avg Week Masaka-Mbarara'!G29+'Avg Week Mbarara-Masaka'!G29</f>
        <v>0.42857142857142855</v>
      </c>
      <c r="H29" s="49">
        <f>'Avg Week Masaka-Mbarara'!H29+'Avg Week Mbarara-Masaka'!H29</f>
        <v>3</v>
      </c>
      <c r="I29" s="49">
        <f>'Avg Week Masaka-Mbarara'!I29+'Avg Week Mbarara-Masaka'!I29</f>
        <v>3</v>
      </c>
      <c r="J29" s="49">
        <f>'Avg Week Masaka-Mbarara'!J29+'Avg Week Mbarara-Masaka'!J29</f>
        <v>2.5714285714285712</v>
      </c>
      <c r="K29" s="49">
        <f>'Avg Week Masaka-Mbarara'!K29+'Avg Week Mbarara-Masaka'!K29</f>
        <v>2</v>
      </c>
      <c r="L29" s="49">
        <f>'Avg Week Masaka-Mbarara'!L29+'Avg Week Mbarara-Masaka'!L29</f>
        <v>0.5714285714285714</v>
      </c>
      <c r="M29" s="49">
        <f>'Avg Week Masaka-Mbarara'!M29+'Avg Week Mbarara-Masaka'!M29</f>
        <v>25.142857142857142</v>
      </c>
      <c r="N29" s="49">
        <f>'Avg Week Masaka-Mbarara'!N29+'Avg Week Mbarara-Masaka'!N29</f>
        <v>0</v>
      </c>
      <c r="O29" s="15">
        <f t="shared" si="0"/>
        <v>54.142857142857139</v>
      </c>
      <c r="P29" s="15">
        <f t="shared" si="1"/>
        <v>79.285714285714278</v>
      </c>
      <c r="R29" s="51" t="s">
        <v>153</v>
      </c>
      <c r="S29" s="57">
        <f>SUM(C86:C89)</f>
        <v>16</v>
      </c>
      <c r="T29" s="57">
        <f t="shared" ref="T29:AF29" si="21">SUM(D86:D89)</f>
        <v>5.5</v>
      </c>
      <c r="U29" s="57">
        <f t="shared" si="21"/>
        <v>2.5</v>
      </c>
      <c r="V29" s="57">
        <f t="shared" si="21"/>
        <v>5.5</v>
      </c>
      <c r="W29" s="57">
        <f t="shared" si="21"/>
        <v>3.5</v>
      </c>
      <c r="X29" s="57">
        <f t="shared" si="21"/>
        <v>14</v>
      </c>
      <c r="Y29" s="57">
        <f t="shared" si="21"/>
        <v>13.5</v>
      </c>
      <c r="Z29" s="57">
        <f t="shared" si="21"/>
        <v>29.5</v>
      </c>
      <c r="AA29" s="57">
        <f t="shared" si="21"/>
        <v>11</v>
      </c>
      <c r="AB29" s="57">
        <f t="shared" si="21"/>
        <v>1.5</v>
      </c>
      <c r="AC29" s="57">
        <f t="shared" si="21"/>
        <v>2.5</v>
      </c>
      <c r="AD29" s="57">
        <f t="shared" si="21"/>
        <v>0</v>
      </c>
      <c r="AE29" s="56">
        <f t="shared" si="21"/>
        <v>102.5</v>
      </c>
      <c r="AF29" s="56">
        <f t="shared" si="21"/>
        <v>105</v>
      </c>
    </row>
    <row r="30" spans="2:32" ht="23.1" customHeight="1" x14ac:dyDescent="0.25">
      <c r="B30" s="23" t="s">
        <v>57</v>
      </c>
      <c r="C30" s="49">
        <f>'Avg Week Masaka-Mbarara'!C30+'Avg Week Mbarara-Masaka'!C30</f>
        <v>15</v>
      </c>
      <c r="D30" s="49">
        <f>'Avg Week Masaka-Mbarara'!D30+'Avg Week Mbarara-Masaka'!D30</f>
        <v>9.4285714285714288</v>
      </c>
      <c r="E30" s="49">
        <f>'Avg Week Masaka-Mbarara'!E30+'Avg Week Mbarara-Masaka'!E30</f>
        <v>5.5714285714285712</v>
      </c>
      <c r="F30" s="49">
        <f>'Avg Week Masaka-Mbarara'!F30+'Avg Week Mbarara-Masaka'!F30</f>
        <v>9.7142857142857153</v>
      </c>
      <c r="G30" s="49">
        <f>'Avg Week Masaka-Mbarara'!G30+'Avg Week Mbarara-Masaka'!G30</f>
        <v>0.14285714285714285</v>
      </c>
      <c r="H30" s="49">
        <f>'Avg Week Masaka-Mbarara'!H30+'Avg Week Mbarara-Masaka'!H30</f>
        <v>3.4285714285714288</v>
      </c>
      <c r="I30" s="49">
        <f>'Avg Week Masaka-Mbarara'!I30+'Avg Week Mbarara-Masaka'!I30</f>
        <v>2.5714285714285712</v>
      </c>
      <c r="J30" s="49">
        <f>'Avg Week Masaka-Mbarara'!J30+'Avg Week Mbarara-Masaka'!J30</f>
        <v>2.1428571428571428</v>
      </c>
      <c r="K30" s="49">
        <f>'Avg Week Masaka-Mbarara'!K30+'Avg Week Mbarara-Masaka'!K30</f>
        <v>2.7142857142857144</v>
      </c>
      <c r="L30" s="49">
        <f>'Avg Week Masaka-Mbarara'!L30+'Avg Week Mbarara-Masaka'!L30</f>
        <v>1.2857142857142856</v>
      </c>
      <c r="M30" s="49">
        <f>'Avg Week Masaka-Mbarara'!M30+'Avg Week Mbarara-Masaka'!M30</f>
        <v>33.142857142857146</v>
      </c>
      <c r="N30" s="49">
        <f>'Avg Week Masaka-Mbarara'!N30+'Avg Week Mbarara-Masaka'!N30</f>
        <v>0</v>
      </c>
      <c r="O30" s="15">
        <f t="shared" si="0"/>
        <v>52.000000000000007</v>
      </c>
      <c r="P30" s="15">
        <f t="shared" si="1"/>
        <v>85.142857142857153</v>
      </c>
      <c r="R30" s="51" t="s">
        <v>154</v>
      </c>
      <c r="S30" s="57">
        <f>SUM(C90:C93)</f>
        <v>17</v>
      </c>
      <c r="T30" s="57">
        <f t="shared" ref="T30:AF30" si="22">SUM(D90:D93)</f>
        <v>6</v>
      </c>
      <c r="U30" s="57">
        <f t="shared" si="22"/>
        <v>2</v>
      </c>
      <c r="V30" s="57">
        <f t="shared" si="22"/>
        <v>5.5</v>
      </c>
      <c r="W30" s="57">
        <f t="shared" si="22"/>
        <v>1</v>
      </c>
      <c r="X30" s="57">
        <f t="shared" si="22"/>
        <v>14.5</v>
      </c>
      <c r="Y30" s="57">
        <f t="shared" si="22"/>
        <v>10</v>
      </c>
      <c r="Z30" s="57">
        <f t="shared" si="22"/>
        <v>18</v>
      </c>
      <c r="AA30" s="57">
        <f t="shared" si="22"/>
        <v>18.5</v>
      </c>
      <c r="AB30" s="57">
        <f t="shared" si="22"/>
        <v>1.5</v>
      </c>
      <c r="AC30" s="57">
        <f t="shared" si="22"/>
        <v>2.5</v>
      </c>
      <c r="AD30" s="57">
        <f t="shared" si="22"/>
        <v>0</v>
      </c>
      <c r="AE30" s="56">
        <f t="shared" si="22"/>
        <v>94</v>
      </c>
      <c r="AF30" s="56">
        <f t="shared" si="22"/>
        <v>96.5</v>
      </c>
    </row>
    <row r="31" spans="2:32" ht="23.1" customHeight="1" x14ac:dyDescent="0.25">
      <c r="B31" s="24" t="s">
        <v>58</v>
      </c>
      <c r="C31" s="49">
        <f>'Avg Week Masaka-Mbarara'!C31+'Avg Week Mbarara-Masaka'!C31</f>
        <v>18.857142857142858</v>
      </c>
      <c r="D31" s="49">
        <f>'Avg Week Masaka-Mbarara'!D31+'Avg Week Mbarara-Masaka'!D31</f>
        <v>7.8571428571428577</v>
      </c>
      <c r="E31" s="49">
        <f>'Avg Week Masaka-Mbarara'!E31+'Avg Week Mbarara-Masaka'!E31</f>
        <v>5.5714285714285712</v>
      </c>
      <c r="F31" s="49">
        <f>'Avg Week Masaka-Mbarara'!F31+'Avg Week Mbarara-Masaka'!F31</f>
        <v>12.714285714285715</v>
      </c>
      <c r="G31" s="49">
        <f>'Avg Week Masaka-Mbarara'!G31+'Avg Week Mbarara-Masaka'!G31</f>
        <v>0.14285714285714285</v>
      </c>
      <c r="H31" s="49">
        <f>'Avg Week Masaka-Mbarara'!H31+'Avg Week Mbarara-Masaka'!H31</f>
        <v>2.2857142857142856</v>
      </c>
      <c r="I31" s="49">
        <f>'Avg Week Masaka-Mbarara'!I31+'Avg Week Mbarara-Masaka'!I31</f>
        <v>2.8571428571428572</v>
      </c>
      <c r="J31" s="49">
        <f>'Avg Week Masaka-Mbarara'!J31+'Avg Week Mbarara-Masaka'!J31</f>
        <v>1.8571428571428572</v>
      </c>
      <c r="K31" s="49">
        <f>'Avg Week Masaka-Mbarara'!K31+'Avg Week Mbarara-Masaka'!K31</f>
        <v>3.1428571428571428</v>
      </c>
      <c r="L31" s="49">
        <f>'Avg Week Masaka-Mbarara'!L31+'Avg Week Mbarara-Masaka'!L31</f>
        <v>0.8571428571428571</v>
      </c>
      <c r="M31" s="49">
        <f>'Avg Week Masaka-Mbarara'!M31+'Avg Week Mbarara-Masaka'!M31</f>
        <v>26.714285714285715</v>
      </c>
      <c r="N31" s="49">
        <f>'Avg Week Masaka-Mbarara'!N31+'Avg Week Mbarara-Masaka'!N31</f>
        <v>0</v>
      </c>
      <c r="O31" s="15">
        <f t="shared" si="0"/>
        <v>56.142857142857139</v>
      </c>
      <c r="P31" s="15">
        <f t="shared" si="1"/>
        <v>82.857142857142861</v>
      </c>
      <c r="R31" s="51" t="s">
        <v>155</v>
      </c>
      <c r="S31" s="57">
        <f>SUM(C94:C97)</f>
        <v>22</v>
      </c>
      <c r="T31" s="57">
        <f t="shared" ref="T31:AF31" si="23">SUM(D94:D97)</f>
        <v>3.5</v>
      </c>
      <c r="U31" s="57">
        <f t="shared" si="23"/>
        <v>3.5</v>
      </c>
      <c r="V31" s="57">
        <f t="shared" si="23"/>
        <v>6</v>
      </c>
      <c r="W31" s="57">
        <f t="shared" si="23"/>
        <v>4</v>
      </c>
      <c r="X31" s="57">
        <f t="shared" si="23"/>
        <v>12</v>
      </c>
      <c r="Y31" s="57">
        <f t="shared" si="23"/>
        <v>4.5</v>
      </c>
      <c r="Z31" s="57">
        <f t="shared" si="23"/>
        <v>13</v>
      </c>
      <c r="AA31" s="57">
        <f t="shared" si="23"/>
        <v>13</v>
      </c>
      <c r="AB31" s="57">
        <f t="shared" si="23"/>
        <v>0.5</v>
      </c>
      <c r="AC31" s="57">
        <f t="shared" si="23"/>
        <v>9.5</v>
      </c>
      <c r="AD31" s="57">
        <f t="shared" si="23"/>
        <v>0</v>
      </c>
      <c r="AE31" s="56">
        <f t="shared" si="23"/>
        <v>82</v>
      </c>
      <c r="AF31" s="56">
        <f t="shared" si="23"/>
        <v>91.5</v>
      </c>
    </row>
    <row r="32" spans="2:32" ht="23.1" customHeight="1" x14ac:dyDescent="0.25">
      <c r="B32" s="24" t="s">
        <v>59</v>
      </c>
      <c r="C32" s="49">
        <f>'Avg Week Masaka-Mbarara'!C32+'Avg Week Mbarara-Masaka'!C32</f>
        <v>19.142857142857142</v>
      </c>
      <c r="D32" s="49">
        <f>'Avg Week Masaka-Mbarara'!D32+'Avg Week Mbarara-Masaka'!D32</f>
        <v>8.7142857142857135</v>
      </c>
      <c r="E32" s="49">
        <f>'Avg Week Masaka-Mbarara'!E32+'Avg Week Mbarara-Masaka'!E32</f>
        <v>5</v>
      </c>
      <c r="F32" s="49">
        <f>'Avg Week Masaka-Mbarara'!F32+'Avg Week Mbarara-Masaka'!F32</f>
        <v>10.285714285714286</v>
      </c>
      <c r="G32" s="49">
        <f>'Avg Week Masaka-Mbarara'!G32+'Avg Week Mbarara-Masaka'!G32</f>
        <v>0.14285714285714285</v>
      </c>
      <c r="H32" s="49">
        <f>'Avg Week Masaka-Mbarara'!H32+'Avg Week Mbarara-Masaka'!H32</f>
        <v>2.4285714285714288</v>
      </c>
      <c r="I32" s="49">
        <f>'Avg Week Masaka-Mbarara'!I32+'Avg Week Mbarara-Masaka'!I32</f>
        <v>3.4285714285714288</v>
      </c>
      <c r="J32" s="49">
        <f>'Avg Week Masaka-Mbarara'!J32+'Avg Week Mbarara-Masaka'!J32</f>
        <v>2.8571428571428572</v>
      </c>
      <c r="K32" s="49">
        <f>'Avg Week Masaka-Mbarara'!K32+'Avg Week Mbarara-Masaka'!K32</f>
        <v>2.5714285714285712</v>
      </c>
      <c r="L32" s="49">
        <f>'Avg Week Masaka-Mbarara'!L32+'Avg Week Mbarara-Masaka'!L32</f>
        <v>1</v>
      </c>
      <c r="M32" s="49">
        <f>'Avg Week Masaka-Mbarara'!M32+'Avg Week Mbarara-Masaka'!M32</f>
        <v>28.857142857142858</v>
      </c>
      <c r="N32" s="49">
        <f>'Avg Week Masaka-Mbarara'!N32+'Avg Week Mbarara-Masaka'!N32</f>
        <v>0</v>
      </c>
      <c r="O32" s="15">
        <f t="shared" si="0"/>
        <v>55.571428571428569</v>
      </c>
      <c r="P32" s="15">
        <f t="shared" si="1"/>
        <v>84.428571428571431</v>
      </c>
      <c r="R32" s="51" t="s">
        <v>156</v>
      </c>
      <c r="S32" s="57">
        <f>SUM(C98:C101)</f>
        <v>7.5</v>
      </c>
      <c r="T32" s="57">
        <f t="shared" ref="T32:AF32" si="24">SUM(D98:D101)</f>
        <v>4</v>
      </c>
      <c r="U32" s="57">
        <f t="shared" si="24"/>
        <v>4</v>
      </c>
      <c r="V32" s="57">
        <f t="shared" si="24"/>
        <v>11</v>
      </c>
      <c r="W32" s="57">
        <f t="shared" si="24"/>
        <v>1</v>
      </c>
      <c r="X32" s="57">
        <f t="shared" si="24"/>
        <v>7.5</v>
      </c>
      <c r="Y32" s="57">
        <f t="shared" si="24"/>
        <v>2.5</v>
      </c>
      <c r="Z32" s="57">
        <f t="shared" si="24"/>
        <v>12</v>
      </c>
      <c r="AA32" s="57">
        <f t="shared" si="24"/>
        <v>11</v>
      </c>
      <c r="AB32" s="57">
        <f t="shared" si="24"/>
        <v>2</v>
      </c>
      <c r="AC32" s="57">
        <f t="shared" si="24"/>
        <v>11</v>
      </c>
      <c r="AD32" s="57">
        <f t="shared" si="24"/>
        <v>0</v>
      </c>
      <c r="AE32" s="56">
        <f t="shared" si="24"/>
        <v>62.5</v>
      </c>
      <c r="AF32" s="56">
        <f t="shared" si="24"/>
        <v>73.5</v>
      </c>
    </row>
    <row r="33" spans="2:32" ht="23.1" customHeight="1" x14ac:dyDescent="0.25">
      <c r="B33" s="23" t="s">
        <v>60</v>
      </c>
      <c r="C33" s="49">
        <f>'Avg Week Masaka-Mbarara'!C33+'Avg Week Mbarara-Masaka'!C33</f>
        <v>15.142857142857142</v>
      </c>
      <c r="D33" s="49">
        <f>'Avg Week Masaka-Mbarara'!D33+'Avg Week Mbarara-Masaka'!D33</f>
        <v>9</v>
      </c>
      <c r="E33" s="49">
        <f>'Avg Week Masaka-Mbarara'!E33+'Avg Week Mbarara-Masaka'!E33</f>
        <v>4.2857142857142856</v>
      </c>
      <c r="F33" s="49">
        <f>'Avg Week Masaka-Mbarara'!F33+'Avg Week Mbarara-Masaka'!F33</f>
        <v>10.142857142857142</v>
      </c>
      <c r="G33" s="49">
        <f>'Avg Week Masaka-Mbarara'!G33+'Avg Week Mbarara-Masaka'!G33</f>
        <v>0.5714285714285714</v>
      </c>
      <c r="H33" s="49">
        <f>'Avg Week Masaka-Mbarara'!H33+'Avg Week Mbarara-Masaka'!H33</f>
        <v>2.7142857142857144</v>
      </c>
      <c r="I33" s="49">
        <f>'Avg Week Masaka-Mbarara'!I33+'Avg Week Mbarara-Masaka'!I33</f>
        <v>2.4285714285714288</v>
      </c>
      <c r="J33" s="49">
        <f>'Avg Week Masaka-Mbarara'!J33+'Avg Week Mbarara-Masaka'!J33</f>
        <v>2.7142857142857144</v>
      </c>
      <c r="K33" s="49">
        <f>'Avg Week Masaka-Mbarara'!K33+'Avg Week Mbarara-Masaka'!K33</f>
        <v>2</v>
      </c>
      <c r="L33" s="49">
        <f>'Avg Week Masaka-Mbarara'!L33+'Avg Week Mbarara-Masaka'!L33</f>
        <v>0.8571428571428571</v>
      </c>
      <c r="M33" s="49">
        <f>'Avg Week Masaka-Mbarara'!M33+'Avg Week Mbarara-Masaka'!M33</f>
        <v>27</v>
      </c>
      <c r="N33" s="49">
        <f>'Avg Week Masaka-Mbarara'!N33+'Avg Week Mbarara-Masaka'!N33</f>
        <v>0</v>
      </c>
      <c r="O33" s="15">
        <f t="shared" si="0"/>
        <v>49.857142857142854</v>
      </c>
      <c r="P33" s="15">
        <f t="shared" si="1"/>
        <v>76.857142857142861</v>
      </c>
      <c r="R33" s="51" t="s">
        <v>157</v>
      </c>
      <c r="S33" s="57">
        <f>SUM(C102:C105)</f>
        <v>26</v>
      </c>
      <c r="T33" s="57">
        <f t="shared" ref="T33:AF33" si="25">SUM(D102:D105)</f>
        <v>3.5</v>
      </c>
      <c r="U33" s="57">
        <f t="shared" si="25"/>
        <v>6</v>
      </c>
      <c r="V33" s="57">
        <f t="shared" si="25"/>
        <v>15.5</v>
      </c>
      <c r="W33" s="57">
        <f t="shared" si="25"/>
        <v>0</v>
      </c>
      <c r="X33" s="57">
        <f t="shared" si="25"/>
        <v>2</v>
      </c>
      <c r="Y33" s="57">
        <f t="shared" si="25"/>
        <v>7.5</v>
      </c>
      <c r="Z33" s="57">
        <f t="shared" si="25"/>
        <v>8</v>
      </c>
      <c r="AA33" s="57">
        <f t="shared" si="25"/>
        <v>19</v>
      </c>
      <c r="AB33" s="57">
        <f t="shared" si="25"/>
        <v>0</v>
      </c>
      <c r="AC33" s="57">
        <f t="shared" si="25"/>
        <v>34</v>
      </c>
      <c r="AD33" s="57">
        <f t="shared" si="25"/>
        <v>0</v>
      </c>
      <c r="AE33" s="56">
        <f t="shared" si="25"/>
        <v>87.5</v>
      </c>
      <c r="AF33" s="56">
        <f t="shared" si="25"/>
        <v>121.5</v>
      </c>
    </row>
    <row r="34" spans="2:32" ht="23.1" customHeight="1" x14ac:dyDescent="0.25">
      <c r="B34" s="24" t="s">
        <v>61</v>
      </c>
      <c r="C34" s="49">
        <f>'Avg Week Masaka-Mbarara'!C34+'Avg Week Mbarara-Masaka'!C34</f>
        <v>21.285714285714285</v>
      </c>
      <c r="D34" s="49">
        <f>'Avg Week Masaka-Mbarara'!D34+'Avg Week Mbarara-Masaka'!D34</f>
        <v>7.4285714285714288</v>
      </c>
      <c r="E34" s="49">
        <f>'Avg Week Masaka-Mbarara'!E34+'Avg Week Mbarara-Masaka'!E34</f>
        <v>4.8571428571428568</v>
      </c>
      <c r="F34" s="49">
        <f>'Avg Week Masaka-Mbarara'!F34+'Avg Week Mbarara-Masaka'!F34</f>
        <v>9.8571428571428577</v>
      </c>
      <c r="G34" s="49">
        <f>'Avg Week Masaka-Mbarara'!G34+'Avg Week Mbarara-Masaka'!G34</f>
        <v>0.7142857142857143</v>
      </c>
      <c r="H34" s="49">
        <f>'Avg Week Masaka-Mbarara'!H34+'Avg Week Mbarara-Masaka'!H34</f>
        <v>3.5714285714285716</v>
      </c>
      <c r="I34" s="49">
        <f>'Avg Week Masaka-Mbarara'!I34+'Avg Week Mbarara-Masaka'!I34</f>
        <v>3.8571428571428568</v>
      </c>
      <c r="J34" s="49">
        <f>'Avg Week Masaka-Mbarara'!J34+'Avg Week Mbarara-Masaka'!J34</f>
        <v>3.7142857142857144</v>
      </c>
      <c r="K34" s="49">
        <f>'Avg Week Masaka-Mbarara'!K34+'Avg Week Mbarara-Masaka'!K34</f>
        <v>3.1428571428571428</v>
      </c>
      <c r="L34" s="49">
        <f>'Avg Week Masaka-Mbarara'!L34+'Avg Week Mbarara-Masaka'!L34</f>
        <v>0.42857142857142855</v>
      </c>
      <c r="M34" s="49">
        <f>'Avg Week Masaka-Mbarara'!M34+'Avg Week Mbarara-Masaka'!M34</f>
        <v>28.428571428571431</v>
      </c>
      <c r="N34" s="49">
        <f>'Avg Week Masaka-Mbarara'!N34+'Avg Week Mbarara-Masaka'!N34</f>
        <v>0</v>
      </c>
      <c r="O34" s="15">
        <f t="shared" si="0"/>
        <v>58.857142857142861</v>
      </c>
      <c r="P34" s="15">
        <f t="shared" si="1"/>
        <v>87.285714285714292</v>
      </c>
      <c r="R34" s="64" t="s">
        <v>90</v>
      </c>
      <c r="S34" s="65">
        <f t="shared" ref="S34:AF34" si="26">MAX(S10:S12)</f>
        <v>54.857142857142861</v>
      </c>
      <c r="T34" s="65">
        <f t="shared" si="26"/>
        <v>27</v>
      </c>
      <c r="U34" s="65">
        <f t="shared" si="26"/>
        <v>15.428571428571427</v>
      </c>
      <c r="V34" s="65">
        <f t="shared" si="26"/>
        <v>34.857142857142861</v>
      </c>
      <c r="W34" s="65">
        <f t="shared" si="26"/>
        <v>1.7142857142857144</v>
      </c>
      <c r="X34" s="65">
        <f t="shared" si="26"/>
        <v>5.8571428571428577</v>
      </c>
      <c r="Y34" s="65">
        <f t="shared" si="26"/>
        <v>11.285714285714285</v>
      </c>
      <c r="Z34" s="65">
        <f t="shared" si="26"/>
        <v>7.8571428571428568</v>
      </c>
      <c r="AA34" s="65">
        <f t="shared" si="26"/>
        <v>13.714285714285715</v>
      </c>
      <c r="AB34" s="65">
        <f t="shared" si="26"/>
        <v>2</v>
      </c>
      <c r="AC34" s="65">
        <f t="shared" si="26"/>
        <v>105.71428571428572</v>
      </c>
      <c r="AD34" s="65">
        <f t="shared" si="26"/>
        <v>0</v>
      </c>
      <c r="AE34" s="63">
        <f t="shared" si="26"/>
        <v>173.85714285714286</v>
      </c>
      <c r="AF34" s="63">
        <f t="shared" si="26"/>
        <v>277.28571428571428</v>
      </c>
    </row>
    <row r="35" spans="2:32" ht="23.1" customHeight="1" x14ac:dyDescent="0.25">
      <c r="B35" s="24" t="s">
        <v>62</v>
      </c>
      <c r="C35" s="49">
        <f>'Avg Week Masaka-Mbarara'!C35+'Avg Week Mbarara-Masaka'!C35</f>
        <v>18.285714285714285</v>
      </c>
      <c r="D35" s="49">
        <f>'Avg Week Masaka-Mbarara'!D35+'Avg Week Mbarara-Masaka'!D35</f>
        <v>6.7142857142857144</v>
      </c>
      <c r="E35" s="49">
        <f>'Avg Week Masaka-Mbarara'!E35+'Avg Week Mbarara-Masaka'!E35</f>
        <v>5.7142857142857135</v>
      </c>
      <c r="F35" s="49">
        <f>'Avg Week Masaka-Mbarara'!F35+'Avg Week Mbarara-Masaka'!F35</f>
        <v>9.5714285714285712</v>
      </c>
      <c r="G35" s="49">
        <f>'Avg Week Masaka-Mbarara'!G35+'Avg Week Mbarara-Masaka'!G35</f>
        <v>0.71428571428571419</v>
      </c>
      <c r="H35" s="49">
        <f>'Avg Week Masaka-Mbarara'!H35+'Avg Week Mbarara-Masaka'!H35</f>
        <v>2.5714285714285712</v>
      </c>
      <c r="I35" s="49">
        <f>'Avg Week Masaka-Mbarara'!I35+'Avg Week Mbarara-Masaka'!I35</f>
        <v>4.8571428571428577</v>
      </c>
      <c r="J35" s="49">
        <f>'Avg Week Masaka-Mbarara'!J35+'Avg Week Mbarara-Masaka'!J35</f>
        <v>0.71428571428571419</v>
      </c>
      <c r="K35" s="49">
        <f>'Avg Week Masaka-Mbarara'!K35+'Avg Week Mbarara-Masaka'!K35</f>
        <v>2</v>
      </c>
      <c r="L35" s="49">
        <f>'Avg Week Masaka-Mbarara'!L35+'Avg Week Mbarara-Masaka'!L35</f>
        <v>0.8571428571428571</v>
      </c>
      <c r="M35" s="49">
        <f>'Avg Week Masaka-Mbarara'!M35+'Avg Week Mbarara-Masaka'!M35</f>
        <v>28.857142857142854</v>
      </c>
      <c r="N35" s="49">
        <f>'Avg Week Masaka-Mbarara'!N35+'Avg Week Mbarara-Masaka'!N35</f>
        <v>0</v>
      </c>
      <c r="O35" s="15">
        <f t="shared" si="0"/>
        <v>52</v>
      </c>
      <c r="P35" s="15">
        <f t="shared" si="1"/>
        <v>80.857142857142861</v>
      </c>
      <c r="R35" s="64" t="s">
        <v>91</v>
      </c>
      <c r="S35" s="65">
        <f t="shared" ref="S35:AF35" si="27">MAX(S13:S18)</f>
        <v>73</v>
      </c>
      <c r="T35" s="65">
        <f t="shared" si="27"/>
        <v>35</v>
      </c>
      <c r="U35" s="65">
        <f t="shared" si="27"/>
        <v>22.142857142857146</v>
      </c>
      <c r="V35" s="65">
        <f t="shared" si="27"/>
        <v>42.857142857142861</v>
      </c>
      <c r="W35" s="65">
        <f t="shared" si="27"/>
        <v>2.2857142857142856</v>
      </c>
      <c r="X35" s="65">
        <f t="shared" si="27"/>
        <v>13.857142857142858</v>
      </c>
      <c r="Y35" s="65">
        <f t="shared" si="27"/>
        <v>15</v>
      </c>
      <c r="Z35" s="65">
        <f t="shared" si="27"/>
        <v>14.285714285714285</v>
      </c>
      <c r="AA35" s="65">
        <f t="shared" si="27"/>
        <v>15.285714285714286</v>
      </c>
      <c r="AB35" s="65">
        <f t="shared" si="27"/>
        <v>4</v>
      </c>
      <c r="AC35" s="65">
        <f t="shared" si="27"/>
        <v>115.71428571428572</v>
      </c>
      <c r="AD35" s="65">
        <f t="shared" si="27"/>
        <v>0.14285714285714285</v>
      </c>
      <c r="AE35" s="63">
        <f t="shared" si="27"/>
        <v>227.85714285714286</v>
      </c>
      <c r="AF35" s="63">
        <f t="shared" si="27"/>
        <v>341.28571428571428</v>
      </c>
    </row>
    <row r="36" spans="2:32" ht="23.1" customHeight="1" x14ac:dyDescent="0.25">
      <c r="B36" s="24" t="s">
        <v>63</v>
      </c>
      <c r="C36" s="49">
        <f>'Avg Week Masaka-Mbarara'!C36+'Avg Week Mbarara-Masaka'!C36</f>
        <v>17.857142857142858</v>
      </c>
      <c r="D36" s="49">
        <f>'Avg Week Masaka-Mbarara'!D36+'Avg Week Mbarara-Masaka'!D36</f>
        <v>8.2857142857142865</v>
      </c>
      <c r="E36" s="49">
        <f>'Avg Week Masaka-Mbarara'!E36+'Avg Week Mbarara-Masaka'!E36</f>
        <v>4.7142857142857135</v>
      </c>
      <c r="F36" s="49">
        <f>'Avg Week Masaka-Mbarara'!F36+'Avg Week Mbarara-Masaka'!F36</f>
        <v>8.7142857142857153</v>
      </c>
      <c r="G36" s="49">
        <f>'Avg Week Masaka-Mbarara'!G36+'Avg Week Mbarara-Masaka'!G36</f>
        <v>0.14285714285714285</v>
      </c>
      <c r="H36" s="49">
        <f>'Avg Week Masaka-Mbarara'!H36+'Avg Week Mbarara-Masaka'!H36</f>
        <v>2.5714285714285712</v>
      </c>
      <c r="I36" s="49">
        <f>'Avg Week Masaka-Mbarara'!I36+'Avg Week Mbarara-Masaka'!I36</f>
        <v>3.1428571428571428</v>
      </c>
      <c r="J36" s="49">
        <f>'Avg Week Masaka-Mbarara'!J36+'Avg Week Mbarara-Masaka'!J36</f>
        <v>2.5714285714285712</v>
      </c>
      <c r="K36" s="49">
        <f>'Avg Week Masaka-Mbarara'!K36+'Avg Week Mbarara-Masaka'!K36</f>
        <v>2.7142857142857144</v>
      </c>
      <c r="L36" s="49">
        <f>'Avg Week Masaka-Mbarara'!L36+'Avg Week Mbarara-Masaka'!L36</f>
        <v>0.5714285714285714</v>
      </c>
      <c r="M36" s="49">
        <f>'Avg Week Masaka-Mbarara'!M36+'Avg Week Mbarara-Masaka'!M36</f>
        <v>25.714285714285715</v>
      </c>
      <c r="N36" s="49">
        <f>'Avg Week Masaka-Mbarara'!N36+'Avg Week Mbarara-Masaka'!N36</f>
        <v>0</v>
      </c>
      <c r="O36" s="15">
        <f t="shared" si="0"/>
        <v>51.285714285714292</v>
      </c>
      <c r="P36" s="15">
        <f t="shared" si="1"/>
        <v>77</v>
      </c>
      <c r="R36" s="64" t="s">
        <v>92</v>
      </c>
      <c r="S36" s="65">
        <f t="shared" ref="S36:AF36" si="28">MAX(S19:S21)</f>
        <v>87.714285714285708</v>
      </c>
      <c r="T36" s="65">
        <f t="shared" si="28"/>
        <v>40.714285714285708</v>
      </c>
      <c r="U36" s="65">
        <f t="shared" si="28"/>
        <v>26.428571428571431</v>
      </c>
      <c r="V36" s="65">
        <f t="shared" si="28"/>
        <v>43.285714285714292</v>
      </c>
      <c r="W36" s="65">
        <f t="shared" si="28"/>
        <v>2.5714285714285712</v>
      </c>
      <c r="X36" s="65">
        <f t="shared" si="28"/>
        <v>13.142857142857142</v>
      </c>
      <c r="Y36" s="65">
        <f t="shared" si="28"/>
        <v>19.999999999999996</v>
      </c>
      <c r="Z36" s="65">
        <f t="shared" si="28"/>
        <v>24.428571428571431</v>
      </c>
      <c r="AA36" s="65">
        <f t="shared" si="28"/>
        <v>20.857142857142858</v>
      </c>
      <c r="AB36" s="65">
        <f t="shared" si="28"/>
        <v>4.1428571428571423</v>
      </c>
      <c r="AC36" s="65">
        <f t="shared" si="28"/>
        <v>138.42857142857144</v>
      </c>
      <c r="AD36" s="65">
        <f t="shared" si="28"/>
        <v>0</v>
      </c>
      <c r="AE36" s="63">
        <f t="shared" si="28"/>
        <v>277</v>
      </c>
      <c r="AF36" s="63">
        <f t="shared" si="28"/>
        <v>414.85714285714283</v>
      </c>
    </row>
    <row r="37" spans="2:32" ht="23.1" customHeight="1" x14ac:dyDescent="0.25">
      <c r="B37" s="23" t="s">
        <v>64</v>
      </c>
      <c r="C37" s="49">
        <f>'Avg Week Masaka-Mbarara'!C37+'Avg Week Mbarara-Masaka'!C37</f>
        <v>15.571428571428571</v>
      </c>
      <c r="D37" s="49">
        <f>'Avg Week Masaka-Mbarara'!D37+'Avg Week Mbarara-Masaka'!D37</f>
        <v>6.1428571428571423</v>
      </c>
      <c r="E37" s="49">
        <f>'Avg Week Masaka-Mbarara'!E37+'Avg Week Mbarara-Masaka'!E37</f>
        <v>2.7142857142857144</v>
      </c>
      <c r="F37" s="49">
        <f>'Avg Week Masaka-Mbarara'!F37+'Avg Week Mbarara-Masaka'!F37</f>
        <v>7.7142857142857153</v>
      </c>
      <c r="G37" s="49">
        <f>'Avg Week Masaka-Mbarara'!G37+'Avg Week Mbarara-Masaka'!G37</f>
        <v>0.71428571428571419</v>
      </c>
      <c r="H37" s="49">
        <f>'Avg Week Masaka-Mbarara'!H37+'Avg Week Mbarara-Masaka'!H37</f>
        <v>4.1428571428571423</v>
      </c>
      <c r="I37" s="49">
        <f>'Avg Week Masaka-Mbarara'!I37+'Avg Week Mbarara-Masaka'!I37</f>
        <v>3.1428571428571428</v>
      </c>
      <c r="J37" s="49">
        <f>'Avg Week Masaka-Mbarara'!J37+'Avg Week Mbarara-Masaka'!J37</f>
        <v>3.4285714285714288</v>
      </c>
      <c r="K37" s="49">
        <f>'Avg Week Masaka-Mbarara'!K37+'Avg Week Mbarara-Masaka'!K37</f>
        <v>3</v>
      </c>
      <c r="L37" s="49">
        <f>'Avg Week Masaka-Mbarara'!L37+'Avg Week Mbarara-Masaka'!L37</f>
        <v>0</v>
      </c>
      <c r="M37" s="49">
        <f>'Avg Week Masaka-Mbarara'!M37+'Avg Week Mbarara-Masaka'!M37</f>
        <v>28.285714285714285</v>
      </c>
      <c r="N37" s="49">
        <f>'Avg Week Masaka-Mbarara'!N37+'Avg Week Mbarara-Masaka'!N37</f>
        <v>0</v>
      </c>
      <c r="O37" s="15">
        <f t="shared" si="0"/>
        <v>46.571428571428577</v>
      </c>
      <c r="P37" s="15">
        <f t="shared" si="1"/>
        <v>74.857142857142861</v>
      </c>
      <c r="R37" s="62" t="s">
        <v>85</v>
      </c>
      <c r="S37" s="66">
        <f t="shared" ref="S37:AF37" si="29">SUM(S10:S12)</f>
        <v>146.57142857142856</v>
      </c>
      <c r="T37" s="67">
        <f t="shared" si="29"/>
        <v>67.142857142857139</v>
      </c>
      <c r="U37" s="67">
        <f t="shared" si="29"/>
        <v>39.571428571428569</v>
      </c>
      <c r="V37" s="67">
        <f t="shared" si="29"/>
        <v>87.285714285714292</v>
      </c>
      <c r="W37" s="67">
        <f t="shared" si="29"/>
        <v>3.5714285714285712</v>
      </c>
      <c r="X37" s="67">
        <f t="shared" si="29"/>
        <v>12.142857142857142</v>
      </c>
      <c r="Y37" s="67">
        <f t="shared" si="29"/>
        <v>30.285714285714285</v>
      </c>
      <c r="Z37" s="67">
        <f t="shared" si="29"/>
        <v>20.142857142857142</v>
      </c>
      <c r="AA37" s="67">
        <f t="shared" si="29"/>
        <v>37.857142857142861</v>
      </c>
      <c r="AB37" s="67">
        <f t="shared" si="29"/>
        <v>4.5714285714285712</v>
      </c>
      <c r="AC37" s="67">
        <f t="shared" si="29"/>
        <v>313.14285714285717</v>
      </c>
      <c r="AD37" s="67">
        <f t="shared" si="29"/>
        <v>0</v>
      </c>
      <c r="AE37" s="68">
        <f t="shared" si="29"/>
        <v>449.14285714285711</v>
      </c>
      <c r="AF37" s="68">
        <f t="shared" si="29"/>
        <v>762.28571428571433</v>
      </c>
    </row>
    <row r="38" spans="2:32" ht="23.1" customHeight="1" x14ac:dyDescent="0.25">
      <c r="B38" s="24" t="s">
        <v>65</v>
      </c>
      <c r="C38" s="49">
        <f>'Avg Week Masaka-Mbarara'!C38+'Avg Week Mbarara-Masaka'!C38</f>
        <v>15</v>
      </c>
      <c r="D38" s="49">
        <f>'Avg Week Masaka-Mbarara'!D38+'Avg Week Mbarara-Masaka'!D38</f>
        <v>8.4285714285714288</v>
      </c>
      <c r="E38" s="49">
        <f>'Avg Week Masaka-Mbarara'!E38+'Avg Week Mbarara-Masaka'!E38</f>
        <v>3.8571428571428572</v>
      </c>
      <c r="F38" s="49">
        <f>'Avg Week Masaka-Mbarara'!F38+'Avg Week Mbarara-Masaka'!F38</f>
        <v>8.5714285714285712</v>
      </c>
      <c r="G38" s="49">
        <f>'Avg Week Masaka-Mbarara'!G38+'Avg Week Mbarara-Masaka'!G38</f>
        <v>0.42857142857142855</v>
      </c>
      <c r="H38" s="49">
        <f>'Avg Week Masaka-Mbarara'!H38+'Avg Week Mbarara-Masaka'!H38</f>
        <v>1.7142857142857142</v>
      </c>
      <c r="I38" s="49">
        <f>'Avg Week Masaka-Mbarara'!I38+'Avg Week Mbarara-Masaka'!I38</f>
        <v>2.8571428571428572</v>
      </c>
      <c r="J38" s="49">
        <f>'Avg Week Masaka-Mbarara'!J38+'Avg Week Mbarara-Masaka'!J38</f>
        <v>2.7142857142857144</v>
      </c>
      <c r="K38" s="49">
        <f>'Avg Week Masaka-Mbarara'!K38+'Avg Week Mbarara-Masaka'!K38</f>
        <v>2.8571428571428572</v>
      </c>
      <c r="L38" s="49">
        <f>'Avg Week Masaka-Mbarara'!L38+'Avg Week Mbarara-Masaka'!L38</f>
        <v>0.42857142857142855</v>
      </c>
      <c r="M38" s="49">
        <f>'Avg Week Masaka-Mbarara'!M38+'Avg Week Mbarara-Masaka'!M38</f>
        <v>25.428571428571431</v>
      </c>
      <c r="N38" s="49">
        <f>'Avg Week Masaka-Mbarara'!N38+'Avg Week Mbarara-Masaka'!N38</f>
        <v>0</v>
      </c>
      <c r="O38" s="15">
        <f t="shared" si="0"/>
        <v>46.857142857142861</v>
      </c>
      <c r="P38" s="15">
        <f t="shared" si="1"/>
        <v>72.285714285714292</v>
      </c>
      <c r="R38" s="60" t="s">
        <v>86</v>
      </c>
      <c r="S38" s="67">
        <f t="shared" ref="S38:AF38" si="30">SUM(S13:S18)</f>
        <v>405.85714285714289</v>
      </c>
      <c r="T38" s="67">
        <f t="shared" si="30"/>
        <v>193</v>
      </c>
      <c r="U38" s="67">
        <f t="shared" si="30"/>
        <v>115</v>
      </c>
      <c r="V38" s="67">
        <f t="shared" si="30"/>
        <v>229.42857142857142</v>
      </c>
      <c r="W38" s="67">
        <f t="shared" si="30"/>
        <v>10</v>
      </c>
      <c r="X38" s="67">
        <f t="shared" si="30"/>
        <v>68.285714285714292</v>
      </c>
      <c r="Y38" s="67">
        <f t="shared" si="30"/>
        <v>72.142857142857139</v>
      </c>
      <c r="Z38" s="67">
        <f t="shared" si="30"/>
        <v>66.857142857142861</v>
      </c>
      <c r="AA38" s="67">
        <f t="shared" si="30"/>
        <v>76.142857142857153</v>
      </c>
      <c r="AB38" s="67">
        <f t="shared" si="30"/>
        <v>16.285714285714285</v>
      </c>
      <c r="AC38" s="67">
        <f t="shared" si="30"/>
        <v>653.71428571428567</v>
      </c>
      <c r="AD38" s="67">
        <f t="shared" si="30"/>
        <v>0.14285714285714285</v>
      </c>
      <c r="AE38" s="68">
        <f t="shared" si="30"/>
        <v>1253.1428571428571</v>
      </c>
      <c r="AF38" s="68">
        <f t="shared" si="30"/>
        <v>1906.8571428571429</v>
      </c>
    </row>
    <row r="39" spans="2:32" ht="23.1" customHeight="1" x14ac:dyDescent="0.25">
      <c r="B39" s="24" t="s">
        <v>66</v>
      </c>
      <c r="C39" s="49">
        <f>'Avg Week Masaka-Mbarara'!C39+'Avg Week Mbarara-Masaka'!C39</f>
        <v>15.571428571428573</v>
      </c>
      <c r="D39" s="49">
        <f>'Avg Week Masaka-Mbarara'!D39+'Avg Week Mbarara-Masaka'!D39</f>
        <v>9.4285714285714288</v>
      </c>
      <c r="E39" s="49">
        <f>'Avg Week Masaka-Mbarara'!E39+'Avg Week Mbarara-Masaka'!E39</f>
        <v>3.2857142857142856</v>
      </c>
      <c r="F39" s="49">
        <f>'Avg Week Masaka-Mbarara'!F39+'Avg Week Mbarara-Masaka'!F39</f>
        <v>8.4285714285714288</v>
      </c>
      <c r="G39" s="49">
        <f>'Avg Week Masaka-Mbarara'!G39+'Avg Week Mbarara-Masaka'!G39</f>
        <v>0.42857142857142855</v>
      </c>
      <c r="H39" s="49">
        <f>'Avg Week Masaka-Mbarara'!H39+'Avg Week Mbarara-Masaka'!H39</f>
        <v>3.8571428571428568</v>
      </c>
      <c r="I39" s="49">
        <f>'Avg Week Masaka-Mbarara'!I39+'Avg Week Mbarara-Masaka'!I39</f>
        <v>3</v>
      </c>
      <c r="J39" s="49">
        <f>'Avg Week Masaka-Mbarara'!J39+'Avg Week Mbarara-Masaka'!J39</f>
        <v>2.7142857142857144</v>
      </c>
      <c r="K39" s="49">
        <f>'Avg Week Masaka-Mbarara'!K39+'Avg Week Mbarara-Masaka'!K39</f>
        <v>4.5714285714285712</v>
      </c>
      <c r="L39" s="49">
        <f>'Avg Week Masaka-Mbarara'!L39+'Avg Week Mbarara-Masaka'!L39</f>
        <v>1.1428571428571428</v>
      </c>
      <c r="M39" s="49">
        <f>'Avg Week Masaka-Mbarara'!M39+'Avg Week Mbarara-Masaka'!M39</f>
        <v>23</v>
      </c>
      <c r="N39" s="49">
        <f>'Avg Week Masaka-Mbarara'!N39+'Avg Week Mbarara-Masaka'!N39</f>
        <v>0</v>
      </c>
      <c r="O39" s="15">
        <f t="shared" si="0"/>
        <v>52.428571428571431</v>
      </c>
      <c r="P39" s="15">
        <f t="shared" si="1"/>
        <v>75.428571428571431</v>
      </c>
      <c r="R39" s="61" t="s">
        <v>87</v>
      </c>
      <c r="S39" s="67">
        <f t="shared" ref="S39:AF39" si="31">SUM(S19:S21)</f>
        <v>252.00000000000003</v>
      </c>
      <c r="T39" s="67">
        <f t="shared" si="31"/>
        <v>105.71428571428569</v>
      </c>
      <c r="U39" s="67">
        <f t="shared" si="31"/>
        <v>72.142857142857139</v>
      </c>
      <c r="V39" s="67">
        <f t="shared" si="31"/>
        <v>119.57142857142857</v>
      </c>
      <c r="W39" s="67">
        <f t="shared" si="31"/>
        <v>5.8571428571428568</v>
      </c>
      <c r="X39" s="67">
        <f t="shared" si="31"/>
        <v>34.571428571428569</v>
      </c>
      <c r="Y39" s="67">
        <f t="shared" si="31"/>
        <v>53.857142857142847</v>
      </c>
      <c r="Z39" s="67">
        <f t="shared" si="31"/>
        <v>64.428571428571431</v>
      </c>
      <c r="AA39" s="67">
        <f t="shared" si="31"/>
        <v>56.857142857142861</v>
      </c>
      <c r="AB39" s="67">
        <f t="shared" si="31"/>
        <v>10.285714285714285</v>
      </c>
      <c r="AC39" s="67">
        <f t="shared" si="31"/>
        <v>405.14285714285711</v>
      </c>
      <c r="AD39" s="67">
        <f t="shared" si="31"/>
        <v>0</v>
      </c>
      <c r="AE39" s="68">
        <f t="shared" si="31"/>
        <v>775.28571428571422</v>
      </c>
      <c r="AF39" s="68">
        <f t="shared" si="31"/>
        <v>1180.4285714285713</v>
      </c>
    </row>
    <row r="40" spans="2:32" ht="23.1" customHeight="1" x14ac:dyDescent="0.25">
      <c r="B40" s="24" t="s">
        <v>67</v>
      </c>
      <c r="C40" s="49">
        <f>'Avg Week Masaka-Mbarara'!C40+'Avg Week Mbarara-Masaka'!C40</f>
        <v>16.857142857142854</v>
      </c>
      <c r="D40" s="49">
        <f>'Avg Week Masaka-Mbarara'!D40+'Avg Week Mbarara-Masaka'!D40</f>
        <v>6.2857142857142856</v>
      </c>
      <c r="E40" s="49">
        <f>'Avg Week Masaka-Mbarara'!E40+'Avg Week Mbarara-Masaka'!E40</f>
        <v>5.4285714285714288</v>
      </c>
      <c r="F40" s="49">
        <f>'Avg Week Masaka-Mbarara'!F40+'Avg Week Mbarara-Masaka'!F40</f>
        <v>8.7142857142857153</v>
      </c>
      <c r="G40" s="49">
        <f>'Avg Week Masaka-Mbarara'!G40+'Avg Week Mbarara-Masaka'!G40</f>
        <v>0.5714285714285714</v>
      </c>
      <c r="H40" s="49">
        <f>'Avg Week Masaka-Mbarara'!H40+'Avg Week Mbarara-Masaka'!H40</f>
        <v>3.8571428571428568</v>
      </c>
      <c r="I40" s="49">
        <f>'Avg Week Masaka-Mbarara'!I40+'Avg Week Mbarara-Masaka'!I40</f>
        <v>3.2857142857142856</v>
      </c>
      <c r="J40" s="49">
        <f>'Avg Week Masaka-Mbarara'!J40+'Avg Week Mbarara-Masaka'!J40</f>
        <v>4.2857142857142856</v>
      </c>
      <c r="K40" s="49">
        <f>'Avg Week Masaka-Mbarara'!K40+'Avg Week Mbarara-Masaka'!K40</f>
        <v>3.7142857142857144</v>
      </c>
      <c r="L40" s="49">
        <f>'Avg Week Masaka-Mbarara'!L40+'Avg Week Mbarara-Masaka'!L40</f>
        <v>0.7142857142857143</v>
      </c>
      <c r="M40" s="49">
        <f>'Avg Week Masaka-Mbarara'!M40+'Avg Week Mbarara-Masaka'!M40</f>
        <v>31.285714285714285</v>
      </c>
      <c r="N40" s="49">
        <f>'Avg Week Masaka-Mbarara'!N40+'Avg Week Mbarara-Masaka'!N40</f>
        <v>0</v>
      </c>
      <c r="O40" s="15">
        <f t="shared" si="0"/>
        <v>53.714285714285708</v>
      </c>
      <c r="P40" s="15">
        <f t="shared" si="1"/>
        <v>85</v>
      </c>
      <c r="R40" s="59" t="s">
        <v>17</v>
      </c>
      <c r="S40" s="67">
        <f t="shared" ref="S40:AF40" si="32">SUM(S10:S21)</f>
        <v>804.42857142857144</v>
      </c>
      <c r="T40" s="67">
        <f t="shared" si="32"/>
        <v>365.85714285714278</v>
      </c>
      <c r="U40" s="67">
        <f t="shared" si="32"/>
        <v>226.71428571428572</v>
      </c>
      <c r="V40" s="67">
        <f t="shared" si="32"/>
        <v>436.28571428571428</v>
      </c>
      <c r="W40" s="67">
        <f t="shared" si="32"/>
        <v>19.428571428571431</v>
      </c>
      <c r="X40" s="67">
        <f t="shared" si="32"/>
        <v>115</v>
      </c>
      <c r="Y40" s="67">
        <f t="shared" si="32"/>
        <v>156.28571428571425</v>
      </c>
      <c r="Z40" s="67">
        <f t="shared" si="32"/>
        <v>151.42857142857144</v>
      </c>
      <c r="AA40" s="67">
        <f t="shared" si="32"/>
        <v>170.85714285714289</v>
      </c>
      <c r="AB40" s="67">
        <f t="shared" si="32"/>
        <v>31.142857142857142</v>
      </c>
      <c r="AC40" s="67">
        <f t="shared" si="32"/>
        <v>1372</v>
      </c>
      <c r="AD40" s="67">
        <f t="shared" si="32"/>
        <v>0.14285714285714285</v>
      </c>
      <c r="AE40" s="68">
        <f t="shared" si="32"/>
        <v>2477.5714285714289</v>
      </c>
      <c r="AF40" s="68">
        <f t="shared" si="32"/>
        <v>3849.5714285714284</v>
      </c>
    </row>
    <row r="41" spans="2:32" ht="23.1" customHeight="1" x14ac:dyDescent="0.25">
      <c r="B41" s="23" t="s">
        <v>68</v>
      </c>
      <c r="C41" s="49">
        <f>'Avg Week Masaka-Mbarara'!C41+'Avg Week Mbarara-Masaka'!C41</f>
        <v>16.285714285714285</v>
      </c>
      <c r="D41" s="49">
        <f>'Avg Week Masaka-Mbarara'!D41+'Avg Week Mbarara-Masaka'!D41</f>
        <v>8.4285714285714288</v>
      </c>
      <c r="E41" s="49">
        <f>'Avg Week Masaka-Mbarara'!E41+'Avg Week Mbarara-Masaka'!E41</f>
        <v>3.7142857142857144</v>
      </c>
      <c r="F41" s="49">
        <f>'Avg Week Masaka-Mbarara'!F41+'Avg Week Mbarara-Masaka'!F41</f>
        <v>8.7142857142857135</v>
      </c>
      <c r="G41" s="49">
        <f>'Avg Week Masaka-Mbarara'!G41+'Avg Week Mbarara-Masaka'!G41</f>
        <v>0</v>
      </c>
      <c r="H41" s="49">
        <f>'Avg Week Masaka-Mbarara'!H41+'Avg Week Mbarara-Masaka'!H41</f>
        <v>2.8571428571428572</v>
      </c>
      <c r="I41" s="49">
        <f>'Avg Week Masaka-Mbarara'!I41+'Avg Week Mbarara-Masaka'!I41</f>
        <v>2.1428571428571428</v>
      </c>
      <c r="J41" s="49">
        <f>'Avg Week Masaka-Mbarara'!J41+'Avg Week Mbarara-Masaka'!J41</f>
        <v>3</v>
      </c>
      <c r="K41" s="49">
        <f>'Avg Week Masaka-Mbarara'!K41+'Avg Week Mbarara-Masaka'!K41</f>
        <v>3.8571428571428577</v>
      </c>
      <c r="L41" s="49">
        <f>'Avg Week Masaka-Mbarara'!L41+'Avg Week Mbarara-Masaka'!L41</f>
        <v>0.42857142857142855</v>
      </c>
      <c r="M41" s="49">
        <f>'Avg Week Masaka-Mbarara'!M41+'Avg Week Mbarara-Masaka'!M41</f>
        <v>27.714285714285715</v>
      </c>
      <c r="N41" s="49">
        <f>'Avg Week Masaka-Mbarara'!N41+'Avg Week Mbarara-Masaka'!N41</f>
        <v>0</v>
      </c>
      <c r="O41" s="15">
        <f t="shared" si="0"/>
        <v>49.428571428571431</v>
      </c>
      <c r="P41" s="15">
        <f t="shared" si="1"/>
        <v>77.142857142857139</v>
      </c>
      <c r="R41" s="59" t="s">
        <v>186</v>
      </c>
      <c r="S41" s="67">
        <f>SUM(S10:S33)</f>
        <v>1201.9285714285716</v>
      </c>
      <c r="T41" s="67">
        <f t="shared" ref="T41:AD41" si="33">SUM(T10:T33)</f>
        <v>485.85714285714278</v>
      </c>
      <c r="U41" s="67">
        <f t="shared" si="33"/>
        <v>313.71428571428572</v>
      </c>
      <c r="V41" s="67">
        <f t="shared" si="33"/>
        <v>591.28571428571422</v>
      </c>
      <c r="W41" s="67">
        <f t="shared" si="33"/>
        <v>41.928571428571431</v>
      </c>
      <c r="X41" s="67">
        <f t="shared" si="33"/>
        <v>235</v>
      </c>
      <c r="Y41" s="67">
        <f t="shared" si="33"/>
        <v>302.78571428571422</v>
      </c>
      <c r="Z41" s="67">
        <f t="shared" si="33"/>
        <v>441.42857142857144</v>
      </c>
      <c r="AA41" s="67">
        <f t="shared" si="33"/>
        <v>414.85714285714289</v>
      </c>
      <c r="AB41" s="67">
        <f t="shared" si="33"/>
        <v>52.142857142857139</v>
      </c>
      <c r="AC41" s="67">
        <f t="shared" si="33"/>
        <v>1613.5</v>
      </c>
      <c r="AD41" s="67">
        <f t="shared" si="33"/>
        <v>0.14285714285714285</v>
      </c>
      <c r="AE41" s="68">
        <f>SUM(AE10:AE33)</f>
        <v>4081.0714285714289</v>
      </c>
      <c r="AF41" s="68">
        <f>SUM(AF10:AF33)</f>
        <v>5694.5714285714284</v>
      </c>
    </row>
    <row r="42" spans="2:32" ht="23.1" customHeight="1" x14ac:dyDescent="0.25">
      <c r="B42" s="24" t="s">
        <v>69</v>
      </c>
      <c r="C42" s="49">
        <f>'Avg Week Masaka-Mbarara'!C42+'Avg Week Mbarara-Masaka'!C42</f>
        <v>16.428571428571427</v>
      </c>
      <c r="D42" s="49">
        <f>'Avg Week Masaka-Mbarara'!D42+'Avg Week Mbarara-Masaka'!D42</f>
        <v>7.4285714285714288</v>
      </c>
      <c r="E42" s="49">
        <f>'Avg Week Masaka-Mbarara'!E42+'Avg Week Mbarara-Masaka'!E42</f>
        <v>4</v>
      </c>
      <c r="F42" s="49">
        <f>'Avg Week Masaka-Mbarara'!F42+'Avg Week Mbarara-Masaka'!F42</f>
        <v>8.1428571428571423</v>
      </c>
      <c r="G42" s="49">
        <f>'Avg Week Masaka-Mbarara'!G42+'Avg Week Mbarara-Masaka'!G42</f>
        <v>0.5714285714285714</v>
      </c>
      <c r="H42" s="49">
        <f>'Avg Week Masaka-Mbarara'!H42+'Avg Week Mbarara-Masaka'!H42</f>
        <v>2.8571428571428572</v>
      </c>
      <c r="I42" s="49">
        <f>'Avg Week Masaka-Mbarara'!I42+'Avg Week Mbarara-Masaka'!I42</f>
        <v>3.4285714285714288</v>
      </c>
      <c r="J42" s="49">
        <f>'Avg Week Masaka-Mbarara'!J42+'Avg Week Mbarara-Masaka'!J42</f>
        <v>2.8571428571428572</v>
      </c>
      <c r="K42" s="49">
        <f>'Avg Week Masaka-Mbarara'!K42+'Avg Week Mbarara-Masaka'!K42</f>
        <v>2.7142857142857144</v>
      </c>
      <c r="L42" s="49">
        <f>'Avg Week Masaka-Mbarara'!L42+'Avg Week Mbarara-Masaka'!L42</f>
        <v>0.2857142857142857</v>
      </c>
      <c r="M42" s="49">
        <f>'Avg Week Masaka-Mbarara'!M42+'Avg Week Mbarara-Masaka'!M42</f>
        <v>28</v>
      </c>
      <c r="N42" s="49">
        <f>'Avg Week Masaka-Mbarara'!N42+'Avg Week Mbarara-Masaka'!N42</f>
        <v>0</v>
      </c>
      <c r="O42" s="15">
        <f t="shared" si="0"/>
        <v>48.714285714285708</v>
      </c>
      <c r="P42" s="15">
        <f t="shared" si="1"/>
        <v>76.714285714285708</v>
      </c>
      <c r="R42" s="59" t="s">
        <v>160</v>
      </c>
      <c r="S42" s="48">
        <f>S41/S40</f>
        <v>1.4941395844432606</v>
      </c>
      <c r="T42" s="48">
        <f t="shared" ref="T42:AF42" si="34">T41/T40</f>
        <v>1.3279968762202266</v>
      </c>
      <c r="U42" s="48">
        <f t="shared" si="34"/>
        <v>1.383742911153119</v>
      </c>
      <c r="V42" s="48">
        <f t="shared" si="34"/>
        <v>1.3552717747216763</v>
      </c>
      <c r="W42" s="48">
        <f t="shared" si="34"/>
        <v>2.1580882352941173</v>
      </c>
      <c r="X42" s="48">
        <f t="shared" si="34"/>
        <v>2.0434782608695654</v>
      </c>
      <c r="Y42" s="48">
        <f t="shared" si="34"/>
        <v>1.9373857404021939</v>
      </c>
      <c r="Z42" s="48">
        <f t="shared" si="34"/>
        <v>2.9150943396226414</v>
      </c>
      <c r="AA42" s="48">
        <f t="shared" si="34"/>
        <v>2.4280936454849495</v>
      </c>
      <c r="AB42" s="48">
        <f t="shared" si="34"/>
        <v>1.6743119266055044</v>
      </c>
      <c r="AC42" s="48">
        <f t="shared" si="34"/>
        <v>1.1760204081632653</v>
      </c>
      <c r="AD42" s="48">
        <f t="shared" si="34"/>
        <v>1</v>
      </c>
      <c r="AE42" s="69">
        <f t="shared" si="34"/>
        <v>1.6472063656806779</v>
      </c>
      <c r="AF42" s="69">
        <f t="shared" si="34"/>
        <v>1.4792741307010058</v>
      </c>
    </row>
    <row r="43" spans="2:32" ht="23.1" customHeight="1" x14ac:dyDescent="0.25">
      <c r="B43" s="23" t="s">
        <v>70</v>
      </c>
      <c r="C43" s="49">
        <f>'Avg Week Masaka-Mbarara'!C43+'Avg Week Mbarara-Masaka'!C43</f>
        <v>18.571428571428573</v>
      </c>
      <c r="D43" s="49">
        <f>'Avg Week Masaka-Mbarara'!D43+'Avg Week Mbarara-Masaka'!D43</f>
        <v>8.7142857142857153</v>
      </c>
      <c r="E43" s="49">
        <f>'Avg Week Masaka-Mbarara'!E43+'Avg Week Mbarara-Masaka'!E43</f>
        <v>5.1428571428571423</v>
      </c>
      <c r="F43" s="49">
        <f>'Avg Week Masaka-Mbarara'!F43+'Avg Week Mbarara-Masaka'!F43</f>
        <v>10</v>
      </c>
      <c r="G43" s="49">
        <f>'Avg Week Masaka-Mbarara'!G43+'Avg Week Mbarara-Masaka'!G43</f>
        <v>0.5714285714285714</v>
      </c>
      <c r="H43" s="49">
        <f>'Avg Week Masaka-Mbarara'!H43+'Avg Week Mbarara-Masaka'!H43</f>
        <v>3.2857142857142856</v>
      </c>
      <c r="I43" s="49">
        <f>'Avg Week Masaka-Mbarara'!I43+'Avg Week Mbarara-Masaka'!I43</f>
        <v>3.7142857142857144</v>
      </c>
      <c r="J43" s="49">
        <f>'Avg Week Masaka-Mbarara'!J43+'Avg Week Mbarara-Masaka'!J43</f>
        <v>3.2857142857142856</v>
      </c>
      <c r="K43" s="49">
        <f>'Avg Week Masaka-Mbarara'!K43+'Avg Week Mbarara-Masaka'!K43</f>
        <v>5.2857142857142856</v>
      </c>
      <c r="L43" s="49">
        <f>'Avg Week Masaka-Mbarara'!L43+'Avg Week Mbarara-Masaka'!L43</f>
        <v>0.8571428571428571</v>
      </c>
      <c r="M43" s="49">
        <f>'Avg Week Masaka-Mbarara'!M43+'Avg Week Mbarara-Masaka'!M43</f>
        <v>24.428571428571431</v>
      </c>
      <c r="N43" s="49">
        <f>'Avg Week Masaka-Mbarara'!N43+'Avg Week Mbarara-Masaka'!N43</f>
        <v>0.14285714285714285</v>
      </c>
      <c r="O43" s="15">
        <f t="shared" si="0"/>
        <v>59.571428571428569</v>
      </c>
      <c r="P43" s="15">
        <f t="shared" si="1"/>
        <v>84</v>
      </c>
    </row>
    <row r="44" spans="2:32" ht="23.1" customHeight="1" x14ac:dyDescent="0.25">
      <c r="B44" s="25" t="s">
        <v>71</v>
      </c>
      <c r="C44" s="49">
        <f>'Avg Week Masaka-Mbarara'!C44+'Avg Week Mbarara-Masaka'!C44</f>
        <v>19.857142857142858</v>
      </c>
      <c r="D44" s="49">
        <f>'Avg Week Masaka-Mbarara'!D44+'Avg Week Mbarara-Masaka'!D44</f>
        <v>9.5714285714285712</v>
      </c>
      <c r="E44" s="49">
        <f>'Avg Week Masaka-Mbarara'!E44+'Avg Week Mbarara-Masaka'!E44</f>
        <v>4.1428571428571423</v>
      </c>
      <c r="F44" s="49">
        <f>'Avg Week Masaka-Mbarara'!F44+'Avg Week Mbarara-Masaka'!F44</f>
        <v>12.285714285714285</v>
      </c>
      <c r="G44" s="49">
        <f>'Avg Week Masaka-Mbarara'!G44+'Avg Week Mbarara-Masaka'!G44</f>
        <v>0.2857142857142857</v>
      </c>
      <c r="H44" s="49">
        <f>'Avg Week Masaka-Mbarara'!H44+'Avg Week Mbarara-Masaka'!H44</f>
        <v>3.7142857142857144</v>
      </c>
      <c r="I44" s="49">
        <f>'Avg Week Masaka-Mbarara'!I44+'Avg Week Mbarara-Masaka'!I44</f>
        <v>3.1428571428571428</v>
      </c>
      <c r="J44" s="49">
        <f>'Avg Week Masaka-Mbarara'!J44+'Avg Week Mbarara-Masaka'!J44</f>
        <v>4</v>
      </c>
      <c r="K44" s="49">
        <f>'Avg Week Masaka-Mbarara'!K44+'Avg Week Mbarara-Masaka'!K44</f>
        <v>4.8571428571428568</v>
      </c>
      <c r="L44" s="49">
        <f>'Avg Week Masaka-Mbarara'!L44+'Avg Week Mbarara-Masaka'!L44</f>
        <v>0.8571428571428571</v>
      </c>
      <c r="M44" s="49">
        <f>'Avg Week Masaka-Mbarara'!M44+'Avg Week Mbarara-Masaka'!M44</f>
        <v>33.142857142857139</v>
      </c>
      <c r="N44" s="49">
        <f>'Avg Week Masaka-Mbarara'!N44+'Avg Week Mbarara-Masaka'!N44</f>
        <v>0</v>
      </c>
      <c r="O44" s="15">
        <f t="shared" si="0"/>
        <v>62.714285714285708</v>
      </c>
      <c r="P44" s="15">
        <f t="shared" si="1"/>
        <v>95.857142857142847</v>
      </c>
    </row>
    <row r="45" spans="2:32" ht="23.1" customHeight="1" x14ac:dyDescent="0.25">
      <c r="B45" s="23" t="s">
        <v>72</v>
      </c>
      <c r="C45" s="49">
        <f>'Avg Week Masaka-Mbarara'!C45+'Avg Week Mbarara-Masaka'!C45</f>
        <v>17.714285714285715</v>
      </c>
      <c r="D45" s="49">
        <f>'Avg Week Masaka-Mbarara'!D45+'Avg Week Mbarara-Masaka'!D45</f>
        <v>9.1428571428571423</v>
      </c>
      <c r="E45" s="49">
        <f>'Avg Week Masaka-Mbarara'!E45+'Avg Week Mbarara-Masaka'!E45</f>
        <v>5.7142857142857135</v>
      </c>
      <c r="F45" s="49">
        <f>'Avg Week Masaka-Mbarara'!F45+'Avg Week Mbarara-Masaka'!F45</f>
        <v>9.4285714285714288</v>
      </c>
      <c r="G45" s="49">
        <f>'Avg Week Masaka-Mbarara'!G45+'Avg Week Mbarara-Masaka'!G45</f>
        <v>0.42857142857142855</v>
      </c>
      <c r="H45" s="49">
        <f>'Avg Week Masaka-Mbarara'!H45+'Avg Week Mbarara-Masaka'!H45</f>
        <v>4</v>
      </c>
      <c r="I45" s="49">
        <f>'Avg Week Masaka-Mbarara'!I45+'Avg Week Mbarara-Masaka'!I45</f>
        <v>3.5714285714285712</v>
      </c>
      <c r="J45" s="49">
        <f>'Avg Week Masaka-Mbarara'!J45+'Avg Week Mbarara-Masaka'!J45</f>
        <v>4.1428571428571423</v>
      </c>
      <c r="K45" s="49">
        <f>'Avg Week Masaka-Mbarara'!K45+'Avg Week Mbarara-Masaka'!K45</f>
        <v>2.4285714285714288</v>
      </c>
      <c r="L45" s="49">
        <f>'Avg Week Masaka-Mbarara'!L45+'Avg Week Mbarara-Masaka'!L45</f>
        <v>0.2857142857142857</v>
      </c>
      <c r="M45" s="49">
        <f>'Avg Week Masaka-Mbarara'!M45+'Avg Week Mbarara-Masaka'!M45</f>
        <v>27.857142857142858</v>
      </c>
      <c r="N45" s="49">
        <f>'Avg Week Masaka-Mbarara'!N45+'Avg Week Mbarara-Masaka'!N45</f>
        <v>0</v>
      </c>
      <c r="O45" s="15">
        <f t="shared" si="0"/>
        <v>56.857142857142854</v>
      </c>
      <c r="P45" s="15">
        <f t="shared" si="1"/>
        <v>84.714285714285708</v>
      </c>
    </row>
    <row r="46" spans="2:32" ht="23.1" customHeight="1" x14ac:dyDescent="0.25">
      <c r="B46" s="24" t="s">
        <v>73</v>
      </c>
      <c r="C46" s="49">
        <f>'Avg Week Masaka-Mbarara'!C46+'Avg Week Mbarara-Masaka'!C46</f>
        <v>19.428571428571431</v>
      </c>
      <c r="D46" s="49">
        <f>'Avg Week Masaka-Mbarara'!D46+'Avg Week Mbarara-Masaka'!D46</f>
        <v>7.5714285714285712</v>
      </c>
      <c r="E46" s="49">
        <f>'Avg Week Masaka-Mbarara'!E46+'Avg Week Mbarara-Masaka'!E46</f>
        <v>5.5714285714285712</v>
      </c>
      <c r="F46" s="49">
        <f>'Avg Week Masaka-Mbarara'!F46+'Avg Week Mbarara-Masaka'!F46</f>
        <v>8.5714285714285712</v>
      </c>
      <c r="G46" s="49">
        <f>'Avg Week Masaka-Mbarara'!G46+'Avg Week Mbarara-Masaka'!G46</f>
        <v>0.14285714285714285</v>
      </c>
      <c r="H46" s="49">
        <f>'Avg Week Masaka-Mbarara'!H46+'Avg Week Mbarara-Masaka'!H46</f>
        <v>3.8571428571428568</v>
      </c>
      <c r="I46" s="49">
        <f>'Avg Week Masaka-Mbarara'!I46+'Avg Week Mbarara-Masaka'!I46</f>
        <v>4.2857142857142856</v>
      </c>
      <c r="J46" s="49">
        <f>'Avg Week Masaka-Mbarara'!J46+'Avg Week Mbarara-Masaka'!J46</f>
        <v>3.4285714285714284</v>
      </c>
      <c r="K46" s="49">
        <f>'Avg Week Masaka-Mbarara'!K46+'Avg Week Mbarara-Masaka'!K46</f>
        <v>4.2857142857142856</v>
      </c>
      <c r="L46" s="49">
        <f>'Avg Week Masaka-Mbarara'!L46+'Avg Week Mbarara-Masaka'!L46</f>
        <v>0.42857142857142855</v>
      </c>
      <c r="M46" s="49">
        <f>'Avg Week Masaka-Mbarara'!M46+'Avg Week Mbarara-Masaka'!M46</f>
        <v>32.571428571428569</v>
      </c>
      <c r="N46" s="49">
        <f>'Avg Week Masaka-Mbarara'!N46+'Avg Week Mbarara-Masaka'!N46</f>
        <v>0</v>
      </c>
      <c r="O46" s="15">
        <f t="shared" si="0"/>
        <v>57.571428571428569</v>
      </c>
      <c r="P46" s="15">
        <f t="shared" si="1"/>
        <v>90.142857142857139</v>
      </c>
      <c r="R46" s="8"/>
      <c r="T46"/>
    </row>
    <row r="47" spans="2:32" ht="23.1" customHeight="1" x14ac:dyDescent="0.25">
      <c r="B47" s="24" t="s">
        <v>74</v>
      </c>
      <c r="C47" s="49">
        <f>'Avg Week Masaka-Mbarara'!C47+'Avg Week Mbarara-Masaka'!C47</f>
        <v>19.857142857142858</v>
      </c>
      <c r="D47" s="49">
        <f>'Avg Week Masaka-Mbarara'!D47+'Avg Week Mbarara-Masaka'!D47</f>
        <v>9.2857142857142847</v>
      </c>
      <c r="E47" s="49">
        <f>'Avg Week Masaka-Mbarara'!E47+'Avg Week Mbarara-Masaka'!E47</f>
        <v>5.5714285714285712</v>
      </c>
      <c r="F47" s="49">
        <f>'Avg Week Masaka-Mbarara'!F47+'Avg Week Mbarara-Masaka'!F47</f>
        <v>10.142857142857142</v>
      </c>
      <c r="G47" s="49">
        <f>'Avg Week Masaka-Mbarara'!G47+'Avg Week Mbarara-Masaka'!G47</f>
        <v>0.2857142857142857</v>
      </c>
      <c r="H47" s="49">
        <f>'Avg Week Masaka-Mbarara'!H47+'Avg Week Mbarara-Masaka'!H47</f>
        <v>3.5714285714285712</v>
      </c>
      <c r="I47" s="49">
        <f>'Avg Week Masaka-Mbarara'!I47+'Avg Week Mbarara-Masaka'!I47</f>
        <v>3.4285714285714284</v>
      </c>
      <c r="J47" s="49">
        <f>'Avg Week Masaka-Mbarara'!J47+'Avg Week Mbarara-Masaka'!J47</f>
        <v>3.8571428571428577</v>
      </c>
      <c r="K47" s="49">
        <f>'Avg Week Masaka-Mbarara'!K47+'Avg Week Mbarara-Masaka'!K47</f>
        <v>4.4285714285714288</v>
      </c>
      <c r="L47" s="49">
        <f>'Avg Week Masaka-Mbarara'!L47+'Avg Week Mbarara-Masaka'!L47</f>
        <v>1.2857142857142856</v>
      </c>
      <c r="M47" s="49">
        <f>'Avg Week Masaka-Mbarara'!M47+'Avg Week Mbarara-Masaka'!M47</f>
        <v>33</v>
      </c>
      <c r="N47" s="49">
        <f>'Avg Week Masaka-Mbarara'!N47+'Avg Week Mbarara-Masaka'!N47</f>
        <v>0</v>
      </c>
      <c r="O47" s="15">
        <f t="shared" si="0"/>
        <v>61.714285714285715</v>
      </c>
      <c r="P47" s="15">
        <f t="shared" si="1"/>
        <v>94.714285714285722</v>
      </c>
      <c r="R47" s="8"/>
      <c r="T47"/>
    </row>
    <row r="48" spans="2:32" ht="23.1" customHeight="1" x14ac:dyDescent="0.25">
      <c r="B48" s="24" t="s">
        <v>75</v>
      </c>
      <c r="C48" s="49">
        <f>'Avg Week Masaka-Mbarara'!C48+'Avg Week Mbarara-Masaka'!C48</f>
        <v>19.428571428571431</v>
      </c>
      <c r="D48" s="49">
        <f>'Avg Week Masaka-Mbarara'!D48+'Avg Week Mbarara-Masaka'!D48</f>
        <v>9.8571428571428577</v>
      </c>
      <c r="E48" s="49">
        <f>'Avg Week Masaka-Mbarara'!E48+'Avg Week Mbarara-Masaka'!E48</f>
        <v>5.1428571428571432</v>
      </c>
      <c r="F48" s="49">
        <f>'Avg Week Masaka-Mbarara'!F48+'Avg Week Mbarara-Masaka'!F48</f>
        <v>9.2857142857142847</v>
      </c>
      <c r="G48" s="49">
        <f>'Avg Week Masaka-Mbarara'!G48+'Avg Week Mbarara-Masaka'!G48</f>
        <v>0.14285714285714285</v>
      </c>
      <c r="H48" s="49">
        <f>'Avg Week Masaka-Mbarara'!H48+'Avg Week Mbarara-Masaka'!H48</f>
        <v>3.4285714285714288</v>
      </c>
      <c r="I48" s="49">
        <f>'Avg Week Masaka-Mbarara'!I48+'Avg Week Mbarara-Masaka'!I48</f>
        <v>3</v>
      </c>
      <c r="J48" s="49">
        <f>'Avg Week Masaka-Mbarara'!J48+'Avg Week Mbarara-Masaka'!J48</f>
        <v>4.8571428571428577</v>
      </c>
      <c r="K48" s="49">
        <f>'Avg Week Masaka-Mbarara'!K48+'Avg Week Mbarara-Masaka'!K48</f>
        <v>3.5714285714285712</v>
      </c>
      <c r="L48" s="49">
        <f>'Avg Week Masaka-Mbarara'!L48+'Avg Week Mbarara-Masaka'!L48</f>
        <v>0.5714285714285714</v>
      </c>
      <c r="M48" s="49">
        <f>'Avg Week Masaka-Mbarara'!M48+'Avg Week Mbarara-Masaka'!M48</f>
        <v>33.714285714285715</v>
      </c>
      <c r="N48" s="49">
        <f>'Avg Week Masaka-Mbarara'!N48+'Avg Week Mbarara-Masaka'!N48</f>
        <v>0</v>
      </c>
      <c r="O48" s="15">
        <f t="shared" si="0"/>
        <v>59.285714285714292</v>
      </c>
      <c r="P48" s="15">
        <f t="shared" si="1"/>
        <v>93</v>
      </c>
      <c r="R48" s="8"/>
      <c r="T48"/>
    </row>
    <row r="49" spans="2:20" ht="23.1" customHeight="1" x14ac:dyDescent="0.25">
      <c r="B49" s="23" t="s">
        <v>76</v>
      </c>
      <c r="C49" s="49">
        <f>'Avg Week Masaka-Mbarara'!C49+'Avg Week Mbarara-Masaka'!C49</f>
        <v>18.714285714285715</v>
      </c>
      <c r="D49" s="49">
        <f>'Avg Week Masaka-Mbarara'!D49+'Avg Week Mbarara-Masaka'!D49</f>
        <v>8.4285714285714288</v>
      </c>
      <c r="E49" s="49">
        <f>'Avg Week Masaka-Mbarara'!E49+'Avg Week Mbarara-Masaka'!E49</f>
        <v>5.1428571428571423</v>
      </c>
      <c r="F49" s="49">
        <f>'Avg Week Masaka-Mbarara'!F49+'Avg Week Mbarara-Masaka'!F49</f>
        <v>7.5714285714285712</v>
      </c>
      <c r="G49" s="49">
        <f>'Avg Week Masaka-Mbarara'!G49+'Avg Week Mbarara-Masaka'!G49</f>
        <v>0.42857142857142855</v>
      </c>
      <c r="H49" s="49">
        <f>'Avg Week Masaka-Mbarara'!H49+'Avg Week Mbarara-Masaka'!H49</f>
        <v>2.2857142857142856</v>
      </c>
      <c r="I49" s="49">
        <f>'Avg Week Masaka-Mbarara'!I49+'Avg Week Mbarara-Masaka'!I49</f>
        <v>3.7142857142857144</v>
      </c>
      <c r="J49" s="49">
        <f>'Avg Week Masaka-Mbarara'!J49+'Avg Week Mbarara-Masaka'!J49</f>
        <v>5.1428571428571423</v>
      </c>
      <c r="K49" s="49">
        <f>'Avg Week Masaka-Mbarara'!K49+'Avg Week Mbarara-Masaka'!K49</f>
        <v>3</v>
      </c>
      <c r="L49" s="49">
        <f>'Avg Week Masaka-Mbarara'!L49+'Avg Week Mbarara-Masaka'!L49</f>
        <v>0.5714285714285714</v>
      </c>
      <c r="M49" s="49">
        <f>'Avg Week Masaka-Mbarara'!M49+'Avg Week Mbarara-Masaka'!M49</f>
        <v>29.571428571428569</v>
      </c>
      <c r="N49" s="49">
        <f>'Avg Week Masaka-Mbarara'!N49+'Avg Week Mbarara-Masaka'!N49</f>
        <v>0</v>
      </c>
      <c r="O49" s="15">
        <f t="shared" si="0"/>
        <v>55</v>
      </c>
      <c r="P49" s="15">
        <f t="shared" si="1"/>
        <v>84.571428571428569</v>
      </c>
      <c r="R49" s="8"/>
      <c r="T49"/>
    </row>
    <row r="50" spans="2:20" ht="23.1" customHeight="1" x14ac:dyDescent="0.25">
      <c r="B50" s="24" t="s">
        <v>77</v>
      </c>
      <c r="C50" s="49">
        <f>'Avg Week Masaka-Mbarara'!C50+'Avg Week Mbarara-Masaka'!C50</f>
        <v>20.857142857142854</v>
      </c>
      <c r="D50" s="49">
        <f>'Avg Week Masaka-Mbarara'!D50+'Avg Week Mbarara-Masaka'!D50</f>
        <v>11.142857142857142</v>
      </c>
      <c r="E50" s="49">
        <f>'Avg Week Masaka-Mbarara'!E50+'Avg Week Mbarara-Masaka'!E50</f>
        <v>8.7142857142857153</v>
      </c>
      <c r="F50" s="49">
        <f>'Avg Week Masaka-Mbarara'!F50+'Avg Week Mbarara-Masaka'!F50</f>
        <v>10.571428571428573</v>
      </c>
      <c r="G50" s="49">
        <f>'Avg Week Masaka-Mbarara'!G50+'Avg Week Mbarara-Masaka'!G50</f>
        <v>1.2857142857142856</v>
      </c>
      <c r="H50" s="49">
        <f>'Avg Week Masaka-Mbarara'!H50+'Avg Week Mbarara-Masaka'!H50</f>
        <v>3.5714285714285712</v>
      </c>
      <c r="I50" s="49">
        <f>'Avg Week Masaka-Mbarara'!I50+'Avg Week Mbarara-Masaka'!I50</f>
        <v>4.2857142857142856</v>
      </c>
      <c r="J50" s="49">
        <f>'Avg Week Masaka-Mbarara'!J50+'Avg Week Mbarara-Masaka'!J50</f>
        <v>5.8571428571428577</v>
      </c>
      <c r="K50" s="49">
        <f>'Avg Week Masaka-Mbarara'!K50+'Avg Week Mbarara-Masaka'!K50</f>
        <v>7</v>
      </c>
      <c r="L50" s="49">
        <f>'Avg Week Masaka-Mbarara'!L50+'Avg Week Mbarara-Masaka'!L50</f>
        <v>1.2857142857142856</v>
      </c>
      <c r="M50" s="49">
        <f>'Avg Week Masaka-Mbarara'!M50+'Avg Week Mbarara-Masaka'!M50</f>
        <v>35.285714285714285</v>
      </c>
      <c r="N50" s="49">
        <f>'Avg Week Masaka-Mbarara'!N50+'Avg Week Mbarara-Masaka'!N50</f>
        <v>0</v>
      </c>
      <c r="O50" s="15">
        <f t="shared" si="0"/>
        <v>74.571428571428569</v>
      </c>
      <c r="P50" s="15">
        <f t="shared" si="1"/>
        <v>109.85714285714286</v>
      </c>
      <c r="R50" s="8"/>
      <c r="T50"/>
    </row>
    <row r="51" spans="2:20" ht="23.1" customHeight="1" x14ac:dyDescent="0.25">
      <c r="B51" s="24" t="s">
        <v>78</v>
      </c>
      <c r="C51" s="49">
        <f>'Avg Week Masaka-Mbarara'!C51+'Avg Week Mbarara-Masaka'!C51</f>
        <v>23.285714285714285</v>
      </c>
      <c r="D51" s="49">
        <f>'Avg Week Masaka-Mbarara'!D51+'Avg Week Mbarara-Masaka'!D51</f>
        <v>10.285714285714285</v>
      </c>
      <c r="E51" s="49">
        <f>'Avg Week Masaka-Mbarara'!E51+'Avg Week Mbarara-Masaka'!E51</f>
        <v>5.4285714285714288</v>
      </c>
      <c r="F51" s="49">
        <f>'Avg Week Masaka-Mbarara'!F51+'Avg Week Mbarara-Masaka'!F51</f>
        <v>9.7142857142857153</v>
      </c>
      <c r="G51" s="49">
        <f>'Avg Week Masaka-Mbarara'!G51+'Avg Week Mbarara-Masaka'!G51</f>
        <v>0.14285714285714285</v>
      </c>
      <c r="H51" s="49">
        <f>'Avg Week Masaka-Mbarara'!H51+'Avg Week Mbarara-Masaka'!H51</f>
        <v>3</v>
      </c>
      <c r="I51" s="49">
        <f>'Avg Week Masaka-Mbarara'!I51+'Avg Week Mbarara-Masaka'!I51</f>
        <v>5.1428571428571423</v>
      </c>
      <c r="J51" s="49">
        <f>'Avg Week Masaka-Mbarara'!J51+'Avg Week Mbarara-Masaka'!J51</f>
        <v>5.5714285714285712</v>
      </c>
      <c r="K51" s="49">
        <f>'Avg Week Masaka-Mbarara'!K51+'Avg Week Mbarara-Masaka'!K51</f>
        <v>3.7142857142857144</v>
      </c>
      <c r="L51" s="49">
        <f>'Avg Week Masaka-Mbarara'!L51+'Avg Week Mbarara-Masaka'!L51</f>
        <v>0.8571428571428571</v>
      </c>
      <c r="M51" s="49">
        <f>'Avg Week Masaka-Mbarara'!M51+'Avg Week Mbarara-Masaka'!M51</f>
        <v>30.285714285714285</v>
      </c>
      <c r="N51" s="49">
        <f>'Avg Week Masaka-Mbarara'!N51+'Avg Week Mbarara-Masaka'!N51</f>
        <v>0</v>
      </c>
      <c r="O51" s="15">
        <f t="shared" si="0"/>
        <v>67.142857142857139</v>
      </c>
      <c r="P51" s="15">
        <f t="shared" si="1"/>
        <v>97.428571428571416</v>
      </c>
      <c r="R51" s="8"/>
      <c r="T51"/>
    </row>
    <row r="52" spans="2:20" ht="23.1" customHeight="1" x14ac:dyDescent="0.25">
      <c r="B52" s="24" t="s">
        <v>79</v>
      </c>
      <c r="C52" s="49">
        <f>'Avg Week Masaka-Mbarara'!C52+'Avg Week Mbarara-Masaka'!C52</f>
        <v>19.285714285714285</v>
      </c>
      <c r="D52" s="49">
        <f>'Avg Week Masaka-Mbarara'!D52+'Avg Week Mbarara-Masaka'!D52</f>
        <v>9.7142857142857135</v>
      </c>
      <c r="E52" s="49">
        <f>'Avg Week Masaka-Mbarara'!E52+'Avg Week Mbarara-Masaka'!E52</f>
        <v>7</v>
      </c>
      <c r="F52" s="49">
        <f>'Avg Week Masaka-Mbarara'!F52+'Avg Week Mbarara-Masaka'!F52</f>
        <v>9.7142857142857135</v>
      </c>
      <c r="G52" s="49">
        <f>'Avg Week Masaka-Mbarara'!G52+'Avg Week Mbarara-Masaka'!G52</f>
        <v>0.5714285714285714</v>
      </c>
      <c r="H52" s="49">
        <f>'Avg Week Masaka-Mbarara'!H52+'Avg Week Mbarara-Masaka'!H52</f>
        <v>1.7142857142857144</v>
      </c>
      <c r="I52" s="49">
        <f>'Avg Week Masaka-Mbarara'!I52+'Avg Week Mbarara-Masaka'!I52</f>
        <v>5.2857142857142856</v>
      </c>
      <c r="J52" s="49">
        <f>'Avg Week Masaka-Mbarara'!J52+'Avg Week Mbarara-Masaka'!J52</f>
        <v>5.8571428571428577</v>
      </c>
      <c r="K52" s="49">
        <f>'Avg Week Masaka-Mbarara'!K52+'Avg Week Mbarara-Masaka'!K52</f>
        <v>5.4285714285714288</v>
      </c>
      <c r="L52" s="49">
        <f>'Avg Week Masaka-Mbarara'!L52+'Avg Week Mbarara-Masaka'!L52</f>
        <v>1.1428571428571428</v>
      </c>
      <c r="M52" s="49">
        <f>'Avg Week Masaka-Mbarara'!M52+'Avg Week Mbarara-Masaka'!M52</f>
        <v>34.857142857142854</v>
      </c>
      <c r="N52" s="49">
        <f>'Avg Week Masaka-Mbarara'!N52+'Avg Week Mbarara-Masaka'!N52</f>
        <v>0</v>
      </c>
      <c r="O52" s="15">
        <f t="shared" si="0"/>
        <v>65.714285714285708</v>
      </c>
      <c r="P52" s="15">
        <f t="shared" si="1"/>
        <v>100.57142857142856</v>
      </c>
      <c r="R52" s="8"/>
      <c r="T52"/>
    </row>
    <row r="53" spans="2:20" ht="23.1" customHeight="1" x14ac:dyDescent="0.25">
      <c r="B53" s="23" t="s">
        <v>80</v>
      </c>
      <c r="C53" s="49">
        <f>'Avg Week Masaka-Mbarara'!C53+'Avg Week Mbarara-Masaka'!C53</f>
        <v>24.285714285714285</v>
      </c>
      <c r="D53" s="49">
        <f>'Avg Week Masaka-Mbarara'!D53+'Avg Week Mbarara-Masaka'!D53</f>
        <v>9.5714285714285712</v>
      </c>
      <c r="E53" s="49">
        <f>'Avg Week Masaka-Mbarara'!E53+'Avg Week Mbarara-Masaka'!E53</f>
        <v>5.2857142857142865</v>
      </c>
      <c r="F53" s="49">
        <f>'Avg Week Masaka-Mbarara'!F53+'Avg Week Mbarara-Masaka'!F53</f>
        <v>10.714285714285715</v>
      </c>
      <c r="G53" s="49">
        <f>'Avg Week Masaka-Mbarara'!G53+'Avg Week Mbarara-Masaka'!G53</f>
        <v>0.2857142857142857</v>
      </c>
      <c r="H53" s="49">
        <f>'Avg Week Masaka-Mbarara'!H53+'Avg Week Mbarara-Masaka'!H53</f>
        <v>3.2857142857142856</v>
      </c>
      <c r="I53" s="49">
        <f>'Avg Week Masaka-Mbarara'!I53+'Avg Week Mbarara-Masaka'!I53</f>
        <v>5.2857142857142856</v>
      </c>
      <c r="J53" s="49">
        <f>'Avg Week Masaka-Mbarara'!J53+'Avg Week Mbarara-Masaka'!J53</f>
        <v>5.4285714285714288</v>
      </c>
      <c r="K53" s="49">
        <f>'Avg Week Masaka-Mbarara'!K53+'Avg Week Mbarara-Masaka'!K53</f>
        <v>4.5714285714285712</v>
      </c>
      <c r="L53" s="49">
        <f>'Avg Week Masaka-Mbarara'!L53+'Avg Week Mbarara-Masaka'!L53</f>
        <v>0.8571428571428571</v>
      </c>
      <c r="M53" s="49">
        <f>'Avg Week Masaka-Mbarara'!M53+'Avg Week Mbarara-Masaka'!M53</f>
        <v>37.428571428571431</v>
      </c>
      <c r="N53" s="49">
        <f>'Avg Week Masaka-Mbarara'!N53+'Avg Week Mbarara-Masaka'!N53</f>
        <v>0</v>
      </c>
      <c r="O53" s="15">
        <f t="shared" si="0"/>
        <v>69.571428571428569</v>
      </c>
      <c r="P53" s="15">
        <f t="shared" si="1"/>
        <v>107</v>
      </c>
      <c r="R53" s="8"/>
      <c r="T53"/>
    </row>
    <row r="54" spans="2:20" ht="23.1" customHeight="1" x14ac:dyDescent="0.25">
      <c r="B54" s="23" t="s">
        <v>81</v>
      </c>
      <c r="C54" s="49">
        <f>'Avg Week Masaka-Mbarara'!C54+'Avg Week Mbarara-Masaka'!C54</f>
        <v>23.285714285714285</v>
      </c>
      <c r="D54" s="49">
        <f>'Avg Week Masaka-Mbarara'!D54+'Avg Week Mbarara-Masaka'!D54</f>
        <v>6.2857142857142856</v>
      </c>
      <c r="E54" s="49">
        <f>'Avg Week Masaka-Mbarara'!E54+'Avg Week Mbarara-Masaka'!E54</f>
        <v>7.5714285714285712</v>
      </c>
      <c r="F54" s="49">
        <f>'Avg Week Masaka-Mbarara'!F54+'Avg Week Mbarara-Masaka'!F54</f>
        <v>12.571428571428571</v>
      </c>
      <c r="G54" s="49">
        <f>'Avg Week Masaka-Mbarara'!G54+'Avg Week Mbarara-Masaka'!G54</f>
        <v>0.71428571428571419</v>
      </c>
      <c r="H54" s="49">
        <f>'Avg Week Masaka-Mbarara'!H54+'Avg Week Mbarara-Masaka'!H54</f>
        <v>2.8571428571428572</v>
      </c>
      <c r="I54" s="49">
        <f>'Avg Week Masaka-Mbarara'!I54+'Avg Week Mbarara-Masaka'!I54</f>
        <v>5.5714285714285712</v>
      </c>
      <c r="J54" s="49">
        <f>'Avg Week Masaka-Mbarara'!J54+'Avg Week Mbarara-Masaka'!J54</f>
        <v>7.5714285714285712</v>
      </c>
      <c r="K54" s="49">
        <f>'Avg Week Masaka-Mbarara'!K54+'Avg Week Mbarara-Masaka'!K54</f>
        <v>6</v>
      </c>
      <c r="L54" s="49">
        <f>'Avg Week Masaka-Mbarara'!L54+'Avg Week Mbarara-Masaka'!L54</f>
        <v>0.5714285714285714</v>
      </c>
      <c r="M54" s="49">
        <f>'Avg Week Masaka-Mbarara'!M54+'Avg Week Mbarara-Masaka'!M54</f>
        <v>31.428571428571431</v>
      </c>
      <c r="N54" s="49">
        <f>'Avg Week Masaka-Mbarara'!N54+'Avg Week Mbarara-Masaka'!N54</f>
        <v>0</v>
      </c>
      <c r="O54" s="15">
        <f t="shared" si="0"/>
        <v>72.999999999999986</v>
      </c>
      <c r="P54" s="15">
        <f t="shared" si="1"/>
        <v>104.42857142857142</v>
      </c>
      <c r="R54" s="8"/>
      <c r="T54"/>
    </row>
    <row r="55" spans="2:20" ht="23.1" customHeight="1" x14ac:dyDescent="0.25">
      <c r="B55" s="23" t="s">
        <v>82</v>
      </c>
      <c r="C55" s="49">
        <f>'Avg Week Masaka-Mbarara'!C55+'Avg Week Mbarara-Masaka'!C55</f>
        <v>23</v>
      </c>
      <c r="D55" s="49">
        <f>'Avg Week Masaka-Mbarara'!D55+'Avg Week Mbarara-Masaka'!D55</f>
        <v>8.5714285714285712</v>
      </c>
      <c r="E55" s="49">
        <f>'Avg Week Masaka-Mbarara'!E55+'Avg Week Mbarara-Masaka'!E55</f>
        <v>5</v>
      </c>
      <c r="F55" s="49">
        <f>'Avg Week Masaka-Mbarara'!F55+'Avg Week Mbarara-Masaka'!F55</f>
        <v>11</v>
      </c>
      <c r="G55" s="49">
        <f>'Avg Week Masaka-Mbarara'!G55+'Avg Week Mbarara-Masaka'!G55</f>
        <v>0.5714285714285714</v>
      </c>
      <c r="H55" s="49">
        <f>'Avg Week Masaka-Mbarara'!H55+'Avg Week Mbarara-Masaka'!H55</f>
        <v>1.8571428571428572</v>
      </c>
      <c r="I55" s="49">
        <f>'Avg Week Masaka-Mbarara'!I55+'Avg Week Mbarara-Masaka'!I55</f>
        <v>5</v>
      </c>
      <c r="J55" s="49">
        <f>'Avg Week Masaka-Mbarara'!J55+'Avg Week Mbarara-Masaka'!J55</f>
        <v>6.4285714285714288</v>
      </c>
      <c r="K55" s="49">
        <f>'Avg Week Masaka-Mbarara'!K55+'Avg Week Mbarara-Masaka'!K55</f>
        <v>3.5714285714285712</v>
      </c>
      <c r="L55" s="49">
        <f>'Avg Week Masaka-Mbarara'!L55+'Avg Week Mbarara-Masaka'!L55</f>
        <v>1</v>
      </c>
      <c r="M55" s="49">
        <f>'Avg Week Masaka-Mbarara'!M55+'Avg Week Mbarara-Masaka'!M55</f>
        <v>37.285714285714285</v>
      </c>
      <c r="N55" s="49">
        <f>'Avg Week Masaka-Mbarara'!N55+'Avg Week Mbarara-Masaka'!N55</f>
        <v>0</v>
      </c>
      <c r="O55" s="15">
        <f t="shared" si="0"/>
        <v>66</v>
      </c>
      <c r="P55" s="15">
        <f t="shared" si="1"/>
        <v>103.28571428571428</v>
      </c>
      <c r="R55" s="8"/>
      <c r="T55"/>
    </row>
    <row r="56" spans="2:20" ht="23.1" customHeight="1" x14ac:dyDescent="0.25">
      <c r="B56" s="23" t="s">
        <v>83</v>
      </c>
      <c r="C56" s="49">
        <f>'Avg Week Masaka-Mbarara'!C56+'Avg Week Mbarara-Masaka'!C56</f>
        <v>19.714285714285715</v>
      </c>
      <c r="D56" s="49">
        <f>'Avg Week Masaka-Mbarara'!D56+'Avg Week Mbarara-Masaka'!D56</f>
        <v>8.4285714285714288</v>
      </c>
      <c r="E56" s="49">
        <f>'Avg Week Masaka-Mbarara'!E56+'Avg Week Mbarara-Masaka'!E56</f>
        <v>6.4285714285714288</v>
      </c>
      <c r="F56" s="49">
        <f>'Avg Week Masaka-Mbarara'!F56+'Avg Week Mbarara-Masaka'!F56</f>
        <v>9.8571428571428577</v>
      </c>
      <c r="G56" s="49">
        <f>'Avg Week Masaka-Mbarara'!G56+'Avg Week Mbarara-Masaka'!G56</f>
        <v>0.8571428571428571</v>
      </c>
      <c r="H56" s="49">
        <f>'Avg Week Masaka-Mbarara'!H56+'Avg Week Mbarara-Masaka'!H56</f>
        <v>2.7142857142857144</v>
      </c>
      <c r="I56" s="49">
        <f>'Avg Week Masaka-Mbarara'!I56+'Avg Week Mbarara-Masaka'!I56</f>
        <v>5.7142857142857135</v>
      </c>
      <c r="J56" s="49">
        <f>'Avg Week Masaka-Mbarara'!J56+'Avg Week Mbarara-Masaka'!J56</f>
        <v>5</v>
      </c>
      <c r="K56" s="49">
        <f>'Avg Week Masaka-Mbarara'!K56+'Avg Week Mbarara-Masaka'!K56</f>
        <v>6.5714285714285712</v>
      </c>
      <c r="L56" s="49">
        <f>'Avg Week Masaka-Mbarara'!L56+'Avg Week Mbarara-Masaka'!L56</f>
        <v>1</v>
      </c>
      <c r="M56" s="49">
        <f>'Avg Week Masaka-Mbarara'!M56+'Avg Week Mbarara-Masaka'!M56</f>
        <v>37.285714285714292</v>
      </c>
      <c r="N56" s="49">
        <f>'Avg Week Masaka-Mbarara'!N56+'Avg Week Mbarara-Masaka'!N56</f>
        <v>0</v>
      </c>
      <c r="O56" s="15">
        <f t="shared" si="0"/>
        <v>66.285714285714292</v>
      </c>
      <c r="P56" s="15">
        <f t="shared" si="1"/>
        <v>103.57142857142858</v>
      </c>
      <c r="R56" s="8"/>
      <c r="T56"/>
    </row>
    <row r="57" spans="2:20" ht="23.1" customHeight="1" x14ac:dyDescent="0.25">
      <c r="B57" s="23" t="s">
        <v>84</v>
      </c>
      <c r="C57" s="49">
        <f>'Avg Week Masaka-Mbarara'!C57+'Avg Week Mbarara-Masaka'!C57</f>
        <v>20.857142857142858</v>
      </c>
      <c r="D57" s="49">
        <f>'Avg Week Masaka-Mbarara'!D57+'Avg Week Mbarara-Masaka'!D57</f>
        <v>6.5714285714285712</v>
      </c>
      <c r="E57" s="49">
        <f>'Avg Week Masaka-Mbarara'!E57+'Avg Week Mbarara-Masaka'!E57</f>
        <v>5.2857142857142856</v>
      </c>
      <c r="F57" s="49">
        <f>'Avg Week Masaka-Mbarara'!F57+'Avg Week Mbarara-Masaka'!F57</f>
        <v>9.8571428571428577</v>
      </c>
      <c r="G57" s="49">
        <f>'Avg Week Masaka-Mbarara'!G57+'Avg Week Mbarara-Masaka'!G57</f>
        <v>0.42857142857142855</v>
      </c>
      <c r="H57" s="49">
        <f>'Avg Week Masaka-Mbarara'!H57+'Avg Week Mbarara-Masaka'!H57</f>
        <v>2.4285714285714284</v>
      </c>
      <c r="I57" s="49">
        <f>'Avg Week Masaka-Mbarara'!I57+'Avg Week Mbarara-Masaka'!I57</f>
        <v>3.1428571428571432</v>
      </c>
      <c r="J57" s="49">
        <f>'Avg Week Masaka-Mbarara'!J57+'Avg Week Mbarara-Masaka'!J57</f>
        <v>5.4285714285714288</v>
      </c>
      <c r="K57" s="49">
        <f>'Avg Week Masaka-Mbarara'!K57+'Avg Week Mbarara-Masaka'!K57</f>
        <v>4.7142857142857144</v>
      </c>
      <c r="L57" s="49">
        <f>'Avg Week Masaka-Mbarara'!L57+'Avg Week Mbarara-Masaka'!L57</f>
        <v>0.71428571428571419</v>
      </c>
      <c r="M57" s="49">
        <f>'Avg Week Masaka-Mbarara'!M57+'Avg Week Mbarara-Masaka'!M57</f>
        <v>32.428571428571431</v>
      </c>
      <c r="N57" s="49">
        <f>'Avg Week Masaka-Mbarara'!N57+'Avg Week Mbarara-Masaka'!N57</f>
        <v>0</v>
      </c>
      <c r="O57" s="15">
        <f t="shared" si="0"/>
        <v>59.428571428571438</v>
      </c>
      <c r="P57" s="15">
        <f t="shared" si="1"/>
        <v>91.857142857142861</v>
      </c>
      <c r="R57" s="8"/>
      <c r="T57"/>
    </row>
    <row r="58" spans="2:20" ht="23.1" customHeight="1" x14ac:dyDescent="0.25">
      <c r="B58" s="23" t="s">
        <v>99</v>
      </c>
      <c r="C58" s="49">
        <f>'Avg Week Masaka-Mbarara'!C58+'Avg Week Mbarara-Masaka'!C58</f>
        <v>15.5</v>
      </c>
      <c r="D58" s="49">
        <f>'Avg Week Masaka-Mbarara'!D58+'Avg Week Mbarara-Masaka'!D58</f>
        <v>4</v>
      </c>
      <c r="E58" s="49">
        <f>'Avg Week Masaka-Mbarara'!E58+'Avg Week Mbarara-Masaka'!E58</f>
        <v>4</v>
      </c>
      <c r="F58" s="49">
        <f>'Avg Week Masaka-Mbarara'!F58+'Avg Week Mbarara-Masaka'!F58</f>
        <v>6.5</v>
      </c>
      <c r="G58" s="49">
        <f>'Avg Week Masaka-Mbarara'!G58+'Avg Week Mbarara-Masaka'!G58</f>
        <v>0.5</v>
      </c>
      <c r="H58" s="49">
        <f>'Avg Week Masaka-Mbarara'!H58+'Avg Week Mbarara-Masaka'!H58</f>
        <v>2</v>
      </c>
      <c r="I58" s="49">
        <f>'Avg Week Masaka-Mbarara'!I58+'Avg Week Mbarara-Masaka'!I58</f>
        <v>4.5</v>
      </c>
      <c r="J58" s="49">
        <f>'Avg Week Masaka-Mbarara'!J58+'Avg Week Mbarara-Masaka'!J58</f>
        <v>7</v>
      </c>
      <c r="K58" s="49">
        <f>'Avg Week Masaka-Mbarara'!K58+'Avg Week Mbarara-Masaka'!K58</f>
        <v>4</v>
      </c>
      <c r="L58" s="49">
        <f>'Avg Week Masaka-Mbarara'!L58+'Avg Week Mbarara-Masaka'!L58</f>
        <v>0.5</v>
      </c>
      <c r="M58" s="49">
        <f>'Avg Week Masaka-Mbarara'!M58+'Avg Week Mbarara-Masaka'!M58</f>
        <v>14</v>
      </c>
      <c r="N58" s="49">
        <f>'Avg Week Masaka-Mbarara'!N58+'Avg Week Mbarara-Masaka'!N58</f>
        <v>0</v>
      </c>
      <c r="O58" s="15">
        <f t="shared" si="0"/>
        <v>48.5</v>
      </c>
      <c r="P58" s="15">
        <f t="shared" si="1"/>
        <v>62.5</v>
      </c>
      <c r="R58" s="8"/>
      <c r="T58"/>
    </row>
    <row r="59" spans="2:20" ht="23.1" customHeight="1" x14ac:dyDescent="0.25">
      <c r="B59" s="23" t="s">
        <v>100</v>
      </c>
      <c r="C59" s="49">
        <f>'Avg Week Masaka-Mbarara'!C59+'Avg Week Mbarara-Masaka'!C59</f>
        <v>19.5</v>
      </c>
      <c r="D59" s="49">
        <f>'Avg Week Masaka-Mbarara'!D59+'Avg Week Mbarara-Masaka'!D59</f>
        <v>5.5</v>
      </c>
      <c r="E59" s="49">
        <f>'Avg Week Masaka-Mbarara'!E59+'Avg Week Mbarara-Masaka'!E59</f>
        <v>3</v>
      </c>
      <c r="F59" s="49">
        <f>'Avg Week Masaka-Mbarara'!F59+'Avg Week Mbarara-Masaka'!F59</f>
        <v>8</v>
      </c>
      <c r="G59" s="49">
        <f>'Avg Week Masaka-Mbarara'!G59+'Avg Week Mbarara-Masaka'!G59</f>
        <v>0.5</v>
      </c>
      <c r="H59" s="49">
        <f>'Avg Week Masaka-Mbarara'!H59+'Avg Week Mbarara-Masaka'!H59</f>
        <v>2.5</v>
      </c>
      <c r="I59" s="49">
        <f>'Avg Week Masaka-Mbarara'!I59+'Avg Week Mbarara-Masaka'!I59</f>
        <v>4.5</v>
      </c>
      <c r="J59" s="49">
        <f>'Avg Week Masaka-Mbarara'!J59+'Avg Week Mbarara-Masaka'!J59</f>
        <v>4.5</v>
      </c>
      <c r="K59" s="49">
        <f>'Avg Week Masaka-Mbarara'!K59+'Avg Week Mbarara-Masaka'!K59</f>
        <v>8</v>
      </c>
      <c r="L59" s="49">
        <f>'Avg Week Masaka-Mbarara'!L59+'Avg Week Mbarara-Masaka'!L59</f>
        <v>0.5</v>
      </c>
      <c r="M59" s="49">
        <f>'Avg Week Masaka-Mbarara'!M59+'Avg Week Mbarara-Masaka'!M59</f>
        <v>26</v>
      </c>
      <c r="N59" s="49">
        <f>'Avg Week Masaka-Mbarara'!N59+'Avg Week Mbarara-Masaka'!N59</f>
        <v>0</v>
      </c>
      <c r="O59" s="15">
        <f t="shared" si="0"/>
        <v>56.5</v>
      </c>
      <c r="P59" s="15">
        <f t="shared" si="1"/>
        <v>82.5</v>
      </c>
      <c r="R59" s="8"/>
      <c r="T59"/>
    </row>
    <row r="60" spans="2:20" ht="23.1" customHeight="1" x14ac:dyDescent="0.25">
      <c r="B60" s="23" t="s">
        <v>101</v>
      </c>
      <c r="C60" s="49">
        <f>'Avg Week Masaka-Mbarara'!C60+'Avg Week Mbarara-Masaka'!C60</f>
        <v>19.5</v>
      </c>
      <c r="D60" s="49">
        <f>'Avg Week Masaka-Mbarara'!D60+'Avg Week Mbarara-Masaka'!D60</f>
        <v>7</v>
      </c>
      <c r="E60" s="49">
        <f>'Avg Week Masaka-Mbarara'!E60+'Avg Week Mbarara-Masaka'!E60</f>
        <v>3</v>
      </c>
      <c r="F60" s="49">
        <f>'Avg Week Masaka-Mbarara'!F60+'Avg Week Mbarara-Masaka'!F60</f>
        <v>10.5</v>
      </c>
      <c r="G60" s="49">
        <f>'Avg Week Masaka-Mbarara'!G60+'Avg Week Mbarara-Masaka'!G60</f>
        <v>0.5</v>
      </c>
      <c r="H60" s="49">
        <f>'Avg Week Masaka-Mbarara'!H60+'Avg Week Mbarara-Masaka'!H60</f>
        <v>3.5</v>
      </c>
      <c r="I60" s="49">
        <f>'Avg Week Masaka-Mbarara'!I60+'Avg Week Mbarara-Masaka'!I60</f>
        <v>6</v>
      </c>
      <c r="J60" s="49">
        <f>'Avg Week Masaka-Mbarara'!J60+'Avg Week Mbarara-Masaka'!J60</f>
        <v>4.5</v>
      </c>
      <c r="K60" s="49">
        <f>'Avg Week Masaka-Mbarara'!K60+'Avg Week Mbarara-Masaka'!K60</f>
        <v>7.5</v>
      </c>
      <c r="L60" s="49">
        <f>'Avg Week Masaka-Mbarara'!L60+'Avg Week Mbarara-Masaka'!L60</f>
        <v>2</v>
      </c>
      <c r="M60" s="49">
        <f>'Avg Week Masaka-Mbarara'!M60+'Avg Week Mbarara-Masaka'!M60</f>
        <v>14.5</v>
      </c>
      <c r="N60" s="49">
        <f>'Avg Week Masaka-Mbarara'!N60+'Avg Week Mbarara-Masaka'!N60</f>
        <v>0</v>
      </c>
      <c r="O60" s="15">
        <f t="shared" si="0"/>
        <v>64</v>
      </c>
      <c r="P60" s="15">
        <f t="shared" si="1"/>
        <v>78.5</v>
      </c>
      <c r="R60" s="8"/>
      <c r="T60"/>
    </row>
    <row r="61" spans="2:20" ht="23.1" customHeight="1" x14ac:dyDescent="0.25">
      <c r="B61" s="23" t="s">
        <v>102</v>
      </c>
      <c r="C61" s="49">
        <f>'Avg Week Masaka-Mbarara'!C61+'Avg Week Mbarara-Masaka'!C61</f>
        <v>13</v>
      </c>
      <c r="D61" s="49">
        <f>'Avg Week Masaka-Mbarara'!D61+'Avg Week Mbarara-Masaka'!D61</f>
        <v>7</v>
      </c>
      <c r="E61" s="49">
        <f>'Avg Week Masaka-Mbarara'!E61+'Avg Week Mbarara-Masaka'!E61</f>
        <v>5.5</v>
      </c>
      <c r="F61" s="49">
        <f>'Avg Week Masaka-Mbarara'!F61+'Avg Week Mbarara-Masaka'!F61</f>
        <v>8.5</v>
      </c>
      <c r="G61" s="49">
        <f>'Avg Week Masaka-Mbarara'!G61+'Avg Week Mbarara-Masaka'!G61</f>
        <v>0</v>
      </c>
      <c r="H61" s="49">
        <f>'Avg Week Masaka-Mbarara'!H61+'Avg Week Mbarara-Masaka'!H61</f>
        <v>1.5</v>
      </c>
      <c r="I61" s="49">
        <f>'Avg Week Masaka-Mbarara'!I61+'Avg Week Mbarara-Masaka'!I61</f>
        <v>8</v>
      </c>
      <c r="J61" s="49">
        <f>'Avg Week Masaka-Mbarara'!J61+'Avg Week Mbarara-Masaka'!J61</f>
        <v>3</v>
      </c>
      <c r="K61" s="49">
        <f>'Avg Week Masaka-Mbarara'!K61+'Avg Week Mbarara-Masaka'!K61</f>
        <v>8</v>
      </c>
      <c r="L61" s="49">
        <f>'Avg Week Masaka-Mbarara'!L61+'Avg Week Mbarara-Masaka'!L61</f>
        <v>1</v>
      </c>
      <c r="M61" s="49">
        <f>'Avg Week Masaka-Mbarara'!M61+'Avg Week Mbarara-Masaka'!M61</f>
        <v>13.5</v>
      </c>
      <c r="N61" s="49">
        <f>'Avg Week Masaka-Mbarara'!N61+'Avg Week Mbarara-Masaka'!N61</f>
        <v>0</v>
      </c>
      <c r="O61" s="15">
        <f t="shared" si="0"/>
        <v>55.5</v>
      </c>
      <c r="P61" s="15">
        <f t="shared" si="1"/>
        <v>69</v>
      </c>
      <c r="R61" s="8"/>
      <c r="T61"/>
    </row>
    <row r="62" spans="2:20" ht="23.1" customHeight="1" x14ac:dyDescent="0.25">
      <c r="B62" s="23" t="s">
        <v>107</v>
      </c>
      <c r="C62" s="49">
        <f>'Avg Week Masaka-Mbarara'!C62+'Avg Week Mbarara-Masaka'!C62</f>
        <v>14.5</v>
      </c>
      <c r="D62" s="49">
        <f>'Avg Week Masaka-Mbarara'!D62+'Avg Week Mbarara-Masaka'!D62</f>
        <v>3</v>
      </c>
      <c r="E62" s="49">
        <f>'Avg Week Masaka-Mbarara'!E62+'Avg Week Mbarara-Masaka'!E62</f>
        <v>2.5</v>
      </c>
      <c r="F62" s="49">
        <f>'Avg Week Masaka-Mbarara'!F62+'Avg Week Mbarara-Masaka'!F62</f>
        <v>7.5</v>
      </c>
      <c r="G62" s="49">
        <f>'Avg Week Masaka-Mbarara'!G62+'Avg Week Mbarara-Masaka'!G62</f>
        <v>0</v>
      </c>
      <c r="H62" s="49">
        <f>'Avg Week Masaka-Mbarara'!H62+'Avg Week Mbarara-Masaka'!H62</f>
        <v>2.5</v>
      </c>
      <c r="I62" s="49">
        <f>'Avg Week Masaka-Mbarara'!I62+'Avg Week Mbarara-Masaka'!I62</f>
        <v>7</v>
      </c>
      <c r="J62" s="49">
        <f>'Avg Week Masaka-Mbarara'!J62+'Avg Week Mbarara-Masaka'!J62</f>
        <v>7.5</v>
      </c>
      <c r="K62" s="49">
        <f>'Avg Week Masaka-Mbarara'!K62+'Avg Week Mbarara-Masaka'!K62</f>
        <v>3</v>
      </c>
      <c r="L62" s="49">
        <f>'Avg Week Masaka-Mbarara'!L62+'Avg Week Mbarara-Masaka'!L62</f>
        <v>1</v>
      </c>
      <c r="M62" s="49">
        <f>'Avg Week Masaka-Mbarara'!M62+'Avg Week Mbarara-Masaka'!M62</f>
        <v>8</v>
      </c>
      <c r="N62" s="49">
        <f>'Avg Week Masaka-Mbarara'!N62+'Avg Week Mbarara-Masaka'!N62</f>
        <v>0</v>
      </c>
      <c r="O62" s="15">
        <f t="shared" si="0"/>
        <v>48.5</v>
      </c>
      <c r="P62" s="15">
        <f t="shared" si="1"/>
        <v>56.5</v>
      </c>
      <c r="R62" s="8"/>
      <c r="T62"/>
    </row>
    <row r="63" spans="2:20" ht="23.1" customHeight="1" x14ac:dyDescent="0.25">
      <c r="B63" s="23" t="s">
        <v>108</v>
      </c>
      <c r="C63" s="49">
        <f>'Avg Week Masaka-Mbarara'!C63+'Avg Week Mbarara-Masaka'!C63</f>
        <v>15.5</v>
      </c>
      <c r="D63" s="49">
        <f>'Avg Week Masaka-Mbarara'!D63+'Avg Week Mbarara-Masaka'!D63</f>
        <v>4.5</v>
      </c>
      <c r="E63" s="49">
        <f>'Avg Week Masaka-Mbarara'!E63+'Avg Week Mbarara-Masaka'!E63</f>
        <v>2</v>
      </c>
      <c r="F63" s="49">
        <f>'Avg Week Masaka-Mbarara'!F63+'Avg Week Mbarara-Masaka'!F63</f>
        <v>6.5</v>
      </c>
      <c r="G63" s="49">
        <f>'Avg Week Masaka-Mbarara'!G63+'Avg Week Mbarara-Masaka'!G63</f>
        <v>0.5</v>
      </c>
      <c r="H63" s="49">
        <f>'Avg Week Masaka-Mbarara'!H63+'Avg Week Mbarara-Masaka'!H63</f>
        <v>0.5</v>
      </c>
      <c r="I63" s="49">
        <f>'Avg Week Masaka-Mbarara'!I63+'Avg Week Mbarara-Masaka'!I63</f>
        <v>4.5</v>
      </c>
      <c r="J63" s="49">
        <f>'Avg Week Masaka-Mbarara'!J63+'Avg Week Mbarara-Masaka'!J63</f>
        <v>5.5</v>
      </c>
      <c r="K63" s="49">
        <f>'Avg Week Masaka-Mbarara'!K63+'Avg Week Mbarara-Masaka'!K63</f>
        <v>7</v>
      </c>
      <c r="L63" s="49">
        <f>'Avg Week Masaka-Mbarara'!L63+'Avg Week Mbarara-Masaka'!L63</f>
        <v>1.5</v>
      </c>
      <c r="M63" s="49">
        <f>'Avg Week Masaka-Mbarara'!M63+'Avg Week Mbarara-Masaka'!M63</f>
        <v>10</v>
      </c>
      <c r="N63" s="49">
        <f>'Avg Week Masaka-Mbarara'!N63+'Avg Week Mbarara-Masaka'!N63</f>
        <v>0</v>
      </c>
      <c r="O63" s="15">
        <f t="shared" si="0"/>
        <v>48</v>
      </c>
      <c r="P63" s="15">
        <f t="shared" si="1"/>
        <v>58</v>
      </c>
      <c r="R63" s="8"/>
      <c r="T63"/>
    </row>
    <row r="64" spans="2:20" ht="23.1" customHeight="1" x14ac:dyDescent="0.25">
      <c r="B64" s="23" t="s">
        <v>109</v>
      </c>
      <c r="C64" s="49">
        <f>'Avg Week Masaka-Mbarara'!C64+'Avg Week Mbarara-Masaka'!C64</f>
        <v>17</v>
      </c>
      <c r="D64" s="49">
        <f>'Avg Week Masaka-Mbarara'!D64+'Avg Week Mbarara-Masaka'!D64</f>
        <v>5.5</v>
      </c>
      <c r="E64" s="49">
        <f>'Avg Week Masaka-Mbarara'!E64+'Avg Week Mbarara-Masaka'!E64</f>
        <v>3.5</v>
      </c>
      <c r="F64" s="49">
        <f>'Avg Week Masaka-Mbarara'!F64+'Avg Week Mbarara-Masaka'!F64</f>
        <v>9</v>
      </c>
      <c r="G64" s="49">
        <f>'Avg Week Masaka-Mbarara'!G64+'Avg Week Mbarara-Masaka'!G64</f>
        <v>0.5</v>
      </c>
      <c r="H64" s="49">
        <f>'Avg Week Masaka-Mbarara'!H64+'Avg Week Mbarara-Masaka'!H64</f>
        <v>2.5</v>
      </c>
      <c r="I64" s="49">
        <f>'Avg Week Masaka-Mbarara'!I64+'Avg Week Mbarara-Masaka'!I64</f>
        <v>8.5</v>
      </c>
      <c r="J64" s="49">
        <f>'Avg Week Masaka-Mbarara'!J64+'Avg Week Mbarara-Masaka'!J64</f>
        <v>4.5</v>
      </c>
      <c r="K64" s="49">
        <f>'Avg Week Masaka-Mbarara'!K64+'Avg Week Mbarara-Masaka'!K64</f>
        <v>7.5</v>
      </c>
      <c r="L64" s="49">
        <f>'Avg Week Masaka-Mbarara'!L64+'Avg Week Mbarara-Masaka'!L64</f>
        <v>0.5</v>
      </c>
      <c r="M64" s="49">
        <f>'Avg Week Masaka-Mbarara'!M64+'Avg Week Mbarara-Masaka'!M64</f>
        <v>13.5</v>
      </c>
      <c r="N64" s="49">
        <f>'Avg Week Masaka-Mbarara'!N64+'Avg Week Mbarara-Masaka'!N64</f>
        <v>0</v>
      </c>
      <c r="O64" s="15">
        <f t="shared" si="0"/>
        <v>59</v>
      </c>
      <c r="P64" s="15">
        <f t="shared" si="1"/>
        <v>72.5</v>
      </c>
      <c r="R64" s="8"/>
      <c r="T64"/>
    </row>
    <row r="65" spans="2:20" ht="23.1" customHeight="1" x14ac:dyDescent="0.25">
      <c r="B65" s="23" t="s">
        <v>158</v>
      </c>
      <c r="C65" s="49">
        <f>'Avg Week Masaka-Mbarara'!C65+'Avg Week Mbarara-Masaka'!C65</f>
        <v>16.5</v>
      </c>
      <c r="D65" s="49">
        <f>'Avg Week Masaka-Mbarara'!D65+'Avg Week Mbarara-Masaka'!D65</f>
        <v>2.5</v>
      </c>
      <c r="E65" s="49">
        <f>'Avg Week Masaka-Mbarara'!E65+'Avg Week Mbarara-Masaka'!E65</f>
        <v>3.5</v>
      </c>
      <c r="F65" s="49">
        <f>'Avg Week Masaka-Mbarara'!F65+'Avg Week Mbarara-Masaka'!F65</f>
        <v>7</v>
      </c>
      <c r="G65" s="49">
        <f>'Avg Week Masaka-Mbarara'!G65+'Avg Week Mbarara-Masaka'!G65</f>
        <v>0.5</v>
      </c>
      <c r="H65" s="49">
        <f>'Avg Week Masaka-Mbarara'!H65+'Avg Week Mbarara-Masaka'!H65</f>
        <v>3</v>
      </c>
      <c r="I65" s="49">
        <f>'Avg Week Masaka-Mbarara'!I65+'Avg Week Mbarara-Masaka'!I65</f>
        <v>3</v>
      </c>
      <c r="J65" s="49">
        <f>'Avg Week Masaka-Mbarara'!J65+'Avg Week Mbarara-Masaka'!J65</f>
        <v>5</v>
      </c>
      <c r="K65" s="49">
        <f>'Avg Week Masaka-Mbarara'!K65+'Avg Week Mbarara-Masaka'!K65</f>
        <v>8.5</v>
      </c>
      <c r="L65" s="49">
        <f>'Avg Week Masaka-Mbarara'!L65+'Avg Week Mbarara-Masaka'!L65</f>
        <v>0.5</v>
      </c>
      <c r="M65" s="49">
        <f>'Avg Week Masaka-Mbarara'!M65+'Avg Week Mbarara-Masaka'!M65</f>
        <v>14.5</v>
      </c>
      <c r="N65" s="49">
        <f>'Avg Week Masaka-Mbarara'!N65+'Avg Week Mbarara-Masaka'!N65</f>
        <v>0</v>
      </c>
      <c r="O65" s="15">
        <f t="shared" si="0"/>
        <v>50</v>
      </c>
      <c r="P65" s="15">
        <f t="shared" si="1"/>
        <v>64.5</v>
      </c>
      <c r="R65" s="8"/>
      <c r="T65"/>
    </row>
    <row r="66" spans="2:20" ht="23.1" customHeight="1" x14ac:dyDescent="0.25">
      <c r="B66" s="23" t="s">
        <v>103</v>
      </c>
      <c r="C66" s="49">
        <f>'Avg Week Masaka-Mbarara'!C66+'Avg Week Mbarara-Masaka'!C66</f>
        <v>17.5</v>
      </c>
      <c r="D66" s="49">
        <f>'Avg Week Masaka-Mbarara'!D66+'Avg Week Mbarara-Masaka'!D66</f>
        <v>3.5</v>
      </c>
      <c r="E66" s="49">
        <f>'Avg Week Masaka-Mbarara'!E66+'Avg Week Mbarara-Masaka'!E66</f>
        <v>3</v>
      </c>
      <c r="F66" s="49">
        <f>'Avg Week Masaka-Mbarara'!F66+'Avg Week Mbarara-Masaka'!F66</f>
        <v>7</v>
      </c>
      <c r="G66" s="49">
        <f>'Avg Week Masaka-Mbarara'!G66+'Avg Week Mbarara-Masaka'!G66</f>
        <v>0.5</v>
      </c>
      <c r="H66" s="49">
        <f>'Avg Week Masaka-Mbarara'!H66+'Avg Week Mbarara-Masaka'!H66</f>
        <v>1.5</v>
      </c>
      <c r="I66" s="49">
        <f>'Avg Week Masaka-Mbarara'!I66+'Avg Week Mbarara-Masaka'!I66</f>
        <v>6</v>
      </c>
      <c r="J66" s="49">
        <f>'Avg Week Masaka-Mbarara'!J66+'Avg Week Mbarara-Masaka'!J66</f>
        <v>8</v>
      </c>
      <c r="K66" s="49">
        <f>'Avg Week Masaka-Mbarara'!K66+'Avg Week Mbarara-Masaka'!K66</f>
        <v>13</v>
      </c>
      <c r="L66" s="49">
        <f>'Avg Week Masaka-Mbarara'!L66+'Avg Week Mbarara-Masaka'!L66</f>
        <v>1.5</v>
      </c>
      <c r="M66" s="49">
        <f>'Avg Week Masaka-Mbarara'!M66+'Avg Week Mbarara-Masaka'!M66</f>
        <v>7</v>
      </c>
      <c r="N66" s="49">
        <f>'Avg Week Masaka-Mbarara'!N66+'Avg Week Mbarara-Masaka'!N66</f>
        <v>0</v>
      </c>
      <c r="O66" s="15">
        <f t="shared" si="0"/>
        <v>61.5</v>
      </c>
      <c r="P66" s="15">
        <f t="shared" si="1"/>
        <v>68.5</v>
      </c>
      <c r="R66" s="8"/>
      <c r="T66"/>
    </row>
    <row r="67" spans="2:20" ht="23.1" customHeight="1" x14ac:dyDescent="0.25">
      <c r="B67" s="23" t="s">
        <v>104</v>
      </c>
      <c r="C67" s="49">
        <f>'Avg Week Masaka-Mbarara'!C67+'Avg Week Mbarara-Masaka'!C67</f>
        <v>20</v>
      </c>
      <c r="D67" s="49">
        <f>'Avg Week Masaka-Mbarara'!D67+'Avg Week Mbarara-Masaka'!D67</f>
        <v>7</v>
      </c>
      <c r="E67" s="49">
        <f>'Avg Week Masaka-Mbarara'!E67+'Avg Week Mbarara-Masaka'!E67</f>
        <v>5.5</v>
      </c>
      <c r="F67" s="49">
        <f>'Avg Week Masaka-Mbarara'!F67+'Avg Week Mbarara-Masaka'!F67</f>
        <v>5.5</v>
      </c>
      <c r="G67" s="49">
        <f>'Avg Week Masaka-Mbarara'!G67+'Avg Week Mbarara-Masaka'!G67</f>
        <v>0.5</v>
      </c>
      <c r="H67" s="49">
        <f>'Avg Week Masaka-Mbarara'!H67+'Avg Week Mbarara-Masaka'!H67</f>
        <v>4</v>
      </c>
      <c r="I67" s="49">
        <f>'Avg Week Masaka-Mbarara'!I67+'Avg Week Mbarara-Masaka'!I67</f>
        <v>2</v>
      </c>
      <c r="J67" s="49">
        <f>'Avg Week Masaka-Mbarara'!J67+'Avg Week Mbarara-Masaka'!J67</f>
        <v>8.5</v>
      </c>
      <c r="K67" s="49">
        <f>'Avg Week Masaka-Mbarara'!K67+'Avg Week Mbarara-Masaka'!K67</f>
        <v>9</v>
      </c>
      <c r="L67" s="49">
        <f>'Avg Week Masaka-Mbarara'!L67+'Avg Week Mbarara-Masaka'!L67</f>
        <v>0</v>
      </c>
      <c r="M67" s="49">
        <f>'Avg Week Masaka-Mbarara'!M67+'Avg Week Mbarara-Masaka'!M67</f>
        <v>5</v>
      </c>
      <c r="N67" s="49">
        <f>'Avg Week Masaka-Mbarara'!N67+'Avg Week Mbarara-Masaka'!N67</f>
        <v>0</v>
      </c>
      <c r="O67" s="15">
        <f t="shared" si="0"/>
        <v>62</v>
      </c>
      <c r="P67" s="15">
        <f t="shared" si="1"/>
        <v>67</v>
      </c>
      <c r="R67" s="8"/>
      <c r="T67"/>
    </row>
    <row r="68" spans="2:20" ht="23.1" customHeight="1" x14ac:dyDescent="0.25">
      <c r="B68" s="23" t="s">
        <v>105</v>
      </c>
      <c r="C68" s="49">
        <f>'Avg Week Masaka-Mbarara'!C68+'Avg Week Mbarara-Masaka'!C68</f>
        <v>9</v>
      </c>
      <c r="D68" s="49">
        <f>'Avg Week Masaka-Mbarara'!D68+'Avg Week Mbarara-Masaka'!D68</f>
        <v>2.5</v>
      </c>
      <c r="E68" s="49">
        <f>'Avg Week Masaka-Mbarara'!E68+'Avg Week Mbarara-Masaka'!E68</f>
        <v>3.5</v>
      </c>
      <c r="F68" s="49">
        <f>'Avg Week Masaka-Mbarara'!F68+'Avg Week Mbarara-Masaka'!F68</f>
        <v>2.5</v>
      </c>
      <c r="G68" s="49">
        <f>'Avg Week Masaka-Mbarara'!G68+'Avg Week Mbarara-Masaka'!G68</f>
        <v>1</v>
      </c>
      <c r="H68" s="49">
        <f>'Avg Week Masaka-Mbarara'!H68+'Avg Week Mbarara-Masaka'!H68</f>
        <v>1</v>
      </c>
      <c r="I68" s="49">
        <f>'Avg Week Masaka-Mbarara'!I68+'Avg Week Mbarara-Masaka'!I68</f>
        <v>4</v>
      </c>
      <c r="J68" s="49">
        <f>'Avg Week Masaka-Mbarara'!J68+'Avg Week Mbarara-Masaka'!J68</f>
        <v>4.5</v>
      </c>
      <c r="K68" s="49">
        <f>'Avg Week Masaka-Mbarara'!K68+'Avg Week Mbarara-Masaka'!K68</f>
        <v>4.5</v>
      </c>
      <c r="L68" s="49">
        <f>'Avg Week Masaka-Mbarara'!L68+'Avg Week Mbarara-Masaka'!L68</f>
        <v>0</v>
      </c>
      <c r="M68" s="49">
        <f>'Avg Week Masaka-Mbarara'!M68+'Avg Week Mbarara-Masaka'!M68</f>
        <v>8</v>
      </c>
      <c r="N68" s="49">
        <f>'Avg Week Masaka-Mbarara'!N68+'Avg Week Mbarara-Masaka'!N68</f>
        <v>0</v>
      </c>
      <c r="O68" s="15">
        <f t="shared" si="0"/>
        <v>32.5</v>
      </c>
      <c r="P68" s="15">
        <f t="shared" si="1"/>
        <v>40.5</v>
      </c>
      <c r="R68" s="8"/>
      <c r="T68"/>
    </row>
    <row r="69" spans="2:20" ht="23.1" customHeight="1" x14ac:dyDescent="0.25">
      <c r="B69" s="23" t="s">
        <v>106</v>
      </c>
      <c r="C69" s="49">
        <f>'Avg Week Masaka-Mbarara'!C69+'Avg Week Mbarara-Masaka'!C69</f>
        <v>8</v>
      </c>
      <c r="D69" s="49">
        <f>'Avg Week Masaka-Mbarara'!D69+'Avg Week Mbarara-Masaka'!D69</f>
        <v>5</v>
      </c>
      <c r="E69" s="49">
        <f>'Avg Week Masaka-Mbarara'!E69+'Avg Week Mbarara-Masaka'!E69</f>
        <v>1.5</v>
      </c>
      <c r="F69" s="49">
        <f>'Avg Week Masaka-Mbarara'!F69+'Avg Week Mbarara-Masaka'!F69</f>
        <v>5</v>
      </c>
      <c r="G69" s="49">
        <f>'Avg Week Masaka-Mbarara'!G69+'Avg Week Mbarara-Masaka'!G69</f>
        <v>0.5</v>
      </c>
      <c r="H69" s="49">
        <f>'Avg Week Masaka-Mbarara'!H69+'Avg Week Mbarara-Masaka'!H69</f>
        <v>1.5</v>
      </c>
      <c r="I69" s="49">
        <f>'Avg Week Masaka-Mbarara'!I69+'Avg Week Mbarara-Masaka'!I69</f>
        <v>6</v>
      </c>
      <c r="J69" s="49">
        <f>'Avg Week Masaka-Mbarara'!J69+'Avg Week Mbarara-Masaka'!J69</f>
        <v>10.5</v>
      </c>
      <c r="K69" s="49">
        <f>'Avg Week Masaka-Mbarara'!K69+'Avg Week Mbarara-Masaka'!K69</f>
        <v>6</v>
      </c>
      <c r="L69" s="49">
        <f>'Avg Week Masaka-Mbarara'!L69+'Avg Week Mbarara-Masaka'!L69</f>
        <v>0</v>
      </c>
      <c r="M69" s="49">
        <f>'Avg Week Masaka-Mbarara'!M69+'Avg Week Mbarara-Masaka'!M69</f>
        <v>6</v>
      </c>
      <c r="N69" s="49">
        <f>'Avg Week Masaka-Mbarara'!N69+'Avg Week Mbarara-Masaka'!N69</f>
        <v>0</v>
      </c>
      <c r="O69" s="15">
        <f t="shared" si="0"/>
        <v>44</v>
      </c>
      <c r="P69" s="15">
        <f t="shared" si="1"/>
        <v>50</v>
      </c>
      <c r="R69" s="8"/>
      <c r="T69"/>
    </row>
    <row r="70" spans="2:20" ht="23.1" customHeight="1" x14ac:dyDescent="0.25">
      <c r="B70" s="23" t="s">
        <v>110</v>
      </c>
      <c r="C70" s="49">
        <f>'Avg Week Masaka-Mbarara'!C70+'Avg Week Mbarara-Masaka'!C70</f>
        <v>12.5</v>
      </c>
      <c r="D70" s="49">
        <f>'Avg Week Masaka-Mbarara'!D70+'Avg Week Mbarara-Masaka'!D70</f>
        <v>5</v>
      </c>
      <c r="E70" s="49">
        <f>'Avg Week Masaka-Mbarara'!E70+'Avg Week Mbarara-Masaka'!E70</f>
        <v>4</v>
      </c>
      <c r="F70" s="49">
        <f>'Avg Week Masaka-Mbarara'!F70+'Avg Week Mbarara-Masaka'!F70</f>
        <v>1</v>
      </c>
      <c r="G70" s="49">
        <f>'Avg Week Masaka-Mbarara'!G70+'Avg Week Mbarara-Masaka'!G70</f>
        <v>1</v>
      </c>
      <c r="H70" s="49">
        <f>'Avg Week Masaka-Mbarara'!H70+'Avg Week Mbarara-Masaka'!H70</f>
        <v>0.5</v>
      </c>
      <c r="I70" s="49">
        <f>'Avg Week Masaka-Mbarara'!I70+'Avg Week Mbarara-Masaka'!I70</f>
        <v>5</v>
      </c>
      <c r="J70" s="49">
        <f>'Avg Week Masaka-Mbarara'!J70+'Avg Week Mbarara-Masaka'!J70</f>
        <v>6.5</v>
      </c>
      <c r="K70" s="49">
        <f>'Avg Week Masaka-Mbarara'!K70+'Avg Week Mbarara-Masaka'!K70</f>
        <v>7.5</v>
      </c>
      <c r="L70" s="49">
        <f>'Avg Week Masaka-Mbarara'!L70+'Avg Week Mbarara-Masaka'!L70</f>
        <v>0</v>
      </c>
      <c r="M70" s="49">
        <f>'Avg Week Masaka-Mbarara'!M70+'Avg Week Mbarara-Masaka'!M70</f>
        <v>9</v>
      </c>
      <c r="N70" s="49">
        <f>'Avg Week Masaka-Mbarara'!N70+'Avg Week Mbarara-Masaka'!N70</f>
        <v>0</v>
      </c>
      <c r="O70" s="15">
        <f t="shared" si="0"/>
        <v>43</v>
      </c>
      <c r="P70" s="15">
        <f t="shared" si="1"/>
        <v>52</v>
      </c>
      <c r="R70" s="8"/>
      <c r="T70"/>
    </row>
    <row r="71" spans="2:20" ht="23.1" customHeight="1" x14ac:dyDescent="0.25">
      <c r="B71" s="23" t="s">
        <v>111</v>
      </c>
      <c r="C71" s="49">
        <f>'Avg Week Masaka-Mbarara'!C71+'Avg Week Mbarara-Masaka'!C71</f>
        <v>9.5</v>
      </c>
      <c r="D71" s="49">
        <f>'Avg Week Masaka-Mbarara'!D71+'Avg Week Mbarara-Masaka'!D71</f>
        <v>2</v>
      </c>
      <c r="E71" s="49">
        <f>'Avg Week Masaka-Mbarara'!E71+'Avg Week Mbarara-Masaka'!E71</f>
        <v>2</v>
      </c>
      <c r="F71" s="49">
        <f>'Avg Week Masaka-Mbarara'!F71+'Avg Week Mbarara-Masaka'!F71</f>
        <v>0.5</v>
      </c>
      <c r="G71" s="49">
        <f>'Avg Week Masaka-Mbarara'!G71+'Avg Week Mbarara-Masaka'!G71</f>
        <v>1.5</v>
      </c>
      <c r="H71" s="49">
        <f>'Avg Week Masaka-Mbarara'!H71+'Avg Week Mbarara-Masaka'!H71</f>
        <v>1</v>
      </c>
      <c r="I71" s="49">
        <f>'Avg Week Masaka-Mbarara'!I71+'Avg Week Mbarara-Masaka'!I71</f>
        <v>2.5</v>
      </c>
      <c r="J71" s="49">
        <f>'Avg Week Masaka-Mbarara'!J71+'Avg Week Mbarara-Masaka'!J71</f>
        <v>10</v>
      </c>
      <c r="K71" s="49">
        <f>'Avg Week Masaka-Mbarara'!K71+'Avg Week Mbarara-Masaka'!K71</f>
        <v>4</v>
      </c>
      <c r="L71" s="49">
        <f>'Avg Week Masaka-Mbarara'!L71+'Avg Week Mbarara-Masaka'!L71</f>
        <v>1</v>
      </c>
      <c r="M71" s="49">
        <f>'Avg Week Masaka-Mbarara'!M71+'Avg Week Mbarara-Masaka'!M71</f>
        <v>2.5</v>
      </c>
      <c r="N71" s="49">
        <f>'Avg Week Masaka-Mbarara'!N71+'Avg Week Mbarara-Masaka'!N71</f>
        <v>0</v>
      </c>
      <c r="O71" s="15">
        <f t="shared" si="0"/>
        <v>34</v>
      </c>
      <c r="P71" s="15">
        <f t="shared" si="1"/>
        <v>36.5</v>
      </c>
      <c r="R71" s="8"/>
      <c r="T71"/>
    </row>
    <row r="72" spans="2:20" ht="23.1" customHeight="1" x14ac:dyDescent="0.25">
      <c r="B72" s="23" t="s">
        <v>112</v>
      </c>
      <c r="C72" s="49">
        <f>'Avg Week Masaka-Mbarara'!C72+'Avg Week Mbarara-Masaka'!C72</f>
        <v>10.5</v>
      </c>
      <c r="D72" s="49">
        <f>'Avg Week Masaka-Mbarara'!D72+'Avg Week Mbarara-Masaka'!D72</f>
        <v>2.5</v>
      </c>
      <c r="E72" s="49">
        <f>'Avg Week Masaka-Mbarara'!E72+'Avg Week Mbarara-Masaka'!E72</f>
        <v>0.5</v>
      </c>
      <c r="F72" s="49">
        <f>'Avg Week Masaka-Mbarara'!F72+'Avg Week Mbarara-Masaka'!F72</f>
        <v>3.5</v>
      </c>
      <c r="G72" s="49">
        <f>'Avg Week Masaka-Mbarara'!G72+'Avg Week Mbarara-Masaka'!G72</f>
        <v>0.5</v>
      </c>
      <c r="H72" s="49">
        <f>'Avg Week Masaka-Mbarara'!H72+'Avg Week Mbarara-Masaka'!H72</f>
        <v>4</v>
      </c>
      <c r="I72" s="49">
        <f>'Avg Week Masaka-Mbarara'!I72+'Avg Week Mbarara-Masaka'!I72</f>
        <v>5</v>
      </c>
      <c r="J72" s="49">
        <f>'Avg Week Masaka-Mbarara'!J72+'Avg Week Mbarara-Masaka'!J72</f>
        <v>7</v>
      </c>
      <c r="K72" s="49">
        <f>'Avg Week Masaka-Mbarara'!K72+'Avg Week Mbarara-Masaka'!K72</f>
        <v>6.5</v>
      </c>
      <c r="L72" s="49">
        <f>'Avg Week Masaka-Mbarara'!L72+'Avg Week Mbarara-Masaka'!L72</f>
        <v>0</v>
      </c>
      <c r="M72" s="49">
        <f>'Avg Week Masaka-Mbarara'!M72+'Avg Week Mbarara-Masaka'!M72</f>
        <v>7</v>
      </c>
      <c r="N72" s="49">
        <f>'Avg Week Masaka-Mbarara'!N72+'Avg Week Mbarara-Masaka'!N72</f>
        <v>0</v>
      </c>
      <c r="O72" s="15">
        <f t="shared" si="0"/>
        <v>40</v>
      </c>
      <c r="P72" s="15">
        <f t="shared" si="1"/>
        <v>47</v>
      </c>
      <c r="R72" s="8"/>
      <c r="T72"/>
    </row>
    <row r="73" spans="2:20" ht="23.1" customHeight="1" x14ac:dyDescent="0.25">
      <c r="B73" s="23" t="s">
        <v>113</v>
      </c>
      <c r="C73" s="49">
        <f>'Avg Week Masaka-Mbarara'!C73+'Avg Week Mbarara-Masaka'!C73</f>
        <v>9</v>
      </c>
      <c r="D73" s="49">
        <f>'Avg Week Masaka-Mbarara'!D73+'Avg Week Mbarara-Masaka'!D73</f>
        <v>2</v>
      </c>
      <c r="E73" s="49">
        <f>'Avg Week Masaka-Mbarara'!E73+'Avg Week Mbarara-Masaka'!E73</f>
        <v>2</v>
      </c>
      <c r="F73" s="49">
        <f>'Avg Week Masaka-Mbarara'!F73+'Avg Week Mbarara-Masaka'!F73</f>
        <v>4</v>
      </c>
      <c r="G73" s="49">
        <f>'Avg Week Masaka-Mbarara'!G73+'Avg Week Mbarara-Masaka'!G73</f>
        <v>0.5</v>
      </c>
      <c r="H73" s="49">
        <f>'Avg Week Masaka-Mbarara'!H73+'Avg Week Mbarara-Masaka'!H73</f>
        <v>2</v>
      </c>
      <c r="I73" s="49">
        <f>'Avg Week Masaka-Mbarara'!I73+'Avg Week Mbarara-Masaka'!I73</f>
        <v>3</v>
      </c>
      <c r="J73" s="49">
        <f>'Avg Week Masaka-Mbarara'!J73+'Avg Week Mbarara-Masaka'!J73</f>
        <v>7.5</v>
      </c>
      <c r="K73" s="49">
        <f>'Avg Week Masaka-Mbarara'!K73+'Avg Week Mbarara-Masaka'!K73</f>
        <v>8.5</v>
      </c>
      <c r="L73" s="49">
        <f>'Avg Week Masaka-Mbarara'!L73+'Avg Week Mbarara-Masaka'!L73</f>
        <v>0</v>
      </c>
      <c r="M73" s="49">
        <f>'Avg Week Masaka-Mbarara'!M73+'Avg Week Mbarara-Masaka'!M73</f>
        <v>4</v>
      </c>
      <c r="N73" s="49">
        <f>'Avg Week Masaka-Mbarara'!N73+'Avg Week Mbarara-Masaka'!N73</f>
        <v>0</v>
      </c>
      <c r="O73" s="15">
        <f t="shared" si="0"/>
        <v>38.5</v>
      </c>
      <c r="P73" s="15">
        <f t="shared" si="1"/>
        <v>42.5</v>
      </c>
      <c r="R73" s="8"/>
      <c r="T73"/>
    </row>
    <row r="74" spans="2:20" ht="23.1" customHeight="1" x14ac:dyDescent="0.25">
      <c r="B74" s="23" t="s">
        <v>114</v>
      </c>
      <c r="C74" s="49">
        <f>'Avg Week Masaka-Mbarara'!C74+'Avg Week Mbarara-Masaka'!C74</f>
        <v>5.5</v>
      </c>
      <c r="D74" s="49">
        <f>'Avg Week Masaka-Mbarara'!D74+'Avg Week Mbarara-Masaka'!D74</f>
        <v>3.5</v>
      </c>
      <c r="E74" s="49">
        <f>'Avg Week Masaka-Mbarara'!E74+'Avg Week Mbarara-Masaka'!E74</f>
        <v>1.5</v>
      </c>
      <c r="F74" s="49">
        <f>'Avg Week Masaka-Mbarara'!F74+'Avg Week Mbarara-Masaka'!F74</f>
        <v>1.5</v>
      </c>
      <c r="G74" s="49">
        <f>'Avg Week Masaka-Mbarara'!G74+'Avg Week Mbarara-Masaka'!G74</f>
        <v>0</v>
      </c>
      <c r="H74" s="49">
        <f>'Avg Week Masaka-Mbarara'!H74+'Avg Week Mbarara-Masaka'!H74</f>
        <v>2</v>
      </c>
      <c r="I74" s="49">
        <f>'Avg Week Masaka-Mbarara'!I74+'Avg Week Mbarara-Masaka'!I74</f>
        <v>2</v>
      </c>
      <c r="J74" s="49">
        <f>'Avg Week Masaka-Mbarara'!J74+'Avg Week Mbarara-Masaka'!J74</f>
        <v>12.5</v>
      </c>
      <c r="K74" s="49">
        <f>'Avg Week Masaka-Mbarara'!K74+'Avg Week Mbarara-Masaka'!K74</f>
        <v>6</v>
      </c>
      <c r="L74" s="49">
        <f>'Avg Week Masaka-Mbarara'!L74+'Avg Week Mbarara-Masaka'!L74</f>
        <v>0</v>
      </c>
      <c r="M74" s="49">
        <f>'Avg Week Masaka-Mbarara'!M74+'Avg Week Mbarara-Masaka'!M74</f>
        <v>3.5</v>
      </c>
      <c r="N74" s="49">
        <f>'Avg Week Masaka-Mbarara'!N74+'Avg Week Mbarara-Masaka'!N74</f>
        <v>0</v>
      </c>
      <c r="O74" s="15">
        <f t="shared" ref="O74:O105" si="35">SUM(C74:L74,N74)</f>
        <v>34.5</v>
      </c>
      <c r="P74" s="15">
        <f t="shared" ref="P74:P105" si="36">SUM(C74:N74)</f>
        <v>38</v>
      </c>
      <c r="R74" s="8"/>
      <c r="T74"/>
    </row>
    <row r="75" spans="2:20" ht="23.1" customHeight="1" x14ac:dyDescent="0.25">
      <c r="B75" s="23" t="s">
        <v>115</v>
      </c>
      <c r="C75" s="49">
        <f>'Avg Week Masaka-Mbarara'!C75+'Avg Week Mbarara-Masaka'!C75</f>
        <v>11</v>
      </c>
      <c r="D75" s="49">
        <f>'Avg Week Masaka-Mbarara'!D75+'Avg Week Mbarara-Masaka'!D75</f>
        <v>2</v>
      </c>
      <c r="E75" s="49">
        <f>'Avg Week Masaka-Mbarara'!E75+'Avg Week Mbarara-Masaka'!E75</f>
        <v>0.5</v>
      </c>
      <c r="F75" s="49">
        <f>'Avg Week Masaka-Mbarara'!F75+'Avg Week Mbarara-Masaka'!F75</f>
        <v>0.5</v>
      </c>
      <c r="G75" s="49">
        <f>'Avg Week Masaka-Mbarara'!G75+'Avg Week Mbarara-Masaka'!G75</f>
        <v>1</v>
      </c>
      <c r="H75" s="49">
        <f>'Avg Week Masaka-Mbarara'!H75+'Avg Week Mbarara-Masaka'!H75</f>
        <v>1</v>
      </c>
      <c r="I75" s="49">
        <f>'Avg Week Masaka-Mbarara'!I75+'Avg Week Mbarara-Masaka'!I75</f>
        <v>2.5</v>
      </c>
      <c r="J75" s="49">
        <f>'Avg Week Masaka-Mbarara'!J75+'Avg Week Mbarara-Masaka'!J75</f>
        <v>9</v>
      </c>
      <c r="K75" s="49">
        <f>'Avg Week Masaka-Mbarara'!K75+'Avg Week Mbarara-Masaka'!K75</f>
        <v>9</v>
      </c>
      <c r="L75" s="49">
        <f>'Avg Week Masaka-Mbarara'!L75+'Avg Week Mbarara-Masaka'!L75</f>
        <v>0</v>
      </c>
      <c r="M75" s="49">
        <f>'Avg Week Masaka-Mbarara'!M75+'Avg Week Mbarara-Masaka'!M75</f>
        <v>4</v>
      </c>
      <c r="N75" s="49">
        <f>'Avg Week Masaka-Mbarara'!N75+'Avg Week Mbarara-Masaka'!N75</f>
        <v>0</v>
      </c>
      <c r="O75" s="15">
        <f t="shared" si="35"/>
        <v>36.5</v>
      </c>
      <c r="P75" s="15">
        <f t="shared" si="36"/>
        <v>40.5</v>
      </c>
      <c r="R75" s="8"/>
      <c r="T75"/>
    </row>
    <row r="76" spans="2:20" ht="23.1" customHeight="1" x14ac:dyDescent="0.25">
      <c r="B76" s="23" t="s">
        <v>116</v>
      </c>
      <c r="C76" s="49">
        <f>'Avg Week Masaka-Mbarara'!C76+'Avg Week Mbarara-Masaka'!C76</f>
        <v>11</v>
      </c>
      <c r="D76" s="49">
        <f>'Avg Week Masaka-Mbarara'!D76+'Avg Week Mbarara-Masaka'!D76</f>
        <v>3</v>
      </c>
      <c r="E76" s="49">
        <f>'Avg Week Masaka-Mbarara'!E76+'Avg Week Mbarara-Masaka'!E76</f>
        <v>1.5</v>
      </c>
      <c r="F76" s="49">
        <f>'Avg Week Masaka-Mbarara'!F76+'Avg Week Mbarara-Masaka'!F76</f>
        <v>2.5</v>
      </c>
      <c r="G76" s="49">
        <f>'Avg Week Masaka-Mbarara'!G76+'Avg Week Mbarara-Masaka'!G76</f>
        <v>0.5</v>
      </c>
      <c r="H76" s="49">
        <f>'Avg Week Masaka-Mbarara'!H76+'Avg Week Mbarara-Masaka'!H76</f>
        <v>2.5</v>
      </c>
      <c r="I76" s="49">
        <f>'Avg Week Masaka-Mbarara'!I76+'Avg Week Mbarara-Masaka'!I76</f>
        <v>3</v>
      </c>
      <c r="J76" s="49">
        <f>'Avg Week Masaka-Mbarara'!J76+'Avg Week Mbarara-Masaka'!J76</f>
        <v>7</v>
      </c>
      <c r="K76" s="49">
        <f>'Avg Week Masaka-Mbarara'!K76+'Avg Week Mbarara-Masaka'!K76</f>
        <v>6.5</v>
      </c>
      <c r="L76" s="49">
        <f>'Avg Week Masaka-Mbarara'!L76+'Avg Week Mbarara-Masaka'!L76</f>
        <v>0.5</v>
      </c>
      <c r="M76" s="49">
        <f>'Avg Week Masaka-Mbarara'!M76+'Avg Week Mbarara-Masaka'!M76</f>
        <v>4</v>
      </c>
      <c r="N76" s="49">
        <f>'Avg Week Masaka-Mbarara'!N76+'Avg Week Mbarara-Masaka'!N76</f>
        <v>0</v>
      </c>
      <c r="O76" s="15">
        <f t="shared" si="35"/>
        <v>38</v>
      </c>
      <c r="P76" s="15">
        <f t="shared" si="36"/>
        <v>42</v>
      </c>
      <c r="R76" s="8"/>
      <c r="T76"/>
    </row>
    <row r="77" spans="2:20" ht="23.1" customHeight="1" x14ac:dyDescent="0.25">
      <c r="B77" s="23" t="s">
        <v>117</v>
      </c>
      <c r="C77" s="49">
        <f>'Avg Week Masaka-Mbarara'!C77+'Avg Week Mbarara-Masaka'!C77</f>
        <v>7.5</v>
      </c>
      <c r="D77" s="49">
        <f>'Avg Week Masaka-Mbarara'!D77+'Avg Week Mbarara-Masaka'!D77</f>
        <v>1.5</v>
      </c>
      <c r="E77" s="49">
        <f>'Avg Week Masaka-Mbarara'!E77+'Avg Week Mbarara-Masaka'!E77</f>
        <v>1</v>
      </c>
      <c r="F77" s="49">
        <f>'Avg Week Masaka-Mbarara'!F77+'Avg Week Mbarara-Masaka'!F77</f>
        <v>2</v>
      </c>
      <c r="G77" s="49">
        <f>'Avg Week Masaka-Mbarara'!G77+'Avg Week Mbarara-Masaka'!G77</f>
        <v>0</v>
      </c>
      <c r="H77" s="49">
        <f>'Avg Week Masaka-Mbarara'!H77+'Avg Week Mbarara-Masaka'!H77</f>
        <v>1.5</v>
      </c>
      <c r="I77" s="49">
        <f>'Avg Week Masaka-Mbarara'!I77+'Avg Week Mbarara-Masaka'!I77</f>
        <v>2</v>
      </c>
      <c r="J77" s="49">
        <f>'Avg Week Masaka-Mbarara'!J77+'Avg Week Mbarara-Masaka'!J77</f>
        <v>7</v>
      </c>
      <c r="K77" s="49">
        <f>'Avg Week Masaka-Mbarara'!K77+'Avg Week Mbarara-Masaka'!K77</f>
        <v>5.5</v>
      </c>
      <c r="L77" s="49">
        <f>'Avg Week Masaka-Mbarara'!L77+'Avg Week Mbarara-Masaka'!L77</f>
        <v>0.5</v>
      </c>
      <c r="M77" s="49">
        <f>'Avg Week Masaka-Mbarara'!M77+'Avg Week Mbarara-Masaka'!M77</f>
        <v>1.5</v>
      </c>
      <c r="N77" s="49">
        <f>'Avg Week Masaka-Mbarara'!N77+'Avg Week Mbarara-Masaka'!N77</f>
        <v>0</v>
      </c>
      <c r="O77" s="15">
        <f t="shared" si="35"/>
        <v>28.5</v>
      </c>
      <c r="P77" s="15">
        <f t="shared" si="36"/>
        <v>30</v>
      </c>
      <c r="R77" s="8"/>
      <c r="T77"/>
    </row>
    <row r="78" spans="2:20" ht="23.1" customHeight="1" x14ac:dyDescent="0.25">
      <c r="B78" s="24" t="s">
        <v>118</v>
      </c>
      <c r="C78" s="49">
        <f>'Avg Week Masaka-Mbarara'!C78+'Avg Week Mbarara-Masaka'!C78</f>
        <v>4</v>
      </c>
      <c r="D78" s="49">
        <f>'Avg Week Masaka-Mbarara'!D78+'Avg Week Mbarara-Masaka'!D78</f>
        <v>2</v>
      </c>
      <c r="E78" s="49">
        <f>'Avg Week Masaka-Mbarara'!E78+'Avg Week Mbarara-Masaka'!E78</f>
        <v>3</v>
      </c>
      <c r="F78" s="49">
        <f>'Avg Week Masaka-Mbarara'!F78+'Avg Week Mbarara-Masaka'!F78</f>
        <v>0.5</v>
      </c>
      <c r="G78" s="49">
        <f>'Avg Week Masaka-Mbarara'!G78+'Avg Week Mbarara-Masaka'!G78</f>
        <v>0.5</v>
      </c>
      <c r="H78" s="49">
        <f>'Avg Week Masaka-Mbarara'!H78+'Avg Week Mbarara-Masaka'!H78</f>
        <v>2.5</v>
      </c>
      <c r="I78" s="49">
        <f>'Avg Week Masaka-Mbarara'!I78+'Avg Week Mbarara-Masaka'!I78</f>
        <v>3</v>
      </c>
      <c r="J78" s="49">
        <f>'Avg Week Masaka-Mbarara'!J78+'Avg Week Mbarara-Masaka'!J78</f>
        <v>10.5</v>
      </c>
      <c r="K78" s="49">
        <f>'Avg Week Masaka-Mbarara'!K78+'Avg Week Mbarara-Masaka'!K78</f>
        <v>4</v>
      </c>
      <c r="L78" s="49">
        <f>'Avg Week Masaka-Mbarara'!L78+'Avg Week Mbarara-Masaka'!L78</f>
        <v>0</v>
      </c>
      <c r="M78" s="49">
        <f>'Avg Week Masaka-Mbarara'!M78+'Avg Week Mbarara-Masaka'!M78</f>
        <v>0</v>
      </c>
      <c r="N78" s="49">
        <f>'Avg Week Masaka-Mbarara'!N78+'Avg Week Mbarara-Masaka'!N78</f>
        <v>0</v>
      </c>
      <c r="O78" s="15">
        <f t="shared" si="35"/>
        <v>30</v>
      </c>
      <c r="P78" s="15">
        <f t="shared" si="36"/>
        <v>30</v>
      </c>
      <c r="R78" s="8"/>
      <c r="T78"/>
    </row>
    <row r="79" spans="2:20" ht="23.1" customHeight="1" x14ac:dyDescent="0.25">
      <c r="B79" s="23" t="s">
        <v>119</v>
      </c>
      <c r="C79" s="49">
        <f>'Avg Week Masaka-Mbarara'!C79+'Avg Week Mbarara-Masaka'!C79</f>
        <v>5</v>
      </c>
      <c r="D79" s="49">
        <f>'Avg Week Masaka-Mbarara'!D79+'Avg Week Mbarara-Masaka'!D79</f>
        <v>2</v>
      </c>
      <c r="E79" s="49">
        <f>'Avg Week Masaka-Mbarara'!E79+'Avg Week Mbarara-Masaka'!E79</f>
        <v>0</v>
      </c>
      <c r="F79" s="49">
        <f>'Avg Week Masaka-Mbarara'!F79+'Avg Week Mbarara-Masaka'!F79</f>
        <v>3.5</v>
      </c>
      <c r="G79" s="49">
        <f>'Avg Week Masaka-Mbarara'!G79+'Avg Week Mbarara-Masaka'!G79</f>
        <v>1</v>
      </c>
      <c r="H79" s="49">
        <f>'Avg Week Masaka-Mbarara'!H79+'Avg Week Mbarara-Masaka'!H79</f>
        <v>1.5</v>
      </c>
      <c r="I79" s="49">
        <f>'Avg Week Masaka-Mbarara'!I79+'Avg Week Mbarara-Masaka'!I79</f>
        <v>3.5</v>
      </c>
      <c r="J79" s="49">
        <f>'Avg Week Masaka-Mbarara'!J79+'Avg Week Mbarara-Masaka'!J79</f>
        <v>9.5</v>
      </c>
      <c r="K79" s="49">
        <f>'Avg Week Masaka-Mbarara'!K79+'Avg Week Mbarara-Masaka'!K79</f>
        <v>3</v>
      </c>
      <c r="L79" s="49">
        <f>'Avg Week Masaka-Mbarara'!L79+'Avg Week Mbarara-Masaka'!L79</f>
        <v>0</v>
      </c>
      <c r="M79" s="49">
        <f>'Avg Week Masaka-Mbarara'!M79+'Avg Week Mbarara-Masaka'!M79</f>
        <v>1.5</v>
      </c>
      <c r="N79" s="49">
        <f>'Avg Week Masaka-Mbarara'!N79+'Avg Week Mbarara-Masaka'!N79</f>
        <v>0</v>
      </c>
      <c r="O79" s="15">
        <f t="shared" si="35"/>
        <v>29</v>
      </c>
      <c r="P79" s="15">
        <f t="shared" si="36"/>
        <v>30.5</v>
      </c>
      <c r="R79" s="8"/>
      <c r="T79"/>
    </row>
    <row r="80" spans="2:20" ht="23.1" customHeight="1" x14ac:dyDescent="0.25">
      <c r="B80" s="25" t="s">
        <v>120</v>
      </c>
      <c r="C80" s="49">
        <f>'Avg Week Masaka-Mbarara'!C80+'Avg Week Mbarara-Masaka'!C80</f>
        <v>5.5</v>
      </c>
      <c r="D80" s="49">
        <f>'Avg Week Masaka-Mbarara'!D80+'Avg Week Mbarara-Masaka'!D80</f>
        <v>2.5</v>
      </c>
      <c r="E80" s="49">
        <f>'Avg Week Masaka-Mbarara'!E80+'Avg Week Mbarara-Masaka'!E80</f>
        <v>1.5</v>
      </c>
      <c r="F80" s="49">
        <f>'Avg Week Masaka-Mbarara'!F80+'Avg Week Mbarara-Masaka'!F80</f>
        <v>3</v>
      </c>
      <c r="G80" s="49">
        <f>'Avg Week Masaka-Mbarara'!G80+'Avg Week Mbarara-Masaka'!G80</f>
        <v>0</v>
      </c>
      <c r="H80" s="49">
        <f>'Avg Week Masaka-Mbarara'!H80+'Avg Week Mbarara-Masaka'!H80</f>
        <v>4</v>
      </c>
      <c r="I80" s="49">
        <f>'Avg Week Masaka-Mbarara'!I80+'Avg Week Mbarara-Masaka'!I80</f>
        <v>1</v>
      </c>
      <c r="J80" s="49">
        <f>'Avg Week Masaka-Mbarara'!J80+'Avg Week Mbarara-Masaka'!J80</f>
        <v>7</v>
      </c>
      <c r="K80" s="49">
        <f>'Avg Week Masaka-Mbarara'!K80+'Avg Week Mbarara-Masaka'!K80</f>
        <v>5</v>
      </c>
      <c r="L80" s="49">
        <f>'Avg Week Masaka-Mbarara'!L80+'Avg Week Mbarara-Masaka'!L80</f>
        <v>0</v>
      </c>
      <c r="M80" s="49">
        <f>'Avg Week Masaka-Mbarara'!M80+'Avg Week Mbarara-Masaka'!M80</f>
        <v>1.5</v>
      </c>
      <c r="N80" s="49">
        <f>'Avg Week Masaka-Mbarara'!N80+'Avg Week Mbarara-Masaka'!N80</f>
        <v>0</v>
      </c>
      <c r="O80" s="15">
        <f t="shared" si="35"/>
        <v>29.5</v>
      </c>
      <c r="P80" s="15">
        <f t="shared" si="36"/>
        <v>31</v>
      </c>
      <c r="R80" s="8"/>
      <c r="T80"/>
    </row>
    <row r="81" spans="2:20" ht="23.1" customHeight="1" x14ac:dyDescent="0.25">
      <c r="B81" s="23" t="s">
        <v>121</v>
      </c>
      <c r="C81" s="49">
        <f>'Avg Week Masaka-Mbarara'!C81+'Avg Week Mbarara-Masaka'!C81</f>
        <v>4.5</v>
      </c>
      <c r="D81" s="49">
        <f>'Avg Week Masaka-Mbarara'!D81+'Avg Week Mbarara-Masaka'!D81</f>
        <v>2</v>
      </c>
      <c r="E81" s="49">
        <f>'Avg Week Masaka-Mbarara'!E81+'Avg Week Mbarara-Masaka'!E81</f>
        <v>2</v>
      </c>
      <c r="F81" s="49">
        <f>'Avg Week Masaka-Mbarara'!F81+'Avg Week Mbarara-Masaka'!F81</f>
        <v>0.5</v>
      </c>
      <c r="G81" s="49">
        <f>'Avg Week Masaka-Mbarara'!G81+'Avg Week Mbarara-Masaka'!G81</f>
        <v>1</v>
      </c>
      <c r="H81" s="49">
        <f>'Avg Week Masaka-Mbarara'!H81+'Avg Week Mbarara-Masaka'!H81</f>
        <v>1</v>
      </c>
      <c r="I81" s="49">
        <f>'Avg Week Masaka-Mbarara'!I81+'Avg Week Mbarara-Masaka'!I81</f>
        <v>1.5</v>
      </c>
      <c r="J81" s="49">
        <f>'Avg Week Masaka-Mbarara'!J81+'Avg Week Mbarara-Masaka'!J81</f>
        <v>12.5</v>
      </c>
      <c r="K81" s="49">
        <f>'Avg Week Masaka-Mbarara'!K81+'Avg Week Mbarara-Masaka'!K81</f>
        <v>7</v>
      </c>
      <c r="L81" s="49">
        <f>'Avg Week Masaka-Mbarara'!L81+'Avg Week Mbarara-Masaka'!L81</f>
        <v>1.5</v>
      </c>
      <c r="M81" s="49">
        <f>'Avg Week Masaka-Mbarara'!M81+'Avg Week Mbarara-Masaka'!M81</f>
        <v>0</v>
      </c>
      <c r="N81" s="49">
        <f>'Avg Week Masaka-Mbarara'!N81+'Avg Week Mbarara-Masaka'!N81</f>
        <v>0</v>
      </c>
      <c r="O81" s="15">
        <f t="shared" si="35"/>
        <v>33.5</v>
      </c>
      <c r="P81" s="15">
        <f t="shared" si="36"/>
        <v>33.5</v>
      </c>
      <c r="R81" s="8"/>
      <c r="T81"/>
    </row>
    <row r="82" spans="2:20" ht="23.1" customHeight="1" x14ac:dyDescent="0.25">
      <c r="B82" s="24" t="s">
        <v>122</v>
      </c>
      <c r="C82" s="49">
        <f>'Avg Week Masaka-Mbarara'!C82+'Avg Week Mbarara-Masaka'!C82</f>
        <v>4.5</v>
      </c>
      <c r="D82" s="49">
        <f>'Avg Week Masaka-Mbarara'!D82+'Avg Week Mbarara-Masaka'!D82</f>
        <v>4</v>
      </c>
      <c r="E82" s="49">
        <f>'Avg Week Masaka-Mbarara'!E82+'Avg Week Mbarara-Masaka'!E82</f>
        <v>3</v>
      </c>
      <c r="F82" s="49">
        <f>'Avg Week Masaka-Mbarara'!F82+'Avg Week Mbarara-Masaka'!F82</f>
        <v>1</v>
      </c>
      <c r="G82" s="49">
        <f>'Avg Week Masaka-Mbarara'!G82+'Avg Week Mbarara-Masaka'!G82</f>
        <v>0</v>
      </c>
      <c r="H82" s="49">
        <f>'Avg Week Masaka-Mbarara'!H82+'Avg Week Mbarara-Masaka'!H82</f>
        <v>6.5</v>
      </c>
      <c r="I82" s="49">
        <f>'Avg Week Masaka-Mbarara'!I82+'Avg Week Mbarara-Masaka'!I82</f>
        <v>3.5</v>
      </c>
      <c r="J82" s="49">
        <f>'Avg Week Masaka-Mbarara'!J82+'Avg Week Mbarara-Masaka'!J82</f>
        <v>7</v>
      </c>
      <c r="K82" s="49">
        <f>'Avg Week Masaka-Mbarara'!K82+'Avg Week Mbarara-Masaka'!K82</f>
        <v>5</v>
      </c>
      <c r="L82" s="49">
        <f>'Avg Week Masaka-Mbarara'!L82+'Avg Week Mbarara-Masaka'!L82</f>
        <v>0.5</v>
      </c>
      <c r="M82" s="49">
        <f>'Avg Week Masaka-Mbarara'!M82+'Avg Week Mbarara-Masaka'!M82</f>
        <v>2</v>
      </c>
      <c r="N82" s="49">
        <f>'Avg Week Masaka-Mbarara'!N82+'Avg Week Mbarara-Masaka'!N82</f>
        <v>0</v>
      </c>
      <c r="O82" s="15">
        <f t="shared" si="35"/>
        <v>35</v>
      </c>
      <c r="P82" s="15">
        <f t="shared" si="36"/>
        <v>37</v>
      </c>
      <c r="R82" s="8"/>
      <c r="T82"/>
    </row>
    <row r="83" spans="2:20" ht="23.1" customHeight="1" x14ac:dyDescent="0.25">
      <c r="B83" s="23" t="s">
        <v>123</v>
      </c>
      <c r="C83" s="49">
        <f>'Avg Week Masaka-Mbarara'!C83+'Avg Week Mbarara-Masaka'!C83</f>
        <v>7</v>
      </c>
      <c r="D83" s="49">
        <f>'Avg Week Masaka-Mbarara'!D83+'Avg Week Mbarara-Masaka'!D83</f>
        <v>3</v>
      </c>
      <c r="E83" s="49">
        <f>'Avg Week Masaka-Mbarara'!E83+'Avg Week Mbarara-Masaka'!E83</f>
        <v>2.5</v>
      </c>
      <c r="F83" s="49">
        <f>'Avg Week Masaka-Mbarara'!F83+'Avg Week Mbarara-Masaka'!F83</f>
        <v>1.5</v>
      </c>
      <c r="G83" s="49">
        <f>'Avg Week Masaka-Mbarara'!G83+'Avg Week Mbarara-Masaka'!G83</f>
        <v>0</v>
      </c>
      <c r="H83" s="49">
        <f>'Avg Week Masaka-Mbarara'!H83+'Avg Week Mbarara-Masaka'!H83</f>
        <v>4.5</v>
      </c>
      <c r="I83" s="49">
        <f>'Avg Week Masaka-Mbarara'!I83+'Avg Week Mbarara-Masaka'!I83</f>
        <v>1.5</v>
      </c>
      <c r="J83" s="49">
        <f>'Avg Week Masaka-Mbarara'!J83+'Avg Week Mbarara-Masaka'!J83</f>
        <v>13</v>
      </c>
      <c r="K83" s="49">
        <f>'Avg Week Masaka-Mbarara'!K83+'Avg Week Mbarara-Masaka'!K83</f>
        <v>2.5</v>
      </c>
      <c r="L83" s="49">
        <f>'Avg Week Masaka-Mbarara'!L83+'Avg Week Mbarara-Masaka'!L83</f>
        <v>2.5</v>
      </c>
      <c r="M83" s="49">
        <f>'Avg Week Masaka-Mbarara'!M83+'Avg Week Mbarara-Masaka'!M83</f>
        <v>1</v>
      </c>
      <c r="N83" s="49">
        <f>'Avg Week Masaka-Mbarara'!N83+'Avg Week Mbarara-Masaka'!N83</f>
        <v>0</v>
      </c>
      <c r="O83" s="15">
        <f t="shared" si="35"/>
        <v>38</v>
      </c>
      <c r="P83" s="15">
        <f t="shared" si="36"/>
        <v>39</v>
      </c>
      <c r="R83" s="8"/>
      <c r="T83"/>
    </row>
    <row r="84" spans="2:20" ht="23.1" customHeight="1" x14ac:dyDescent="0.25">
      <c r="B84" s="25" t="s">
        <v>124</v>
      </c>
      <c r="C84" s="49">
        <f>'Avg Week Masaka-Mbarara'!C84+'Avg Week Mbarara-Masaka'!C84</f>
        <v>6.5</v>
      </c>
      <c r="D84" s="49">
        <f>'Avg Week Masaka-Mbarara'!D84+'Avg Week Mbarara-Masaka'!D84</f>
        <v>1</v>
      </c>
      <c r="E84" s="49">
        <f>'Avg Week Masaka-Mbarara'!E84+'Avg Week Mbarara-Masaka'!E84</f>
        <v>1.5</v>
      </c>
      <c r="F84" s="49">
        <f>'Avg Week Masaka-Mbarara'!F84+'Avg Week Mbarara-Masaka'!F84</f>
        <v>1</v>
      </c>
      <c r="G84" s="49">
        <f>'Avg Week Masaka-Mbarara'!G84+'Avg Week Mbarara-Masaka'!G84</f>
        <v>0</v>
      </c>
      <c r="H84" s="49">
        <f>'Avg Week Masaka-Mbarara'!H84+'Avg Week Mbarara-Masaka'!H84</f>
        <v>4</v>
      </c>
      <c r="I84" s="49">
        <f>'Avg Week Masaka-Mbarara'!I84+'Avg Week Mbarara-Masaka'!I84</f>
        <v>4</v>
      </c>
      <c r="J84" s="49">
        <f>'Avg Week Masaka-Mbarara'!J84+'Avg Week Mbarara-Masaka'!J84</f>
        <v>5.5</v>
      </c>
      <c r="K84" s="49">
        <f>'Avg Week Masaka-Mbarara'!K84+'Avg Week Mbarara-Masaka'!K84</f>
        <v>2</v>
      </c>
      <c r="L84" s="49">
        <f>'Avg Week Masaka-Mbarara'!L84+'Avg Week Mbarara-Masaka'!L84</f>
        <v>0</v>
      </c>
      <c r="M84" s="49">
        <f>'Avg Week Masaka-Mbarara'!M84+'Avg Week Mbarara-Masaka'!M84</f>
        <v>0.5</v>
      </c>
      <c r="N84" s="49">
        <f>'Avg Week Masaka-Mbarara'!N84+'Avg Week Mbarara-Masaka'!N84</f>
        <v>0</v>
      </c>
      <c r="O84" s="15">
        <f t="shared" si="35"/>
        <v>25.5</v>
      </c>
      <c r="P84" s="15">
        <f t="shared" si="36"/>
        <v>26</v>
      </c>
      <c r="R84" s="8"/>
      <c r="T84"/>
    </row>
    <row r="85" spans="2:20" ht="23.1" customHeight="1" x14ac:dyDescent="0.25">
      <c r="B85" s="23" t="s">
        <v>125</v>
      </c>
      <c r="C85" s="49">
        <f>'Avg Week Masaka-Mbarara'!C85+'Avg Week Mbarara-Masaka'!C85</f>
        <v>10</v>
      </c>
      <c r="D85" s="49">
        <f>'Avg Week Masaka-Mbarara'!D85+'Avg Week Mbarara-Masaka'!D85</f>
        <v>2.5</v>
      </c>
      <c r="E85" s="49">
        <f>'Avg Week Masaka-Mbarara'!E85+'Avg Week Mbarara-Masaka'!E85</f>
        <v>2</v>
      </c>
      <c r="F85" s="49">
        <f>'Avg Week Masaka-Mbarara'!F85+'Avg Week Mbarara-Masaka'!F85</f>
        <v>1.5</v>
      </c>
      <c r="G85" s="49">
        <f>'Avg Week Masaka-Mbarara'!G85+'Avg Week Mbarara-Masaka'!G85</f>
        <v>0</v>
      </c>
      <c r="H85" s="49">
        <f>'Avg Week Masaka-Mbarara'!H85+'Avg Week Mbarara-Masaka'!H85</f>
        <v>5.5</v>
      </c>
      <c r="I85" s="49">
        <f>'Avg Week Masaka-Mbarara'!I85+'Avg Week Mbarara-Masaka'!I85</f>
        <v>1.5</v>
      </c>
      <c r="J85" s="49">
        <f>'Avg Week Masaka-Mbarara'!J85+'Avg Week Mbarara-Masaka'!J85</f>
        <v>5</v>
      </c>
      <c r="K85" s="49">
        <f>'Avg Week Masaka-Mbarara'!K85+'Avg Week Mbarara-Masaka'!K85</f>
        <v>3.5</v>
      </c>
      <c r="L85" s="49">
        <f>'Avg Week Masaka-Mbarara'!L85+'Avg Week Mbarara-Masaka'!L85</f>
        <v>0</v>
      </c>
      <c r="M85" s="49">
        <f>'Avg Week Masaka-Mbarara'!M85+'Avg Week Mbarara-Masaka'!M85</f>
        <v>0</v>
      </c>
      <c r="N85" s="49">
        <f>'Avg Week Masaka-Mbarara'!N85+'Avg Week Mbarara-Masaka'!N85</f>
        <v>0</v>
      </c>
      <c r="O85" s="15">
        <f t="shared" si="35"/>
        <v>31.5</v>
      </c>
      <c r="P85" s="15">
        <f t="shared" si="36"/>
        <v>31.5</v>
      </c>
      <c r="R85" s="8"/>
      <c r="T85"/>
    </row>
    <row r="86" spans="2:20" ht="23.1" customHeight="1" x14ac:dyDescent="0.25">
      <c r="B86" s="24" t="s">
        <v>126</v>
      </c>
      <c r="C86" s="49">
        <f>'Avg Week Masaka-Mbarara'!C86+'Avg Week Mbarara-Masaka'!C86</f>
        <v>7</v>
      </c>
      <c r="D86" s="49">
        <f>'Avg Week Masaka-Mbarara'!D86+'Avg Week Mbarara-Masaka'!D86</f>
        <v>3</v>
      </c>
      <c r="E86" s="49">
        <f>'Avg Week Masaka-Mbarara'!E86+'Avg Week Mbarara-Masaka'!E86</f>
        <v>1</v>
      </c>
      <c r="F86" s="49">
        <f>'Avg Week Masaka-Mbarara'!F86+'Avg Week Mbarara-Masaka'!F86</f>
        <v>2.5</v>
      </c>
      <c r="G86" s="49">
        <f>'Avg Week Masaka-Mbarara'!G86+'Avg Week Mbarara-Masaka'!G86</f>
        <v>0</v>
      </c>
      <c r="H86" s="49">
        <f>'Avg Week Masaka-Mbarara'!H86+'Avg Week Mbarara-Masaka'!H86</f>
        <v>6</v>
      </c>
      <c r="I86" s="49">
        <f>'Avg Week Masaka-Mbarara'!I86+'Avg Week Mbarara-Masaka'!I86</f>
        <v>4</v>
      </c>
      <c r="J86" s="49">
        <f>'Avg Week Masaka-Mbarara'!J86+'Avg Week Mbarara-Masaka'!J86</f>
        <v>9</v>
      </c>
      <c r="K86" s="49">
        <f>'Avg Week Masaka-Mbarara'!K86+'Avg Week Mbarara-Masaka'!K86</f>
        <v>2</v>
      </c>
      <c r="L86" s="49">
        <f>'Avg Week Masaka-Mbarara'!L86+'Avg Week Mbarara-Masaka'!L86</f>
        <v>0</v>
      </c>
      <c r="M86" s="49">
        <f>'Avg Week Masaka-Mbarara'!M86+'Avg Week Mbarara-Masaka'!M86</f>
        <v>1.5</v>
      </c>
      <c r="N86" s="49">
        <f>'Avg Week Masaka-Mbarara'!N86+'Avg Week Mbarara-Masaka'!N86</f>
        <v>0</v>
      </c>
      <c r="O86" s="15">
        <f t="shared" si="35"/>
        <v>34.5</v>
      </c>
      <c r="P86" s="15">
        <f t="shared" si="36"/>
        <v>36</v>
      </c>
      <c r="R86" s="8"/>
      <c r="T86"/>
    </row>
    <row r="87" spans="2:20" ht="23.1" customHeight="1" x14ac:dyDescent="0.25">
      <c r="B87" s="23" t="s">
        <v>127</v>
      </c>
      <c r="C87" s="49">
        <f>'Avg Week Masaka-Mbarara'!C87+'Avg Week Mbarara-Masaka'!C87</f>
        <v>2</v>
      </c>
      <c r="D87" s="49">
        <f>'Avg Week Masaka-Mbarara'!D87+'Avg Week Mbarara-Masaka'!D87</f>
        <v>0.5</v>
      </c>
      <c r="E87" s="49">
        <f>'Avg Week Masaka-Mbarara'!E87+'Avg Week Mbarara-Masaka'!E87</f>
        <v>1</v>
      </c>
      <c r="F87" s="49">
        <f>'Avg Week Masaka-Mbarara'!F87+'Avg Week Mbarara-Masaka'!F87</f>
        <v>1</v>
      </c>
      <c r="G87" s="49">
        <f>'Avg Week Masaka-Mbarara'!G87+'Avg Week Mbarara-Masaka'!G87</f>
        <v>0</v>
      </c>
      <c r="H87" s="49">
        <f>'Avg Week Masaka-Mbarara'!H87+'Avg Week Mbarara-Masaka'!H87</f>
        <v>2</v>
      </c>
      <c r="I87" s="49">
        <f>'Avg Week Masaka-Mbarara'!I87+'Avg Week Mbarara-Masaka'!I87</f>
        <v>2</v>
      </c>
      <c r="J87" s="49">
        <f>'Avg Week Masaka-Mbarara'!J87+'Avg Week Mbarara-Masaka'!J87</f>
        <v>11</v>
      </c>
      <c r="K87" s="49">
        <f>'Avg Week Masaka-Mbarara'!K87+'Avg Week Mbarara-Masaka'!K87</f>
        <v>1</v>
      </c>
      <c r="L87" s="49">
        <f>'Avg Week Masaka-Mbarara'!L87+'Avg Week Mbarara-Masaka'!L87</f>
        <v>0.5</v>
      </c>
      <c r="M87" s="49">
        <f>'Avg Week Masaka-Mbarara'!M87+'Avg Week Mbarara-Masaka'!M87</f>
        <v>0</v>
      </c>
      <c r="N87" s="49">
        <f>'Avg Week Masaka-Mbarara'!N87+'Avg Week Mbarara-Masaka'!N87</f>
        <v>0</v>
      </c>
      <c r="O87" s="15">
        <f t="shared" si="35"/>
        <v>21</v>
      </c>
      <c r="P87" s="15">
        <f t="shared" si="36"/>
        <v>21</v>
      </c>
      <c r="R87" s="8"/>
      <c r="T87"/>
    </row>
    <row r="88" spans="2:20" ht="23.1" customHeight="1" x14ac:dyDescent="0.25">
      <c r="B88" s="25" t="s">
        <v>128</v>
      </c>
      <c r="C88" s="49">
        <f>'Avg Week Masaka-Mbarara'!C88+'Avg Week Mbarara-Masaka'!C88</f>
        <v>2</v>
      </c>
      <c r="D88" s="49">
        <f>'Avg Week Masaka-Mbarara'!D88+'Avg Week Mbarara-Masaka'!D88</f>
        <v>2</v>
      </c>
      <c r="E88" s="49">
        <f>'Avg Week Masaka-Mbarara'!E88+'Avg Week Mbarara-Masaka'!E88</f>
        <v>0</v>
      </c>
      <c r="F88" s="49">
        <f>'Avg Week Masaka-Mbarara'!F88+'Avg Week Mbarara-Masaka'!F88</f>
        <v>2</v>
      </c>
      <c r="G88" s="49">
        <f>'Avg Week Masaka-Mbarara'!G88+'Avg Week Mbarara-Masaka'!G88</f>
        <v>2</v>
      </c>
      <c r="H88" s="49">
        <f>'Avg Week Masaka-Mbarara'!H88+'Avg Week Mbarara-Masaka'!H88</f>
        <v>3.5</v>
      </c>
      <c r="I88" s="49">
        <f>'Avg Week Masaka-Mbarara'!I88+'Avg Week Mbarara-Masaka'!I88</f>
        <v>3.5</v>
      </c>
      <c r="J88" s="49">
        <f>'Avg Week Masaka-Mbarara'!J88+'Avg Week Mbarara-Masaka'!J88</f>
        <v>7.5</v>
      </c>
      <c r="K88" s="49">
        <f>'Avg Week Masaka-Mbarara'!K88+'Avg Week Mbarara-Masaka'!K88</f>
        <v>4</v>
      </c>
      <c r="L88" s="49">
        <f>'Avg Week Masaka-Mbarara'!L88+'Avg Week Mbarara-Masaka'!L88</f>
        <v>0.5</v>
      </c>
      <c r="M88" s="49">
        <f>'Avg Week Masaka-Mbarara'!M88+'Avg Week Mbarara-Masaka'!M88</f>
        <v>0</v>
      </c>
      <c r="N88" s="49">
        <f>'Avg Week Masaka-Mbarara'!N88+'Avg Week Mbarara-Masaka'!N88</f>
        <v>0</v>
      </c>
      <c r="O88" s="15">
        <f t="shared" si="35"/>
        <v>27</v>
      </c>
      <c r="P88" s="15">
        <f t="shared" si="36"/>
        <v>27</v>
      </c>
      <c r="R88" s="8"/>
      <c r="T88"/>
    </row>
    <row r="89" spans="2:20" ht="23.1" customHeight="1" x14ac:dyDescent="0.25">
      <c r="B89" s="23" t="s">
        <v>129</v>
      </c>
      <c r="C89" s="49">
        <f>'Avg Week Masaka-Mbarara'!C89+'Avg Week Mbarara-Masaka'!C89</f>
        <v>5</v>
      </c>
      <c r="D89" s="49">
        <f>'Avg Week Masaka-Mbarara'!D89+'Avg Week Mbarara-Masaka'!D89</f>
        <v>0</v>
      </c>
      <c r="E89" s="49">
        <f>'Avg Week Masaka-Mbarara'!E89+'Avg Week Mbarara-Masaka'!E89</f>
        <v>0.5</v>
      </c>
      <c r="F89" s="49">
        <f>'Avg Week Masaka-Mbarara'!F89+'Avg Week Mbarara-Masaka'!F89</f>
        <v>0</v>
      </c>
      <c r="G89" s="49">
        <f>'Avg Week Masaka-Mbarara'!G89+'Avg Week Mbarara-Masaka'!G89</f>
        <v>1.5</v>
      </c>
      <c r="H89" s="49">
        <f>'Avg Week Masaka-Mbarara'!H89+'Avg Week Mbarara-Masaka'!H89</f>
        <v>2.5</v>
      </c>
      <c r="I89" s="49">
        <f>'Avg Week Masaka-Mbarara'!I89+'Avg Week Mbarara-Masaka'!I89</f>
        <v>4</v>
      </c>
      <c r="J89" s="49">
        <f>'Avg Week Masaka-Mbarara'!J89+'Avg Week Mbarara-Masaka'!J89</f>
        <v>2</v>
      </c>
      <c r="K89" s="49">
        <f>'Avg Week Masaka-Mbarara'!K89+'Avg Week Mbarara-Masaka'!K89</f>
        <v>4</v>
      </c>
      <c r="L89" s="49">
        <f>'Avg Week Masaka-Mbarara'!L89+'Avg Week Mbarara-Masaka'!L89</f>
        <v>0.5</v>
      </c>
      <c r="M89" s="49">
        <f>'Avg Week Masaka-Mbarara'!M89+'Avg Week Mbarara-Masaka'!M89</f>
        <v>1</v>
      </c>
      <c r="N89" s="49">
        <f>'Avg Week Masaka-Mbarara'!N89+'Avg Week Mbarara-Masaka'!N89</f>
        <v>0</v>
      </c>
      <c r="O89" s="15">
        <f t="shared" si="35"/>
        <v>20</v>
      </c>
      <c r="P89" s="15">
        <f t="shared" si="36"/>
        <v>21</v>
      </c>
      <c r="R89" s="8"/>
      <c r="T89"/>
    </row>
    <row r="90" spans="2:20" ht="23.1" customHeight="1" x14ac:dyDescent="0.25">
      <c r="B90" s="24" t="s">
        <v>130</v>
      </c>
      <c r="C90" s="49">
        <f>'Avg Week Masaka-Mbarara'!C90+'Avg Week Mbarara-Masaka'!C90</f>
        <v>5</v>
      </c>
      <c r="D90" s="49">
        <f>'Avg Week Masaka-Mbarara'!D90+'Avg Week Mbarara-Masaka'!D90</f>
        <v>1</v>
      </c>
      <c r="E90" s="49">
        <f>'Avg Week Masaka-Mbarara'!E90+'Avg Week Mbarara-Masaka'!E90</f>
        <v>0.5</v>
      </c>
      <c r="F90" s="49">
        <f>'Avg Week Masaka-Mbarara'!F90+'Avg Week Mbarara-Masaka'!F90</f>
        <v>0.5</v>
      </c>
      <c r="G90" s="49">
        <f>'Avg Week Masaka-Mbarara'!G90+'Avg Week Mbarara-Masaka'!G90</f>
        <v>0</v>
      </c>
      <c r="H90" s="49">
        <f>'Avg Week Masaka-Mbarara'!H90+'Avg Week Mbarara-Masaka'!H90</f>
        <v>4.5</v>
      </c>
      <c r="I90" s="49">
        <f>'Avg Week Masaka-Mbarara'!I90+'Avg Week Mbarara-Masaka'!I90</f>
        <v>1.5</v>
      </c>
      <c r="J90" s="49">
        <f>'Avg Week Masaka-Mbarara'!J90+'Avg Week Mbarara-Masaka'!J90</f>
        <v>5.5</v>
      </c>
      <c r="K90" s="49">
        <f>'Avg Week Masaka-Mbarara'!K90+'Avg Week Mbarara-Masaka'!K90</f>
        <v>1.5</v>
      </c>
      <c r="L90" s="49">
        <f>'Avg Week Masaka-Mbarara'!L90+'Avg Week Mbarara-Masaka'!L90</f>
        <v>0</v>
      </c>
      <c r="M90" s="49">
        <f>'Avg Week Masaka-Mbarara'!M90+'Avg Week Mbarara-Masaka'!M90</f>
        <v>1.5</v>
      </c>
      <c r="N90" s="49">
        <f>'Avg Week Masaka-Mbarara'!N90+'Avg Week Mbarara-Masaka'!N90</f>
        <v>0</v>
      </c>
      <c r="O90" s="15">
        <f t="shared" si="35"/>
        <v>20</v>
      </c>
      <c r="P90" s="15">
        <f t="shared" si="36"/>
        <v>21.5</v>
      </c>
      <c r="R90" s="8"/>
      <c r="T90"/>
    </row>
    <row r="91" spans="2:20" ht="23.1" customHeight="1" x14ac:dyDescent="0.25">
      <c r="B91" s="23" t="s">
        <v>131</v>
      </c>
      <c r="C91" s="49">
        <f>'Avg Week Masaka-Mbarara'!C91+'Avg Week Mbarara-Masaka'!C91</f>
        <v>6</v>
      </c>
      <c r="D91" s="49">
        <f>'Avg Week Masaka-Mbarara'!D91+'Avg Week Mbarara-Masaka'!D91</f>
        <v>1</v>
      </c>
      <c r="E91" s="49">
        <f>'Avg Week Masaka-Mbarara'!E91+'Avg Week Mbarara-Masaka'!E91</f>
        <v>0</v>
      </c>
      <c r="F91" s="49">
        <f>'Avg Week Masaka-Mbarara'!F91+'Avg Week Mbarara-Masaka'!F91</f>
        <v>1.5</v>
      </c>
      <c r="G91" s="49">
        <f>'Avg Week Masaka-Mbarara'!G91+'Avg Week Mbarara-Masaka'!G91</f>
        <v>0</v>
      </c>
      <c r="H91" s="49">
        <f>'Avg Week Masaka-Mbarara'!H91+'Avg Week Mbarara-Masaka'!H91</f>
        <v>3</v>
      </c>
      <c r="I91" s="49">
        <f>'Avg Week Masaka-Mbarara'!I91+'Avg Week Mbarara-Masaka'!I91</f>
        <v>3.5</v>
      </c>
      <c r="J91" s="49">
        <f>'Avg Week Masaka-Mbarara'!J91+'Avg Week Mbarara-Masaka'!J91</f>
        <v>4</v>
      </c>
      <c r="K91" s="49">
        <f>'Avg Week Masaka-Mbarara'!K91+'Avg Week Mbarara-Masaka'!K91</f>
        <v>7</v>
      </c>
      <c r="L91" s="49">
        <f>'Avg Week Masaka-Mbarara'!L91+'Avg Week Mbarara-Masaka'!L91</f>
        <v>0</v>
      </c>
      <c r="M91" s="49">
        <f>'Avg Week Masaka-Mbarara'!M91+'Avg Week Mbarara-Masaka'!M91</f>
        <v>0</v>
      </c>
      <c r="N91" s="49">
        <f>'Avg Week Masaka-Mbarara'!N91+'Avg Week Mbarara-Masaka'!N91</f>
        <v>0</v>
      </c>
      <c r="O91" s="15">
        <f t="shared" si="35"/>
        <v>26</v>
      </c>
      <c r="P91" s="15">
        <f t="shared" si="36"/>
        <v>26</v>
      </c>
      <c r="R91" s="8"/>
      <c r="T91"/>
    </row>
    <row r="92" spans="2:20" ht="23.1" customHeight="1" x14ac:dyDescent="0.25">
      <c r="B92" s="25" t="s">
        <v>132</v>
      </c>
      <c r="C92" s="49">
        <f>'Avg Week Masaka-Mbarara'!C92+'Avg Week Mbarara-Masaka'!C92</f>
        <v>3.5</v>
      </c>
      <c r="D92" s="49">
        <f>'Avg Week Masaka-Mbarara'!D92+'Avg Week Mbarara-Masaka'!D92</f>
        <v>1.5</v>
      </c>
      <c r="E92" s="49">
        <f>'Avg Week Masaka-Mbarara'!E92+'Avg Week Mbarara-Masaka'!E92</f>
        <v>1.5</v>
      </c>
      <c r="F92" s="49">
        <f>'Avg Week Masaka-Mbarara'!F92+'Avg Week Mbarara-Masaka'!F92</f>
        <v>2</v>
      </c>
      <c r="G92" s="49">
        <f>'Avg Week Masaka-Mbarara'!G92+'Avg Week Mbarara-Masaka'!G92</f>
        <v>0.5</v>
      </c>
      <c r="H92" s="49">
        <f>'Avg Week Masaka-Mbarara'!H92+'Avg Week Mbarara-Masaka'!H92</f>
        <v>4</v>
      </c>
      <c r="I92" s="49">
        <f>'Avg Week Masaka-Mbarara'!I92+'Avg Week Mbarara-Masaka'!I92</f>
        <v>3</v>
      </c>
      <c r="J92" s="49">
        <f>'Avg Week Masaka-Mbarara'!J92+'Avg Week Mbarara-Masaka'!J92</f>
        <v>3.5</v>
      </c>
      <c r="K92" s="49">
        <f>'Avg Week Masaka-Mbarara'!K92+'Avg Week Mbarara-Masaka'!K92</f>
        <v>3.5</v>
      </c>
      <c r="L92" s="49">
        <f>'Avg Week Masaka-Mbarara'!L92+'Avg Week Mbarara-Masaka'!L92</f>
        <v>1.5</v>
      </c>
      <c r="M92" s="49">
        <f>'Avg Week Masaka-Mbarara'!M92+'Avg Week Mbarara-Masaka'!M92</f>
        <v>0.5</v>
      </c>
      <c r="N92" s="49">
        <f>'Avg Week Masaka-Mbarara'!N92+'Avg Week Mbarara-Masaka'!N92</f>
        <v>0</v>
      </c>
      <c r="O92" s="15">
        <f t="shared" si="35"/>
        <v>24.5</v>
      </c>
      <c r="P92" s="15">
        <f t="shared" si="36"/>
        <v>25</v>
      </c>
      <c r="R92" s="8"/>
      <c r="T92"/>
    </row>
    <row r="93" spans="2:20" ht="23.1" customHeight="1" x14ac:dyDescent="0.25">
      <c r="B93" s="23" t="s">
        <v>133</v>
      </c>
      <c r="C93" s="49">
        <f>'Avg Week Masaka-Mbarara'!C93+'Avg Week Mbarara-Masaka'!C93</f>
        <v>2.5</v>
      </c>
      <c r="D93" s="49">
        <f>'Avg Week Masaka-Mbarara'!D93+'Avg Week Mbarara-Masaka'!D93</f>
        <v>2.5</v>
      </c>
      <c r="E93" s="49">
        <f>'Avg Week Masaka-Mbarara'!E93+'Avg Week Mbarara-Masaka'!E93</f>
        <v>0</v>
      </c>
      <c r="F93" s="49">
        <f>'Avg Week Masaka-Mbarara'!F93+'Avg Week Mbarara-Masaka'!F93</f>
        <v>1.5</v>
      </c>
      <c r="G93" s="49">
        <f>'Avg Week Masaka-Mbarara'!G93+'Avg Week Mbarara-Masaka'!G93</f>
        <v>0.5</v>
      </c>
      <c r="H93" s="49">
        <f>'Avg Week Masaka-Mbarara'!H93+'Avg Week Mbarara-Masaka'!H93</f>
        <v>3</v>
      </c>
      <c r="I93" s="49">
        <f>'Avg Week Masaka-Mbarara'!I93+'Avg Week Mbarara-Masaka'!I93</f>
        <v>2</v>
      </c>
      <c r="J93" s="49">
        <f>'Avg Week Masaka-Mbarara'!J93+'Avg Week Mbarara-Masaka'!J93</f>
        <v>5</v>
      </c>
      <c r="K93" s="49">
        <f>'Avg Week Masaka-Mbarara'!K93+'Avg Week Mbarara-Masaka'!K93</f>
        <v>6.5</v>
      </c>
      <c r="L93" s="49">
        <f>'Avg Week Masaka-Mbarara'!L93+'Avg Week Mbarara-Masaka'!L93</f>
        <v>0</v>
      </c>
      <c r="M93" s="49">
        <f>'Avg Week Masaka-Mbarara'!M93+'Avg Week Mbarara-Masaka'!M93</f>
        <v>0.5</v>
      </c>
      <c r="N93" s="49">
        <f>'Avg Week Masaka-Mbarara'!N93+'Avg Week Mbarara-Masaka'!N93</f>
        <v>0</v>
      </c>
      <c r="O93" s="15">
        <f t="shared" si="35"/>
        <v>23.5</v>
      </c>
      <c r="P93" s="15">
        <f t="shared" si="36"/>
        <v>24</v>
      </c>
      <c r="R93" s="8"/>
      <c r="T93"/>
    </row>
    <row r="94" spans="2:20" ht="23.1" customHeight="1" x14ac:dyDescent="0.25">
      <c r="B94" s="24" t="s">
        <v>134</v>
      </c>
      <c r="C94" s="49">
        <f>'Avg Week Masaka-Mbarara'!C94+'Avg Week Mbarara-Masaka'!C94</f>
        <v>3</v>
      </c>
      <c r="D94" s="49">
        <f>'Avg Week Masaka-Mbarara'!D94+'Avg Week Mbarara-Masaka'!D94</f>
        <v>1</v>
      </c>
      <c r="E94" s="49">
        <f>'Avg Week Masaka-Mbarara'!E94+'Avg Week Mbarara-Masaka'!E94</f>
        <v>1</v>
      </c>
      <c r="F94" s="49">
        <f>'Avg Week Masaka-Mbarara'!F94+'Avg Week Mbarara-Masaka'!F94</f>
        <v>2</v>
      </c>
      <c r="G94" s="49">
        <f>'Avg Week Masaka-Mbarara'!G94+'Avg Week Mbarara-Masaka'!G94</f>
        <v>0.5</v>
      </c>
      <c r="H94" s="49">
        <f>'Avg Week Masaka-Mbarara'!H94+'Avg Week Mbarara-Masaka'!H94</f>
        <v>3</v>
      </c>
      <c r="I94" s="49">
        <f>'Avg Week Masaka-Mbarara'!I94+'Avg Week Mbarara-Masaka'!I94</f>
        <v>1</v>
      </c>
      <c r="J94" s="49">
        <f>'Avg Week Masaka-Mbarara'!J94+'Avg Week Mbarara-Masaka'!J94</f>
        <v>4.5</v>
      </c>
      <c r="K94" s="49">
        <f>'Avg Week Masaka-Mbarara'!K94+'Avg Week Mbarara-Masaka'!K94</f>
        <v>2.5</v>
      </c>
      <c r="L94" s="49">
        <f>'Avg Week Masaka-Mbarara'!L94+'Avg Week Mbarara-Masaka'!L94</f>
        <v>0</v>
      </c>
      <c r="M94" s="49">
        <f>'Avg Week Masaka-Mbarara'!M94+'Avg Week Mbarara-Masaka'!M94</f>
        <v>0</v>
      </c>
      <c r="N94" s="49">
        <f>'Avg Week Masaka-Mbarara'!N94+'Avg Week Mbarara-Masaka'!N94</f>
        <v>0</v>
      </c>
      <c r="O94" s="15">
        <f t="shared" si="35"/>
        <v>18.5</v>
      </c>
      <c r="P94" s="15">
        <f t="shared" si="36"/>
        <v>18.5</v>
      </c>
      <c r="R94" s="8"/>
      <c r="T94"/>
    </row>
    <row r="95" spans="2:20" ht="23.1" customHeight="1" x14ac:dyDescent="0.25">
      <c r="B95" s="23" t="s">
        <v>135</v>
      </c>
      <c r="C95" s="49">
        <f>'Avg Week Masaka-Mbarara'!C95+'Avg Week Mbarara-Masaka'!C95</f>
        <v>9.5</v>
      </c>
      <c r="D95" s="49">
        <f>'Avg Week Masaka-Mbarara'!D95+'Avg Week Mbarara-Masaka'!D95</f>
        <v>1</v>
      </c>
      <c r="E95" s="49">
        <f>'Avg Week Masaka-Mbarara'!E95+'Avg Week Mbarara-Masaka'!E95</f>
        <v>2</v>
      </c>
      <c r="F95" s="49">
        <f>'Avg Week Masaka-Mbarara'!F95+'Avg Week Mbarara-Masaka'!F95</f>
        <v>2.5</v>
      </c>
      <c r="G95" s="49">
        <f>'Avg Week Masaka-Mbarara'!G95+'Avg Week Mbarara-Masaka'!G95</f>
        <v>1.5</v>
      </c>
      <c r="H95" s="49">
        <f>'Avg Week Masaka-Mbarara'!H95+'Avg Week Mbarara-Masaka'!H95</f>
        <v>3.5</v>
      </c>
      <c r="I95" s="49">
        <f>'Avg Week Masaka-Mbarara'!I95+'Avg Week Mbarara-Masaka'!I95</f>
        <v>1</v>
      </c>
      <c r="J95" s="49">
        <f>'Avg Week Masaka-Mbarara'!J95+'Avg Week Mbarara-Masaka'!J95</f>
        <v>2.5</v>
      </c>
      <c r="K95" s="49">
        <f>'Avg Week Masaka-Mbarara'!K95+'Avg Week Mbarara-Masaka'!K95</f>
        <v>1</v>
      </c>
      <c r="L95" s="49">
        <f>'Avg Week Masaka-Mbarara'!L95+'Avg Week Mbarara-Masaka'!L95</f>
        <v>0</v>
      </c>
      <c r="M95" s="49">
        <f>'Avg Week Masaka-Mbarara'!M95+'Avg Week Mbarara-Masaka'!M95</f>
        <v>0</v>
      </c>
      <c r="N95" s="49">
        <f>'Avg Week Masaka-Mbarara'!N95+'Avg Week Mbarara-Masaka'!N95</f>
        <v>0</v>
      </c>
      <c r="O95" s="15">
        <f t="shared" si="35"/>
        <v>24.5</v>
      </c>
      <c r="P95" s="15">
        <f t="shared" si="36"/>
        <v>24.5</v>
      </c>
      <c r="R95" s="8"/>
      <c r="T95"/>
    </row>
    <row r="96" spans="2:20" ht="23.1" customHeight="1" x14ac:dyDescent="0.25">
      <c r="B96" s="25" t="s">
        <v>136</v>
      </c>
      <c r="C96" s="49">
        <f>'Avg Week Masaka-Mbarara'!C96+'Avg Week Mbarara-Masaka'!C96</f>
        <v>4.5</v>
      </c>
      <c r="D96" s="49">
        <f>'Avg Week Masaka-Mbarara'!D96+'Avg Week Mbarara-Masaka'!D96</f>
        <v>1.5</v>
      </c>
      <c r="E96" s="49">
        <f>'Avg Week Masaka-Mbarara'!E96+'Avg Week Mbarara-Masaka'!E96</f>
        <v>0</v>
      </c>
      <c r="F96" s="49">
        <f>'Avg Week Masaka-Mbarara'!F96+'Avg Week Mbarara-Masaka'!F96</f>
        <v>1.5</v>
      </c>
      <c r="G96" s="49">
        <f>'Avg Week Masaka-Mbarara'!G96+'Avg Week Mbarara-Masaka'!G96</f>
        <v>2</v>
      </c>
      <c r="H96" s="49">
        <f>'Avg Week Masaka-Mbarara'!H96+'Avg Week Mbarara-Masaka'!H96</f>
        <v>2.5</v>
      </c>
      <c r="I96" s="49">
        <f>'Avg Week Masaka-Mbarara'!I96+'Avg Week Mbarara-Masaka'!I96</f>
        <v>0.5</v>
      </c>
      <c r="J96" s="49">
        <f>'Avg Week Masaka-Mbarara'!J96+'Avg Week Mbarara-Masaka'!J96</f>
        <v>2</v>
      </c>
      <c r="K96" s="49">
        <f>'Avg Week Masaka-Mbarara'!K96+'Avg Week Mbarara-Masaka'!K96</f>
        <v>5</v>
      </c>
      <c r="L96" s="49">
        <f>'Avg Week Masaka-Mbarara'!L96+'Avg Week Mbarara-Masaka'!L96</f>
        <v>0</v>
      </c>
      <c r="M96" s="49">
        <f>'Avg Week Masaka-Mbarara'!M96+'Avg Week Mbarara-Masaka'!M96</f>
        <v>4</v>
      </c>
      <c r="N96" s="49">
        <f>'Avg Week Masaka-Mbarara'!N96+'Avg Week Mbarara-Masaka'!N96</f>
        <v>0</v>
      </c>
      <c r="O96" s="15">
        <f t="shared" si="35"/>
        <v>19.5</v>
      </c>
      <c r="P96" s="15">
        <f t="shared" si="36"/>
        <v>23.5</v>
      </c>
      <c r="R96" s="8"/>
      <c r="T96"/>
    </row>
    <row r="97" spans="2:20" ht="23.1" customHeight="1" x14ac:dyDescent="0.25">
      <c r="B97" s="23" t="s">
        <v>137</v>
      </c>
      <c r="C97" s="49">
        <f>'Avg Week Masaka-Mbarara'!C97+'Avg Week Mbarara-Masaka'!C97</f>
        <v>5</v>
      </c>
      <c r="D97" s="49">
        <f>'Avg Week Masaka-Mbarara'!D97+'Avg Week Mbarara-Masaka'!D97</f>
        <v>0</v>
      </c>
      <c r="E97" s="49">
        <f>'Avg Week Masaka-Mbarara'!E97+'Avg Week Mbarara-Masaka'!E97</f>
        <v>0.5</v>
      </c>
      <c r="F97" s="49">
        <f>'Avg Week Masaka-Mbarara'!F97+'Avg Week Mbarara-Masaka'!F97</f>
        <v>0</v>
      </c>
      <c r="G97" s="49">
        <f>'Avg Week Masaka-Mbarara'!G97+'Avg Week Mbarara-Masaka'!G97</f>
        <v>0</v>
      </c>
      <c r="H97" s="49">
        <f>'Avg Week Masaka-Mbarara'!H97+'Avg Week Mbarara-Masaka'!H97</f>
        <v>3</v>
      </c>
      <c r="I97" s="49">
        <f>'Avg Week Masaka-Mbarara'!I97+'Avg Week Mbarara-Masaka'!I97</f>
        <v>2</v>
      </c>
      <c r="J97" s="49">
        <f>'Avg Week Masaka-Mbarara'!J97+'Avg Week Mbarara-Masaka'!J97</f>
        <v>4</v>
      </c>
      <c r="K97" s="49">
        <f>'Avg Week Masaka-Mbarara'!K97+'Avg Week Mbarara-Masaka'!K97</f>
        <v>4.5</v>
      </c>
      <c r="L97" s="49">
        <f>'Avg Week Masaka-Mbarara'!L97+'Avg Week Mbarara-Masaka'!L97</f>
        <v>0.5</v>
      </c>
      <c r="M97" s="49">
        <f>'Avg Week Masaka-Mbarara'!M97+'Avg Week Mbarara-Masaka'!M97</f>
        <v>5.5</v>
      </c>
      <c r="N97" s="49">
        <f>'Avg Week Masaka-Mbarara'!N97+'Avg Week Mbarara-Masaka'!N97</f>
        <v>0</v>
      </c>
      <c r="O97" s="15">
        <f t="shared" si="35"/>
        <v>19.5</v>
      </c>
      <c r="P97" s="15">
        <f t="shared" si="36"/>
        <v>25</v>
      </c>
      <c r="R97" s="8"/>
      <c r="T97"/>
    </row>
    <row r="98" spans="2:20" ht="23.1" customHeight="1" x14ac:dyDescent="0.25">
      <c r="B98" s="24" t="s">
        <v>138</v>
      </c>
      <c r="C98" s="49">
        <f>'Avg Week Masaka-Mbarara'!C98+'Avg Week Mbarara-Masaka'!C98</f>
        <v>1</v>
      </c>
      <c r="D98" s="49">
        <f>'Avg Week Masaka-Mbarara'!D98+'Avg Week Mbarara-Masaka'!D98</f>
        <v>1</v>
      </c>
      <c r="E98" s="49">
        <f>'Avg Week Masaka-Mbarara'!E98+'Avg Week Mbarara-Masaka'!E98</f>
        <v>0.5</v>
      </c>
      <c r="F98" s="49">
        <f>'Avg Week Masaka-Mbarara'!F98+'Avg Week Mbarara-Masaka'!F98</f>
        <v>3</v>
      </c>
      <c r="G98" s="49">
        <f>'Avg Week Masaka-Mbarara'!G98+'Avg Week Mbarara-Masaka'!G98</f>
        <v>0</v>
      </c>
      <c r="H98" s="49">
        <f>'Avg Week Masaka-Mbarara'!H98+'Avg Week Mbarara-Masaka'!H98</f>
        <v>2</v>
      </c>
      <c r="I98" s="49">
        <f>'Avg Week Masaka-Mbarara'!I98+'Avg Week Mbarara-Masaka'!I98</f>
        <v>1</v>
      </c>
      <c r="J98" s="49">
        <f>'Avg Week Masaka-Mbarara'!J98+'Avg Week Mbarara-Masaka'!J98</f>
        <v>2.5</v>
      </c>
      <c r="K98" s="49">
        <f>'Avg Week Masaka-Mbarara'!K98+'Avg Week Mbarara-Masaka'!K98</f>
        <v>1.5</v>
      </c>
      <c r="L98" s="49">
        <f>'Avg Week Masaka-Mbarara'!L98+'Avg Week Mbarara-Masaka'!L98</f>
        <v>1</v>
      </c>
      <c r="M98" s="49">
        <f>'Avg Week Masaka-Mbarara'!M98+'Avg Week Mbarara-Masaka'!M98</f>
        <v>3</v>
      </c>
      <c r="N98" s="49">
        <f>'Avg Week Masaka-Mbarara'!N98+'Avg Week Mbarara-Masaka'!N98</f>
        <v>0</v>
      </c>
      <c r="O98" s="15">
        <f t="shared" si="35"/>
        <v>13.5</v>
      </c>
      <c r="P98" s="15">
        <f t="shared" si="36"/>
        <v>16.5</v>
      </c>
      <c r="R98" s="8"/>
      <c r="T98"/>
    </row>
    <row r="99" spans="2:20" ht="23.1" customHeight="1" x14ac:dyDescent="0.25">
      <c r="B99" s="23" t="s">
        <v>139</v>
      </c>
      <c r="C99" s="49">
        <f>'Avg Week Masaka-Mbarara'!C99+'Avg Week Mbarara-Masaka'!C99</f>
        <v>1</v>
      </c>
      <c r="D99" s="49">
        <f>'Avg Week Masaka-Mbarara'!D99+'Avg Week Mbarara-Masaka'!D99</f>
        <v>1</v>
      </c>
      <c r="E99" s="49">
        <f>'Avg Week Masaka-Mbarara'!E99+'Avg Week Mbarara-Masaka'!E99</f>
        <v>0.5</v>
      </c>
      <c r="F99" s="49">
        <f>'Avg Week Masaka-Mbarara'!F99+'Avg Week Mbarara-Masaka'!F99</f>
        <v>2</v>
      </c>
      <c r="G99" s="49">
        <f>'Avg Week Masaka-Mbarara'!G99+'Avg Week Mbarara-Masaka'!G99</f>
        <v>0.5</v>
      </c>
      <c r="H99" s="49">
        <f>'Avg Week Masaka-Mbarara'!H99+'Avg Week Mbarara-Masaka'!H99</f>
        <v>1.5</v>
      </c>
      <c r="I99" s="49">
        <f>'Avg Week Masaka-Mbarara'!I99+'Avg Week Mbarara-Masaka'!I99</f>
        <v>0.5</v>
      </c>
      <c r="J99" s="49">
        <f>'Avg Week Masaka-Mbarara'!J99+'Avg Week Mbarara-Masaka'!J99</f>
        <v>4.5</v>
      </c>
      <c r="K99" s="49">
        <f>'Avg Week Masaka-Mbarara'!K99+'Avg Week Mbarara-Masaka'!K99</f>
        <v>3.5</v>
      </c>
      <c r="L99" s="49">
        <f>'Avg Week Masaka-Mbarara'!L99+'Avg Week Mbarara-Masaka'!L99</f>
        <v>0</v>
      </c>
      <c r="M99" s="49">
        <f>'Avg Week Masaka-Mbarara'!M99+'Avg Week Mbarara-Masaka'!M99</f>
        <v>3.5</v>
      </c>
      <c r="N99" s="49">
        <f>'Avg Week Masaka-Mbarara'!N99+'Avg Week Mbarara-Masaka'!N99</f>
        <v>0</v>
      </c>
      <c r="O99" s="15">
        <f t="shared" si="35"/>
        <v>15</v>
      </c>
      <c r="P99" s="15">
        <f t="shared" si="36"/>
        <v>18.5</v>
      </c>
      <c r="R99" s="8"/>
      <c r="T99"/>
    </row>
    <row r="100" spans="2:20" ht="23.1" customHeight="1" x14ac:dyDescent="0.25">
      <c r="B100" s="25" t="s">
        <v>140</v>
      </c>
      <c r="C100" s="49">
        <f>'Avg Week Masaka-Mbarara'!C100+'Avg Week Mbarara-Masaka'!C100</f>
        <v>2</v>
      </c>
      <c r="D100" s="49">
        <f>'Avg Week Masaka-Mbarara'!D100+'Avg Week Mbarara-Masaka'!D100</f>
        <v>1</v>
      </c>
      <c r="E100" s="49">
        <f>'Avg Week Masaka-Mbarara'!E100+'Avg Week Mbarara-Masaka'!E100</f>
        <v>1.5</v>
      </c>
      <c r="F100" s="49">
        <f>'Avg Week Masaka-Mbarara'!F100+'Avg Week Mbarara-Masaka'!F100</f>
        <v>3.5</v>
      </c>
      <c r="G100" s="49">
        <f>'Avg Week Masaka-Mbarara'!G100+'Avg Week Mbarara-Masaka'!G100</f>
        <v>0.5</v>
      </c>
      <c r="H100" s="49">
        <f>'Avg Week Masaka-Mbarara'!H100+'Avg Week Mbarara-Masaka'!H100</f>
        <v>3</v>
      </c>
      <c r="I100" s="49">
        <f>'Avg Week Masaka-Mbarara'!I100+'Avg Week Mbarara-Masaka'!I100</f>
        <v>0</v>
      </c>
      <c r="J100" s="49">
        <f>'Avg Week Masaka-Mbarara'!J100+'Avg Week Mbarara-Masaka'!J100</f>
        <v>4.5</v>
      </c>
      <c r="K100" s="49">
        <f>'Avg Week Masaka-Mbarara'!K100+'Avg Week Mbarara-Masaka'!K100</f>
        <v>5</v>
      </c>
      <c r="L100" s="49">
        <f>'Avg Week Masaka-Mbarara'!L100+'Avg Week Mbarara-Masaka'!L100</f>
        <v>0.5</v>
      </c>
      <c r="M100" s="49">
        <f>'Avg Week Masaka-Mbarara'!M100+'Avg Week Mbarara-Masaka'!M100</f>
        <v>3</v>
      </c>
      <c r="N100" s="49">
        <f>'Avg Week Masaka-Mbarara'!N100+'Avg Week Mbarara-Masaka'!N100</f>
        <v>0</v>
      </c>
      <c r="O100" s="15">
        <f t="shared" si="35"/>
        <v>21.5</v>
      </c>
      <c r="P100" s="15">
        <f t="shared" si="36"/>
        <v>24.5</v>
      </c>
      <c r="R100" s="8"/>
      <c r="T100"/>
    </row>
    <row r="101" spans="2:20" ht="23.1" customHeight="1" x14ac:dyDescent="0.25">
      <c r="B101" s="23" t="s">
        <v>141</v>
      </c>
      <c r="C101" s="49">
        <f>'Avg Week Masaka-Mbarara'!C101+'Avg Week Mbarara-Masaka'!C101</f>
        <v>3.5</v>
      </c>
      <c r="D101" s="49">
        <f>'Avg Week Masaka-Mbarara'!D101+'Avg Week Mbarara-Masaka'!D101</f>
        <v>1</v>
      </c>
      <c r="E101" s="49">
        <f>'Avg Week Masaka-Mbarara'!E101+'Avg Week Mbarara-Masaka'!E101</f>
        <v>1.5</v>
      </c>
      <c r="F101" s="49">
        <f>'Avg Week Masaka-Mbarara'!F101+'Avg Week Mbarara-Masaka'!F101</f>
        <v>2.5</v>
      </c>
      <c r="G101" s="49">
        <f>'Avg Week Masaka-Mbarara'!G101+'Avg Week Mbarara-Masaka'!G101</f>
        <v>0</v>
      </c>
      <c r="H101" s="49">
        <f>'Avg Week Masaka-Mbarara'!H101+'Avg Week Mbarara-Masaka'!H101</f>
        <v>1</v>
      </c>
      <c r="I101" s="49">
        <f>'Avg Week Masaka-Mbarara'!I101+'Avg Week Mbarara-Masaka'!I101</f>
        <v>1</v>
      </c>
      <c r="J101" s="49">
        <f>'Avg Week Masaka-Mbarara'!J101+'Avg Week Mbarara-Masaka'!J101</f>
        <v>0.5</v>
      </c>
      <c r="K101" s="49">
        <f>'Avg Week Masaka-Mbarara'!K101+'Avg Week Mbarara-Masaka'!K101</f>
        <v>1</v>
      </c>
      <c r="L101" s="49">
        <f>'Avg Week Masaka-Mbarara'!L101+'Avg Week Mbarara-Masaka'!L101</f>
        <v>0.5</v>
      </c>
      <c r="M101" s="49">
        <f>'Avg Week Masaka-Mbarara'!M101+'Avg Week Mbarara-Masaka'!M101</f>
        <v>1.5</v>
      </c>
      <c r="N101" s="49">
        <f>'Avg Week Masaka-Mbarara'!N101+'Avg Week Mbarara-Masaka'!N101</f>
        <v>0</v>
      </c>
      <c r="O101" s="15">
        <f t="shared" si="35"/>
        <v>12.5</v>
      </c>
      <c r="P101" s="15">
        <f t="shared" si="36"/>
        <v>14</v>
      </c>
      <c r="R101" s="8"/>
      <c r="T101"/>
    </row>
    <row r="102" spans="2:20" ht="23.1" customHeight="1" x14ac:dyDescent="0.25">
      <c r="B102" s="24" t="s">
        <v>142</v>
      </c>
      <c r="C102" s="49">
        <f>'Avg Week Masaka-Mbarara'!C102+'Avg Week Mbarara-Masaka'!C102</f>
        <v>2.5</v>
      </c>
      <c r="D102" s="49">
        <f>'Avg Week Masaka-Mbarara'!D102+'Avg Week Mbarara-Masaka'!D102</f>
        <v>1</v>
      </c>
      <c r="E102" s="49">
        <f>'Avg Week Masaka-Mbarara'!E102+'Avg Week Mbarara-Masaka'!E102</f>
        <v>0</v>
      </c>
      <c r="F102" s="49">
        <f>'Avg Week Masaka-Mbarara'!F102+'Avg Week Mbarara-Masaka'!F102</f>
        <v>0.5</v>
      </c>
      <c r="G102" s="49">
        <f>'Avg Week Masaka-Mbarara'!G102+'Avg Week Mbarara-Masaka'!G102</f>
        <v>0</v>
      </c>
      <c r="H102" s="49">
        <f>'Avg Week Masaka-Mbarara'!H102+'Avg Week Mbarara-Masaka'!H102</f>
        <v>0</v>
      </c>
      <c r="I102" s="49">
        <f>'Avg Week Masaka-Mbarara'!I102+'Avg Week Mbarara-Masaka'!I102</f>
        <v>0.5</v>
      </c>
      <c r="J102" s="49">
        <f>'Avg Week Masaka-Mbarara'!J102+'Avg Week Mbarara-Masaka'!J102</f>
        <v>1.5</v>
      </c>
      <c r="K102" s="49">
        <f>'Avg Week Masaka-Mbarara'!K102+'Avg Week Mbarara-Masaka'!K102</f>
        <v>2</v>
      </c>
      <c r="L102" s="49">
        <f>'Avg Week Masaka-Mbarara'!L102+'Avg Week Mbarara-Masaka'!L102</f>
        <v>0</v>
      </c>
      <c r="M102" s="49">
        <f>'Avg Week Masaka-Mbarara'!M102+'Avg Week Mbarara-Masaka'!M102</f>
        <v>1</v>
      </c>
      <c r="N102" s="49">
        <f>'Avg Week Masaka-Mbarara'!N102+'Avg Week Mbarara-Masaka'!N102</f>
        <v>0</v>
      </c>
      <c r="O102" s="15">
        <f t="shared" si="35"/>
        <v>8</v>
      </c>
      <c r="P102" s="15">
        <f t="shared" si="36"/>
        <v>9</v>
      </c>
      <c r="R102" s="8"/>
      <c r="T102"/>
    </row>
    <row r="103" spans="2:20" ht="23.1" customHeight="1" x14ac:dyDescent="0.25">
      <c r="B103" s="23" t="s">
        <v>143</v>
      </c>
      <c r="C103" s="49">
        <f>'Avg Week Masaka-Mbarara'!C103+'Avg Week Mbarara-Masaka'!C103</f>
        <v>5.5</v>
      </c>
      <c r="D103" s="49">
        <f>'Avg Week Masaka-Mbarara'!D103+'Avg Week Mbarara-Masaka'!D103</f>
        <v>1</v>
      </c>
      <c r="E103" s="49">
        <f>'Avg Week Masaka-Mbarara'!E103+'Avg Week Mbarara-Masaka'!E103</f>
        <v>0.5</v>
      </c>
      <c r="F103" s="49">
        <f>'Avg Week Masaka-Mbarara'!F103+'Avg Week Mbarara-Masaka'!F103</f>
        <v>4.5</v>
      </c>
      <c r="G103" s="49">
        <f>'Avg Week Masaka-Mbarara'!G103+'Avg Week Mbarara-Masaka'!G103</f>
        <v>0</v>
      </c>
      <c r="H103" s="49">
        <f>'Avg Week Masaka-Mbarara'!H103+'Avg Week Mbarara-Masaka'!H103</f>
        <v>1</v>
      </c>
      <c r="I103" s="49">
        <f>'Avg Week Masaka-Mbarara'!I103+'Avg Week Mbarara-Masaka'!I103</f>
        <v>2.5</v>
      </c>
      <c r="J103" s="49">
        <f>'Avg Week Masaka-Mbarara'!J103+'Avg Week Mbarara-Masaka'!J103</f>
        <v>3</v>
      </c>
      <c r="K103" s="49">
        <f>'Avg Week Masaka-Mbarara'!K103+'Avg Week Mbarara-Masaka'!K103</f>
        <v>7</v>
      </c>
      <c r="L103" s="49">
        <f>'Avg Week Masaka-Mbarara'!L103+'Avg Week Mbarara-Masaka'!L103</f>
        <v>0</v>
      </c>
      <c r="M103" s="49">
        <f>'Avg Week Masaka-Mbarara'!M103+'Avg Week Mbarara-Masaka'!M103</f>
        <v>4</v>
      </c>
      <c r="N103" s="49">
        <f>'Avg Week Masaka-Mbarara'!N103+'Avg Week Mbarara-Masaka'!N103</f>
        <v>0</v>
      </c>
      <c r="O103" s="15">
        <f t="shared" si="35"/>
        <v>25</v>
      </c>
      <c r="P103" s="15">
        <f t="shared" si="36"/>
        <v>29</v>
      </c>
      <c r="R103" s="8"/>
      <c r="T103"/>
    </row>
    <row r="104" spans="2:20" ht="23.1" customHeight="1" x14ac:dyDescent="0.25">
      <c r="B104" s="25" t="s">
        <v>144</v>
      </c>
      <c r="C104" s="49">
        <f>'Avg Week Masaka-Mbarara'!C104+'Avg Week Mbarara-Masaka'!C104</f>
        <v>8.5</v>
      </c>
      <c r="D104" s="49">
        <f>'Avg Week Masaka-Mbarara'!D104+'Avg Week Mbarara-Masaka'!D104</f>
        <v>1</v>
      </c>
      <c r="E104" s="49">
        <f>'Avg Week Masaka-Mbarara'!E104+'Avg Week Mbarara-Masaka'!E104</f>
        <v>1</v>
      </c>
      <c r="F104" s="49">
        <f>'Avg Week Masaka-Mbarara'!F104+'Avg Week Mbarara-Masaka'!F104</f>
        <v>4</v>
      </c>
      <c r="G104" s="49">
        <f>'Avg Week Masaka-Mbarara'!G104+'Avg Week Mbarara-Masaka'!G104</f>
        <v>0</v>
      </c>
      <c r="H104" s="49">
        <f>'Avg Week Masaka-Mbarara'!H104+'Avg Week Mbarara-Masaka'!H104</f>
        <v>0.5</v>
      </c>
      <c r="I104" s="49">
        <f>'Avg Week Masaka-Mbarara'!I104+'Avg Week Mbarara-Masaka'!I104</f>
        <v>2</v>
      </c>
      <c r="J104" s="49">
        <f>'Avg Week Masaka-Mbarara'!J104+'Avg Week Mbarara-Masaka'!J104</f>
        <v>1.5</v>
      </c>
      <c r="K104" s="49">
        <f>'Avg Week Masaka-Mbarara'!K104+'Avg Week Mbarara-Masaka'!K104</f>
        <v>5</v>
      </c>
      <c r="L104" s="49">
        <f>'Avg Week Masaka-Mbarara'!L104+'Avg Week Mbarara-Masaka'!L104</f>
        <v>0</v>
      </c>
      <c r="M104" s="49">
        <f>'Avg Week Masaka-Mbarara'!M104+'Avg Week Mbarara-Masaka'!M104</f>
        <v>9</v>
      </c>
      <c r="N104" s="49">
        <f>'Avg Week Masaka-Mbarara'!N104+'Avg Week Mbarara-Masaka'!N104</f>
        <v>0</v>
      </c>
      <c r="O104" s="15">
        <f t="shared" si="35"/>
        <v>23.5</v>
      </c>
      <c r="P104" s="15">
        <f t="shared" si="36"/>
        <v>32.5</v>
      </c>
      <c r="R104" s="8"/>
      <c r="T104"/>
    </row>
    <row r="105" spans="2:20" ht="23.1" customHeight="1" x14ac:dyDescent="0.25">
      <c r="B105" s="23" t="s">
        <v>145</v>
      </c>
      <c r="C105" s="49">
        <f>'Avg Week Masaka-Mbarara'!C105+'Avg Week Mbarara-Masaka'!C105</f>
        <v>9.5</v>
      </c>
      <c r="D105" s="49">
        <f>'Avg Week Masaka-Mbarara'!D105+'Avg Week Mbarara-Masaka'!D105</f>
        <v>0.5</v>
      </c>
      <c r="E105" s="49">
        <f>'Avg Week Masaka-Mbarara'!E105+'Avg Week Mbarara-Masaka'!E105</f>
        <v>4.5</v>
      </c>
      <c r="F105" s="49">
        <f>'Avg Week Masaka-Mbarara'!F105+'Avg Week Mbarara-Masaka'!F105</f>
        <v>6.5</v>
      </c>
      <c r="G105" s="49">
        <f>'Avg Week Masaka-Mbarara'!G105+'Avg Week Mbarara-Masaka'!G105</f>
        <v>0</v>
      </c>
      <c r="H105" s="49">
        <f>'Avg Week Masaka-Mbarara'!H105+'Avg Week Mbarara-Masaka'!H105</f>
        <v>0.5</v>
      </c>
      <c r="I105" s="49">
        <f>'Avg Week Masaka-Mbarara'!I105+'Avg Week Mbarara-Masaka'!I105</f>
        <v>2.5</v>
      </c>
      <c r="J105" s="49">
        <f>'Avg Week Masaka-Mbarara'!J105+'Avg Week Mbarara-Masaka'!J105</f>
        <v>2</v>
      </c>
      <c r="K105" s="49">
        <f>'Avg Week Masaka-Mbarara'!K105+'Avg Week Mbarara-Masaka'!K105</f>
        <v>5</v>
      </c>
      <c r="L105" s="49">
        <f>'Avg Week Masaka-Mbarara'!L105+'Avg Week Mbarara-Masaka'!L105</f>
        <v>0</v>
      </c>
      <c r="M105" s="49">
        <f>'Avg Week Masaka-Mbarara'!M105+'Avg Week Mbarara-Masaka'!M105</f>
        <v>20</v>
      </c>
      <c r="N105" s="49">
        <f>'Avg Week Masaka-Mbarara'!N105+'Avg Week Mbarara-Masaka'!N105</f>
        <v>0</v>
      </c>
      <c r="O105" s="15">
        <f t="shared" si="35"/>
        <v>31</v>
      </c>
      <c r="P105" s="15">
        <f t="shared" si="36"/>
        <v>51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1201.9285714285716</v>
      </c>
      <c r="D106" s="16">
        <f t="shared" ref="D106:P106" si="37">SUM(D10:D105)</f>
        <v>485.85714285714272</v>
      </c>
      <c r="E106" s="16">
        <f t="shared" si="37"/>
        <v>313.71428571428572</v>
      </c>
      <c r="F106" s="16">
        <f t="shared" si="37"/>
        <v>591.28571428571433</v>
      </c>
      <c r="G106" s="16">
        <f t="shared" si="37"/>
        <v>41.928571428571431</v>
      </c>
      <c r="H106" s="16">
        <f t="shared" si="37"/>
        <v>235</v>
      </c>
      <c r="I106" s="16">
        <f t="shared" si="37"/>
        <v>302.78571428571428</v>
      </c>
      <c r="J106" s="16">
        <f t="shared" si="37"/>
        <v>441.42857142857144</v>
      </c>
      <c r="K106" s="16">
        <f t="shared" si="37"/>
        <v>414.85714285714289</v>
      </c>
      <c r="L106" s="16">
        <f t="shared" si="37"/>
        <v>52.142857142857139</v>
      </c>
      <c r="M106" s="16">
        <f t="shared" si="37"/>
        <v>1613.4999999999998</v>
      </c>
      <c r="N106" s="16">
        <f t="shared" si="37"/>
        <v>0.14285714285714285</v>
      </c>
      <c r="O106" s="16">
        <f t="shared" si="37"/>
        <v>4081.0714285714289</v>
      </c>
      <c r="P106" s="16">
        <f t="shared" si="37"/>
        <v>5694.5714285714284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0.21106567658421557</v>
      </c>
      <c r="D107" s="43">
        <f t="shared" si="38"/>
        <v>8.531935176358435E-2</v>
      </c>
      <c r="E107" s="43">
        <f t="shared" si="38"/>
        <v>5.5090060709447594E-2</v>
      </c>
      <c r="F107" s="43">
        <f t="shared" si="38"/>
        <v>0.10383322462495612</v>
      </c>
      <c r="G107" s="43">
        <f t="shared" si="38"/>
        <v>7.3629020119411973E-3</v>
      </c>
      <c r="H107" s="43">
        <f t="shared" si="38"/>
        <v>4.1267372434900404E-2</v>
      </c>
      <c r="I107" s="43">
        <f t="shared" si="38"/>
        <v>5.3170939742110283E-2</v>
      </c>
      <c r="J107" s="43">
        <f t="shared" si="38"/>
        <v>7.7517435151271893E-2</v>
      </c>
      <c r="K107" s="43">
        <f t="shared" si="38"/>
        <v>7.2851337113039996E-2</v>
      </c>
      <c r="L107" s="43">
        <f t="shared" si="38"/>
        <v>9.1565902363152877E-3</v>
      </c>
      <c r="M107" s="43">
        <f t="shared" si="38"/>
        <v>0.28334002307962469</v>
      </c>
      <c r="N107" s="43">
        <f t="shared" si="38"/>
        <v>2.5086548592644622E-5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0.29451299553688631</v>
      </c>
      <c r="D108" s="44">
        <f t="shared" ref="D108:N108" si="39">D106/$O$106</f>
        <v>0.11905136956331491</v>
      </c>
      <c r="E108" s="44">
        <f t="shared" si="39"/>
        <v>7.687056970333421E-2</v>
      </c>
      <c r="F108" s="44">
        <f t="shared" si="39"/>
        <v>0.14488492167673056</v>
      </c>
      <c r="G108" s="44">
        <f t="shared" si="39"/>
        <v>1.0273912662991162E-2</v>
      </c>
      <c r="H108" s="44">
        <f t="shared" si="39"/>
        <v>5.7582917651177033E-2</v>
      </c>
      <c r="I108" s="44">
        <f t="shared" si="39"/>
        <v>7.4192701496455751E-2</v>
      </c>
      <c r="J108" s="44">
        <f t="shared" si="39"/>
        <v>0.10816487266999211</v>
      </c>
      <c r="K108" s="44">
        <f t="shared" si="39"/>
        <v>0.10165397742189551</v>
      </c>
      <c r="L108" s="44">
        <f t="shared" si="39"/>
        <v>1.2776756804060556E-2</v>
      </c>
      <c r="M108" s="44"/>
      <c r="N108" s="44">
        <f t="shared" si="39"/>
        <v>3.5004813161809744E-5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17.10 MASAKA-MBARARA</vt:lpstr>
      <vt:lpstr>17.10 MBARARA-MASAKA</vt:lpstr>
      <vt:lpstr>18.10 MASAKA-MBARARA-24H</vt:lpstr>
      <vt:lpstr>18.10 MBARARA-MASAKA-24H</vt:lpstr>
      <vt:lpstr>19.10 MASAKA-MBARARA-24H</vt:lpstr>
      <vt:lpstr>19.10 MBARARA-MASAKA-24H</vt:lpstr>
      <vt:lpstr>20.10 MASAKA-MBARARA</vt:lpstr>
      <vt:lpstr>20.10 MBARARA-MASAKA</vt:lpstr>
      <vt:lpstr>21.10 MASAKA-MBARARA</vt:lpstr>
      <vt:lpstr>21.10 MBARARA- MASAKA</vt:lpstr>
      <vt:lpstr>22.10 MASAKA-MBARARA</vt:lpstr>
      <vt:lpstr>22.10 MBARARA-MASAKA</vt:lpstr>
      <vt:lpstr>23.10 MASAKA-MBARARA</vt:lpstr>
      <vt:lpstr>23.10 MBARARA-MASAKA</vt:lpstr>
      <vt:lpstr>Avg Week Masaka-Mbarara</vt:lpstr>
      <vt:lpstr>Avg Week Mbarara-Masaka</vt:lpstr>
      <vt:lpstr>Avg Week Masaka-Mbarara-2Dir</vt:lpstr>
      <vt:lpstr>'17.10 MASAKA-MBARARA'!Print_Area</vt:lpstr>
      <vt:lpstr>'17.10 MBARARA-MASAKA'!Print_Area</vt:lpstr>
      <vt:lpstr>'18.10 MASAKA-MBARARA-24H'!Print_Area</vt:lpstr>
      <vt:lpstr>'18.10 MBARARA-MASAKA-24H'!Print_Area</vt:lpstr>
      <vt:lpstr>'19.10 MASAKA-MBARARA-24H'!Print_Area</vt:lpstr>
      <vt:lpstr>'19.10 MBARARA-MASAKA-24H'!Print_Area</vt:lpstr>
      <vt:lpstr>'20.10 MASAKA-MBARARA'!Print_Area</vt:lpstr>
      <vt:lpstr>'20.10 MBARARA-MASAKA'!Print_Area</vt:lpstr>
      <vt:lpstr>'21.10 MASAKA-MBARARA'!Print_Area</vt:lpstr>
      <vt:lpstr>'21.10 MBARARA- MASAKA'!Print_Area</vt:lpstr>
      <vt:lpstr>'22.10 MASAKA-MBARARA'!Print_Area</vt:lpstr>
      <vt:lpstr>'22.10 MBARARA-MASAKA'!Print_Area</vt:lpstr>
      <vt:lpstr>'23.10 MASAKA-MBARARA'!Print_Area</vt:lpstr>
      <vt:lpstr>'23.10 MBARARA-MASAKA'!Print_Area</vt:lpstr>
      <vt:lpstr>'Avg Week Masaka-Mbarara'!Print_Area</vt:lpstr>
      <vt:lpstr>'Avg Week Masaka-Mbarara-2Dir'!Print_Area</vt:lpstr>
      <vt:lpstr>'Avg Week Mbarara-Masaka'!Print_Area</vt:lpstr>
      <vt:lpstr>'17.10 MASAKA-MBARARA'!Print_Titles</vt:lpstr>
      <vt:lpstr>'17.10 MBARARA-MASAKA'!Print_Titles</vt:lpstr>
      <vt:lpstr>'18.10 MASAKA-MBARARA-24H'!Print_Titles</vt:lpstr>
      <vt:lpstr>'18.10 MBARARA-MASAKA-24H'!Print_Titles</vt:lpstr>
      <vt:lpstr>'19.10 MASAKA-MBARARA-24H'!Print_Titles</vt:lpstr>
      <vt:lpstr>'19.10 MBARARA-MASAKA-24H'!Print_Titles</vt:lpstr>
      <vt:lpstr>'20.10 MASAKA-MBARARA'!Print_Titles</vt:lpstr>
      <vt:lpstr>'20.10 MBARARA-MASAKA'!Print_Titles</vt:lpstr>
      <vt:lpstr>'21.10 MASAKA-MBARARA'!Print_Titles</vt:lpstr>
      <vt:lpstr>'21.10 MBARARA- MASAKA'!Print_Titles</vt:lpstr>
      <vt:lpstr>'22.10 MASAKA-MBARARA'!Print_Titles</vt:lpstr>
      <vt:lpstr>'22.10 MBARARA-MASAKA'!Print_Titles</vt:lpstr>
      <vt:lpstr>'23.10 MASAKA-MBARARA'!Print_Titles</vt:lpstr>
      <vt:lpstr>'23.10 MBARARA-MASAKA'!Print_Titles</vt:lpstr>
      <vt:lpstr>'Avg Week Masaka-Mbarara'!Print_Titles</vt:lpstr>
      <vt:lpstr>'Avg Week Masaka-Mbarara-2Dir'!Print_Titles</vt:lpstr>
      <vt:lpstr>'Avg Week Mbarara-Masaka'!Print_Titles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st</cp:lastModifiedBy>
  <cp:lastPrinted>2019-07-25T18:18:41Z</cp:lastPrinted>
  <dcterms:created xsi:type="dcterms:W3CDTF">2010-07-06T07:39:49Z</dcterms:created>
  <dcterms:modified xsi:type="dcterms:W3CDTF">2019-11-29T06:17:08Z</dcterms:modified>
</cp:coreProperties>
</file>