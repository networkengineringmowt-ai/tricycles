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\Desktop\C-3 Analysis   Complete-Steve\STN93 JINJA-BUWENGE\MCC\"/>
    </mc:Choice>
  </mc:AlternateContent>
  <bookViews>
    <workbookView xWindow="-120" yWindow="-120" windowWidth="20730" windowHeight="11160" tabRatio="913" firstSheet="13" activeTab="16"/>
  </bookViews>
  <sheets>
    <sheet name="12.08 Buwenge-Jinja" sheetId="93" r:id="rId1"/>
    <sheet name="12.08 Jinja-Buwenge" sheetId="94" r:id="rId2"/>
    <sheet name="13.08 Buwenge-Jinja" sheetId="95" r:id="rId3"/>
    <sheet name="13.08 Jinja-Buwenge" sheetId="96" r:id="rId4"/>
    <sheet name="14.08 Buwenge-Jinja" sheetId="97" r:id="rId5"/>
    <sheet name="14.08 Jinja-Buwenge" sheetId="98" r:id="rId6"/>
    <sheet name="15.08 Buwenge-Jinja" sheetId="99" r:id="rId7"/>
    <sheet name="15.08 Jinja-Buwenge" sheetId="100" r:id="rId8"/>
    <sheet name="16.08 Buwenge-Jinja-24h" sheetId="101" r:id="rId9"/>
    <sheet name="16.08 Jinja-Buwenge-24h" sheetId="109" r:id="rId10"/>
    <sheet name="17.08 Buwenge-Jinja-24h" sheetId="105" r:id="rId11"/>
    <sheet name="17.08 Jinja-Buwenge-24h" sheetId="110" r:id="rId12"/>
    <sheet name="18.08 Buwenge-Jinja" sheetId="103" r:id="rId13"/>
    <sheet name="18.08 Jinja-Buwenge" sheetId="104" r:id="rId14"/>
    <sheet name="Avg Week Buwenge-Jinja" sheetId="107" r:id="rId15"/>
    <sheet name="Avg Week Jinja-Buwenge" sheetId="108" r:id="rId16"/>
    <sheet name="Avg Week Buwenge-Jinja-2Dir" sheetId="111" r:id="rId17"/>
  </sheets>
  <externalReferences>
    <externalReference r:id="rId18"/>
  </externalReferences>
  <definedNames>
    <definedName name="_xlnm.Print_Area" localSheetId="0">'12.08 Buwenge-Jinja'!$A$1:$AF$60</definedName>
    <definedName name="_xlnm.Print_Area" localSheetId="1">'12.08 Jinja-Buwenge'!$A$1:$AF$60</definedName>
    <definedName name="_xlnm.Print_Area" localSheetId="2">'13.08 Buwenge-Jinja'!$A$1:$AF$60</definedName>
    <definedName name="_xlnm.Print_Area" localSheetId="3">'13.08 Jinja-Buwenge'!$A$1:$AF$60</definedName>
    <definedName name="_xlnm.Print_Area" localSheetId="4">'14.08 Buwenge-Jinja'!$A$1:$AF$60</definedName>
    <definedName name="_xlnm.Print_Area" localSheetId="5">'14.08 Jinja-Buwenge'!$A$1:$AF$60</definedName>
    <definedName name="_xlnm.Print_Area" localSheetId="6">'15.08 Buwenge-Jinja'!$A$1:$AF$60</definedName>
    <definedName name="_xlnm.Print_Area" localSheetId="7">'15.08 Jinja-Buwenge'!$A$1:$AF$60</definedName>
    <definedName name="_xlnm.Print_Area" localSheetId="8">'16.08 Buwenge-Jinja-24h'!$A$1:$AF$108</definedName>
    <definedName name="_xlnm.Print_Area" localSheetId="9">'16.08 Jinja-Buwenge-24h'!$A$1:$AF$108</definedName>
    <definedName name="_xlnm.Print_Area" localSheetId="10">'17.08 Buwenge-Jinja-24h'!$A$1:$AF$108</definedName>
    <definedName name="_xlnm.Print_Area" localSheetId="11">'17.08 Jinja-Buwenge-24h'!$A$1:$AF$108</definedName>
    <definedName name="_xlnm.Print_Area" localSheetId="12">'18.08 Buwenge-Jinja'!$A$1:$AF$60</definedName>
    <definedName name="_xlnm.Print_Area" localSheetId="13">'18.08 Jinja-Buwenge'!$A$1:$AF$60</definedName>
    <definedName name="_xlnm.Print_Area" localSheetId="14">'Avg Week Buwenge-Jinja'!$A$1:$AF$108</definedName>
    <definedName name="_xlnm.Print_Area" localSheetId="16">'Avg Week Buwenge-Jinja-2Dir'!$A$1:$AF$108</definedName>
    <definedName name="_xlnm.Print_Area" localSheetId="15">'Avg Week Jinja-Buwenge'!$A$1:$AF$108</definedName>
    <definedName name="_xlnm.Print_Titles" localSheetId="0">'12.08 Buwenge-Jinja'!$1:$8</definedName>
    <definedName name="_xlnm.Print_Titles" localSheetId="1">'12.08 Jinja-Buwenge'!$1:$8</definedName>
    <definedName name="_xlnm.Print_Titles" localSheetId="2">'13.08 Buwenge-Jinja'!$1:$8</definedName>
    <definedName name="_xlnm.Print_Titles" localSheetId="3">'13.08 Jinja-Buwenge'!$1:$8</definedName>
    <definedName name="_xlnm.Print_Titles" localSheetId="4">'14.08 Buwenge-Jinja'!$1:$8</definedName>
    <definedName name="_xlnm.Print_Titles" localSheetId="5">'14.08 Jinja-Buwenge'!$1:$8</definedName>
    <definedName name="_xlnm.Print_Titles" localSheetId="6">'15.08 Buwenge-Jinja'!$1:$8</definedName>
    <definedName name="_xlnm.Print_Titles" localSheetId="7">'15.08 Jinja-Buwenge'!$1:$8</definedName>
    <definedName name="_xlnm.Print_Titles" localSheetId="8">'16.08 Buwenge-Jinja-24h'!$1:$8</definedName>
    <definedName name="_xlnm.Print_Titles" localSheetId="9">'16.08 Jinja-Buwenge-24h'!$1:$8</definedName>
    <definedName name="_xlnm.Print_Titles" localSheetId="10">'17.08 Buwenge-Jinja-24h'!$1:$8</definedName>
    <definedName name="_xlnm.Print_Titles" localSheetId="11">'17.08 Jinja-Buwenge-24h'!$1:$8</definedName>
    <definedName name="_xlnm.Print_Titles" localSheetId="12">'18.08 Buwenge-Jinja'!$1:$8</definedName>
    <definedName name="_xlnm.Print_Titles" localSheetId="13">'18.08 Jinja-Buwenge'!$1:$8</definedName>
    <definedName name="_xlnm.Print_Titles" localSheetId="14">'Avg Week Buwenge-Jinja'!$1:$8</definedName>
    <definedName name="_xlnm.Print_Titles" localSheetId="16">'Avg Week Buwenge-Jinja-2Dir'!$1:$8</definedName>
    <definedName name="_xlnm.Print_Titles" localSheetId="15">'Avg Week Jinja-Buwenge'!$1:$8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F33" i="108" l="1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AF31" i="108"/>
  <c r="AE31" i="108"/>
  <c r="AD31" i="108"/>
  <c r="AC31" i="108"/>
  <c r="AB31" i="108"/>
  <c r="AA31" i="108"/>
  <c r="Z31" i="108"/>
  <c r="Y31" i="108"/>
  <c r="X31" i="108"/>
  <c r="W31" i="108"/>
  <c r="V31" i="108"/>
  <c r="U31" i="108"/>
  <c r="T31" i="108"/>
  <c r="S31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AF19" i="108"/>
  <c r="AF39" i="108" s="1"/>
  <c r="AE19" i="108"/>
  <c r="AE39" i="108" s="1"/>
  <c r="AD19" i="108"/>
  <c r="AD39" i="108" s="1"/>
  <c r="AC19" i="108"/>
  <c r="AC39" i="108" s="1"/>
  <c r="AB19" i="108"/>
  <c r="AB39" i="108" s="1"/>
  <c r="AA19" i="108"/>
  <c r="AA39" i="108" s="1"/>
  <c r="Z19" i="108"/>
  <c r="Z39" i="108" s="1"/>
  <c r="Y19" i="108"/>
  <c r="Y39" i="108" s="1"/>
  <c r="X19" i="108"/>
  <c r="X39" i="108" s="1"/>
  <c r="W19" i="108"/>
  <c r="W39" i="108" s="1"/>
  <c r="V19" i="108"/>
  <c r="V39" i="108" s="1"/>
  <c r="U19" i="108"/>
  <c r="U39" i="108" s="1"/>
  <c r="T19" i="108"/>
  <c r="T39" i="108" s="1"/>
  <c r="S19" i="108"/>
  <c r="S39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AF14" i="108"/>
  <c r="AE14" i="108"/>
  <c r="AD14" i="108"/>
  <c r="AC14" i="108"/>
  <c r="AB14" i="108"/>
  <c r="AA14" i="108"/>
  <c r="Z14" i="108"/>
  <c r="Y14" i="108"/>
  <c r="X14" i="108"/>
  <c r="W14" i="108"/>
  <c r="V14" i="108"/>
  <c r="U14" i="108"/>
  <c r="T14" i="108"/>
  <c r="S14" i="108"/>
  <c r="AF13" i="108"/>
  <c r="AF38" i="108" s="1"/>
  <c r="AE13" i="108"/>
  <c r="AE38" i="108" s="1"/>
  <c r="AD13" i="108"/>
  <c r="AD38" i="108" s="1"/>
  <c r="AC13" i="108"/>
  <c r="AC38" i="108" s="1"/>
  <c r="AB13" i="108"/>
  <c r="AB38" i="108" s="1"/>
  <c r="AA13" i="108"/>
  <c r="AA38" i="108" s="1"/>
  <c r="Z13" i="108"/>
  <c r="Z38" i="108" s="1"/>
  <c r="Y13" i="108"/>
  <c r="Y38" i="108" s="1"/>
  <c r="X13" i="108"/>
  <c r="X38" i="108" s="1"/>
  <c r="W13" i="108"/>
  <c r="W38" i="108" s="1"/>
  <c r="V13" i="108"/>
  <c r="V38" i="108" s="1"/>
  <c r="U13" i="108"/>
  <c r="U38" i="108" s="1"/>
  <c r="T13" i="108"/>
  <c r="T38" i="108" s="1"/>
  <c r="S13" i="108"/>
  <c r="S38" i="108" s="1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AF11" i="108"/>
  <c r="AE11" i="108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AF10" i="108"/>
  <c r="AF41" i="108" s="1"/>
  <c r="AE10" i="108"/>
  <c r="AE41" i="108" s="1"/>
  <c r="AD10" i="108"/>
  <c r="AD41" i="108" s="1"/>
  <c r="AC10" i="108"/>
  <c r="AC41" i="108" s="1"/>
  <c r="AB10" i="108"/>
  <c r="AB41" i="108" s="1"/>
  <c r="AA10" i="108"/>
  <c r="AA41" i="108" s="1"/>
  <c r="Z10" i="108"/>
  <c r="Z41" i="108" s="1"/>
  <c r="Y10" i="108"/>
  <c r="Y41" i="108" s="1"/>
  <c r="X10" i="108"/>
  <c r="X41" i="108" s="1"/>
  <c r="W10" i="108"/>
  <c r="W41" i="108" s="1"/>
  <c r="V10" i="108"/>
  <c r="V41" i="108" s="1"/>
  <c r="U10" i="108"/>
  <c r="U41" i="108" s="1"/>
  <c r="T10" i="108"/>
  <c r="T41" i="108" s="1"/>
  <c r="S10" i="108"/>
  <c r="S41" i="108" s="1"/>
  <c r="S34" i="108" l="1"/>
  <c r="U34" i="108"/>
  <c r="W34" i="108"/>
  <c r="Y34" i="108"/>
  <c r="AA34" i="108"/>
  <c r="AC34" i="108"/>
  <c r="AE34" i="108"/>
  <c r="S35" i="108"/>
  <c r="U35" i="108"/>
  <c r="W35" i="108"/>
  <c r="Y35" i="108"/>
  <c r="AA35" i="108"/>
  <c r="AC35" i="108"/>
  <c r="AE35" i="108"/>
  <c r="S36" i="108"/>
  <c r="U36" i="108"/>
  <c r="W36" i="108"/>
  <c r="Y36" i="108"/>
  <c r="AA36" i="108"/>
  <c r="AC36" i="108"/>
  <c r="AE36" i="108"/>
  <c r="S37" i="108"/>
  <c r="U37" i="108"/>
  <c r="W37" i="108"/>
  <c r="Y37" i="108"/>
  <c r="AA37" i="108"/>
  <c r="AC37" i="108"/>
  <c r="AE37" i="108"/>
  <c r="S40" i="108"/>
  <c r="S42" i="108" s="1"/>
  <c r="U40" i="108"/>
  <c r="U42" i="108" s="1"/>
  <c r="W40" i="108"/>
  <c r="W42" i="108" s="1"/>
  <c r="Y40" i="108"/>
  <c r="Y42" i="108" s="1"/>
  <c r="AA40" i="108"/>
  <c r="AA42" i="108" s="1"/>
  <c r="AC40" i="108"/>
  <c r="AC42" i="108" s="1"/>
  <c r="AE40" i="108"/>
  <c r="AE42" i="108" s="1"/>
  <c r="T34" i="108"/>
  <c r="V34" i="108"/>
  <c r="X34" i="108"/>
  <c r="Z34" i="108"/>
  <c r="AB34" i="108"/>
  <c r="AD34" i="108"/>
  <c r="AF34" i="108"/>
  <c r="T35" i="108"/>
  <c r="V35" i="108"/>
  <c r="X35" i="108"/>
  <c r="Z35" i="108"/>
  <c r="AB35" i="108"/>
  <c r="AD35" i="108"/>
  <c r="AF35" i="108"/>
  <c r="T36" i="108"/>
  <c r="V36" i="108"/>
  <c r="X36" i="108"/>
  <c r="Z36" i="108"/>
  <c r="AB36" i="108"/>
  <c r="AD36" i="108"/>
  <c r="AF36" i="108"/>
  <c r="T37" i="108"/>
  <c r="V37" i="108"/>
  <c r="X37" i="108"/>
  <c r="Z37" i="108"/>
  <c r="AB37" i="108"/>
  <c r="AD37" i="108"/>
  <c r="AF37" i="108"/>
  <c r="T40" i="108"/>
  <c r="T42" i="108" s="1"/>
  <c r="V40" i="108"/>
  <c r="V42" i="108" s="1"/>
  <c r="X40" i="108"/>
  <c r="X42" i="108" s="1"/>
  <c r="Z40" i="108"/>
  <c r="Z42" i="108" s="1"/>
  <c r="AB40" i="108"/>
  <c r="AB42" i="108" s="1"/>
  <c r="AD40" i="108"/>
  <c r="AD42" i="108" s="1"/>
  <c r="AF40" i="108"/>
  <c r="AF42" i="108" s="1"/>
  <c r="AF41" i="111"/>
  <c r="AF42" i="111" s="1"/>
  <c r="AE41" i="111"/>
  <c r="AE42" i="111" s="1"/>
  <c r="AD41" i="111"/>
  <c r="AD42" i="111" s="1"/>
  <c r="AC41" i="111"/>
  <c r="AC42" i="111" s="1"/>
  <c r="AB41" i="111"/>
  <c r="AB42" i="111" s="1"/>
  <c r="AA41" i="111"/>
  <c r="AA42" i="111" s="1"/>
  <c r="Z41" i="111"/>
  <c r="Z42" i="111" s="1"/>
  <c r="Y41" i="111"/>
  <c r="Y42" i="111" s="1"/>
  <c r="X41" i="111"/>
  <c r="X42" i="111" s="1"/>
  <c r="W41" i="111"/>
  <c r="W42" i="111" s="1"/>
  <c r="V41" i="111"/>
  <c r="V42" i="111" s="1"/>
  <c r="U41" i="111"/>
  <c r="U42" i="111" s="1"/>
  <c r="T41" i="111"/>
  <c r="T42" i="111" s="1"/>
  <c r="S41" i="111"/>
  <c r="S42" i="111" s="1"/>
  <c r="T22" i="111"/>
  <c r="U22" i="111"/>
  <c r="V22" i="111"/>
  <c r="W22" i="111"/>
  <c r="X22" i="111"/>
  <c r="Y22" i="111"/>
  <c r="Z22" i="111"/>
  <c r="AA22" i="111"/>
  <c r="AB22" i="111"/>
  <c r="AC22" i="111"/>
  <c r="AD22" i="111"/>
  <c r="AE22" i="111"/>
  <c r="AF22" i="111"/>
  <c r="T23" i="111"/>
  <c r="U23" i="111"/>
  <c r="V23" i="111"/>
  <c r="W23" i="111"/>
  <c r="X23" i="111"/>
  <c r="Y23" i="111"/>
  <c r="Z23" i="111"/>
  <c r="AA23" i="111"/>
  <c r="AB23" i="111"/>
  <c r="AC23" i="111"/>
  <c r="AD23" i="111"/>
  <c r="AE23" i="111"/>
  <c r="AF23" i="111"/>
  <c r="T24" i="111"/>
  <c r="U24" i="111"/>
  <c r="V24" i="111"/>
  <c r="W24" i="111"/>
  <c r="X24" i="111"/>
  <c r="Y24" i="111"/>
  <c r="Z24" i="111"/>
  <c r="AA24" i="111"/>
  <c r="AB24" i="111"/>
  <c r="AC24" i="111"/>
  <c r="AD24" i="111"/>
  <c r="AE24" i="111"/>
  <c r="AF24" i="111"/>
  <c r="T25" i="111"/>
  <c r="U25" i="111"/>
  <c r="V25" i="111"/>
  <c r="W25" i="111"/>
  <c r="X25" i="111"/>
  <c r="Y25" i="111"/>
  <c r="Z25" i="111"/>
  <c r="AA25" i="111"/>
  <c r="AB25" i="111"/>
  <c r="AC25" i="111"/>
  <c r="AD25" i="111"/>
  <c r="AE25" i="111"/>
  <c r="AF25" i="111"/>
  <c r="T26" i="111"/>
  <c r="U26" i="111"/>
  <c r="V26" i="111"/>
  <c r="W26" i="111"/>
  <c r="X26" i="111"/>
  <c r="Y26" i="111"/>
  <c r="Z26" i="111"/>
  <c r="AA26" i="111"/>
  <c r="AB26" i="111"/>
  <c r="AC26" i="111"/>
  <c r="AD26" i="111"/>
  <c r="AE26" i="111"/>
  <c r="AF26" i="111"/>
  <c r="T27" i="111"/>
  <c r="U27" i="111"/>
  <c r="V27" i="111"/>
  <c r="W27" i="111"/>
  <c r="X27" i="111"/>
  <c r="Y27" i="111"/>
  <c r="Z27" i="111"/>
  <c r="AA27" i="111"/>
  <c r="AB27" i="111"/>
  <c r="AC27" i="111"/>
  <c r="AD27" i="111"/>
  <c r="AE27" i="111"/>
  <c r="AF27" i="111"/>
  <c r="T28" i="111"/>
  <c r="U28" i="111"/>
  <c r="V28" i="111"/>
  <c r="W28" i="111"/>
  <c r="X28" i="111"/>
  <c r="Y28" i="111"/>
  <c r="Z28" i="111"/>
  <c r="AA28" i="111"/>
  <c r="AB28" i="111"/>
  <c r="AC28" i="111"/>
  <c r="AD28" i="111"/>
  <c r="AE28" i="111"/>
  <c r="AF28" i="111"/>
  <c r="T29" i="111"/>
  <c r="U29" i="111"/>
  <c r="V29" i="111"/>
  <c r="W29" i="111"/>
  <c r="X29" i="111"/>
  <c r="Y29" i="111"/>
  <c r="Z29" i="111"/>
  <c r="AA29" i="111"/>
  <c r="AB29" i="111"/>
  <c r="AC29" i="111"/>
  <c r="AD29" i="111"/>
  <c r="AE29" i="111"/>
  <c r="AF29" i="111"/>
  <c r="T30" i="111"/>
  <c r="U30" i="111"/>
  <c r="V30" i="111"/>
  <c r="W30" i="111"/>
  <c r="X30" i="111"/>
  <c r="Y30" i="111"/>
  <c r="Z30" i="111"/>
  <c r="AA30" i="111"/>
  <c r="AB30" i="111"/>
  <c r="AC30" i="111"/>
  <c r="AD30" i="111"/>
  <c r="AE30" i="111"/>
  <c r="AF30" i="111"/>
  <c r="T31" i="111"/>
  <c r="U31" i="111"/>
  <c r="V31" i="111"/>
  <c r="W31" i="111"/>
  <c r="X31" i="111"/>
  <c r="Y31" i="111"/>
  <c r="Z31" i="111"/>
  <c r="AA31" i="111"/>
  <c r="AB31" i="111"/>
  <c r="AC31" i="111"/>
  <c r="AD31" i="111"/>
  <c r="AE31" i="111"/>
  <c r="AF31" i="111"/>
  <c r="T32" i="111"/>
  <c r="U32" i="111"/>
  <c r="V32" i="111"/>
  <c r="W32" i="111"/>
  <c r="X32" i="111"/>
  <c r="Y32" i="111"/>
  <c r="Z32" i="111"/>
  <c r="AA32" i="111"/>
  <c r="AB32" i="111"/>
  <c r="AC32" i="111"/>
  <c r="AD32" i="111"/>
  <c r="AE32" i="111"/>
  <c r="AF32" i="111"/>
  <c r="T33" i="111"/>
  <c r="U33" i="111"/>
  <c r="V33" i="111"/>
  <c r="W33" i="111"/>
  <c r="X33" i="111"/>
  <c r="Y33" i="111"/>
  <c r="Z33" i="111"/>
  <c r="AA33" i="111"/>
  <c r="AB33" i="111"/>
  <c r="AC33" i="111"/>
  <c r="AD33" i="111"/>
  <c r="AE33" i="111"/>
  <c r="AF33" i="111"/>
  <c r="S33" i="111"/>
  <c r="S32" i="111"/>
  <c r="S31" i="111"/>
  <c r="S30" i="111"/>
  <c r="S29" i="111"/>
  <c r="S28" i="111"/>
  <c r="S27" i="111"/>
  <c r="S26" i="111"/>
  <c r="S25" i="111"/>
  <c r="S24" i="111"/>
  <c r="S23" i="111"/>
  <c r="S22" i="111"/>
  <c r="AF41" i="107"/>
  <c r="AF42" i="107" s="1"/>
  <c r="AE41" i="107"/>
  <c r="AE42" i="107" s="1"/>
  <c r="AD41" i="107"/>
  <c r="AD42" i="107" s="1"/>
  <c r="AC41" i="107"/>
  <c r="AC42" i="107" s="1"/>
  <c r="AB41" i="107"/>
  <c r="AB42" i="107" s="1"/>
  <c r="AA41" i="107"/>
  <c r="AA42" i="107" s="1"/>
  <c r="Z41" i="107"/>
  <c r="Z42" i="107" s="1"/>
  <c r="Y41" i="107"/>
  <c r="Y42" i="107" s="1"/>
  <c r="X41" i="107"/>
  <c r="X42" i="107" s="1"/>
  <c r="W41" i="107"/>
  <c r="W42" i="107" s="1"/>
  <c r="V41" i="107"/>
  <c r="V42" i="107" s="1"/>
  <c r="U41" i="107"/>
  <c r="U42" i="107" s="1"/>
  <c r="T41" i="107"/>
  <c r="T42" i="107" s="1"/>
  <c r="S41" i="107"/>
  <c r="S42" i="107" s="1"/>
  <c r="T22" i="107"/>
  <c r="U22" i="107"/>
  <c r="V22" i="107"/>
  <c r="W22" i="107"/>
  <c r="X22" i="107"/>
  <c r="Y22" i="107"/>
  <c r="Z22" i="107"/>
  <c r="AA22" i="107"/>
  <c r="AB22" i="107"/>
  <c r="AC22" i="107"/>
  <c r="AD22" i="107"/>
  <c r="AE22" i="107"/>
  <c r="AF22" i="107"/>
  <c r="T23" i="107"/>
  <c r="U23" i="107"/>
  <c r="V23" i="107"/>
  <c r="W23" i="107"/>
  <c r="X23" i="107"/>
  <c r="Y23" i="107"/>
  <c r="Z23" i="107"/>
  <c r="AA23" i="107"/>
  <c r="AB23" i="107"/>
  <c r="AC23" i="107"/>
  <c r="AD23" i="107"/>
  <c r="AE23" i="107"/>
  <c r="AF23" i="107"/>
  <c r="T24" i="107"/>
  <c r="U24" i="107"/>
  <c r="V24" i="107"/>
  <c r="W24" i="107"/>
  <c r="X24" i="107"/>
  <c r="Y24" i="107"/>
  <c r="Z24" i="107"/>
  <c r="AA24" i="107"/>
  <c r="AB24" i="107"/>
  <c r="AC24" i="107"/>
  <c r="AD24" i="107"/>
  <c r="AE24" i="107"/>
  <c r="AF24" i="107"/>
  <c r="T25" i="107"/>
  <c r="U25" i="107"/>
  <c r="V25" i="107"/>
  <c r="W25" i="107"/>
  <c r="X25" i="107"/>
  <c r="Y25" i="107"/>
  <c r="Z25" i="107"/>
  <c r="AA25" i="107"/>
  <c r="AB25" i="107"/>
  <c r="AC25" i="107"/>
  <c r="AD25" i="107"/>
  <c r="AE25" i="107"/>
  <c r="AF25" i="107"/>
  <c r="T26" i="107"/>
  <c r="U26" i="107"/>
  <c r="V26" i="107"/>
  <c r="W26" i="107"/>
  <c r="X26" i="107"/>
  <c r="Y26" i="107"/>
  <c r="Z26" i="107"/>
  <c r="AA26" i="107"/>
  <c r="AB26" i="107"/>
  <c r="AC26" i="107"/>
  <c r="AD26" i="107"/>
  <c r="AE26" i="107"/>
  <c r="AF26" i="107"/>
  <c r="T27" i="107"/>
  <c r="U27" i="107"/>
  <c r="V27" i="107"/>
  <c r="W27" i="107"/>
  <c r="X27" i="107"/>
  <c r="Y27" i="107"/>
  <c r="Z27" i="107"/>
  <c r="AA27" i="107"/>
  <c r="AB27" i="107"/>
  <c r="AC27" i="107"/>
  <c r="AD27" i="107"/>
  <c r="AE27" i="107"/>
  <c r="AF27" i="107"/>
  <c r="T28" i="107"/>
  <c r="U28" i="107"/>
  <c r="V28" i="107"/>
  <c r="W28" i="107"/>
  <c r="X28" i="107"/>
  <c r="Y28" i="107"/>
  <c r="Z28" i="107"/>
  <c r="AA28" i="107"/>
  <c r="AB28" i="107"/>
  <c r="AC28" i="107"/>
  <c r="AD28" i="107"/>
  <c r="AE28" i="107"/>
  <c r="AF28" i="107"/>
  <c r="T29" i="107"/>
  <c r="U29" i="107"/>
  <c r="V29" i="107"/>
  <c r="W29" i="107"/>
  <c r="X29" i="107"/>
  <c r="Y29" i="107"/>
  <c r="Z29" i="107"/>
  <c r="AA29" i="107"/>
  <c r="AB29" i="107"/>
  <c r="AC29" i="107"/>
  <c r="AD29" i="107"/>
  <c r="AE29" i="107"/>
  <c r="AF29" i="107"/>
  <c r="T30" i="107"/>
  <c r="U30" i="107"/>
  <c r="V30" i="107"/>
  <c r="W30" i="107"/>
  <c r="X30" i="107"/>
  <c r="Y30" i="107"/>
  <c r="Z30" i="107"/>
  <c r="AA30" i="107"/>
  <c r="AB30" i="107"/>
  <c r="AC30" i="107"/>
  <c r="AD30" i="107"/>
  <c r="AE30" i="107"/>
  <c r="AF30" i="107"/>
  <c r="T31" i="107"/>
  <c r="U31" i="107"/>
  <c r="V31" i="107"/>
  <c r="W31" i="107"/>
  <c r="X31" i="107"/>
  <c r="Y31" i="107"/>
  <c r="Z31" i="107"/>
  <c r="AA31" i="107"/>
  <c r="AB31" i="107"/>
  <c r="AC31" i="107"/>
  <c r="AD31" i="107"/>
  <c r="AE31" i="107"/>
  <c r="AF31" i="107"/>
  <c r="T32" i="107"/>
  <c r="U32" i="107"/>
  <c r="V32" i="107"/>
  <c r="W32" i="107"/>
  <c r="X32" i="107"/>
  <c r="Y32" i="107"/>
  <c r="Z32" i="107"/>
  <c r="AA32" i="107"/>
  <c r="AB32" i="107"/>
  <c r="AC32" i="107"/>
  <c r="AD32" i="107"/>
  <c r="AE32" i="107"/>
  <c r="AF32" i="107"/>
  <c r="T33" i="107"/>
  <c r="U33" i="107"/>
  <c r="V33" i="107"/>
  <c r="W33" i="107"/>
  <c r="X33" i="107"/>
  <c r="Y33" i="107"/>
  <c r="Z33" i="107"/>
  <c r="AA33" i="107"/>
  <c r="AB33" i="107"/>
  <c r="AC33" i="107"/>
  <c r="AD33" i="107"/>
  <c r="AE33" i="107"/>
  <c r="AF33" i="107"/>
  <c r="S33" i="107"/>
  <c r="S32" i="107"/>
  <c r="S31" i="107"/>
  <c r="S30" i="107"/>
  <c r="S29" i="107"/>
  <c r="S28" i="107"/>
  <c r="S27" i="107"/>
  <c r="S26" i="107"/>
  <c r="S25" i="107"/>
  <c r="S24" i="107"/>
  <c r="S23" i="107"/>
  <c r="S22" i="107"/>
  <c r="O62" i="108"/>
  <c r="P62" i="108"/>
  <c r="P106" i="108" s="1"/>
  <c r="O63" i="108"/>
  <c r="P63" i="108"/>
  <c r="O64" i="108"/>
  <c r="P64" i="108"/>
  <c r="O65" i="108"/>
  <c r="P65" i="108"/>
  <c r="O66" i="108"/>
  <c r="P66" i="108"/>
  <c r="O67" i="108"/>
  <c r="P67" i="108"/>
  <c r="O68" i="108"/>
  <c r="P68" i="108"/>
  <c r="O69" i="108"/>
  <c r="P69" i="108"/>
  <c r="O70" i="108"/>
  <c r="P70" i="108"/>
  <c r="O71" i="108"/>
  <c r="P71" i="108"/>
  <c r="O72" i="108"/>
  <c r="P72" i="108"/>
  <c r="O73" i="108"/>
  <c r="P73" i="108"/>
  <c r="O74" i="108"/>
  <c r="P74" i="108"/>
  <c r="O75" i="108"/>
  <c r="P75" i="108"/>
  <c r="O76" i="108"/>
  <c r="P76" i="108"/>
  <c r="O77" i="108"/>
  <c r="P77" i="108"/>
  <c r="O78" i="108"/>
  <c r="P78" i="108"/>
  <c r="O79" i="108"/>
  <c r="P79" i="108"/>
  <c r="O80" i="108"/>
  <c r="P80" i="108"/>
  <c r="O81" i="108"/>
  <c r="P81" i="108"/>
  <c r="O82" i="108"/>
  <c r="P82" i="108"/>
  <c r="O83" i="108"/>
  <c r="P83" i="108"/>
  <c r="O84" i="108"/>
  <c r="P84" i="108"/>
  <c r="O85" i="108"/>
  <c r="P85" i="108"/>
  <c r="O86" i="108"/>
  <c r="P86" i="108"/>
  <c r="O87" i="108"/>
  <c r="P87" i="108"/>
  <c r="O88" i="108"/>
  <c r="P88" i="108"/>
  <c r="O89" i="108"/>
  <c r="P89" i="108"/>
  <c r="O90" i="108"/>
  <c r="P90" i="108"/>
  <c r="O91" i="108"/>
  <c r="P91" i="108"/>
  <c r="O92" i="108"/>
  <c r="P92" i="108"/>
  <c r="O93" i="108"/>
  <c r="P93" i="108"/>
  <c r="O94" i="108"/>
  <c r="P94" i="108"/>
  <c r="O95" i="108"/>
  <c r="P95" i="108"/>
  <c r="O96" i="108"/>
  <c r="P96" i="108"/>
  <c r="O97" i="108"/>
  <c r="P97" i="108"/>
  <c r="O98" i="108"/>
  <c r="P98" i="108"/>
  <c r="O99" i="108"/>
  <c r="P99" i="108"/>
  <c r="O100" i="108"/>
  <c r="P100" i="108"/>
  <c r="O101" i="108"/>
  <c r="P101" i="108"/>
  <c r="O102" i="108"/>
  <c r="P102" i="108"/>
  <c r="O103" i="108"/>
  <c r="P103" i="108"/>
  <c r="O104" i="108"/>
  <c r="P104" i="108"/>
  <c r="O105" i="108"/>
  <c r="P105" i="108"/>
  <c r="P61" i="108"/>
  <c r="O61" i="108"/>
  <c r="P60" i="108"/>
  <c r="O60" i="108"/>
  <c r="P59" i="108"/>
  <c r="O59" i="108"/>
  <c r="P58" i="108"/>
  <c r="O58" i="108"/>
  <c r="P60" i="107"/>
  <c r="P61" i="107"/>
  <c r="P106" i="107" s="1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O61" i="107"/>
  <c r="O62" i="107"/>
  <c r="O63" i="107"/>
  <c r="O64" i="107"/>
  <c r="O65" i="107"/>
  <c r="O66" i="107"/>
  <c r="O67" i="107"/>
  <c r="O68" i="107"/>
  <c r="O69" i="107"/>
  <c r="O70" i="107"/>
  <c r="O71" i="107"/>
  <c r="O72" i="107"/>
  <c r="O73" i="107"/>
  <c r="O74" i="107"/>
  <c r="O75" i="107"/>
  <c r="O76" i="107"/>
  <c r="O77" i="107"/>
  <c r="O78" i="107"/>
  <c r="O79" i="107"/>
  <c r="O80" i="107"/>
  <c r="O81" i="107"/>
  <c r="O82" i="107"/>
  <c r="O83" i="107"/>
  <c r="O84" i="107"/>
  <c r="O85" i="107"/>
  <c r="O86" i="107"/>
  <c r="O87" i="107"/>
  <c r="O88" i="107"/>
  <c r="O89" i="107"/>
  <c r="O90" i="107"/>
  <c r="O91" i="107"/>
  <c r="O92" i="107"/>
  <c r="O93" i="107"/>
  <c r="O94" i="107"/>
  <c r="O95" i="107"/>
  <c r="O96" i="107"/>
  <c r="O97" i="107"/>
  <c r="O98" i="107"/>
  <c r="O99" i="107"/>
  <c r="O100" i="107"/>
  <c r="O101" i="107"/>
  <c r="O102" i="107"/>
  <c r="O103" i="107"/>
  <c r="O104" i="107"/>
  <c r="O105" i="107"/>
  <c r="O60" i="107"/>
  <c r="P59" i="107"/>
  <c r="O59" i="107"/>
  <c r="P58" i="107"/>
  <c r="O58" i="107"/>
  <c r="D58" i="111"/>
  <c r="E58" i="111"/>
  <c r="F58" i="111"/>
  <c r="G58" i="111"/>
  <c r="H58" i="111"/>
  <c r="I58" i="111"/>
  <c r="J58" i="111"/>
  <c r="K58" i="111"/>
  <c r="L58" i="111"/>
  <c r="M58" i="111"/>
  <c r="N58" i="111"/>
  <c r="D59" i="111"/>
  <c r="E59" i="111"/>
  <c r="F59" i="111"/>
  <c r="G59" i="111"/>
  <c r="H59" i="111"/>
  <c r="I59" i="111"/>
  <c r="J59" i="111"/>
  <c r="K59" i="111"/>
  <c r="L59" i="111"/>
  <c r="M59" i="111"/>
  <c r="N59" i="111"/>
  <c r="D60" i="111"/>
  <c r="O60" i="111" s="1"/>
  <c r="E60" i="111"/>
  <c r="F60" i="111"/>
  <c r="G60" i="111"/>
  <c r="H60" i="111"/>
  <c r="I60" i="111"/>
  <c r="J60" i="111"/>
  <c r="K60" i="111"/>
  <c r="L60" i="111"/>
  <c r="M60" i="111"/>
  <c r="N60" i="111"/>
  <c r="D61" i="111"/>
  <c r="E61" i="111"/>
  <c r="F61" i="111"/>
  <c r="G61" i="111"/>
  <c r="H61" i="111"/>
  <c r="I61" i="111"/>
  <c r="J61" i="111"/>
  <c r="K61" i="111"/>
  <c r="L61" i="111"/>
  <c r="M61" i="111"/>
  <c r="N61" i="111"/>
  <c r="D62" i="111"/>
  <c r="E62" i="111"/>
  <c r="F62" i="111"/>
  <c r="G62" i="111"/>
  <c r="H62" i="111"/>
  <c r="I62" i="111"/>
  <c r="J62" i="111"/>
  <c r="K62" i="111"/>
  <c r="L62" i="111"/>
  <c r="M62" i="111"/>
  <c r="N62" i="111"/>
  <c r="D63" i="111"/>
  <c r="E63" i="111"/>
  <c r="F63" i="111"/>
  <c r="G63" i="111"/>
  <c r="H63" i="111"/>
  <c r="I63" i="111"/>
  <c r="J63" i="111"/>
  <c r="K63" i="111"/>
  <c r="L63" i="111"/>
  <c r="M63" i="111"/>
  <c r="N63" i="111"/>
  <c r="D64" i="111"/>
  <c r="O64" i="111" s="1"/>
  <c r="E64" i="111"/>
  <c r="F64" i="111"/>
  <c r="G64" i="111"/>
  <c r="H64" i="111"/>
  <c r="I64" i="111"/>
  <c r="J64" i="111"/>
  <c r="K64" i="111"/>
  <c r="L64" i="111"/>
  <c r="M64" i="111"/>
  <c r="N64" i="111"/>
  <c r="D65" i="111"/>
  <c r="E65" i="111"/>
  <c r="F65" i="111"/>
  <c r="G65" i="111"/>
  <c r="H65" i="111"/>
  <c r="I65" i="111"/>
  <c r="J65" i="111"/>
  <c r="K65" i="111"/>
  <c r="L65" i="111"/>
  <c r="M65" i="111"/>
  <c r="N65" i="111"/>
  <c r="D66" i="111"/>
  <c r="E66" i="111"/>
  <c r="F66" i="111"/>
  <c r="G66" i="111"/>
  <c r="H66" i="111"/>
  <c r="I66" i="111"/>
  <c r="J66" i="111"/>
  <c r="K66" i="111"/>
  <c r="L66" i="111"/>
  <c r="M66" i="111"/>
  <c r="N66" i="111"/>
  <c r="D67" i="111"/>
  <c r="E67" i="111"/>
  <c r="F67" i="111"/>
  <c r="G67" i="111"/>
  <c r="H67" i="111"/>
  <c r="I67" i="111"/>
  <c r="J67" i="111"/>
  <c r="K67" i="111"/>
  <c r="L67" i="111"/>
  <c r="M67" i="111"/>
  <c r="N67" i="111"/>
  <c r="D68" i="111"/>
  <c r="O68" i="111" s="1"/>
  <c r="E68" i="111"/>
  <c r="F68" i="111"/>
  <c r="G68" i="111"/>
  <c r="H68" i="111"/>
  <c r="I68" i="111"/>
  <c r="J68" i="111"/>
  <c r="K68" i="111"/>
  <c r="L68" i="111"/>
  <c r="M68" i="111"/>
  <c r="N68" i="111"/>
  <c r="D69" i="111"/>
  <c r="E69" i="111"/>
  <c r="F69" i="111"/>
  <c r="G69" i="111"/>
  <c r="H69" i="111"/>
  <c r="I69" i="111"/>
  <c r="J69" i="111"/>
  <c r="K69" i="111"/>
  <c r="L69" i="111"/>
  <c r="M69" i="111"/>
  <c r="N69" i="111"/>
  <c r="D70" i="111"/>
  <c r="E70" i="111"/>
  <c r="F70" i="111"/>
  <c r="G70" i="111"/>
  <c r="H70" i="111"/>
  <c r="I70" i="111"/>
  <c r="J70" i="111"/>
  <c r="K70" i="111"/>
  <c r="L70" i="111"/>
  <c r="M70" i="111"/>
  <c r="N70" i="111"/>
  <c r="D71" i="111"/>
  <c r="E71" i="111"/>
  <c r="F71" i="111"/>
  <c r="G71" i="111"/>
  <c r="H71" i="111"/>
  <c r="I71" i="111"/>
  <c r="J71" i="111"/>
  <c r="K71" i="111"/>
  <c r="L71" i="111"/>
  <c r="M71" i="111"/>
  <c r="N71" i="111"/>
  <c r="D72" i="111"/>
  <c r="O72" i="111" s="1"/>
  <c r="E72" i="111"/>
  <c r="F72" i="111"/>
  <c r="G72" i="111"/>
  <c r="H72" i="111"/>
  <c r="I72" i="111"/>
  <c r="J72" i="111"/>
  <c r="K72" i="111"/>
  <c r="L72" i="111"/>
  <c r="M72" i="111"/>
  <c r="N72" i="111"/>
  <c r="D73" i="111"/>
  <c r="E73" i="111"/>
  <c r="F73" i="111"/>
  <c r="G73" i="111"/>
  <c r="H73" i="111"/>
  <c r="I73" i="111"/>
  <c r="J73" i="111"/>
  <c r="K73" i="111"/>
  <c r="L73" i="111"/>
  <c r="M73" i="111"/>
  <c r="N73" i="111"/>
  <c r="D74" i="111"/>
  <c r="E74" i="111"/>
  <c r="F74" i="111"/>
  <c r="G74" i="111"/>
  <c r="H74" i="111"/>
  <c r="I74" i="111"/>
  <c r="J74" i="111"/>
  <c r="K74" i="111"/>
  <c r="L74" i="111"/>
  <c r="M74" i="111"/>
  <c r="N74" i="111"/>
  <c r="D75" i="111"/>
  <c r="E75" i="111"/>
  <c r="F75" i="111"/>
  <c r="G75" i="111"/>
  <c r="H75" i="111"/>
  <c r="I75" i="111"/>
  <c r="J75" i="111"/>
  <c r="K75" i="111"/>
  <c r="L75" i="111"/>
  <c r="M75" i="111"/>
  <c r="N75" i="111"/>
  <c r="D76" i="111"/>
  <c r="E76" i="111"/>
  <c r="F76" i="111"/>
  <c r="G76" i="111"/>
  <c r="H76" i="111"/>
  <c r="I76" i="111"/>
  <c r="J76" i="111"/>
  <c r="K76" i="111"/>
  <c r="L76" i="111"/>
  <c r="M76" i="111"/>
  <c r="N76" i="111"/>
  <c r="D77" i="111"/>
  <c r="E77" i="111"/>
  <c r="F77" i="111"/>
  <c r="G77" i="111"/>
  <c r="H77" i="111"/>
  <c r="I77" i="111"/>
  <c r="J77" i="111"/>
  <c r="K77" i="111"/>
  <c r="L77" i="111"/>
  <c r="M77" i="111"/>
  <c r="N77" i="111"/>
  <c r="D78" i="111"/>
  <c r="E78" i="111"/>
  <c r="F78" i="111"/>
  <c r="G78" i="111"/>
  <c r="H78" i="111"/>
  <c r="I78" i="111"/>
  <c r="J78" i="111"/>
  <c r="K78" i="111"/>
  <c r="L78" i="111"/>
  <c r="M78" i="111"/>
  <c r="N78" i="111"/>
  <c r="D79" i="111"/>
  <c r="E79" i="111"/>
  <c r="F79" i="111"/>
  <c r="G79" i="111"/>
  <c r="H79" i="111"/>
  <c r="I79" i="111"/>
  <c r="J79" i="111"/>
  <c r="K79" i="111"/>
  <c r="L79" i="111"/>
  <c r="M79" i="111"/>
  <c r="N79" i="111"/>
  <c r="D80" i="111"/>
  <c r="E80" i="111"/>
  <c r="F80" i="111"/>
  <c r="G80" i="111"/>
  <c r="H80" i="111"/>
  <c r="I80" i="111"/>
  <c r="J80" i="111"/>
  <c r="K80" i="111"/>
  <c r="L80" i="111"/>
  <c r="M80" i="111"/>
  <c r="N80" i="111"/>
  <c r="D81" i="111"/>
  <c r="E81" i="111"/>
  <c r="F81" i="111"/>
  <c r="G81" i="111"/>
  <c r="H81" i="111"/>
  <c r="I81" i="111"/>
  <c r="J81" i="111"/>
  <c r="K81" i="111"/>
  <c r="L81" i="111"/>
  <c r="M81" i="111"/>
  <c r="N81" i="111"/>
  <c r="D82" i="111"/>
  <c r="E82" i="111"/>
  <c r="F82" i="111"/>
  <c r="G82" i="111"/>
  <c r="H82" i="111"/>
  <c r="I82" i="111"/>
  <c r="J82" i="111"/>
  <c r="K82" i="111"/>
  <c r="L82" i="111"/>
  <c r="M82" i="111"/>
  <c r="N82" i="111"/>
  <c r="D83" i="111"/>
  <c r="E83" i="111"/>
  <c r="F83" i="111"/>
  <c r="G83" i="111"/>
  <c r="H83" i="111"/>
  <c r="I83" i="111"/>
  <c r="J83" i="111"/>
  <c r="K83" i="111"/>
  <c r="L83" i="111"/>
  <c r="M83" i="111"/>
  <c r="N83" i="111"/>
  <c r="D84" i="111"/>
  <c r="E84" i="111"/>
  <c r="F84" i="111"/>
  <c r="G84" i="111"/>
  <c r="H84" i="111"/>
  <c r="I84" i="111"/>
  <c r="J84" i="111"/>
  <c r="K84" i="111"/>
  <c r="L84" i="111"/>
  <c r="M84" i="111"/>
  <c r="N84" i="111"/>
  <c r="D85" i="111"/>
  <c r="E85" i="111"/>
  <c r="F85" i="111"/>
  <c r="G85" i="111"/>
  <c r="H85" i="111"/>
  <c r="I85" i="111"/>
  <c r="J85" i="111"/>
  <c r="K85" i="111"/>
  <c r="L85" i="111"/>
  <c r="M85" i="111"/>
  <c r="N85" i="111"/>
  <c r="D86" i="111"/>
  <c r="E86" i="111"/>
  <c r="F86" i="111"/>
  <c r="G86" i="111"/>
  <c r="H86" i="111"/>
  <c r="I86" i="111"/>
  <c r="J86" i="111"/>
  <c r="K86" i="111"/>
  <c r="L86" i="111"/>
  <c r="M86" i="111"/>
  <c r="N86" i="111"/>
  <c r="D87" i="111"/>
  <c r="E87" i="111"/>
  <c r="F87" i="111"/>
  <c r="G87" i="111"/>
  <c r="H87" i="111"/>
  <c r="I87" i="111"/>
  <c r="J87" i="111"/>
  <c r="K87" i="111"/>
  <c r="L87" i="111"/>
  <c r="M87" i="111"/>
  <c r="N87" i="111"/>
  <c r="D88" i="111"/>
  <c r="E88" i="111"/>
  <c r="F88" i="111"/>
  <c r="G88" i="111"/>
  <c r="H88" i="111"/>
  <c r="I88" i="111"/>
  <c r="J88" i="111"/>
  <c r="K88" i="111"/>
  <c r="L88" i="111"/>
  <c r="M88" i="111"/>
  <c r="N88" i="111"/>
  <c r="D89" i="111"/>
  <c r="E89" i="111"/>
  <c r="F89" i="111"/>
  <c r="G89" i="111"/>
  <c r="H89" i="111"/>
  <c r="I89" i="111"/>
  <c r="J89" i="111"/>
  <c r="K89" i="111"/>
  <c r="L89" i="111"/>
  <c r="M89" i="111"/>
  <c r="N89" i="111"/>
  <c r="D90" i="111"/>
  <c r="E90" i="111"/>
  <c r="F90" i="111"/>
  <c r="G90" i="111"/>
  <c r="H90" i="111"/>
  <c r="I90" i="111"/>
  <c r="J90" i="111"/>
  <c r="K90" i="111"/>
  <c r="L90" i="111"/>
  <c r="M90" i="111"/>
  <c r="N90" i="111"/>
  <c r="D91" i="111"/>
  <c r="E91" i="111"/>
  <c r="F91" i="111"/>
  <c r="G91" i="111"/>
  <c r="H91" i="111"/>
  <c r="I91" i="111"/>
  <c r="J91" i="111"/>
  <c r="K91" i="111"/>
  <c r="L91" i="111"/>
  <c r="M91" i="111"/>
  <c r="N91" i="111"/>
  <c r="D92" i="111"/>
  <c r="E92" i="111"/>
  <c r="F92" i="111"/>
  <c r="G92" i="111"/>
  <c r="H92" i="111"/>
  <c r="I92" i="111"/>
  <c r="J92" i="111"/>
  <c r="K92" i="111"/>
  <c r="L92" i="111"/>
  <c r="M92" i="111"/>
  <c r="N92" i="111"/>
  <c r="D93" i="111"/>
  <c r="E93" i="111"/>
  <c r="F93" i="111"/>
  <c r="G93" i="111"/>
  <c r="H93" i="111"/>
  <c r="I93" i="111"/>
  <c r="J93" i="111"/>
  <c r="K93" i="111"/>
  <c r="L93" i="111"/>
  <c r="M93" i="111"/>
  <c r="N93" i="111"/>
  <c r="D94" i="111"/>
  <c r="E94" i="111"/>
  <c r="F94" i="111"/>
  <c r="G94" i="111"/>
  <c r="H94" i="111"/>
  <c r="I94" i="111"/>
  <c r="J94" i="111"/>
  <c r="K94" i="111"/>
  <c r="L94" i="111"/>
  <c r="M94" i="111"/>
  <c r="N94" i="111"/>
  <c r="D95" i="111"/>
  <c r="E95" i="111"/>
  <c r="F95" i="111"/>
  <c r="G95" i="111"/>
  <c r="H95" i="111"/>
  <c r="I95" i="111"/>
  <c r="J95" i="111"/>
  <c r="K95" i="111"/>
  <c r="L95" i="111"/>
  <c r="M95" i="111"/>
  <c r="N95" i="111"/>
  <c r="D96" i="111"/>
  <c r="E96" i="111"/>
  <c r="F96" i="111"/>
  <c r="G96" i="111"/>
  <c r="H96" i="111"/>
  <c r="I96" i="111"/>
  <c r="J96" i="111"/>
  <c r="K96" i="111"/>
  <c r="L96" i="111"/>
  <c r="M96" i="111"/>
  <c r="N96" i="111"/>
  <c r="D97" i="111"/>
  <c r="E97" i="111"/>
  <c r="F97" i="111"/>
  <c r="G97" i="111"/>
  <c r="H97" i="111"/>
  <c r="I97" i="111"/>
  <c r="J97" i="111"/>
  <c r="K97" i="111"/>
  <c r="L97" i="111"/>
  <c r="M97" i="111"/>
  <c r="N97" i="111"/>
  <c r="D98" i="111"/>
  <c r="E98" i="111"/>
  <c r="F98" i="111"/>
  <c r="G98" i="111"/>
  <c r="H98" i="111"/>
  <c r="I98" i="111"/>
  <c r="J98" i="111"/>
  <c r="K98" i="111"/>
  <c r="L98" i="111"/>
  <c r="M98" i="111"/>
  <c r="N98" i="111"/>
  <c r="D99" i="111"/>
  <c r="E99" i="111"/>
  <c r="F99" i="111"/>
  <c r="G99" i="111"/>
  <c r="H99" i="111"/>
  <c r="I99" i="111"/>
  <c r="J99" i="111"/>
  <c r="K99" i="111"/>
  <c r="L99" i="111"/>
  <c r="M99" i="111"/>
  <c r="N99" i="111"/>
  <c r="D100" i="111"/>
  <c r="E100" i="111"/>
  <c r="F100" i="111"/>
  <c r="G100" i="111"/>
  <c r="H100" i="111"/>
  <c r="I100" i="111"/>
  <c r="J100" i="111"/>
  <c r="K100" i="111"/>
  <c r="L100" i="111"/>
  <c r="M100" i="111"/>
  <c r="N100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D102" i="111"/>
  <c r="E102" i="111"/>
  <c r="F102" i="111"/>
  <c r="G102" i="111"/>
  <c r="H102" i="111"/>
  <c r="I102" i="111"/>
  <c r="J102" i="111"/>
  <c r="K102" i="111"/>
  <c r="L102" i="111"/>
  <c r="M102" i="111"/>
  <c r="N102" i="111"/>
  <c r="D103" i="111"/>
  <c r="E103" i="111"/>
  <c r="F103" i="111"/>
  <c r="G103" i="111"/>
  <c r="H103" i="111"/>
  <c r="I103" i="111"/>
  <c r="J103" i="111"/>
  <c r="K103" i="111"/>
  <c r="L103" i="111"/>
  <c r="M103" i="111"/>
  <c r="N103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D105" i="111"/>
  <c r="E105" i="111"/>
  <c r="F105" i="111"/>
  <c r="G105" i="111"/>
  <c r="H105" i="111"/>
  <c r="I105" i="111"/>
  <c r="J105" i="111"/>
  <c r="K105" i="111"/>
  <c r="L105" i="111"/>
  <c r="M105" i="111"/>
  <c r="N105" i="111"/>
  <c r="C59" i="111"/>
  <c r="P59" i="111" s="1"/>
  <c r="C60" i="111"/>
  <c r="C61" i="111"/>
  <c r="P61" i="111" s="1"/>
  <c r="C62" i="111"/>
  <c r="C63" i="111"/>
  <c r="P63" i="111" s="1"/>
  <c r="C64" i="111"/>
  <c r="C65" i="111"/>
  <c r="P65" i="111" s="1"/>
  <c r="C66" i="111"/>
  <c r="C67" i="111"/>
  <c r="P67" i="111" s="1"/>
  <c r="C68" i="111"/>
  <c r="C69" i="111"/>
  <c r="P69" i="111" s="1"/>
  <c r="C70" i="111"/>
  <c r="C71" i="111"/>
  <c r="P71" i="111" s="1"/>
  <c r="C72" i="111"/>
  <c r="C73" i="111"/>
  <c r="P73" i="111" s="1"/>
  <c r="C74" i="111"/>
  <c r="C75" i="111"/>
  <c r="P75" i="111" s="1"/>
  <c r="C76" i="111"/>
  <c r="C77" i="111"/>
  <c r="P77" i="111" s="1"/>
  <c r="C78" i="111"/>
  <c r="C79" i="111"/>
  <c r="P79" i="111" s="1"/>
  <c r="C80" i="111"/>
  <c r="C81" i="111"/>
  <c r="P81" i="111" s="1"/>
  <c r="C82" i="111"/>
  <c r="C83" i="111"/>
  <c r="P83" i="111" s="1"/>
  <c r="C84" i="111"/>
  <c r="C85" i="111"/>
  <c r="P85" i="111" s="1"/>
  <c r="C86" i="111"/>
  <c r="C87" i="111"/>
  <c r="P87" i="111" s="1"/>
  <c r="C88" i="111"/>
  <c r="C89" i="111"/>
  <c r="P89" i="111" s="1"/>
  <c r="C90" i="111"/>
  <c r="C91" i="111"/>
  <c r="P91" i="111" s="1"/>
  <c r="C92" i="111"/>
  <c r="C93" i="111"/>
  <c r="P93" i="111" s="1"/>
  <c r="C94" i="111"/>
  <c r="C95" i="111"/>
  <c r="P95" i="111" s="1"/>
  <c r="C96" i="111"/>
  <c r="C97" i="111"/>
  <c r="P97" i="111" s="1"/>
  <c r="C98" i="111"/>
  <c r="C99" i="111"/>
  <c r="P99" i="111" s="1"/>
  <c r="C100" i="111"/>
  <c r="C101" i="111"/>
  <c r="P101" i="111" s="1"/>
  <c r="C102" i="111"/>
  <c r="C103" i="111"/>
  <c r="P103" i="111" s="1"/>
  <c r="C104" i="111"/>
  <c r="C105" i="111"/>
  <c r="P105" i="111" s="1"/>
  <c r="C58" i="111"/>
  <c r="D106" i="108"/>
  <c r="E106" i="108"/>
  <c r="F106" i="108"/>
  <c r="G106" i="108"/>
  <c r="H106" i="108"/>
  <c r="I106" i="108"/>
  <c r="J106" i="108"/>
  <c r="K106" i="108"/>
  <c r="L106" i="108"/>
  <c r="M106" i="108"/>
  <c r="N106" i="108"/>
  <c r="O106" i="108"/>
  <c r="C106" i="108"/>
  <c r="D58" i="108"/>
  <c r="E58" i="108"/>
  <c r="F58" i="108"/>
  <c r="G58" i="108"/>
  <c r="H58" i="108"/>
  <c r="I58" i="108"/>
  <c r="J58" i="108"/>
  <c r="K58" i="108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I86" i="108"/>
  <c r="J86" i="108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D106" i="107"/>
  <c r="E106" i="107"/>
  <c r="F106" i="107"/>
  <c r="G106" i="107"/>
  <c r="H106" i="107"/>
  <c r="I106" i="107"/>
  <c r="J106" i="107"/>
  <c r="K106" i="107"/>
  <c r="L106" i="107"/>
  <c r="M106" i="107"/>
  <c r="N106" i="107"/>
  <c r="C106" i="107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E59" i="107"/>
  <c r="F59" i="107"/>
  <c r="G59" i="107"/>
  <c r="H59" i="107"/>
  <c r="I59" i="107"/>
  <c r="J59" i="107"/>
  <c r="K59" i="107"/>
  <c r="L59" i="107"/>
  <c r="M59" i="107"/>
  <c r="N59" i="107"/>
  <c r="D60" i="107"/>
  <c r="E60" i="107"/>
  <c r="F60" i="107"/>
  <c r="G60" i="107"/>
  <c r="H60" i="107"/>
  <c r="I60" i="107"/>
  <c r="J60" i="107"/>
  <c r="K60" i="107"/>
  <c r="L60" i="107"/>
  <c r="M60" i="107"/>
  <c r="N60" i="107"/>
  <c r="D61" i="107"/>
  <c r="E61" i="107"/>
  <c r="F61" i="107"/>
  <c r="G61" i="107"/>
  <c r="H61" i="107"/>
  <c r="I61" i="107"/>
  <c r="J61" i="107"/>
  <c r="K61" i="107"/>
  <c r="L61" i="107"/>
  <c r="M61" i="107"/>
  <c r="N61" i="107"/>
  <c r="D62" i="107"/>
  <c r="E62" i="107"/>
  <c r="F62" i="107"/>
  <c r="G62" i="107"/>
  <c r="H62" i="107"/>
  <c r="I62" i="107"/>
  <c r="J62" i="107"/>
  <c r="K62" i="107"/>
  <c r="L62" i="107"/>
  <c r="M62" i="107"/>
  <c r="N62" i="107"/>
  <c r="D63" i="107"/>
  <c r="E63" i="107"/>
  <c r="F63" i="107"/>
  <c r="G63" i="107"/>
  <c r="H63" i="107"/>
  <c r="I63" i="107"/>
  <c r="J63" i="107"/>
  <c r="K63" i="107"/>
  <c r="L63" i="107"/>
  <c r="M63" i="107"/>
  <c r="N63" i="107"/>
  <c r="D64" i="107"/>
  <c r="E64" i="107"/>
  <c r="F64" i="107"/>
  <c r="G64" i="107"/>
  <c r="H64" i="107"/>
  <c r="I64" i="107"/>
  <c r="J64" i="107"/>
  <c r="K64" i="107"/>
  <c r="L64" i="107"/>
  <c r="M64" i="107"/>
  <c r="N64" i="107"/>
  <c r="D65" i="107"/>
  <c r="E65" i="107"/>
  <c r="F65" i="107"/>
  <c r="G65" i="107"/>
  <c r="H65" i="107"/>
  <c r="I65" i="107"/>
  <c r="J65" i="107"/>
  <c r="K65" i="107"/>
  <c r="L65" i="107"/>
  <c r="M65" i="107"/>
  <c r="N65" i="107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E67" i="107"/>
  <c r="F67" i="107"/>
  <c r="G67" i="107"/>
  <c r="H67" i="107"/>
  <c r="I67" i="107"/>
  <c r="J67" i="107"/>
  <c r="K67" i="107"/>
  <c r="L67" i="107"/>
  <c r="M67" i="107"/>
  <c r="N67" i="107"/>
  <c r="D68" i="107"/>
  <c r="E68" i="107"/>
  <c r="F68" i="107"/>
  <c r="G68" i="107"/>
  <c r="H68" i="107"/>
  <c r="I68" i="107"/>
  <c r="J68" i="107"/>
  <c r="K68" i="107"/>
  <c r="L68" i="107"/>
  <c r="M68" i="107"/>
  <c r="N68" i="107"/>
  <c r="D69" i="107"/>
  <c r="E69" i="107"/>
  <c r="F69" i="107"/>
  <c r="G69" i="107"/>
  <c r="H69" i="107"/>
  <c r="I69" i="107"/>
  <c r="J69" i="107"/>
  <c r="K69" i="107"/>
  <c r="L69" i="107"/>
  <c r="M69" i="107"/>
  <c r="N69" i="107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E71" i="107"/>
  <c r="F71" i="107"/>
  <c r="G71" i="107"/>
  <c r="H71" i="107"/>
  <c r="I71" i="107"/>
  <c r="J71" i="107"/>
  <c r="K71" i="107"/>
  <c r="L71" i="107"/>
  <c r="M71" i="107"/>
  <c r="N71" i="107"/>
  <c r="D72" i="107"/>
  <c r="E72" i="107"/>
  <c r="F72" i="107"/>
  <c r="G72" i="107"/>
  <c r="H72" i="107"/>
  <c r="I72" i="107"/>
  <c r="J72" i="107"/>
  <c r="K72" i="107"/>
  <c r="L72" i="107"/>
  <c r="M72" i="107"/>
  <c r="N72" i="107"/>
  <c r="D73" i="107"/>
  <c r="E73" i="107"/>
  <c r="F73" i="107"/>
  <c r="G73" i="107"/>
  <c r="H73" i="107"/>
  <c r="I73" i="107"/>
  <c r="J73" i="107"/>
  <c r="K73" i="107"/>
  <c r="L73" i="107"/>
  <c r="M73" i="107"/>
  <c r="N73" i="107"/>
  <c r="D74" i="107"/>
  <c r="E74" i="107"/>
  <c r="F74" i="107"/>
  <c r="G74" i="107"/>
  <c r="H74" i="107"/>
  <c r="I74" i="107"/>
  <c r="J74" i="107"/>
  <c r="K74" i="107"/>
  <c r="L74" i="107"/>
  <c r="M74" i="107"/>
  <c r="N74" i="107"/>
  <c r="D75" i="107"/>
  <c r="E75" i="107"/>
  <c r="F75" i="107"/>
  <c r="G75" i="107"/>
  <c r="H75" i="107"/>
  <c r="I75" i="107"/>
  <c r="J75" i="107"/>
  <c r="K75" i="107"/>
  <c r="L75" i="107"/>
  <c r="M75" i="107"/>
  <c r="N75" i="107"/>
  <c r="D76" i="107"/>
  <c r="E76" i="107"/>
  <c r="F76" i="107"/>
  <c r="G76" i="107"/>
  <c r="H76" i="107"/>
  <c r="I76" i="107"/>
  <c r="J76" i="107"/>
  <c r="K76" i="107"/>
  <c r="L76" i="107"/>
  <c r="M76" i="107"/>
  <c r="N76" i="107"/>
  <c r="D77" i="107"/>
  <c r="E77" i="107"/>
  <c r="F77" i="107"/>
  <c r="G77" i="107"/>
  <c r="H77" i="107"/>
  <c r="I77" i="107"/>
  <c r="J77" i="107"/>
  <c r="K77" i="107"/>
  <c r="L77" i="107"/>
  <c r="M77" i="107"/>
  <c r="N77" i="107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E79" i="107"/>
  <c r="F79" i="107"/>
  <c r="G79" i="107"/>
  <c r="H79" i="107"/>
  <c r="I79" i="107"/>
  <c r="J79" i="107"/>
  <c r="K79" i="107"/>
  <c r="L79" i="107"/>
  <c r="M79" i="107"/>
  <c r="N79" i="107"/>
  <c r="D80" i="107"/>
  <c r="E80" i="107"/>
  <c r="F80" i="107"/>
  <c r="G80" i="107"/>
  <c r="H80" i="107"/>
  <c r="I80" i="107"/>
  <c r="J80" i="107"/>
  <c r="K80" i="107"/>
  <c r="L80" i="107"/>
  <c r="M80" i="107"/>
  <c r="N80" i="107"/>
  <c r="D81" i="107"/>
  <c r="E81" i="107"/>
  <c r="F81" i="107"/>
  <c r="G81" i="107"/>
  <c r="H81" i="107"/>
  <c r="I81" i="107"/>
  <c r="J81" i="107"/>
  <c r="K81" i="107"/>
  <c r="L81" i="107"/>
  <c r="M81" i="107"/>
  <c r="N81" i="107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E83" i="107"/>
  <c r="F83" i="107"/>
  <c r="G83" i="107"/>
  <c r="H83" i="107"/>
  <c r="I83" i="107"/>
  <c r="J83" i="107"/>
  <c r="K83" i="107"/>
  <c r="L83" i="107"/>
  <c r="M83" i="107"/>
  <c r="N83" i="107"/>
  <c r="D84" i="107"/>
  <c r="E84" i="107"/>
  <c r="F84" i="107"/>
  <c r="G84" i="107"/>
  <c r="H84" i="107"/>
  <c r="I84" i="107"/>
  <c r="J84" i="107"/>
  <c r="K84" i="107"/>
  <c r="L84" i="107"/>
  <c r="M84" i="107"/>
  <c r="N84" i="107"/>
  <c r="D85" i="107"/>
  <c r="E85" i="107"/>
  <c r="F85" i="107"/>
  <c r="G85" i="107"/>
  <c r="H85" i="107"/>
  <c r="I85" i="107"/>
  <c r="J85" i="107"/>
  <c r="K85" i="107"/>
  <c r="L85" i="107"/>
  <c r="M85" i="107"/>
  <c r="N85" i="107"/>
  <c r="D86" i="107"/>
  <c r="E86" i="107"/>
  <c r="F86" i="107"/>
  <c r="G86" i="107"/>
  <c r="H86" i="107"/>
  <c r="I86" i="107"/>
  <c r="J86" i="107"/>
  <c r="K86" i="107"/>
  <c r="L86" i="107"/>
  <c r="M86" i="107"/>
  <c r="N86" i="107"/>
  <c r="D87" i="107"/>
  <c r="E87" i="107"/>
  <c r="F87" i="107"/>
  <c r="G87" i="107"/>
  <c r="H87" i="107"/>
  <c r="I87" i="107"/>
  <c r="J87" i="107"/>
  <c r="K87" i="107"/>
  <c r="L87" i="107"/>
  <c r="M87" i="107"/>
  <c r="N87" i="107"/>
  <c r="D88" i="107"/>
  <c r="E88" i="107"/>
  <c r="F88" i="107"/>
  <c r="G88" i="107"/>
  <c r="H88" i="107"/>
  <c r="I88" i="107"/>
  <c r="J88" i="107"/>
  <c r="K88" i="107"/>
  <c r="L88" i="107"/>
  <c r="M88" i="107"/>
  <c r="N88" i="107"/>
  <c r="D89" i="107"/>
  <c r="E89" i="107"/>
  <c r="F89" i="107"/>
  <c r="G89" i="107"/>
  <c r="H89" i="107"/>
  <c r="I89" i="107"/>
  <c r="J89" i="107"/>
  <c r="K89" i="107"/>
  <c r="L89" i="107"/>
  <c r="M89" i="107"/>
  <c r="N89" i="107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E91" i="107"/>
  <c r="F91" i="107"/>
  <c r="G91" i="107"/>
  <c r="H91" i="107"/>
  <c r="I91" i="107"/>
  <c r="J91" i="107"/>
  <c r="K91" i="107"/>
  <c r="L91" i="107"/>
  <c r="M91" i="107"/>
  <c r="N91" i="107"/>
  <c r="D92" i="107"/>
  <c r="E92" i="107"/>
  <c r="F92" i="107"/>
  <c r="G92" i="107"/>
  <c r="H92" i="107"/>
  <c r="I92" i="107"/>
  <c r="J92" i="107"/>
  <c r="K92" i="107"/>
  <c r="L92" i="107"/>
  <c r="M92" i="107"/>
  <c r="N92" i="107"/>
  <c r="D93" i="107"/>
  <c r="E93" i="107"/>
  <c r="F93" i="107"/>
  <c r="G93" i="107"/>
  <c r="H93" i="107"/>
  <c r="I93" i="107"/>
  <c r="J93" i="107"/>
  <c r="K93" i="107"/>
  <c r="L93" i="107"/>
  <c r="M93" i="107"/>
  <c r="N93" i="107"/>
  <c r="D94" i="107"/>
  <c r="E94" i="107"/>
  <c r="F94" i="107"/>
  <c r="G94" i="107"/>
  <c r="H94" i="107"/>
  <c r="I94" i="107"/>
  <c r="J94" i="107"/>
  <c r="K94" i="107"/>
  <c r="L94" i="107"/>
  <c r="M94" i="107"/>
  <c r="N94" i="107"/>
  <c r="D95" i="107"/>
  <c r="E95" i="107"/>
  <c r="F95" i="107"/>
  <c r="G95" i="107"/>
  <c r="H95" i="107"/>
  <c r="I95" i="107"/>
  <c r="J95" i="107"/>
  <c r="K95" i="107"/>
  <c r="L95" i="107"/>
  <c r="M95" i="107"/>
  <c r="N95" i="107"/>
  <c r="D96" i="107"/>
  <c r="E96" i="107"/>
  <c r="F96" i="107"/>
  <c r="G96" i="107"/>
  <c r="H96" i="107"/>
  <c r="I96" i="107"/>
  <c r="J96" i="107"/>
  <c r="K96" i="107"/>
  <c r="L96" i="107"/>
  <c r="M96" i="107"/>
  <c r="N96" i="107"/>
  <c r="D97" i="107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E99" i="107"/>
  <c r="F99" i="107"/>
  <c r="G99" i="107"/>
  <c r="H99" i="107"/>
  <c r="I99" i="107"/>
  <c r="J99" i="107"/>
  <c r="K99" i="107"/>
  <c r="L99" i="107"/>
  <c r="M99" i="107"/>
  <c r="N99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C59" i="107"/>
  <c r="C60" i="107"/>
  <c r="C61" i="107"/>
  <c r="C62" i="107"/>
  <c r="C63" i="107"/>
  <c r="C64" i="107"/>
  <c r="C65" i="107"/>
  <c r="C66" i="107"/>
  <c r="C67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105" i="107"/>
  <c r="P58" i="111" l="1"/>
  <c r="P74" i="111"/>
  <c r="P72" i="111"/>
  <c r="P70" i="111"/>
  <c r="P68" i="111"/>
  <c r="P66" i="111"/>
  <c r="P64" i="111"/>
  <c r="P62" i="111"/>
  <c r="P60" i="111"/>
  <c r="O75" i="111"/>
  <c r="O73" i="111"/>
  <c r="O71" i="111"/>
  <c r="O69" i="111"/>
  <c r="O67" i="111"/>
  <c r="O65" i="111"/>
  <c r="O63" i="111"/>
  <c r="O61" i="111"/>
  <c r="O59" i="111"/>
  <c r="O58" i="111"/>
  <c r="O62" i="111"/>
  <c r="O66" i="111"/>
  <c r="O70" i="111"/>
  <c r="O74" i="111"/>
  <c r="P104" i="111"/>
  <c r="O104" i="111"/>
  <c r="P102" i="111"/>
  <c r="O102" i="111"/>
  <c r="P100" i="111"/>
  <c r="O100" i="111"/>
  <c r="P98" i="111"/>
  <c r="O98" i="111"/>
  <c r="P96" i="111"/>
  <c r="O96" i="111"/>
  <c r="P94" i="111"/>
  <c r="O94" i="111"/>
  <c r="P92" i="111"/>
  <c r="O92" i="111"/>
  <c r="P90" i="111"/>
  <c r="O90" i="111"/>
  <c r="P88" i="111"/>
  <c r="O88" i="111"/>
  <c r="P86" i="111"/>
  <c r="O86" i="111"/>
  <c r="P84" i="111"/>
  <c r="O84" i="111"/>
  <c r="P82" i="111"/>
  <c r="O82" i="111"/>
  <c r="P80" i="111"/>
  <c r="O80" i="111"/>
  <c r="P78" i="111"/>
  <c r="O78" i="111"/>
  <c r="P76" i="111"/>
  <c r="O76" i="111"/>
  <c r="O105" i="111"/>
  <c r="O103" i="111"/>
  <c r="O101" i="111"/>
  <c r="O99" i="111"/>
  <c r="O97" i="111"/>
  <c r="O95" i="111"/>
  <c r="O93" i="111"/>
  <c r="O91" i="111"/>
  <c r="O89" i="111"/>
  <c r="O87" i="111"/>
  <c r="O85" i="111"/>
  <c r="O83" i="111"/>
  <c r="O81" i="111"/>
  <c r="O79" i="111"/>
  <c r="O77" i="111"/>
  <c r="O106" i="107"/>
  <c r="C58" i="108"/>
  <c r="C58" i="107"/>
  <c r="L11" i="104" l="1"/>
  <c r="L12" i="104"/>
  <c r="L13" i="104"/>
  <c r="L14" i="104"/>
  <c r="L15" i="104"/>
  <c r="L16" i="104"/>
  <c r="L17" i="104"/>
  <c r="L18" i="104"/>
  <c r="L19" i="104"/>
  <c r="L20" i="104"/>
  <c r="L21" i="104"/>
  <c r="L22" i="104"/>
  <c r="L23" i="104"/>
  <c r="L24" i="104"/>
  <c r="L25" i="104"/>
  <c r="L26" i="104"/>
  <c r="L27" i="104"/>
  <c r="L28" i="104"/>
  <c r="L29" i="104"/>
  <c r="L30" i="104"/>
  <c r="L31" i="104"/>
  <c r="L32" i="104"/>
  <c r="L33" i="104"/>
  <c r="L34" i="104"/>
  <c r="L35" i="104"/>
  <c r="L36" i="104"/>
  <c r="L37" i="104"/>
  <c r="L38" i="104"/>
  <c r="L39" i="104"/>
  <c r="L40" i="104"/>
  <c r="L41" i="104"/>
  <c r="L42" i="104"/>
  <c r="L43" i="104"/>
  <c r="L44" i="104"/>
  <c r="L45" i="104"/>
  <c r="L46" i="104"/>
  <c r="L47" i="104"/>
  <c r="L48" i="104"/>
  <c r="L49" i="104"/>
  <c r="L50" i="104"/>
  <c r="L51" i="104"/>
  <c r="L52" i="104"/>
  <c r="L53" i="104"/>
  <c r="L54" i="104"/>
  <c r="L55" i="104"/>
  <c r="L56" i="104"/>
  <c r="L57" i="104"/>
  <c r="L10" i="104"/>
  <c r="L11" i="103"/>
  <c r="L12" i="103"/>
  <c r="L13" i="103"/>
  <c r="L14" i="103"/>
  <c r="L15" i="103"/>
  <c r="L16" i="103"/>
  <c r="L17" i="103"/>
  <c r="L18" i="103"/>
  <c r="L19" i="103"/>
  <c r="L20" i="103"/>
  <c r="L21" i="103"/>
  <c r="L22" i="103"/>
  <c r="L23" i="103"/>
  <c r="L24" i="103"/>
  <c r="L25" i="103"/>
  <c r="L26" i="103"/>
  <c r="L27" i="103"/>
  <c r="L28" i="103"/>
  <c r="L29" i="103"/>
  <c r="L30" i="103"/>
  <c r="L31" i="103"/>
  <c r="L32" i="103"/>
  <c r="L33" i="103"/>
  <c r="L34" i="103"/>
  <c r="L35" i="103"/>
  <c r="L36" i="103"/>
  <c r="L37" i="103"/>
  <c r="L38" i="103"/>
  <c r="L39" i="103"/>
  <c r="L40" i="103"/>
  <c r="L41" i="103"/>
  <c r="L42" i="103"/>
  <c r="L43" i="103"/>
  <c r="L44" i="103"/>
  <c r="L45" i="103"/>
  <c r="L46" i="103"/>
  <c r="L47" i="103"/>
  <c r="L48" i="103"/>
  <c r="L49" i="103"/>
  <c r="L50" i="103"/>
  <c r="L51" i="103"/>
  <c r="L52" i="103"/>
  <c r="L53" i="103"/>
  <c r="L54" i="103"/>
  <c r="L55" i="103"/>
  <c r="L56" i="103"/>
  <c r="L57" i="103"/>
  <c r="L10" i="103"/>
  <c r="L11" i="110"/>
  <c r="L12" i="110"/>
  <c r="L13" i="110"/>
  <c r="L14" i="110"/>
  <c r="L15" i="110"/>
  <c r="L16" i="110"/>
  <c r="L17" i="110"/>
  <c r="L18" i="110"/>
  <c r="L19" i="110"/>
  <c r="L20" i="110"/>
  <c r="L21" i="110"/>
  <c r="L22" i="110"/>
  <c r="L23" i="110"/>
  <c r="L24" i="110"/>
  <c r="L25" i="110"/>
  <c r="L26" i="110"/>
  <c r="L27" i="110"/>
  <c r="L28" i="110"/>
  <c r="L29" i="110"/>
  <c r="L30" i="110"/>
  <c r="L31" i="110"/>
  <c r="L32" i="110"/>
  <c r="L33" i="110"/>
  <c r="L34" i="110"/>
  <c r="L35" i="110"/>
  <c r="L36" i="110"/>
  <c r="L37" i="110"/>
  <c r="L38" i="110"/>
  <c r="L39" i="110"/>
  <c r="L40" i="110"/>
  <c r="L41" i="110"/>
  <c r="L42" i="110"/>
  <c r="L43" i="110"/>
  <c r="L44" i="110"/>
  <c r="L45" i="110"/>
  <c r="L46" i="110"/>
  <c r="L47" i="110"/>
  <c r="L48" i="110"/>
  <c r="L49" i="110"/>
  <c r="L50" i="110"/>
  <c r="L51" i="110"/>
  <c r="L52" i="110"/>
  <c r="L53" i="110"/>
  <c r="L54" i="110"/>
  <c r="L55" i="110"/>
  <c r="L56" i="110"/>
  <c r="L57" i="110"/>
  <c r="L58" i="110"/>
  <c r="L59" i="110"/>
  <c r="L60" i="110"/>
  <c r="L61" i="110"/>
  <c r="L62" i="110"/>
  <c r="L63" i="110"/>
  <c r="L64" i="110"/>
  <c r="L65" i="110"/>
  <c r="L66" i="110"/>
  <c r="L67" i="110"/>
  <c r="L68" i="110"/>
  <c r="L69" i="110"/>
  <c r="L70" i="110"/>
  <c r="L71" i="110"/>
  <c r="L72" i="110"/>
  <c r="L73" i="110"/>
  <c r="L74" i="110"/>
  <c r="L75" i="110"/>
  <c r="L76" i="110"/>
  <c r="L77" i="110"/>
  <c r="L78" i="110"/>
  <c r="L79" i="110"/>
  <c r="L80" i="110"/>
  <c r="L81" i="110"/>
  <c r="L82" i="110"/>
  <c r="L83" i="110"/>
  <c r="L84" i="110"/>
  <c r="L85" i="110"/>
  <c r="L86" i="110"/>
  <c r="L87" i="110"/>
  <c r="L88" i="110"/>
  <c r="L89" i="110"/>
  <c r="L90" i="110"/>
  <c r="L91" i="110"/>
  <c r="L92" i="110"/>
  <c r="L93" i="110"/>
  <c r="L94" i="110"/>
  <c r="L95" i="110"/>
  <c r="L96" i="110"/>
  <c r="L97" i="110"/>
  <c r="L98" i="110"/>
  <c r="L99" i="110"/>
  <c r="L100" i="110"/>
  <c r="L101" i="110"/>
  <c r="L102" i="110"/>
  <c r="L103" i="110"/>
  <c r="L104" i="110"/>
  <c r="L105" i="110"/>
  <c r="L10" i="110"/>
  <c r="L11" i="105"/>
  <c r="L12" i="105"/>
  <c r="L13" i="105"/>
  <c r="L14" i="105"/>
  <c r="L15" i="105"/>
  <c r="L16" i="105"/>
  <c r="L17" i="105"/>
  <c r="L18" i="105"/>
  <c r="L19" i="105"/>
  <c r="L20" i="105"/>
  <c r="L21" i="105"/>
  <c r="L22" i="105"/>
  <c r="L23" i="105"/>
  <c r="L24" i="105"/>
  <c r="L25" i="105"/>
  <c r="L26" i="105"/>
  <c r="L27" i="105"/>
  <c r="L28" i="105"/>
  <c r="L29" i="105"/>
  <c r="L30" i="105"/>
  <c r="L31" i="105"/>
  <c r="L32" i="105"/>
  <c r="L33" i="105"/>
  <c r="L34" i="105"/>
  <c r="L35" i="105"/>
  <c r="L36" i="105"/>
  <c r="L37" i="105"/>
  <c r="L38" i="105"/>
  <c r="L39" i="105"/>
  <c r="L40" i="105"/>
  <c r="L41" i="105"/>
  <c r="L42" i="105"/>
  <c r="L43" i="105"/>
  <c r="L44" i="105"/>
  <c r="L45" i="105"/>
  <c r="L46" i="105"/>
  <c r="L47" i="105"/>
  <c r="L48" i="105"/>
  <c r="L49" i="105"/>
  <c r="L50" i="105"/>
  <c r="L51" i="105"/>
  <c r="L52" i="105"/>
  <c r="L53" i="105"/>
  <c r="L54" i="105"/>
  <c r="L55" i="105"/>
  <c r="L56" i="105"/>
  <c r="L57" i="105"/>
  <c r="L58" i="105"/>
  <c r="L59" i="105"/>
  <c r="L60" i="105"/>
  <c r="L61" i="105"/>
  <c r="L62" i="105"/>
  <c r="L63" i="105"/>
  <c r="L64" i="105"/>
  <c r="L65" i="105"/>
  <c r="L66" i="105"/>
  <c r="L67" i="105"/>
  <c r="L68" i="105"/>
  <c r="L69" i="105"/>
  <c r="L70" i="105"/>
  <c r="L71" i="105"/>
  <c r="L72" i="105"/>
  <c r="L73" i="105"/>
  <c r="L74" i="105"/>
  <c r="L75" i="105"/>
  <c r="L76" i="105"/>
  <c r="L77" i="105"/>
  <c r="L78" i="105"/>
  <c r="L79" i="105"/>
  <c r="L80" i="105"/>
  <c r="L81" i="105"/>
  <c r="L82" i="105"/>
  <c r="L83" i="105"/>
  <c r="L84" i="105"/>
  <c r="L85" i="105"/>
  <c r="L86" i="105"/>
  <c r="L87" i="105"/>
  <c r="L88" i="105"/>
  <c r="L89" i="105"/>
  <c r="L90" i="105"/>
  <c r="L91" i="105"/>
  <c r="L92" i="105"/>
  <c r="L93" i="105"/>
  <c r="L94" i="105"/>
  <c r="L95" i="105"/>
  <c r="L96" i="105"/>
  <c r="L97" i="105"/>
  <c r="L98" i="105"/>
  <c r="L99" i="105"/>
  <c r="L100" i="105"/>
  <c r="L101" i="105"/>
  <c r="L102" i="105"/>
  <c r="L103" i="105"/>
  <c r="L104" i="105"/>
  <c r="L105" i="105"/>
  <c r="L10" i="105"/>
  <c r="L11" i="109"/>
  <c r="L12" i="109"/>
  <c r="L13" i="109"/>
  <c r="L14" i="109"/>
  <c r="L15" i="109"/>
  <c r="L16" i="109"/>
  <c r="L17" i="109"/>
  <c r="L18" i="109"/>
  <c r="L19" i="109"/>
  <c r="L20" i="109"/>
  <c r="L21" i="109"/>
  <c r="L22" i="109"/>
  <c r="L23" i="109"/>
  <c r="L24" i="109"/>
  <c r="L25" i="109"/>
  <c r="L26" i="109"/>
  <c r="L27" i="109"/>
  <c r="L28" i="109"/>
  <c r="L29" i="109"/>
  <c r="L30" i="109"/>
  <c r="L31" i="109"/>
  <c r="L32" i="109"/>
  <c r="L33" i="109"/>
  <c r="L34" i="109"/>
  <c r="L35" i="109"/>
  <c r="L36" i="109"/>
  <c r="L37" i="109"/>
  <c r="L38" i="109"/>
  <c r="L39" i="109"/>
  <c r="L40" i="109"/>
  <c r="L41" i="109"/>
  <c r="L42" i="109"/>
  <c r="L43" i="109"/>
  <c r="L44" i="109"/>
  <c r="L45" i="109"/>
  <c r="L46" i="109"/>
  <c r="L47" i="109"/>
  <c r="L48" i="109"/>
  <c r="L49" i="109"/>
  <c r="L50" i="109"/>
  <c r="L51" i="109"/>
  <c r="L52" i="109"/>
  <c r="L53" i="109"/>
  <c r="L54" i="109"/>
  <c r="L55" i="109"/>
  <c r="L56" i="109"/>
  <c r="L57" i="109"/>
  <c r="L58" i="109"/>
  <c r="L59" i="109"/>
  <c r="L60" i="109"/>
  <c r="L61" i="109"/>
  <c r="L62" i="109"/>
  <c r="L63" i="109"/>
  <c r="L64" i="109"/>
  <c r="L65" i="109"/>
  <c r="L66" i="109"/>
  <c r="L67" i="109"/>
  <c r="L68" i="109"/>
  <c r="L69" i="109"/>
  <c r="L70" i="109"/>
  <c r="L71" i="109"/>
  <c r="L72" i="109"/>
  <c r="L73" i="109"/>
  <c r="L74" i="109"/>
  <c r="L75" i="109"/>
  <c r="L76" i="109"/>
  <c r="L77" i="109"/>
  <c r="L78" i="109"/>
  <c r="L79" i="109"/>
  <c r="L80" i="109"/>
  <c r="L81" i="109"/>
  <c r="L82" i="109"/>
  <c r="L83" i="109"/>
  <c r="L84" i="109"/>
  <c r="L85" i="109"/>
  <c r="L86" i="109"/>
  <c r="L87" i="109"/>
  <c r="L88" i="109"/>
  <c r="L89" i="109"/>
  <c r="L90" i="109"/>
  <c r="L91" i="109"/>
  <c r="L92" i="109"/>
  <c r="L93" i="109"/>
  <c r="L94" i="109"/>
  <c r="L95" i="109"/>
  <c r="L96" i="109"/>
  <c r="L97" i="109"/>
  <c r="L98" i="109"/>
  <c r="L99" i="109"/>
  <c r="L100" i="109"/>
  <c r="L101" i="109"/>
  <c r="L102" i="109"/>
  <c r="L103" i="109"/>
  <c r="L104" i="109"/>
  <c r="L105" i="109"/>
  <c r="L10" i="109"/>
  <c r="L11" i="101"/>
  <c r="L12" i="101"/>
  <c r="L13" i="101"/>
  <c r="L14" i="101"/>
  <c r="L15" i="101"/>
  <c r="L16" i="101"/>
  <c r="L17" i="101"/>
  <c r="L18" i="101"/>
  <c r="L19" i="101"/>
  <c r="L20" i="101"/>
  <c r="L21" i="101"/>
  <c r="L22" i="101"/>
  <c r="L23" i="101"/>
  <c r="L24" i="101"/>
  <c r="L25" i="101"/>
  <c r="L26" i="101"/>
  <c r="L27" i="101"/>
  <c r="L28" i="101"/>
  <c r="L29" i="101"/>
  <c r="L30" i="101"/>
  <c r="L31" i="101"/>
  <c r="L32" i="101"/>
  <c r="L33" i="101"/>
  <c r="L34" i="101"/>
  <c r="L35" i="101"/>
  <c r="L36" i="101"/>
  <c r="L37" i="101"/>
  <c r="L38" i="101"/>
  <c r="L39" i="101"/>
  <c r="L40" i="101"/>
  <c r="L41" i="101"/>
  <c r="L42" i="101"/>
  <c r="L43" i="101"/>
  <c r="L44" i="101"/>
  <c r="L45" i="101"/>
  <c r="L46" i="101"/>
  <c r="L47" i="101"/>
  <c r="L48" i="101"/>
  <c r="L49" i="101"/>
  <c r="L50" i="101"/>
  <c r="L51" i="101"/>
  <c r="L52" i="101"/>
  <c r="L53" i="101"/>
  <c r="L54" i="101"/>
  <c r="L55" i="101"/>
  <c r="L56" i="101"/>
  <c r="L57" i="101"/>
  <c r="L58" i="101"/>
  <c r="L59" i="101"/>
  <c r="L60" i="101"/>
  <c r="L61" i="101"/>
  <c r="L62" i="101"/>
  <c r="L63" i="101"/>
  <c r="L64" i="101"/>
  <c r="L65" i="101"/>
  <c r="L66" i="101"/>
  <c r="L67" i="101"/>
  <c r="L68" i="101"/>
  <c r="L69" i="101"/>
  <c r="L70" i="101"/>
  <c r="L71" i="101"/>
  <c r="L72" i="101"/>
  <c r="L73" i="101"/>
  <c r="L74" i="101"/>
  <c r="L75" i="101"/>
  <c r="L76" i="101"/>
  <c r="L77" i="101"/>
  <c r="L78" i="101"/>
  <c r="L79" i="101"/>
  <c r="L80" i="101"/>
  <c r="L81" i="101"/>
  <c r="L82" i="101"/>
  <c r="L83" i="101"/>
  <c r="L84" i="101"/>
  <c r="L85" i="101"/>
  <c r="L86" i="101"/>
  <c r="L87" i="101"/>
  <c r="L88" i="101"/>
  <c r="L89" i="101"/>
  <c r="L90" i="101"/>
  <c r="L91" i="101"/>
  <c r="L92" i="101"/>
  <c r="L93" i="101"/>
  <c r="L94" i="101"/>
  <c r="L95" i="101"/>
  <c r="L96" i="101"/>
  <c r="L97" i="101"/>
  <c r="L98" i="101"/>
  <c r="L99" i="101"/>
  <c r="L100" i="101"/>
  <c r="L101" i="101"/>
  <c r="L102" i="101"/>
  <c r="L103" i="101"/>
  <c r="L104" i="101"/>
  <c r="L105" i="101"/>
  <c r="L10" i="101"/>
  <c r="L11" i="100"/>
  <c r="L12" i="100"/>
  <c r="L13" i="100"/>
  <c r="L14" i="100"/>
  <c r="L15" i="100"/>
  <c r="L16" i="100"/>
  <c r="L17" i="100"/>
  <c r="L18" i="100"/>
  <c r="L19" i="100"/>
  <c r="L20" i="100"/>
  <c r="L21" i="100"/>
  <c r="L22" i="100"/>
  <c r="L23" i="100"/>
  <c r="L24" i="100"/>
  <c r="L25" i="100"/>
  <c r="L26" i="100"/>
  <c r="L27" i="100"/>
  <c r="L28" i="100"/>
  <c r="L29" i="100"/>
  <c r="L30" i="100"/>
  <c r="L31" i="100"/>
  <c r="L32" i="100"/>
  <c r="L33" i="100"/>
  <c r="L34" i="100"/>
  <c r="L35" i="100"/>
  <c r="L36" i="100"/>
  <c r="L37" i="100"/>
  <c r="L38" i="100"/>
  <c r="L39" i="100"/>
  <c r="L40" i="100"/>
  <c r="L41" i="100"/>
  <c r="L42" i="100"/>
  <c r="L43" i="100"/>
  <c r="L44" i="100"/>
  <c r="L45" i="100"/>
  <c r="L46" i="100"/>
  <c r="L47" i="100"/>
  <c r="L48" i="100"/>
  <c r="L49" i="100"/>
  <c r="L50" i="100"/>
  <c r="L51" i="100"/>
  <c r="L52" i="100"/>
  <c r="L53" i="100"/>
  <c r="L54" i="100"/>
  <c r="L55" i="100"/>
  <c r="L56" i="100"/>
  <c r="L57" i="100"/>
  <c r="L10" i="100"/>
  <c r="L11" i="99"/>
  <c r="L12" i="99"/>
  <c r="L13" i="99"/>
  <c r="L14" i="99"/>
  <c r="L15" i="99"/>
  <c r="L16" i="99"/>
  <c r="L17" i="99"/>
  <c r="L18" i="99"/>
  <c r="L19" i="99"/>
  <c r="L20" i="99"/>
  <c r="L21" i="99"/>
  <c r="L22" i="99"/>
  <c r="L23" i="99"/>
  <c r="L24" i="99"/>
  <c r="L25" i="99"/>
  <c r="L26" i="99"/>
  <c r="L27" i="99"/>
  <c r="L28" i="99"/>
  <c r="L29" i="99"/>
  <c r="L30" i="99"/>
  <c r="L31" i="99"/>
  <c r="L32" i="99"/>
  <c r="L33" i="99"/>
  <c r="L34" i="99"/>
  <c r="L35" i="99"/>
  <c r="L36" i="99"/>
  <c r="L37" i="99"/>
  <c r="L38" i="99"/>
  <c r="L39" i="99"/>
  <c r="L40" i="99"/>
  <c r="L41" i="99"/>
  <c r="L42" i="99"/>
  <c r="L43" i="99"/>
  <c r="L44" i="99"/>
  <c r="L45" i="99"/>
  <c r="L46" i="99"/>
  <c r="L47" i="99"/>
  <c r="L48" i="99"/>
  <c r="L49" i="99"/>
  <c r="L50" i="99"/>
  <c r="L51" i="99"/>
  <c r="L52" i="99"/>
  <c r="L53" i="99"/>
  <c r="L54" i="99"/>
  <c r="L55" i="99"/>
  <c r="L56" i="99"/>
  <c r="L57" i="99"/>
  <c r="L10" i="99"/>
  <c r="L11" i="98"/>
  <c r="L12" i="98"/>
  <c r="L13" i="98"/>
  <c r="L14" i="98"/>
  <c r="L15" i="98"/>
  <c r="L16" i="98"/>
  <c r="L17" i="98"/>
  <c r="L18" i="98"/>
  <c r="L19" i="98"/>
  <c r="L20" i="98"/>
  <c r="L21" i="98"/>
  <c r="L22" i="98"/>
  <c r="L23" i="98"/>
  <c r="L24" i="98"/>
  <c r="L25" i="98"/>
  <c r="L26" i="98"/>
  <c r="L27" i="98"/>
  <c r="L28" i="98"/>
  <c r="L29" i="98"/>
  <c r="L30" i="98"/>
  <c r="L31" i="98"/>
  <c r="L32" i="98"/>
  <c r="L33" i="98"/>
  <c r="L34" i="98"/>
  <c r="L35" i="98"/>
  <c r="L36" i="98"/>
  <c r="L37" i="98"/>
  <c r="L38" i="98"/>
  <c r="L39" i="98"/>
  <c r="L40" i="98"/>
  <c r="L41" i="98"/>
  <c r="L42" i="98"/>
  <c r="L43" i="98"/>
  <c r="L44" i="98"/>
  <c r="L45" i="98"/>
  <c r="L46" i="98"/>
  <c r="L47" i="98"/>
  <c r="L48" i="98"/>
  <c r="L49" i="98"/>
  <c r="L50" i="98"/>
  <c r="L51" i="98"/>
  <c r="L52" i="98"/>
  <c r="L53" i="98"/>
  <c r="L54" i="98"/>
  <c r="L55" i="98"/>
  <c r="L56" i="98"/>
  <c r="L57" i="98"/>
  <c r="L10" i="98"/>
  <c r="L11" i="97"/>
  <c r="L12" i="97"/>
  <c r="L13" i="97"/>
  <c r="L14" i="97"/>
  <c r="L15" i="97"/>
  <c r="L16" i="97"/>
  <c r="L17" i="97"/>
  <c r="L18" i="97"/>
  <c r="L19" i="97"/>
  <c r="L20" i="97"/>
  <c r="L21" i="97"/>
  <c r="L22" i="97"/>
  <c r="L23" i="97"/>
  <c r="L24" i="97"/>
  <c r="L25" i="97"/>
  <c r="L26" i="97"/>
  <c r="L27" i="97"/>
  <c r="L28" i="97"/>
  <c r="L29" i="97"/>
  <c r="L30" i="97"/>
  <c r="L31" i="97"/>
  <c r="L32" i="97"/>
  <c r="L33" i="97"/>
  <c r="L34" i="97"/>
  <c r="L35" i="97"/>
  <c r="L36" i="97"/>
  <c r="L37" i="97"/>
  <c r="L38" i="97"/>
  <c r="L39" i="97"/>
  <c r="L40" i="97"/>
  <c r="L41" i="97"/>
  <c r="L42" i="97"/>
  <c r="L43" i="97"/>
  <c r="L44" i="97"/>
  <c r="L45" i="97"/>
  <c r="L46" i="97"/>
  <c r="L47" i="97"/>
  <c r="L48" i="97"/>
  <c r="L49" i="97"/>
  <c r="L50" i="97"/>
  <c r="L51" i="97"/>
  <c r="L52" i="97"/>
  <c r="L53" i="97"/>
  <c r="L54" i="97"/>
  <c r="L55" i="97"/>
  <c r="L56" i="97"/>
  <c r="L57" i="97"/>
  <c r="L10" i="97"/>
  <c r="L11" i="96"/>
  <c r="L12" i="96"/>
  <c r="L13" i="96"/>
  <c r="L14" i="96"/>
  <c r="L15" i="96"/>
  <c r="L16" i="96"/>
  <c r="L17" i="96"/>
  <c r="L18" i="96"/>
  <c r="L19" i="96"/>
  <c r="L20" i="96"/>
  <c r="L21" i="96"/>
  <c r="L22" i="96"/>
  <c r="L23" i="96"/>
  <c r="L24" i="96"/>
  <c r="L25" i="96"/>
  <c r="L26" i="96"/>
  <c r="L27" i="96"/>
  <c r="L28" i="96"/>
  <c r="L29" i="96"/>
  <c r="L30" i="96"/>
  <c r="L31" i="96"/>
  <c r="L32" i="96"/>
  <c r="L33" i="96"/>
  <c r="L34" i="96"/>
  <c r="L35" i="96"/>
  <c r="L36" i="96"/>
  <c r="L37" i="96"/>
  <c r="L38" i="96"/>
  <c r="L39" i="96"/>
  <c r="L40" i="96"/>
  <c r="L41" i="96"/>
  <c r="L42" i="96"/>
  <c r="L43" i="96"/>
  <c r="L44" i="96"/>
  <c r="L45" i="96"/>
  <c r="L46" i="96"/>
  <c r="L47" i="96"/>
  <c r="L48" i="96"/>
  <c r="L49" i="96"/>
  <c r="L50" i="96"/>
  <c r="L51" i="96"/>
  <c r="L52" i="96"/>
  <c r="L53" i="96"/>
  <c r="L54" i="96"/>
  <c r="L55" i="96"/>
  <c r="L56" i="96"/>
  <c r="L57" i="96"/>
  <c r="L10" i="96"/>
  <c r="L11" i="95"/>
  <c r="L12" i="95"/>
  <c r="L13" i="95"/>
  <c r="L14" i="95"/>
  <c r="L15" i="95"/>
  <c r="L16" i="95"/>
  <c r="L17" i="95"/>
  <c r="L18" i="95"/>
  <c r="L19" i="95"/>
  <c r="L20" i="95"/>
  <c r="L21" i="95"/>
  <c r="L22" i="95"/>
  <c r="L23" i="95"/>
  <c r="L24" i="95"/>
  <c r="L25" i="95"/>
  <c r="L26" i="95"/>
  <c r="L27" i="95"/>
  <c r="L28" i="95"/>
  <c r="L29" i="95"/>
  <c r="L30" i="95"/>
  <c r="L31" i="95"/>
  <c r="L32" i="95"/>
  <c r="L33" i="95"/>
  <c r="L34" i="95"/>
  <c r="L35" i="95"/>
  <c r="L36" i="95"/>
  <c r="L37" i="95"/>
  <c r="L38" i="95"/>
  <c r="L39" i="95"/>
  <c r="L40" i="95"/>
  <c r="L41" i="95"/>
  <c r="L42" i="95"/>
  <c r="L43" i="95"/>
  <c r="L44" i="95"/>
  <c r="L45" i="95"/>
  <c r="L46" i="95"/>
  <c r="L47" i="95"/>
  <c r="L48" i="95"/>
  <c r="L49" i="95"/>
  <c r="L50" i="95"/>
  <c r="L51" i="95"/>
  <c r="L52" i="95"/>
  <c r="L53" i="95"/>
  <c r="L54" i="95"/>
  <c r="L55" i="95"/>
  <c r="L56" i="95"/>
  <c r="L57" i="95"/>
  <c r="L10" i="95"/>
  <c r="L11" i="94"/>
  <c r="L12" i="94"/>
  <c r="L13" i="94"/>
  <c r="L14" i="94"/>
  <c r="L15" i="94"/>
  <c r="L16" i="94"/>
  <c r="L17" i="94"/>
  <c r="L18" i="94"/>
  <c r="L19" i="94"/>
  <c r="L20" i="94"/>
  <c r="L21" i="94"/>
  <c r="L22" i="94"/>
  <c r="L23" i="94"/>
  <c r="L24" i="94"/>
  <c r="L25" i="94"/>
  <c r="L26" i="94"/>
  <c r="L27" i="94"/>
  <c r="L28" i="94"/>
  <c r="L29" i="94"/>
  <c r="L30" i="94"/>
  <c r="L31" i="94"/>
  <c r="L32" i="94"/>
  <c r="L33" i="94"/>
  <c r="L34" i="94"/>
  <c r="L35" i="94"/>
  <c r="L36" i="94"/>
  <c r="L37" i="94"/>
  <c r="L38" i="94"/>
  <c r="L39" i="94"/>
  <c r="L40" i="94"/>
  <c r="L41" i="94"/>
  <c r="L42" i="94"/>
  <c r="L43" i="94"/>
  <c r="L44" i="94"/>
  <c r="L45" i="94"/>
  <c r="L46" i="94"/>
  <c r="L47" i="94"/>
  <c r="L48" i="94"/>
  <c r="L49" i="94"/>
  <c r="L50" i="94"/>
  <c r="L51" i="94"/>
  <c r="L52" i="94"/>
  <c r="L53" i="94"/>
  <c r="L54" i="94"/>
  <c r="L55" i="94"/>
  <c r="L56" i="94"/>
  <c r="L57" i="94"/>
  <c r="L10" i="94"/>
  <c r="L11" i="93"/>
  <c r="L12" i="93"/>
  <c r="L13" i="93"/>
  <c r="L14" i="93"/>
  <c r="L15" i="93"/>
  <c r="L16" i="93"/>
  <c r="L17" i="93"/>
  <c r="L18" i="93"/>
  <c r="L19" i="93"/>
  <c r="L20" i="93"/>
  <c r="L21" i="93"/>
  <c r="L22" i="93"/>
  <c r="L23" i="93"/>
  <c r="L24" i="93"/>
  <c r="L25" i="93"/>
  <c r="L26" i="93"/>
  <c r="L27" i="93"/>
  <c r="L28" i="93"/>
  <c r="L29" i="93"/>
  <c r="L30" i="93"/>
  <c r="L31" i="93"/>
  <c r="L32" i="93"/>
  <c r="L33" i="93"/>
  <c r="L34" i="93"/>
  <c r="L35" i="93"/>
  <c r="L36" i="93"/>
  <c r="L37" i="93"/>
  <c r="L38" i="93"/>
  <c r="L39" i="93"/>
  <c r="L40" i="93"/>
  <c r="L41" i="93"/>
  <c r="L42" i="93"/>
  <c r="L43" i="93"/>
  <c r="L44" i="93"/>
  <c r="L45" i="93"/>
  <c r="L46" i="93"/>
  <c r="L47" i="93"/>
  <c r="L48" i="93"/>
  <c r="L49" i="93"/>
  <c r="L50" i="93"/>
  <c r="L51" i="93"/>
  <c r="L52" i="93"/>
  <c r="L53" i="93"/>
  <c r="L54" i="93"/>
  <c r="L55" i="93"/>
  <c r="L56" i="93"/>
  <c r="L57" i="93"/>
  <c r="L10" i="93"/>
  <c r="C3" i="94" l="1"/>
  <c r="K6" i="98" l="1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5" i="107" l="1"/>
  <c r="K5" i="104"/>
  <c r="K5" i="108" s="1"/>
  <c r="K5" i="111" s="1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11" s="1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Z39" i="105" s="1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AA26" i="95" s="1"/>
  <c r="W13" i="95"/>
  <c r="V13" i="95"/>
  <c r="U13" i="95"/>
  <c r="T13" i="95"/>
  <c r="AD21" i="95"/>
  <c r="AC20" i="95"/>
  <c r="T19" i="95"/>
  <c r="Y39" i="109" l="1"/>
  <c r="AA39" i="101"/>
  <c r="AD38" i="101"/>
  <c r="X26" i="98"/>
  <c r="AA27" i="99"/>
  <c r="X39" i="105"/>
  <c r="Z39" i="101"/>
  <c r="AB39" i="101"/>
  <c r="AD39" i="101"/>
  <c r="W26" i="95"/>
  <c r="AD26" i="95"/>
  <c r="C3" i="108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U38" i="110" l="1"/>
  <c r="V39" i="109"/>
  <c r="S38" i="110"/>
  <c r="W38" i="110"/>
  <c r="Y38" i="105"/>
  <c r="U38" i="109"/>
  <c r="AF32" i="101"/>
  <c r="AF33" i="101"/>
  <c r="AF25" i="101"/>
  <c r="X26" i="96"/>
  <c r="Z26" i="95"/>
  <c r="AF28" i="101"/>
  <c r="AB26" i="98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H106" i="111" s="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G10" i="111"/>
  <c r="G106" i="111" s="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P10" i="107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I106" i="111" l="1"/>
  <c r="C106" i="111"/>
  <c r="J106" i="111"/>
  <c r="K106" i="111"/>
  <c r="F106" i="111"/>
  <c r="N106" i="111"/>
  <c r="E106" i="111"/>
  <c r="M106" i="111"/>
  <c r="D106" i="111"/>
  <c r="L106" i="111"/>
  <c r="AE24" i="98"/>
  <c r="U39" i="107"/>
  <c r="V39" i="107"/>
  <c r="AD39" i="107"/>
  <c r="AD12" i="111"/>
  <c r="U36" i="107"/>
  <c r="S42" i="110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O34" i="111"/>
  <c r="P17" i="111"/>
  <c r="O21" i="111"/>
  <c r="O37" i="111"/>
  <c r="P41" i="111"/>
  <c r="O42" i="111"/>
  <c r="U20" i="111"/>
  <c r="P53" i="111"/>
  <c r="X10" i="111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F108" i="110"/>
  <c r="AA10" i="111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0" i="107"/>
  <c r="T39" i="107"/>
  <c r="AB39" i="107"/>
  <c r="AD34" i="107"/>
  <c r="S38" i="107"/>
  <c r="AC34" i="107"/>
  <c r="V34" i="107"/>
  <c r="AD38" i="107"/>
  <c r="H108" i="108"/>
  <c r="V36" i="107"/>
  <c r="AD37" i="107"/>
  <c r="AD35" i="107"/>
  <c r="C107" i="107"/>
  <c r="V37" i="107"/>
  <c r="Y37" i="107"/>
  <c r="W34" i="107"/>
  <c r="AD36" i="107"/>
  <c r="Y34" i="107"/>
  <c r="Z40" i="107"/>
  <c r="AB35" i="107"/>
  <c r="Z36" i="107"/>
  <c r="F107" i="105"/>
  <c r="AE12" i="107"/>
  <c r="AE16" i="107"/>
  <c r="AF18" i="107"/>
  <c r="H107" i="108"/>
  <c r="Y40" i="107"/>
  <c r="AE14" i="107"/>
  <c r="AE18" i="107"/>
  <c r="T38" i="107"/>
  <c r="V38" i="107"/>
  <c r="X36" i="107"/>
  <c r="U37" i="107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O106" i="111" l="1"/>
  <c r="P106" i="111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AE39" i="107"/>
  <c r="D107" i="107"/>
  <c r="G107" i="107"/>
  <c r="J107" i="107"/>
  <c r="N108" i="107"/>
  <c r="G108" i="107"/>
  <c r="D107" i="108"/>
  <c r="M107" i="108"/>
  <c r="K107" i="108"/>
  <c r="L108" i="107"/>
  <c r="AF40" i="107"/>
  <c r="F107" i="107"/>
  <c r="I107" i="107"/>
  <c r="E107" i="107"/>
  <c r="N107" i="107"/>
  <c r="C107" i="108"/>
  <c r="N107" i="108"/>
  <c r="F107" i="108"/>
  <c r="I107" i="108"/>
  <c r="E107" i="108"/>
  <c r="H107" i="107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34" i="111" l="1"/>
  <c r="K107" i="111"/>
  <c r="AF3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</calcChain>
</file>

<file path=xl/sharedStrings.xml><?xml version="1.0" encoding="utf-8"?>
<sst xmlns="http://schemas.openxmlformats.org/spreadsheetml/2006/main" count="2324" uniqueCount="175">
  <si>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</si>
  <si>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</si>
  <si>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</si>
  <si>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</si>
  <si>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</si>
  <si>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</si>
  <si>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</si>
  <si>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</si>
  <si>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</si>
  <si>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</si>
  <si>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</si>
  <si>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</si>
  <si>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</si>
  <si>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</si>
  <si>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</si>
  <si>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</si>
  <si>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</si>
  <si>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</si>
  <si>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</si>
  <si>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</si>
  <si>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</si>
  <si>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</si>
  <si>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</si>
  <si>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</si>
  <si>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</si>
  <si>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</si>
  <si>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</si>
  <si>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</si>
  <si>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</si>
  <si>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</si>
  <si>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</si>
  <si>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</si>
  <si>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</si>
  <si>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</si>
  <si>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</si>
  <si>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</si>
  <si>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</si>
  <si>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</si>
  <si>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</si>
  <si>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</si>
  <si>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</si>
  <si>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</si>
  <si>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</si>
  <si>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</si>
  <si>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</si>
  <si>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</si>
  <si>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</si>
  <si>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</si>
  <si>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</si>
  <si>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</si>
  <si>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</si>
  <si>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</si>
  <si>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</si>
  <si>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</si>
  <si>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</si>
  <si>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</si>
  <si>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</si>
  <si>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</si>
  <si>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</si>
  <si>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</si>
  <si>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</si>
  <si>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</si>
  <si>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</si>
  <si>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</si>
  <si>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</si>
  <si>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</si>
  <si>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</si>
  <si>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</si>
  <si>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</si>
  <si>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</si>
  <si>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</si>
  <si>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</si>
  <si>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</si>
  <si>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</si>
  <si>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</si>
  <si>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</si>
  <si>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</si>
  <si>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</si>
  <si>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</si>
  <si>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</si>
  <si>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</si>
  <si>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</si>
  <si>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</si>
  <si>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</si>
  <si>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</si>
  <si>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</si>
  <si>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</si>
  <si>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</si>
  <si>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</si>
  <si>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</si>
  <si>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</si>
  <si>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</si>
  <si>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</si>
  <si>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</si>
  <si>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</si>
  <si>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</si>
  <si>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</si>
  <si>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</si>
  <si>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</si>
  <si>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</si>
  <si>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</si>
  <si>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</si>
  <si>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</si>
  <si>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</si>
  <si>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</si>
  <si>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</si>
  <si>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</si>
  <si>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</si>
  <si>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</si>
  <si>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</si>
  <si>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</si>
  <si>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</si>
  <si>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</si>
  <si>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</si>
  <si>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</si>
  <si>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</si>
  <si>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</si>
  <si>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</si>
  <si>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</si>
  <si>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</si>
  <si>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</si>
  <si>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</si>
  <si>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</si>
  <si>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</si>
  <si>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</si>
  <si>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</si>
  <si>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</si>
  <si>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</si>
  <si>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</si>
  <si>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</si>
  <si>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</si>
  <si>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</si>
  <si>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</si>
  <si>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</si>
  <si>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</si>
  <si>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</si>
  <si>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</si>
  <si>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</si>
  <si>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</si>
  <si>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</si>
  <si>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</si>
  <si>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</si>
  <si>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</si>
  <si>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</si>
  <si>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</si>
  <si>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</si>
  <si>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</si>
  <si>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</si>
  <si>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</si>
  <si>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</si>
  <si>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</si>
  <si>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</si>
  <si>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</si>
  <si>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</si>
  <si>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</si>
  <si>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</si>
  <si>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</si>
  <si>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</si>
  <si>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</si>
  <si>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</si>
  <si>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</si>
  <si>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</si>
  <si>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xxx</t>
  </si>
  <si>
    <t>AVERAGE WEEK</t>
  </si>
  <si>
    <t>Buwenge</t>
  </si>
  <si>
    <t>Jinja</t>
  </si>
  <si>
    <t>12.08.19</t>
  </si>
  <si>
    <t>13.08.19</t>
  </si>
  <si>
    <t>14.08.19</t>
  </si>
  <si>
    <t>15.08.19</t>
  </si>
  <si>
    <t>16.08.19</t>
  </si>
  <si>
    <t>17.08.19</t>
  </si>
  <si>
    <t>18.08.19</t>
  </si>
  <si>
    <t>MCC - C3b - STN93 - Jinja-Buwenge ROAD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</si>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</sst>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'12.08 Buwenge-Jinja'!$AE$9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Buwenge-Jinja'!$AE$10:$AE$21</c:f>
              <c:numCache>
                <c:formatCode>0</c:formatCode>
                <c:ptCount val="12"/>
                <c:pt idx="0">
                  <c:v>98</c:v>
                </c:pt>
                <c:pt idx="1">
                  <c:v>96</c:v>
                </c:pt>
                <c:pt idx="2">
                  <c:v>80</c:v>
                </c:pt>
                <c:pt idx="3">
                  <c:v>83</c:v>
                </c:pt>
                <c:pt idx="4">
                  <c:v>100</c:v>
                </c:pt>
                <c:pt idx="5">
                  <c:v>85</c:v>
                </c:pt>
                <c:pt idx="6">
                  <c:v>109</c:v>
                </c:pt>
                <c:pt idx="7">
                  <c:v>111</c:v>
                </c:pt>
                <c:pt idx="8">
                  <c:v>186</c:v>
                </c:pt>
                <c:pt idx="9">
                  <c:v>230</c:v>
                </c:pt>
                <c:pt idx="10">
                  <c:v>193</c:v>
                </c:pt>
                <c:pt idx="11">
                  <c:v>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'12.08 Buwenge-Jinja'!$AF$9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Buwenge-Jinja'!$AF$10:$AF$21</c:f>
              <c:numCache>
                <c:formatCode>0</c:formatCode>
                <c:ptCount val="12"/>
                <c:pt idx="0">
                  <c:v>304</c:v>
                </c:pt>
                <c:pt idx="1">
                  <c:v>311</c:v>
                </c:pt>
                <c:pt idx="2">
                  <c:v>295</c:v>
                </c:pt>
                <c:pt idx="3">
                  <c:v>255</c:v>
                </c:pt>
                <c:pt idx="4">
                  <c:v>241</c:v>
                </c:pt>
                <c:pt idx="5">
                  <c:v>238</c:v>
                </c:pt>
                <c:pt idx="6">
                  <c:v>251</c:v>
                </c:pt>
                <c:pt idx="7">
                  <c:v>292</c:v>
                </c:pt>
                <c:pt idx="8">
                  <c:v>266</c:v>
                </c:pt>
                <c:pt idx="9">
                  <c:v>324</c:v>
                </c:pt>
                <c:pt idx="10">
                  <c:v>409</c:v>
                </c:pt>
                <c:pt idx="11">
                  <c:v>350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Buwenge-Jinja'!$C$9:$N$9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Buwenge-Jinja'!$C$59:$N$59</c:f>
              <c:numCache>
                <c:formatCode>0.0%</c:formatCode>
                <c:ptCount val="12"/>
                <c:pt idx="0">
                  <c:v>9.3325791855203621E-2</c:v>
                </c:pt>
                <c:pt idx="1">
                  <c:v>5.2601809954751132E-2</c:v>
                </c:pt>
                <c:pt idx="2">
                  <c:v>5.9106334841628957E-2</c:v>
                </c:pt>
                <c:pt idx="3">
                  <c:v>0.15752262443438914</c:v>
                </c:pt>
                <c:pt idx="4">
                  <c:v>3.0542986425339366E-2</c:v>
                </c:pt>
                <c:pt idx="5">
                  <c:v>1.9796380090497737E-3</c:v>
                </c:pt>
                <c:pt idx="6">
                  <c:v>3.6764705882352942E-2</c:v>
                </c:pt>
                <c:pt idx="7">
                  <c:v>2.5452488687782806E-3</c:v>
                </c:pt>
                <c:pt idx="8">
                  <c:v>5.6561085972850684E-4</c:v>
                </c:pt>
                <c:pt idx="9">
                  <c:v>0</c:v>
                </c:pt>
                <c:pt idx="10">
                  <c:v>0.56447963800904977</c:v>
                </c:pt>
                <c:pt idx="11">
                  <c:v>5.6561085972850684E-4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Buwenge-Jinja'!$C$9:$N$9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Buwenge-Jinja'!$C$60:$N$60</c:f>
              <c:numCache>
                <c:formatCode>0.00%</c:formatCode>
                <c:ptCount val="12"/>
                <c:pt idx="0">
                  <c:v>0.21428571428571427</c:v>
                </c:pt>
                <c:pt idx="1">
                  <c:v>0.12077922077922078</c:v>
                </c:pt>
                <c:pt idx="2">
                  <c:v>0.1357142857142857</c:v>
                </c:pt>
                <c:pt idx="3">
                  <c:v>0.36168831168831167</c:v>
                </c:pt>
                <c:pt idx="4">
                  <c:v>7.0129870129870125E-2</c:v>
                </c:pt>
                <c:pt idx="5">
                  <c:v>4.5454545454545452E-3</c:v>
                </c:pt>
                <c:pt idx="6">
                  <c:v>8.4415584415584416E-2</c:v>
                </c:pt>
                <c:pt idx="7">
                  <c:v>5.8441558441558444E-3</c:v>
                </c:pt>
                <c:pt idx="8">
                  <c:v>1.2987012987012987E-3</c:v>
                </c:pt>
                <c:pt idx="9">
                  <c:v>0</c:v>
                </c:pt>
                <c:pt idx="11">
                  <c:v>1.2987012987012987E-3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'12.08 Jinja-Buwenge'!$AE$9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Jinja-Buwenge'!$AE$10:$AE$21</c:f>
              <c:numCache>
                <c:formatCode>0</c:formatCode>
                <c:ptCount val="12"/>
                <c:pt idx="0">
                  <c:v>104</c:v>
                </c:pt>
                <c:pt idx="1">
                  <c:v>149</c:v>
                </c:pt>
                <c:pt idx="2">
                  <c:v>168</c:v>
                </c:pt>
                <c:pt idx="3">
                  <c:v>177</c:v>
                </c:pt>
                <c:pt idx="4">
                  <c:v>198</c:v>
                </c:pt>
                <c:pt idx="5">
                  <c:v>144</c:v>
                </c:pt>
                <c:pt idx="6">
                  <c:v>140</c:v>
                </c:pt>
                <c:pt idx="7">
                  <c:v>129</c:v>
                </c:pt>
                <c:pt idx="8">
                  <c:v>116</c:v>
                </c:pt>
                <c:pt idx="9">
                  <c:v>115</c:v>
                </c:pt>
                <c:pt idx="10">
                  <c:v>93</c:v>
                </c:pt>
                <c:pt idx="11">
                  <c:v>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'12.08 Jinja-Buwenge'!$AF$9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Jinja-Buwenge'!$AF$10:$AF$21</c:f>
              <c:numCache>
                <c:formatCode>0</c:formatCode>
                <c:ptCount val="12"/>
                <c:pt idx="0">
                  <c:v>205</c:v>
                </c:pt>
                <c:pt idx="1">
                  <c:v>265</c:v>
                </c:pt>
                <c:pt idx="2">
                  <c:v>335</c:v>
                </c:pt>
                <c:pt idx="3">
                  <c:v>340</c:v>
                </c:pt>
                <c:pt idx="4">
                  <c:v>385</c:v>
                </c:pt>
                <c:pt idx="5">
                  <c:v>321</c:v>
                </c:pt>
                <c:pt idx="6">
                  <c:v>328</c:v>
                </c:pt>
                <c:pt idx="7">
                  <c:v>332</c:v>
                </c:pt>
                <c:pt idx="8">
                  <c:v>258</c:v>
                </c:pt>
                <c:pt idx="9">
                  <c:v>260</c:v>
                </c:pt>
                <c:pt idx="10">
                  <c:v>238</c:v>
                </c:pt>
                <c:pt idx="11">
                  <c:v>293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Jinja-Buwenge'!$C$9:$N$9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Jinja-Buwenge'!$C$59:$N$59</c:f>
              <c:numCache>
                <c:formatCode>0.0%</c:formatCode>
                <c:ptCount val="12"/>
                <c:pt idx="0">
                  <c:v>0.10617977528089888</c:v>
                </c:pt>
                <c:pt idx="1">
                  <c:v>2.443820224719101E-2</c:v>
                </c:pt>
                <c:pt idx="2">
                  <c:v>8.1179775280898883E-2</c:v>
                </c:pt>
                <c:pt idx="3">
                  <c:v>0.17134831460674158</c:v>
                </c:pt>
                <c:pt idx="4">
                  <c:v>2.6966292134831461E-2</c:v>
                </c:pt>
                <c:pt idx="5">
                  <c:v>1.9662921348314608E-3</c:v>
                </c:pt>
                <c:pt idx="6">
                  <c:v>4.4101123595505616E-2</c:v>
                </c:pt>
                <c:pt idx="7">
                  <c:v>5.8988764044943824E-3</c:v>
                </c:pt>
                <c:pt idx="8">
                  <c:v>0</c:v>
                </c:pt>
                <c:pt idx="9">
                  <c:v>0</c:v>
                </c:pt>
                <c:pt idx="10">
                  <c:v>0.53735955056179774</c:v>
                </c:pt>
                <c:pt idx="11">
                  <c:v>5.6179775280898881E-4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'12.08 Jinja-Buwenge'!$S$9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'12.08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Jinja-Buwenge'!$S$10:$S$21</c:f>
              <c:numCache>
                <c:formatCode>0</c:formatCode>
                <c:ptCount val="12"/>
                <c:pt idx="0">
                  <c:v>22</c:v>
                </c:pt>
                <c:pt idx="1">
                  <c:v>35</c:v>
                </c:pt>
                <c:pt idx="2">
                  <c:v>32</c:v>
                </c:pt>
                <c:pt idx="3">
                  <c:v>37</c:v>
                </c:pt>
                <c:pt idx="4">
                  <c:v>50</c:v>
                </c:pt>
                <c:pt idx="5">
                  <c:v>34</c:v>
                </c:pt>
                <c:pt idx="6">
                  <c:v>30</c:v>
                </c:pt>
                <c:pt idx="7">
                  <c:v>32</c:v>
                </c:pt>
                <c:pt idx="8">
                  <c:v>31</c:v>
                </c:pt>
                <c:pt idx="9">
                  <c:v>27</c:v>
                </c:pt>
                <c:pt idx="10">
                  <c:v>23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'12.08 Jinja-Buwenge'!$T$9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'12.08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Jinja-Buwenge'!$T$10:$T$21</c:f>
              <c:numCache>
                <c:formatCode>0</c:formatCode>
                <c:ptCount val="12"/>
                <c:pt idx="0">
                  <c:v>2</c:v>
                </c:pt>
                <c:pt idx="1">
                  <c:v>12</c:v>
                </c:pt>
                <c:pt idx="2">
                  <c:v>16</c:v>
                </c:pt>
                <c:pt idx="3">
                  <c:v>13</c:v>
                </c:pt>
                <c:pt idx="4">
                  <c:v>15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'12.08 Jinja-Buwenge'!$U$9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'12.08 Jinja-Buwenge'!$U$10:$U$21</c:f>
              <c:numCache>
                <c:formatCode>0</c:formatCode>
                <c:ptCount val="12"/>
                <c:pt idx="0">
                  <c:v>14</c:v>
                </c:pt>
                <c:pt idx="1">
                  <c:v>35</c:v>
                </c:pt>
                <c:pt idx="2">
                  <c:v>42</c:v>
                </c:pt>
                <c:pt idx="3">
                  <c:v>37</c:v>
                </c:pt>
                <c:pt idx="4">
                  <c:v>43</c:v>
                </c:pt>
                <c:pt idx="5">
                  <c:v>23</c:v>
                </c:pt>
                <c:pt idx="6">
                  <c:v>16</c:v>
                </c:pt>
                <c:pt idx="7">
                  <c:v>19</c:v>
                </c:pt>
                <c:pt idx="8">
                  <c:v>17</c:v>
                </c:pt>
                <c:pt idx="9">
                  <c:v>16</c:v>
                </c:pt>
                <c:pt idx="10">
                  <c:v>11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'12.08 Jinja-Buwenge'!$V$9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'12.08 Jinja-Buwenge'!$V$10:$V$21</c:f>
              <c:numCache>
                <c:formatCode>0</c:formatCode>
                <c:ptCount val="12"/>
                <c:pt idx="0">
                  <c:v>37</c:v>
                </c:pt>
                <c:pt idx="1">
                  <c:v>40</c:v>
                </c:pt>
                <c:pt idx="2">
                  <c:v>59</c:v>
                </c:pt>
                <c:pt idx="3">
                  <c:v>62</c:v>
                </c:pt>
                <c:pt idx="4">
                  <c:v>66</c:v>
                </c:pt>
                <c:pt idx="5">
                  <c:v>58</c:v>
                </c:pt>
                <c:pt idx="6">
                  <c:v>67</c:v>
                </c:pt>
                <c:pt idx="7">
                  <c:v>49</c:v>
                </c:pt>
                <c:pt idx="8">
                  <c:v>45</c:v>
                </c:pt>
                <c:pt idx="9">
                  <c:v>50</c:v>
                </c:pt>
                <c:pt idx="10">
                  <c:v>37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'12.08 Jinja-Buwenge'!$W$9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'12.08 Jinja-Buwenge'!$W$10:$W$21</c:f>
              <c:numCache>
                <c:formatCode>0</c:formatCode>
                <c:ptCount val="12"/>
                <c:pt idx="0">
                  <c:v>16</c:v>
                </c:pt>
                <c:pt idx="1">
                  <c:v>14</c:v>
                </c:pt>
                <c:pt idx="2">
                  <c:v>9</c:v>
                </c:pt>
                <c:pt idx="3">
                  <c:v>5</c:v>
                </c:pt>
                <c:pt idx="4">
                  <c:v>3</c:v>
                </c:pt>
                <c:pt idx="5">
                  <c:v>7</c:v>
                </c:pt>
                <c:pt idx="6">
                  <c:v>7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'12.08 Jinja-Buwenge'!$X$9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'12.08 Jinja-Buwenge'!$X$10:$X$21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'12.08 Jinja-Buwenge'!$Y$9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Jinja-Buwenge'!$Y$10:$Y$21</c:f>
              <c:numCache>
                <c:formatCode>0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10</c:v>
                </c:pt>
                <c:pt idx="3">
                  <c:v>19</c:v>
                </c:pt>
                <c:pt idx="4">
                  <c:v>15</c:v>
                </c:pt>
                <c:pt idx="5">
                  <c:v>14</c:v>
                </c:pt>
                <c:pt idx="6">
                  <c:v>12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12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'12.08 Jinja-Buwenge'!$Z$9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Jinja-Buwenge'!$Z$10:$Z$21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'12.08 Jinja-Buwenge'!$AA$9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Jinja-Buwenge'!$AA$10:$AA$21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'12.08 Jinja-Buwenge'!$AB$9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Jinja-Buwenge'!$AB$10:$AB$21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'12.08 Jinja-Buwenge'!$AC$9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Jinja-Buwenge'!$AC$10:$AC$21</c:f>
              <c:numCache>
                <c:formatCode>0</c:formatCode>
                <c:ptCount val="12"/>
                <c:pt idx="0">
                  <c:v>101</c:v>
                </c:pt>
                <c:pt idx="1">
                  <c:v>116</c:v>
                </c:pt>
                <c:pt idx="2">
                  <c:v>167</c:v>
                </c:pt>
                <c:pt idx="3">
                  <c:v>163</c:v>
                </c:pt>
                <c:pt idx="4">
                  <c:v>187</c:v>
                </c:pt>
                <c:pt idx="5">
                  <c:v>177</c:v>
                </c:pt>
                <c:pt idx="6">
                  <c:v>188</c:v>
                </c:pt>
                <c:pt idx="7">
                  <c:v>203</c:v>
                </c:pt>
                <c:pt idx="8">
                  <c:v>142</c:v>
                </c:pt>
                <c:pt idx="9">
                  <c:v>145</c:v>
                </c:pt>
                <c:pt idx="10">
                  <c:v>145</c:v>
                </c:pt>
                <c:pt idx="11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'12.08 Jinja-Buwenge'!$AD$9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Jinja-Buwenge'!$AD$10:$AD$21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5664"/>
        <c:axId val="86707200"/>
      </c:lineChart>
      <c:catAx>
        <c:axId val="867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7200"/>
        <c:crosses val="autoZero"/>
        <c:auto val="1"/>
        <c:lblAlgn val="ctr"/>
        <c:lblOffset val="100"/>
        <c:noMultiLvlLbl val="0"/>
      </c:catAx>
      <c:valAx>
        <c:axId val="867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Jinja-Buwenge'!$C$9:$N$9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Jinja-Buwenge'!$C$60:$N$60</c:f>
              <c:numCache>
                <c:formatCode>0.00%</c:formatCode>
                <c:ptCount val="12"/>
                <c:pt idx="0">
                  <c:v>0.22950819672131148</c:v>
                </c:pt>
                <c:pt idx="1">
                  <c:v>5.2823315118397086E-2</c:v>
                </c:pt>
                <c:pt idx="2">
                  <c:v>0.17547055251973284</c:v>
                </c:pt>
                <c:pt idx="3">
                  <c:v>0.37037037037037035</c:v>
                </c:pt>
                <c:pt idx="4">
                  <c:v>5.8287795992714025E-2</c:v>
                </c:pt>
                <c:pt idx="5">
                  <c:v>4.2501517911353974E-3</c:v>
                </c:pt>
                <c:pt idx="6">
                  <c:v>9.532483302975106E-2</c:v>
                </c:pt>
                <c:pt idx="7">
                  <c:v>1.2750455373406194E-2</c:v>
                </c:pt>
                <c:pt idx="8">
                  <c:v>0</c:v>
                </c:pt>
                <c:pt idx="9">
                  <c:v>0</c:v>
                </c:pt>
                <c:pt idx="11">
                  <c:v>1.2143290831815423E-3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'13.08 Buwenge-Jinja'!$AE$9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Buwenge-Jinja'!$AE$10:$AE$21</c:f>
              <c:numCache>
                <c:formatCode>0</c:formatCode>
                <c:ptCount val="12"/>
                <c:pt idx="0">
                  <c:v>77</c:v>
                </c:pt>
                <c:pt idx="1">
                  <c:v>99</c:v>
                </c:pt>
                <c:pt idx="2">
                  <c:v>95</c:v>
                </c:pt>
                <c:pt idx="3">
                  <c:v>86</c:v>
                </c:pt>
                <c:pt idx="4">
                  <c:v>75</c:v>
                </c:pt>
                <c:pt idx="5">
                  <c:v>75</c:v>
                </c:pt>
                <c:pt idx="6">
                  <c:v>82</c:v>
                </c:pt>
                <c:pt idx="7">
                  <c:v>84</c:v>
                </c:pt>
                <c:pt idx="8">
                  <c:v>90</c:v>
                </c:pt>
                <c:pt idx="9">
                  <c:v>98</c:v>
                </c:pt>
                <c:pt idx="10">
                  <c:v>100</c:v>
                </c:pt>
                <c:pt idx="11">
                  <c:v>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'13.08 Buwenge-Jinja'!$AF$9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Buwenge-Jinja'!$AF$10:$AF$21</c:f>
              <c:numCache>
                <c:formatCode>0</c:formatCode>
                <c:ptCount val="12"/>
                <c:pt idx="0">
                  <c:v>284</c:v>
                </c:pt>
                <c:pt idx="1">
                  <c:v>326</c:v>
                </c:pt>
                <c:pt idx="2">
                  <c:v>275</c:v>
                </c:pt>
                <c:pt idx="3">
                  <c:v>254</c:v>
                </c:pt>
                <c:pt idx="4">
                  <c:v>227</c:v>
                </c:pt>
                <c:pt idx="5">
                  <c:v>217</c:v>
                </c:pt>
                <c:pt idx="6">
                  <c:v>216</c:v>
                </c:pt>
                <c:pt idx="7">
                  <c:v>226</c:v>
                </c:pt>
                <c:pt idx="8">
                  <c:v>225</c:v>
                </c:pt>
                <c:pt idx="9">
                  <c:v>234</c:v>
                </c:pt>
                <c:pt idx="10">
                  <c:v>292</c:v>
                </c:pt>
                <c:pt idx="11">
                  <c:v>298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03456"/>
        <c:axId val="89204992"/>
      </c:lineChart>
      <c:catAx>
        <c:axId val="89203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4992"/>
        <c:crosses val="autoZero"/>
        <c:auto val="1"/>
        <c:lblAlgn val="ctr"/>
        <c:lblOffset val="100"/>
        <c:noMultiLvlLbl val="0"/>
      </c:catAx>
      <c:valAx>
        <c:axId val="8920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Buwenge-Jinja'!$C$9:$N$9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Buwenge-Jinja'!$C$59:$N$59</c:f>
              <c:numCache>
                <c:formatCode>0.0%</c:formatCode>
                <c:ptCount val="12"/>
                <c:pt idx="0">
                  <c:v>7.4495770982433318E-2</c:v>
                </c:pt>
                <c:pt idx="1">
                  <c:v>7.4821080026024724E-3</c:v>
                </c:pt>
                <c:pt idx="2">
                  <c:v>4.196486662329213E-2</c:v>
                </c:pt>
                <c:pt idx="3">
                  <c:v>0.15354586857514638</c:v>
                </c:pt>
                <c:pt idx="4">
                  <c:v>2.3422251138581651E-2</c:v>
                </c:pt>
                <c:pt idx="5">
                  <c:v>1.6265452179570592E-3</c:v>
                </c:pt>
                <c:pt idx="6">
                  <c:v>5.3675992192582955E-2</c:v>
                </c:pt>
                <c:pt idx="7">
                  <c:v>4.8796356538711779E-3</c:v>
                </c:pt>
                <c:pt idx="8">
                  <c:v>6.5061808718282373E-4</c:v>
                </c:pt>
                <c:pt idx="9">
                  <c:v>0</c:v>
                </c:pt>
                <c:pt idx="10">
                  <c:v>0.63793103448275867</c:v>
                </c:pt>
                <c:pt idx="11">
                  <c:v>3.2530904359141186E-4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'13.08 Buwenge-Jinja'!$S$9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'13.08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Buwenge-Jinja'!$S$10:$S$21</c:f>
              <c:numCache>
                <c:formatCode>0</c:formatCode>
                <c:ptCount val="12"/>
                <c:pt idx="0">
                  <c:v>12</c:v>
                </c:pt>
                <c:pt idx="1">
                  <c:v>25</c:v>
                </c:pt>
                <c:pt idx="2">
                  <c:v>11</c:v>
                </c:pt>
                <c:pt idx="3">
                  <c:v>23</c:v>
                </c:pt>
                <c:pt idx="4">
                  <c:v>18</c:v>
                </c:pt>
                <c:pt idx="5">
                  <c:v>20</c:v>
                </c:pt>
                <c:pt idx="6">
                  <c:v>11</c:v>
                </c:pt>
                <c:pt idx="7">
                  <c:v>20</c:v>
                </c:pt>
                <c:pt idx="8">
                  <c:v>17</c:v>
                </c:pt>
                <c:pt idx="9">
                  <c:v>22</c:v>
                </c:pt>
                <c:pt idx="10">
                  <c:v>22</c:v>
                </c:pt>
                <c:pt idx="11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'13.08 Buwenge-Jinja'!$T$9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'13.08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Buwenge-Jinja'!$T$10:$T$21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'13.08 Buwenge-Jinja'!$U$9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'13.08 Buwenge-Jinja'!$U$10:$U$21</c:f>
              <c:numCache>
                <c:formatCode>0</c:formatCode>
                <c:ptCount val="12"/>
                <c:pt idx="0">
                  <c:v>3</c:v>
                </c:pt>
                <c:pt idx="1">
                  <c:v>9</c:v>
                </c:pt>
                <c:pt idx="2">
                  <c:v>10</c:v>
                </c:pt>
                <c:pt idx="3">
                  <c:v>7</c:v>
                </c:pt>
                <c:pt idx="4">
                  <c:v>7</c:v>
                </c:pt>
                <c:pt idx="5">
                  <c:v>12</c:v>
                </c:pt>
                <c:pt idx="6">
                  <c:v>9</c:v>
                </c:pt>
                <c:pt idx="7">
                  <c:v>14</c:v>
                </c:pt>
                <c:pt idx="8">
                  <c:v>11</c:v>
                </c:pt>
                <c:pt idx="9">
                  <c:v>9</c:v>
                </c:pt>
                <c:pt idx="10">
                  <c:v>15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'13.08 Buwenge-Jinja'!$V$9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'13.08 Buwenge-Jinja'!$V$10:$V$21</c:f>
              <c:numCache>
                <c:formatCode>0</c:formatCode>
                <c:ptCount val="12"/>
                <c:pt idx="0">
                  <c:v>36</c:v>
                </c:pt>
                <c:pt idx="1">
                  <c:v>43</c:v>
                </c:pt>
                <c:pt idx="2">
                  <c:v>50</c:v>
                </c:pt>
                <c:pt idx="3">
                  <c:v>48</c:v>
                </c:pt>
                <c:pt idx="4">
                  <c:v>35</c:v>
                </c:pt>
                <c:pt idx="5">
                  <c:v>31</c:v>
                </c:pt>
                <c:pt idx="6">
                  <c:v>34</c:v>
                </c:pt>
                <c:pt idx="7">
                  <c:v>30</c:v>
                </c:pt>
                <c:pt idx="8">
                  <c:v>38</c:v>
                </c:pt>
                <c:pt idx="9">
                  <c:v>41</c:v>
                </c:pt>
                <c:pt idx="10">
                  <c:v>34</c:v>
                </c:pt>
                <c:pt idx="1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'13.08 Buwenge-Jinja'!$W$9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'13.08 Buwenge-Jinja'!$W$10:$W$21</c:f>
              <c:numCache>
                <c:formatCode>0</c:formatCode>
                <c:ptCount val="12"/>
                <c:pt idx="0">
                  <c:v>17</c:v>
                </c:pt>
                <c:pt idx="1">
                  <c:v>11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8</c:v>
                </c:pt>
                <c:pt idx="7">
                  <c:v>1</c:v>
                </c:pt>
                <c:pt idx="8">
                  <c:v>3</c:v>
                </c:pt>
                <c:pt idx="9">
                  <c:v>7</c:v>
                </c:pt>
                <c:pt idx="10">
                  <c:v>4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'13.08 Buwenge-Jinja'!$X$9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'13.08 Buwenge-Jinja'!$X$10:$X$21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'13.08 Buwenge-Jinja'!$Y$9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Buwenge-Jinja'!$Y$10:$Y$21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14</c:v>
                </c:pt>
                <c:pt idx="3">
                  <c:v>5</c:v>
                </c:pt>
                <c:pt idx="4">
                  <c:v>10</c:v>
                </c:pt>
                <c:pt idx="5">
                  <c:v>9</c:v>
                </c:pt>
                <c:pt idx="6">
                  <c:v>16</c:v>
                </c:pt>
                <c:pt idx="7">
                  <c:v>14</c:v>
                </c:pt>
                <c:pt idx="8">
                  <c:v>17</c:v>
                </c:pt>
                <c:pt idx="9">
                  <c:v>17</c:v>
                </c:pt>
                <c:pt idx="10">
                  <c:v>21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'13.08 Buwenge-Jinja'!$Z$9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Buwenge-Jinja'!$Z$10:$Z$21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'13.08 Buwenge-Jinja'!$AA$9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Buwenge-Jinja'!$AA$10:$AA$21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'13.08 Buwenge-Jinja'!$AB$9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Buwenge-Jinja'!$AB$10:$AB$21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'13.08 Buwenge-Jinja'!$AC$9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Buwenge-Jinja'!$AC$10:$AC$21</c:f>
              <c:numCache>
                <c:formatCode>0</c:formatCode>
                <c:ptCount val="12"/>
                <c:pt idx="0">
                  <c:v>207</c:v>
                </c:pt>
                <c:pt idx="1">
                  <c:v>227</c:v>
                </c:pt>
                <c:pt idx="2">
                  <c:v>180</c:v>
                </c:pt>
                <c:pt idx="3">
                  <c:v>168</c:v>
                </c:pt>
                <c:pt idx="4">
                  <c:v>152</c:v>
                </c:pt>
                <c:pt idx="5">
                  <c:v>142</c:v>
                </c:pt>
                <c:pt idx="6">
                  <c:v>134</c:v>
                </c:pt>
                <c:pt idx="7">
                  <c:v>142</c:v>
                </c:pt>
                <c:pt idx="8">
                  <c:v>135</c:v>
                </c:pt>
                <c:pt idx="9">
                  <c:v>136</c:v>
                </c:pt>
                <c:pt idx="10">
                  <c:v>192</c:v>
                </c:pt>
                <c:pt idx="11">
                  <c:v>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'13.08 Buwenge-Jinja'!$AD$9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Buwenge-Jinja'!$AD$10:$AD$21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87296"/>
        <c:axId val="89297280"/>
      </c:lineChart>
      <c:catAx>
        <c:axId val="892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97280"/>
        <c:crosses val="autoZero"/>
        <c:auto val="1"/>
        <c:lblAlgn val="ctr"/>
        <c:lblOffset val="100"/>
        <c:noMultiLvlLbl val="0"/>
      </c:catAx>
      <c:valAx>
        <c:axId val="89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Buwenge-Jinja'!$C$9:$N$9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Buwenge-Jinja'!$C$60:$N$60</c:f>
              <c:numCache>
                <c:formatCode>0.00%</c:formatCode>
                <c:ptCount val="12"/>
                <c:pt idx="0">
                  <c:v>0.20575022461814915</c:v>
                </c:pt>
                <c:pt idx="1">
                  <c:v>2.0664869721473494E-2</c:v>
                </c:pt>
                <c:pt idx="2">
                  <c:v>0.11590296495956873</c:v>
                </c:pt>
                <c:pt idx="3">
                  <c:v>0.42407906558849956</c:v>
                </c:pt>
                <c:pt idx="4">
                  <c:v>6.4690026954177901E-2</c:v>
                </c:pt>
                <c:pt idx="5">
                  <c:v>4.4923629829290209E-3</c:v>
                </c:pt>
                <c:pt idx="6">
                  <c:v>0.14824797843665768</c:v>
                </c:pt>
                <c:pt idx="7">
                  <c:v>1.3477088948787063E-2</c:v>
                </c:pt>
                <c:pt idx="8">
                  <c:v>1.7969451931716084E-3</c:v>
                </c:pt>
                <c:pt idx="9">
                  <c:v>0</c:v>
                </c:pt>
                <c:pt idx="11">
                  <c:v>8.9847259658580418E-4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'13.08 Jinja-Buwenge'!$AE$9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Jinja-Buwenge'!$AE$10:$AE$21</c:f>
              <c:numCache>
                <c:formatCode>0</c:formatCode>
                <c:ptCount val="12"/>
                <c:pt idx="0">
                  <c:v>81</c:v>
                </c:pt>
                <c:pt idx="1">
                  <c:v>71</c:v>
                </c:pt>
                <c:pt idx="2">
                  <c:v>93</c:v>
                </c:pt>
                <c:pt idx="3">
                  <c:v>101</c:v>
                </c:pt>
                <c:pt idx="4">
                  <c:v>104</c:v>
                </c:pt>
                <c:pt idx="5">
                  <c:v>102</c:v>
                </c:pt>
                <c:pt idx="6">
                  <c:v>105</c:v>
                </c:pt>
                <c:pt idx="7">
                  <c:v>105</c:v>
                </c:pt>
                <c:pt idx="8">
                  <c:v>83</c:v>
                </c:pt>
                <c:pt idx="9">
                  <c:v>95</c:v>
                </c:pt>
                <c:pt idx="10">
                  <c:v>122</c:v>
                </c:pt>
                <c:pt idx="11">
                  <c:v>105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'13.08 Jinja-Buwenge'!$AF$9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Jinja-Buwenge'!$AF$10:$AF$21</c:f>
              <c:numCache>
                <c:formatCode>0</c:formatCode>
                <c:ptCount val="12"/>
                <c:pt idx="0">
                  <c:v>164</c:v>
                </c:pt>
                <c:pt idx="1">
                  <c:v>191</c:v>
                </c:pt>
                <c:pt idx="2">
                  <c:v>231</c:v>
                </c:pt>
                <c:pt idx="3">
                  <c:v>266</c:v>
                </c:pt>
                <c:pt idx="4">
                  <c:v>248</c:v>
                </c:pt>
                <c:pt idx="5">
                  <c:v>250</c:v>
                </c:pt>
                <c:pt idx="6">
                  <c:v>252</c:v>
                </c:pt>
                <c:pt idx="7">
                  <c:v>265</c:v>
                </c:pt>
                <c:pt idx="8">
                  <c:v>224</c:v>
                </c:pt>
                <c:pt idx="9">
                  <c:v>228</c:v>
                </c:pt>
                <c:pt idx="10">
                  <c:v>305</c:v>
                </c:pt>
                <c:pt idx="11">
                  <c:v>314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8832"/>
        <c:axId val="110890368"/>
      </c:lineChart>
      <c:catAx>
        <c:axId val="110888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90368"/>
        <c:crosses val="autoZero"/>
        <c:auto val="1"/>
        <c:lblAlgn val="ctr"/>
        <c:lblOffset val="100"/>
        <c:noMultiLvlLbl val="0"/>
      </c:catAx>
      <c:valAx>
        <c:axId val="11089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8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Jinja-Buwenge'!$C$9:$N$9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Jinja-Buwenge'!$C$59:$N$59</c:f>
              <c:numCache>
                <c:formatCode>0.0%</c:formatCode>
                <c:ptCount val="12"/>
                <c:pt idx="0">
                  <c:v>9.7345132743362831E-2</c:v>
                </c:pt>
                <c:pt idx="1">
                  <c:v>8.8495575221238937E-3</c:v>
                </c:pt>
                <c:pt idx="2">
                  <c:v>4.8332198774676649E-2</c:v>
                </c:pt>
                <c:pt idx="3">
                  <c:v>0.16575901974132062</c:v>
                </c:pt>
                <c:pt idx="4">
                  <c:v>2.3485364193328796E-2</c:v>
                </c:pt>
                <c:pt idx="5">
                  <c:v>1.7018379850238256E-3</c:v>
                </c:pt>
                <c:pt idx="6">
                  <c:v>4.7311095983662357E-2</c:v>
                </c:pt>
                <c:pt idx="7">
                  <c:v>3.0633083730428863E-3</c:v>
                </c:pt>
                <c:pt idx="8">
                  <c:v>1.0211027910142954E-3</c:v>
                </c:pt>
                <c:pt idx="9">
                  <c:v>0</c:v>
                </c:pt>
                <c:pt idx="10">
                  <c:v>0.60279101429543902</c:v>
                </c:pt>
                <c:pt idx="11">
                  <c:v>3.4036759700476512E-4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'13.08 Jinja-Buwenge'!$S$9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'13.08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Jinja-Buwenge'!$S$10:$S$21</c:f>
              <c:numCache>
                <c:formatCode>0</c:formatCode>
                <c:ptCount val="12"/>
                <c:pt idx="0">
                  <c:v>21</c:v>
                </c:pt>
                <c:pt idx="1">
                  <c:v>13</c:v>
                </c:pt>
                <c:pt idx="2">
                  <c:v>25</c:v>
                </c:pt>
                <c:pt idx="3">
                  <c:v>22</c:v>
                </c:pt>
                <c:pt idx="4">
                  <c:v>26</c:v>
                </c:pt>
                <c:pt idx="5">
                  <c:v>21</c:v>
                </c:pt>
                <c:pt idx="6">
                  <c:v>24</c:v>
                </c:pt>
                <c:pt idx="7">
                  <c:v>26</c:v>
                </c:pt>
                <c:pt idx="8">
                  <c:v>24</c:v>
                </c:pt>
                <c:pt idx="9">
                  <c:v>23</c:v>
                </c:pt>
                <c:pt idx="10">
                  <c:v>35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'13.08 Jinja-Buwenge'!$T$9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'13.08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Jinja-Buwenge'!$T$10:$T$21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'13.08 Jinja-Buwenge'!$U$9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'13.08 Jinja-Buwenge'!$U$10:$U$21</c:f>
              <c:numCache>
                <c:formatCode>0</c:formatCode>
                <c:ptCount val="12"/>
                <c:pt idx="0">
                  <c:v>2</c:v>
                </c:pt>
                <c:pt idx="1">
                  <c:v>9</c:v>
                </c:pt>
                <c:pt idx="2">
                  <c:v>9</c:v>
                </c:pt>
                <c:pt idx="3">
                  <c:v>17</c:v>
                </c:pt>
                <c:pt idx="4">
                  <c:v>16</c:v>
                </c:pt>
                <c:pt idx="5">
                  <c:v>9</c:v>
                </c:pt>
                <c:pt idx="6">
                  <c:v>13</c:v>
                </c:pt>
                <c:pt idx="7">
                  <c:v>21</c:v>
                </c:pt>
                <c:pt idx="8">
                  <c:v>11</c:v>
                </c:pt>
                <c:pt idx="9">
                  <c:v>9</c:v>
                </c:pt>
                <c:pt idx="10">
                  <c:v>14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'13.08 Jinja-Buwenge'!$V$9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'13.08 Jinja-Buwenge'!$V$10:$V$21</c:f>
              <c:numCache>
                <c:formatCode>0</c:formatCode>
                <c:ptCount val="12"/>
                <c:pt idx="0">
                  <c:v>25</c:v>
                </c:pt>
                <c:pt idx="1">
                  <c:v>31</c:v>
                </c:pt>
                <c:pt idx="2">
                  <c:v>44</c:v>
                </c:pt>
                <c:pt idx="3">
                  <c:v>44</c:v>
                </c:pt>
                <c:pt idx="4">
                  <c:v>46</c:v>
                </c:pt>
                <c:pt idx="5">
                  <c:v>41</c:v>
                </c:pt>
                <c:pt idx="6">
                  <c:v>47</c:v>
                </c:pt>
                <c:pt idx="7">
                  <c:v>42</c:v>
                </c:pt>
                <c:pt idx="8">
                  <c:v>37</c:v>
                </c:pt>
                <c:pt idx="9">
                  <c:v>41</c:v>
                </c:pt>
                <c:pt idx="10">
                  <c:v>46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'13.08 Jinja-Buwenge'!$W$9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'13.08 Jinja-Buwenge'!$W$10:$W$21</c:f>
              <c:numCache>
                <c:formatCode>0</c:formatCode>
                <c:ptCount val="12"/>
                <c:pt idx="0">
                  <c:v>17</c:v>
                </c:pt>
                <c:pt idx="1">
                  <c:v>8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7</c:v>
                </c:pt>
                <c:pt idx="6">
                  <c:v>7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6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'13.08 Jinja-Buwenge'!$X$9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'13.08 Jinja-Buwenge'!$X$10:$X$21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'13.08 Jinja-Buwenge'!$Y$9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Jinja-Buwenge'!$Y$10:$Y$21</c:f>
              <c:numCache>
                <c:formatCode>0</c:formatCode>
                <c:ptCount val="12"/>
                <c:pt idx="0">
                  <c:v>14</c:v>
                </c:pt>
                <c:pt idx="1">
                  <c:v>6</c:v>
                </c:pt>
                <c:pt idx="2">
                  <c:v>10</c:v>
                </c:pt>
                <c:pt idx="3">
                  <c:v>11</c:v>
                </c:pt>
                <c:pt idx="4">
                  <c:v>10</c:v>
                </c:pt>
                <c:pt idx="5">
                  <c:v>22</c:v>
                </c:pt>
                <c:pt idx="6">
                  <c:v>10</c:v>
                </c:pt>
                <c:pt idx="7">
                  <c:v>6</c:v>
                </c:pt>
                <c:pt idx="8">
                  <c:v>7</c:v>
                </c:pt>
                <c:pt idx="9">
                  <c:v>17</c:v>
                </c:pt>
                <c:pt idx="10">
                  <c:v>16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'13.08 Jinja-Buwenge'!$Z$9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Jinja-Buwenge'!$Z$10:$Z$21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'13.08 Jinja-Buwenge'!$AA$9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Jinja-Buwenge'!$AA$10:$AA$21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'13.08 Jinja-Buwenge'!$AB$9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Jinja-Buwenge'!$AB$10:$AB$21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'13.08 Jinja-Buwenge'!$AC$9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Jinja-Buwenge'!$AC$10:$AC$21</c:f>
              <c:numCache>
                <c:formatCode>0</c:formatCode>
                <c:ptCount val="12"/>
                <c:pt idx="0">
                  <c:v>83</c:v>
                </c:pt>
                <c:pt idx="1">
                  <c:v>120</c:v>
                </c:pt>
                <c:pt idx="2">
                  <c:v>138</c:v>
                </c:pt>
                <c:pt idx="3">
                  <c:v>165</c:v>
                </c:pt>
                <c:pt idx="4">
                  <c:v>144</c:v>
                </c:pt>
                <c:pt idx="5">
                  <c:v>148</c:v>
                </c:pt>
                <c:pt idx="6">
                  <c:v>147</c:v>
                </c:pt>
                <c:pt idx="7">
                  <c:v>160</c:v>
                </c:pt>
                <c:pt idx="8">
                  <c:v>141</c:v>
                </c:pt>
                <c:pt idx="9">
                  <c:v>133</c:v>
                </c:pt>
                <c:pt idx="10">
                  <c:v>183</c:v>
                </c:pt>
                <c:pt idx="11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'13.08 Jinja-Buwenge'!$AD$9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Jinja-Buwenge'!$AD$10:$AD$21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0864"/>
        <c:axId val="111142400"/>
      </c:lineChart>
      <c:catAx>
        <c:axId val="1111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2400"/>
        <c:crosses val="autoZero"/>
        <c:auto val="1"/>
        <c:lblAlgn val="ctr"/>
        <c:lblOffset val="100"/>
        <c:noMultiLvlLbl val="0"/>
      </c:catAx>
      <c:valAx>
        <c:axId val="1111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Jinja-Buwenge'!$C$9:$N$9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Jinja-Buwenge'!$C$60:$N$60</c:f>
              <c:numCache>
                <c:formatCode>0.00%</c:formatCode>
                <c:ptCount val="12"/>
                <c:pt idx="0">
                  <c:v>0.24507283633247642</c:v>
                </c:pt>
                <c:pt idx="1">
                  <c:v>2.2279348757497857E-2</c:v>
                </c:pt>
                <c:pt idx="2">
                  <c:v>0.12167952013710369</c:v>
                </c:pt>
                <c:pt idx="3">
                  <c:v>0.41730934018851756</c:v>
                </c:pt>
                <c:pt idx="4">
                  <c:v>5.9125964010282778E-2</c:v>
                </c:pt>
                <c:pt idx="5">
                  <c:v>4.2844901456726651E-3</c:v>
                </c:pt>
                <c:pt idx="6">
                  <c:v>0.11910882604970009</c:v>
                </c:pt>
                <c:pt idx="7">
                  <c:v>7.7120822622107968E-3</c:v>
                </c:pt>
                <c:pt idx="8">
                  <c:v>2.5706940874035988E-3</c:v>
                </c:pt>
                <c:pt idx="9">
                  <c:v>0</c:v>
                </c:pt>
                <c:pt idx="11">
                  <c:v>8.5689802913453304E-4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'14.08 Buwenge-Jinja'!$AE$9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'14.08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Buwenge-Jinja'!$AE$10:$AE$21</c:f>
              <c:numCache>
                <c:formatCode>0</c:formatCode>
                <c:ptCount val="12"/>
                <c:pt idx="0">
                  <c:v>72</c:v>
                </c:pt>
                <c:pt idx="1">
                  <c:v>83</c:v>
                </c:pt>
                <c:pt idx="2">
                  <c:v>97</c:v>
                </c:pt>
                <c:pt idx="3">
                  <c:v>68</c:v>
                </c:pt>
                <c:pt idx="4">
                  <c:v>70</c:v>
                </c:pt>
                <c:pt idx="5">
                  <c:v>61</c:v>
                </c:pt>
                <c:pt idx="6">
                  <c:v>71</c:v>
                </c:pt>
                <c:pt idx="7">
                  <c:v>86</c:v>
                </c:pt>
                <c:pt idx="8">
                  <c:v>75</c:v>
                </c:pt>
                <c:pt idx="9">
                  <c:v>98</c:v>
                </c:pt>
                <c:pt idx="10">
                  <c:v>114</c:v>
                </c:pt>
                <c:pt idx="11">
                  <c:v>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'14.08 Buwenge-Jinja'!$AF$9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'14.08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Buwenge-Jinja'!$AF$10:$AF$21</c:f>
              <c:numCache>
                <c:formatCode>0</c:formatCode>
                <c:ptCount val="12"/>
                <c:pt idx="0">
                  <c:v>306</c:v>
                </c:pt>
                <c:pt idx="1">
                  <c:v>279</c:v>
                </c:pt>
                <c:pt idx="2">
                  <c:v>273</c:v>
                </c:pt>
                <c:pt idx="3">
                  <c:v>194</c:v>
                </c:pt>
                <c:pt idx="4">
                  <c:v>209</c:v>
                </c:pt>
                <c:pt idx="5">
                  <c:v>181</c:v>
                </c:pt>
                <c:pt idx="6">
                  <c:v>199</c:v>
                </c:pt>
                <c:pt idx="7">
                  <c:v>208</c:v>
                </c:pt>
                <c:pt idx="8">
                  <c:v>215</c:v>
                </c:pt>
                <c:pt idx="9">
                  <c:v>259</c:v>
                </c:pt>
                <c:pt idx="10">
                  <c:v>265</c:v>
                </c:pt>
                <c:pt idx="11">
                  <c:v>316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52832"/>
        <c:axId val="111403776"/>
      </c:lineChart>
      <c:catAx>
        <c:axId val="11135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03776"/>
        <c:crosses val="autoZero"/>
        <c:auto val="1"/>
        <c:lblAlgn val="ctr"/>
        <c:lblOffset val="100"/>
        <c:noMultiLvlLbl val="0"/>
      </c:catAx>
      <c:valAx>
        <c:axId val="11140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3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Buwenge-Jinja'!$C$9:$N$9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Buwenge-Jinja'!$C$59:$N$59</c:f>
              <c:numCache>
                <c:formatCode>0.0%</c:formatCode>
                <c:ptCount val="12"/>
                <c:pt idx="0">
                  <c:v>6.3360881542699726E-2</c:v>
                </c:pt>
                <c:pt idx="1">
                  <c:v>8.6088154269972454E-3</c:v>
                </c:pt>
                <c:pt idx="2">
                  <c:v>4.7176308539944901E-2</c:v>
                </c:pt>
                <c:pt idx="3">
                  <c:v>0.15736914600550964</c:v>
                </c:pt>
                <c:pt idx="4">
                  <c:v>2.4104683195592287E-2</c:v>
                </c:pt>
                <c:pt idx="5">
                  <c:v>1.3774104683195593E-3</c:v>
                </c:pt>
                <c:pt idx="6">
                  <c:v>4.5798898071625342E-2</c:v>
                </c:pt>
                <c:pt idx="7">
                  <c:v>5.1652892561983473E-3</c:v>
                </c:pt>
                <c:pt idx="8">
                  <c:v>1.0330578512396695E-3</c:v>
                </c:pt>
                <c:pt idx="9">
                  <c:v>0</c:v>
                </c:pt>
                <c:pt idx="10">
                  <c:v>0.64566115702479343</c:v>
                </c:pt>
                <c:pt idx="11">
                  <c:v>3.4435261707988982E-4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'14.08 Buwenge-Jinja'!$S$9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'14.08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Buwenge-Jinja'!$S$10:$S$21</c:f>
              <c:numCache>
                <c:formatCode>0</c:formatCode>
                <c:ptCount val="12"/>
                <c:pt idx="0">
                  <c:v>12</c:v>
                </c:pt>
                <c:pt idx="1">
                  <c:v>12</c:v>
                </c:pt>
                <c:pt idx="2">
                  <c:v>17</c:v>
                </c:pt>
                <c:pt idx="3">
                  <c:v>16</c:v>
                </c:pt>
                <c:pt idx="4">
                  <c:v>10</c:v>
                </c:pt>
                <c:pt idx="5">
                  <c:v>11</c:v>
                </c:pt>
                <c:pt idx="6">
                  <c:v>10</c:v>
                </c:pt>
                <c:pt idx="7">
                  <c:v>13</c:v>
                </c:pt>
                <c:pt idx="8">
                  <c:v>13</c:v>
                </c:pt>
                <c:pt idx="9">
                  <c:v>19</c:v>
                </c:pt>
                <c:pt idx="10">
                  <c:v>20</c:v>
                </c:pt>
                <c:pt idx="11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'14.08 Buwenge-Jinja'!$T$9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'14.08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Buwenge-Jinja'!$T$10:$T$21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'14.08 Buwenge-Jinja'!$U$9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'14.08 Buwenge-Jinja'!$U$10:$U$21</c:f>
              <c:numCache>
                <c:formatCode>0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14</c:v>
                </c:pt>
                <c:pt idx="3">
                  <c:v>7</c:v>
                </c:pt>
                <c:pt idx="4">
                  <c:v>12</c:v>
                </c:pt>
                <c:pt idx="5">
                  <c:v>8</c:v>
                </c:pt>
                <c:pt idx="6">
                  <c:v>12</c:v>
                </c:pt>
                <c:pt idx="7">
                  <c:v>15</c:v>
                </c:pt>
                <c:pt idx="8">
                  <c:v>11</c:v>
                </c:pt>
                <c:pt idx="9">
                  <c:v>17</c:v>
                </c:pt>
                <c:pt idx="10">
                  <c:v>13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'14.08 Buwenge-Jinja'!$V$9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'14.08 Buwenge-Jinja'!$V$10:$V$21</c:f>
              <c:numCache>
                <c:formatCode>0</c:formatCode>
                <c:ptCount val="12"/>
                <c:pt idx="0">
                  <c:v>28</c:v>
                </c:pt>
                <c:pt idx="1">
                  <c:v>42</c:v>
                </c:pt>
                <c:pt idx="2">
                  <c:v>46</c:v>
                </c:pt>
                <c:pt idx="3">
                  <c:v>35</c:v>
                </c:pt>
                <c:pt idx="4">
                  <c:v>37</c:v>
                </c:pt>
                <c:pt idx="5">
                  <c:v>31</c:v>
                </c:pt>
                <c:pt idx="6">
                  <c:v>36</c:v>
                </c:pt>
                <c:pt idx="7">
                  <c:v>35</c:v>
                </c:pt>
                <c:pt idx="8">
                  <c:v>35</c:v>
                </c:pt>
                <c:pt idx="9">
                  <c:v>41</c:v>
                </c:pt>
                <c:pt idx="10">
                  <c:v>48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'14.08 Buwenge-Jinja'!$W$9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'14.08 Buwenge-Jinja'!$W$10:$W$21</c:f>
              <c:numCache>
                <c:formatCode>0</c:formatCode>
                <c:ptCount val="12"/>
                <c:pt idx="0">
                  <c:v>17</c:v>
                </c:pt>
                <c:pt idx="1">
                  <c:v>9</c:v>
                </c:pt>
                <c:pt idx="2">
                  <c:v>7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6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'14.08 Buwenge-Jinja'!$X$9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'14.08 Buwenge-Jinja'!$X$10:$X$21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'14.08 Buwenge-Jinja'!$Y$9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Buwenge-Jinja'!$Y$10:$Y$21</c:f>
              <c:numCache>
                <c:formatCode>0</c:formatCode>
                <c:ptCount val="12"/>
                <c:pt idx="0">
                  <c:v>7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14</c:v>
                </c:pt>
                <c:pt idx="8">
                  <c:v>10</c:v>
                </c:pt>
                <c:pt idx="9">
                  <c:v>12</c:v>
                </c:pt>
                <c:pt idx="10">
                  <c:v>22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'14.08 Buwenge-Jinja'!$Z$9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Buwenge-Jinja'!$Z$10:$Z$21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'14.08 Buwenge-Jinja'!$AA$9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Buwenge-Jinja'!$AA$10:$AA$21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'14.08 Buwenge-Jinja'!$AB$9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Buwenge-Jinja'!$AB$10:$AB$21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'14.08 Buwenge-Jinja'!$AC$9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Buwenge-Jinja'!$AC$10:$AC$21</c:f>
              <c:numCache>
                <c:formatCode>0</c:formatCode>
                <c:ptCount val="12"/>
                <c:pt idx="0">
                  <c:v>234</c:v>
                </c:pt>
                <c:pt idx="1">
                  <c:v>196</c:v>
                </c:pt>
                <c:pt idx="2">
                  <c:v>176</c:v>
                </c:pt>
                <c:pt idx="3">
                  <c:v>126</c:v>
                </c:pt>
                <c:pt idx="4">
                  <c:v>139</c:v>
                </c:pt>
                <c:pt idx="5">
                  <c:v>120</c:v>
                </c:pt>
                <c:pt idx="6">
                  <c:v>128</c:v>
                </c:pt>
                <c:pt idx="7">
                  <c:v>122</c:v>
                </c:pt>
                <c:pt idx="8">
                  <c:v>140</c:v>
                </c:pt>
                <c:pt idx="9">
                  <c:v>161</c:v>
                </c:pt>
                <c:pt idx="10">
                  <c:v>151</c:v>
                </c:pt>
                <c:pt idx="11">
                  <c:v>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'14.08 Buwenge-Jinja'!$AD$9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Buwenge-Jinja'!$AD$10:$AD$21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52320"/>
        <c:axId val="111753856"/>
      </c:lineChart>
      <c:catAx>
        <c:axId val="11175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3856"/>
        <c:crosses val="autoZero"/>
        <c:auto val="1"/>
        <c:lblAlgn val="ctr"/>
        <c:lblOffset val="100"/>
        <c:noMultiLvlLbl val="0"/>
      </c:catAx>
      <c:valAx>
        <c:axId val="1117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Buwenge-Jinja'!$C$9:$N$9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Buwenge-Jinja'!$C$60:$N$60</c:f>
              <c:numCache>
                <c:formatCode>0.00%</c:formatCode>
                <c:ptCount val="12"/>
                <c:pt idx="0">
                  <c:v>0.17881438289601556</c:v>
                </c:pt>
                <c:pt idx="1">
                  <c:v>2.4295432458697766E-2</c:v>
                </c:pt>
                <c:pt idx="2">
                  <c:v>0.13313896987366375</c:v>
                </c:pt>
                <c:pt idx="3">
                  <c:v>0.44412050534499514</c:v>
                </c:pt>
                <c:pt idx="4">
                  <c:v>6.8027210884353748E-2</c:v>
                </c:pt>
                <c:pt idx="5">
                  <c:v>3.8872691933916422E-3</c:v>
                </c:pt>
                <c:pt idx="6">
                  <c:v>0.12925170068027211</c:v>
                </c:pt>
                <c:pt idx="7">
                  <c:v>1.4577259475218658E-2</c:v>
                </c:pt>
                <c:pt idx="8">
                  <c:v>2.9154518950437317E-3</c:v>
                </c:pt>
                <c:pt idx="9">
                  <c:v>0</c:v>
                </c:pt>
                <c:pt idx="11">
                  <c:v>9.7181729834791054E-4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'14.08 Jinja-Buwenge'!$AE$9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'14.08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Jinja-Buwenge'!$AE$10:$AE$21</c:f>
              <c:numCache>
                <c:formatCode>0</c:formatCode>
                <c:ptCount val="12"/>
                <c:pt idx="0">
                  <c:v>74</c:v>
                </c:pt>
                <c:pt idx="1">
                  <c:v>81</c:v>
                </c:pt>
                <c:pt idx="2">
                  <c:v>100</c:v>
                </c:pt>
                <c:pt idx="3">
                  <c:v>88</c:v>
                </c:pt>
                <c:pt idx="4">
                  <c:v>91</c:v>
                </c:pt>
                <c:pt idx="5">
                  <c:v>90</c:v>
                </c:pt>
                <c:pt idx="6">
                  <c:v>87</c:v>
                </c:pt>
                <c:pt idx="7">
                  <c:v>101</c:v>
                </c:pt>
                <c:pt idx="8">
                  <c:v>90</c:v>
                </c:pt>
                <c:pt idx="9">
                  <c:v>85</c:v>
                </c:pt>
                <c:pt idx="10">
                  <c:v>101</c:v>
                </c:pt>
                <c:pt idx="11">
                  <c:v>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'14.08 Jinja-Buwenge'!$AF$9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'14.08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Jinja-Buwenge'!$AF$10:$AF$21</c:f>
              <c:numCache>
                <c:formatCode>0</c:formatCode>
                <c:ptCount val="12"/>
                <c:pt idx="0">
                  <c:v>181</c:v>
                </c:pt>
                <c:pt idx="1">
                  <c:v>212</c:v>
                </c:pt>
                <c:pt idx="2">
                  <c:v>274</c:v>
                </c:pt>
                <c:pt idx="3">
                  <c:v>217</c:v>
                </c:pt>
                <c:pt idx="4">
                  <c:v>263</c:v>
                </c:pt>
                <c:pt idx="5">
                  <c:v>246</c:v>
                </c:pt>
                <c:pt idx="6">
                  <c:v>242</c:v>
                </c:pt>
                <c:pt idx="7">
                  <c:v>248</c:v>
                </c:pt>
                <c:pt idx="8">
                  <c:v>243</c:v>
                </c:pt>
                <c:pt idx="9">
                  <c:v>234</c:v>
                </c:pt>
                <c:pt idx="10">
                  <c:v>305</c:v>
                </c:pt>
                <c:pt idx="11">
                  <c:v>271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41664"/>
        <c:axId val="111843200"/>
      </c:lineChart>
      <c:catAx>
        <c:axId val="111841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3200"/>
        <c:crosses val="autoZero"/>
        <c:auto val="1"/>
        <c:lblAlgn val="ctr"/>
        <c:lblOffset val="100"/>
        <c:noMultiLvlLbl val="0"/>
      </c:catAx>
      <c:valAx>
        <c:axId val="1118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Jinja-Buwenge'!$C$9:$N$9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Jinja-Buwenge'!$C$59:$N$59</c:f>
              <c:numCache>
                <c:formatCode>0.0%</c:formatCode>
                <c:ptCount val="12"/>
                <c:pt idx="0">
                  <c:v>8.1403269754768387E-2</c:v>
                </c:pt>
                <c:pt idx="1">
                  <c:v>6.8119891008174387E-3</c:v>
                </c:pt>
                <c:pt idx="2">
                  <c:v>4.3256130790190736E-2</c:v>
                </c:pt>
                <c:pt idx="3">
                  <c:v>0.16689373297002724</c:v>
                </c:pt>
                <c:pt idx="4">
                  <c:v>2.3501362397820164E-2</c:v>
                </c:pt>
                <c:pt idx="5">
                  <c:v>1.3623978201634877E-3</c:v>
                </c:pt>
                <c:pt idx="6">
                  <c:v>4.0871934604904632E-2</c:v>
                </c:pt>
                <c:pt idx="7">
                  <c:v>4.4277929155313355E-3</c:v>
                </c:pt>
                <c:pt idx="8">
                  <c:v>1.0217983651226157E-3</c:v>
                </c:pt>
                <c:pt idx="9">
                  <c:v>0</c:v>
                </c:pt>
                <c:pt idx="10">
                  <c:v>0.63044959128065392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Jinja-Buwenge'!$C$9:$N$9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Jinja-Buwenge'!$C$60:$N$60</c:f>
              <c:numCache>
                <c:formatCode>0.00%</c:formatCode>
                <c:ptCount val="12"/>
                <c:pt idx="0">
                  <c:v>0.22027649769585253</c:v>
                </c:pt>
                <c:pt idx="1">
                  <c:v>1.8433179723502304E-2</c:v>
                </c:pt>
                <c:pt idx="2">
                  <c:v>0.11705069124423963</c:v>
                </c:pt>
                <c:pt idx="3">
                  <c:v>0.45161290322580644</c:v>
                </c:pt>
                <c:pt idx="4">
                  <c:v>6.3594470046082943E-2</c:v>
                </c:pt>
                <c:pt idx="5">
                  <c:v>3.6866359447004608E-3</c:v>
                </c:pt>
                <c:pt idx="6">
                  <c:v>0.11059907834101383</c:v>
                </c:pt>
                <c:pt idx="7">
                  <c:v>1.1981566820276499E-2</c:v>
                </c:pt>
                <c:pt idx="8">
                  <c:v>2.7649769585253456E-3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Buwenge-Jinja'!$AE$9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'15.08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Buwenge-Jinja'!$AE$10:$AE$21</c:f>
              <c:numCache>
                <c:formatCode>0</c:formatCode>
                <c:ptCount val="12"/>
                <c:pt idx="0">
                  <c:v>87</c:v>
                </c:pt>
                <c:pt idx="1">
                  <c:v>91</c:v>
                </c:pt>
                <c:pt idx="2">
                  <c:v>92</c:v>
                </c:pt>
                <c:pt idx="3">
                  <c:v>80</c:v>
                </c:pt>
                <c:pt idx="4">
                  <c:v>77</c:v>
                </c:pt>
                <c:pt idx="5">
                  <c:v>100</c:v>
                </c:pt>
                <c:pt idx="6">
                  <c:v>88</c:v>
                </c:pt>
                <c:pt idx="7">
                  <c:v>83</c:v>
                </c:pt>
                <c:pt idx="8">
                  <c:v>121</c:v>
                </c:pt>
                <c:pt idx="9">
                  <c:v>106</c:v>
                </c:pt>
                <c:pt idx="10">
                  <c:v>144</c:v>
                </c:pt>
                <c:pt idx="11">
                  <c:v>147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'15.08 Buwenge-Jinja'!$AF$9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'15.08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Buwenge-Jinja'!$AF$10:$AF$21</c:f>
              <c:numCache>
                <c:formatCode>0</c:formatCode>
                <c:ptCount val="12"/>
                <c:pt idx="0">
                  <c:v>338</c:v>
                </c:pt>
                <c:pt idx="1">
                  <c:v>301</c:v>
                </c:pt>
                <c:pt idx="2">
                  <c:v>286</c:v>
                </c:pt>
                <c:pt idx="3">
                  <c:v>234</c:v>
                </c:pt>
                <c:pt idx="4">
                  <c:v>207</c:v>
                </c:pt>
                <c:pt idx="5">
                  <c:v>269</c:v>
                </c:pt>
                <c:pt idx="6">
                  <c:v>204</c:v>
                </c:pt>
                <c:pt idx="7">
                  <c:v>206</c:v>
                </c:pt>
                <c:pt idx="8">
                  <c:v>248</c:v>
                </c:pt>
                <c:pt idx="9">
                  <c:v>246</c:v>
                </c:pt>
                <c:pt idx="10">
                  <c:v>323</c:v>
                </c:pt>
                <c:pt idx="11">
                  <c:v>302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30944"/>
        <c:axId val="112532480"/>
      </c:lineChart>
      <c:catAx>
        <c:axId val="112530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2480"/>
        <c:crosses val="autoZero"/>
        <c:auto val="1"/>
        <c:lblAlgn val="ctr"/>
        <c:lblOffset val="100"/>
        <c:noMultiLvlLbl val="0"/>
      </c:catAx>
      <c:valAx>
        <c:axId val="11253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Buwenge-Jinja'!$C$9:$N$9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Buwenge-Jinja'!$C$59:$N$59</c:f>
              <c:numCache>
                <c:formatCode>0.0%</c:formatCode>
                <c:ptCount val="12"/>
                <c:pt idx="0">
                  <c:v>7.9013906447534768E-2</c:v>
                </c:pt>
                <c:pt idx="1">
                  <c:v>1.5170670037926675E-2</c:v>
                </c:pt>
                <c:pt idx="2">
                  <c:v>5.8786346396965866E-2</c:v>
                </c:pt>
                <c:pt idx="3">
                  <c:v>0.15044247787610621</c:v>
                </c:pt>
                <c:pt idx="4">
                  <c:v>2.1807838179519597E-2</c:v>
                </c:pt>
                <c:pt idx="5">
                  <c:v>1.2642225031605564E-3</c:v>
                </c:pt>
                <c:pt idx="6">
                  <c:v>5.2465233881163087E-2</c:v>
                </c:pt>
                <c:pt idx="7">
                  <c:v>5.0568900126422255E-3</c:v>
                </c:pt>
                <c:pt idx="8">
                  <c:v>0</c:v>
                </c:pt>
                <c:pt idx="9">
                  <c:v>0</c:v>
                </c:pt>
                <c:pt idx="10">
                  <c:v>0.61567635903919093</c:v>
                </c:pt>
                <c:pt idx="11">
                  <c:v>3.1605562579013909E-4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Buwenge-Jinja'!$S$9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'15.08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Buwenge-Jinja'!$S$10:$S$21</c:f>
              <c:numCache>
                <c:formatCode>0</c:formatCode>
                <c:ptCount val="12"/>
                <c:pt idx="0">
                  <c:v>17</c:v>
                </c:pt>
                <c:pt idx="1">
                  <c:v>17</c:v>
                </c:pt>
                <c:pt idx="2">
                  <c:v>16</c:v>
                </c:pt>
                <c:pt idx="3">
                  <c:v>14</c:v>
                </c:pt>
                <c:pt idx="4">
                  <c:v>25</c:v>
                </c:pt>
                <c:pt idx="5">
                  <c:v>18</c:v>
                </c:pt>
                <c:pt idx="6">
                  <c:v>21</c:v>
                </c:pt>
                <c:pt idx="7">
                  <c:v>14</c:v>
                </c:pt>
                <c:pt idx="8">
                  <c:v>18</c:v>
                </c:pt>
                <c:pt idx="9">
                  <c:v>22</c:v>
                </c:pt>
                <c:pt idx="10">
                  <c:v>31</c:v>
                </c:pt>
                <c:pt idx="11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'15.08 Buwenge-Jinja'!$T$9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'15.08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Buwenge-Jinja'!$T$10:$T$21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8</c:v>
                </c:pt>
                <c:pt idx="9">
                  <c:v>6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'15.08 Buwenge-Jinja'!$U$9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'15.08 Buwenge-Jinja'!$U$10:$U$21</c:f>
              <c:numCache>
                <c:formatCode>0</c:formatCode>
                <c:ptCount val="12"/>
                <c:pt idx="0">
                  <c:v>8</c:v>
                </c:pt>
                <c:pt idx="1">
                  <c:v>13</c:v>
                </c:pt>
                <c:pt idx="2">
                  <c:v>10</c:v>
                </c:pt>
                <c:pt idx="3">
                  <c:v>13</c:v>
                </c:pt>
                <c:pt idx="4">
                  <c:v>7</c:v>
                </c:pt>
                <c:pt idx="5">
                  <c:v>19</c:v>
                </c:pt>
                <c:pt idx="6">
                  <c:v>15</c:v>
                </c:pt>
                <c:pt idx="7">
                  <c:v>13</c:v>
                </c:pt>
                <c:pt idx="8">
                  <c:v>26</c:v>
                </c:pt>
                <c:pt idx="9">
                  <c:v>19</c:v>
                </c:pt>
                <c:pt idx="10">
                  <c:v>26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'15.08 Buwenge-Jinja'!$V$9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'15.08 Buwenge-Jinja'!$V$10:$V$21</c:f>
              <c:numCache>
                <c:formatCode>0</c:formatCode>
                <c:ptCount val="12"/>
                <c:pt idx="0">
                  <c:v>34</c:v>
                </c:pt>
                <c:pt idx="1">
                  <c:v>39</c:v>
                </c:pt>
                <c:pt idx="2">
                  <c:v>45</c:v>
                </c:pt>
                <c:pt idx="3">
                  <c:v>35</c:v>
                </c:pt>
                <c:pt idx="4">
                  <c:v>35</c:v>
                </c:pt>
                <c:pt idx="5">
                  <c:v>40</c:v>
                </c:pt>
                <c:pt idx="6">
                  <c:v>33</c:v>
                </c:pt>
                <c:pt idx="7">
                  <c:v>39</c:v>
                </c:pt>
                <c:pt idx="8">
                  <c:v>42</c:v>
                </c:pt>
                <c:pt idx="9">
                  <c:v>35</c:v>
                </c:pt>
                <c:pt idx="10">
                  <c:v>49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'15.08 Buwenge-Jinja'!$W$9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'15.08 Buwenge-Jinja'!$W$10:$W$21</c:f>
              <c:numCache>
                <c:formatCode>0</c:formatCode>
                <c:ptCount val="12"/>
                <c:pt idx="0">
                  <c:v>17</c:v>
                </c:pt>
                <c:pt idx="1">
                  <c:v>11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13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'15.08 Buwenge-Jinja'!$X$9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'15.08 Buwenge-Jinja'!$X$10:$X$21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'15.08 Buwenge-Jinja'!$Y$9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Buwenge-Jinja'!$Y$10:$Y$21</c:f>
              <c:numCache>
                <c:formatCode>0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12</c:v>
                </c:pt>
                <c:pt idx="4">
                  <c:v>7</c:v>
                </c:pt>
                <c:pt idx="5">
                  <c:v>16</c:v>
                </c:pt>
                <c:pt idx="6">
                  <c:v>12</c:v>
                </c:pt>
                <c:pt idx="7">
                  <c:v>12</c:v>
                </c:pt>
                <c:pt idx="8">
                  <c:v>22</c:v>
                </c:pt>
                <c:pt idx="9">
                  <c:v>20</c:v>
                </c:pt>
                <c:pt idx="10">
                  <c:v>18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'15.08 Buwenge-Jinja'!$Z$9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Buwenge-Jinja'!$Z$10:$Z$21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'15.08 Buwenge-Jinja'!$AA$9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Buwenge-Jinja'!$AA$10:$AA$21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'15.08 Buwenge-Jinja'!$AB$9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Buwenge-Jinja'!$AB$10:$AB$21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'15.08 Buwenge-Jinja'!$AC$9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Buwenge-Jinja'!$AC$10:$AC$21</c:f>
              <c:numCache>
                <c:formatCode>0</c:formatCode>
                <c:ptCount val="12"/>
                <c:pt idx="0">
                  <c:v>251</c:v>
                </c:pt>
                <c:pt idx="1">
                  <c:v>210</c:v>
                </c:pt>
                <c:pt idx="2">
                  <c:v>194</c:v>
                </c:pt>
                <c:pt idx="3">
                  <c:v>154</c:v>
                </c:pt>
                <c:pt idx="4">
                  <c:v>130</c:v>
                </c:pt>
                <c:pt idx="5">
                  <c:v>169</c:v>
                </c:pt>
                <c:pt idx="6">
                  <c:v>116</c:v>
                </c:pt>
                <c:pt idx="7">
                  <c:v>123</c:v>
                </c:pt>
                <c:pt idx="8">
                  <c:v>127</c:v>
                </c:pt>
                <c:pt idx="9">
                  <c:v>140</c:v>
                </c:pt>
                <c:pt idx="10">
                  <c:v>179</c:v>
                </c:pt>
                <c:pt idx="11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'15.08 Buwenge-Jinja'!$AD$9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Buwenge-Jinja'!$AD$10:$AD$21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0320"/>
        <c:axId val="112702592"/>
      </c:lineChart>
      <c:catAx>
        <c:axId val="11268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702592"/>
        <c:crosses val="autoZero"/>
        <c:auto val="1"/>
        <c:lblAlgn val="ctr"/>
        <c:lblOffset val="100"/>
        <c:noMultiLvlLbl val="0"/>
      </c:catAx>
      <c:valAx>
        <c:axId val="112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6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Buwenge-Jinja'!$C$9:$N$9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Buwenge-Jinja'!$C$60:$N$60</c:f>
              <c:numCache>
                <c:formatCode>0.00%</c:formatCode>
                <c:ptCount val="12"/>
                <c:pt idx="0">
                  <c:v>0.20559210526315788</c:v>
                </c:pt>
                <c:pt idx="1">
                  <c:v>3.9473684210526314E-2</c:v>
                </c:pt>
                <c:pt idx="2">
                  <c:v>0.15296052631578946</c:v>
                </c:pt>
                <c:pt idx="3">
                  <c:v>0.39144736842105265</c:v>
                </c:pt>
                <c:pt idx="4">
                  <c:v>5.6743421052631582E-2</c:v>
                </c:pt>
                <c:pt idx="5">
                  <c:v>3.2894736842105261E-3</c:v>
                </c:pt>
                <c:pt idx="6">
                  <c:v>0.13651315789473684</c:v>
                </c:pt>
                <c:pt idx="7">
                  <c:v>1.3157894736842105E-2</c:v>
                </c:pt>
                <c:pt idx="8">
                  <c:v>0</c:v>
                </c:pt>
                <c:pt idx="9">
                  <c:v>0</c:v>
                </c:pt>
                <c:pt idx="11">
                  <c:v>8.2236842105263153E-4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Jinja-Buwenge'!$AE$9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'15.08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Jinja-Buwenge'!$AE$10:$AE$21</c:f>
              <c:numCache>
                <c:formatCode>0</c:formatCode>
                <c:ptCount val="12"/>
                <c:pt idx="0">
                  <c:v>63</c:v>
                </c:pt>
                <c:pt idx="1">
                  <c:v>84</c:v>
                </c:pt>
                <c:pt idx="2">
                  <c:v>133</c:v>
                </c:pt>
                <c:pt idx="3">
                  <c:v>116</c:v>
                </c:pt>
                <c:pt idx="4">
                  <c:v>117</c:v>
                </c:pt>
                <c:pt idx="5">
                  <c:v>132</c:v>
                </c:pt>
                <c:pt idx="6">
                  <c:v>123</c:v>
                </c:pt>
                <c:pt idx="7">
                  <c:v>100</c:v>
                </c:pt>
                <c:pt idx="8">
                  <c:v>86</c:v>
                </c:pt>
                <c:pt idx="9">
                  <c:v>83</c:v>
                </c:pt>
                <c:pt idx="10">
                  <c:v>95</c:v>
                </c:pt>
                <c:pt idx="11">
                  <c:v>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'15.08 Jinja-Buwenge'!$AF$9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'15.08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Jinja-Buwenge'!$AF$10:$AF$21</c:f>
              <c:numCache>
                <c:formatCode>0</c:formatCode>
                <c:ptCount val="12"/>
                <c:pt idx="0">
                  <c:v>174</c:v>
                </c:pt>
                <c:pt idx="1">
                  <c:v>195</c:v>
                </c:pt>
                <c:pt idx="2">
                  <c:v>328</c:v>
                </c:pt>
                <c:pt idx="3">
                  <c:v>269</c:v>
                </c:pt>
                <c:pt idx="4">
                  <c:v>265</c:v>
                </c:pt>
                <c:pt idx="5">
                  <c:v>328</c:v>
                </c:pt>
                <c:pt idx="6">
                  <c:v>258</c:v>
                </c:pt>
                <c:pt idx="7">
                  <c:v>264</c:v>
                </c:pt>
                <c:pt idx="8">
                  <c:v>240</c:v>
                </c:pt>
                <c:pt idx="9">
                  <c:v>211</c:v>
                </c:pt>
                <c:pt idx="10">
                  <c:v>263</c:v>
                </c:pt>
                <c:pt idx="11">
                  <c:v>285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1216"/>
        <c:axId val="112931200"/>
      </c:lineChart>
      <c:catAx>
        <c:axId val="1129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31200"/>
        <c:crosses val="autoZero"/>
        <c:auto val="1"/>
        <c:lblAlgn val="ctr"/>
        <c:lblOffset val="100"/>
        <c:noMultiLvlLbl val="0"/>
      </c:catAx>
      <c:valAx>
        <c:axId val="11293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Jinja-Buwenge'!$C$9:$N$9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Jinja-Buwenge'!$C$59:$N$59</c:f>
              <c:numCache>
                <c:formatCode>0.0%</c:formatCode>
                <c:ptCount val="12"/>
                <c:pt idx="0">
                  <c:v>8.7337662337662339E-2</c:v>
                </c:pt>
                <c:pt idx="1">
                  <c:v>1.461038961038961E-2</c:v>
                </c:pt>
                <c:pt idx="2">
                  <c:v>5.6168831168831167E-2</c:v>
                </c:pt>
                <c:pt idx="3">
                  <c:v>0.17045454545454544</c:v>
                </c:pt>
                <c:pt idx="4">
                  <c:v>2.0779220779220779E-2</c:v>
                </c:pt>
                <c:pt idx="5">
                  <c:v>1.6233766233766235E-3</c:v>
                </c:pt>
                <c:pt idx="6">
                  <c:v>4.5779220779220781E-2</c:v>
                </c:pt>
                <c:pt idx="7">
                  <c:v>5.1948051948051948E-3</c:v>
                </c:pt>
                <c:pt idx="8">
                  <c:v>6.4935064935064935E-4</c:v>
                </c:pt>
                <c:pt idx="9">
                  <c:v>0</c:v>
                </c:pt>
                <c:pt idx="10">
                  <c:v>0.59740259740259738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Jinja-Buwenge'!$S$9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'15.08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Jinja-Buwenge'!$S$10:$S$21</c:f>
              <c:numCache>
                <c:formatCode>0</c:formatCode>
                <c:ptCount val="12"/>
                <c:pt idx="0">
                  <c:v>9</c:v>
                </c:pt>
                <c:pt idx="1">
                  <c:v>16</c:v>
                </c:pt>
                <c:pt idx="2">
                  <c:v>33</c:v>
                </c:pt>
                <c:pt idx="3">
                  <c:v>21</c:v>
                </c:pt>
                <c:pt idx="4">
                  <c:v>25</c:v>
                </c:pt>
                <c:pt idx="5">
                  <c:v>38</c:v>
                </c:pt>
                <c:pt idx="6">
                  <c:v>22</c:v>
                </c:pt>
                <c:pt idx="7">
                  <c:v>17</c:v>
                </c:pt>
                <c:pt idx="8">
                  <c:v>21</c:v>
                </c:pt>
                <c:pt idx="9">
                  <c:v>16</c:v>
                </c:pt>
                <c:pt idx="10">
                  <c:v>23</c:v>
                </c:pt>
                <c:pt idx="11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'15.08 Jinja-Buwenge'!$T$9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'15.08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Jinja-Buwenge'!$T$10:$T$21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8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'15.08 Jinja-Buwenge'!$U$9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'15.08 Jinja-Buwenge'!$U$10:$U$21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22</c:v>
                </c:pt>
                <c:pt idx="3">
                  <c:v>18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9</c:v>
                </c:pt>
                <c:pt idx="8">
                  <c:v>11</c:v>
                </c:pt>
                <c:pt idx="9">
                  <c:v>16</c:v>
                </c:pt>
                <c:pt idx="10">
                  <c:v>11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'15.08 Jinja-Buwenge'!$V$9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'15.08 Jinja-Buwenge'!$V$10:$V$21</c:f>
              <c:numCache>
                <c:formatCode>0</c:formatCode>
                <c:ptCount val="12"/>
                <c:pt idx="0">
                  <c:v>20</c:v>
                </c:pt>
                <c:pt idx="1">
                  <c:v>38</c:v>
                </c:pt>
                <c:pt idx="2">
                  <c:v>50</c:v>
                </c:pt>
                <c:pt idx="3">
                  <c:v>52</c:v>
                </c:pt>
                <c:pt idx="4">
                  <c:v>52</c:v>
                </c:pt>
                <c:pt idx="5">
                  <c:v>55</c:v>
                </c:pt>
                <c:pt idx="6">
                  <c:v>55</c:v>
                </c:pt>
                <c:pt idx="7">
                  <c:v>44</c:v>
                </c:pt>
                <c:pt idx="8">
                  <c:v>39</c:v>
                </c:pt>
                <c:pt idx="9">
                  <c:v>36</c:v>
                </c:pt>
                <c:pt idx="10">
                  <c:v>41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'15.08 Jinja-Buwenge'!$W$9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'15.08 Jinja-Buwenge'!$W$10:$W$21</c:f>
              <c:numCache>
                <c:formatCode>0</c:formatCode>
                <c:ptCount val="12"/>
                <c:pt idx="0">
                  <c:v>16</c:v>
                </c:pt>
                <c:pt idx="1">
                  <c:v>10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7</c:v>
                </c:pt>
                <c:pt idx="7">
                  <c:v>6</c:v>
                </c:pt>
                <c:pt idx="8">
                  <c:v>2</c:v>
                </c:pt>
                <c:pt idx="9">
                  <c:v>1</c:v>
                </c:pt>
                <c:pt idx="10">
                  <c:v>5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'15.08 Jinja-Buwenge'!$X$9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'15.08 Jinja-Buwenge'!$X$10:$X$21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'15.08 Jinja-Buwenge'!$Y$9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Jinja-Buwenge'!$Y$10:$Y$21</c:f>
              <c:numCache>
                <c:formatCode>0</c:formatCode>
                <c:ptCount val="12"/>
                <c:pt idx="0">
                  <c:v>6</c:v>
                </c:pt>
                <c:pt idx="1">
                  <c:v>10</c:v>
                </c:pt>
                <c:pt idx="2">
                  <c:v>16</c:v>
                </c:pt>
                <c:pt idx="3">
                  <c:v>16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18</c:v>
                </c:pt>
                <c:pt idx="8">
                  <c:v>9</c:v>
                </c:pt>
                <c:pt idx="9">
                  <c:v>9</c:v>
                </c:pt>
                <c:pt idx="10">
                  <c:v>12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'15.08 Jinja-Buwenge'!$Z$9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Jinja-Buwenge'!$Z$10:$Z$21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'15.08 Jinja-Buwenge'!$AA$9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Jinja-Buwenge'!$AA$10:$AA$21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'15.08 Jinja-Buwenge'!$AB$9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Jinja-Buwenge'!$AB$10:$AB$21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'15.08 Jinja-Buwenge'!$AC$9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Jinja-Buwenge'!$AC$10:$AC$21</c:f>
              <c:numCache>
                <c:formatCode>0</c:formatCode>
                <c:ptCount val="12"/>
                <c:pt idx="0">
                  <c:v>111</c:v>
                </c:pt>
                <c:pt idx="1">
                  <c:v>111</c:v>
                </c:pt>
                <c:pt idx="2">
                  <c:v>195</c:v>
                </c:pt>
                <c:pt idx="3">
                  <c:v>153</c:v>
                </c:pt>
                <c:pt idx="4">
                  <c:v>148</c:v>
                </c:pt>
                <c:pt idx="5">
                  <c:v>196</c:v>
                </c:pt>
                <c:pt idx="6">
                  <c:v>135</c:v>
                </c:pt>
                <c:pt idx="7">
                  <c:v>164</c:v>
                </c:pt>
                <c:pt idx="8">
                  <c:v>154</c:v>
                </c:pt>
                <c:pt idx="9">
                  <c:v>128</c:v>
                </c:pt>
                <c:pt idx="10">
                  <c:v>168</c:v>
                </c:pt>
                <c:pt idx="11">
                  <c:v>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'15.08 Jinja-Buwenge'!$AD$9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Jinja-Buwenge'!$AD$10:$AD$21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8304"/>
        <c:axId val="113219840"/>
      </c:lineChart>
      <c:catAx>
        <c:axId val="1132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9840"/>
        <c:crosses val="autoZero"/>
        <c:auto val="1"/>
        <c:lblAlgn val="ctr"/>
        <c:lblOffset val="100"/>
        <c:noMultiLvlLbl val="0"/>
      </c:catAx>
      <c:valAx>
        <c:axId val="113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Jinja-Buwenge'!$C$9:$N$9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Jinja-Buwenge'!$C$60:$N$60</c:f>
              <c:numCache>
                <c:formatCode>0.00%</c:formatCode>
                <c:ptCount val="12"/>
                <c:pt idx="0">
                  <c:v>0.21693548387096775</c:v>
                </c:pt>
                <c:pt idx="1">
                  <c:v>3.6290322580645164E-2</c:v>
                </c:pt>
                <c:pt idx="2">
                  <c:v>0.13951612903225807</c:v>
                </c:pt>
                <c:pt idx="3">
                  <c:v>0.42338709677419356</c:v>
                </c:pt>
                <c:pt idx="4">
                  <c:v>5.1612903225806452E-2</c:v>
                </c:pt>
                <c:pt idx="5">
                  <c:v>4.0322580645161289E-3</c:v>
                </c:pt>
                <c:pt idx="6">
                  <c:v>0.11370967741935484</c:v>
                </c:pt>
                <c:pt idx="7">
                  <c:v>1.2903225806451613E-2</c:v>
                </c:pt>
                <c:pt idx="8">
                  <c:v>1.6129032258064516E-3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'16.08 Buwenge-Jinja-24h'!$AE$9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'16.08 Buwenge-Jinja-24h'!$R$10:$R$33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Buwenge-Jinja-24h'!$AE$10:$AE$33</c:f>
              <c:numCache>
                <c:formatCode>0</c:formatCode>
                <c:ptCount val="24"/>
                <c:pt idx="0">
                  <c:v>98</c:v>
                </c:pt>
                <c:pt idx="1">
                  <c:v>80</c:v>
                </c:pt>
                <c:pt idx="2">
                  <c:v>89</c:v>
                </c:pt>
                <c:pt idx="3">
                  <c:v>83</c:v>
                </c:pt>
                <c:pt idx="4">
                  <c:v>93</c:v>
                </c:pt>
                <c:pt idx="5">
                  <c:v>81</c:v>
                </c:pt>
                <c:pt idx="6">
                  <c:v>93</c:v>
                </c:pt>
                <c:pt idx="7">
                  <c:v>87</c:v>
                </c:pt>
                <c:pt idx="8">
                  <c:v>104</c:v>
                </c:pt>
                <c:pt idx="9">
                  <c:v>112</c:v>
                </c:pt>
                <c:pt idx="10">
                  <c:v>128</c:v>
                </c:pt>
                <c:pt idx="11">
                  <c:v>124</c:v>
                </c:pt>
                <c:pt idx="12">
                  <c:v>109</c:v>
                </c:pt>
                <c:pt idx="13">
                  <c:v>79</c:v>
                </c:pt>
                <c:pt idx="14">
                  <c:v>62</c:v>
                </c:pt>
                <c:pt idx="15">
                  <c:v>38</c:v>
                </c:pt>
                <c:pt idx="16">
                  <c:v>23</c:v>
                </c:pt>
                <c:pt idx="17">
                  <c:v>16</c:v>
                </c:pt>
                <c:pt idx="18">
                  <c:v>11</c:v>
                </c:pt>
                <c:pt idx="19">
                  <c:v>7</c:v>
                </c:pt>
                <c:pt idx="20">
                  <c:v>12</c:v>
                </c:pt>
                <c:pt idx="21">
                  <c:v>16</c:v>
                </c:pt>
                <c:pt idx="22">
                  <c:v>24</c:v>
                </c:pt>
                <c:pt idx="23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'16.08 Buwenge-Jinja-24h'!$AF$9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'16.08 Buwenge-Jinja-24h'!$R$10:$R$33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Buwenge-Jinja-24h'!$AF$10:$AF$33</c:f>
              <c:numCache>
                <c:formatCode>0</c:formatCode>
                <c:ptCount val="24"/>
                <c:pt idx="0">
                  <c:v>306</c:v>
                </c:pt>
                <c:pt idx="1">
                  <c:v>274</c:v>
                </c:pt>
                <c:pt idx="2">
                  <c:v>275</c:v>
                </c:pt>
                <c:pt idx="3">
                  <c:v>224</c:v>
                </c:pt>
                <c:pt idx="4">
                  <c:v>255</c:v>
                </c:pt>
                <c:pt idx="5">
                  <c:v>240</c:v>
                </c:pt>
                <c:pt idx="6">
                  <c:v>229</c:v>
                </c:pt>
                <c:pt idx="7">
                  <c:v>206</c:v>
                </c:pt>
                <c:pt idx="8">
                  <c:v>134</c:v>
                </c:pt>
                <c:pt idx="9">
                  <c:v>206</c:v>
                </c:pt>
                <c:pt idx="10">
                  <c:v>283</c:v>
                </c:pt>
                <c:pt idx="11">
                  <c:v>297</c:v>
                </c:pt>
                <c:pt idx="12">
                  <c:v>262</c:v>
                </c:pt>
                <c:pt idx="13">
                  <c:v>188</c:v>
                </c:pt>
                <c:pt idx="14">
                  <c:v>131</c:v>
                </c:pt>
                <c:pt idx="15">
                  <c:v>84</c:v>
                </c:pt>
                <c:pt idx="16">
                  <c:v>51</c:v>
                </c:pt>
                <c:pt idx="17">
                  <c:v>28</c:v>
                </c:pt>
                <c:pt idx="18">
                  <c:v>23</c:v>
                </c:pt>
                <c:pt idx="19">
                  <c:v>8</c:v>
                </c:pt>
                <c:pt idx="20">
                  <c:v>14</c:v>
                </c:pt>
                <c:pt idx="21">
                  <c:v>23</c:v>
                </c:pt>
                <c:pt idx="22">
                  <c:v>50</c:v>
                </c:pt>
                <c:pt idx="23">
                  <c:v>172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21792"/>
        <c:axId val="113522944"/>
      </c:lineChart>
      <c:catAx>
        <c:axId val="11352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2944"/>
        <c:crosses val="autoZero"/>
        <c:auto val="1"/>
        <c:lblAlgn val="ctr"/>
        <c:lblOffset val="100"/>
        <c:noMultiLvlLbl val="0"/>
      </c:catAx>
      <c:valAx>
        <c:axId val="113522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Buwenge-Jinja-24h'!$C$9:$N$9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Buwenge-Jinja-24h'!$C$107:$N$107</c:f>
              <c:numCache>
                <c:formatCode>0.0%</c:formatCode>
                <c:ptCount val="12"/>
                <c:pt idx="0">
                  <c:v>9.4877617966187239E-2</c:v>
                </c:pt>
                <c:pt idx="1">
                  <c:v>1.1355034065102196E-2</c:v>
                </c:pt>
                <c:pt idx="2">
                  <c:v>6.0055513499873835E-2</c:v>
                </c:pt>
                <c:pt idx="3">
                  <c:v>0.15392379510471865</c:v>
                </c:pt>
                <c:pt idx="4">
                  <c:v>3.1037093111279335E-2</c:v>
                </c:pt>
                <c:pt idx="5">
                  <c:v>1.2616704516780217E-3</c:v>
                </c:pt>
                <c:pt idx="6">
                  <c:v>5.0214483976785261E-2</c:v>
                </c:pt>
                <c:pt idx="7">
                  <c:v>7.0653545293969215E-3</c:v>
                </c:pt>
                <c:pt idx="8">
                  <c:v>1.0093363613424174E-3</c:v>
                </c:pt>
                <c:pt idx="9">
                  <c:v>0</c:v>
                </c:pt>
                <c:pt idx="10">
                  <c:v>0.58894776684330052</c:v>
                </c:pt>
                <c:pt idx="11">
                  <c:v>2.5233409033560434E-4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Buwenge-Jinja-24h'!$C$9:$N$9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Buwenge-Jinja-24h'!$C$108:$N$108</c:f>
              <c:numCache>
                <c:formatCode>0.00%</c:formatCode>
                <c:ptCount val="12"/>
                <c:pt idx="0">
                  <c:v>0.23081645181092694</c:v>
                </c:pt>
                <c:pt idx="1">
                  <c:v>2.7624309392265192E-2</c:v>
                </c:pt>
                <c:pt idx="2">
                  <c:v>0.14610190300798034</c:v>
                </c:pt>
                <c:pt idx="3">
                  <c:v>0.37446286065070594</c:v>
                </c:pt>
                <c:pt idx="4">
                  <c:v>7.550644567219153E-2</c:v>
                </c:pt>
                <c:pt idx="5">
                  <c:v>3.0693677102516881E-3</c:v>
                </c:pt>
                <c:pt idx="6">
                  <c:v>0.12216083486801718</c:v>
                </c:pt>
                <c:pt idx="7">
                  <c:v>1.7188459177409455E-2</c:v>
                </c:pt>
                <c:pt idx="8">
                  <c:v>2.4554941682013503E-3</c:v>
                </c:pt>
                <c:pt idx="9">
                  <c:v>0</c:v>
                </c:pt>
                <c:pt idx="11">
                  <c:v>6.1387354205033758E-4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'16.08 Jinja-Buwenge-24h'!$AE$9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'16.08 Jinja-Buwenge-24h'!$R$10:$R$33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Jinja-Buwenge-24h'!$AE$10:$AE$33</c:f>
              <c:numCache>
                <c:formatCode>0</c:formatCode>
                <c:ptCount val="24"/>
                <c:pt idx="0">
                  <c:v>71</c:v>
                </c:pt>
                <c:pt idx="1">
                  <c:v>66</c:v>
                </c:pt>
                <c:pt idx="2">
                  <c:v>86</c:v>
                </c:pt>
                <c:pt idx="3">
                  <c:v>100</c:v>
                </c:pt>
                <c:pt idx="4">
                  <c:v>108</c:v>
                </c:pt>
                <c:pt idx="5">
                  <c:v>110</c:v>
                </c:pt>
                <c:pt idx="6">
                  <c:v>116</c:v>
                </c:pt>
                <c:pt idx="7">
                  <c:v>130</c:v>
                </c:pt>
                <c:pt idx="8">
                  <c:v>123</c:v>
                </c:pt>
                <c:pt idx="9">
                  <c:v>111</c:v>
                </c:pt>
                <c:pt idx="10">
                  <c:v>96</c:v>
                </c:pt>
                <c:pt idx="11">
                  <c:v>126</c:v>
                </c:pt>
                <c:pt idx="12">
                  <c:v>127</c:v>
                </c:pt>
                <c:pt idx="13">
                  <c:v>100</c:v>
                </c:pt>
                <c:pt idx="14">
                  <c:v>85</c:v>
                </c:pt>
                <c:pt idx="15">
                  <c:v>57</c:v>
                </c:pt>
                <c:pt idx="16">
                  <c:v>28</c:v>
                </c:pt>
                <c:pt idx="17">
                  <c:v>15</c:v>
                </c:pt>
                <c:pt idx="18">
                  <c:v>17</c:v>
                </c:pt>
                <c:pt idx="19">
                  <c:v>9</c:v>
                </c:pt>
                <c:pt idx="20">
                  <c:v>8</c:v>
                </c:pt>
                <c:pt idx="21">
                  <c:v>13</c:v>
                </c:pt>
                <c:pt idx="22">
                  <c:v>23</c:v>
                </c:pt>
                <c:pt idx="23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'16.08 Jinja-Buwenge-24h'!$AF$9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'16.08 Jinja-Buwenge-24h'!$R$10:$R$33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Jinja-Buwenge-24h'!$AF$10:$AF$33</c:f>
              <c:numCache>
                <c:formatCode>0</c:formatCode>
                <c:ptCount val="24"/>
                <c:pt idx="0">
                  <c:v>166</c:v>
                </c:pt>
                <c:pt idx="1">
                  <c:v>167</c:v>
                </c:pt>
                <c:pt idx="2">
                  <c:v>208</c:v>
                </c:pt>
                <c:pt idx="3">
                  <c:v>242</c:v>
                </c:pt>
                <c:pt idx="4">
                  <c:v>296</c:v>
                </c:pt>
                <c:pt idx="5">
                  <c:v>292</c:v>
                </c:pt>
                <c:pt idx="6">
                  <c:v>300</c:v>
                </c:pt>
                <c:pt idx="7">
                  <c:v>291</c:v>
                </c:pt>
                <c:pt idx="8">
                  <c:v>183</c:v>
                </c:pt>
                <c:pt idx="9">
                  <c:v>181</c:v>
                </c:pt>
                <c:pt idx="10">
                  <c:v>281</c:v>
                </c:pt>
                <c:pt idx="11">
                  <c:v>344</c:v>
                </c:pt>
                <c:pt idx="12">
                  <c:v>364</c:v>
                </c:pt>
                <c:pt idx="13">
                  <c:v>226</c:v>
                </c:pt>
                <c:pt idx="14">
                  <c:v>217</c:v>
                </c:pt>
                <c:pt idx="15">
                  <c:v>138</c:v>
                </c:pt>
                <c:pt idx="16">
                  <c:v>83</c:v>
                </c:pt>
                <c:pt idx="17">
                  <c:v>34</c:v>
                </c:pt>
                <c:pt idx="18">
                  <c:v>34</c:v>
                </c:pt>
                <c:pt idx="19">
                  <c:v>13</c:v>
                </c:pt>
                <c:pt idx="20">
                  <c:v>11</c:v>
                </c:pt>
                <c:pt idx="21">
                  <c:v>24</c:v>
                </c:pt>
                <c:pt idx="22">
                  <c:v>42</c:v>
                </c:pt>
                <c:pt idx="23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89952"/>
        <c:axId val="113820032"/>
      </c:lineChart>
      <c:catAx>
        <c:axId val="113789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820032"/>
        <c:crosses val="autoZero"/>
        <c:auto val="1"/>
        <c:lblAlgn val="ctr"/>
        <c:lblOffset val="100"/>
        <c:noMultiLvlLbl val="0"/>
      </c:catAx>
      <c:valAx>
        <c:axId val="113820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7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Jinja-Buwenge-24h'!$C$9:$N$9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Jinja-Buwenge-24h'!$C$107:$N$107</c:f>
              <c:numCache>
                <c:formatCode>0.0%</c:formatCode>
                <c:ptCount val="12"/>
                <c:pt idx="0">
                  <c:v>0.10399809614469301</c:v>
                </c:pt>
                <c:pt idx="1">
                  <c:v>1.3326987148976678E-2</c:v>
                </c:pt>
                <c:pt idx="2">
                  <c:v>6.0923369823893382E-2</c:v>
                </c:pt>
                <c:pt idx="3">
                  <c:v>0.1561161351737268</c:v>
                </c:pt>
                <c:pt idx="4">
                  <c:v>3.1889576392194197E-2</c:v>
                </c:pt>
                <c:pt idx="5">
                  <c:v>1.6658733936220848E-3</c:v>
                </c:pt>
                <c:pt idx="6">
                  <c:v>4.4502617801047119E-2</c:v>
                </c:pt>
                <c:pt idx="7">
                  <c:v>7.139457401237506E-3</c:v>
                </c:pt>
                <c:pt idx="8">
                  <c:v>1.1899095668729176E-3</c:v>
                </c:pt>
                <c:pt idx="9">
                  <c:v>0</c:v>
                </c:pt>
                <c:pt idx="10">
                  <c:v>0.57924797715373633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Jinja-Buwenge-24h'!$C$9:$N$9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Jinja-Buwenge-24h'!$C$108:$N$108</c:f>
              <c:numCache>
                <c:formatCode>0.00%</c:formatCode>
                <c:ptCount val="12"/>
                <c:pt idx="0">
                  <c:v>0.24717194570135748</c:v>
                </c:pt>
                <c:pt idx="1">
                  <c:v>3.1674208144796379E-2</c:v>
                </c:pt>
                <c:pt idx="2">
                  <c:v>0.14479638009049775</c:v>
                </c:pt>
                <c:pt idx="3">
                  <c:v>0.37104072398190047</c:v>
                </c:pt>
                <c:pt idx="4">
                  <c:v>7.5791855203619904E-2</c:v>
                </c:pt>
                <c:pt idx="5">
                  <c:v>3.9592760180995473E-3</c:v>
                </c:pt>
                <c:pt idx="6">
                  <c:v>0.10576923076923077</c:v>
                </c:pt>
                <c:pt idx="7">
                  <c:v>1.6968325791855202E-2</c:v>
                </c:pt>
                <c:pt idx="8">
                  <c:v>2.8280542986425339E-3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'17.08 Buwenge-Jinja-24h'!$AE$9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'17.08 Buwenge-Jinja-24h'!$R$10:$R$33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Buwenge-Jinja-24h'!$AE$10:$AE$33</c:f>
              <c:numCache>
                <c:formatCode>0</c:formatCode>
                <c:ptCount val="24"/>
                <c:pt idx="0">
                  <c:v>97</c:v>
                </c:pt>
                <c:pt idx="1">
                  <c:v>73</c:v>
                </c:pt>
                <c:pt idx="2">
                  <c:v>82</c:v>
                </c:pt>
                <c:pt idx="3">
                  <c:v>78</c:v>
                </c:pt>
                <c:pt idx="4">
                  <c:v>84</c:v>
                </c:pt>
                <c:pt idx="5">
                  <c:v>85</c:v>
                </c:pt>
                <c:pt idx="6">
                  <c:v>87</c:v>
                </c:pt>
                <c:pt idx="7">
                  <c:v>91</c:v>
                </c:pt>
                <c:pt idx="8">
                  <c:v>106</c:v>
                </c:pt>
                <c:pt idx="9">
                  <c:v>119</c:v>
                </c:pt>
                <c:pt idx="10">
                  <c:v>221</c:v>
                </c:pt>
                <c:pt idx="11">
                  <c:v>173</c:v>
                </c:pt>
                <c:pt idx="12">
                  <c:v>193</c:v>
                </c:pt>
                <c:pt idx="13">
                  <c:v>215</c:v>
                </c:pt>
                <c:pt idx="14">
                  <c:v>122</c:v>
                </c:pt>
                <c:pt idx="15">
                  <c:v>37</c:v>
                </c:pt>
                <c:pt idx="16">
                  <c:v>44</c:v>
                </c:pt>
                <c:pt idx="17">
                  <c:v>28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12</c:v>
                </c:pt>
                <c:pt idx="22">
                  <c:v>29</c:v>
                </c:pt>
                <c:pt idx="23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'17.08 Buwenge-Jinja-24h'!$AF$9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'17.08 Buwenge-Jinja-24h'!$R$10:$R$33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Buwenge-Jinja-24h'!$AF$10:$AF$33</c:f>
              <c:numCache>
                <c:formatCode>0</c:formatCode>
                <c:ptCount val="24"/>
                <c:pt idx="0">
                  <c:v>305</c:v>
                </c:pt>
                <c:pt idx="1">
                  <c:v>258</c:v>
                </c:pt>
                <c:pt idx="2">
                  <c:v>236</c:v>
                </c:pt>
                <c:pt idx="3">
                  <c:v>265</c:v>
                </c:pt>
                <c:pt idx="4">
                  <c:v>256</c:v>
                </c:pt>
                <c:pt idx="5">
                  <c:v>233</c:v>
                </c:pt>
                <c:pt idx="6">
                  <c:v>219</c:v>
                </c:pt>
                <c:pt idx="7">
                  <c:v>290</c:v>
                </c:pt>
                <c:pt idx="8">
                  <c:v>274</c:v>
                </c:pt>
                <c:pt idx="9">
                  <c:v>314</c:v>
                </c:pt>
                <c:pt idx="10">
                  <c:v>357</c:v>
                </c:pt>
                <c:pt idx="11">
                  <c:v>212</c:v>
                </c:pt>
                <c:pt idx="12">
                  <c:v>196</c:v>
                </c:pt>
                <c:pt idx="13">
                  <c:v>219</c:v>
                </c:pt>
                <c:pt idx="14">
                  <c:v>123</c:v>
                </c:pt>
                <c:pt idx="15">
                  <c:v>42</c:v>
                </c:pt>
                <c:pt idx="16">
                  <c:v>45</c:v>
                </c:pt>
                <c:pt idx="17">
                  <c:v>28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12</c:v>
                </c:pt>
                <c:pt idx="22">
                  <c:v>29</c:v>
                </c:pt>
                <c:pt idx="23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10240"/>
        <c:axId val="114411776"/>
      </c:lineChart>
      <c:catAx>
        <c:axId val="114410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1776"/>
        <c:crosses val="autoZero"/>
        <c:auto val="1"/>
        <c:lblAlgn val="ctr"/>
        <c:lblOffset val="100"/>
        <c:noMultiLvlLbl val="0"/>
      </c:catAx>
      <c:valAx>
        <c:axId val="114411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Buwenge-Jinja-24h'!$C$9:$N$9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Buwenge-Jinja-24h'!$C$107:$N$107</c:f>
              <c:numCache>
                <c:formatCode>0.0%</c:formatCode>
                <c:ptCount val="12"/>
                <c:pt idx="0">
                  <c:v>0.102686417273412</c:v>
                </c:pt>
                <c:pt idx="1">
                  <c:v>1.7825759477780569E-2</c:v>
                </c:pt>
                <c:pt idx="2">
                  <c:v>7.3813708260105443E-2</c:v>
                </c:pt>
                <c:pt idx="3">
                  <c:v>0.13155912628671856</c:v>
                </c:pt>
                <c:pt idx="4">
                  <c:v>1.7574692442882251E-2</c:v>
                </c:pt>
                <c:pt idx="5">
                  <c:v>0.11498870198342957</c:v>
                </c:pt>
                <c:pt idx="6">
                  <c:v>4.5694200351493852E-2</c:v>
                </c:pt>
                <c:pt idx="7">
                  <c:v>4.0170725583730856E-3</c:v>
                </c:pt>
                <c:pt idx="8">
                  <c:v>1.2553351744915891E-3</c:v>
                </c:pt>
                <c:pt idx="9">
                  <c:v>0</c:v>
                </c:pt>
                <c:pt idx="10">
                  <c:v>0.4863168465980417</c:v>
                </c:pt>
                <c:pt idx="11">
                  <c:v>4.2681395932714031E-3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Buwenge-Jinja-24h'!$C$9:$N$9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Buwenge-Jinja-24h'!$C$108:$N$108</c:f>
              <c:numCache>
                <c:formatCode>0.00%</c:formatCode>
                <c:ptCount val="12"/>
                <c:pt idx="0">
                  <c:v>0.19990224828934505</c:v>
                </c:pt>
                <c:pt idx="1">
                  <c:v>3.4701857282502441E-2</c:v>
                </c:pt>
                <c:pt idx="2">
                  <c:v>0.14369501466275661</c:v>
                </c:pt>
                <c:pt idx="3">
                  <c:v>0.25610948191593352</c:v>
                </c:pt>
                <c:pt idx="4">
                  <c:v>3.4213098729227759E-2</c:v>
                </c:pt>
                <c:pt idx="5">
                  <c:v>0.22385141739980449</c:v>
                </c:pt>
                <c:pt idx="6">
                  <c:v>8.8954056695992184E-2</c:v>
                </c:pt>
                <c:pt idx="7">
                  <c:v>7.8201368523949169E-3</c:v>
                </c:pt>
                <c:pt idx="8">
                  <c:v>2.4437927663734115E-3</c:v>
                </c:pt>
                <c:pt idx="9">
                  <c:v>0</c:v>
                </c:pt>
                <c:pt idx="11">
                  <c:v>8.3088954056695988E-3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'17.08 Jinja-Buwenge-24h'!$AE$9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'17.08 Jinja-Buwenge-24h'!$R$10:$R$33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Jinja-Buwenge-24h'!$AE$10:$AE$33</c:f>
              <c:numCache>
                <c:formatCode>0</c:formatCode>
                <c:ptCount val="24"/>
                <c:pt idx="0">
                  <c:v>76</c:v>
                </c:pt>
                <c:pt idx="1">
                  <c:v>86</c:v>
                </c:pt>
                <c:pt idx="2">
                  <c:v>138</c:v>
                </c:pt>
                <c:pt idx="3">
                  <c:v>124</c:v>
                </c:pt>
                <c:pt idx="4">
                  <c:v>165</c:v>
                </c:pt>
                <c:pt idx="5">
                  <c:v>144</c:v>
                </c:pt>
                <c:pt idx="6">
                  <c:v>187</c:v>
                </c:pt>
                <c:pt idx="7">
                  <c:v>158</c:v>
                </c:pt>
                <c:pt idx="8">
                  <c:v>141</c:v>
                </c:pt>
                <c:pt idx="9">
                  <c:v>138</c:v>
                </c:pt>
                <c:pt idx="10">
                  <c:v>101</c:v>
                </c:pt>
                <c:pt idx="11">
                  <c:v>109</c:v>
                </c:pt>
                <c:pt idx="12">
                  <c:v>139</c:v>
                </c:pt>
                <c:pt idx="13">
                  <c:v>90</c:v>
                </c:pt>
                <c:pt idx="14">
                  <c:v>68</c:v>
                </c:pt>
                <c:pt idx="15">
                  <c:v>52</c:v>
                </c:pt>
                <c:pt idx="16">
                  <c:v>28</c:v>
                </c:pt>
                <c:pt idx="17">
                  <c:v>15</c:v>
                </c:pt>
                <c:pt idx="18">
                  <c:v>7</c:v>
                </c:pt>
                <c:pt idx="19">
                  <c:v>3</c:v>
                </c:pt>
                <c:pt idx="20">
                  <c:v>5</c:v>
                </c:pt>
                <c:pt idx="21">
                  <c:v>12</c:v>
                </c:pt>
                <c:pt idx="22">
                  <c:v>12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'17.08 Jinja-Buwenge-24h'!$AF$9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'17.08 Jinja-Buwenge-24h'!$R$10:$R$33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Jinja-Buwenge-24h'!$AF$10:$AF$33</c:f>
              <c:numCache>
                <c:formatCode>0</c:formatCode>
                <c:ptCount val="24"/>
                <c:pt idx="0">
                  <c:v>140</c:v>
                </c:pt>
                <c:pt idx="1">
                  <c:v>187</c:v>
                </c:pt>
                <c:pt idx="2">
                  <c:v>284</c:v>
                </c:pt>
                <c:pt idx="3">
                  <c:v>341</c:v>
                </c:pt>
                <c:pt idx="4">
                  <c:v>366</c:v>
                </c:pt>
                <c:pt idx="5">
                  <c:v>330</c:v>
                </c:pt>
                <c:pt idx="6">
                  <c:v>385</c:v>
                </c:pt>
                <c:pt idx="7">
                  <c:v>385</c:v>
                </c:pt>
                <c:pt idx="8">
                  <c:v>326</c:v>
                </c:pt>
                <c:pt idx="9">
                  <c:v>319</c:v>
                </c:pt>
                <c:pt idx="10">
                  <c:v>272</c:v>
                </c:pt>
                <c:pt idx="11">
                  <c:v>216</c:v>
                </c:pt>
                <c:pt idx="12">
                  <c:v>336</c:v>
                </c:pt>
                <c:pt idx="13">
                  <c:v>186</c:v>
                </c:pt>
                <c:pt idx="14">
                  <c:v>147</c:v>
                </c:pt>
                <c:pt idx="15">
                  <c:v>93</c:v>
                </c:pt>
                <c:pt idx="16">
                  <c:v>67</c:v>
                </c:pt>
                <c:pt idx="17">
                  <c:v>40</c:v>
                </c:pt>
                <c:pt idx="18">
                  <c:v>15</c:v>
                </c:pt>
                <c:pt idx="19">
                  <c:v>5</c:v>
                </c:pt>
                <c:pt idx="20">
                  <c:v>7</c:v>
                </c:pt>
                <c:pt idx="21">
                  <c:v>18</c:v>
                </c:pt>
                <c:pt idx="22">
                  <c:v>21</c:v>
                </c:pt>
                <c:pt idx="2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6240"/>
        <c:axId val="115888512"/>
      </c:lineChart>
      <c:catAx>
        <c:axId val="115866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88512"/>
        <c:crosses val="autoZero"/>
        <c:auto val="1"/>
        <c:lblAlgn val="ctr"/>
        <c:lblOffset val="100"/>
        <c:noMultiLvlLbl val="0"/>
      </c:catAx>
      <c:valAx>
        <c:axId val="115888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Jinja-Buwenge-24h'!$C$9:$N$9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Jinja-Buwenge-24h'!$C$107:$N$107</c:f>
              <c:numCache>
                <c:formatCode>0.0%</c:formatCode>
                <c:ptCount val="12"/>
                <c:pt idx="0">
                  <c:v>0.131427304964539</c:v>
                </c:pt>
                <c:pt idx="1">
                  <c:v>1.8395390070921985E-2</c:v>
                </c:pt>
                <c:pt idx="2">
                  <c:v>6.959219858156028E-2</c:v>
                </c:pt>
                <c:pt idx="3">
                  <c:v>0.14782801418439717</c:v>
                </c:pt>
                <c:pt idx="4">
                  <c:v>2.5487588652482268E-2</c:v>
                </c:pt>
                <c:pt idx="5">
                  <c:v>1.1081560283687944E-3</c:v>
                </c:pt>
                <c:pt idx="6">
                  <c:v>4.7207446808510641E-2</c:v>
                </c:pt>
                <c:pt idx="7">
                  <c:v>4.6542553191489359E-3</c:v>
                </c:pt>
                <c:pt idx="8">
                  <c:v>1.1081560283687944E-3</c:v>
                </c:pt>
                <c:pt idx="9">
                  <c:v>0</c:v>
                </c:pt>
                <c:pt idx="10">
                  <c:v>0.55319148936170215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Jinja-Buwenge-24h'!$C$9:$N$9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Jinja-Buwenge-24h'!$C$108:$N$108</c:f>
              <c:numCache>
                <c:formatCode>0.00%</c:formatCode>
                <c:ptCount val="12"/>
                <c:pt idx="0">
                  <c:v>0.29414682539682541</c:v>
                </c:pt>
                <c:pt idx="1">
                  <c:v>4.117063492063492E-2</c:v>
                </c:pt>
                <c:pt idx="2">
                  <c:v>0.15575396825396826</c:v>
                </c:pt>
                <c:pt idx="3">
                  <c:v>0.33085317460317459</c:v>
                </c:pt>
                <c:pt idx="4">
                  <c:v>5.7043650793650792E-2</c:v>
                </c:pt>
                <c:pt idx="5">
                  <c:v>2.48015873015873E-3</c:v>
                </c:pt>
                <c:pt idx="6">
                  <c:v>0.1056547619047619</c:v>
                </c:pt>
                <c:pt idx="7">
                  <c:v>1.0416666666666666E-2</c:v>
                </c:pt>
                <c:pt idx="8">
                  <c:v>2.48015873015873E-3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'18.08 Buwenge-Jinja'!$AE$9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Buwenge-Jinja'!$AE$10:$AE$21</c:f>
              <c:numCache>
                <c:formatCode>0</c:formatCode>
                <c:ptCount val="12"/>
                <c:pt idx="0">
                  <c:v>57</c:v>
                </c:pt>
                <c:pt idx="1">
                  <c:v>85</c:v>
                </c:pt>
                <c:pt idx="2">
                  <c:v>77</c:v>
                </c:pt>
                <c:pt idx="3">
                  <c:v>94</c:v>
                </c:pt>
                <c:pt idx="4">
                  <c:v>69</c:v>
                </c:pt>
                <c:pt idx="5">
                  <c:v>159</c:v>
                </c:pt>
                <c:pt idx="6">
                  <c:v>105</c:v>
                </c:pt>
                <c:pt idx="7">
                  <c:v>116</c:v>
                </c:pt>
                <c:pt idx="8">
                  <c:v>162</c:v>
                </c:pt>
                <c:pt idx="9">
                  <c:v>118</c:v>
                </c:pt>
                <c:pt idx="10">
                  <c:v>201</c:v>
                </c:pt>
                <c:pt idx="11">
                  <c:v>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'18.08 Buwenge-Jinja'!$AF$9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Buwenge-Jinja'!$AF$10:$AF$21</c:f>
              <c:numCache>
                <c:formatCode>0</c:formatCode>
                <c:ptCount val="12"/>
                <c:pt idx="0">
                  <c:v>151</c:v>
                </c:pt>
                <c:pt idx="1">
                  <c:v>227</c:v>
                </c:pt>
                <c:pt idx="2">
                  <c:v>248</c:v>
                </c:pt>
                <c:pt idx="3">
                  <c:v>313</c:v>
                </c:pt>
                <c:pt idx="4">
                  <c:v>212</c:v>
                </c:pt>
                <c:pt idx="5">
                  <c:v>350</c:v>
                </c:pt>
                <c:pt idx="6">
                  <c:v>303</c:v>
                </c:pt>
                <c:pt idx="7">
                  <c:v>240</c:v>
                </c:pt>
                <c:pt idx="8">
                  <c:v>216</c:v>
                </c:pt>
                <c:pt idx="9">
                  <c:v>242</c:v>
                </c:pt>
                <c:pt idx="10">
                  <c:v>410</c:v>
                </c:pt>
                <c:pt idx="11">
                  <c:v>303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14112"/>
        <c:axId val="116315648"/>
      </c:lineChart>
      <c:catAx>
        <c:axId val="116314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5648"/>
        <c:crosses val="autoZero"/>
        <c:auto val="1"/>
        <c:lblAlgn val="ctr"/>
        <c:lblOffset val="100"/>
        <c:noMultiLvlLbl val="0"/>
      </c:catAx>
      <c:valAx>
        <c:axId val="116315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'18.08 Buwenge-Jinja'!$C$9:$N$9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'18.08 Buwenge-Jinja'!$C$59:$N$59</c:f>
              <c:numCache>
                <c:formatCode>0.0%</c:formatCode>
                <c:ptCount val="12"/>
                <c:pt idx="0">
                  <c:v>0.10295489891135304</c:v>
                </c:pt>
                <c:pt idx="1">
                  <c:v>1.8351477449455676E-2</c:v>
                </c:pt>
                <c:pt idx="2">
                  <c:v>6.625194401244168E-2</c:v>
                </c:pt>
                <c:pt idx="3">
                  <c:v>0.20777604976671851</c:v>
                </c:pt>
                <c:pt idx="4">
                  <c:v>1.7418351477449457E-2</c:v>
                </c:pt>
                <c:pt idx="5">
                  <c:v>9.3312597200622088E-4</c:v>
                </c:pt>
                <c:pt idx="6">
                  <c:v>2.4883359253499222E-2</c:v>
                </c:pt>
                <c:pt idx="7">
                  <c:v>2.1772939346811821E-3</c:v>
                </c:pt>
                <c:pt idx="8">
                  <c:v>3.1104199066874026E-4</c:v>
                </c:pt>
                <c:pt idx="9">
                  <c:v>0</c:v>
                </c:pt>
                <c:pt idx="10">
                  <c:v>0.55894245723172631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'18.08 Buwenge-Jinja'!$S$9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'18.08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Buwenge-Jinja'!$S$10:$S$21</c:f>
              <c:numCache>
                <c:formatCode>0</c:formatCode>
                <c:ptCount val="12"/>
                <c:pt idx="0">
                  <c:v>6</c:v>
                </c:pt>
                <c:pt idx="1">
                  <c:v>17</c:v>
                </c:pt>
                <c:pt idx="2">
                  <c:v>18</c:v>
                </c:pt>
                <c:pt idx="3">
                  <c:v>27</c:v>
                </c:pt>
                <c:pt idx="4">
                  <c:v>22</c:v>
                </c:pt>
                <c:pt idx="5">
                  <c:v>41</c:v>
                </c:pt>
                <c:pt idx="6">
                  <c:v>30</c:v>
                </c:pt>
                <c:pt idx="7">
                  <c:v>25</c:v>
                </c:pt>
                <c:pt idx="8">
                  <c:v>35</c:v>
                </c:pt>
                <c:pt idx="9">
                  <c:v>33</c:v>
                </c:pt>
                <c:pt idx="10">
                  <c:v>34</c:v>
                </c:pt>
                <c:pt idx="11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'18.08 Buwenge-Jinja'!$T$9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'18.08 Buwenge-Jinja'!$R$10:$R$21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Buwenge-Jinja'!$T$10:$T$21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0</c:v>
                </c:pt>
                <c:pt idx="7">
                  <c:v>2</c:v>
                </c:pt>
                <c:pt idx="8">
                  <c:v>7</c:v>
                </c:pt>
                <c:pt idx="9">
                  <c:v>6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'18.08 Buwenge-Jinja'!$U$9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'18.08 Buwenge-Jinja'!$U$10:$U$21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18</c:v>
                </c:pt>
                <c:pt idx="4">
                  <c:v>8</c:v>
                </c:pt>
                <c:pt idx="5">
                  <c:v>20</c:v>
                </c:pt>
                <c:pt idx="6">
                  <c:v>9</c:v>
                </c:pt>
                <c:pt idx="7">
                  <c:v>13</c:v>
                </c:pt>
                <c:pt idx="8">
                  <c:v>22</c:v>
                </c:pt>
                <c:pt idx="9">
                  <c:v>19</c:v>
                </c:pt>
                <c:pt idx="10">
                  <c:v>40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'18.08 Buwenge-Jinja'!$V$9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'18.08 Buwenge-Jinja'!$V$10:$V$21</c:f>
              <c:numCache>
                <c:formatCode>0</c:formatCode>
                <c:ptCount val="12"/>
                <c:pt idx="0">
                  <c:v>36</c:v>
                </c:pt>
                <c:pt idx="1">
                  <c:v>47</c:v>
                </c:pt>
                <c:pt idx="2">
                  <c:v>45</c:v>
                </c:pt>
                <c:pt idx="3">
                  <c:v>41</c:v>
                </c:pt>
                <c:pt idx="4">
                  <c:v>27</c:v>
                </c:pt>
                <c:pt idx="5">
                  <c:v>74</c:v>
                </c:pt>
                <c:pt idx="6">
                  <c:v>59</c:v>
                </c:pt>
                <c:pt idx="7">
                  <c:v>61</c:v>
                </c:pt>
                <c:pt idx="8">
                  <c:v>84</c:v>
                </c:pt>
                <c:pt idx="9">
                  <c:v>48</c:v>
                </c:pt>
                <c:pt idx="10">
                  <c:v>96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'18.08 Buwenge-Jinja'!$W$9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'18.08 Buwenge-Jinja'!$W$10:$W$21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'18.08 Buwenge-Jinja'!$X$9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'18.08 Buwenge-Jinja'!$X$10:$X$21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'18.08 Buwenge-Jinja'!$Y$9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Buwenge-Jinja'!$Y$10:$Y$21</c:f>
              <c:numCache>
                <c:formatCode>0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9</c:v>
                </c:pt>
                <c:pt idx="5">
                  <c:v>14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  <c:pt idx="9">
                  <c:v>6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'18.08 Buwenge-Jinja'!$Z$9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Buwenge-Jinja'!$Z$10:$Z$21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'18.08 Buwenge-Jinja'!$AA$9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Buwenge-Jinja'!$AA$10:$AA$21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'18.08 Buwenge-Jinja'!$AB$9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Buwenge-Jinja'!$AB$10:$AB$21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'18.08 Buwenge-Jinja'!$AC$9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Buwenge-Jinja'!$AC$10:$AC$21</c:f>
              <c:numCache>
                <c:formatCode>0</c:formatCode>
                <c:ptCount val="12"/>
                <c:pt idx="0">
                  <c:v>94</c:v>
                </c:pt>
                <c:pt idx="1">
                  <c:v>142</c:v>
                </c:pt>
                <c:pt idx="2">
                  <c:v>171</c:v>
                </c:pt>
                <c:pt idx="3">
                  <c:v>219</c:v>
                </c:pt>
                <c:pt idx="4">
                  <c:v>143</c:v>
                </c:pt>
                <c:pt idx="5">
                  <c:v>191</c:v>
                </c:pt>
                <c:pt idx="6">
                  <c:v>198</c:v>
                </c:pt>
                <c:pt idx="7">
                  <c:v>124</c:v>
                </c:pt>
                <c:pt idx="8">
                  <c:v>54</c:v>
                </c:pt>
                <c:pt idx="9">
                  <c:v>124</c:v>
                </c:pt>
                <c:pt idx="10">
                  <c:v>209</c:v>
                </c:pt>
                <c:pt idx="11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'18.08 Buwenge-Jinja'!$AD$9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Buwenge-Jinja'!$AD$10:$AD$21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7952"/>
        <c:axId val="116399488"/>
      </c:lineChart>
      <c:catAx>
        <c:axId val="11639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9488"/>
        <c:crosses val="autoZero"/>
        <c:auto val="1"/>
        <c:lblAlgn val="ctr"/>
        <c:lblOffset val="100"/>
        <c:noMultiLvlLbl val="0"/>
      </c:catAx>
      <c:valAx>
        <c:axId val="1163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'18.08 Buwenge-Jinja'!$C$9:$N$9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'18.08 Buwenge-Jinja'!$C$60:$N$60</c:f>
              <c:numCache>
                <c:formatCode>0.00%</c:formatCode>
                <c:ptCount val="12"/>
                <c:pt idx="0">
                  <c:v>0.23342736248236953</c:v>
                </c:pt>
                <c:pt idx="1">
                  <c:v>4.1607898448519039E-2</c:v>
                </c:pt>
                <c:pt idx="2">
                  <c:v>0.15021156558533144</c:v>
                </c:pt>
                <c:pt idx="3">
                  <c:v>0.47108603667136811</c:v>
                </c:pt>
                <c:pt idx="4">
                  <c:v>3.9492242595204514E-2</c:v>
                </c:pt>
                <c:pt idx="5">
                  <c:v>2.1156558533145277E-3</c:v>
                </c:pt>
                <c:pt idx="6">
                  <c:v>5.6417489421720736E-2</c:v>
                </c:pt>
                <c:pt idx="7">
                  <c:v>4.9365303244005643E-3</c:v>
                </c:pt>
                <c:pt idx="8">
                  <c:v>7.0521861777150916E-4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'18.08 Jinja-Buwenge'!$AE$9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Jinja-Buwenge'!$AE$10:$AE$21</c:f>
              <c:numCache>
                <c:formatCode>0</c:formatCode>
                <c:ptCount val="12"/>
                <c:pt idx="0">
                  <c:v>53</c:v>
                </c:pt>
                <c:pt idx="1">
                  <c:v>82</c:v>
                </c:pt>
                <c:pt idx="2">
                  <c:v>119</c:v>
                </c:pt>
                <c:pt idx="3">
                  <c:v>115</c:v>
                </c:pt>
                <c:pt idx="4">
                  <c:v>120</c:v>
                </c:pt>
                <c:pt idx="5">
                  <c:v>168</c:v>
                </c:pt>
                <c:pt idx="6">
                  <c:v>125</c:v>
                </c:pt>
                <c:pt idx="7">
                  <c:v>130</c:v>
                </c:pt>
                <c:pt idx="8">
                  <c:v>103</c:v>
                </c:pt>
                <c:pt idx="9">
                  <c:v>95</c:v>
                </c:pt>
                <c:pt idx="10">
                  <c:v>101</c:v>
                </c:pt>
                <c:pt idx="11">
                  <c:v>106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'18.08 Jinja-Buwenge'!$AF$9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Jinja-Buwenge'!$AF$10:$AF$21</c:f>
              <c:numCache>
                <c:formatCode>0</c:formatCode>
                <c:ptCount val="12"/>
                <c:pt idx="0">
                  <c:v>79</c:v>
                </c:pt>
                <c:pt idx="1">
                  <c:v>153</c:v>
                </c:pt>
                <c:pt idx="2">
                  <c:v>230</c:v>
                </c:pt>
                <c:pt idx="3">
                  <c:v>276</c:v>
                </c:pt>
                <c:pt idx="4">
                  <c:v>297</c:v>
                </c:pt>
                <c:pt idx="5">
                  <c:v>320</c:v>
                </c:pt>
                <c:pt idx="6">
                  <c:v>269</c:v>
                </c:pt>
                <c:pt idx="7">
                  <c:v>307</c:v>
                </c:pt>
                <c:pt idx="8">
                  <c:v>131</c:v>
                </c:pt>
                <c:pt idx="9">
                  <c:v>262</c:v>
                </c:pt>
                <c:pt idx="10">
                  <c:v>284</c:v>
                </c:pt>
                <c:pt idx="11">
                  <c:v>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8848"/>
        <c:axId val="116640384"/>
      </c:lineChart>
      <c:catAx>
        <c:axId val="11663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40384"/>
        <c:crosses val="autoZero"/>
        <c:auto val="1"/>
        <c:lblAlgn val="ctr"/>
        <c:lblOffset val="100"/>
        <c:noMultiLvlLbl val="0"/>
      </c:catAx>
      <c:valAx>
        <c:axId val="11664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'18.08 Jinja-Buwenge'!$C$9:$N$9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'18.08 Jinja-Buwenge'!$C$59:$N$59</c:f>
              <c:numCache>
                <c:formatCode>0.0%</c:formatCode>
                <c:ptCount val="12"/>
                <c:pt idx="0">
                  <c:v>0.13411279229711143</c:v>
                </c:pt>
                <c:pt idx="1">
                  <c:v>1.5818431911966989E-2</c:v>
                </c:pt>
                <c:pt idx="2">
                  <c:v>6.2929848693259974E-2</c:v>
                </c:pt>
                <c:pt idx="3">
                  <c:v>0.1781292984869326</c:v>
                </c:pt>
                <c:pt idx="4">
                  <c:v>1.5130674002751032E-2</c:v>
                </c:pt>
                <c:pt idx="5">
                  <c:v>3.43878954607978E-4</c:v>
                </c:pt>
                <c:pt idx="6">
                  <c:v>3.7482806052269599E-2</c:v>
                </c:pt>
                <c:pt idx="7">
                  <c:v>4.1265474552957355E-3</c:v>
                </c:pt>
                <c:pt idx="8">
                  <c:v>1.0316368638239339E-3</c:v>
                </c:pt>
                <c:pt idx="9">
                  <c:v>3.7826685006877581E-3</c:v>
                </c:pt>
                <c:pt idx="10">
                  <c:v>0.54711141678129294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'18.08 Jinja-Buwenge'!$S$9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'18.08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Jinja-Buwenge'!$S$10:$S$21</c:f>
              <c:numCache>
                <c:formatCode>0</c:formatCode>
                <c:ptCount val="12"/>
                <c:pt idx="0">
                  <c:v>9</c:v>
                </c:pt>
                <c:pt idx="1">
                  <c:v>23</c:v>
                </c:pt>
                <c:pt idx="2">
                  <c:v>34</c:v>
                </c:pt>
                <c:pt idx="3">
                  <c:v>31</c:v>
                </c:pt>
                <c:pt idx="4">
                  <c:v>45</c:v>
                </c:pt>
                <c:pt idx="5">
                  <c:v>46</c:v>
                </c:pt>
                <c:pt idx="6">
                  <c:v>46</c:v>
                </c:pt>
                <c:pt idx="7">
                  <c:v>44</c:v>
                </c:pt>
                <c:pt idx="8">
                  <c:v>37</c:v>
                </c:pt>
                <c:pt idx="9">
                  <c:v>28</c:v>
                </c:pt>
                <c:pt idx="10">
                  <c:v>26</c:v>
                </c:pt>
                <c:pt idx="1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'18.08 Jinja-Buwenge'!$T$9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'18.08 Jinja-Buwenge'!$R$10:$R$21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Jinja-Buwenge'!$T$10:$T$21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  <c:pt idx="4">
                  <c:v>2</c:v>
                </c:pt>
                <c:pt idx="5">
                  <c:v>11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'18.08 Jinja-Buwenge'!$U$9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'18.08 Jinja-Buwenge'!$U$10:$U$21</c:f>
              <c:numCache>
                <c:formatCode>0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19</c:v>
                </c:pt>
                <c:pt idx="3">
                  <c:v>21</c:v>
                </c:pt>
                <c:pt idx="4">
                  <c:v>13</c:v>
                </c:pt>
                <c:pt idx="5">
                  <c:v>27</c:v>
                </c:pt>
                <c:pt idx="6">
                  <c:v>16</c:v>
                </c:pt>
                <c:pt idx="7">
                  <c:v>19</c:v>
                </c:pt>
                <c:pt idx="8">
                  <c:v>14</c:v>
                </c:pt>
                <c:pt idx="9">
                  <c:v>8</c:v>
                </c:pt>
                <c:pt idx="10">
                  <c:v>11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'18.08 Jinja-Buwenge'!$V$9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'18.08 Jinja-Buwenge'!$V$10:$V$21</c:f>
              <c:numCache>
                <c:formatCode>0</c:formatCode>
                <c:ptCount val="12"/>
                <c:pt idx="0">
                  <c:v>21</c:v>
                </c:pt>
                <c:pt idx="1">
                  <c:v>36</c:v>
                </c:pt>
                <c:pt idx="2">
                  <c:v>45</c:v>
                </c:pt>
                <c:pt idx="3">
                  <c:v>44</c:v>
                </c:pt>
                <c:pt idx="4">
                  <c:v>43</c:v>
                </c:pt>
                <c:pt idx="5">
                  <c:v>70</c:v>
                </c:pt>
                <c:pt idx="6">
                  <c:v>44</c:v>
                </c:pt>
                <c:pt idx="7">
                  <c:v>47</c:v>
                </c:pt>
                <c:pt idx="8">
                  <c:v>34</c:v>
                </c:pt>
                <c:pt idx="9">
                  <c:v>45</c:v>
                </c:pt>
                <c:pt idx="10">
                  <c:v>45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'18.08 Jinja-Buwenge'!$W$9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'18.08 Jinja-Buwenge'!$W$10:$W$21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'18.08 Jinja-Buwenge'!$X$9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'18.08 Jinja-Buwenge'!$X$10:$X$21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'18.08 Jinja-Buwenge'!$Y$9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Jinja-Buwenge'!$Y$10:$Y$21</c:f>
              <c:numCache>
                <c:formatCode>0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10</c:v>
                </c:pt>
                <c:pt idx="3">
                  <c:v>7</c:v>
                </c:pt>
                <c:pt idx="4">
                  <c:v>13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'18.08 Jinja-Buwenge'!$Z$9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Jinja-Buwenge'!$Z$10:$Z$21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'18.08 Jinja-Buwenge'!$AA$9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Jinja-Buwenge'!$AA$10:$AA$21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'18.08 Jinja-Buwenge'!$AB$9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Jinja-Buwenge'!$AB$10:$AB$21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'18.08 Jinja-Buwenge'!$AC$9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Jinja-Buwenge'!$AC$10:$AC$21</c:f>
              <c:numCache>
                <c:formatCode>0</c:formatCode>
                <c:ptCount val="12"/>
                <c:pt idx="0">
                  <c:v>26</c:v>
                </c:pt>
                <c:pt idx="1">
                  <c:v>71</c:v>
                </c:pt>
                <c:pt idx="2">
                  <c:v>111</c:v>
                </c:pt>
                <c:pt idx="3">
                  <c:v>161</c:v>
                </c:pt>
                <c:pt idx="4">
                  <c:v>177</c:v>
                </c:pt>
                <c:pt idx="5">
                  <c:v>152</c:v>
                </c:pt>
                <c:pt idx="6">
                  <c:v>144</c:v>
                </c:pt>
                <c:pt idx="7">
                  <c:v>177</c:v>
                </c:pt>
                <c:pt idx="8">
                  <c:v>28</c:v>
                </c:pt>
                <c:pt idx="9">
                  <c:v>167</c:v>
                </c:pt>
                <c:pt idx="10">
                  <c:v>183</c:v>
                </c:pt>
                <c:pt idx="11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'18.08 Jinja-Buwenge'!$AD$9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Jinja-Buwenge'!$AD$10:$AD$21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66048"/>
        <c:axId val="116880128"/>
      </c:lineChart>
      <c:catAx>
        <c:axId val="1168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80128"/>
        <c:crosses val="autoZero"/>
        <c:auto val="1"/>
        <c:lblAlgn val="ctr"/>
        <c:lblOffset val="100"/>
        <c:noMultiLvlLbl val="0"/>
      </c:catAx>
      <c:valAx>
        <c:axId val="116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'18.08 Jinja-Buwenge'!$C$9:$N$9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'18.08 Jinja-Buwenge'!$C$60:$N$60</c:f>
              <c:numCache>
                <c:formatCode>0.00%</c:formatCode>
                <c:ptCount val="12"/>
                <c:pt idx="0">
                  <c:v>0.296127562642369</c:v>
                </c:pt>
                <c:pt idx="1">
                  <c:v>3.4927866362946092E-2</c:v>
                </c:pt>
                <c:pt idx="2">
                  <c:v>0.13895216400911162</c:v>
                </c:pt>
                <c:pt idx="3">
                  <c:v>0.39331814730447989</c:v>
                </c:pt>
                <c:pt idx="4">
                  <c:v>3.3409263477600606E-2</c:v>
                </c:pt>
                <c:pt idx="5">
                  <c:v>7.5930144267274111E-4</c:v>
                </c:pt>
                <c:pt idx="6">
                  <c:v>8.2763857251328773E-2</c:v>
                </c:pt>
                <c:pt idx="7">
                  <c:v>9.1116173120728925E-3</c:v>
                </c:pt>
                <c:pt idx="8">
                  <c:v>2.2779043280182231E-3</c:v>
                </c:pt>
                <c:pt idx="9">
                  <c:v>8.3523158694001516E-3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Buwenge-Jinja'!$AE$9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Buwenge-Jinja'!$R$10:$R$34</c:f>
              <c:strCache>
                <c:ptCount val="25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  <c:pt idx="24">
                  <c:v>AM Peak Hr</c:v>
                </c:pt>
              </c:strCache>
            </c:strRef>
          </c:cat>
          <c:val>
            <c:numRef>
              <c:f>'Avg Week Buwenge-Jinja'!$AE$10:$AE$34</c:f>
              <c:numCache>
                <c:formatCode>0</c:formatCode>
                <c:ptCount val="25"/>
                <c:pt idx="0">
                  <c:v>83.714285714285708</c:v>
                </c:pt>
                <c:pt idx="1">
                  <c:v>86.714285714285694</c:v>
                </c:pt>
                <c:pt idx="2">
                  <c:v>87.428571428571445</c:v>
                </c:pt>
                <c:pt idx="3">
                  <c:v>81.714285714285722</c:v>
                </c:pt>
                <c:pt idx="4">
                  <c:v>81.142857142857139</c:v>
                </c:pt>
                <c:pt idx="5">
                  <c:v>92.285714285714278</c:v>
                </c:pt>
                <c:pt idx="6">
                  <c:v>90.714285714285708</c:v>
                </c:pt>
                <c:pt idx="7">
                  <c:v>94</c:v>
                </c:pt>
                <c:pt idx="8">
                  <c:v>120.57142857142857</c:v>
                </c:pt>
                <c:pt idx="9">
                  <c:v>125.85714285714286</c:v>
                </c:pt>
                <c:pt idx="10">
                  <c:v>157.28571428571428</c:v>
                </c:pt>
                <c:pt idx="11">
                  <c:v>153.42857142857144</c:v>
                </c:pt>
                <c:pt idx="12">
                  <c:v>151</c:v>
                </c:pt>
                <c:pt idx="13">
                  <c:v>147</c:v>
                </c:pt>
                <c:pt idx="14">
                  <c:v>92</c:v>
                </c:pt>
                <c:pt idx="15">
                  <c:v>37.5</c:v>
                </c:pt>
                <c:pt idx="16">
                  <c:v>33.5</c:v>
                </c:pt>
                <c:pt idx="17">
                  <c:v>22</c:v>
                </c:pt>
                <c:pt idx="18">
                  <c:v>7.5</c:v>
                </c:pt>
                <c:pt idx="19">
                  <c:v>5</c:v>
                </c:pt>
                <c:pt idx="20">
                  <c:v>7.5</c:v>
                </c:pt>
                <c:pt idx="21">
                  <c:v>14</c:v>
                </c:pt>
                <c:pt idx="22">
                  <c:v>26.5</c:v>
                </c:pt>
                <c:pt idx="23">
                  <c:v>60</c:v>
                </c:pt>
                <c:pt idx="24">
                  <c:v>87.428571428571445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Buwenge-Jinja'!$AF$9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Buwenge-Jinja'!$R$10:$R$34</c:f>
              <c:strCache>
                <c:ptCount val="25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  <c:pt idx="24">
                  <c:v>AM Peak Hr</c:v>
                </c:pt>
              </c:strCache>
            </c:strRef>
          </c:cat>
          <c:val>
            <c:numRef>
              <c:f>'Avg Week Buwenge-Jinja'!$AF$10:$AF$34</c:f>
              <c:numCache>
                <c:formatCode>0</c:formatCode>
                <c:ptCount val="25"/>
                <c:pt idx="0">
                  <c:v>284.85714285714289</c:v>
                </c:pt>
                <c:pt idx="1">
                  <c:v>282.28571428571433</c:v>
                </c:pt>
                <c:pt idx="2">
                  <c:v>269.71428571428572</c:v>
                </c:pt>
                <c:pt idx="3">
                  <c:v>248.42857142857142</c:v>
                </c:pt>
                <c:pt idx="4">
                  <c:v>229.57142857142856</c:v>
                </c:pt>
                <c:pt idx="5">
                  <c:v>246.85714285714286</c:v>
                </c:pt>
                <c:pt idx="6">
                  <c:v>231.57142857142858</c:v>
                </c:pt>
                <c:pt idx="7">
                  <c:v>238.28571428571428</c:v>
                </c:pt>
                <c:pt idx="8">
                  <c:v>225.42857142857144</c:v>
                </c:pt>
                <c:pt idx="9">
                  <c:v>260.71428571428572</c:v>
                </c:pt>
                <c:pt idx="10">
                  <c:v>334.14285714285711</c:v>
                </c:pt>
                <c:pt idx="11">
                  <c:v>296.85714285714289</c:v>
                </c:pt>
                <c:pt idx="12">
                  <c:v>306</c:v>
                </c:pt>
                <c:pt idx="13">
                  <c:v>320.5</c:v>
                </c:pt>
                <c:pt idx="14">
                  <c:v>195</c:v>
                </c:pt>
                <c:pt idx="15">
                  <c:v>91</c:v>
                </c:pt>
                <c:pt idx="16">
                  <c:v>75.5</c:v>
                </c:pt>
                <c:pt idx="17">
                  <c:v>44</c:v>
                </c:pt>
                <c:pt idx="18">
                  <c:v>18</c:v>
                </c:pt>
                <c:pt idx="19">
                  <c:v>10.5</c:v>
                </c:pt>
                <c:pt idx="20">
                  <c:v>14.5</c:v>
                </c:pt>
                <c:pt idx="21">
                  <c:v>28.5</c:v>
                </c:pt>
                <c:pt idx="22">
                  <c:v>64</c:v>
                </c:pt>
                <c:pt idx="23">
                  <c:v>170.5</c:v>
                </c:pt>
                <c:pt idx="24">
                  <c:v>284.85714285714289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94656"/>
        <c:axId val="117243904"/>
      </c:lineChart>
      <c:catAx>
        <c:axId val="117094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243904"/>
        <c:crosses val="autoZero"/>
        <c:auto val="1"/>
        <c:lblAlgn val="ctr"/>
        <c:lblOffset val="100"/>
        <c:noMultiLvlLbl val="0"/>
      </c:catAx>
      <c:valAx>
        <c:axId val="117243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0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1947846374155137E-2"/>
          <c:y val="0.14448812779521442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Buwenge-Jinja'!$C$9:$N$9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Buwenge-Jinja'!$C$107:$N$107</c:f>
              <c:numCache>
                <c:formatCode>0.0%</c:formatCode>
                <c:ptCount val="12"/>
                <c:pt idx="0">
                  <c:v>8.4185054287260794E-2</c:v>
                </c:pt>
                <c:pt idx="1">
                  <c:v>1.6859298882414747E-2</c:v>
                </c:pt>
                <c:pt idx="2">
                  <c:v>5.8139905116693716E-2</c:v>
                </c:pt>
                <c:pt idx="3">
                  <c:v>0.13377590982901902</c:v>
                </c:pt>
                <c:pt idx="4">
                  <c:v>2.206514471296208E-2</c:v>
                </c:pt>
                <c:pt idx="5">
                  <c:v>5.1612697806221533E-2</c:v>
                </c:pt>
                <c:pt idx="6">
                  <c:v>4.0675645556723025E-2</c:v>
                </c:pt>
                <c:pt idx="7">
                  <c:v>4.2506447607221316E-3</c:v>
                </c:pt>
                <c:pt idx="8">
                  <c:v>6.2088069538637867E-4</c:v>
                </c:pt>
                <c:pt idx="9">
                  <c:v>0</c:v>
                </c:pt>
                <c:pt idx="10">
                  <c:v>0.48796446652020248</c:v>
                </c:pt>
                <c:pt idx="11">
                  <c:v>2.0059222466329162E-3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6855822782633258E-2"/>
          <c:y val="8.3459286690287307E-2"/>
          <c:w val="0.82101228366016787"/>
          <c:h val="0.8450700404022530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Buwenge-Jinja'!$C$9:$N$9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Buwenge-Jinja'!$C$108:$N$108</c:f>
              <c:numCache>
                <c:formatCode>0.00%</c:formatCode>
                <c:ptCount val="12"/>
                <c:pt idx="0">
                  <c:v>0.20325172002921166</c:v>
                </c:pt>
                <c:pt idx="1">
                  <c:v>4.0704154975592877E-2</c:v>
                </c:pt>
                <c:pt idx="2">
                  <c:v>0.14036975823500017</c:v>
                </c:pt>
                <c:pt idx="3">
                  <c:v>0.32298112772418036</c:v>
                </c:pt>
                <c:pt idx="4">
                  <c:v>5.3272860053042249E-2</c:v>
                </c:pt>
                <c:pt idx="5">
                  <c:v>0.12461083137948263</c:v>
                </c:pt>
                <c:pt idx="6">
                  <c:v>9.8205019794749604E-2</c:v>
                </c:pt>
                <c:pt idx="7">
                  <c:v>1.0262520659568744E-2</c:v>
                </c:pt>
                <c:pt idx="8">
                  <c:v>1.4990198716224004E-3</c:v>
                </c:pt>
                <c:pt idx="9">
                  <c:v>0</c:v>
                </c:pt>
                <c:pt idx="11">
                  <c:v>4.8429872775492943E-3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Jinja-Buwenge'!$AE$9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Jinja-Buwenge'!$R$10:$R$33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Jinja-Buwenge'!$AE$10:$AE$33</c:f>
              <c:numCache>
                <c:formatCode>0</c:formatCode>
                <c:ptCount val="24"/>
                <c:pt idx="0">
                  <c:v>74.571428571428569</c:v>
                </c:pt>
                <c:pt idx="1">
                  <c:v>88.428571428571431</c:v>
                </c:pt>
                <c:pt idx="2">
                  <c:v>119.57142857142858</c:v>
                </c:pt>
                <c:pt idx="3">
                  <c:v>117.28571428571428</c:v>
                </c:pt>
                <c:pt idx="4">
                  <c:v>129</c:v>
                </c:pt>
                <c:pt idx="5">
                  <c:v>127.14285714285712</c:v>
                </c:pt>
                <c:pt idx="6">
                  <c:v>126.14285714285712</c:v>
                </c:pt>
                <c:pt idx="7">
                  <c:v>121.85714285714286</c:v>
                </c:pt>
                <c:pt idx="8">
                  <c:v>105.99999999999999</c:v>
                </c:pt>
                <c:pt idx="9">
                  <c:v>103.14285714285714</c:v>
                </c:pt>
                <c:pt idx="10">
                  <c:v>101.28571428571428</c:v>
                </c:pt>
                <c:pt idx="11">
                  <c:v>109.28571428571428</c:v>
                </c:pt>
                <c:pt idx="12">
                  <c:v>133</c:v>
                </c:pt>
                <c:pt idx="13">
                  <c:v>95</c:v>
                </c:pt>
                <c:pt idx="14">
                  <c:v>76.5</c:v>
                </c:pt>
                <c:pt idx="15">
                  <c:v>54.5</c:v>
                </c:pt>
                <c:pt idx="16">
                  <c:v>28</c:v>
                </c:pt>
                <c:pt idx="17">
                  <c:v>15</c:v>
                </c:pt>
                <c:pt idx="18">
                  <c:v>12</c:v>
                </c:pt>
                <c:pt idx="19">
                  <c:v>6</c:v>
                </c:pt>
                <c:pt idx="20">
                  <c:v>6.5</c:v>
                </c:pt>
                <c:pt idx="21">
                  <c:v>12.5</c:v>
                </c:pt>
                <c:pt idx="22">
                  <c:v>17.5</c:v>
                </c:pt>
                <c:pt idx="23">
                  <c:v>30.5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Jinja-Buwenge'!$AF$9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Jinja-Buwenge'!$R$10:$R$33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Jinja-Buwenge'!$AF$10:$AF$33</c:f>
              <c:numCache>
                <c:formatCode>0</c:formatCode>
                <c:ptCount val="24"/>
                <c:pt idx="0">
                  <c:v>158.42857142857144</c:v>
                </c:pt>
                <c:pt idx="1">
                  <c:v>195.71428571428572</c:v>
                </c:pt>
                <c:pt idx="2">
                  <c:v>270</c:v>
                </c:pt>
                <c:pt idx="3">
                  <c:v>278.71428571428572</c:v>
                </c:pt>
                <c:pt idx="4">
                  <c:v>302.85714285714289</c:v>
                </c:pt>
                <c:pt idx="5">
                  <c:v>298.14285714285711</c:v>
                </c:pt>
                <c:pt idx="6">
                  <c:v>290.57142857142856</c:v>
                </c:pt>
                <c:pt idx="7">
                  <c:v>298.85714285714283</c:v>
                </c:pt>
                <c:pt idx="8">
                  <c:v>229.28571428571428</c:v>
                </c:pt>
                <c:pt idx="9">
                  <c:v>242.14285714285717</c:v>
                </c:pt>
                <c:pt idx="10">
                  <c:v>278.28571428571433</c:v>
                </c:pt>
                <c:pt idx="11">
                  <c:v>289</c:v>
                </c:pt>
                <c:pt idx="12">
                  <c:v>350</c:v>
                </c:pt>
                <c:pt idx="13">
                  <c:v>206</c:v>
                </c:pt>
                <c:pt idx="14">
                  <c:v>182</c:v>
                </c:pt>
                <c:pt idx="15">
                  <c:v>115.5</c:v>
                </c:pt>
                <c:pt idx="16">
                  <c:v>75</c:v>
                </c:pt>
                <c:pt idx="17">
                  <c:v>37</c:v>
                </c:pt>
                <c:pt idx="18">
                  <c:v>24.5</c:v>
                </c:pt>
                <c:pt idx="19">
                  <c:v>9</c:v>
                </c:pt>
                <c:pt idx="20">
                  <c:v>9</c:v>
                </c:pt>
                <c:pt idx="21">
                  <c:v>21</c:v>
                </c:pt>
                <c:pt idx="22">
                  <c:v>31.5</c:v>
                </c:pt>
                <c:pt idx="23">
                  <c:v>45.5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8736"/>
        <c:axId val="117998720"/>
      </c:lineChart>
      <c:catAx>
        <c:axId val="117988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98720"/>
        <c:crosses val="autoZero"/>
        <c:auto val="1"/>
        <c:lblAlgn val="ctr"/>
        <c:lblOffset val="100"/>
        <c:noMultiLvlLbl val="0"/>
      </c:catAx>
      <c:valAx>
        <c:axId val="117998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Jinja-Buwenge'!$C$9:$N$9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Jinja-Buwenge'!$C$107:$N$107</c:f>
              <c:numCache>
                <c:formatCode>0.0%</c:formatCode>
                <c:ptCount val="12"/>
                <c:pt idx="0">
                  <c:v>0.10962044090878448</c:v>
                </c:pt>
                <c:pt idx="1">
                  <c:v>1.4343018944245937E-2</c:v>
                </c:pt>
                <c:pt idx="2">
                  <c:v>6.2748601092159365E-2</c:v>
                </c:pt>
                <c:pt idx="3">
                  <c:v>0.15701476437672759</c:v>
                </c:pt>
                <c:pt idx="4">
                  <c:v>3.0118654351783184E-2</c:v>
                </c:pt>
                <c:pt idx="5">
                  <c:v>1.4831793972898265E-3</c:v>
                </c:pt>
                <c:pt idx="6">
                  <c:v>4.4613362098024668E-2</c:v>
                </c:pt>
                <c:pt idx="7">
                  <c:v>5.9664262118249859E-3</c:v>
                </c:pt>
                <c:pt idx="8">
                  <c:v>8.764241893076248E-4</c:v>
                </c:pt>
                <c:pt idx="9">
                  <c:v>3.7079484932245663E-4</c:v>
                </c:pt>
                <c:pt idx="10">
                  <c:v>0.57274320771253284</c:v>
                </c:pt>
                <c:pt idx="11">
                  <c:v>1.0112586799703363E-4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401834578394184E-2"/>
          <c:y val="7.9892316831182614E-2"/>
          <c:w val="0.82101228366016787"/>
          <c:h val="0.8450700404022530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Jinja-Buwenge'!$C$9:$N$9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Jinja-Buwenge'!$C$108:$N$108</c:f>
              <c:numCache>
                <c:formatCode>0.00%</c:formatCode>
                <c:ptCount val="12"/>
                <c:pt idx="0">
                  <c:v>0.25656804733727812</c:v>
                </c:pt>
                <c:pt idx="1">
                  <c:v>3.3570019723865877E-2</c:v>
                </c:pt>
                <c:pt idx="2">
                  <c:v>0.14686390532544377</c:v>
                </c:pt>
                <c:pt idx="3">
                  <c:v>0.36749506903353063</c:v>
                </c:pt>
                <c:pt idx="4">
                  <c:v>7.0493096646942796E-2</c:v>
                </c:pt>
                <c:pt idx="5">
                  <c:v>3.4714003944773171E-3</c:v>
                </c:pt>
                <c:pt idx="6">
                  <c:v>0.10441814595660748</c:v>
                </c:pt>
                <c:pt idx="7">
                  <c:v>1.3964497041420122E-2</c:v>
                </c:pt>
                <c:pt idx="8">
                  <c:v>2.0512820512820508E-3</c:v>
                </c:pt>
                <c:pt idx="9">
                  <c:v>8.6785009861932926E-4</c:v>
                </c:pt>
                <c:pt idx="11">
                  <c:v>2.3668639053254435E-4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Buwenge-Jinja-2Dir'!$C$9:$N$9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Buwenge-Jinja-2Dir'!$C$107:$N$107</c:f>
              <c:numCache>
                <c:formatCode>0.0%</c:formatCode>
                <c:ptCount val="12"/>
                <c:pt idx="0">
                  <c:v>0.10165517241379309</c:v>
                </c:pt>
                <c:pt idx="1">
                  <c:v>1.6465517241379311E-2</c:v>
                </c:pt>
                <c:pt idx="2">
                  <c:v>6.3577586206896533E-2</c:v>
                </c:pt>
                <c:pt idx="3">
                  <c:v>0.15275</c:v>
                </c:pt>
                <c:pt idx="4">
                  <c:v>2.7353448275862061E-2</c:v>
                </c:pt>
                <c:pt idx="5">
                  <c:v>2.8706896551724138E-2</c:v>
                </c:pt>
                <c:pt idx="6">
                  <c:v>4.4844827586206899E-2</c:v>
                </c:pt>
                <c:pt idx="7">
                  <c:v>5.3534482758620695E-3</c:v>
                </c:pt>
                <c:pt idx="8">
                  <c:v>7.8448275862068946E-4</c:v>
                </c:pt>
                <c:pt idx="9">
                  <c:v>1.8965517241379307E-4</c:v>
                </c:pt>
                <c:pt idx="10">
                  <c:v>0.55718103448275869</c:v>
                </c:pt>
                <c:pt idx="11">
                  <c:v>1.1379310344827587E-3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>
        <c:manualLayout>
          <c:xMode val="edge"/>
          <c:yMode val="edge"/>
          <c:x val="0.13480356210879901"/>
          <c:y val="5.7071517745675053E-3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Buwenge-Jinja-2Dir'!$C$9:$N$9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Buwenge-Jinja-2Dir'!$C$108:$N$108</c:f>
              <c:numCache>
                <c:formatCode>0.00%</c:formatCode>
                <c:ptCount val="12"/>
                <c:pt idx="0">
                  <c:v>0.22956372768508965</c:v>
                </c:pt>
                <c:pt idx="1">
                  <c:v>3.7183405688477042E-2</c:v>
                </c:pt>
                <c:pt idx="2">
                  <c:v>0.14357466856152781</c:v>
                </c:pt>
                <c:pt idx="3">
                  <c:v>0.3449490918293846</c:v>
                </c:pt>
                <c:pt idx="4">
                  <c:v>6.1771176046878332E-2</c:v>
                </c:pt>
                <c:pt idx="5">
                  <c:v>6.4827613058967823E-2</c:v>
                </c:pt>
                <c:pt idx="6">
                  <c:v>0.10127124418400921</c:v>
                </c:pt>
                <c:pt idx="7">
                  <c:v>1.2089473786672378E-2</c:v>
                </c:pt>
                <c:pt idx="8">
                  <c:v>1.771565401911733E-3</c:v>
                </c:pt>
                <c:pt idx="9">
                  <c:v>4.2829053672591345E-4</c:v>
                </c:pt>
                <c:pt idx="11">
                  <c:v>2.5697432203554815E-3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Buwenge-Jinja-2Dir'!$AE$9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Buwenge-Jinja-2Dir'!$R$10:$R$33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Buwenge-Jinja-2Dir'!$AE$10:$AE$33</c:f>
              <c:numCache>
                <c:formatCode>0</c:formatCode>
                <c:ptCount val="24"/>
                <c:pt idx="0">
                  <c:v>158.28571428571431</c:v>
                </c:pt>
                <c:pt idx="1">
                  <c:v>175.14285714285714</c:v>
                </c:pt>
                <c:pt idx="2">
                  <c:v>207</c:v>
                </c:pt>
                <c:pt idx="3">
                  <c:v>199.00000000000003</c:v>
                </c:pt>
                <c:pt idx="4">
                  <c:v>210.14285714285717</c:v>
                </c:pt>
                <c:pt idx="5">
                  <c:v>219.42857142857144</c:v>
                </c:pt>
                <c:pt idx="6">
                  <c:v>216.85714285714283</c:v>
                </c:pt>
                <c:pt idx="7">
                  <c:v>215.85714285714289</c:v>
                </c:pt>
                <c:pt idx="8">
                  <c:v>226.57142857142861</c:v>
                </c:pt>
                <c:pt idx="9">
                  <c:v>229.00000000000003</c:v>
                </c:pt>
                <c:pt idx="10">
                  <c:v>258.57142857142856</c:v>
                </c:pt>
                <c:pt idx="11">
                  <c:v>262.71428571428572</c:v>
                </c:pt>
                <c:pt idx="12">
                  <c:v>284</c:v>
                </c:pt>
                <c:pt idx="13">
                  <c:v>242</c:v>
                </c:pt>
                <c:pt idx="14">
                  <c:v>168.5</c:v>
                </c:pt>
                <c:pt idx="15">
                  <c:v>92</c:v>
                </c:pt>
                <c:pt idx="16">
                  <c:v>61.5</c:v>
                </c:pt>
                <c:pt idx="17">
                  <c:v>37</c:v>
                </c:pt>
                <c:pt idx="18">
                  <c:v>19.5</c:v>
                </c:pt>
                <c:pt idx="19">
                  <c:v>11</c:v>
                </c:pt>
                <c:pt idx="20">
                  <c:v>14</c:v>
                </c:pt>
                <c:pt idx="21">
                  <c:v>26.5</c:v>
                </c:pt>
                <c:pt idx="22">
                  <c:v>44</c:v>
                </c:pt>
                <c:pt idx="23">
                  <c:v>90.5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14-44AB-AD2F-CB987D383BD4}"/>
            </c:ext>
          </c:extLst>
        </c:ser>
        <c:ser>
          <c:idx val="1"/>
          <c:order val="1"/>
          <c:tx>
            <c:strRef>
              <c:f>'Avg Week Buwenge-Jinja-2Dir'!$AF$9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Buwenge-Jinja-2Dir'!$R$10:$R$33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Buwenge-Jinja-2Dir'!$AF$10:$AF$33</c:f>
              <c:numCache>
                <c:formatCode>0</c:formatCode>
                <c:ptCount val="24"/>
                <c:pt idx="0">
                  <c:v>443.28571428571433</c:v>
                </c:pt>
                <c:pt idx="1">
                  <c:v>478</c:v>
                </c:pt>
                <c:pt idx="2">
                  <c:v>539.71428571428578</c:v>
                </c:pt>
                <c:pt idx="3">
                  <c:v>527.14285714285722</c:v>
                </c:pt>
                <c:pt idx="4">
                  <c:v>532.42857142857144</c:v>
                </c:pt>
                <c:pt idx="5">
                  <c:v>545</c:v>
                </c:pt>
                <c:pt idx="6">
                  <c:v>522.14285714285711</c:v>
                </c:pt>
                <c:pt idx="7">
                  <c:v>537.14285714285711</c:v>
                </c:pt>
                <c:pt idx="8">
                  <c:v>454.71428571428578</c:v>
                </c:pt>
                <c:pt idx="9">
                  <c:v>502.85714285714289</c:v>
                </c:pt>
                <c:pt idx="10">
                  <c:v>612.42857142857144</c:v>
                </c:pt>
                <c:pt idx="11">
                  <c:v>585.85714285714289</c:v>
                </c:pt>
                <c:pt idx="12">
                  <c:v>579</c:v>
                </c:pt>
                <c:pt idx="13">
                  <c:v>409.5</c:v>
                </c:pt>
                <c:pt idx="14">
                  <c:v>309</c:v>
                </c:pt>
                <c:pt idx="15">
                  <c:v>178.5</c:v>
                </c:pt>
                <c:pt idx="16">
                  <c:v>123</c:v>
                </c:pt>
                <c:pt idx="17">
                  <c:v>65</c:v>
                </c:pt>
                <c:pt idx="18">
                  <c:v>38</c:v>
                </c:pt>
                <c:pt idx="19">
                  <c:v>14.5</c:v>
                </c:pt>
                <c:pt idx="20">
                  <c:v>17.5</c:v>
                </c:pt>
                <c:pt idx="21">
                  <c:v>38.5</c:v>
                </c:pt>
                <c:pt idx="22">
                  <c:v>71</c:v>
                </c:pt>
                <c:pt idx="23">
                  <c:v>161.5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F14-44AB-AD2F-CB987D383BD4}"/>
            </c:ext>
          </c:extLst>
        </c:ser>
        <c:ser>
          <c:idx val="5"/>
          <c:order val="2"/>
          <c:tx>
            <c:strRef>
              <c:f>'Avg Week Buwenge-Jinja-2Dir'!$AC$9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Buwenge-Jinja-2Dir'!$R$10:$R$33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Buwenge-Jinja-2Dir'!$AC$10:$AC$33</c:f>
              <c:numCache>
                <c:formatCode>0</c:formatCode>
                <c:ptCount val="24"/>
                <c:pt idx="0">
                  <c:v>285</c:v>
                </c:pt>
                <c:pt idx="1">
                  <c:v>302.85714285714289</c:v>
                </c:pt>
                <c:pt idx="2">
                  <c:v>332.71428571428572</c:v>
                </c:pt>
                <c:pt idx="3">
                  <c:v>328.14285714285711</c:v>
                </c:pt>
                <c:pt idx="4">
                  <c:v>322.28571428571433</c:v>
                </c:pt>
                <c:pt idx="5">
                  <c:v>325.57142857142856</c:v>
                </c:pt>
                <c:pt idx="6">
                  <c:v>305.28571428571428</c:v>
                </c:pt>
                <c:pt idx="7">
                  <c:v>321.28571428571428</c:v>
                </c:pt>
                <c:pt idx="8">
                  <c:v>228.14285714285714</c:v>
                </c:pt>
                <c:pt idx="9">
                  <c:v>273.85714285714289</c:v>
                </c:pt>
                <c:pt idx="10">
                  <c:v>353.85714285714289</c:v>
                </c:pt>
                <c:pt idx="11">
                  <c:v>323.14285714285717</c:v>
                </c:pt>
                <c:pt idx="12">
                  <c:v>295</c:v>
                </c:pt>
                <c:pt idx="13">
                  <c:v>167.5</c:v>
                </c:pt>
                <c:pt idx="14">
                  <c:v>140.5</c:v>
                </c:pt>
                <c:pt idx="15">
                  <c:v>86.5</c:v>
                </c:pt>
                <c:pt idx="16">
                  <c:v>61.5</c:v>
                </c:pt>
                <c:pt idx="17">
                  <c:v>28</c:v>
                </c:pt>
                <c:pt idx="18">
                  <c:v>18.5</c:v>
                </c:pt>
                <c:pt idx="19">
                  <c:v>3.5</c:v>
                </c:pt>
                <c:pt idx="20">
                  <c:v>3.5</c:v>
                </c:pt>
                <c:pt idx="21">
                  <c:v>12</c:v>
                </c:pt>
                <c:pt idx="22">
                  <c:v>27</c:v>
                </c:pt>
                <c:pt idx="2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14-44AB-AD2F-CB987D383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Buwenge-Jinja-2Dir'!$S$9:$AF$9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Buwenge-Jinja-2Dir'!$S$41:$AF$41</c:f>
              <c:numCache>
                <c:formatCode>_(* #,##0_);_(* \(#,##0\);_(* "-"_);_(@_)</c:formatCode>
                <c:ptCount val="14"/>
                <c:pt idx="0">
                  <c:v>842.28571428571422</c:v>
                </c:pt>
                <c:pt idx="1">
                  <c:v>136.42857142857144</c:v>
                </c:pt>
                <c:pt idx="2">
                  <c:v>526.78571428571433</c:v>
                </c:pt>
                <c:pt idx="3">
                  <c:v>1265.6428571428571</c:v>
                </c:pt>
                <c:pt idx="4">
                  <c:v>226.64285714285714</c:v>
                </c:pt>
                <c:pt idx="5">
                  <c:v>237.85714285714286</c:v>
                </c:pt>
                <c:pt idx="6">
                  <c:v>371.57142857142856</c:v>
                </c:pt>
                <c:pt idx="7">
                  <c:v>44.357142857142861</c:v>
                </c:pt>
                <c:pt idx="8">
                  <c:v>6.4999999999999991</c:v>
                </c:pt>
                <c:pt idx="9">
                  <c:v>1.5714285714285712</c:v>
                </c:pt>
                <c:pt idx="10">
                  <c:v>4616.6428571428569</c:v>
                </c:pt>
                <c:pt idx="11">
                  <c:v>9.4285714285714288</c:v>
                </c:pt>
                <c:pt idx="12">
                  <c:v>3669.0714285714289</c:v>
                </c:pt>
                <c:pt idx="13">
                  <c:v>8285.7142857142862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C-4A03-BA0E-9667C5250B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Buwenge-Jinja-2Dir'!$S$9:$AF$9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Buwenge-Jinja-2Dir'!$S$42:$AF$42</c:f>
              <c:numCache>
                <c:formatCode>0.000</c:formatCode>
                <c:ptCount val="14"/>
                <c:pt idx="0">
                  <c:v>1.3961638645512668</c:v>
                </c:pt>
                <c:pt idx="1">
                  <c:v>1.2467362924281986</c:v>
                </c:pt>
                <c:pt idx="2">
                  <c:v>1.4342668222481525</c:v>
                </c:pt>
                <c:pt idx="3">
                  <c:v>1.2203168044077135</c:v>
                </c:pt>
                <c:pt idx="4">
                  <c:v>1.6057692307692308</c:v>
                </c:pt>
                <c:pt idx="5">
                  <c:v>26.85483870967742</c:v>
                </c:pt>
                <c:pt idx="6">
                  <c:v>1.3483670295489891</c:v>
                </c:pt>
                <c:pt idx="7">
                  <c:v>1.5923076923076922</c:v>
                </c:pt>
                <c:pt idx="8">
                  <c:v>1.3</c:v>
                </c:pt>
                <c:pt idx="9">
                  <c:v>1</c:v>
                </c:pt>
                <c:pt idx="10">
                  <c:v>1.2470191009068106</c:v>
                </c:pt>
                <c:pt idx="11">
                  <c:v>6.6000000000000014</c:v>
                </c:pt>
                <c:pt idx="12">
                  <c:v>1.4229085872576177</c:v>
                </c:pt>
                <c:pt idx="13">
                  <c:v>1.3192312066416465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1-474D-AAEE-0AE3535C73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</xdr:colOff>
      <xdr:row>43</xdr:row>
      <xdr:rowOff>47624</xdr:rowOff>
    </xdr:from>
    <xdr:to>
      <xdr:col>28</xdr:col>
      <xdr:colOff>15876</xdr:colOff>
      <xdr:row>58</xdr:row>
      <xdr:rowOff>285749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63501</xdr:colOff>
      <xdr:row>60</xdr:row>
      <xdr:rowOff>0</xdr:rowOff>
    </xdr:from>
    <xdr:to>
      <xdr:col>23</xdr:col>
      <xdr:colOff>1</xdr:colOff>
      <xdr:row>74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698500</xdr:colOff>
      <xdr:row>60</xdr:row>
      <xdr:rowOff>15875</xdr:rowOff>
    </xdr:from>
    <xdr:to>
      <xdr:col>31</xdr:col>
      <xdr:colOff>1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15874</xdr:colOff>
      <xdr:row>43</xdr:row>
      <xdr:rowOff>6349</xdr:rowOff>
    </xdr:from>
    <xdr:to>
      <xdr:col>28</xdr:col>
      <xdr:colOff>15874</xdr:colOff>
      <xdr:row>58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</xdr:colOff>
      <xdr:row>60</xdr:row>
      <xdr:rowOff>31750</xdr:rowOff>
    </xdr:from>
    <xdr:to>
      <xdr:col>23</xdr:col>
      <xdr:colOff>31751</xdr:colOff>
      <xdr:row>74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60</xdr:row>
      <xdr:rowOff>31750</xdr:rowOff>
    </xdr:from>
    <xdr:to>
      <xdr:col>30</xdr:col>
      <xdr:colOff>682625</xdr:colOff>
      <xdr:row>73</xdr:row>
      <xdr:rowOff>269876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58</xdr:row>
      <xdr:rowOff>279400</xdr:rowOff>
    </xdr:from>
    <xdr:to>
      <xdr:col>23</xdr:col>
      <xdr:colOff>635000</xdr:colOff>
      <xdr:row>75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75</xdr:row>
      <xdr:rowOff>31750</xdr:rowOff>
    </xdr:from>
    <xdr:to>
      <xdr:col>23</xdr:col>
      <xdr:colOff>634999</xdr:colOff>
      <xdr:row>91</xdr:row>
      <xdr:rowOff>47625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0</xdr:colOff>
      <xdr:row>59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650875</xdr:colOff>
      <xdr:row>59</xdr:row>
      <xdr:rowOff>0</xdr:rowOff>
    </xdr:from>
    <xdr:to>
      <xdr:col>30</xdr:col>
      <xdr:colOff>635000</xdr:colOff>
      <xdr:row>74</xdr:row>
      <xdr:rowOff>284163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650875</xdr:colOff>
      <xdr:row>75</xdr:row>
      <xdr:rowOff>15875</xdr:rowOff>
    </xdr:from>
    <xdr:to>
      <xdr:col>30</xdr:col>
      <xdr:colOff>635000</xdr:colOff>
      <xdr:row>91</xdr:row>
      <xdr:rowOff>30163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KURE/Desktop/EDMP-N&amp;E-DATA/EASTERN%20REGION%20C-3/STN%2093%20JINJA-BUWENGE/MCC/15.%20Jinja%20-%20Kamul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"/>
      <sheetName val="RD4 MCC"/>
      <sheetName val="Axle Loads"/>
      <sheetName val="OD"/>
      <sheetName val="AV1 Air Inquiry"/>
      <sheetName val="IW1 OD Ferries"/>
      <sheetName val="EntExit Bus"/>
      <sheetName val="PT2 OD Bus"/>
      <sheetName val="SP"/>
      <sheetName val="Reference Data Codes"/>
      <sheetName val="District Codes"/>
      <sheetName val="Border Codes"/>
      <sheetName val="Zones"/>
    </sheetNames>
    <sheetDataSet>
      <sheetData sheetId="0"/>
      <sheetData sheetId="1">
        <row r="774">
          <cell r="R774">
            <v>0</v>
          </cell>
          <cell r="S774">
            <v>0</v>
          </cell>
          <cell r="T774">
            <v>0</v>
          </cell>
          <cell r="U774">
            <v>0</v>
          </cell>
        </row>
        <row r="775">
          <cell r="R775">
            <v>0</v>
          </cell>
          <cell r="S775">
            <v>1</v>
          </cell>
          <cell r="T775">
            <v>0</v>
          </cell>
          <cell r="U775">
            <v>0</v>
          </cell>
        </row>
        <row r="776">
          <cell r="R776">
            <v>0</v>
          </cell>
          <cell r="S776">
            <v>0</v>
          </cell>
          <cell r="T776">
            <v>0</v>
          </cell>
          <cell r="U776">
            <v>0</v>
          </cell>
        </row>
        <row r="777">
          <cell r="R777">
            <v>0</v>
          </cell>
          <cell r="S777">
            <v>0</v>
          </cell>
          <cell r="T777">
            <v>0</v>
          </cell>
          <cell r="U777">
            <v>0</v>
          </cell>
        </row>
        <row r="778">
          <cell r="R778">
            <v>0</v>
          </cell>
          <cell r="S778">
            <v>0</v>
          </cell>
          <cell r="T778">
            <v>0</v>
          </cell>
          <cell r="U778">
            <v>0</v>
          </cell>
        </row>
        <row r="779">
          <cell r="R779">
            <v>0</v>
          </cell>
          <cell r="S779">
            <v>0</v>
          </cell>
          <cell r="T779">
            <v>0</v>
          </cell>
          <cell r="U779">
            <v>0</v>
          </cell>
        </row>
        <row r="780">
          <cell r="R780">
            <v>0</v>
          </cell>
          <cell r="S780">
            <v>1</v>
          </cell>
          <cell r="T780">
            <v>0</v>
          </cell>
          <cell r="U780">
            <v>0</v>
          </cell>
        </row>
        <row r="781">
          <cell r="R781">
            <v>0</v>
          </cell>
          <cell r="S781">
            <v>0</v>
          </cell>
          <cell r="T781">
            <v>0</v>
          </cell>
          <cell r="U781">
            <v>0</v>
          </cell>
        </row>
        <row r="782">
          <cell r="R782">
            <v>0</v>
          </cell>
          <cell r="S782">
            <v>0</v>
          </cell>
          <cell r="T782">
            <v>0</v>
          </cell>
          <cell r="U782">
            <v>0</v>
          </cell>
        </row>
        <row r="783">
          <cell r="R783">
            <v>0</v>
          </cell>
          <cell r="S783">
            <v>0</v>
          </cell>
          <cell r="T783">
            <v>0</v>
          </cell>
          <cell r="U783">
            <v>0</v>
          </cell>
        </row>
        <row r="784">
          <cell r="R784">
            <v>0</v>
          </cell>
          <cell r="S784">
            <v>0</v>
          </cell>
          <cell r="T784">
            <v>0</v>
          </cell>
          <cell r="U784">
            <v>0</v>
          </cell>
        </row>
        <row r="785">
          <cell r="R785">
            <v>0</v>
          </cell>
          <cell r="S785">
            <v>0</v>
          </cell>
          <cell r="T785">
            <v>0</v>
          </cell>
          <cell r="U785">
            <v>0</v>
          </cell>
        </row>
        <row r="786">
          <cell r="R786">
            <v>0</v>
          </cell>
          <cell r="S786">
            <v>1</v>
          </cell>
          <cell r="T786">
            <v>0</v>
          </cell>
          <cell r="U786">
            <v>0</v>
          </cell>
        </row>
        <row r="787">
          <cell r="R787">
            <v>0</v>
          </cell>
          <cell r="S787">
            <v>0</v>
          </cell>
          <cell r="T787">
            <v>0</v>
          </cell>
          <cell r="U787">
            <v>0</v>
          </cell>
        </row>
        <row r="788">
          <cell r="R788">
            <v>0</v>
          </cell>
          <cell r="S788">
            <v>0</v>
          </cell>
          <cell r="T788">
            <v>0</v>
          </cell>
          <cell r="U788">
            <v>0</v>
          </cell>
        </row>
        <row r="789">
          <cell r="R789">
            <v>0</v>
          </cell>
          <cell r="S789">
            <v>0</v>
          </cell>
          <cell r="T789">
            <v>0</v>
          </cell>
          <cell r="U789">
            <v>0</v>
          </cell>
        </row>
        <row r="790">
          <cell r="R790">
            <v>0</v>
          </cell>
          <cell r="S790">
            <v>0</v>
          </cell>
          <cell r="T790">
            <v>0</v>
          </cell>
          <cell r="U790">
            <v>0</v>
          </cell>
        </row>
        <row r="791">
          <cell r="R791">
            <v>0</v>
          </cell>
          <cell r="S791">
            <v>0</v>
          </cell>
          <cell r="T791">
            <v>0</v>
          </cell>
          <cell r="U791">
            <v>0</v>
          </cell>
        </row>
        <row r="792">
          <cell r="R792">
            <v>0</v>
          </cell>
          <cell r="S792">
            <v>0</v>
          </cell>
          <cell r="T792">
            <v>0</v>
          </cell>
          <cell r="U792">
            <v>0</v>
          </cell>
        </row>
        <row r="793">
          <cell r="R793">
            <v>0</v>
          </cell>
          <cell r="S793">
            <v>0</v>
          </cell>
          <cell r="T793">
            <v>0</v>
          </cell>
          <cell r="U793">
            <v>0</v>
          </cell>
        </row>
        <row r="794">
          <cell r="R794">
            <v>0</v>
          </cell>
          <cell r="S794">
            <v>0</v>
          </cell>
          <cell r="T794">
            <v>0</v>
          </cell>
          <cell r="U794">
            <v>0</v>
          </cell>
        </row>
        <row r="795">
          <cell r="R795">
            <v>0</v>
          </cell>
          <cell r="S795">
            <v>0</v>
          </cell>
          <cell r="T795">
            <v>0</v>
          </cell>
          <cell r="U795">
            <v>0</v>
          </cell>
        </row>
        <row r="796">
          <cell r="R796">
            <v>0</v>
          </cell>
          <cell r="S796">
            <v>0</v>
          </cell>
          <cell r="T796">
            <v>0</v>
          </cell>
          <cell r="U796">
            <v>0</v>
          </cell>
        </row>
        <row r="797">
          <cell r="R797">
            <v>0</v>
          </cell>
          <cell r="S797">
            <v>0</v>
          </cell>
          <cell r="T797">
            <v>0</v>
          </cell>
          <cell r="U797">
            <v>0</v>
          </cell>
        </row>
        <row r="798">
          <cell r="R798">
            <v>0</v>
          </cell>
          <cell r="S798">
            <v>0</v>
          </cell>
          <cell r="T798">
            <v>0</v>
          </cell>
          <cell r="U798">
            <v>0</v>
          </cell>
        </row>
        <row r="799">
          <cell r="R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R800">
            <v>0</v>
          </cell>
          <cell r="S800">
            <v>0</v>
          </cell>
          <cell r="T800">
            <v>0</v>
          </cell>
          <cell r="U800">
            <v>0</v>
          </cell>
        </row>
        <row r="801">
          <cell r="R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R802">
            <v>0</v>
          </cell>
          <cell r="S802">
            <v>1</v>
          </cell>
          <cell r="T802">
            <v>0</v>
          </cell>
          <cell r="U802">
            <v>0</v>
          </cell>
        </row>
        <row r="803">
          <cell r="R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R804">
            <v>1</v>
          </cell>
          <cell r="S804">
            <v>0</v>
          </cell>
          <cell r="T804">
            <v>0</v>
          </cell>
          <cell r="U804">
            <v>0</v>
          </cell>
        </row>
        <row r="805">
          <cell r="R805">
            <v>0</v>
          </cell>
          <cell r="S805">
            <v>0</v>
          </cell>
          <cell r="T805">
            <v>0</v>
          </cell>
          <cell r="U805">
            <v>0</v>
          </cell>
        </row>
        <row r="806">
          <cell r="R806">
            <v>0</v>
          </cell>
          <cell r="S806">
            <v>0</v>
          </cell>
          <cell r="T806">
            <v>0</v>
          </cell>
          <cell r="U806">
            <v>0</v>
          </cell>
        </row>
        <row r="807">
          <cell r="R807">
            <v>0</v>
          </cell>
          <cell r="S807">
            <v>1</v>
          </cell>
          <cell r="T807">
            <v>0</v>
          </cell>
          <cell r="U807">
            <v>0</v>
          </cell>
        </row>
        <row r="808">
          <cell r="R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R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R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R811">
            <v>0</v>
          </cell>
          <cell r="S811">
            <v>1</v>
          </cell>
          <cell r="T811">
            <v>0</v>
          </cell>
          <cell r="U811">
            <v>0</v>
          </cell>
        </row>
        <row r="812">
          <cell r="R812">
            <v>0</v>
          </cell>
          <cell r="S812">
            <v>1</v>
          </cell>
          <cell r="T812">
            <v>0</v>
          </cell>
          <cell r="U812">
            <v>0</v>
          </cell>
        </row>
        <row r="813">
          <cell r="R813">
            <v>0</v>
          </cell>
          <cell r="S813">
            <v>0</v>
          </cell>
          <cell r="T813">
            <v>0</v>
          </cell>
          <cell r="U813">
            <v>0</v>
          </cell>
        </row>
        <row r="814">
          <cell r="R814">
            <v>0</v>
          </cell>
          <cell r="S814">
            <v>0</v>
          </cell>
          <cell r="T814">
            <v>0</v>
          </cell>
          <cell r="U814">
            <v>0</v>
          </cell>
        </row>
        <row r="815">
          <cell r="R815">
            <v>0</v>
          </cell>
          <cell r="S815">
            <v>1</v>
          </cell>
          <cell r="T815">
            <v>0</v>
          </cell>
          <cell r="U815">
            <v>0</v>
          </cell>
        </row>
        <row r="816">
          <cell r="R816">
            <v>0</v>
          </cell>
          <cell r="S816">
            <v>0</v>
          </cell>
          <cell r="T816">
            <v>0</v>
          </cell>
          <cell r="U816">
            <v>0</v>
          </cell>
        </row>
        <row r="817">
          <cell r="R817">
            <v>0</v>
          </cell>
          <cell r="S817">
            <v>0</v>
          </cell>
          <cell r="T817">
            <v>0</v>
          </cell>
          <cell r="U817">
            <v>0</v>
          </cell>
        </row>
        <row r="818">
          <cell r="R818">
            <v>1</v>
          </cell>
          <cell r="S818">
            <v>1</v>
          </cell>
          <cell r="T818">
            <v>0</v>
          </cell>
          <cell r="U818">
            <v>0</v>
          </cell>
        </row>
        <row r="819">
          <cell r="R819">
            <v>0</v>
          </cell>
          <cell r="S819">
            <v>0</v>
          </cell>
          <cell r="T819">
            <v>0</v>
          </cell>
          <cell r="U819">
            <v>0</v>
          </cell>
        </row>
        <row r="820">
          <cell r="R820">
            <v>0</v>
          </cell>
          <cell r="S820">
            <v>0</v>
          </cell>
          <cell r="T820">
            <v>0</v>
          </cell>
          <cell r="U820">
            <v>0</v>
          </cell>
        </row>
        <row r="821">
          <cell r="R821">
            <v>0</v>
          </cell>
          <cell r="S821">
            <v>0</v>
          </cell>
          <cell r="T821">
            <v>0</v>
          </cell>
          <cell r="U82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I3" sqref="I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173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54" t="s">
        <v>162</v>
      </c>
      <c r="H5" s="55"/>
      <c r="I5" s="14"/>
      <c r="J5" s="2" t="s">
        <v>5</v>
      </c>
      <c r="K5" s="54" t="s">
        <v>162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164</v>
      </c>
      <c r="E6" s="55"/>
      <c r="F6" s="2" t="s">
        <v>2</v>
      </c>
      <c r="G6" s="54" t="s">
        <v>165</v>
      </c>
      <c r="H6" s="55"/>
      <c r="J6" s="2" t="s">
        <v>21</v>
      </c>
      <c r="K6" s="54" t="s">
        <v>162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2</v>
      </c>
      <c r="E10" s="50">
        <v>2</v>
      </c>
      <c r="F10" s="50">
        <v>8</v>
      </c>
      <c r="G10" s="50">
        <v>6</v>
      </c>
      <c r="H10" s="50">
        <v>1</v>
      </c>
      <c r="I10" s="50">
        <v>4</v>
      </c>
      <c r="J10" s="50">
        <v>0</v>
      </c>
      <c r="K10" s="50">
        <v>0</v>
      </c>
      <c r="L10" s="50">
        <f>SUM('[1]RD4 MCC'!R54:U54)</f>
        <v>0</v>
      </c>
      <c r="M10" s="50">
        <v>36</v>
      </c>
      <c r="N10" s="50">
        <v>0</v>
      </c>
      <c r="O10" s="15">
        <f t="shared" ref="O10:O57" si="0">SUM(C10:L10,N10)</f>
        <v>26</v>
      </c>
      <c r="P10" s="15">
        <f t="shared" ref="P10:P57" si="1">SUM(C10:N10)</f>
        <v>62</v>
      </c>
      <c r="R10" s="1" t="s">
        <v>6</v>
      </c>
      <c r="S10" s="17">
        <f t="shared" ref="S10:AF10" si="2">SUM(C10:C13)</f>
        <v>12</v>
      </c>
      <c r="T10" s="17">
        <f t="shared" si="2"/>
        <v>5</v>
      </c>
      <c r="U10" s="17">
        <f t="shared" si="2"/>
        <v>7</v>
      </c>
      <c r="V10" s="17">
        <f t="shared" si="2"/>
        <v>42</v>
      </c>
      <c r="W10" s="17">
        <f t="shared" si="2"/>
        <v>17</v>
      </c>
      <c r="X10" s="17">
        <f t="shared" si="2"/>
        <v>1</v>
      </c>
      <c r="Y10" s="17">
        <f t="shared" si="2"/>
        <v>14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206</v>
      </c>
      <c r="AD10" s="17">
        <f t="shared" si="2"/>
        <v>0</v>
      </c>
      <c r="AE10" s="31">
        <f t="shared" si="2"/>
        <v>98</v>
      </c>
      <c r="AF10" s="31">
        <f t="shared" si="2"/>
        <v>304</v>
      </c>
    </row>
    <row r="11" spans="2:32" s="6" customFormat="1" ht="23.1" customHeight="1" x14ac:dyDescent="0.25">
      <c r="B11" s="23" t="s">
        <v>38</v>
      </c>
      <c r="C11" s="50">
        <v>2</v>
      </c>
      <c r="D11" s="50">
        <v>1</v>
      </c>
      <c r="E11" s="50">
        <v>2</v>
      </c>
      <c r="F11" s="50">
        <v>9</v>
      </c>
      <c r="G11" s="50">
        <v>1</v>
      </c>
      <c r="H11" s="50">
        <v>0</v>
      </c>
      <c r="I11" s="50">
        <v>4</v>
      </c>
      <c r="J11" s="50">
        <v>0</v>
      </c>
      <c r="K11" s="50">
        <v>0</v>
      </c>
      <c r="L11" s="50">
        <f>SUM('[1]RD4 MCC'!R55:U55)</f>
        <v>0</v>
      </c>
      <c r="M11" s="50">
        <v>48</v>
      </c>
      <c r="N11" s="50">
        <v>0</v>
      </c>
      <c r="O11" s="15">
        <f t="shared" si="0"/>
        <v>19</v>
      </c>
      <c r="P11" s="15">
        <f t="shared" si="1"/>
        <v>67</v>
      </c>
      <c r="R11" s="1" t="s">
        <v>7</v>
      </c>
      <c r="S11" s="17">
        <f t="shared" ref="S11:AF11" si="3">SUM(C14:C17)</f>
        <v>27</v>
      </c>
      <c r="T11" s="17">
        <f t="shared" si="3"/>
        <v>4</v>
      </c>
      <c r="U11" s="17">
        <f t="shared" si="3"/>
        <v>4</v>
      </c>
      <c r="V11" s="17">
        <f t="shared" si="3"/>
        <v>41</v>
      </c>
      <c r="W11" s="17">
        <f t="shared" si="3"/>
        <v>14</v>
      </c>
      <c r="X11" s="17">
        <f t="shared" si="3"/>
        <v>1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215</v>
      </c>
      <c r="AD11" s="17">
        <f t="shared" si="3"/>
        <v>1</v>
      </c>
      <c r="AE11" s="31">
        <f t="shared" si="3"/>
        <v>96</v>
      </c>
      <c r="AF11" s="31">
        <f t="shared" si="3"/>
        <v>311</v>
      </c>
    </row>
    <row r="12" spans="2:32" ht="23.1" customHeight="1" x14ac:dyDescent="0.25">
      <c r="B12" s="23" t="s">
        <v>39</v>
      </c>
      <c r="C12" s="50">
        <v>3</v>
      </c>
      <c r="D12" s="50">
        <v>1</v>
      </c>
      <c r="E12" s="50">
        <v>1</v>
      </c>
      <c r="F12" s="50">
        <v>14</v>
      </c>
      <c r="G12" s="50">
        <v>6</v>
      </c>
      <c r="H12" s="50">
        <v>0</v>
      </c>
      <c r="I12" s="50">
        <v>5</v>
      </c>
      <c r="J12" s="50">
        <v>0</v>
      </c>
      <c r="K12" s="50">
        <v>0</v>
      </c>
      <c r="L12" s="50">
        <f>SUM('[1]RD4 MCC'!R56:U56)</f>
        <v>0</v>
      </c>
      <c r="M12" s="50">
        <v>66</v>
      </c>
      <c r="N12" s="50">
        <v>0</v>
      </c>
      <c r="O12" s="15">
        <f t="shared" si="0"/>
        <v>30</v>
      </c>
      <c r="P12" s="15">
        <f t="shared" si="1"/>
        <v>96</v>
      </c>
      <c r="R12" s="1" t="s">
        <v>8</v>
      </c>
      <c r="S12" s="17">
        <f t="shared" ref="S12:AF12" si="4">SUM(C18:C21)</f>
        <v>14</v>
      </c>
      <c r="T12" s="17">
        <f t="shared" si="4"/>
        <v>4</v>
      </c>
      <c r="U12" s="17">
        <f t="shared" si="4"/>
        <v>7</v>
      </c>
      <c r="V12" s="17">
        <f t="shared" si="4"/>
        <v>46</v>
      </c>
      <c r="W12" s="17">
        <f t="shared" si="4"/>
        <v>3</v>
      </c>
      <c r="X12" s="17">
        <f t="shared" si="4"/>
        <v>1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215</v>
      </c>
      <c r="AD12" s="17">
        <f t="shared" si="4"/>
        <v>0</v>
      </c>
      <c r="AE12" s="31">
        <f t="shared" si="4"/>
        <v>80</v>
      </c>
      <c r="AF12" s="31">
        <f t="shared" si="4"/>
        <v>295</v>
      </c>
    </row>
    <row r="13" spans="2:32" ht="23.1" customHeight="1" x14ac:dyDescent="0.25">
      <c r="B13" s="23" t="s">
        <v>40</v>
      </c>
      <c r="C13" s="50">
        <v>4</v>
      </c>
      <c r="D13" s="50">
        <v>1</v>
      </c>
      <c r="E13" s="50">
        <v>2</v>
      </c>
      <c r="F13" s="50">
        <v>11</v>
      </c>
      <c r="G13" s="50">
        <v>4</v>
      </c>
      <c r="H13" s="50">
        <v>0</v>
      </c>
      <c r="I13" s="50">
        <v>1</v>
      </c>
      <c r="J13" s="50">
        <v>0</v>
      </c>
      <c r="K13" s="50">
        <v>0</v>
      </c>
      <c r="L13" s="50">
        <f>SUM('[1]RD4 MCC'!R57:U57)</f>
        <v>0</v>
      </c>
      <c r="M13" s="50">
        <v>56</v>
      </c>
      <c r="N13" s="50">
        <v>0</v>
      </c>
      <c r="O13" s="15">
        <f t="shared" si="0"/>
        <v>23</v>
      </c>
      <c r="P13" s="15">
        <f t="shared" si="1"/>
        <v>79</v>
      </c>
      <c r="R13" s="1" t="s">
        <v>9</v>
      </c>
      <c r="S13" s="17">
        <f t="shared" ref="S13:AF13" si="5">SUM(C22:C25)</f>
        <v>16</v>
      </c>
      <c r="T13" s="17">
        <f t="shared" si="5"/>
        <v>5</v>
      </c>
      <c r="U13" s="17">
        <f t="shared" si="5"/>
        <v>6</v>
      </c>
      <c r="V13" s="17">
        <f t="shared" si="5"/>
        <v>45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172</v>
      </c>
      <c r="AD13" s="17">
        <f t="shared" si="5"/>
        <v>0</v>
      </c>
      <c r="AE13" s="31">
        <f t="shared" si="5"/>
        <v>83</v>
      </c>
      <c r="AF13" s="31">
        <f t="shared" si="5"/>
        <v>255</v>
      </c>
    </row>
    <row r="14" spans="2:32" ht="23.1" customHeight="1" x14ac:dyDescent="0.25">
      <c r="B14" s="23" t="s">
        <v>41</v>
      </c>
      <c r="C14" s="50">
        <v>6</v>
      </c>
      <c r="D14" s="50">
        <v>1</v>
      </c>
      <c r="E14" s="50">
        <v>1</v>
      </c>
      <c r="F14" s="50">
        <v>14</v>
      </c>
      <c r="G14" s="50">
        <v>5</v>
      </c>
      <c r="H14" s="50">
        <v>0</v>
      </c>
      <c r="I14" s="50">
        <v>1</v>
      </c>
      <c r="J14" s="50">
        <v>0</v>
      </c>
      <c r="K14" s="50">
        <v>0</v>
      </c>
      <c r="L14" s="50">
        <f>SUM('[1]RD4 MCC'!R58:U58)</f>
        <v>0</v>
      </c>
      <c r="M14" s="50">
        <v>56</v>
      </c>
      <c r="N14" s="50">
        <v>0</v>
      </c>
      <c r="O14" s="15">
        <f t="shared" si="0"/>
        <v>28</v>
      </c>
      <c r="P14" s="15">
        <f t="shared" si="1"/>
        <v>84</v>
      </c>
      <c r="R14" s="1" t="s">
        <v>10</v>
      </c>
      <c r="S14" s="17">
        <f t="shared" ref="S14:AF14" si="6">SUM(C26:C29)</f>
        <v>24</v>
      </c>
      <c r="T14" s="17">
        <f t="shared" si="6"/>
        <v>8</v>
      </c>
      <c r="U14" s="17">
        <f t="shared" si="6"/>
        <v>9</v>
      </c>
      <c r="V14" s="17">
        <f t="shared" si="6"/>
        <v>46</v>
      </c>
      <c r="W14" s="17">
        <f t="shared" si="6"/>
        <v>1</v>
      </c>
      <c r="X14" s="17">
        <f t="shared" si="6"/>
        <v>0</v>
      </c>
      <c r="Y14" s="17">
        <f t="shared" si="6"/>
        <v>12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141</v>
      </c>
      <c r="AD14" s="17">
        <f t="shared" si="6"/>
        <v>0</v>
      </c>
      <c r="AE14" s="31">
        <f t="shared" si="6"/>
        <v>100</v>
      </c>
      <c r="AF14" s="31">
        <f t="shared" si="6"/>
        <v>241</v>
      </c>
    </row>
    <row r="15" spans="2:32" ht="23.1" customHeight="1" x14ac:dyDescent="0.25">
      <c r="B15" s="23" t="s">
        <v>42</v>
      </c>
      <c r="C15" s="50">
        <v>4</v>
      </c>
      <c r="D15" s="50">
        <v>1</v>
      </c>
      <c r="E15" s="50">
        <v>1</v>
      </c>
      <c r="F15" s="50">
        <v>6</v>
      </c>
      <c r="G15" s="50">
        <v>2</v>
      </c>
      <c r="H15" s="50">
        <v>0</v>
      </c>
      <c r="I15" s="50">
        <v>1</v>
      </c>
      <c r="J15" s="50">
        <v>0</v>
      </c>
      <c r="K15" s="50">
        <v>0</v>
      </c>
      <c r="L15" s="50">
        <f>SUM('[1]RD4 MCC'!R59:U59)</f>
        <v>0</v>
      </c>
      <c r="M15" s="50">
        <v>52</v>
      </c>
      <c r="N15" s="50">
        <v>1</v>
      </c>
      <c r="O15" s="15">
        <f t="shared" si="0"/>
        <v>16</v>
      </c>
      <c r="P15" s="15">
        <f t="shared" si="1"/>
        <v>68</v>
      </c>
      <c r="R15" s="1" t="s">
        <v>11</v>
      </c>
      <c r="S15" s="17">
        <f t="shared" ref="S15:AF15" si="7">SUM(C30:C33)</f>
        <v>21</v>
      </c>
      <c r="T15" s="17">
        <f t="shared" si="7"/>
        <v>8</v>
      </c>
      <c r="U15" s="17">
        <f t="shared" si="7"/>
        <v>9</v>
      </c>
      <c r="V15" s="17">
        <f t="shared" si="7"/>
        <v>33</v>
      </c>
      <c r="W15" s="17">
        <f t="shared" si="7"/>
        <v>3</v>
      </c>
      <c r="X15" s="17">
        <f t="shared" si="7"/>
        <v>0</v>
      </c>
      <c r="Y15" s="17">
        <f t="shared" si="7"/>
        <v>8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153</v>
      </c>
      <c r="AD15" s="17">
        <f t="shared" si="7"/>
        <v>1</v>
      </c>
      <c r="AE15" s="31">
        <f t="shared" si="7"/>
        <v>85</v>
      </c>
      <c r="AF15" s="31">
        <f t="shared" si="7"/>
        <v>238</v>
      </c>
    </row>
    <row r="16" spans="2:32" ht="23.1" customHeight="1" x14ac:dyDescent="0.25">
      <c r="B16" s="23" t="s">
        <v>43</v>
      </c>
      <c r="C16" s="50">
        <v>11</v>
      </c>
      <c r="D16" s="50">
        <v>1</v>
      </c>
      <c r="E16" s="50">
        <v>1</v>
      </c>
      <c r="F16" s="50">
        <v>11</v>
      </c>
      <c r="G16" s="50">
        <v>4</v>
      </c>
      <c r="H16" s="50">
        <v>0</v>
      </c>
      <c r="I16" s="50">
        <v>1</v>
      </c>
      <c r="J16" s="50">
        <v>0</v>
      </c>
      <c r="K16" s="50">
        <v>0</v>
      </c>
      <c r="L16" s="50">
        <f>SUM('[1]RD4 MCC'!R60:U60)</f>
        <v>0</v>
      </c>
      <c r="M16" s="50">
        <v>53</v>
      </c>
      <c r="N16" s="50">
        <v>0</v>
      </c>
      <c r="O16" s="15">
        <f t="shared" si="0"/>
        <v>29</v>
      </c>
      <c r="P16" s="15">
        <f t="shared" si="1"/>
        <v>82</v>
      </c>
      <c r="R16" s="1" t="s">
        <v>12</v>
      </c>
      <c r="S16" s="17">
        <f t="shared" ref="S16:AF16" si="8">SUM(C34:C37)</f>
        <v>15</v>
      </c>
      <c r="T16" s="17">
        <f t="shared" si="8"/>
        <v>14</v>
      </c>
      <c r="U16" s="17">
        <f t="shared" si="8"/>
        <v>15</v>
      </c>
      <c r="V16" s="17">
        <f t="shared" si="8"/>
        <v>49</v>
      </c>
      <c r="W16" s="17">
        <f t="shared" si="8"/>
        <v>5</v>
      </c>
      <c r="X16" s="17">
        <f t="shared" si="8"/>
        <v>0</v>
      </c>
      <c r="Y16" s="17">
        <f t="shared" si="8"/>
        <v>9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142</v>
      </c>
      <c r="AD16" s="17">
        <f t="shared" si="8"/>
        <v>0</v>
      </c>
      <c r="AE16" s="31">
        <f t="shared" si="8"/>
        <v>109</v>
      </c>
      <c r="AF16" s="31">
        <f t="shared" si="8"/>
        <v>251</v>
      </c>
    </row>
    <row r="17" spans="2:32" ht="23.1" customHeight="1" x14ac:dyDescent="0.25">
      <c r="B17" s="23" t="s">
        <v>44</v>
      </c>
      <c r="C17" s="50">
        <v>6</v>
      </c>
      <c r="D17" s="50">
        <v>1</v>
      </c>
      <c r="E17" s="50">
        <v>1</v>
      </c>
      <c r="F17" s="50">
        <v>10</v>
      </c>
      <c r="G17" s="50">
        <v>3</v>
      </c>
      <c r="H17" s="50">
        <v>1</v>
      </c>
      <c r="I17" s="50">
        <v>1</v>
      </c>
      <c r="J17" s="50">
        <v>0</v>
      </c>
      <c r="K17" s="50">
        <v>0</v>
      </c>
      <c r="L17" s="50">
        <f>SUM('[1]RD4 MCC'!R61:U61)</f>
        <v>0</v>
      </c>
      <c r="M17" s="50">
        <v>54</v>
      </c>
      <c r="N17" s="50">
        <v>0</v>
      </c>
      <c r="O17" s="15">
        <f t="shared" si="0"/>
        <v>23</v>
      </c>
      <c r="P17" s="15">
        <f t="shared" si="1"/>
        <v>77</v>
      </c>
      <c r="R17" s="1" t="s">
        <v>13</v>
      </c>
      <c r="S17" s="17">
        <f t="shared" ref="S17:AF17" si="9">SUM(C38:C41)</f>
        <v>19</v>
      </c>
      <c r="T17" s="17">
        <f t="shared" si="9"/>
        <v>13</v>
      </c>
      <c r="U17" s="17">
        <f t="shared" si="9"/>
        <v>16</v>
      </c>
      <c r="V17" s="17">
        <f t="shared" si="9"/>
        <v>47</v>
      </c>
      <c r="W17" s="17">
        <f t="shared" si="9"/>
        <v>7</v>
      </c>
      <c r="X17" s="17">
        <f t="shared" si="9"/>
        <v>0</v>
      </c>
      <c r="Y17" s="17">
        <f t="shared" si="9"/>
        <v>8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181</v>
      </c>
      <c r="AD17" s="17">
        <f t="shared" si="9"/>
        <v>0</v>
      </c>
      <c r="AE17" s="31">
        <f t="shared" si="9"/>
        <v>111</v>
      </c>
      <c r="AF17" s="31">
        <f t="shared" si="9"/>
        <v>292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14</v>
      </c>
      <c r="G18" s="50">
        <v>2</v>
      </c>
      <c r="H18" s="50">
        <v>0</v>
      </c>
      <c r="I18" s="50">
        <v>0</v>
      </c>
      <c r="J18" s="50">
        <v>0</v>
      </c>
      <c r="K18" s="50">
        <v>0</v>
      </c>
      <c r="L18" s="50">
        <f>SUM('[1]RD4 MCC'!R62:U62)</f>
        <v>0</v>
      </c>
      <c r="M18" s="50">
        <v>49</v>
      </c>
      <c r="N18" s="50">
        <v>0</v>
      </c>
      <c r="O18" s="15">
        <f t="shared" si="0"/>
        <v>18</v>
      </c>
      <c r="P18" s="15">
        <f t="shared" si="1"/>
        <v>67</v>
      </c>
      <c r="R18" s="1" t="s">
        <v>14</v>
      </c>
      <c r="S18" s="17">
        <f t="shared" ref="S18:AF18" si="10">SUM(C42:C45)</f>
        <v>30</v>
      </c>
      <c r="T18" s="17">
        <f t="shared" si="10"/>
        <v>34</v>
      </c>
      <c r="U18" s="17">
        <f t="shared" si="10"/>
        <v>38</v>
      </c>
      <c r="V18" s="17">
        <f t="shared" si="10"/>
        <v>49</v>
      </c>
      <c r="W18" s="17">
        <f t="shared" si="10"/>
        <v>12</v>
      </c>
      <c r="X18" s="17">
        <f t="shared" si="10"/>
        <v>1</v>
      </c>
      <c r="Y18" s="17">
        <f t="shared" si="10"/>
        <v>19</v>
      </c>
      <c r="Z18" s="17">
        <f t="shared" si="10"/>
        <v>2</v>
      </c>
      <c r="AA18" s="17">
        <f t="shared" si="10"/>
        <v>1</v>
      </c>
      <c r="AB18" s="17">
        <f t="shared" si="10"/>
        <v>0</v>
      </c>
      <c r="AC18" s="17">
        <f t="shared" si="10"/>
        <v>80</v>
      </c>
      <c r="AD18" s="17">
        <f t="shared" si="10"/>
        <v>0</v>
      </c>
      <c r="AE18" s="31">
        <f t="shared" si="10"/>
        <v>186</v>
      </c>
      <c r="AF18" s="31">
        <f t="shared" si="10"/>
        <v>266</v>
      </c>
    </row>
    <row r="19" spans="2:32" ht="23.1" customHeight="1" x14ac:dyDescent="0.25">
      <c r="B19" s="23" t="s">
        <v>46</v>
      </c>
      <c r="C19" s="50">
        <v>2</v>
      </c>
      <c r="D19" s="50">
        <v>2</v>
      </c>
      <c r="E19" s="50">
        <v>3</v>
      </c>
      <c r="F19" s="50">
        <v>15</v>
      </c>
      <c r="G19" s="50">
        <v>0</v>
      </c>
      <c r="H19" s="50">
        <v>1</v>
      </c>
      <c r="I19" s="50">
        <v>3</v>
      </c>
      <c r="J19" s="50">
        <v>0</v>
      </c>
      <c r="K19" s="50">
        <v>0</v>
      </c>
      <c r="L19" s="50">
        <f>SUM('[1]RD4 MCC'!R63:U63)</f>
        <v>0</v>
      </c>
      <c r="M19" s="50">
        <v>48</v>
      </c>
      <c r="N19" s="50">
        <v>0</v>
      </c>
      <c r="O19" s="15">
        <f t="shared" si="0"/>
        <v>26</v>
      </c>
      <c r="P19" s="15">
        <f t="shared" si="1"/>
        <v>74</v>
      </c>
      <c r="R19" s="1" t="s">
        <v>15</v>
      </c>
      <c r="S19" s="17">
        <f t="shared" ref="S19:AF19" si="11">SUM(C46:C49)</f>
        <v>55</v>
      </c>
      <c r="T19" s="17">
        <f t="shared" si="11"/>
        <v>46</v>
      </c>
      <c r="U19" s="17">
        <f t="shared" si="11"/>
        <v>47</v>
      </c>
      <c r="V19" s="17">
        <f t="shared" si="11"/>
        <v>54</v>
      </c>
      <c r="W19" s="17">
        <f t="shared" si="11"/>
        <v>11</v>
      </c>
      <c r="X19" s="17">
        <f t="shared" si="11"/>
        <v>1</v>
      </c>
      <c r="Y19" s="17">
        <f t="shared" si="11"/>
        <v>15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94</v>
      </c>
      <c r="AD19" s="17">
        <f t="shared" si="11"/>
        <v>0</v>
      </c>
      <c r="AE19" s="31">
        <f t="shared" si="11"/>
        <v>230</v>
      </c>
      <c r="AF19" s="31">
        <f t="shared" si="11"/>
        <v>324</v>
      </c>
    </row>
    <row r="20" spans="2:32" ht="23.1" customHeight="1" x14ac:dyDescent="0.25">
      <c r="B20" s="23" t="s">
        <v>47</v>
      </c>
      <c r="C20" s="50">
        <v>7</v>
      </c>
      <c r="D20" s="50">
        <v>1</v>
      </c>
      <c r="E20" s="50">
        <v>2</v>
      </c>
      <c r="F20" s="50">
        <v>9</v>
      </c>
      <c r="G20" s="50">
        <v>1</v>
      </c>
      <c r="H20" s="50">
        <v>0</v>
      </c>
      <c r="I20" s="50">
        <v>0</v>
      </c>
      <c r="J20" s="50">
        <v>0</v>
      </c>
      <c r="K20" s="50">
        <v>0</v>
      </c>
      <c r="L20" s="50">
        <f>SUM('[1]RD4 MCC'!R64:U64)</f>
        <v>0</v>
      </c>
      <c r="M20" s="50">
        <v>58</v>
      </c>
      <c r="N20" s="50">
        <v>0</v>
      </c>
      <c r="O20" s="15">
        <f t="shared" si="0"/>
        <v>20</v>
      </c>
      <c r="P20" s="15">
        <f t="shared" si="1"/>
        <v>78</v>
      </c>
      <c r="R20" s="1" t="s">
        <v>16</v>
      </c>
      <c r="S20" s="17">
        <f t="shared" ref="S20:AF20" si="12">SUM(C50:C53)</f>
        <v>53</v>
      </c>
      <c r="T20" s="17">
        <f t="shared" si="12"/>
        <v>27</v>
      </c>
      <c r="U20" s="17">
        <f t="shared" si="12"/>
        <v>30</v>
      </c>
      <c r="V20" s="17">
        <f t="shared" si="12"/>
        <v>51</v>
      </c>
      <c r="W20" s="17">
        <f t="shared" si="12"/>
        <v>14</v>
      </c>
      <c r="X20" s="17">
        <f t="shared" si="12"/>
        <v>1</v>
      </c>
      <c r="Y20" s="17">
        <f t="shared" si="12"/>
        <v>16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216</v>
      </c>
      <c r="AD20" s="17">
        <f t="shared" si="12"/>
        <v>0</v>
      </c>
      <c r="AE20" s="31">
        <f t="shared" si="12"/>
        <v>193</v>
      </c>
      <c r="AF20" s="31">
        <f t="shared" si="12"/>
        <v>409</v>
      </c>
    </row>
    <row r="21" spans="2:32" ht="23.1" customHeight="1" x14ac:dyDescent="0.25">
      <c r="B21" s="23" t="s">
        <v>48</v>
      </c>
      <c r="C21" s="50">
        <v>4</v>
      </c>
      <c r="D21" s="50">
        <v>1</v>
      </c>
      <c r="E21" s="50">
        <v>1</v>
      </c>
      <c r="F21" s="50">
        <v>8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f>SUM('[1]RD4 MCC'!R65:U65)</f>
        <v>0</v>
      </c>
      <c r="M21" s="50">
        <v>60</v>
      </c>
      <c r="N21" s="50">
        <v>0</v>
      </c>
      <c r="O21" s="15">
        <f t="shared" si="0"/>
        <v>16</v>
      </c>
      <c r="P21" s="15">
        <f t="shared" si="1"/>
        <v>76</v>
      </c>
      <c r="R21" s="36" t="s">
        <v>20</v>
      </c>
      <c r="S21" s="34">
        <f t="shared" ref="S21:AF21" si="13">SUM(C54:C57)</f>
        <v>44</v>
      </c>
      <c r="T21" s="17">
        <f t="shared" si="13"/>
        <v>18</v>
      </c>
      <c r="U21" s="17">
        <f t="shared" si="13"/>
        <v>21</v>
      </c>
      <c r="V21" s="17">
        <f t="shared" si="13"/>
        <v>54</v>
      </c>
      <c r="W21" s="17">
        <f t="shared" si="13"/>
        <v>21</v>
      </c>
      <c r="X21" s="17">
        <f t="shared" si="13"/>
        <v>1</v>
      </c>
      <c r="Y21" s="17">
        <f t="shared" si="13"/>
        <v>9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181</v>
      </c>
      <c r="AD21" s="17">
        <f t="shared" si="13"/>
        <v>0</v>
      </c>
      <c r="AE21" s="31">
        <f t="shared" si="13"/>
        <v>169</v>
      </c>
      <c r="AF21" s="31">
        <f t="shared" si="13"/>
        <v>350</v>
      </c>
    </row>
    <row r="22" spans="2:32" ht="23.1" customHeight="1" x14ac:dyDescent="0.25">
      <c r="B22" s="23" t="s">
        <v>49</v>
      </c>
      <c r="C22" s="50">
        <v>6</v>
      </c>
      <c r="D22" s="50">
        <v>2</v>
      </c>
      <c r="E22" s="50">
        <v>2</v>
      </c>
      <c r="F22" s="50">
        <v>14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f>SUM('[1]RD4 MCC'!R66:U66)</f>
        <v>0</v>
      </c>
      <c r="M22" s="50">
        <v>41</v>
      </c>
      <c r="N22" s="50">
        <v>0</v>
      </c>
      <c r="O22" s="15">
        <f t="shared" si="0"/>
        <v>25</v>
      </c>
      <c r="P22" s="15">
        <f t="shared" si="1"/>
        <v>66</v>
      </c>
      <c r="R22" s="38" t="s">
        <v>90</v>
      </c>
      <c r="S22" s="39">
        <f>MAX(S10:S12)</f>
        <v>27</v>
      </c>
      <c r="T22" s="39">
        <f t="shared" ref="T22:AF22" si="14">MAX(T10:T12)</f>
        <v>5</v>
      </c>
      <c r="U22" s="39">
        <f t="shared" si="14"/>
        <v>7</v>
      </c>
      <c r="V22" s="39">
        <f t="shared" si="14"/>
        <v>46</v>
      </c>
      <c r="W22" s="39">
        <f t="shared" si="14"/>
        <v>17</v>
      </c>
      <c r="X22" s="39">
        <f t="shared" si="14"/>
        <v>1</v>
      </c>
      <c r="Y22" s="39">
        <f t="shared" si="14"/>
        <v>14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215</v>
      </c>
      <c r="AD22" s="39">
        <f t="shared" si="14"/>
        <v>1</v>
      </c>
      <c r="AE22" s="40">
        <f t="shared" si="14"/>
        <v>98</v>
      </c>
      <c r="AF22" s="40">
        <f t="shared" si="14"/>
        <v>311</v>
      </c>
    </row>
    <row r="23" spans="2:32" ht="23.1" customHeight="1" x14ac:dyDescent="0.25">
      <c r="B23" s="23" t="s">
        <v>50</v>
      </c>
      <c r="C23" s="50">
        <v>3</v>
      </c>
      <c r="D23" s="50">
        <v>1</v>
      </c>
      <c r="E23" s="50">
        <v>1</v>
      </c>
      <c r="F23" s="50">
        <v>9</v>
      </c>
      <c r="G23" s="50">
        <v>0</v>
      </c>
      <c r="H23" s="50">
        <v>0</v>
      </c>
      <c r="I23" s="50">
        <v>5</v>
      </c>
      <c r="J23" s="50">
        <v>0</v>
      </c>
      <c r="K23" s="50">
        <v>0</v>
      </c>
      <c r="L23" s="50">
        <f>SUM('[1]RD4 MCC'!R67:U67)</f>
        <v>0</v>
      </c>
      <c r="M23" s="50">
        <v>44</v>
      </c>
      <c r="N23" s="50">
        <v>0</v>
      </c>
      <c r="O23" s="15">
        <f t="shared" si="0"/>
        <v>19</v>
      </c>
      <c r="P23" s="15">
        <f t="shared" si="1"/>
        <v>63</v>
      </c>
      <c r="R23" s="38" t="s">
        <v>91</v>
      </c>
      <c r="S23" s="39">
        <f>MAX(S13:S18)</f>
        <v>30</v>
      </c>
      <c r="T23" s="39">
        <f t="shared" ref="T23:AF23" si="15">MAX(T13:T18)</f>
        <v>34</v>
      </c>
      <c r="U23" s="39">
        <f t="shared" si="15"/>
        <v>38</v>
      </c>
      <c r="V23" s="39">
        <f t="shared" si="15"/>
        <v>49</v>
      </c>
      <c r="W23" s="39">
        <f t="shared" si="15"/>
        <v>12</v>
      </c>
      <c r="X23" s="39">
        <f t="shared" si="15"/>
        <v>1</v>
      </c>
      <c r="Y23" s="39">
        <f t="shared" si="15"/>
        <v>19</v>
      </c>
      <c r="Z23" s="39">
        <f t="shared" si="15"/>
        <v>2</v>
      </c>
      <c r="AA23" s="39">
        <f t="shared" si="15"/>
        <v>1</v>
      </c>
      <c r="AB23" s="39">
        <f t="shared" si="15"/>
        <v>0</v>
      </c>
      <c r="AC23" s="39">
        <f t="shared" si="15"/>
        <v>181</v>
      </c>
      <c r="AD23" s="39">
        <f t="shared" si="15"/>
        <v>1</v>
      </c>
      <c r="AE23" s="40">
        <f t="shared" si="15"/>
        <v>186</v>
      </c>
      <c r="AF23" s="40">
        <f t="shared" si="15"/>
        <v>292</v>
      </c>
    </row>
    <row r="24" spans="2:32" ht="23.1" customHeight="1" x14ac:dyDescent="0.25">
      <c r="B24" s="23" t="s">
        <v>51</v>
      </c>
      <c r="C24" s="50">
        <v>1</v>
      </c>
      <c r="D24" s="50">
        <v>2</v>
      </c>
      <c r="E24" s="50">
        <v>2</v>
      </c>
      <c r="F24" s="50">
        <v>12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f>SUM('[1]RD4 MCC'!R68:U68)</f>
        <v>0</v>
      </c>
      <c r="M24" s="50">
        <v>42</v>
      </c>
      <c r="N24" s="50">
        <v>0</v>
      </c>
      <c r="O24" s="15">
        <f t="shared" si="0"/>
        <v>20</v>
      </c>
      <c r="P24" s="15">
        <f t="shared" si="1"/>
        <v>62</v>
      </c>
      <c r="R24" s="38" t="s">
        <v>92</v>
      </c>
      <c r="S24" s="39">
        <f>MAX(S19:S21)</f>
        <v>55</v>
      </c>
      <c r="T24" s="39">
        <f t="shared" ref="T24:AF24" si="16">MAX(T19:T21)</f>
        <v>46</v>
      </c>
      <c r="U24" s="39">
        <f t="shared" si="16"/>
        <v>47</v>
      </c>
      <c r="V24" s="39">
        <f t="shared" si="16"/>
        <v>54</v>
      </c>
      <c r="W24" s="39">
        <f t="shared" si="16"/>
        <v>21</v>
      </c>
      <c r="X24" s="39">
        <f t="shared" si="16"/>
        <v>1</v>
      </c>
      <c r="Y24" s="39">
        <f t="shared" si="16"/>
        <v>16</v>
      </c>
      <c r="Z24" s="39">
        <f t="shared" si="16"/>
        <v>1</v>
      </c>
      <c r="AA24" s="39">
        <f t="shared" si="16"/>
        <v>1</v>
      </c>
      <c r="AB24" s="39">
        <f t="shared" si="16"/>
        <v>0</v>
      </c>
      <c r="AC24" s="39">
        <f t="shared" si="16"/>
        <v>216</v>
      </c>
      <c r="AD24" s="39">
        <f t="shared" si="16"/>
        <v>0</v>
      </c>
      <c r="AE24" s="40">
        <f t="shared" si="16"/>
        <v>230</v>
      </c>
      <c r="AF24" s="40">
        <f t="shared" si="16"/>
        <v>409</v>
      </c>
    </row>
    <row r="25" spans="2:32" ht="23.1" customHeight="1" x14ac:dyDescent="0.25">
      <c r="B25" s="23" t="s">
        <v>52</v>
      </c>
      <c r="C25" s="50">
        <v>6</v>
      </c>
      <c r="D25" s="50">
        <v>0</v>
      </c>
      <c r="E25" s="50">
        <v>1</v>
      </c>
      <c r="F25" s="50">
        <v>10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f>SUM('[1]RD4 MCC'!R69:U69)</f>
        <v>0</v>
      </c>
      <c r="M25" s="50">
        <v>45</v>
      </c>
      <c r="N25" s="50">
        <v>0</v>
      </c>
      <c r="O25" s="15">
        <f t="shared" si="0"/>
        <v>19</v>
      </c>
      <c r="P25" s="15">
        <f t="shared" si="1"/>
        <v>64</v>
      </c>
      <c r="R25" s="37" t="s">
        <v>85</v>
      </c>
      <c r="S25" s="35">
        <f t="shared" ref="S25:AF25" si="17">SUM(S10:S12)</f>
        <v>53</v>
      </c>
      <c r="T25" s="16">
        <f t="shared" si="17"/>
        <v>13</v>
      </c>
      <c r="U25" s="16">
        <f t="shared" si="17"/>
        <v>18</v>
      </c>
      <c r="V25" s="16">
        <f t="shared" si="17"/>
        <v>129</v>
      </c>
      <c r="W25" s="16">
        <f t="shared" si="17"/>
        <v>34</v>
      </c>
      <c r="X25" s="16">
        <f t="shared" si="17"/>
        <v>3</v>
      </c>
      <c r="Y25" s="16">
        <f t="shared" si="17"/>
        <v>23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636</v>
      </c>
      <c r="AD25" s="16">
        <f t="shared" si="17"/>
        <v>1</v>
      </c>
      <c r="AE25" s="32">
        <f t="shared" si="17"/>
        <v>274</v>
      </c>
      <c r="AF25" s="32">
        <f t="shared" si="17"/>
        <v>910</v>
      </c>
    </row>
    <row r="26" spans="2:32" ht="23.1" customHeight="1" x14ac:dyDescent="0.25">
      <c r="B26" s="23" t="s">
        <v>53</v>
      </c>
      <c r="C26" s="50">
        <v>8</v>
      </c>
      <c r="D26" s="50">
        <v>1</v>
      </c>
      <c r="E26" s="50">
        <v>2</v>
      </c>
      <c r="F26" s="50">
        <v>12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f>SUM('[1]RD4 MCC'!R70:U70)</f>
        <v>0</v>
      </c>
      <c r="M26" s="50">
        <v>35</v>
      </c>
      <c r="N26" s="50">
        <v>0</v>
      </c>
      <c r="O26" s="15">
        <f t="shared" si="0"/>
        <v>27</v>
      </c>
      <c r="P26" s="15">
        <f t="shared" si="1"/>
        <v>62</v>
      </c>
      <c r="R26" s="28" t="s">
        <v>86</v>
      </c>
      <c r="S26" s="16">
        <f t="shared" ref="S26:AF26" si="18">SUM(S13:S18)</f>
        <v>125</v>
      </c>
      <c r="T26" s="16">
        <f t="shared" si="18"/>
        <v>82</v>
      </c>
      <c r="U26" s="16">
        <f t="shared" si="18"/>
        <v>93</v>
      </c>
      <c r="V26" s="16">
        <f t="shared" si="18"/>
        <v>269</v>
      </c>
      <c r="W26" s="16">
        <f t="shared" si="18"/>
        <v>28</v>
      </c>
      <c r="X26" s="16">
        <f t="shared" si="18"/>
        <v>1</v>
      </c>
      <c r="Y26" s="16">
        <f t="shared" si="18"/>
        <v>67</v>
      </c>
      <c r="Z26" s="16">
        <f t="shared" si="18"/>
        <v>7</v>
      </c>
      <c r="AA26" s="16">
        <f t="shared" si="18"/>
        <v>1</v>
      </c>
      <c r="AB26" s="16">
        <f t="shared" si="18"/>
        <v>0</v>
      </c>
      <c r="AC26" s="16">
        <f t="shared" si="18"/>
        <v>869</v>
      </c>
      <c r="AD26" s="16">
        <f t="shared" si="18"/>
        <v>1</v>
      </c>
      <c r="AE26" s="32">
        <f t="shared" si="18"/>
        <v>674</v>
      </c>
      <c r="AF26" s="32">
        <f t="shared" si="18"/>
        <v>1543</v>
      </c>
    </row>
    <row r="27" spans="2:32" ht="23.1" customHeight="1" x14ac:dyDescent="0.25">
      <c r="B27" s="23" t="s">
        <v>54</v>
      </c>
      <c r="C27" s="50">
        <v>6</v>
      </c>
      <c r="D27" s="50">
        <v>1</v>
      </c>
      <c r="E27" s="50">
        <v>1</v>
      </c>
      <c r="F27" s="50">
        <v>13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f>SUM('[1]RD4 MCC'!R71:U71)</f>
        <v>0</v>
      </c>
      <c r="M27" s="50">
        <v>36</v>
      </c>
      <c r="N27" s="50">
        <v>0</v>
      </c>
      <c r="O27" s="15">
        <f t="shared" si="0"/>
        <v>22</v>
      </c>
      <c r="P27" s="15">
        <f t="shared" si="1"/>
        <v>58</v>
      </c>
      <c r="R27" s="29" t="s">
        <v>87</v>
      </c>
      <c r="S27" s="16">
        <f t="shared" ref="S27:AF27" si="19">SUM(S19:S21)</f>
        <v>152</v>
      </c>
      <c r="T27" s="16">
        <f t="shared" si="19"/>
        <v>91</v>
      </c>
      <c r="U27" s="16">
        <f t="shared" si="19"/>
        <v>98</v>
      </c>
      <c r="V27" s="16">
        <f t="shared" si="19"/>
        <v>159</v>
      </c>
      <c r="W27" s="16">
        <f t="shared" si="19"/>
        <v>46</v>
      </c>
      <c r="X27" s="16">
        <f t="shared" si="19"/>
        <v>3</v>
      </c>
      <c r="Y27" s="16">
        <f t="shared" si="19"/>
        <v>40</v>
      </c>
      <c r="Z27" s="16">
        <f t="shared" si="19"/>
        <v>2</v>
      </c>
      <c r="AA27" s="16">
        <f t="shared" si="19"/>
        <v>1</v>
      </c>
      <c r="AB27" s="16">
        <f t="shared" si="19"/>
        <v>0</v>
      </c>
      <c r="AC27" s="16">
        <f t="shared" si="19"/>
        <v>491</v>
      </c>
      <c r="AD27" s="16">
        <f t="shared" si="19"/>
        <v>0</v>
      </c>
      <c r="AE27" s="32">
        <f t="shared" si="19"/>
        <v>592</v>
      </c>
      <c r="AF27" s="32">
        <f t="shared" si="19"/>
        <v>1083</v>
      </c>
    </row>
    <row r="28" spans="2:32" ht="23.1" customHeight="1" x14ac:dyDescent="0.25">
      <c r="B28" s="23" t="s">
        <v>55</v>
      </c>
      <c r="C28" s="50">
        <v>2</v>
      </c>
      <c r="D28" s="50">
        <v>3</v>
      </c>
      <c r="E28" s="50">
        <v>3</v>
      </c>
      <c r="F28" s="50">
        <v>11</v>
      </c>
      <c r="G28" s="50">
        <v>1</v>
      </c>
      <c r="H28" s="50">
        <v>0</v>
      </c>
      <c r="I28" s="50">
        <v>3</v>
      </c>
      <c r="J28" s="50">
        <v>0</v>
      </c>
      <c r="K28" s="50">
        <v>0</v>
      </c>
      <c r="L28" s="50">
        <f>SUM('[1]RD4 MCC'!R72:U72)</f>
        <v>0</v>
      </c>
      <c r="M28" s="50">
        <v>35</v>
      </c>
      <c r="N28" s="50">
        <v>0</v>
      </c>
      <c r="O28" s="15">
        <f t="shared" si="0"/>
        <v>23</v>
      </c>
      <c r="P28" s="15">
        <f t="shared" si="1"/>
        <v>58</v>
      </c>
      <c r="R28" s="5" t="s">
        <v>17</v>
      </c>
      <c r="S28" s="16">
        <f t="shared" ref="S28:AF28" si="20">SUM(S10:S21)</f>
        <v>330</v>
      </c>
      <c r="T28" s="16">
        <f t="shared" si="20"/>
        <v>186</v>
      </c>
      <c r="U28" s="16">
        <f t="shared" si="20"/>
        <v>209</v>
      </c>
      <c r="V28" s="16">
        <f t="shared" si="20"/>
        <v>557</v>
      </c>
      <c r="W28" s="16">
        <f t="shared" si="20"/>
        <v>108</v>
      </c>
      <c r="X28" s="16">
        <f t="shared" si="20"/>
        <v>7</v>
      </c>
      <c r="Y28" s="16">
        <f t="shared" si="20"/>
        <v>130</v>
      </c>
      <c r="Z28" s="16">
        <f t="shared" si="20"/>
        <v>9</v>
      </c>
      <c r="AA28" s="16">
        <f t="shared" si="20"/>
        <v>2</v>
      </c>
      <c r="AB28" s="16">
        <f t="shared" si="20"/>
        <v>0</v>
      </c>
      <c r="AC28" s="16">
        <f t="shared" si="20"/>
        <v>1996</v>
      </c>
      <c r="AD28" s="16">
        <f t="shared" si="20"/>
        <v>2</v>
      </c>
      <c r="AE28" s="32">
        <f t="shared" si="20"/>
        <v>1540</v>
      </c>
      <c r="AF28" s="32">
        <f t="shared" si="20"/>
        <v>3536</v>
      </c>
    </row>
    <row r="29" spans="2:32" ht="23.1" customHeight="1" x14ac:dyDescent="0.25">
      <c r="B29" s="23" t="s">
        <v>56</v>
      </c>
      <c r="C29" s="50">
        <v>8</v>
      </c>
      <c r="D29" s="50">
        <v>3</v>
      </c>
      <c r="E29" s="50">
        <v>3</v>
      </c>
      <c r="F29" s="50">
        <v>10</v>
      </c>
      <c r="G29" s="50">
        <v>0</v>
      </c>
      <c r="H29" s="50">
        <v>0</v>
      </c>
      <c r="I29" s="50">
        <v>4</v>
      </c>
      <c r="J29" s="50">
        <v>0</v>
      </c>
      <c r="K29" s="50">
        <v>0</v>
      </c>
      <c r="L29" s="50">
        <f>SUM('[1]RD4 MCC'!R73:U73)</f>
        <v>0</v>
      </c>
      <c r="M29" s="50">
        <v>35</v>
      </c>
      <c r="N29" s="50">
        <v>0</v>
      </c>
      <c r="O29" s="15">
        <f t="shared" si="0"/>
        <v>28</v>
      </c>
      <c r="P29" s="15">
        <f t="shared" si="1"/>
        <v>63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4</v>
      </c>
      <c r="E30" s="50">
        <v>4</v>
      </c>
      <c r="F30" s="50">
        <v>7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f>SUM('[1]RD4 MCC'!R74:U74)</f>
        <v>0</v>
      </c>
      <c r="M30" s="50">
        <v>41</v>
      </c>
      <c r="N30" s="50">
        <v>0</v>
      </c>
      <c r="O30" s="15">
        <f t="shared" si="0"/>
        <v>23</v>
      </c>
      <c r="P30" s="15">
        <f t="shared" si="1"/>
        <v>64</v>
      </c>
    </row>
    <row r="31" spans="2:32" ht="23.1" customHeight="1" x14ac:dyDescent="0.25">
      <c r="B31" s="24" t="s">
        <v>58</v>
      </c>
      <c r="C31" s="50">
        <v>3</v>
      </c>
      <c r="D31" s="50">
        <v>1</v>
      </c>
      <c r="E31" s="50">
        <v>2</v>
      </c>
      <c r="F31" s="50">
        <v>9</v>
      </c>
      <c r="G31" s="50">
        <v>2</v>
      </c>
      <c r="H31" s="50">
        <v>0</v>
      </c>
      <c r="I31" s="50">
        <v>2</v>
      </c>
      <c r="J31" s="50">
        <v>0</v>
      </c>
      <c r="K31" s="50">
        <v>0</v>
      </c>
      <c r="L31" s="50">
        <f>SUM('[1]RD4 MCC'!R75:U75)</f>
        <v>0</v>
      </c>
      <c r="M31" s="50">
        <v>44</v>
      </c>
      <c r="N31" s="50">
        <v>0</v>
      </c>
      <c r="O31" s="15">
        <f t="shared" si="0"/>
        <v>19</v>
      </c>
      <c r="P31" s="15">
        <f t="shared" si="1"/>
        <v>63</v>
      </c>
    </row>
    <row r="32" spans="2:32" ht="23.1" customHeight="1" x14ac:dyDescent="0.25">
      <c r="B32" s="24" t="s">
        <v>59</v>
      </c>
      <c r="C32" s="50">
        <v>7</v>
      </c>
      <c r="D32" s="50">
        <v>2</v>
      </c>
      <c r="E32" s="50">
        <v>2</v>
      </c>
      <c r="F32" s="50">
        <v>9</v>
      </c>
      <c r="G32" s="50">
        <v>1</v>
      </c>
      <c r="H32" s="50">
        <v>0</v>
      </c>
      <c r="I32" s="50">
        <v>3</v>
      </c>
      <c r="J32" s="50">
        <v>1</v>
      </c>
      <c r="K32" s="50">
        <v>0</v>
      </c>
      <c r="L32" s="50">
        <f>SUM('[1]RD4 MCC'!R76:U76)</f>
        <v>0</v>
      </c>
      <c r="M32" s="50">
        <v>41</v>
      </c>
      <c r="N32" s="50">
        <v>1</v>
      </c>
      <c r="O32" s="15">
        <f t="shared" si="0"/>
        <v>26</v>
      </c>
      <c r="P32" s="15">
        <f t="shared" si="1"/>
        <v>67</v>
      </c>
    </row>
    <row r="33" spans="2:20" ht="23.1" customHeight="1" x14ac:dyDescent="0.25">
      <c r="B33" s="23" t="s">
        <v>60</v>
      </c>
      <c r="C33" s="50">
        <v>5</v>
      </c>
      <c r="D33" s="50">
        <v>1</v>
      </c>
      <c r="E33" s="50">
        <v>1</v>
      </c>
      <c r="F33" s="50">
        <v>8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f>SUM('[1]RD4 MCC'!R77:U77)</f>
        <v>0</v>
      </c>
      <c r="M33" s="50">
        <v>27</v>
      </c>
      <c r="N33" s="50">
        <v>0</v>
      </c>
      <c r="O33" s="15">
        <f t="shared" si="0"/>
        <v>17</v>
      </c>
      <c r="P33" s="15">
        <f t="shared" si="1"/>
        <v>44</v>
      </c>
    </row>
    <row r="34" spans="2:20" ht="23.1" customHeight="1" x14ac:dyDescent="0.25">
      <c r="B34" s="24" t="s">
        <v>61</v>
      </c>
      <c r="C34" s="50">
        <v>3</v>
      </c>
      <c r="D34" s="50">
        <v>1</v>
      </c>
      <c r="E34" s="50">
        <v>2</v>
      </c>
      <c r="F34" s="50">
        <v>13</v>
      </c>
      <c r="G34" s="50">
        <v>2</v>
      </c>
      <c r="H34" s="50">
        <v>0</v>
      </c>
      <c r="I34" s="50">
        <v>2</v>
      </c>
      <c r="J34" s="50">
        <v>1</v>
      </c>
      <c r="K34" s="50">
        <v>0</v>
      </c>
      <c r="L34" s="50">
        <f>SUM('[1]RD4 MCC'!R78:U78)</f>
        <v>0</v>
      </c>
      <c r="M34" s="50">
        <v>36</v>
      </c>
      <c r="N34" s="50">
        <v>0</v>
      </c>
      <c r="O34" s="15">
        <f t="shared" si="0"/>
        <v>24</v>
      </c>
      <c r="P34" s="15">
        <f t="shared" si="1"/>
        <v>60</v>
      </c>
    </row>
    <row r="35" spans="2:20" ht="23.1" customHeight="1" x14ac:dyDescent="0.25">
      <c r="B35" s="24" t="s">
        <v>62</v>
      </c>
      <c r="C35" s="50">
        <v>3</v>
      </c>
      <c r="D35" s="50">
        <v>4</v>
      </c>
      <c r="E35" s="50">
        <v>4</v>
      </c>
      <c r="F35" s="50">
        <v>9</v>
      </c>
      <c r="G35" s="50">
        <v>1</v>
      </c>
      <c r="H35" s="50">
        <v>0</v>
      </c>
      <c r="I35" s="50">
        <v>0</v>
      </c>
      <c r="J35" s="50">
        <v>0</v>
      </c>
      <c r="K35" s="50">
        <v>0</v>
      </c>
      <c r="L35" s="50">
        <f>SUM('[1]RD4 MCC'!R79:U79)</f>
        <v>0</v>
      </c>
      <c r="M35" s="50">
        <v>26</v>
      </c>
      <c r="N35" s="50">
        <v>0</v>
      </c>
      <c r="O35" s="15">
        <f t="shared" si="0"/>
        <v>21</v>
      </c>
      <c r="P35" s="15">
        <f t="shared" si="1"/>
        <v>47</v>
      </c>
    </row>
    <row r="36" spans="2:20" ht="23.1" customHeight="1" x14ac:dyDescent="0.25">
      <c r="B36" s="24" t="s">
        <v>63</v>
      </c>
      <c r="C36" s="50">
        <v>2</v>
      </c>
      <c r="D36" s="50">
        <v>3</v>
      </c>
      <c r="E36" s="50">
        <v>3</v>
      </c>
      <c r="F36" s="50">
        <v>16</v>
      </c>
      <c r="G36" s="50">
        <v>1</v>
      </c>
      <c r="H36" s="50">
        <v>0</v>
      </c>
      <c r="I36" s="50">
        <v>1</v>
      </c>
      <c r="J36" s="50">
        <v>0</v>
      </c>
      <c r="K36" s="50">
        <v>0</v>
      </c>
      <c r="L36" s="50">
        <f>SUM('[1]RD4 MCC'!R80:U80)</f>
        <v>0</v>
      </c>
      <c r="M36" s="50">
        <v>39</v>
      </c>
      <c r="N36" s="50">
        <v>0</v>
      </c>
      <c r="O36" s="15">
        <f t="shared" si="0"/>
        <v>26</v>
      </c>
      <c r="P36" s="15">
        <f t="shared" si="1"/>
        <v>65</v>
      </c>
    </row>
    <row r="37" spans="2:20" ht="23.1" customHeight="1" x14ac:dyDescent="0.25">
      <c r="B37" s="23" t="s">
        <v>64</v>
      </c>
      <c r="C37" s="50">
        <v>7</v>
      </c>
      <c r="D37" s="50">
        <v>6</v>
      </c>
      <c r="E37" s="50">
        <v>6</v>
      </c>
      <c r="F37" s="50">
        <v>11</v>
      </c>
      <c r="G37" s="50">
        <v>1</v>
      </c>
      <c r="H37" s="50">
        <v>0</v>
      </c>
      <c r="I37" s="50">
        <v>6</v>
      </c>
      <c r="J37" s="50">
        <v>1</v>
      </c>
      <c r="K37" s="50">
        <v>0</v>
      </c>
      <c r="L37" s="50">
        <f>SUM('[1]RD4 MCC'!R81:U81)</f>
        <v>0</v>
      </c>
      <c r="M37" s="50">
        <v>41</v>
      </c>
      <c r="N37" s="50">
        <v>0</v>
      </c>
      <c r="O37" s="15">
        <f t="shared" si="0"/>
        <v>38</v>
      </c>
      <c r="P37" s="15">
        <f t="shared" si="1"/>
        <v>79</v>
      </c>
    </row>
    <row r="38" spans="2:20" ht="23.1" customHeight="1" x14ac:dyDescent="0.25">
      <c r="B38" s="24" t="s">
        <v>65</v>
      </c>
      <c r="C38" s="50">
        <v>4</v>
      </c>
      <c r="D38" s="50">
        <v>2</v>
      </c>
      <c r="E38" s="50">
        <v>3</v>
      </c>
      <c r="F38" s="50">
        <v>12</v>
      </c>
      <c r="G38" s="50">
        <v>3</v>
      </c>
      <c r="H38" s="50">
        <v>0</v>
      </c>
      <c r="I38" s="50">
        <v>0</v>
      </c>
      <c r="J38" s="50">
        <v>1</v>
      </c>
      <c r="K38" s="50">
        <v>0</v>
      </c>
      <c r="L38" s="50">
        <f>SUM('[1]RD4 MCC'!R82:U82)</f>
        <v>0</v>
      </c>
      <c r="M38" s="50">
        <v>47</v>
      </c>
      <c r="N38" s="50">
        <v>0</v>
      </c>
      <c r="O38" s="15">
        <f t="shared" si="0"/>
        <v>25</v>
      </c>
      <c r="P38" s="15">
        <f t="shared" si="1"/>
        <v>72</v>
      </c>
    </row>
    <row r="39" spans="2:20" ht="23.1" customHeight="1" x14ac:dyDescent="0.25">
      <c r="B39" s="24" t="s">
        <v>66</v>
      </c>
      <c r="C39" s="50">
        <v>5</v>
      </c>
      <c r="D39" s="50">
        <v>6</v>
      </c>
      <c r="E39" s="50">
        <v>6</v>
      </c>
      <c r="F39" s="50">
        <v>10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f>SUM('[1]RD4 MCC'!R83:U83)</f>
        <v>0</v>
      </c>
      <c r="M39" s="50">
        <v>39</v>
      </c>
      <c r="N39" s="50">
        <v>0</v>
      </c>
      <c r="O39" s="15">
        <f t="shared" si="0"/>
        <v>29</v>
      </c>
      <c r="P39" s="15">
        <f t="shared" si="1"/>
        <v>68</v>
      </c>
    </row>
    <row r="40" spans="2:20" ht="23.1" customHeight="1" x14ac:dyDescent="0.25">
      <c r="B40" s="24" t="s">
        <v>67</v>
      </c>
      <c r="C40" s="50">
        <v>5</v>
      </c>
      <c r="D40" s="50">
        <v>2</v>
      </c>
      <c r="E40" s="50">
        <v>3</v>
      </c>
      <c r="F40" s="50">
        <v>12</v>
      </c>
      <c r="G40" s="50">
        <v>2</v>
      </c>
      <c r="H40" s="50">
        <v>0</v>
      </c>
      <c r="I40" s="50">
        <v>1</v>
      </c>
      <c r="J40" s="50">
        <v>0</v>
      </c>
      <c r="K40" s="50">
        <v>0</v>
      </c>
      <c r="L40" s="50">
        <f>SUM('[1]RD4 MCC'!R84:U84)</f>
        <v>0</v>
      </c>
      <c r="M40" s="50">
        <v>50</v>
      </c>
      <c r="N40" s="50">
        <v>0</v>
      </c>
      <c r="O40" s="15">
        <f t="shared" si="0"/>
        <v>25</v>
      </c>
      <c r="P40" s="15">
        <f t="shared" si="1"/>
        <v>75</v>
      </c>
    </row>
    <row r="41" spans="2:20" ht="23.1" customHeight="1" x14ac:dyDescent="0.25">
      <c r="B41" s="23" t="s">
        <v>68</v>
      </c>
      <c r="C41" s="50">
        <v>5</v>
      </c>
      <c r="D41" s="50">
        <v>3</v>
      </c>
      <c r="E41" s="50">
        <v>4</v>
      </c>
      <c r="F41" s="50">
        <v>13</v>
      </c>
      <c r="G41" s="50">
        <v>2</v>
      </c>
      <c r="H41" s="50">
        <v>0</v>
      </c>
      <c r="I41" s="50">
        <v>5</v>
      </c>
      <c r="J41" s="50">
        <v>0</v>
      </c>
      <c r="K41" s="50">
        <v>0</v>
      </c>
      <c r="L41" s="50">
        <f>SUM('[1]RD4 MCC'!R85:U85)</f>
        <v>0</v>
      </c>
      <c r="M41" s="50">
        <v>45</v>
      </c>
      <c r="N41" s="50">
        <v>0</v>
      </c>
      <c r="O41" s="15">
        <f t="shared" si="0"/>
        <v>32</v>
      </c>
      <c r="P41" s="15">
        <f t="shared" si="1"/>
        <v>77</v>
      </c>
    </row>
    <row r="42" spans="2:20" ht="23.1" customHeight="1" x14ac:dyDescent="0.25">
      <c r="B42" s="24" t="s">
        <v>69</v>
      </c>
      <c r="C42" s="50">
        <v>9</v>
      </c>
      <c r="D42" s="50">
        <v>0</v>
      </c>
      <c r="E42" s="50">
        <v>1</v>
      </c>
      <c r="F42" s="50">
        <v>8</v>
      </c>
      <c r="G42" s="50">
        <v>1</v>
      </c>
      <c r="H42" s="50">
        <v>0</v>
      </c>
      <c r="I42" s="50">
        <v>4</v>
      </c>
      <c r="J42" s="50">
        <v>0</v>
      </c>
      <c r="K42" s="50">
        <v>0</v>
      </c>
      <c r="L42" s="50">
        <f>SUM('[1]RD4 MCC'!R86:U86)</f>
        <v>0</v>
      </c>
      <c r="M42" s="50">
        <v>33</v>
      </c>
      <c r="N42" s="50">
        <v>0</v>
      </c>
      <c r="O42" s="15">
        <f t="shared" si="0"/>
        <v>23</v>
      </c>
      <c r="P42" s="15">
        <f t="shared" si="1"/>
        <v>56</v>
      </c>
    </row>
    <row r="43" spans="2:20" ht="23.1" customHeight="1" x14ac:dyDescent="0.25">
      <c r="B43" s="23" t="s">
        <v>70</v>
      </c>
      <c r="C43" s="50">
        <v>8</v>
      </c>
      <c r="D43" s="50">
        <v>2</v>
      </c>
      <c r="E43" s="50">
        <v>3</v>
      </c>
      <c r="F43" s="50">
        <v>15</v>
      </c>
      <c r="G43" s="50">
        <v>3</v>
      </c>
      <c r="H43" s="50">
        <v>0</v>
      </c>
      <c r="I43" s="50">
        <v>5</v>
      </c>
      <c r="J43" s="50">
        <v>0</v>
      </c>
      <c r="K43" s="50">
        <v>0</v>
      </c>
      <c r="L43" s="50">
        <f>SUM('[1]RD4 MCC'!R87:U87)</f>
        <v>0</v>
      </c>
      <c r="M43" s="50">
        <v>20</v>
      </c>
      <c r="N43" s="50">
        <v>0</v>
      </c>
      <c r="O43" s="15">
        <f t="shared" si="0"/>
        <v>36</v>
      </c>
      <c r="P43" s="15">
        <f t="shared" si="1"/>
        <v>56</v>
      </c>
    </row>
    <row r="44" spans="2:20" ht="23.1" customHeight="1" x14ac:dyDescent="0.25">
      <c r="B44" s="25" t="s">
        <v>71</v>
      </c>
      <c r="C44" s="50">
        <v>8</v>
      </c>
      <c r="D44" s="50">
        <v>12</v>
      </c>
      <c r="E44" s="50">
        <v>13</v>
      </c>
      <c r="F44" s="50">
        <v>12</v>
      </c>
      <c r="G44" s="50">
        <v>4</v>
      </c>
      <c r="H44" s="50">
        <v>0</v>
      </c>
      <c r="I44" s="50">
        <v>7</v>
      </c>
      <c r="J44" s="50">
        <v>1</v>
      </c>
      <c r="K44" s="50">
        <v>1</v>
      </c>
      <c r="L44" s="50">
        <f>SUM('[1]RD4 MCC'!R88:U88)</f>
        <v>0</v>
      </c>
      <c r="M44" s="50">
        <v>11</v>
      </c>
      <c r="N44" s="50">
        <v>0</v>
      </c>
      <c r="O44" s="15">
        <f t="shared" si="0"/>
        <v>58</v>
      </c>
      <c r="P44" s="15">
        <f t="shared" si="1"/>
        <v>69</v>
      </c>
    </row>
    <row r="45" spans="2:20" ht="23.1" customHeight="1" x14ac:dyDescent="0.25">
      <c r="B45" s="23" t="s">
        <v>72</v>
      </c>
      <c r="C45" s="50">
        <v>5</v>
      </c>
      <c r="D45" s="50">
        <v>20</v>
      </c>
      <c r="E45" s="50">
        <v>21</v>
      </c>
      <c r="F45" s="50">
        <v>14</v>
      </c>
      <c r="G45" s="50">
        <v>4</v>
      </c>
      <c r="H45" s="50">
        <v>1</v>
      </c>
      <c r="I45" s="50">
        <v>3</v>
      </c>
      <c r="J45" s="50">
        <v>1</v>
      </c>
      <c r="K45" s="50">
        <v>0</v>
      </c>
      <c r="L45" s="50">
        <f>SUM('[1]RD4 MCC'!R89:U89)</f>
        <v>0</v>
      </c>
      <c r="M45" s="50">
        <v>16</v>
      </c>
      <c r="N45" s="50">
        <v>0</v>
      </c>
      <c r="O45" s="15">
        <f t="shared" si="0"/>
        <v>69</v>
      </c>
      <c r="P45" s="15">
        <f t="shared" si="1"/>
        <v>85</v>
      </c>
    </row>
    <row r="46" spans="2:20" ht="23.1" customHeight="1" x14ac:dyDescent="0.25">
      <c r="B46" s="24" t="s">
        <v>73</v>
      </c>
      <c r="C46" s="50">
        <v>20</v>
      </c>
      <c r="D46" s="50">
        <v>24</v>
      </c>
      <c r="E46" s="50">
        <v>24</v>
      </c>
      <c r="F46" s="50">
        <v>17</v>
      </c>
      <c r="G46" s="50">
        <v>3</v>
      </c>
      <c r="H46" s="50">
        <v>1</v>
      </c>
      <c r="I46" s="50">
        <v>8</v>
      </c>
      <c r="J46" s="50">
        <v>0</v>
      </c>
      <c r="K46" s="50">
        <v>1</v>
      </c>
      <c r="L46" s="50">
        <f>SUM('[1]RD4 MCC'!R90:U90)</f>
        <v>0</v>
      </c>
      <c r="M46" s="50">
        <v>18</v>
      </c>
      <c r="N46" s="50">
        <v>0</v>
      </c>
      <c r="O46" s="15">
        <f t="shared" si="0"/>
        <v>98</v>
      </c>
      <c r="P46" s="15">
        <f t="shared" si="1"/>
        <v>116</v>
      </c>
      <c r="R46" s="8"/>
      <c r="T46"/>
    </row>
    <row r="47" spans="2:20" ht="23.1" customHeight="1" x14ac:dyDescent="0.25">
      <c r="B47" s="24" t="s">
        <v>74</v>
      </c>
      <c r="C47" s="50">
        <v>15</v>
      </c>
      <c r="D47" s="50">
        <v>8</v>
      </c>
      <c r="E47" s="50">
        <v>8</v>
      </c>
      <c r="F47" s="50">
        <v>11</v>
      </c>
      <c r="G47" s="50">
        <v>2</v>
      </c>
      <c r="H47" s="50">
        <v>0</v>
      </c>
      <c r="I47" s="50">
        <v>5</v>
      </c>
      <c r="J47" s="50">
        <v>0</v>
      </c>
      <c r="K47" s="50">
        <v>0</v>
      </c>
      <c r="L47" s="50">
        <f>SUM('[1]RD4 MCC'!R91:U91)</f>
        <v>0</v>
      </c>
      <c r="M47" s="50">
        <v>23</v>
      </c>
      <c r="N47" s="50">
        <v>0</v>
      </c>
      <c r="O47" s="15">
        <f t="shared" si="0"/>
        <v>49</v>
      </c>
      <c r="P47" s="15">
        <f t="shared" si="1"/>
        <v>72</v>
      </c>
      <c r="R47" s="8"/>
      <c r="T47"/>
    </row>
    <row r="48" spans="2:20" ht="23.1" customHeight="1" x14ac:dyDescent="0.25">
      <c r="B48" s="24" t="s">
        <v>75</v>
      </c>
      <c r="C48" s="50">
        <v>11</v>
      </c>
      <c r="D48" s="50">
        <v>9</v>
      </c>
      <c r="E48" s="50">
        <v>9</v>
      </c>
      <c r="F48" s="50">
        <v>16</v>
      </c>
      <c r="G48" s="50">
        <v>3</v>
      </c>
      <c r="H48" s="50">
        <v>0</v>
      </c>
      <c r="I48" s="50">
        <v>0</v>
      </c>
      <c r="J48" s="50">
        <v>0</v>
      </c>
      <c r="K48" s="50">
        <v>0</v>
      </c>
      <c r="L48" s="50">
        <f>SUM('[1]RD4 MCC'!R92:U92)</f>
        <v>0</v>
      </c>
      <c r="M48" s="50">
        <v>32</v>
      </c>
      <c r="N48" s="50">
        <v>0</v>
      </c>
      <c r="O48" s="15">
        <f t="shared" si="0"/>
        <v>48</v>
      </c>
      <c r="P48" s="15">
        <f t="shared" si="1"/>
        <v>80</v>
      </c>
      <c r="R48" s="8"/>
      <c r="T48"/>
    </row>
    <row r="49" spans="2:20" ht="23.1" customHeight="1" x14ac:dyDescent="0.25">
      <c r="B49" s="23" t="s">
        <v>76</v>
      </c>
      <c r="C49" s="50">
        <v>9</v>
      </c>
      <c r="D49" s="50">
        <v>5</v>
      </c>
      <c r="E49" s="50">
        <v>6</v>
      </c>
      <c r="F49" s="50">
        <v>10</v>
      </c>
      <c r="G49" s="50">
        <v>3</v>
      </c>
      <c r="H49" s="50">
        <v>0</v>
      </c>
      <c r="I49" s="50">
        <v>2</v>
      </c>
      <c r="J49" s="50">
        <v>0</v>
      </c>
      <c r="K49" s="50">
        <v>0</v>
      </c>
      <c r="L49" s="50">
        <f>SUM('[1]RD4 MCC'!R93:U93)</f>
        <v>0</v>
      </c>
      <c r="M49" s="50">
        <v>21</v>
      </c>
      <c r="N49" s="50">
        <v>0</v>
      </c>
      <c r="O49" s="15">
        <f t="shared" si="0"/>
        <v>35</v>
      </c>
      <c r="P49" s="15">
        <f t="shared" si="1"/>
        <v>56</v>
      </c>
      <c r="R49" s="8"/>
      <c r="T49"/>
    </row>
    <row r="50" spans="2:20" ht="23.1" customHeight="1" x14ac:dyDescent="0.25">
      <c r="B50" s="24" t="s">
        <v>77</v>
      </c>
      <c r="C50" s="50">
        <v>14</v>
      </c>
      <c r="D50" s="50">
        <v>8</v>
      </c>
      <c r="E50" s="50">
        <v>9</v>
      </c>
      <c r="F50" s="50">
        <v>10</v>
      </c>
      <c r="G50" s="50">
        <v>3</v>
      </c>
      <c r="H50" s="50">
        <v>0</v>
      </c>
      <c r="I50" s="50">
        <v>5</v>
      </c>
      <c r="J50" s="50">
        <v>0</v>
      </c>
      <c r="K50" s="50">
        <v>0</v>
      </c>
      <c r="L50" s="50">
        <f>SUM('[1]RD4 MCC'!R94:U94)</f>
        <v>0</v>
      </c>
      <c r="M50" s="50">
        <v>36</v>
      </c>
      <c r="N50" s="50">
        <v>0</v>
      </c>
      <c r="O50" s="15">
        <f t="shared" si="0"/>
        <v>49</v>
      </c>
      <c r="P50" s="15">
        <f t="shared" si="1"/>
        <v>85</v>
      </c>
      <c r="R50" s="8"/>
      <c r="T50"/>
    </row>
    <row r="51" spans="2:20" ht="23.1" customHeight="1" x14ac:dyDescent="0.25">
      <c r="B51" s="24" t="s">
        <v>78</v>
      </c>
      <c r="C51" s="50">
        <v>9</v>
      </c>
      <c r="D51" s="50">
        <v>5</v>
      </c>
      <c r="E51" s="50">
        <v>5</v>
      </c>
      <c r="F51" s="50">
        <v>14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f>SUM('[1]RD4 MCC'!R95:U95)</f>
        <v>0</v>
      </c>
      <c r="M51" s="50">
        <v>57</v>
      </c>
      <c r="N51" s="50">
        <v>0</v>
      </c>
      <c r="O51" s="15">
        <f t="shared" si="0"/>
        <v>35</v>
      </c>
      <c r="P51" s="15">
        <f t="shared" si="1"/>
        <v>92</v>
      </c>
      <c r="R51" s="8"/>
      <c r="T51"/>
    </row>
    <row r="52" spans="2:20" ht="23.1" customHeight="1" x14ac:dyDescent="0.25">
      <c r="B52" s="24" t="s">
        <v>79</v>
      </c>
      <c r="C52" s="50">
        <v>17</v>
      </c>
      <c r="D52" s="50">
        <v>7</v>
      </c>
      <c r="E52" s="50">
        <v>8</v>
      </c>
      <c r="F52" s="50">
        <v>14</v>
      </c>
      <c r="G52" s="50">
        <v>5</v>
      </c>
      <c r="H52" s="50">
        <v>0</v>
      </c>
      <c r="I52" s="50">
        <v>5</v>
      </c>
      <c r="J52" s="50">
        <v>0</v>
      </c>
      <c r="K52" s="50">
        <v>0</v>
      </c>
      <c r="L52" s="50">
        <f>SUM('[1]RD4 MCC'!R96:U96)</f>
        <v>0</v>
      </c>
      <c r="M52" s="50">
        <v>51</v>
      </c>
      <c r="N52" s="50">
        <v>0</v>
      </c>
      <c r="O52" s="15">
        <f t="shared" si="0"/>
        <v>56</v>
      </c>
      <c r="P52" s="15">
        <f t="shared" si="1"/>
        <v>107</v>
      </c>
      <c r="R52" s="8"/>
      <c r="T52"/>
    </row>
    <row r="53" spans="2:20" ht="23.1" customHeight="1" x14ac:dyDescent="0.25">
      <c r="B53" s="23" t="s">
        <v>80</v>
      </c>
      <c r="C53" s="50">
        <v>13</v>
      </c>
      <c r="D53" s="50">
        <v>7</v>
      </c>
      <c r="E53" s="50">
        <v>8</v>
      </c>
      <c r="F53" s="50">
        <v>13</v>
      </c>
      <c r="G53" s="50">
        <v>6</v>
      </c>
      <c r="H53" s="50">
        <v>1</v>
      </c>
      <c r="I53" s="50">
        <v>4</v>
      </c>
      <c r="J53" s="50">
        <v>1</v>
      </c>
      <c r="K53" s="50">
        <v>0</v>
      </c>
      <c r="L53" s="50">
        <f>SUM('[1]RD4 MCC'!R97:U97)</f>
        <v>0</v>
      </c>
      <c r="M53" s="50">
        <v>72</v>
      </c>
      <c r="N53" s="50">
        <v>0</v>
      </c>
      <c r="O53" s="15">
        <f t="shared" si="0"/>
        <v>53</v>
      </c>
      <c r="P53" s="15">
        <f t="shared" si="1"/>
        <v>125</v>
      </c>
      <c r="R53" s="8"/>
      <c r="T53"/>
    </row>
    <row r="54" spans="2:20" ht="23.1" customHeight="1" x14ac:dyDescent="0.25">
      <c r="B54" s="23" t="s">
        <v>81</v>
      </c>
      <c r="C54" s="50">
        <v>11</v>
      </c>
      <c r="D54" s="50">
        <v>3</v>
      </c>
      <c r="E54" s="50">
        <v>4</v>
      </c>
      <c r="F54" s="50">
        <v>13</v>
      </c>
      <c r="G54" s="50">
        <v>4</v>
      </c>
      <c r="H54" s="50">
        <v>0</v>
      </c>
      <c r="I54" s="50">
        <v>2</v>
      </c>
      <c r="J54" s="50">
        <v>0</v>
      </c>
      <c r="K54" s="50">
        <v>0</v>
      </c>
      <c r="L54" s="50">
        <f>SUM('[1]RD4 MCC'!R98:U98)</f>
        <v>0</v>
      </c>
      <c r="M54" s="50">
        <v>46</v>
      </c>
      <c r="N54" s="50">
        <v>0</v>
      </c>
      <c r="O54" s="15">
        <f t="shared" si="0"/>
        <v>37</v>
      </c>
      <c r="P54" s="15">
        <f t="shared" si="1"/>
        <v>83</v>
      </c>
      <c r="R54" s="8"/>
      <c r="T54"/>
    </row>
    <row r="55" spans="2:20" ht="23.1" customHeight="1" x14ac:dyDescent="0.25">
      <c r="B55" s="23" t="s">
        <v>82</v>
      </c>
      <c r="C55" s="50">
        <v>14</v>
      </c>
      <c r="D55" s="50">
        <v>7</v>
      </c>
      <c r="E55" s="50">
        <v>7</v>
      </c>
      <c r="F55" s="50">
        <v>13</v>
      </c>
      <c r="G55" s="50">
        <v>5</v>
      </c>
      <c r="H55" s="50">
        <v>1</v>
      </c>
      <c r="I55" s="50">
        <v>2</v>
      </c>
      <c r="J55" s="50">
        <v>0</v>
      </c>
      <c r="K55" s="50">
        <v>0</v>
      </c>
      <c r="L55" s="50">
        <f>SUM('[1]RD4 MCC'!R99:U99)</f>
        <v>0</v>
      </c>
      <c r="M55" s="50">
        <v>50</v>
      </c>
      <c r="N55" s="50">
        <v>0</v>
      </c>
      <c r="O55" s="15">
        <f t="shared" si="0"/>
        <v>49</v>
      </c>
      <c r="P55" s="15">
        <f t="shared" si="1"/>
        <v>99</v>
      </c>
      <c r="R55" s="8"/>
      <c r="T55"/>
    </row>
    <row r="56" spans="2:20" ht="23.1" customHeight="1" x14ac:dyDescent="0.25">
      <c r="B56" s="23" t="s">
        <v>83</v>
      </c>
      <c r="C56" s="50">
        <v>12</v>
      </c>
      <c r="D56" s="50">
        <v>4</v>
      </c>
      <c r="E56" s="50">
        <v>5</v>
      </c>
      <c r="F56" s="50">
        <v>13</v>
      </c>
      <c r="G56" s="50">
        <v>6</v>
      </c>
      <c r="H56" s="50">
        <v>0</v>
      </c>
      <c r="I56" s="50">
        <v>2</v>
      </c>
      <c r="J56" s="50">
        <v>1</v>
      </c>
      <c r="K56" s="50">
        <v>0</v>
      </c>
      <c r="L56" s="50">
        <f>SUM('[1]RD4 MCC'!R100:U100)</f>
        <v>0</v>
      </c>
      <c r="M56" s="50">
        <v>44</v>
      </c>
      <c r="N56" s="50">
        <v>0</v>
      </c>
      <c r="O56" s="15">
        <f t="shared" si="0"/>
        <v>43</v>
      </c>
      <c r="P56" s="15">
        <f t="shared" si="1"/>
        <v>87</v>
      </c>
      <c r="R56" s="8"/>
      <c r="T56"/>
    </row>
    <row r="57" spans="2:20" ht="23.1" customHeight="1" x14ac:dyDescent="0.25">
      <c r="B57" s="23" t="s">
        <v>84</v>
      </c>
      <c r="C57" s="50">
        <v>7</v>
      </c>
      <c r="D57" s="50">
        <v>4</v>
      </c>
      <c r="E57" s="50">
        <v>5</v>
      </c>
      <c r="F57" s="50">
        <v>15</v>
      </c>
      <c r="G57" s="50">
        <v>6</v>
      </c>
      <c r="H57" s="50">
        <v>0</v>
      </c>
      <c r="I57" s="50">
        <v>3</v>
      </c>
      <c r="J57" s="50">
        <v>0</v>
      </c>
      <c r="K57" s="50">
        <v>0</v>
      </c>
      <c r="L57" s="50">
        <f>SUM('[1]RD4 MCC'!R101:U101)</f>
        <v>0</v>
      </c>
      <c r="M57" s="50">
        <v>41</v>
      </c>
      <c r="N57" s="50">
        <v>0</v>
      </c>
      <c r="O57" s="15">
        <f t="shared" si="0"/>
        <v>40</v>
      </c>
      <c r="P57" s="15">
        <f t="shared" si="1"/>
        <v>81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330</v>
      </c>
      <c r="D58" s="16">
        <f t="shared" si="21"/>
        <v>186</v>
      </c>
      <c r="E58" s="16">
        <f t="shared" si="21"/>
        <v>209</v>
      </c>
      <c r="F58" s="16">
        <f t="shared" si="21"/>
        <v>557</v>
      </c>
      <c r="G58" s="16">
        <f t="shared" si="21"/>
        <v>108</v>
      </c>
      <c r="H58" s="16">
        <f t="shared" si="21"/>
        <v>7</v>
      </c>
      <c r="I58" s="16">
        <f t="shared" si="21"/>
        <v>130</v>
      </c>
      <c r="J58" s="16">
        <f t="shared" si="21"/>
        <v>9</v>
      </c>
      <c r="K58" s="16">
        <f t="shared" si="21"/>
        <v>2</v>
      </c>
      <c r="L58" s="16">
        <f t="shared" si="21"/>
        <v>0</v>
      </c>
      <c r="M58" s="16">
        <f t="shared" si="21"/>
        <v>1996</v>
      </c>
      <c r="N58" s="16">
        <f t="shared" si="21"/>
        <v>2</v>
      </c>
      <c r="O58" s="16">
        <f t="shared" si="21"/>
        <v>1540</v>
      </c>
      <c r="P58" s="16">
        <f t="shared" si="21"/>
        <v>3536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9.3325791855203621E-2</v>
      </c>
      <c r="D59" s="43">
        <f t="shared" si="22"/>
        <v>5.2601809954751132E-2</v>
      </c>
      <c r="E59" s="43">
        <f t="shared" si="22"/>
        <v>5.9106334841628957E-2</v>
      </c>
      <c r="F59" s="43">
        <f t="shared" si="22"/>
        <v>0.15752262443438914</v>
      </c>
      <c r="G59" s="43">
        <f t="shared" si="22"/>
        <v>3.0542986425339366E-2</v>
      </c>
      <c r="H59" s="43">
        <f t="shared" si="22"/>
        <v>1.9796380090497737E-3</v>
      </c>
      <c r="I59" s="43">
        <f t="shared" si="22"/>
        <v>3.6764705882352942E-2</v>
      </c>
      <c r="J59" s="43">
        <f t="shared" si="22"/>
        <v>2.5452488687782806E-3</v>
      </c>
      <c r="K59" s="43">
        <f t="shared" si="22"/>
        <v>5.6561085972850684E-4</v>
      </c>
      <c r="L59" s="43">
        <f t="shared" si="22"/>
        <v>0</v>
      </c>
      <c r="M59" s="43">
        <f t="shared" si="22"/>
        <v>0.56447963800904977</v>
      </c>
      <c r="N59" s="43">
        <f t="shared" si="22"/>
        <v>5.6561085972850684E-4</v>
      </c>
      <c r="R59" s="8"/>
      <c r="T59"/>
    </row>
    <row r="60" spans="2:20" ht="23.1" customHeight="1" x14ac:dyDescent="0.25">
      <c r="B60" s="42" t="s">
        <v>94</v>
      </c>
      <c r="C60" s="44">
        <f>C58/$O$58</f>
        <v>0.21428571428571427</v>
      </c>
      <c r="D60" s="44">
        <f t="shared" ref="D60:N60" si="23">D58/$O$58</f>
        <v>0.12077922077922078</v>
      </c>
      <c r="E60" s="44">
        <f t="shared" si="23"/>
        <v>0.1357142857142857</v>
      </c>
      <c r="F60" s="44">
        <f t="shared" si="23"/>
        <v>0.36168831168831167</v>
      </c>
      <c r="G60" s="44">
        <f t="shared" si="23"/>
        <v>7.0129870129870125E-2</v>
      </c>
      <c r="H60" s="44">
        <f t="shared" si="23"/>
        <v>4.5454545454545452E-3</v>
      </c>
      <c r="I60" s="44">
        <f t="shared" si="23"/>
        <v>8.4415584415584416E-2</v>
      </c>
      <c r="J60" s="44">
        <f t="shared" si="23"/>
        <v>5.8441558441558444E-3</v>
      </c>
      <c r="K60" s="44">
        <f t="shared" si="23"/>
        <v>1.2987012987012987E-3</v>
      </c>
      <c r="L60" s="44">
        <f t="shared" si="23"/>
        <v>0</v>
      </c>
      <c r="M60" s="44"/>
      <c r="N60" s="44">
        <f t="shared" si="23"/>
        <v>1.2987012987012987E-3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10" sqref="D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Buwenge-Jinja'!C3:G3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'12.08 Buwenge-Jinja'!D5</f>
        <v>12.08.19</v>
      </c>
      <c r="E5" s="3"/>
      <c r="F5" s="41" t="s">
        <v>1</v>
      </c>
      <c r="G5" s="60" t="str">
        <f>'12.08 Buwenge-Jinja'!G5:H5</f>
        <v>xxx</v>
      </c>
      <c r="H5" s="61"/>
      <c r="I5" s="14"/>
      <c r="J5" s="2" t="s">
        <v>5</v>
      </c>
      <c r="K5" s="60" t="str">
        <f>'12.08 Buwenge-Jinja'!K5:L5</f>
        <v>xxx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165</v>
      </c>
      <c r="E6" s="55"/>
      <c r="F6" s="2" t="s">
        <v>2</v>
      </c>
      <c r="G6" s="54" t="s">
        <v>164</v>
      </c>
      <c r="H6" s="55"/>
      <c r="J6" s="2" t="s">
        <v>21</v>
      </c>
      <c r="K6" s="60" t="str">
        <f>'12.08 Buwenge-Jinja'!K6:L6</f>
        <v>xxx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2</v>
      </c>
      <c r="F10" s="50">
        <v>5</v>
      </c>
      <c r="G10" s="50">
        <v>1</v>
      </c>
      <c r="H10" s="50">
        <v>0</v>
      </c>
      <c r="I10" s="50">
        <v>1</v>
      </c>
      <c r="J10" s="50">
        <v>2</v>
      </c>
      <c r="K10" s="50">
        <v>0</v>
      </c>
      <c r="L10" s="50">
        <f>SUM('[1]RD4 MCC'!R6:U6)</f>
        <v>0</v>
      </c>
      <c r="M10" s="50">
        <v>18</v>
      </c>
      <c r="N10" s="50">
        <v>0</v>
      </c>
      <c r="O10" s="15">
        <f t="shared" ref="O10:O57" si="0">SUM(C10:L10,N10)</f>
        <v>12</v>
      </c>
      <c r="P10" s="15">
        <f t="shared" ref="P10:P57" si="1">SUM(C10:N10)</f>
        <v>30</v>
      </c>
      <c r="R10" s="1" t="s">
        <v>6</v>
      </c>
      <c r="S10" s="17">
        <f t="shared" ref="S10:AF10" si="2">SUM(C10:C13)</f>
        <v>22</v>
      </c>
      <c r="T10" s="17">
        <f t="shared" si="2"/>
        <v>2</v>
      </c>
      <c r="U10" s="17">
        <f t="shared" si="2"/>
        <v>14</v>
      </c>
      <c r="V10" s="17">
        <f t="shared" si="2"/>
        <v>37</v>
      </c>
      <c r="W10" s="17">
        <f t="shared" si="2"/>
        <v>16</v>
      </c>
      <c r="X10" s="17">
        <f t="shared" si="2"/>
        <v>0</v>
      </c>
      <c r="Y10" s="17">
        <f t="shared" si="2"/>
        <v>8</v>
      </c>
      <c r="Z10" s="17">
        <f t="shared" si="2"/>
        <v>5</v>
      </c>
      <c r="AA10" s="17">
        <f t="shared" si="2"/>
        <v>0</v>
      </c>
      <c r="AB10" s="17">
        <f t="shared" si="2"/>
        <v>0</v>
      </c>
      <c r="AC10" s="17">
        <f t="shared" si="2"/>
        <v>101</v>
      </c>
      <c r="AD10" s="17">
        <f t="shared" si="2"/>
        <v>0</v>
      </c>
      <c r="AE10" s="31">
        <f t="shared" si="2"/>
        <v>104</v>
      </c>
      <c r="AF10" s="31">
        <f t="shared" si="2"/>
        <v>205</v>
      </c>
    </row>
    <row r="11" spans="2:32" s="6" customFormat="1" ht="23.1" customHeight="1" x14ac:dyDescent="0.25">
      <c r="B11" s="23" t="s">
        <v>38</v>
      </c>
      <c r="C11" s="50">
        <v>4</v>
      </c>
      <c r="D11" s="50">
        <v>1</v>
      </c>
      <c r="E11" s="50">
        <v>4</v>
      </c>
      <c r="F11" s="50">
        <v>11</v>
      </c>
      <c r="G11" s="50">
        <v>6</v>
      </c>
      <c r="H11" s="50">
        <v>0</v>
      </c>
      <c r="I11" s="50">
        <v>1</v>
      </c>
      <c r="J11" s="50">
        <v>2</v>
      </c>
      <c r="K11" s="50">
        <v>0</v>
      </c>
      <c r="L11" s="50">
        <f>SUM('[1]RD4 MCC'!R7:U7)</f>
        <v>0</v>
      </c>
      <c r="M11" s="50">
        <v>21</v>
      </c>
      <c r="N11" s="50">
        <v>0</v>
      </c>
      <c r="O11" s="15">
        <f t="shared" si="0"/>
        <v>29</v>
      </c>
      <c r="P11" s="15">
        <f t="shared" si="1"/>
        <v>50</v>
      </c>
      <c r="R11" s="1" t="s">
        <v>7</v>
      </c>
      <c r="S11" s="17">
        <f t="shared" ref="S11:AF11" si="3">SUM(C14:C17)</f>
        <v>35</v>
      </c>
      <c r="T11" s="17">
        <f t="shared" si="3"/>
        <v>12</v>
      </c>
      <c r="U11" s="17">
        <f t="shared" si="3"/>
        <v>35</v>
      </c>
      <c r="V11" s="17">
        <f t="shared" si="3"/>
        <v>40</v>
      </c>
      <c r="W11" s="17">
        <f t="shared" si="3"/>
        <v>14</v>
      </c>
      <c r="X11" s="17">
        <f t="shared" si="3"/>
        <v>1</v>
      </c>
      <c r="Y11" s="17">
        <f t="shared" si="3"/>
        <v>10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116</v>
      </c>
      <c r="AD11" s="17">
        <f t="shared" si="3"/>
        <v>0</v>
      </c>
      <c r="AE11" s="31">
        <f t="shared" si="3"/>
        <v>149</v>
      </c>
      <c r="AF11" s="31">
        <f t="shared" si="3"/>
        <v>265</v>
      </c>
    </row>
    <row r="12" spans="2:32" ht="23.1" customHeight="1" x14ac:dyDescent="0.25">
      <c r="B12" s="23" t="s">
        <v>39</v>
      </c>
      <c r="C12" s="50">
        <v>8</v>
      </c>
      <c r="D12" s="50">
        <v>0</v>
      </c>
      <c r="E12" s="50">
        <v>3</v>
      </c>
      <c r="F12" s="50">
        <v>8</v>
      </c>
      <c r="G12" s="50">
        <v>6</v>
      </c>
      <c r="H12" s="50">
        <v>0</v>
      </c>
      <c r="I12" s="50">
        <v>5</v>
      </c>
      <c r="J12" s="50">
        <v>1</v>
      </c>
      <c r="K12" s="50">
        <v>0</v>
      </c>
      <c r="L12" s="50">
        <f>SUM('[1]RD4 MCC'!R8:U8)</f>
        <v>0</v>
      </c>
      <c r="M12" s="50">
        <v>27</v>
      </c>
      <c r="N12" s="50">
        <v>0</v>
      </c>
      <c r="O12" s="15">
        <f t="shared" si="0"/>
        <v>31</v>
      </c>
      <c r="P12" s="15">
        <f t="shared" si="1"/>
        <v>58</v>
      </c>
      <c r="R12" s="1" t="s">
        <v>8</v>
      </c>
      <c r="S12" s="17">
        <f t="shared" ref="S12:AF12" si="4">SUM(C18:C21)</f>
        <v>32</v>
      </c>
      <c r="T12" s="17">
        <f t="shared" si="4"/>
        <v>16</v>
      </c>
      <c r="U12" s="17">
        <f t="shared" si="4"/>
        <v>42</v>
      </c>
      <c r="V12" s="17">
        <f t="shared" si="4"/>
        <v>59</v>
      </c>
      <c r="W12" s="17">
        <f t="shared" si="4"/>
        <v>9</v>
      </c>
      <c r="X12" s="17">
        <f t="shared" si="4"/>
        <v>0</v>
      </c>
      <c r="Y12" s="17">
        <f t="shared" si="4"/>
        <v>10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167</v>
      </c>
      <c r="AD12" s="17">
        <f t="shared" si="4"/>
        <v>0</v>
      </c>
      <c r="AE12" s="31">
        <f t="shared" si="4"/>
        <v>168</v>
      </c>
      <c r="AF12" s="31">
        <f t="shared" si="4"/>
        <v>335</v>
      </c>
    </row>
    <row r="13" spans="2:32" ht="23.1" customHeight="1" x14ac:dyDescent="0.25">
      <c r="B13" s="23" t="s">
        <v>40</v>
      </c>
      <c r="C13" s="50">
        <v>9</v>
      </c>
      <c r="D13" s="50">
        <v>1</v>
      </c>
      <c r="E13" s="50">
        <v>5</v>
      </c>
      <c r="F13" s="50">
        <v>13</v>
      </c>
      <c r="G13" s="50">
        <v>3</v>
      </c>
      <c r="H13" s="50">
        <v>0</v>
      </c>
      <c r="I13" s="50">
        <v>1</v>
      </c>
      <c r="J13" s="50">
        <v>0</v>
      </c>
      <c r="K13" s="50">
        <v>0</v>
      </c>
      <c r="L13" s="50">
        <f>SUM('[1]RD4 MCC'!R9:U9)</f>
        <v>0</v>
      </c>
      <c r="M13" s="50">
        <v>35</v>
      </c>
      <c r="N13" s="50">
        <v>0</v>
      </c>
      <c r="O13" s="15">
        <f t="shared" si="0"/>
        <v>32</v>
      </c>
      <c r="P13" s="15">
        <f t="shared" si="1"/>
        <v>67</v>
      </c>
      <c r="R13" s="1" t="s">
        <v>9</v>
      </c>
      <c r="S13" s="17">
        <f t="shared" ref="S13:AF13" si="5">SUM(C22:C25)</f>
        <v>37</v>
      </c>
      <c r="T13" s="17">
        <f t="shared" si="5"/>
        <v>13</v>
      </c>
      <c r="U13" s="17">
        <f t="shared" si="5"/>
        <v>37</v>
      </c>
      <c r="V13" s="17">
        <f t="shared" si="5"/>
        <v>62</v>
      </c>
      <c r="W13" s="17">
        <f t="shared" si="5"/>
        <v>5</v>
      </c>
      <c r="X13" s="17">
        <f t="shared" si="5"/>
        <v>2</v>
      </c>
      <c r="Y13" s="17">
        <f t="shared" si="5"/>
        <v>19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163</v>
      </c>
      <c r="AD13" s="17">
        <f t="shared" si="5"/>
        <v>0</v>
      </c>
      <c r="AE13" s="31">
        <f t="shared" si="5"/>
        <v>177</v>
      </c>
      <c r="AF13" s="31">
        <f t="shared" si="5"/>
        <v>340</v>
      </c>
    </row>
    <row r="14" spans="2:32" ht="23.1" customHeight="1" x14ac:dyDescent="0.25">
      <c r="B14" s="23" t="s">
        <v>41</v>
      </c>
      <c r="C14" s="50">
        <v>13</v>
      </c>
      <c r="D14" s="50">
        <v>4</v>
      </c>
      <c r="E14" s="50">
        <v>11</v>
      </c>
      <c r="F14" s="50">
        <v>10</v>
      </c>
      <c r="G14" s="50">
        <v>5</v>
      </c>
      <c r="H14" s="50">
        <v>0</v>
      </c>
      <c r="I14" s="50">
        <v>3</v>
      </c>
      <c r="J14" s="50">
        <v>0</v>
      </c>
      <c r="K14" s="50">
        <v>0</v>
      </c>
      <c r="L14" s="50">
        <f>SUM('[1]RD4 MCC'!R10:U10)</f>
        <v>0</v>
      </c>
      <c r="M14" s="50">
        <v>15</v>
      </c>
      <c r="N14" s="50">
        <v>0</v>
      </c>
      <c r="O14" s="15">
        <f t="shared" si="0"/>
        <v>46</v>
      </c>
      <c r="P14" s="15">
        <f t="shared" si="1"/>
        <v>61</v>
      </c>
      <c r="R14" s="1" t="s">
        <v>10</v>
      </c>
      <c r="S14" s="17">
        <f t="shared" ref="S14:AF14" si="6">SUM(C26:C29)</f>
        <v>50</v>
      </c>
      <c r="T14" s="17">
        <f t="shared" si="6"/>
        <v>15</v>
      </c>
      <c r="U14" s="17">
        <f t="shared" si="6"/>
        <v>43</v>
      </c>
      <c r="V14" s="17">
        <f t="shared" si="6"/>
        <v>66</v>
      </c>
      <c r="W14" s="17">
        <f t="shared" si="6"/>
        <v>3</v>
      </c>
      <c r="X14" s="17">
        <f t="shared" si="6"/>
        <v>0</v>
      </c>
      <c r="Y14" s="17">
        <f t="shared" si="6"/>
        <v>15</v>
      </c>
      <c r="Z14" s="17">
        <f t="shared" si="6"/>
        <v>4</v>
      </c>
      <c r="AA14" s="17">
        <f t="shared" si="6"/>
        <v>0</v>
      </c>
      <c r="AB14" s="17">
        <f t="shared" si="6"/>
        <v>0</v>
      </c>
      <c r="AC14" s="17">
        <f t="shared" si="6"/>
        <v>187</v>
      </c>
      <c r="AD14" s="17">
        <f t="shared" si="6"/>
        <v>2</v>
      </c>
      <c r="AE14" s="31">
        <f t="shared" si="6"/>
        <v>198</v>
      </c>
      <c r="AF14" s="31">
        <f t="shared" si="6"/>
        <v>385</v>
      </c>
    </row>
    <row r="15" spans="2:32" ht="23.1" customHeight="1" x14ac:dyDescent="0.25">
      <c r="B15" s="23" t="s">
        <v>42</v>
      </c>
      <c r="C15" s="50">
        <v>6</v>
      </c>
      <c r="D15" s="50">
        <v>3</v>
      </c>
      <c r="E15" s="50">
        <v>8</v>
      </c>
      <c r="F15" s="50">
        <v>7</v>
      </c>
      <c r="G15" s="50">
        <v>4</v>
      </c>
      <c r="H15" s="50">
        <v>0</v>
      </c>
      <c r="I15" s="50">
        <v>2</v>
      </c>
      <c r="J15" s="50">
        <v>2</v>
      </c>
      <c r="K15" s="50">
        <v>0</v>
      </c>
      <c r="L15" s="50">
        <f>SUM('[1]RD4 MCC'!R11:U11)</f>
        <v>0</v>
      </c>
      <c r="M15" s="50">
        <v>46</v>
      </c>
      <c r="N15" s="50">
        <v>0</v>
      </c>
      <c r="O15" s="15">
        <f t="shared" si="0"/>
        <v>32</v>
      </c>
      <c r="P15" s="15">
        <f t="shared" si="1"/>
        <v>78</v>
      </c>
      <c r="R15" s="1" t="s">
        <v>11</v>
      </c>
      <c r="S15" s="17">
        <f t="shared" ref="S15:AF15" si="7">SUM(C30:C33)</f>
        <v>34</v>
      </c>
      <c r="T15" s="17">
        <f t="shared" si="7"/>
        <v>8</v>
      </c>
      <c r="U15" s="17">
        <f t="shared" si="7"/>
        <v>23</v>
      </c>
      <c r="V15" s="17">
        <f t="shared" si="7"/>
        <v>58</v>
      </c>
      <c r="W15" s="17">
        <f t="shared" si="7"/>
        <v>7</v>
      </c>
      <c r="X15" s="17">
        <f t="shared" si="7"/>
        <v>0</v>
      </c>
      <c r="Y15" s="17">
        <f t="shared" si="7"/>
        <v>14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177</v>
      </c>
      <c r="AD15" s="17">
        <f t="shared" si="7"/>
        <v>0</v>
      </c>
      <c r="AE15" s="31">
        <f t="shared" si="7"/>
        <v>144</v>
      </c>
      <c r="AF15" s="31">
        <f t="shared" si="7"/>
        <v>321</v>
      </c>
    </row>
    <row r="16" spans="2:32" ht="23.1" customHeight="1" x14ac:dyDescent="0.25">
      <c r="B16" s="23" t="s">
        <v>43</v>
      </c>
      <c r="C16" s="50">
        <v>9</v>
      </c>
      <c r="D16" s="50">
        <v>2</v>
      </c>
      <c r="E16" s="50">
        <v>6</v>
      </c>
      <c r="F16" s="50">
        <v>12</v>
      </c>
      <c r="G16" s="50">
        <v>3</v>
      </c>
      <c r="H16" s="50">
        <v>0</v>
      </c>
      <c r="I16" s="50">
        <v>4</v>
      </c>
      <c r="J16" s="50">
        <v>0</v>
      </c>
      <c r="K16" s="50">
        <v>0</v>
      </c>
      <c r="L16" s="50">
        <f>SUM('[1]RD4 MCC'!R12:U12)</f>
        <v>0</v>
      </c>
      <c r="M16" s="50">
        <v>27</v>
      </c>
      <c r="N16" s="50">
        <v>0</v>
      </c>
      <c r="O16" s="15">
        <f t="shared" si="0"/>
        <v>36</v>
      </c>
      <c r="P16" s="15">
        <f t="shared" si="1"/>
        <v>63</v>
      </c>
      <c r="R16" s="1" t="s">
        <v>12</v>
      </c>
      <c r="S16" s="17">
        <f t="shared" ref="S16:AF16" si="8">SUM(C34:C37)</f>
        <v>30</v>
      </c>
      <c r="T16" s="17">
        <f t="shared" si="8"/>
        <v>5</v>
      </c>
      <c r="U16" s="17">
        <f t="shared" si="8"/>
        <v>16</v>
      </c>
      <c r="V16" s="17">
        <f t="shared" si="8"/>
        <v>67</v>
      </c>
      <c r="W16" s="17">
        <f t="shared" si="8"/>
        <v>7</v>
      </c>
      <c r="X16" s="17">
        <f t="shared" si="8"/>
        <v>1</v>
      </c>
      <c r="Y16" s="17">
        <f t="shared" si="8"/>
        <v>12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188</v>
      </c>
      <c r="AD16" s="17">
        <f t="shared" si="8"/>
        <v>0</v>
      </c>
      <c r="AE16" s="31">
        <f t="shared" si="8"/>
        <v>140</v>
      </c>
      <c r="AF16" s="31">
        <f t="shared" si="8"/>
        <v>328</v>
      </c>
    </row>
    <row r="17" spans="2:32" ht="23.1" customHeight="1" x14ac:dyDescent="0.25">
      <c r="B17" s="23" t="s">
        <v>44</v>
      </c>
      <c r="C17" s="50">
        <v>7</v>
      </c>
      <c r="D17" s="50">
        <v>3</v>
      </c>
      <c r="E17" s="50">
        <v>10</v>
      </c>
      <c r="F17" s="50">
        <v>11</v>
      </c>
      <c r="G17" s="50">
        <v>2</v>
      </c>
      <c r="H17" s="50">
        <v>1</v>
      </c>
      <c r="I17" s="50">
        <v>1</v>
      </c>
      <c r="J17" s="50">
        <v>0</v>
      </c>
      <c r="K17" s="50">
        <v>0</v>
      </c>
      <c r="L17" s="50">
        <f>SUM('[1]RD4 MCC'!R13:U13)</f>
        <v>0</v>
      </c>
      <c r="M17" s="50">
        <v>28</v>
      </c>
      <c r="N17" s="50">
        <v>0</v>
      </c>
      <c r="O17" s="15">
        <f t="shared" si="0"/>
        <v>35</v>
      </c>
      <c r="P17" s="15">
        <f t="shared" si="1"/>
        <v>63</v>
      </c>
      <c r="R17" s="1" t="s">
        <v>13</v>
      </c>
      <c r="S17" s="17">
        <f t="shared" ref="S17:AF17" si="9">SUM(C38:C41)</f>
        <v>32</v>
      </c>
      <c r="T17" s="17">
        <f t="shared" si="9"/>
        <v>5</v>
      </c>
      <c r="U17" s="17">
        <f t="shared" si="9"/>
        <v>19</v>
      </c>
      <c r="V17" s="17">
        <f t="shared" si="9"/>
        <v>49</v>
      </c>
      <c r="W17" s="17">
        <f t="shared" si="9"/>
        <v>4</v>
      </c>
      <c r="X17" s="17">
        <f t="shared" si="9"/>
        <v>2</v>
      </c>
      <c r="Y17" s="17">
        <f t="shared" si="9"/>
        <v>15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203</v>
      </c>
      <c r="AD17" s="17">
        <f t="shared" si="9"/>
        <v>0</v>
      </c>
      <c r="AE17" s="31">
        <f t="shared" si="9"/>
        <v>129</v>
      </c>
      <c r="AF17" s="31">
        <f t="shared" si="9"/>
        <v>332</v>
      </c>
    </row>
    <row r="18" spans="2:32" ht="23.1" customHeight="1" x14ac:dyDescent="0.25">
      <c r="B18" s="23" t="s">
        <v>45</v>
      </c>
      <c r="C18" s="50">
        <v>4</v>
      </c>
      <c r="D18" s="50">
        <v>2</v>
      </c>
      <c r="E18" s="50">
        <v>7</v>
      </c>
      <c r="F18" s="50">
        <v>14</v>
      </c>
      <c r="G18" s="50">
        <v>4</v>
      </c>
      <c r="H18" s="50">
        <v>0</v>
      </c>
      <c r="I18" s="50">
        <v>4</v>
      </c>
      <c r="J18" s="50">
        <v>0</v>
      </c>
      <c r="K18" s="50">
        <v>0</v>
      </c>
      <c r="L18" s="50">
        <f>SUM('[1]RD4 MCC'!R14:U14)</f>
        <v>0</v>
      </c>
      <c r="M18" s="50">
        <v>38</v>
      </c>
      <c r="N18" s="50">
        <v>0</v>
      </c>
      <c r="O18" s="15">
        <f t="shared" si="0"/>
        <v>35</v>
      </c>
      <c r="P18" s="15">
        <f t="shared" si="1"/>
        <v>73</v>
      </c>
      <c r="R18" s="1" t="s">
        <v>14</v>
      </c>
      <c r="S18" s="17">
        <f t="shared" ref="S18:AF18" si="10">SUM(C42:C45)</f>
        <v>31</v>
      </c>
      <c r="T18" s="17">
        <f t="shared" si="10"/>
        <v>4</v>
      </c>
      <c r="U18" s="17">
        <f t="shared" si="10"/>
        <v>17</v>
      </c>
      <c r="V18" s="17">
        <f t="shared" si="10"/>
        <v>45</v>
      </c>
      <c r="W18" s="17">
        <f t="shared" si="10"/>
        <v>5</v>
      </c>
      <c r="X18" s="17">
        <f t="shared" si="10"/>
        <v>0</v>
      </c>
      <c r="Y18" s="17">
        <f t="shared" si="10"/>
        <v>14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142</v>
      </c>
      <c r="AD18" s="17">
        <f t="shared" si="10"/>
        <v>0</v>
      </c>
      <c r="AE18" s="31">
        <f t="shared" si="10"/>
        <v>116</v>
      </c>
      <c r="AF18" s="31">
        <f t="shared" si="10"/>
        <v>258</v>
      </c>
    </row>
    <row r="19" spans="2:32" ht="23.1" customHeight="1" x14ac:dyDescent="0.25">
      <c r="B19" s="23" t="s">
        <v>46</v>
      </c>
      <c r="C19" s="50">
        <v>10</v>
      </c>
      <c r="D19" s="50">
        <v>3</v>
      </c>
      <c r="E19" s="50">
        <v>8</v>
      </c>
      <c r="F19" s="50">
        <v>12</v>
      </c>
      <c r="G19" s="50">
        <v>3</v>
      </c>
      <c r="H19" s="50">
        <v>0</v>
      </c>
      <c r="I19" s="50">
        <v>3</v>
      </c>
      <c r="J19" s="50">
        <v>0</v>
      </c>
      <c r="K19" s="50">
        <v>0</v>
      </c>
      <c r="L19" s="50">
        <f>SUM('[1]RD4 MCC'!R15:U15)</f>
        <v>0</v>
      </c>
      <c r="M19" s="50">
        <v>47</v>
      </c>
      <c r="N19" s="50">
        <v>0</v>
      </c>
      <c r="O19" s="15">
        <f t="shared" si="0"/>
        <v>39</v>
      </c>
      <c r="P19" s="15">
        <f t="shared" si="1"/>
        <v>86</v>
      </c>
      <c r="R19" s="1" t="s">
        <v>15</v>
      </c>
      <c r="S19" s="17">
        <f t="shared" ref="S19:AF19" si="11">SUM(C46:C49)</f>
        <v>27</v>
      </c>
      <c r="T19" s="17">
        <f t="shared" si="11"/>
        <v>3</v>
      </c>
      <c r="U19" s="17">
        <f t="shared" si="11"/>
        <v>16</v>
      </c>
      <c r="V19" s="17">
        <f t="shared" si="11"/>
        <v>50</v>
      </c>
      <c r="W19" s="17">
        <f t="shared" si="11"/>
        <v>3</v>
      </c>
      <c r="X19" s="17">
        <f t="shared" si="11"/>
        <v>0</v>
      </c>
      <c r="Y19" s="17">
        <f t="shared" si="11"/>
        <v>15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145</v>
      </c>
      <c r="AD19" s="17">
        <f t="shared" si="11"/>
        <v>0</v>
      </c>
      <c r="AE19" s="31">
        <f t="shared" si="11"/>
        <v>115</v>
      </c>
      <c r="AF19" s="31">
        <f t="shared" si="11"/>
        <v>260</v>
      </c>
    </row>
    <row r="20" spans="2:32" ht="23.1" customHeight="1" x14ac:dyDescent="0.25">
      <c r="B20" s="23" t="s">
        <v>47</v>
      </c>
      <c r="C20" s="50">
        <v>6</v>
      </c>
      <c r="D20" s="50">
        <v>9</v>
      </c>
      <c r="E20" s="50">
        <v>21</v>
      </c>
      <c r="F20" s="50">
        <v>16</v>
      </c>
      <c r="G20" s="50">
        <v>1</v>
      </c>
      <c r="H20" s="50">
        <v>0</v>
      </c>
      <c r="I20" s="50">
        <v>0</v>
      </c>
      <c r="J20" s="50">
        <v>0</v>
      </c>
      <c r="K20" s="50">
        <v>0</v>
      </c>
      <c r="L20" s="50">
        <f>SUM('[1]RD4 MCC'!R16:U16)</f>
        <v>0</v>
      </c>
      <c r="M20" s="50">
        <v>37</v>
      </c>
      <c r="N20" s="50">
        <v>0</v>
      </c>
      <c r="O20" s="15">
        <f t="shared" si="0"/>
        <v>53</v>
      </c>
      <c r="P20" s="15">
        <f t="shared" si="1"/>
        <v>90</v>
      </c>
      <c r="R20" s="1" t="s">
        <v>16</v>
      </c>
      <c r="S20" s="17">
        <f t="shared" ref="S20:AF20" si="12">SUM(C50:C53)</f>
        <v>23</v>
      </c>
      <c r="T20" s="17">
        <f t="shared" si="12"/>
        <v>1</v>
      </c>
      <c r="U20" s="17">
        <f t="shared" si="12"/>
        <v>11</v>
      </c>
      <c r="V20" s="17">
        <f t="shared" si="12"/>
        <v>37</v>
      </c>
      <c r="W20" s="17">
        <f t="shared" si="12"/>
        <v>7</v>
      </c>
      <c r="X20" s="17">
        <f t="shared" si="12"/>
        <v>1</v>
      </c>
      <c r="Y20" s="17">
        <f t="shared" si="12"/>
        <v>12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145</v>
      </c>
      <c r="AD20" s="17">
        <f t="shared" si="12"/>
        <v>0</v>
      </c>
      <c r="AE20" s="31">
        <f t="shared" si="12"/>
        <v>93</v>
      </c>
      <c r="AF20" s="31">
        <f t="shared" si="12"/>
        <v>238</v>
      </c>
    </row>
    <row r="21" spans="2:32" ht="23.1" customHeight="1" x14ac:dyDescent="0.25">
      <c r="B21" s="23" t="s">
        <v>48</v>
      </c>
      <c r="C21" s="50">
        <v>12</v>
      </c>
      <c r="D21" s="50">
        <v>2</v>
      </c>
      <c r="E21" s="50">
        <v>6</v>
      </c>
      <c r="F21" s="50">
        <v>17</v>
      </c>
      <c r="G21" s="50">
        <v>1</v>
      </c>
      <c r="H21" s="50">
        <v>0</v>
      </c>
      <c r="I21" s="50">
        <v>3</v>
      </c>
      <c r="J21" s="50">
        <v>0</v>
      </c>
      <c r="K21" s="50">
        <v>0</v>
      </c>
      <c r="L21" s="50">
        <f>SUM('[1]RD4 MCC'!R17:U17)</f>
        <v>0</v>
      </c>
      <c r="M21" s="50">
        <v>45</v>
      </c>
      <c r="N21" s="50">
        <v>0</v>
      </c>
      <c r="O21" s="15">
        <f t="shared" si="0"/>
        <v>41</v>
      </c>
      <c r="P21" s="15">
        <f t="shared" si="1"/>
        <v>86</v>
      </c>
      <c r="R21" s="36" t="s">
        <v>20</v>
      </c>
      <c r="S21" s="34">
        <f t="shared" ref="S21:AF21" si="13">SUM(C54:C57)</f>
        <v>25</v>
      </c>
      <c r="T21" s="17">
        <f t="shared" si="13"/>
        <v>3</v>
      </c>
      <c r="U21" s="17">
        <f t="shared" si="13"/>
        <v>16</v>
      </c>
      <c r="V21" s="17">
        <f t="shared" si="13"/>
        <v>40</v>
      </c>
      <c r="W21" s="17">
        <f t="shared" si="13"/>
        <v>16</v>
      </c>
      <c r="X21" s="17">
        <f t="shared" si="13"/>
        <v>0</v>
      </c>
      <c r="Y21" s="17">
        <f t="shared" si="13"/>
        <v>13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179</v>
      </c>
      <c r="AD21" s="17">
        <f t="shared" si="13"/>
        <v>0</v>
      </c>
      <c r="AE21" s="31">
        <f t="shared" si="13"/>
        <v>114</v>
      </c>
      <c r="AF21" s="31">
        <f t="shared" si="13"/>
        <v>293</v>
      </c>
    </row>
    <row r="22" spans="2:32" ht="23.1" customHeight="1" x14ac:dyDescent="0.25">
      <c r="B22" s="23" t="s">
        <v>49</v>
      </c>
      <c r="C22" s="50">
        <v>9</v>
      </c>
      <c r="D22" s="50">
        <v>4</v>
      </c>
      <c r="E22" s="50">
        <v>10</v>
      </c>
      <c r="F22" s="50">
        <v>17</v>
      </c>
      <c r="G22" s="50">
        <v>1</v>
      </c>
      <c r="H22" s="50">
        <v>1</v>
      </c>
      <c r="I22" s="50">
        <v>3</v>
      </c>
      <c r="J22" s="50">
        <v>1</v>
      </c>
      <c r="K22" s="50">
        <v>0</v>
      </c>
      <c r="L22" s="50">
        <f>SUM('[1]RD4 MCC'!R18:U18)</f>
        <v>0</v>
      </c>
      <c r="M22" s="50">
        <v>37</v>
      </c>
      <c r="N22" s="50">
        <v>0</v>
      </c>
      <c r="O22" s="15">
        <f t="shared" si="0"/>
        <v>46</v>
      </c>
      <c r="P22" s="15">
        <f t="shared" si="1"/>
        <v>83</v>
      </c>
      <c r="R22" s="38" t="s">
        <v>90</v>
      </c>
      <c r="S22" s="39">
        <f>MAX(S10:S12)</f>
        <v>35</v>
      </c>
      <c r="T22" s="39">
        <f t="shared" ref="T22:AF22" si="14">MAX(T10:T12)</f>
        <v>16</v>
      </c>
      <c r="U22" s="39">
        <f t="shared" si="14"/>
        <v>42</v>
      </c>
      <c r="V22" s="39">
        <f t="shared" si="14"/>
        <v>59</v>
      </c>
      <c r="W22" s="39">
        <f t="shared" si="14"/>
        <v>16</v>
      </c>
      <c r="X22" s="39">
        <f t="shared" si="14"/>
        <v>1</v>
      </c>
      <c r="Y22" s="39">
        <f t="shared" si="14"/>
        <v>10</v>
      </c>
      <c r="Z22" s="39">
        <f t="shared" si="14"/>
        <v>5</v>
      </c>
      <c r="AA22" s="39">
        <f t="shared" si="14"/>
        <v>0</v>
      </c>
      <c r="AB22" s="39">
        <f t="shared" si="14"/>
        <v>0</v>
      </c>
      <c r="AC22" s="39">
        <f t="shared" si="14"/>
        <v>167</v>
      </c>
      <c r="AD22" s="39">
        <f t="shared" si="14"/>
        <v>0</v>
      </c>
      <c r="AE22" s="40">
        <f t="shared" si="14"/>
        <v>168</v>
      </c>
      <c r="AF22" s="40">
        <f t="shared" si="14"/>
        <v>335</v>
      </c>
    </row>
    <row r="23" spans="2:32" ht="23.1" customHeight="1" x14ac:dyDescent="0.25">
      <c r="B23" s="23" t="s">
        <v>50</v>
      </c>
      <c r="C23" s="50">
        <v>10</v>
      </c>
      <c r="D23" s="50">
        <v>3</v>
      </c>
      <c r="E23" s="50">
        <v>10</v>
      </c>
      <c r="F23" s="50">
        <v>17</v>
      </c>
      <c r="G23" s="50">
        <v>1</v>
      </c>
      <c r="H23" s="50">
        <v>0</v>
      </c>
      <c r="I23" s="50">
        <v>5</v>
      </c>
      <c r="J23" s="50">
        <v>0</v>
      </c>
      <c r="K23" s="50">
        <v>0</v>
      </c>
      <c r="L23" s="50">
        <f>SUM('[1]RD4 MCC'!R19:U19)</f>
        <v>0</v>
      </c>
      <c r="M23" s="50">
        <v>43</v>
      </c>
      <c r="N23" s="50">
        <v>0</v>
      </c>
      <c r="O23" s="15">
        <f t="shared" si="0"/>
        <v>46</v>
      </c>
      <c r="P23" s="15">
        <f t="shared" si="1"/>
        <v>89</v>
      </c>
      <c r="R23" s="38" t="s">
        <v>91</v>
      </c>
      <c r="S23" s="39">
        <f>MAX(S13:S18)</f>
        <v>50</v>
      </c>
      <c r="T23" s="39">
        <f t="shared" ref="T23:AF23" si="15">MAX(T13:T18)</f>
        <v>15</v>
      </c>
      <c r="U23" s="39">
        <f t="shared" si="15"/>
        <v>43</v>
      </c>
      <c r="V23" s="39">
        <f t="shared" si="15"/>
        <v>67</v>
      </c>
      <c r="W23" s="39">
        <f t="shared" si="15"/>
        <v>7</v>
      </c>
      <c r="X23" s="39">
        <f t="shared" si="15"/>
        <v>2</v>
      </c>
      <c r="Y23" s="39">
        <f t="shared" si="15"/>
        <v>19</v>
      </c>
      <c r="Z23" s="39">
        <f t="shared" si="15"/>
        <v>4</v>
      </c>
      <c r="AA23" s="39">
        <f t="shared" si="15"/>
        <v>0</v>
      </c>
      <c r="AB23" s="39">
        <f t="shared" si="15"/>
        <v>0</v>
      </c>
      <c r="AC23" s="39">
        <f t="shared" si="15"/>
        <v>203</v>
      </c>
      <c r="AD23" s="39">
        <f t="shared" si="15"/>
        <v>2</v>
      </c>
      <c r="AE23" s="40">
        <f t="shared" si="15"/>
        <v>198</v>
      </c>
      <c r="AF23" s="40">
        <f t="shared" si="15"/>
        <v>385</v>
      </c>
    </row>
    <row r="24" spans="2:32" ht="23.1" customHeight="1" x14ac:dyDescent="0.25">
      <c r="B24" s="23" t="s">
        <v>51</v>
      </c>
      <c r="C24" s="50">
        <v>7</v>
      </c>
      <c r="D24" s="50">
        <v>2</v>
      </c>
      <c r="E24" s="50">
        <v>5</v>
      </c>
      <c r="F24" s="50">
        <v>15</v>
      </c>
      <c r="G24" s="50">
        <v>0</v>
      </c>
      <c r="H24" s="50">
        <v>1</v>
      </c>
      <c r="I24" s="50">
        <v>7</v>
      </c>
      <c r="J24" s="50">
        <v>1</v>
      </c>
      <c r="K24" s="50">
        <v>0</v>
      </c>
      <c r="L24" s="50">
        <f>SUM('[1]RD4 MCC'!R20:U20)</f>
        <v>0</v>
      </c>
      <c r="M24" s="50">
        <v>34</v>
      </c>
      <c r="N24" s="50">
        <v>0</v>
      </c>
      <c r="O24" s="15">
        <f t="shared" si="0"/>
        <v>38</v>
      </c>
      <c r="P24" s="15">
        <f t="shared" si="1"/>
        <v>72</v>
      </c>
      <c r="R24" s="38" t="s">
        <v>92</v>
      </c>
      <c r="S24" s="39">
        <f>MAX(S19:S21)</f>
        <v>27</v>
      </c>
      <c r="T24" s="39">
        <f t="shared" ref="T24:AF24" si="16">MAX(T19:T21)</f>
        <v>3</v>
      </c>
      <c r="U24" s="39">
        <f t="shared" si="16"/>
        <v>16</v>
      </c>
      <c r="V24" s="39">
        <f t="shared" si="16"/>
        <v>50</v>
      </c>
      <c r="W24" s="39">
        <f t="shared" si="16"/>
        <v>16</v>
      </c>
      <c r="X24" s="39">
        <f t="shared" si="16"/>
        <v>1</v>
      </c>
      <c r="Y24" s="39">
        <f t="shared" si="16"/>
        <v>15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179</v>
      </c>
      <c r="AD24" s="39">
        <f t="shared" si="16"/>
        <v>0</v>
      </c>
      <c r="AE24" s="40">
        <f t="shared" si="16"/>
        <v>115</v>
      </c>
      <c r="AF24" s="40">
        <f t="shared" si="16"/>
        <v>293</v>
      </c>
    </row>
    <row r="25" spans="2:32" ht="23.1" customHeight="1" x14ac:dyDescent="0.25">
      <c r="B25" s="23" t="s">
        <v>52</v>
      </c>
      <c r="C25" s="50">
        <v>11</v>
      </c>
      <c r="D25" s="50">
        <v>4</v>
      </c>
      <c r="E25" s="50">
        <v>12</v>
      </c>
      <c r="F25" s="50">
        <v>13</v>
      </c>
      <c r="G25" s="50">
        <v>3</v>
      </c>
      <c r="H25" s="50">
        <v>0</v>
      </c>
      <c r="I25" s="50">
        <v>4</v>
      </c>
      <c r="J25" s="50">
        <v>0</v>
      </c>
      <c r="K25" s="50">
        <v>0</v>
      </c>
      <c r="L25" s="50">
        <f>SUM('[1]RD4 MCC'!R21:U21)</f>
        <v>0</v>
      </c>
      <c r="M25" s="50">
        <v>49</v>
      </c>
      <c r="N25" s="50">
        <v>0</v>
      </c>
      <c r="O25" s="15">
        <f t="shared" si="0"/>
        <v>47</v>
      </c>
      <c r="P25" s="15">
        <f t="shared" si="1"/>
        <v>96</v>
      </c>
      <c r="R25" s="37" t="s">
        <v>85</v>
      </c>
      <c r="S25" s="35">
        <f t="shared" ref="S25:AF25" si="17">SUM(S10:S12)</f>
        <v>89</v>
      </c>
      <c r="T25" s="16">
        <f t="shared" si="17"/>
        <v>30</v>
      </c>
      <c r="U25" s="16">
        <f t="shared" si="17"/>
        <v>91</v>
      </c>
      <c r="V25" s="16">
        <f t="shared" si="17"/>
        <v>136</v>
      </c>
      <c r="W25" s="16">
        <f t="shared" si="17"/>
        <v>39</v>
      </c>
      <c r="X25" s="16">
        <f t="shared" si="17"/>
        <v>1</v>
      </c>
      <c r="Y25" s="16">
        <f t="shared" si="17"/>
        <v>28</v>
      </c>
      <c r="Z25" s="16">
        <f t="shared" si="17"/>
        <v>7</v>
      </c>
      <c r="AA25" s="16">
        <f t="shared" si="17"/>
        <v>0</v>
      </c>
      <c r="AB25" s="16">
        <f t="shared" si="17"/>
        <v>0</v>
      </c>
      <c r="AC25" s="16">
        <f t="shared" si="17"/>
        <v>384</v>
      </c>
      <c r="AD25" s="16">
        <f t="shared" si="17"/>
        <v>0</v>
      </c>
      <c r="AE25" s="32">
        <f t="shared" si="17"/>
        <v>421</v>
      </c>
      <c r="AF25" s="32">
        <f t="shared" si="17"/>
        <v>805</v>
      </c>
    </row>
    <row r="26" spans="2:32" ht="23.1" customHeight="1" x14ac:dyDescent="0.25">
      <c r="B26" s="23" t="s">
        <v>53</v>
      </c>
      <c r="C26" s="50">
        <v>15</v>
      </c>
      <c r="D26" s="50">
        <v>4</v>
      </c>
      <c r="E26" s="50">
        <v>12</v>
      </c>
      <c r="F26" s="50">
        <v>14</v>
      </c>
      <c r="G26" s="50">
        <v>1</v>
      </c>
      <c r="H26" s="50">
        <v>0</v>
      </c>
      <c r="I26" s="50">
        <v>3</v>
      </c>
      <c r="J26" s="50">
        <v>0</v>
      </c>
      <c r="K26" s="50">
        <v>0</v>
      </c>
      <c r="L26" s="50">
        <f>SUM('[1]RD4 MCC'!R22:U22)</f>
        <v>0</v>
      </c>
      <c r="M26" s="50">
        <v>35</v>
      </c>
      <c r="N26" s="50">
        <v>1</v>
      </c>
      <c r="O26" s="15">
        <f t="shared" si="0"/>
        <v>50</v>
      </c>
      <c r="P26" s="15">
        <f t="shared" si="1"/>
        <v>85</v>
      </c>
      <c r="R26" s="28" t="s">
        <v>86</v>
      </c>
      <c r="S26" s="16">
        <f t="shared" ref="S26:AF26" si="18">SUM(S13:S18)</f>
        <v>214</v>
      </c>
      <c r="T26" s="16">
        <f t="shared" si="18"/>
        <v>50</v>
      </c>
      <c r="U26" s="16">
        <f t="shared" si="18"/>
        <v>155</v>
      </c>
      <c r="V26" s="16">
        <f t="shared" si="18"/>
        <v>347</v>
      </c>
      <c r="W26" s="16">
        <f t="shared" si="18"/>
        <v>31</v>
      </c>
      <c r="X26" s="16">
        <f t="shared" si="18"/>
        <v>5</v>
      </c>
      <c r="Y26" s="16">
        <f t="shared" si="18"/>
        <v>89</v>
      </c>
      <c r="Z26" s="16">
        <f t="shared" si="18"/>
        <v>11</v>
      </c>
      <c r="AA26" s="16">
        <f t="shared" si="18"/>
        <v>0</v>
      </c>
      <c r="AB26" s="16">
        <f t="shared" si="18"/>
        <v>0</v>
      </c>
      <c r="AC26" s="16">
        <f t="shared" si="18"/>
        <v>1060</v>
      </c>
      <c r="AD26" s="16">
        <f t="shared" si="18"/>
        <v>2</v>
      </c>
      <c r="AE26" s="32">
        <f t="shared" si="18"/>
        <v>904</v>
      </c>
      <c r="AF26" s="32">
        <f t="shared" si="18"/>
        <v>1964</v>
      </c>
    </row>
    <row r="27" spans="2:32" ht="23.1" customHeight="1" x14ac:dyDescent="0.25">
      <c r="B27" s="23" t="s">
        <v>54</v>
      </c>
      <c r="C27" s="50">
        <v>12</v>
      </c>
      <c r="D27" s="50">
        <v>3</v>
      </c>
      <c r="E27" s="50">
        <v>7</v>
      </c>
      <c r="F27" s="50">
        <v>16</v>
      </c>
      <c r="G27" s="50">
        <v>1</v>
      </c>
      <c r="H27" s="50">
        <v>0</v>
      </c>
      <c r="I27" s="50">
        <v>5</v>
      </c>
      <c r="J27" s="50">
        <v>2</v>
      </c>
      <c r="K27" s="50">
        <v>0</v>
      </c>
      <c r="L27" s="50">
        <f>SUM('[1]RD4 MCC'!R23:U23)</f>
        <v>0</v>
      </c>
      <c r="M27" s="50">
        <v>49</v>
      </c>
      <c r="N27" s="50">
        <v>0</v>
      </c>
      <c r="O27" s="15">
        <f t="shared" si="0"/>
        <v>46</v>
      </c>
      <c r="P27" s="15">
        <f t="shared" si="1"/>
        <v>95</v>
      </c>
      <c r="R27" s="29" t="s">
        <v>87</v>
      </c>
      <c r="S27" s="16">
        <f t="shared" ref="S27:AF27" si="19">SUM(S19:S21)</f>
        <v>75</v>
      </c>
      <c r="T27" s="16">
        <f t="shared" si="19"/>
        <v>7</v>
      </c>
      <c r="U27" s="16">
        <f t="shared" si="19"/>
        <v>43</v>
      </c>
      <c r="V27" s="16">
        <f t="shared" si="19"/>
        <v>127</v>
      </c>
      <c r="W27" s="16">
        <f t="shared" si="19"/>
        <v>26</v>
      </c>
      <c r="X27" s="16">
        <f t="shared" si="19"/>
        <v>1</v>
      </c>
      <c r="Y27" s="16">
        <f t="shared" si="19"/>
        <v>40</v>
      </c>
      <c r="Z27" s="16">
        <f t="shared" si="19"/>
        <v>3</v>
      </c>
      <c r="AA27" s="16">
        <f t="shared" si="19"/>
        <v>0</v>
      </c>
      <c r="AB27" s="16">
        <f t="shared" si="19"/>
        <v>0</v>
      </c>
      <c r="AC27" s="16">
        <f t="shared" si="19"/>
        <v>469</v>
      </c>
      <c r="AD27" s="16">
        <f t="shared" si="19"/>
        <v>0</v>
      </c>
      <c r="AE27" s="32">
        <f t="shared" si="19"/>
        <v>322</v>
      </c>
      <c r="AF27" s="32">
        <f t="shared" si="19"/>
        <v>791</v>
      </c>
    </row>
    <row r="28" spans="2:32" ht="23.1" customHeight="1" x14ac:dyDescent="0.25">
      <c r="B28" s="23" t="s">
        <v>55</v>
      </c>
      <c r="C28" s="50">
        <v>16</v>
      </c>
      <c r="D28" s="50">
        <v>2</v>
      </c>
      <c r="E28" s="50">
        <v>7</v>
      </c>
      <c r="F28" s="50">
        <v>16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f>SUM('[1]RD4 MCC'!R24:U24)</f>
        <v>0</v>
      </c>
      <c r="M28" s="50">
        <v>43</v>
      </c>
      <c r="N28" s="50">
        <v>0</v>
      </c>
      <c r="O28" s="15">
        <f t="shared" si="0"/>
        <v>45</v>
      </c>
      <c r="P28" s="15">
        <f t="shared" si="1"/>
        <v>88</v>
      </c>
      <c r="R28" s="5" t="s">
        <v>17</v>
      </c>
      <c r="S28" s="16">
        <f t="shared" ref="S28:AF28" si="20">SUM(S10:S21)</f>
        <v>378</v>
      </c>
      <c r="T28" s="16">
        <f t="shared" si="20"/>
        <v>87</v>
      </c>
      <c r="U28" s="16">
        <f t="shared" si="20"/>
        <v>289</v>
      </c>
      <c r="V28" s="16">
        <f t="shared" si="20"/>
        <v>610</v>
      </c>
      <c r="W28" s="16">
        <f t="shared" si="20"/>
        <v>96</v>
      </c>
      <c r="X28" s="16">
        <f t="shared" si="20"/>
        <v>7</v>
      </c>
      <c r="Y28" s="16">
        <f t="shared" si="20"/>
        <v>157</v>
      </c>
      <c r="Z28" s="16">
        <f t="shared" si="20"/>
        <v>21</v>
      </c>
      <c r="AA28" s="16">
        <f t="shared" si="20"/>
        <v>0</v>
      </c>
      <c r="AB28" s="16">
        <f t="shared" si="20"/>
        <v>0</v>
      </c>
      <c r="AC28" s="16">
        <f t="shared" si="20"/>
        <v>1913</v>
      </c>
      <c r="AD28" s="16">
        <f t="shared" si="20"/>
        <v>2</v>
      </c>
      <c r="AE28" s="32">
        <f t="shared" si="20"/>
        <v>1647</v>
      </c>
      <c r="AF28" s="32">
        <f t="shared" si="20"/>
        <v>3560</v>
      </c>
    </row>
    <row r="29" spans="2:32" ht="23.1" customHeight="1" x14ac:dyDescent="0.25">
      <c r="B29" s="23" t="s">
        <v>56</v>
      </c>
      <c r="C29" s="50">
        <v>7</v>
      </c>
      <c r="D29" s="50">
        <v>6</v>
      </c>
      <c r="E29" s="50">
        <v>17</v>
      </c>
      <c r="F29" s="50">
        <v>20</v>
      </c>
      <c r="G29" s="50">
        <v>1</v>
      </c>
      <c r="H29" s="50">
        <v>0</v>
      </c>
      <c r="I29" s="50">
        <v>4</v>
      </c>
      <c r="J29" s="50">
        <v>1</v>
      </c>
      <c r="K29" s="50">
        <v>0</v>
      </c>
      <c r="L29" s="50">
        <f>SUM('[1]RD4 MCC'!R25:U25)</f>
        <v>0</v>
      </c>
      <c r="M29" s="50">
        <v>60</v>
      </c>
      <c r="N29" s="50">
        <v>1</v>
      </c>
      <c r="O29" s="15">
        <f t="shared" si="0"/>
        <v>57</v>
      </c>
      <c r="P29" s="15">
        <f t="shared" si="1"/>
        <v>117</v>
      </c>
      <c r="R29"/>
      <c r="S29" s="20"/>
      <c r="T29" s="19"/>
    </row>
    <row r="30" spans="2:32" ht="23.1" customHeight="1" x14ac:dyDescent="0.25">
      <c r="B30" s="23" t="s">
        <v>57</v>
      </c>
      <c r="C30" s="50">
        <v>13</v>
      </c>
      <c r="D30" s="50">
        <v>3</v>
      </c>
      <c r="E30" s="50">
        <v>8</v>
      </c>
      <c r="F30" s="50">
        <v>19</v>
      </c>
      <c r="G30" s="50">
        <v>0</v>
      </c>
      <c r="H30" s="50">
        <v>0</v>
      </c>
      <c r="I30" s="50">
        <v>5</v>
      </c>
      <c r="J30" s="50">
        <v>0</v>
      </c>
      <c r="K30" s="50">
        <v>0</v>
      </c>
      <c r="L30" s="50">
        <f>SUM('[1]RD4 MCC'!R26:U26)</f>
        <v>0</v>
      </c>
      <c r="M30" s="50">
        <v>36</v>
      </c>
      <c r="N30" s="50">
        <v>0</v>
      </c>
      <c r="O30" s="15">
        <f t="shared" si="0"/>
        <v>48</v>
      </c>
      <c r="P30" s="15">
        <f t="shared" si="1"/>
        <v>84</v>
      </c>
    </row>
    <row r="31" spans="2:32" ht="23.1" customHeight="1" x14ac:dyDescent="0.25">
      <c r="B31" s="24" t="s">
        <v>58</v>
      </c>
      <c r="C31" s="50">
        <v>7</v>
      </c>
      <c r="D31" s="50">
        <v>2</v>
      </c>
      <c r="E31" s="50">
        <v>5</v>
      </c>
      <c r="F31" s="50">
        <v>15</v>
      </c>
      <c r="G31" s="50">
        <v>2</v>
      </c>
      <c r="H31" s="50">
        <v>0</v>
      </c>
      <c r="I31" s="50">
        <v>2</v>
      </c>
      <c r="J31" s="50">
        <v>0</v>
      </c>
      <c r="K31" s="50">
        <v>0</v>
      </c>
      <c r="L31" s="50">
        <f>SUM('[1]RD4 MCC'!R27:U27)</f>
        <v>0</v>
      </c>
      <c r="M31" s="50">
        <v>42</v>
      </c>
      <c r="N31" s="50">
        <v>0</v>
      </c>
      <c r="O31" s="15">
        <f t="shared" si="0"/>
        <v>33</v>
      </c>
      <c r="P31" s="15">
        <f t="shared" si="1"/>
        <v>75</v>
      </c>
    </row>
    <row r="32" spans="2:32" ht="23.1" customHeight="1" x14ac:dyDescent="0.25">
      <c r="B32" s="24" t="s">
        <v>59</v>
      </c>
      <c r="C32" s="50">
        <v>7</v>
      </c>
      <c r="D32" s="50">
        <v>1</v>
      </c>
      <c r="E32" s="50">
        <v>5</v>
      </c>
      <c r="F32" s="50">
        <v>13</v>
      </c>
      <c r="G32" s="50">
        <v>4</v>
      </c>
      <c r="H32" s="50">
        <v>0</v>
      </c>
      <c r="I32" s="50">
        <v>3</v>
      </c>
      <c r="J32" s="50">
        <v>0</v>
      </c>
      <c r="K32" s="50">
        <v>0</v>
      </c>
      <c r="L32" s="50">
        <f>SUM('[1]RD4 MCC'!R28:U28)</f>
        <v>0</v>
      </c>
      <c r="M32" s="50">
        <v>57</v>
      </c>
      <c r="N32" s="50">
        <v>0</v>
      </c>
      <c r="O32" s="15">
        <f t="shared" si="0"/>
        <v>33</v>
      </c>
      <c r="P32" s="15">
        <f t="shared" si="1"/>
        <v>90</v>
      </c>
    </row>
    <row r="33" spans="2:20" ht="23.1" customHeight="1" x14ac:dyDescent="0.25">
      <c r="B33" s="23" t="s">
        <v>60</v>
      </c>
      <c r="C33" s="50">
        <v>7</v>
      </c>
      <c r="D33" s="50">
        <v>2</v>
      </c>
      <c r="E33" s="50">
        <v>5</v>
      </c>
      <c r="F33" s="50">
        <v>11</v>
      </c>
      <c r="G33" s="50">
        <v>1</v>
      </c>
      <c r="H33" s="50">
        <v>0</v>
      </c>
      <c r="I33" s="50">
        <v>4</v>
      </c>
      <c r="J33" s="50">
        <v>0</v>
      </c>
      <c r="K33" s="50">
        <v>0</v>
      </c>
      <c r="L33" s="50">
        <f>SUM('[1]RD4 MCC'!R29:U29)</f>
        <v>0</v>
      </c>
      <c r="M33" s="50">
        <v>42</v>
      </c>
      <c r="N33" s="50">
        <v>0</v>
      </c>
      <c r="O33" s="15">
        <f t="shared" si="0"/>
        <v>30</v>
      </c>
      <c r="P33" s="15">
        <f t="shared" si="1"/>
        <v>72</v>
      </c>
    </row>
    <row r="34" spans="2:20" ht="23.1" customHeight="1" x14ac:dyDescent="0.25">
      <c r="B34" s="24" t="s">
        <v>61</v>
      </c>
      <c r="C34" s="50">
        <v>5</v>
      </c>
      <c r="D34" s="50">
        <v>2</v>
      </c>
      <c r="E34" s="50">
        <v>6</v>
      </c>
      <c r="F34" s="50">
        <v>22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f>SUM('[1]RD4 MCC'!R30:U30)</f>
        <v>0</v>
      </c>
      <c r="M34" s="50">
        <v>49</v>
      </c>
      <c r="N34" s="50">
        <v>0</v>
      </c>
      <c r="O34" s="15">
        <f t="shared" si="0"/>
        <v>38</v>
      </c>
      <c r="P34" s="15">
        <f t="shared" si="1"/>
        <v>87</v>
      </c>
    </row>
    <row r="35" spans="2:20" ht="23.1" customHeight="1" x14ac:dyDescent="0.25">
      <c r="B35" s="24" t="s">
        <v>62</v>
      </c>
      <c r="C35" s="50">
        <v>7</v>
      </c>
      <c r="D35" s="50">
        <v>2</v>
      </c>
      <c r="E35" s="50">
        <v>5</v>
      </c>
      <c r="F35" s="50">
        <v>22</v>
      </c>
      <c r="G35" s="50">
        <v>3</v>
      </c>
      <c r="H35" s="50">
        <v>1</v>
      </c>
      <c r="I35" s="50">
        <v>0</v>
      </c>
      <c r="J35" s="50">
        <v>1</v>
      </c>
      <c r="K35" s="50">
        <v>0</v>
      </c>
      <c r="L35" s="50">
        <f>SUM('[1]RD4 MCC'!R31:U31)</f>
        <v>0</v>
      </c>
      <c r="M35" s="50">
        <v>36</v>
      </c>
      <c r="N35" s="50">
        <v>0</v>
      </c>
      <c r="O35" s="15">
        <f t="shared" si="0"/>
        <v>41</v>
      </c>
      <c r="P35" s="15">
        <f t="shared" si="1"/>
        <v>77</v>
      </c>
    </row>
    <row r="36" spans="2:20" ht="23.1" customHeight="1" x14ac:dyDescent="0.25">
      <c r="B36" s="24" t="s">
        <v>63</v>
      </c>
      <c r="C36" s="50">
        <v>6</v>
      </c>
      <c r="D36" s="50">
        <v>0</v>
      </c>
      <c r="E36" s="50">
        <v>1</v>
      </c>
      <c r="F36" s="50">
        <v>13</v>
      </c>
      <c r="G36" s="50">
        <v>2</v>
      </c>
      <c r="H36" s="50">
        <v>0</v>
      </c>
      <c r="I36" s="50">
        <v>5</v>
      </c>
      <c r="J36" s="50">
        <v>0</v>
      </c>
      <c r="K36" s="50">
        <v>0</v>
      </c>
      <c r="L36" s="50">
        <f>SUM('[1]RD4 MCC'!R32:U32)</f>
        <v>0</v>
      </c>
      <c r="M36" s="50">
        <v>49</v>
      </c>
      <c r="N36" s="50">
        <v>0</v>
      </c>
      <c r="O36" s="15">
        <f t="shared" si="0"/>
        <v>27</v>
      </c>
      <c r="P36" s="15">
        <f t="shared" si="1"/>
        <v>76</v>
      </c>
    </row>
    <row r="37" spans="2:20" ht="23.1" customHeight="1" x14ac:dyDescent="0.25">
      <c r="B37" s="23" t="s">
        <v>64</v>
      </c>
      <c r="C37" s="50">
        <v>12</v>
      </c>
      <c r="D37" s="50">
        <v>1</v>
      </c>
      <c r="E37" s="50">
        <v>4</v>
      </c>
      <c r="F37" s="50">
        <v>10</v>
      </c>
      <c r="G37" s="50">
        <v>2</v>
      </c>
      <c r="H37" s="50">
        <v>0</v>
      </c>
      <c r="I37" s="50">
        <v>5</v>
      </c>
      <c r="J37" s="50">
        <v>0</v>
      </c>
      <c r="K37" s="50">
        <v>0</v>
      </c>
      <c r="L37" s="50">
        <f>SUM('[1]RD4 MCC'!R33:U33)</f>
        <v>0</v>
      </c>
      <c r="M37" s="50">
        <v>54</v>
      </c>
      <c r="N37" s="50">
        <v>0</v>
      </c>
      <c r="O37" s="15">
        <f t="shared" si="0"/>
        <v>34</v>
      </c>
      <c r="P37" s="15">
        <f t="shared" si="1"/>
        <v>88</v>
      </c>
    </row>
    <row r="38" spans="2:20" ht="23.1" customHeight="1" x14ac:dyDescent="0.25">
      <c r="B38" s="24" t="s">
        <v>65</v>
      </c>
      <c r="C38" s="50">
        <v>13</v>
      </c>
      <c r="D38" s="50">
        <v>1</v>
      </c>
      <c r="E38" s="50">
        <v>5</v>
      </c>
      <c r="F38" s="50">
        <v>13</v>
      </c>
      <c r="G38" s="50">
        <v>2</v>
      </c>
      <c r="H38" s="50">
        <v>0</v>
      </c>
      <c r="I38" s="50">
        <v>3</v>
      </c>
      <c r="J38" s="50">
        <v>0</v>
      </c>
      <c r="K38" s="50">
        <v>0</v>
      </c>
      <c r="L38" s="50">
        <f>SUM('[1]RD4 MCC'!R34:U34)</f>
        <v>0</v>
      </c>
      <c r="M38" s="50">
        <v>50</v>
      </c>
      <c r="N38" s="50">
        <v>0</v>
      </c>
      <c r="O38" s="15">
        <f t="shared" si="0"/>
        <v>37</v>
      </c>
      <c r="P38" s="15">
        <f t="shared" si="1"/>
        <v>87</v>
      </c>
    </row>
    <row r="39" spans="2:20" ht="23.1" customHeight="1" x14ac:dyDescent="0.25">
      <c r="B39" s="24" t="s">
        <v>66</v>
      </c>
      <c r="C39" s="50">
        <v>6</v>
      </c>
      <c r="D39" s="50">
        <v>2</v>
      </c>
      <c r="E39" s="50">
        <v>5</v>
      </c>
      <c r="F39" s="50">
        <v>10</v>
      </c>
      <c r="G39" s="50">
        <v>0</v>
      </c>
      <c r="H39" s="50">
        <v>1</v>
      </c>
      <c r="I39" s="50">
        <v>6</v>
      </c>
      <c r="J39" s="50">
        <v>1</v>
      </c>
      <c r="K39" s="50">
        <v>0</v>
      </c>
      <c r="L39" s="50">
        <f>SUM('[1]RD4 MCC'!R35:U35)</f>
        <v>0</v>
      </c>
      <c r="M39" s="50">
        <v>50</v>
      </c>
      <c r="N39" s="50">
        <v>0</v>
      </c>
      <c r="O39" s="15">
        <f t="shared" si="0"/>
        <v>31</v>
      </c>
      <c r="P39" s="15">
        <f t="shared" si="1"/>
        <v>81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3</v>
      </c>
      <c r="F40" s="50">
        <v>12</v>
      </c>
      <c r="G40" s="50">
        <v>2</v>
      </c>
      <c r="H40" s="50">
        <v>0</v>
      </c>
      <c r="I40" s="50">
        <v>5</v>
      </c>
      <c r="J40" s="50">
        <v>1</v>
      </c>
      <c r="K40" s="50">
        <v>0</v>
      </c>
      <c r="L40" s="50">
        <f>SUM('[1]RD4 MCC'!R36:U36)</f>
        <v>0</v>
      </c>
      <c r="M40" s="50">
        <v>54</v>
      </c>
      <c r="N40" s="50">
        <v>0</v>
      </c>
      <c r="O40" s="15">
        <f t="shared" si="0"/>
        <v>28</v>
      </c>
      <c r="P40" s="15">
        <f t="shared" si="1"/>
        <v>82</v>
      </c>
    </row>
    <row r="41" spans="2:20" ht="23.1" customHeight="1" x14ac:dyDescent="0.25">
      <c r="B41" s="23" t="s">
        <v>68</v>
      </c>
      <c r="C41" s="50">
        <v>8</v>
      </c>
      <c r="D41" s="50">
        <v>2</v>
      </c>
      <c r="E41" s="50">
        <v>6</v>
      </c>
      <c r="F41" s="50">
        <v>14</v>
      </c>
      <c r="G41" s="50">
        <v>0</v>
      </c>
      <c r="H41" s="50">
        <v>1</v>
      </c>
      <c r="I41" s="50">
        <v>1</v>
      </c>
      <c r="J41" s="50">
        <v>1</v>
      </c>
      <c r="K41" s="50">
        <v>0</v>
      </c>
      <c r="L41" s="50">
        <f>SUM('[1]RD4 MCC'!R37:U37)</f>
        <v>0</v>
      </c>
      <c r="M41" s="50">
        <v>49</v>
      </c>
      <c r="N41" s="50">
        <v>0</v>
      </c>
      <c r="O41" s="15">
        <f t="shared" si="0"/>
        <v>33</v>
      </c>
      <c r="P41" s="15">
        <f t="shared" si="1"/>
        <v>82</v>
      </c>
    </row>
    <row r="42" spans="2:20" ht="23.1" customHeight="1" x14ac:dyDescent="0.25">
      <c r="B42" s="24" t="s">
        <v>69</v>
      </c>
      <c r="C42" s="50">
        <v>5</v>
      </c>
      <c r="D42" s="50">
        <v>2</v>
      </c>
      <c r="E42" s="50">
        <v>5</v>
      </c>
      <c r="F42" s="50">
        <v>8</v>
      </c>
      <c r="G42" s="50">
        <v>1</v>
      </c>
      <c r="H42" s="50">
        <v>0</v>
      </c>
      <c r="I42" s="50">
        <v>1</v>
      </c>
      <c r="J42" s="50">
        <v>0</v>
      </c>
      <c r="K42" s="50">
        <v>0</v>
      </c>
      <c r="L42" s="50">
        <f>SUM('[1]RD4 MCC'!R38:U38)</f>
        <v>0</v>
      </c>
      <c r="M42" s="50">
        <v>42</v>
      </c>
      <c r="N42" s="50">
        <v>0</v>
      </c>
      <c r="O42" s="15">
        <f t="shared" si="0"/>
        <v>22</v>
      </c>
      <c r="P42" s="15">
        <f t="shared" si="1"/>
        <v>64</v>
      </c>
    </row>
    <row r="43" spans="2:20" ht="23.1" customHeight="1" x14ac:dyDescent="0.25">
      <c r="B43" s="23" t="s">
        <v>70</v>
      </c>
      <c r="C43" s="50">
        <v>7</v>
      </c>
      <c r="D43" s="50">
        <v>1</v>
      </c>
      <c r="E43" s="50">
        <v>5</v>
      </c>
      <c r="F43" s="50">
        <v>14</v>
      </c>
      <c r="G43" s="50">
        <v>1</v>
      </c>
      <c r="H43" s="50">
        <v>0</v>
      </c>
      <c r="I43" s="50">
        <v>6</v>
      </c>
      <c r="J43" s="50">
        <v>0</v>
      </c>
      <c r="K43" s="50">
        <v>0</v>
      </c>
      <c r="L43" s="50">
        <f>SUM('[1]RD4 MCC'!R39:U39)</f>
        <v>0</v>
      </c>
      <c r="M43" s="50">
        <v>26</v>
      </c>
      <c r="N43" s="50">
        <v>0</v>
      </c>
      <c r="O43" s="15">
        <f t="shared" si="0"/>
        <v>34</v>
      </c>
      <c r="P43" s="15">
        <f t="shared" si="1"/>
        <v>60</v>
      </c>
    </row>
    <row r="44" spans="2:20" ht="23.1" customHeight="1" x14ac:dyDescent="0.25">
      <c r="B44" s="25" t="s">
        <v>71</v>
      </c>
      <c r="C44" s="50">
        <v>8</v>
      </c>
      <c r="D44" s="50">
        <v>0</v>
      </c>
      <c r="E44" s="50">
        <v>3</v>
      </c>
      <c r="F44" s="50">
        <v>12</v>
      </c>
      <c r="G44" s="50">
        <v>2</v>
      </c>
      <c r="H44" s="50">
        <v>0</v>
      </c>
      <c r="I44" s="50">
        <v>3</v>
      </c>
      <c r="J44" s="50">
        <v>0</v>
      </c>
      <c r="K44" s="50">
        <v>0</v>
      </c>
      <c r="L44" s="50">
        <f>SUM('[1]RD4 MCC'!R40:U40)</f>
        <v>0</v>
      </c>
      <c r="M44" s="50">
        <v>40</v>
      </c>
      <c r="N44" s="50">
        <v>0</v>
      </c>
      <c r="O44" s="15">
        <f t="shared" si="0"/>
        <v>28</v>
      </c>
      <c r="P44" s="15">
        <f t="shared" si="1"/>
        <v>68</v>
      </c>
    </row>
    <row r="45" spans="2:20" ht="23.1" customHeight="1" x14ac:dyDescent="0.25">
      <c r="B45" s="23" t="s">
        <v>72</v>
      </c>
      <c r="C45" s="50">
        <v>11</v>
      </c>
      <c r="D45" s="50">
        <v>1</v>
      </c>
      <c r="E45" s="50">
        <v>4</v>
      </c>
      <c r="F45" s="50">
        <v>11</v>
      </c>
      <c r="G45" s="50">
        <v>1</v>
      </c>
      <c r="H45" s="50">
        <v>0</v>
      </c>
      <c r="I45" s="50">
        <v>4</v>
      </c>
      <c r="J45" s="50">
        <v>0</v>
      </c>
      <c r="K45" s="50">
        <v>0</v>
      </c>
      <c r="L45" s="50">
        <f>SUM('[1]RD4 MCC'!R41:U41)</f>
        <v>0</v>
      </c>
      <c r="M45" s="50">
        <v>34</v>
      </c>
      <c r="N45" s="50">
        <v>0</v>
      </c>
      <c r="O45" s="15">
        <f t="shared" si="0"/>
        <v>32</v>
      </c>
      <c r="P45" s="15">
        <f t="shared" si="1"/>
        <v>66</v>
      </c>
    </row>
    <row r="46" spans="2:20" ht="23.1" customHeight="1" x14ac:dyDescent="0.25">
      <c r="B46" s="24" t="s">
        <v>73</v>
      </c>
      <c r="C46" s="50">
        <v>4</v>
      </c>
      <c r="D46" s="50">
        <v>0</v>
      </c>
      <c r="E46" s="50">
        <v>2</v>
      </c>
      <c r="F46" s="50">
        <v>9</v>
      </c>
      <c r="G46" s="50">
        <v>1</v>
      </c>
      <c r="H46" s="50">
        <v>0</v>
      </c>
      <c r="I46" s="50">
        <v>4</v>
      </c>
      <c r="J46" s="50">
        <v>0</v>
      </c>
      <c r="K46" s="50">
        <v>0</v>
      </c>
      <c r="L46" s="50">
        <f>SUM('[1]RD4 MCC'!R42:U42)</f>
        <v>0</v>
      </c>
      <c r="M46" s="50">
        <v>35</v>
      </c>
      <c r="N46" s="50">
        <v>0</v>
      </c>
      <c r="O46" s="15">
        <f t="shared" si="0"/>
        <v>20</v>
      </c>
      <c r="P46" s="15">
        <f t="shared" si="1"/>
        <v>55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2</v>
      </c>
      <c r="E47" s="50">
        <v>6</v>
      </c>
      <c r="F47" s="50">
        <v>17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f>SUM('[1]RD4 MCC'!R43:U43)</f>
        <v>0</v>
      </c>
      <c r="M47" s="50">
        <v>47</v>
      </c>
      <c r="N47" s="50">
        <v>0</v>
      </c>
      <c r="O47" s="15">
        <f t="shared" si="0"/>
        <v>33</v>
      </c>
      <c r="P47" s="15">
        <f t="shared" si="1"/>
        <v>80</v>
      </c>
      <c r="R47" s="8"/>
      <c r="T47"/>
    </row>
    <row r="48" spans="2:20" ht="23.1" customHeight="1" x14ac:dyDescent="0.25">
      <c r="B48" s="24" t="s">
        <v>75</v>
      </c>
      <c r="C48" s="50">
        <v>11</v>
      </c>
      <c r="D48" s="50">
        <v>1</v>
      </c>
      <c r="E48" s="50">
        <v>5</v>
      </c>
      <c r="F48" s="50">
        <v>13</v>
      </c>
      <c r="G48" s="50">
        <v>1</v>
      </c>
      <c r="H48" s="50">
        <v>0</v>
      </c>
      <c r="I48" s="50">
        <v>5</v>
      </c>
      <c r="J48" s="50">
        <v>1</v>
      </c>
      <c r="K48" s="50">
        <v>0</v>
      </c>
      <c r="L48" s="50">
        <f>SUM('[1]RD4 MCC'!R44:U44)</f>
        <v>0</v>
      </c>
      <c r="M48" s="50">
        <v>34</v>
      </c>
      <c r="N48" s="50">
        <v>0</v>
      </c>
      <c r="O48" s="15">
        <f t="shared" si="0"/>
        <v>37</v>
      </c>
      <c r="P48" s="15">
        <f t="shared" si="1"/>
        <v>71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0</v>
      </c>
      <c r="E49" s="50">
        <v>3</v>
      </c>
      <c r="F49" s="50">
        <v>11</v>
      </c>
      <c r="G49" s="50">
        <v>1</v>
      </c>
      <c r="H49" s="50">
        <v>0</v>
      </c>
      <c r="I49" s="50">
        <v>3</v>
      </c>
      <c r="J49" s="50">
        <v>0</v>
      </c>
      <c r="K49" s="50">
        <v>0</v>
      </c>
      <c r="L49" s="50">
        <f>SUM('[1]RD4 MCC'!R45:U45)</f>
        <v>0</v>
      </c>
      <c r="M49" s="50">
        <v>29</v>
      </c>
      <c r="N49" s="50">
        <v>0</v>
      </c>
      <c r="O49" s="15">
        <f t="shared" si="0"/>
        <v>25</v>
      </c>
      <c r="P49" s="15">
        <f t="shared" si="1"/>
        <v>54</v>
      </c>
      <c r="R49" s="8"/>
      <c r="T49"/>
    </row>
    <row r="50" spans="2:20" ht="23.1" customHeight="1" x14ac:dyDescent="0.25">
      <c r="B50" s="24" t="s">
        <v>77</v>
      </c>
      <c r="C50" s="50">
        <v>7</v>
      </c>
      <c r="D50" s="50">
        <v>1</v>
      </c>
      <c r="E50" s="50">
        <v>5</v>
      </c>
      <c r="F50" s="50">
        <v>8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f>SUM('[1]RD4 MCC'!R46:U46)</f>
        <v>0</v>
      </c>
      <c r="M50" s="50">
        <v>28</v>
      </c>
      <c r="N50" s="50">
        <v>0</v>
      </c>
      <c r="O50" s="15">
        <f t="shared" si="0"/>
        <v>23</v>
      </c>
      <c r="P50" s="15">
        <f t="shared" si="1"/>
        <v>51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0</v>
      </c>
      <c r="E51" s="50">
        <v>1</v>
      </c>
      <c r="F51" s="50">
        <v>11</v>
      </c>
      <c r="G51" s="50">
        <v>2</v>
      </c>
      <c r="H51" s="50">
        <v>1</v>
      </c>
      <c r="I51" s="50">
        <v>6</v>
      </c>
      <c r="J51" s="50">
        <v>0</v>
      </c>
      <c r="K51" s="50">
        <v>0</v>
      </c>
      <c r="L51" s="50">
        <f>SUM('[1]RD4 MCC'!R47:U47)</f>
        <v>0</v>
      </c>
      <c r="M51" s="50">
        <v>32</v>
      </c>
      <c r="N51" s="50">
        <v>0</v>
      </c>
      <c r="O51" s="15">
        <f t="shared" si="0"/>
        <v>24</v>
      </c>
      <c r="P51" s="15">
        <f t="shared" si="1"/>
        <v>56</v>
      </c>
      <c r="R51" s="8"/>
      <c r="T51"/>
    </row>
    <row r="52" spans="2:20" ht="23.1" customHeight="1" x14ac:dyDescent="0.25">
      <c r="B52" s="24" t="s">
        <v>79</v>
      </c>
      <c r="C52" s="50">
        <v>8</v>
      </c>
      <c r="D52" s="50">
        <v>0</v>
      </c>
      <c r="E52" s="50">
        <v>2</v>
      </c>
      <c r="F52" s="50">
        <v>8</v>
      </c>
      <c r="G52" s="50">
        <v>2</v>
      </c>
      <c r="H52" s="50">
        <v>0</v>
      </c>
      <c r="I52" s="50">
        <v>3</v>
      </c>
      <c r="J52" s="50">
        <v>1</v>
      </c>
      <c r="K52" s="50">
        <v>0</v>
      </c>
      <c r="L52" s="50">
        <f>SUM('[1]RD4 MCC'!R48:U48)</f>
        <v>0</v>
      </c>
      <c r="M52" s="50">
        <v>43</v>
      </c>
      <c r="N52" s="50">
        <v>0</v>
      </c>
      <c r="O52" s="15">
        <f t="shared" si="0"/>
        <v>24</v>
      </c>
      <c r="P52" s="15">
        <f t="shared" si="1"/>
        <v>67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0</v>
      </c>
      <c r="E53" s="50">
        <v>3</v>
      </c>
      <c r="F53" s="50">
        <v>10</v>
      </c>
      <c r="G53" s="50">
        <v>3</v>
      </c>
      <c r="H53" s="50">
        <v>0</v>
      </c>
      <c r="I53" s="50">
        <v>1</v>
      </c>
      <c r="J53" s="50">
        <v>0</v>
      </c>
      <c r="K53" s="50">
        <v>0</v>
      </c>
      <c r="L53" s="50">
        <f>SUM('[1]RD4 MCC'!R49:U49)</f>
        <v>0</v>
      </c>
      <c r="M53" s="50">
        <v>42</v>
      </c>
      <c r="N53" s="50">
        <v>0</v>
      </c>
      <c r="O53" s="15">
        <f t="shared" si="0"/>
        <v>22</v>
      </c>
      <c r="P53" s="15">
        <f t="shared" si="1"/>
        <v>64</v>
      </c>
      <c r="R53" s="8"/>
      <c r="T53"/>
    </row>
    <row r="54" spans="2:20" ht="23.1" customHeight="1" x14ac:dyDescent="0.25">
      <c r="B54" s="23" t="s">
        <v>81</v>
      </c>
      <c r="C54" s="50">
        <v>12</v>
      </c>
      <c r="D54" s="50">
        <v>1</v>
      </c>
      <c r="E54" s="50">
        <v>4</v>
      </c>
      <c r="F54" s="50">
        <v>10</v>
      </c>
      <c r="G54" s="50">
        <v>2</v>
      </c>
      <c r="H54" s="50">
        <v>0</v>
      </c>
      <c r="I54" s="50">
        <v>3</v>
      </c>
      <c r="J54" s="50">
        <v>0</v>
      </c>
      <c r="K54" s="50">
        <v>0</v>
      </c>
      <c r="L54" s="50">
        <f>SUM('[1]RD4 MCC'!R50:U50)</f>
        <v>0</v>
      </c>
      <c r="M54" s="50">
        <v>43</v>
      </c>
      <c r="N54" s="50">
        <v>0</v>
      </c>
      <c r="O54" s="15">
        <f t="shared" si="0"/>
        <v>32</v>
      </c>
      <c r="P54" s="15">
        <f t="shared" si="1"/>
        <v>75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1</v>
      </c>
      <c r="E55" s="50">
        <v>4</v>
      </c>
      <c r="F55" s="50">
        <v>10</v>
      </c>
      <c r="G55" s="50">
        <v>3</v>
      </c>
      <c r="H55" s="50">
        <v>0</v>
      </c>
      <c r="I55" s="50">
        <v>3</v>
      </c>
      <c r="J55" s="50">
        <v>0</v>
      </c>
      <c r="K55" s="50">
        <v>0</v>
      </c>
      <c r="L55" s="50">
        <f>SUM('[1]RD4 MCC'!R51:U51)</f>
        <v>0</v>
      </c>
      <c r="M55" s="50">
        <v>45</v>
      </c>
      <c r="N55" s="50">
        <v>0</v>
      </c>
      <c r="O55" s="15">
        <f t="shared" si="0"/>
        <v>25</v>
      </c>
      <c r="P55" s="15">
        <f t="shared" si="1"/>
        <v>70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1</v>
      </c>
      <c r="E56" s="50">
        <v>5</v>
      </c>
      <c r="F56" s="50">
        <v>11</v>
      </c>
      <c r="G56" s="50">
        <v>4</v>
      </c>
      <c r="H56" s="50">
        <v>0</v>
      </c>
      <c r="I56" s="50">
        <v>3</v>
      </c>
      <c r="J56" s="50">
        <v>0</v>
      </c>
      <c r="K56" s="50">
        <v>0</v>
      </c>
      <c r="L56" s="50">
        <f>SUM('[1]RD4 MCC'!R52:U52)</f>
        <v>0</v>
      </c>
      <c r="M56" s="50">
        <v>45</v>
      </c>
      <c r="N56" s="50">
        <v>0</v>
      </c>
      <c r="O56" s="15">
        <f t="shared" si="0"/>
        <v>27</v>
      </c>
      <c r="P56" s="15">
        <f t="shared" si="1"/>
        <v>72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0</v>
      </c>
      <c r="E57" s="50">
        <v>3</v>
      </c>
      <c r="F57" s="50">
        <v>9</v>
      </c>
      <c r="G57" s="50">
        <v>7</v>
      </c>
      <c r="H57" s="50">
        <v>0</v>
      </c>
      <c r="I57" s="50">
        <v>4</v>
      </c>
      <c r="J57" s="50">
        <v>1</v>
      </c>
      <c r="K57" s="50">
        <v>0</v>
      </c>
      <c r="L57" s="50">
        <f>SUM('[1]RD4 MCC'!R53:U53)</f>
        <v>0</v>
      </c>
      <c r="M57" s="50">
        <v>46</v>
      </c>
      <c r="N57" s="50">
        <v>0</v>
      </c>
      <c r="O57" s="15">
        <f t="shared" si="0"/>
        <v>30</v>
      </c>
      <c r="P57" s="15">
        <f t="shared" si="1"/>
        <v>76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378</v>
      </c>
      <c r="D58" s="16">
        <f t="shared" si="21"/>
        <v>87</v>
      </c>
      <c r="E58" s="16">
        <f t="shared" si="21"/>
        <v>289</v>
      </c>
      <c r="F58" s="16">
        <f t="shared" si="21"/>
        <v>610</v>
      </c>
      <c r="G58" s="16">
        <f t="shared" si="21"/>
        <v>96</v>
      </c>
      <c r="H58" s="16">
        <f t="shared" si="21"/>
        <v>7</v>
      </c>
      <c r="I58" s="16">
        <f t="shared" si="21"/>
        <v>157</v>
      </c>
      <c r="J58" s="16">
        <f t="shared" si="21"/>
        <v>21</v>
      </c>
      <c r="K58" s="16">
        <f t="shared" si="21"/>
        <v>0</v>
      </c>
      <c r="L58" s="16">
        <f t="shared" si="21"/>
        <v>0</v>
      </c>
      <c r="M58" s="16">
        <f t="shared" si="21"/>
        <v>1913</v>
      </c>
      <c r="N58" s="16">
        <f t="shared" si="21"/>
        <v>2</v>
      </c>
      <c r="O58" s="16">
        <f t="shared" si="21"/>
        <v>1647</v>
      </c>
      <c r="P58" s="16">
        <f t="shared" si="21"/>
        <v>3560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0.10617977528089888</v>
      </c>
      <c r="D59" s="43">
        <f t="shared" si="22"/>
        <v>2.443820224719101E-2</v>
      </c>
      <c r="E59" s="43">
        <f t="shared" si="22"/>
        <v>8.1179775280898883E-2</v>
      </c>
      <c r="F59" s="43">
        <f t="shared" si="22"/>
        <v>0.17134831460674158</v>
      </c>
      <c r="G59" s="43">
        <f t="shared" si="22"/>
        <v>2.6966292134831461E-2</v>
      </c>
      <c r="H59" s="43">
        <f t="shared" si="22"/>
        <v>1.9662921348314608E-3</v>
      </c>
      <c r="I59" s="43">
        <f t="shared" si="22"/>
        <v>4.4101123595505616E-2</v>
      </c>
      <c r="J59" s="43">
        <f t="shared" si="22"/>
        <v>5.8988764044943824E-3</v>
      </c>
      <c r="K59" s="43">
        <f t="shared" si="22"/>
        <v>0</v>
      </c>
      <c r="L59" s="43">
        <f t="shared" si="22"/>
        <v>0</v>
      </c>
      <c r="M59" s="43">
        <f t="shared" si="22"/>
        <v>0.53735955056179774</v>
      </c>
      <c r="N59" s="43">
        <f t="shared" si="22"/>
        <v>5.6179775280898881E-4</v>
      </c>
      <c r="R59" s="8"/>
      <c r="T59"/>
    </row>
    <row r="60" spans="2:20" ht="23.1" customHeight="1" x14ac:dyDescent="0.25">
      <c r="B60" s="42" t="s">
        <v>94</v>
      </c>
      <c r="C60" s="44">
        <f>C58/$O$58</f>
        <v>0.22950819672131148</v>
      </c>
      <c r="D60" s="44">
        <f t="shared" ref="D60:N60" si="23">D58/$O$58</f>
        <v>5.2823315118397086E-2</v>
      </c>
      <c r="E60" s="44">
        <f t="shared" si="23"/>
        <v>0.17547055251973284</v>
      </c>
      <c r="F60" s="44">
        <f t="shared" si="23"/>
        <v>0.37037037037037035</v>
      </c>
      <c r="G60" s="44">
        <f t="shared" si="23"/>
        <v>5.8287795992714025E-2</v>
      </c>
      <c r="H60" s="44">
        <f t="shared" si="23"/>
        <v>4.2501517911353974E-3</v>
      </c>
      <c r="I60" s="44">
        <f t="shared" si="23"/>
        <v>9.532483302975106E-2</v>
      </c>
      <c r="J60" s="44">
        <f t="shared" si="23"/>
        <v>1.2750455373406194E-2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1.2143290831815423E-3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O6" sqref="O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Buwenge-Jinja'!C3:G3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3" t="str">
        <f>'12.08 Buwenge-Jinja'!G5:H5</f>
        <v>xxx</v>
      </c>
      <c r="H5" s="64"/>
      <c r="I5" s="14"/>
      <c r="J5" s="2" t="s">
        <v>5</v>
      </c>
      <c r="K5" s="63" t="str">
        <f>'12.08 Buwenge-Jinja'!K5:L5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Buwenge-Jinja'!D6:E6</f>
        <v>Buwenge</v>
      </c>
      <c r="E6" s="64"/>
      <c r="F6" s="2" t="s">
        <v>2</v>
      </c>
      <c r="G6" s="63" t="str">
        <f>'12.08 Buwenge-Jinja'!G6:H6</f>
        <v>Jinja</v>
      </c>
      <c r="H6" s="64"/>
      <c r="J6" s="2" t="s">
        <v>21</v>
      </c>
      <c r="K6" s="63" t="str">
        <f>'12.08 Buwenge-Jinja'!K6:L6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0</v>
      </c>
      <c r="E10" s="50">
        <v>0</v>
      </c>
      <c r="F10" s="50">
        <v>11</v>
      </c>
      <c r="G10" s="50">
        <v>5</v>
      </c>
      <c r="H10" s="50">
        <v>0</v>
      </c>
      <c r="I10" s="50">
        <v>1</v>
      </c>
      <c r="J10" s="50">
        <v>0</v>
      </c>
      <c r="K10" s="50">
        <v>0</v>
      </c>
      <c r="L10" s="50">
        <f>SUM('[1]RD4 MCC'!R150:U150)</f>
        <v>0</v>
      </c>
      <c r="M10" s="50">
        <v>41</v>
      </c>
      <c r="N10" s="50">
        <v>0</v>
      </c>
      <c r="O10" s="15">
        <f t="shared" ref="O10:O57" si="0">SUM(C10:L10,N10)</f>
        <v>22</v>
      </c>
      <c r="P10" s="15">
        <f t="shared" ref="P10:P57" si="1">SUM(C10:N10)</f>
        <v>63</v>
      </c>
      <c r="R10" s="1" t="s">
        <v>6</v>
      </c>
      <c r="S10" s="17">
        <f t="shared" ref="S10:AF10" si="2">SUM(C10:C13)</f>
        <v>12</v>
      </c>
      <c r="T10" s="17">
        <f t="shared" si="2"/>
        <v>0</v>
      </c>
      <c r="U10" s="17">
        <f t="shared" si="2"/>
        <v>3</v>
      </c>
      <c r="V10" s="17">
        <f t="shared" si="2"/>
        <v>36</v>
      </c>
      <c r="W10" s="17">
        <f t="shared" si="2"/>
        <v>17</v>
      </c>
      <c r="X10" s="17">
        <f t="shared" si="2"/>
        <v>1</v>
      </c>
      <c r="Y10" s="17">
        <f t="shared" si="2"/>
        <v>8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207</v>
      </c>
      <c r="AD10" s="17">
        <f t="shared" si="2"/>
        <v>0</v>
      </c>
      <c r="AE10" s="31">
        <f t="shared" si="2"/>
        <v>77</v>
      </c>
      <c r="AF10" s="31">
        <f t="shared" si="2"/>
        <v>284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1</v>
      </c>
      <c r="F11" s="50">
        <v>6</v>
      </c>
      <c r="G11" s="50">
        <v>3</v>
      </c>
      <c r="H11" s="50">
        <v>0</v>
      </c>
      <c r="I11" s="50">
        <v>4</v>
      </c>
      <c r="J11" s="50">
        <v>0</v>
      </c>
      <c r="K11" s="50">
        <v>0</v>
      </c>
      <c r="L11" s="50">
        <f>SUM('[1]RD4 MCC'!R151:U151)</f>
        <v>0</v>
      </c>
      <c r="M11" s="50">
        <v>60</v>
      </c>
      <c r="N11" s="50">
        <v>0</v>
      </c>
      <c r="O11" s="15">
        <f t="shared" si="0"/>
        <v>17</v>
      </c>
      <c r="P11" s="15">
        <f t="shared" si="1"/>
        <v>77</v>
      </c>
      <c r="R11" s="1" t="s">
        <v>7</v>
      </c>
      <c r="S11" s="17">
        <f t="shared" ref="S11:AF11" si="3">SUM(C14:C17)</f>
        <v>25</v>
      </c>
      <c r="T11" s="17">
        <f t="shared" si="3"/>
        <v>1</v>
      </c>
      <c r="U11" s="17">
        <f t="shared" si="3"/>
        <v>9</v>
      </c>
      <c r="V11" s="17">
        <f t="shared" si="3"/>
        <v>43</v>
      </c>
      <c r="W11" s="17">
        <f t="shared" si="3"/>
        <v>11</v>
      </c>
      <c r="X11" s="17">
        <f t="shared" si="3"/>
        <v>2</v>
      </c>
      <c r="Y11" s="17">
        <f t="shared" si="3"/>
        <v>8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227</v>
      </c>
      <c r="AD11" s="17">
        <f t="shared" si="3"/>
        <v>0</v>
      </c>
      <c r="AE11" s="31">
        <f t="shared" si="3"/>
        <v>99</v>
      </c>
      <c r="AF11" s="31">
        <f t="shared" si="3"/>
        <v>326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2</v>
      </c>
      <c r="F12" s="50">
        <v>11</v>
      </c>
      <c r="G12" s="50">
        <v>6</v>
      </c>
      <c r="H12" s="50">
        <v>1</v>
      </c>
      <c r="I12" s="50">
        <v>2</v>
      </c>
      <c r="J12" s="50">
        <v>0</v>
      </c>
      <c r="K12" s="50">
        <v>0</v>
      </c>
      <c r="L12" s="50">
        <f>SUM('[1]RD4 MCC'!R152:U152)</f>
        <v>0</v>
      </c>
      <c r="M12" s="50">
        <v>58</v>
      </c>
      <c r="N12" s="50">
        <v>0</v>
      </c>
      <c r="O12" s="15">
        <f t="shared" si="0"/>
        <v>23</v>
      </c>
      <c r="P12" s="15">
        <f t="shared" si="1"/>
        <v>81</v>
      </c>
      <c r="R12" s="1" t="s">
        <v>8</v>
      </c>
      <c r="S12" s="17">
        <f t="shared" ref="S12:AF12" si="4">SUM(C18:C21)</f>
        <v>11</v>
      </c>
      <c r="T12" s="17">
        <f t="shared" si="4"/>
        <v>1</v>
      </c>
      <c r="U12" s="17">
        <f t="shared" si="4"/>
        <v>10</v>
      </c>
      <c r="V12" s="17">
        <f t="shared" si="4"/>
        <v>50</v>
      </c>
      <c r="W12" s="17">
        <f t="shared" si="4"/>
        <v>5</v>
      </c>
      <c r="X12" s="17">
        <f t="shared" si="4"/>
        <v>1</v>
      </c>
      <c r="Y12" s="17">
        <f t="shared" si="4"/>
        <v>14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180</v>
      </c>
      <c r="AD12" s="17">
        <f t="shared" si="4"/>
        <v>0</v>
      </c>
      <c r="AE12" s="31">
        <f t="shared" si="4"/>
        <v>95</v>
      </c>
      <c r="AF12" s="31">
        <f t="shared" si="4"/>
        <v>275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0</v>
      </c>
      <c r="F13" s="50">
        <v>8</v>
      </c>
      <c r="G13" s="50">
        <v>3</v>
      </c>
      <c r="H13" s="50">
        <v>0</v>
      </c>
      <c r="I13" s="50">
        <v>1</v>
      </c>
      <c r="J13" s="50">
        <v>0</v>
      </c>
      <c r="K13" s="50">
        <v>0</v>
      </c>
      <c r="L13" s="50">
        <f>SUM('[1]RD4 MCC'!R153:U153)</f>
        <v>0</v>
      </c>
      <c r="M13" s="50">
        <v>48</v>
      </c>
      <c r="N13" s="50">
        <v>0</v>
      </c>
      <c r="O13" s="15">
        <f t="shared" si="0"/>
        <v>15</v>
      </c>
      <c r="P13" s="15">
        <f t="shared" si="1"/>
        <v>63</v>
      </c>
      <c r="R13" s="1" t="s">
        <v>9</v>
      </c>
      <c r="S13" s="17">
        <f t="shared" ref="S13:AF13" si="5">SUM(C22:C25)</f>
        <v>23</v>
      </c>
      <c r="T13" s="17">
        <f t="shared" si="5"/>
        <v>1</v>
      </c>
      <c r="U13" s="17">
        <f t="shared" si="5"/>
        <v>7</v>
      </c>
      <c r="V13" s="17">
        <f t="shared" si="5"/>
        <v>48</v>
      </c>
      <c r="W13" s="17">
        <f t="shared" si="5"/>
        <v>1</v>
      </c>
      <c r="X13" s="17">
        <f t="shared" si="5"/>
        <v>0</v>
      </c>
      <c r="Y13" s="17">
        <f t="shared" si="5"/>
        <v>5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168</v>
      </c>
      <c r="AD13" s="17">
        <f t="shared" si="5"/>
        <v>0</v>
      </c>
      <c r="AE13" s="31">
        <f t="shared" si="5"/>
        <v>86</v>
      </c>
      <c r="AF13" s="31">
        <f t="shared" si="5"/>
        <v>254</v>
      </c>
    </row>
    <row r="14" spans="2:32" ht="23.1" customHeight="1" x14ac:dyDescent="0.25">
      <c r="B14" s="23" t="s">
        <v>41</v>
      </c>
      <c r="C14" s="50">
        <v>6</v>
      </c>
      <c r="D14" s="50">
        <v>0</v>
      </c>
      <c r="E14" s="50">
        <v>2</v>
      </c>
      <c r="F14" s="50">
        <v>9</v>
      </c>
      <c r="G14" s="50">
        <v>4</v>
      </c>
      <c r="H14" s="50">
        <v>1</v>
      </c>
      <c r="I14" s="50">
        <v>1</v>
      </c>
      <c r="J14" s="50">
        <v>0</v>
      </c>
      <c r="K14" s="50">
        <v>0</v>
      </c>
      <c r="L14" s="50">
        <f>SUM('[1]RD4 MCC'!R154:U154)</f>
        <v>0</v>
      </c>
      <c r="M14" s="50">
        <v>47</v>
      </c>
      <c r="N14" s="50">
        <v>0</v>
      </c>
      <c r="O14" s="15">
        <f t="shared" si="0"/>
        <v>23</v>
      </c>
      <c r="P14" s="15">
        <f t="shared" si="1"/>
        <v>70</v>
      </c>
      <c r="R14" s="1" t="s">
        <v>10</v>
      </c>
      <c r="S14" s="17">
        <f t="shared" ref="S14:AF14" si="6">SUM(C26:C29)</f>
        <v>18</v>
      </c>
      <c r="T14" s="17">
        <f t="shared" si="6"/>
        <v>1</v>
      </c>
      <c r="U14" s="17">
        <f t="shared" si="6"/>
        <v>7</v>
      </c>
      <c r="V14" s="17">
        <f t="shared" si="6"/>
        <v>35</v>
      </c>
      <c r="W14" s="17">
        <f t="shared" si="6"/>
        <v>0</v>
      </c>
      <c r="X14" s="17">
        <f t="shared" si="6"/>
        <v>1</v>
      </c>
      <c r="Y14" s="17">
        <f t="shared" si="6"/>
        <v>10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152</v>
      </c>
      <c r="AD14" s="17">
        <f t="shared" si="6"/>
        <v>0</v>
      </c>
      <c r="AE14" s="31">
        <f t="shared" si="6"/>
        <v>75</v>
      </c>
      <c r="AF14" s="31">
        <f t="shared" si="6"/>
        <v>227</v>
      </c>
    </row>
    <row r="15" spans="2:32" ht="23.1" customHeight="1" x14ac:dyDescent="0.25">
      <c r="B15" s="23" t="s">
        <v>42</v>
      </c>
      <c r="C15" s="50">
        <v>8</v>
      </c>
      <c r="D15" s="50">
        <v>0</v>
      </c>
      <c r="E15" s="50">
        <v>2</v>
      </c>
      <c r="F15" s="50">
        <v>8</v>
      </c>
      <c r="G15" s="50">
        <v>2</v>
      </c>
      <c r="H15" s="50">
        <v>0</v>
      </c>
      <c r="I15" s="50">
        <v>2</v>
      </c>
      <c r="J15" s="50">
        <v>0</v>
      </c>
      <c r="K15" s="50">
        <v>0</v>
      </c>
      <c r="L15" s="50">
        <f>SUM('[1]RD4 MCC'!R155:U155)</f>
        <v>0</v>
      </c>
      <c r="M15" s="50">
        <v>72</v>
      </c>
      <c r="N15" s="50">
        <v>0</v>
      </c>
      <c r="O15" s="15">
        <f t="shared" si="0"/>
        <v>22</v>
      </c>
      <c r="P15" s="15">
        <f t="shared" si="1"/>
        <v>94</v>
      </c>
      <c r="R15" s="1" t="s">
        <v>11</v>
      </c>
      <c r="S15" s="17">
        <f t="shared" ref="S15:AF15" si="7">SUM(C30:C33)</f>
        <v>20</v>
      </c>
      <c r="T15" s="17">
        <f t="shared" si="7"/>
        <v>1</v>
      </c>
      <c r="U15" s="17">
        <f t="shared" si="7"/>
        <v>12</v>
      </c>
      <c r="V15" s="17">
        <f t="shared" si="7"/>
        <v>31</v>
      </c>
      <c r="W15" s="17">
        <f t="shared" si="7"/>
        <v>2</v>
      </c>
      <c r="X15" s="17">
        <f t="shared" si="7"/>
        <v>0</v>
      </c>
      <c r="Y15" s="17">
        <f t="shared" si="7"/>
        <v>9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142</v>
      </c>
      <c r="AD15" s="17">
        <f t="shared" si="7"/>
        <v>0</v>
      </c>
      <c r="AE15" s="31">
        <f t="shared" si="7"/>
        <v>75</v>
      </c>
      <c r="AF15" s="31">
        <f t="shared" si="7"/>
        <v>217</v>
      </c>
    </row>
    <row r="16" spans="2:32" ht="23.1" customHeight="1" x14ac:dyDescent="0.25">
      <c r="B16" s="23" t="s">
        <v>43</v>
      </c>
      <c r="C16" s="50">
        <v>6</v>
      </c>
      <c r="D16" s="50">
        <v>1</v>
      </c>
      <c r="E16" s="50">
        <v>3</v>
      </c>
      <c r="F16" s="50">
        <v>13</v>
      </c>
      <c r="G16" s="50">
        <v>2</v>
      </c>
      <c r="H16" s="50">
        <v>0</v>
      </c>
      <c r="I16" s="50">
        <v>1</v>
      </c>
      <c r="J16" s="50">
        <v>0</v>
      </c>
      <c r="K16" s="50">
        <v>0</v>
      </c>
      <c r="L16" s="50">
        <f>SUM('[1]RD4 MCC'!R156:U156)</f>
        <v>0</v>
      </c>
      <c r="M16" s="50">
        <v>55</v>
      </c>
      <c r="N16" s="50">
        <v>0</v>
      </c>
      <c r="O16" s="15">
        <f t="shared" si="0"/>
        <v>26</v>
      </c>
      <c r="P16" s="15">
        <f t="shared" si="1"/>
        <v>81</v>
      </c>
      <c r="R16" s="1" t="s">
        <v>12</v>
      </c>
      <c r="S16" s="17">
        <f t="shared" ref="S16:AF16" si="8">SUM(C34:C37)</f>
        <v>11</v>
      </c>
      <c r="T16" s="17">
        <f t="shared" si="8"/>
        <v>2</v>
      </c>
      <c r="U16" s="17">
        <f t="shared" si="8"/>
        <v>9</v>
      </c>
      <c r="V16" s="17">
        <f t="shared" si="8"/>
        <v>34</v>
      </c>
      <c r="W16" s="17">
        <f t="shared" si="8"/>
        <v>8</v>
      </c>
      <c r="X16" s="17">
        <f t="shared" si="8"/>
        <v>0</v>
      </c>
      <c r="Y16" s="17">
        <f t="shared" si="8"/>
        <v>16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134</v>
      </c>
      <c r="AD16" s="17">
        <f t="shared" si="8"/>
        <v>0</v>
      </c>
      <c r="AE16" s="31">
        <f t="shared" si="8"/>
        <v>82</v>
      </c>
      <c r="AF16" s="31">
        <f t="shared" si="8"/>
        <v>216</v>
      </c>
    </row>
    <row r="17" spans="2:32" ht="23.1" customHeight="1" x14ac:dyDescent="0.25">
      <c r="B17" s="23" t="s">
        <v>44</v>
      </c>
      <c r="C17" s="50">
        <v>5</v>
      </c>
      <c r="D17" s="50">
        <v>0</v>
      </c>
      <c r="E17" s="50">
        <v>2</v>
      </c>
      <c r="F17" s="50">
        <v>13</v>
      </c>
      <c r="G17" s="50">
        <v>3</v>
      </c>
      <c r="H17" s="50">
        <v>1</v>
      </c>
      <c r="I17" s="50">
        <v>4</v>
      </c>
      <c r="J17" s="50">
        <v>0</v>
      </c>
      <c r="K17" s="50">
        <v>0</v>
      </c>
      <c r="L17" s="50">
        <f>SUM('[1]RD4 MCC'!R157:U157)</f>
        <v>0</v>
      </c>
      <c r="M17" s="50">
        <v>53</v>
      </c>
      <c r="N17" s="50">
        <v>0</v>
      </c>
      <c r="O17" s="15">
        <f t="shared" si="0"/>
        <v>28</v>
      </c>
      <c r="P17" s="15">
        <f t="shared" si="1"/>
        <v>81</v>
      </c>
      <c r="R17" s="1" t="s">
        <v>13</v>
      </c>
      <c r="S17" s="17">
        <f t="shared" ref="S17:AF17" si="9">SUM(C38:C41)</f>
        <v>20</v>
      </c>
      <c r="T17" s="17">
        <f t="shared" si="9"/>
        <v>3</v>
      </c>
      <c r="U17" s="17">
        <f t="shared" si="9"/>
        <v>14</v>
      </c>
      <c r="V17" s="17">
        <f t="shared" si="9"/>
        <v>30</v>
      </c>
      <c r="W17" s="17">
        <f t="shared" si="9"/>
        <v>1</v>
      </c>
      <c r="X17" s="17">
        <f t="shared" si="9"/>
        <v>0</v>
      </c>
      <c r="Y17" s="17">
        <f t="shared" si="9"/>
        <v>14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142</v>
      </c>
      <c r="AD17" s="17">
        <f t="shared" si="9"/>
        <v>1</v>
      </c>
      <c r="AE17" s="31">
        <f t="shared" si="9"/>
        <v>84</v>
      </c>
      <c r="AF17" s="31">
        <f t="shared" si="9"/>
        <v>226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2</v>
      </c>
      <c r="F18" s="50">
        <v>15</v>
      </c>
      <c r="G18" s="50">
        <v>3</v>
      </c>
      <c r="H18" s="50">
        <v>0</v>
      </c>
      <c r="I18" s="50">
        <v>3</v>
      </c>
      <c r="J18" s="50">
        <v>1</v>
      </c>
      <c r="K18" s="50">
        <v>0</v>
      </c>
      <c r="L18" s="50">
        <f>SUM('[1]RD4 MCC'!R158:U158)</f>
        <v>0</v>
      </c>
      <c r="M18" s="50">
        <v>40</v>
      </c>
      <c r="N18" s="50">
        <v>0</v>
      </c>
      <c r="O18" s="15">
        <f t="shared" si="0"/>
        <v>27</v>
      </c>
      <c r="P18" s="15">
        <f t="shared" si="1"/>
        <v>67</v>
      </c>
      <c r="R18" s="1" t="s">
        <v>14</v>
      </c>
      <c r="S18" s="17">
        <f t="shared" ref="S18:AF18" si="10">SUM(C42:C45)</f>
        <v>17</v>
      </c>
      <c r="T18" s="17">
        <f t="shared" si="10"/>
        <v>2</v>
      </c>
      <c r="U18" s="17">
        <f t="shared" si="10"/>
        <v>11</v>
      </c>
      <c r="V18" s="17">
        <f t="shared" si="10"/>
        <v>38</v>
      </c>
      <c r="W18" s="17">
        <f t="shared" si="10"/>
        <v>3</v>
      </c>
      <c r="X18" s="17">
        <f t="shared" si="10"/>
        <v>0</v>
      </c>
      <c r="Y18" s="17">
        <f t="shared" si="10"/>
        <v>17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135</v>
      </c>
      <c r="AD18" s="17">
        <f t="shared" si="10"/>
        <v>0</v>
      </c>
      <c r="AE18" s="31">
        <f t="shared" si="10"/>
        <v>90</v>
      </c>
      <c r="AF18" s="31">
        <f t="shared" si="10"/>
        <v>225</v>
      </c>
    </row>
    <row r="19" spans="2:32" ht="23.1" customHeight="1" x14ac:dyDescent="0.25">
      <c r="B19" s="23" t="s">
        <v>46</v>
      </c>
      <c r="C19" s="50">
        <v>3</v>
      </c>
      <c r="D19" s="50">
        <v>0</v>
      </c>
      <c r="E19" s="50">
        <v>2</v>
      </c>
      <c r="F19" s="50">
        <v>13</v>
      </c>
      <c r="G19" s="50">
        <v>1</v>
      </c>
      <c r="H19" s="50">
        <v>0</v>
      </c>
      <c r="I19" s="50">
        <v>5</v>
      </c>
      <c r="J19" s="50">
        <v>0</v>
      </c>
      <c r="K19" s="50">
        <v>0</v>
      </c>
      <c r="L19" s="50">
        <f>SUM('[1]RD4 MCC'!R159:U159)</f>
        <v>0</v>
      </c>
      <c r="M19" s="50">
        <v>29</v>
      </c>
      <c r="N19" s="50">
        <v>0</v>
      </c>
      <c r="O19" s="15">
        <f t="shared" si="0"/>
        <v>24</v>
      </c>
      <c r="P19" s="15">
        <f t="shared" si="1"/>
        <v>53</v>
      </c>
      <c r="R19" s="1" t="s">
        <v>15</v>
      </c>
      <c r="S19" s="17">
        <f t="shared" ref="S19:AF19" si="11">SUM(C46:C49)</f>
        <v>22</v>
      </c>
      <c r="T19" s="17">
        <f t="shared" si="11"/>
        <v>1</v>
      </c>
      <c r="U19" s="17">
        <f t="shared" si="11"/>
        <v>9</v>
      </c>
      <c r="V19" s="17">
        <f t="shared" si="11"/>
        <v>41</v>
      </c>
      <c r="W19" s="17">
        <f t="shared" si="11"/>
        <v>7</v>
      </c>
      <c r="X19" s="17">
        <f t="shared" si="11"/>
        <v>0</v>
      </c>
      <c r="Y19" s="17">
        <f t="shared" si="11"/>
        <v>17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136</v>
      </c>
      <c r="AD19" s="17">
        <f t="shared" si="11"/>
        <v>0</v>
      </c>
      <c r="AE19" s="31">
        <f t="shared" si="11"/>
        <v>98</v>
      </c>
      <c r="AF19" s="31">
        <f t="shared" si="11"/>
        <v>234</v>
      </c>
    </row>
    <row r="20" spans="2:32" ht="23.1" customHeight="1" x14ac:dyDescent="0.25">
      <c r="B20" s="23" t="s">
        <v>47</v>
      </c>
      <c r="C20" s="50">
        <v>1</v>
      </c>
      <c r="D20" s="50">
        <v>1</v>
      </c>
      <c r="E20" s="50">
        <v>4</v>
      </c>
      <c r="F20" s="50">
        <v>14</v>
      </c>
      <c r="G20" s="50">
        <v>0</v>
      </c>
      <c r="H20" s="50">
        <v>1</v>
      </c>
      <c r="I20" s="50">
        <v>5</v>
      </c>
      <c r="J20" s="50">
        <v>0</v>
      </c>
      <c r="K20" s="50">
        <v>0</v>
      </c>
      <c r="L20" s="50">
        <f>SUM('[1]RD4 MCC'!R160:U160)</f>
        <v>0</v>
      </c>
      <c r="M20" s="50">
        <v>52</v>
      </c>
      <c r="N20" s="50">
        <v>0</v>
      </c>
      <c r="O20" s="15">
        <f t="shared" si="0"/>
        <v>26</v>
      </c>
      <c r="P20" s="15">
        <f t="shared" si="1"/>
        <v>78</v>
      </c>
      <c r="R20" s="1" t="s">
        <v>16</v>
      </c>
      <c r="S20" s="17">
        <f t="shared" ref="S20:AF20" si="12">SUM(C50:C53)</f>
        <v>22</v>
      </c>
      <c r="T20" s="17">
        <f t="shared" si="12"/>
        <v>3</v>
      </c>
      <c r="U20" s="17">
        <f t="shared" si="12"/>
        <v>15</v>
      </c>
      <c r="V20" s="17">
        <f t="shared" si="12"/>
        <v>34</v>
      </c>
      <c r="W20" s="17">
        <f t="shared" si="12"/>
        <v>4</v>
      </c>
      <c r="X20" s="17">
        <f t="shared" si="12"/>
        <v>0</v>
      </c>
      <c r="Y20" s="17">
        <f t="shared" si="12"/>
        <v>21</v>
      </c>
      <c r="Z20" s="17">
        <f t="shared" si="12"/>
        <v>0</v>
      </c>
      <c r="AA20" s="17">
        <f t="shared" si="12"/>
        <v>1</v>
      </c>
      <c r="AB20" s="17">
        <f t="shared" si="12"/>
        <v>0</v>
      </c>
      <c r="AC20" s="17">
        <f t="shared" si="12"/>
        <v>192</v>
      </c>
      <c r="AD20" s="17">
        <f t="shared" si="12"/>
        <v>0</v>
      </c>
      <c r="AE20" s="31">
        <f t="shared" si="12"/>
        <v>100</v>
      </c>
      <c r="AF20" s="31">
        <f t="shared" si="12"/>
        <v>292</v>
      </c>
    </row>
    <row r="21" spans="2:32" ht="23.1" customHeight="1" x14ac:dyDescent="0.25">
      <c r="B21" s="23" t="s">
        <v>48</v>
      </c>
      <c r="C21" s="50">
        <v>4</v>
      </c>
      <c r="D21" s="50">
        <v>0</v>
      </c>
      <c r="E21" s="50">
        <v>2</v>
      </c>
      <c r="F21" s="50">
        <v>8</v>
      </c>
      <c r="G21" s="50">
        <v>1</v>
      </c>
      <c r="H21" s="50">
        <v>0</v>
      </c>
      <c r="I21" s="50">
        <v>1</v>
      </c>
      <c r="J21" s="50">
        <v>2</v>
      </c>
      <c r="K21" s="50">
        <v>0</v>
      </c>
      <c r="L21" s="50">
        <f>SUM('[1]RD4 MCC'!R161:U161)</f>
        <v>0</v>
      </c>
      <c r="M21" s="50">
        <v>59</v>
      </c>
      <c r="N21" s="50">
        <v>0</v>
      </c>
      <c r="O21" s="15">
        <f t="shared" si="0"/>
        <v>18</v>
      </c>
      <c r="P21" s="15">
        <f t="shared" si="1"/>
        <v>77</v>
      </c>
      <c r="R21" s="36" t="s">
        <v>20</v>
      </c>
      <c r="S21" s="34">
        <f t="shared" ref="S21:AF21" si="13">SUM(C54:C57)</f>
        <v>28</v>
      </c>
      <c r="T21" s="17">
        <f t="shared" si="13"/>
        <v>7</v>
      </c>
      <c r="U21" s="17">
        <f t="shared" si="13"/>
        <v>23</v>
      </c>
      <c r="V21" s="17">
        <f t="shared" si="13"/>
        <v>52</v>
      </c>
      <c r="W21" s="17">
        <f t="shared" si="13"/>
        <v>13</v>
      </c>
      <c r="X21" s="17">
        <f t="shared" si="13"/>
        <v>0</v>
      </c>
      <c r="Y21" s="17">
        <f t="shared" si="13"/>
        <v>26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146</v>
      </c>
      <c r="AD21" s="17">
        <f t="shared" si="13"/>
        <v>0</v>
      </c>
      <c r="AE21" s="31">
        <f t="shared" si="13"/>
        <v>152</v>
      </c>
      <c r="AF21" s="31">
        <f t="shared" si="13"/>
        <v>298</v>
      </c>
    </row>
    <row r="22" spans="2:32" ht="23.1" customHeight="1" x14ac:dyDescent="0.25">
      <c r="B22" s="23" t="s">
        <v>49</v>
      </c>
      <c r="C22" s="50">
        <v>7</v>
      </c>
      <c r="D22" s="50">
        <v>1</v>
      </c>
      <c r="E22" s="50">
        <v>4</v>
      </c>
      <c r="F22" s="50">
        <v>11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f>SUM('[1]RD4 MCC'!R162:U162)</f>
        <v>0</v>
      </c>
      <c r="M22" s="50">
        <v>40</v>
      </c>
      <c r="N22" s="50">
        <v>0</v>
      </c>
      <c r="O22" s="15">
        <f t="shared" si="0"/>
        <v>23</v>
      </c>
      <c r="P22" s="15">
        <f t="shared" si="1"/>
        <v>63</v>
      </c>
      <c r="R22" s="38" t="s">
        <v>90</v>
      </c>
      <c r="S22" s="39">
        <f>MAX(S10:S12)</f>
        <v>25</v>
      </c>
      <c r="T22" s="39">
        <f t="shared" ref="T22:AF22" si="14">MAX(T10:T12)</f>
        <v>1</v>
      </c>
      <c r="U22" s="39">
        <f t="shared" si="14"/>
        <v>10</v>
      </c>
      <c r="V22" s="39">
        <f t="shared" si="14"/>
        <v>50</v>
      </c>
      <c r="W22" s="39">
        <f t="shared" si="14"/>
        <v>17</v>
      </c>
      <c r="X22" s="39">
        <f t="shared" si="14"/>
        <v>2</v>
      </c>
      <c r="Y22" s="39">
        <f t="shared" si="14"/>
        <v>14</v>
      </c>
      <c r="Z22" s="39">
        <f t="shared" si="14"/>
        <v>3</v>
      </c>
      <c r="AA22" s="39">
        <f t="shared" si="14"/>
        <v>0</v>
      </c>
      <c r="AB22" s="39">
        <f t="shared" si="14"/>
        <v>0</v>
      </c>
      <c r="AC22" s="39">
        <f t="shared" si="14"/>
        <v>227</v>
      </c>
      <c r="AD22" s="39">
        <f t="shared" si="14"/>
        <v>0</v>
      </c>
      <c r="AE22" s="40">
        <f t="shared" si="14"/>
        <v>99</v>
      </c>
      <c r="AF22" s="40">
        <f t="shared" si="14"/>
        <v>326</v>
      </c>
    </row>
    <row r="23" spans="2:32" ht="23.1" customHeight="1" x14ac:dyDescent="0.25">
      <c r="B23" s="23" t="s">
        <v>50</v>
      </c>
      <c r="C23" s="50">
        <v>6</v>
      </c>
      <c r="D23" s="50">
        <v>0</v>
      </c>
      <c r="E23" s="50">
        <v>2</v>
      </c>
      <c r="F23" s="50">
        <v>12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f>SUM('[1]RD4 MCC'!R163:U163)</f>
        <v>0</v>
      </c>
      <c r="M23" s="50">
        <v>39</v>
      </c>
      <c r="N23" s="50">
        <v>0</v>
      </c>
      <c r="O23" s="15">
        <f t="shared" si="0"/>
        <v>22</v>
      </c>
      <c r="P23" s="15">
        <f t="shared" si="1"/>
        <v>61</v>
      </c>
      <c r="R23" s="38" t="s">
        <v>91</v>
      </c>
      <c r="S23" s="39">
        <f>MAX(S13:S18)</f>
        <v>23</v>
      </c>
      <c r="T23" s="39">
        <f t="shared" ref="T23:AF23" si="15">MAX(T13:T18)</f>
        <v>3</v>
      </c>
      <c r="U23" s="39">
        <f t="shared" si="15"/>
        <v>14</v>
      </c>
      <c r="V23" s="39">
        <f t="shared" si="15"/>
        <v>48</v>
      </c>
      <c r="W23" s="39">
        <f t="shared" si="15"/>
        <v>8</v>
      </c>
      <c r="X23" s="39">
        <f t="shared" si="15"/>
        <v>1</v>
      </c>
      <c r="Y23" s="39">
        <f t="shared" si="15"/>
        <v>17</v>
      </c>
      <c r="Z23" s="39">
        <f t="shared" si="15"/>
        <v>3</v>
      </c>
      <c r="AA23" s="39">
        <f t="shared" si="15"/>
        <v>1</v>
      </c>
      <c r="AB23" s="39">
        <f t="shared" si="15"/>
        <v>0</v>
      </c>
      <c r="AC23" s="39">
        <f t="shared" si="15"/>
        <v>168</v>
      </c>
      <c r="AD23" s="39">
        <f t="shared" si="15"/>
        <v>1</v>
      </c>
      <c r="AE23" s="40">
        <f t="shared" si="15"/>
        <v>90</v>
      </c>
      <c r="AF23" s="40">
        <f t="shared" si="15"/>
        <v>254</v>
      </c>
    </row>
    <row r="24" spans="2:32" ht="23.1" customHeight="1" x14ac:dyDescent="0.25">
      <c r="B24" s="23" t="s">
        <v>51</v>
      </c>
      <c r="C24" s="50">
        <v>5</v>
      </c>
      <c r="D24" s="50">
        <v>0</v>
      </c>
      <c r="E24" s="50">
        <v>1</v>
      </c>
      <c r="F24" s="50">
        <v>8</v>
      </c>
      <c r="G24" s="50">
        <v>1</v>
      </c>
      <c r="H24" s="50">
        <v>0</v>
      </c>
      <c r="I24" s="50">
        <v>2</v>
      </c>
      <c r="J24" s="50">
        <v>1</v>
      </c>
      <c r="K24" s="50">
        <v>0</v>
      </c>
      <c r="L24" s="50">
        <f>SUM('[1]RD4 MCC'!R164:U164)</f>
        <v>0</v>
      </c>
      <c r="M24" s="50">
        <v>38</v>
      </c>
      <c r="N24" s="50">
        <v>0</v>
      </c>
      <c r="O24" s="15">
        <f t="shared" si="0"/>
        <v>18</v>
      </c>
      <c r="P24" s="15">
        <f t="shared" si="1"/>
        <v>56</v>
      </c>
      <c r="R24" s="38" t="s">
        <v>92</v>
      </c>
      <c r="S24" s="39">
        <f>MAX(S19:S21)</f>
        <v>28</v>
      </c>
      <c r="T24" s="39">
        <f t="shared" ref="T24:AF24" si="16">MAX(T19:T21)</f>
        <v>7</v>
      </c>
      <c r="U24" s="39">
        <f t="shared" si="16"/>
        <v>23</v>
      </c>
      <c r="V24" s="39">
        <f t="shared" si="16"/>
        <v>52</v>
      </c>
      <c r="W24" s="39">
        <f t="shared" si="16"/>
        <v>13</v>
      </c>
      <c r="X24" s="39">
        <f t="shared" si="16"/>
        <v>0</v>
      </c>
      <c r="Y24" s="39">
        <f t="shared" si="16"/>
        <v>26</v>
      </c>
      <c r="Z24" s="39">
        <f t="shared" si="16"/>
        <v>3</v>
      </c>
      <c r="AA24" s="39">
        <f t="shared" si="16"/>
        <v>1</v>
      </c>
      <c r="AB24" s="39">
        <f t="shared" si="16"/>
        <v>0</v>
      </c>
      <c r="AC24" s="39">
        <f t="shared" si="16"/>
        <v>192</v>
      </c>
      <c r="AD24" s="39">
        <f t="shared" si="16"/>
        <v>0</v>
      </c>
      <c r="AE24" s="40">
        <f t="shared" si="16"/>
        <v>152</v>
      </c>
      <c r="AF24" s="40">
        <f t="shared" si="16"/>
        <v>298</v>
      </c>
    </row>
    <row r="25" spans="2:32" ht="23.1" customHeight="1" x14ac:dyDescent="0.25">
      <c r="B25" s="23" t="s">
        <v>52</v>
      </c>
      <c r="C25" s="50">
        <v>5</v>
      </c>
      <c r="D25" s="50">
        <v>0</v>
      </c>
      <c r="E25" s="50">
        <v>0</v>
      </c>
      <c r="F25" s="50">
        <v>17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f>SUM('[1]RD4 MCC'!R165:U165)</f>
        <v>0</v>
      </c>
      <c r="M25" s="50">
        <v>51</v>
      </c>
      <c r="N25" s="50">
        <v>0</v>
      </c>
      <c r="O25" s="15">
        <f t="shared" si="0"/>
        <v>23</v>
      </c>
      <c r="P25" s="15">
        <f t="shared" si="1"/>
        <v>74</v>
      </c>
      <c r="R25" s="37" t="s">
        <v>85</v>
      </c>
      <c r="S25" s="35">
        <f t="shared" ref="S25:AF25" si="17">SUM(S10:S12)</f>
        <v>48</v>
      </c>
      <c r="T25" s="16">
        <f t="shared" si="17"/>
        <v>2</v>
      </c>
      <c r="U25" s="16">
        <f t="shared" si="17"/>
        <v>22</v>
      </c>
      <c r="V25" s="16">
        <f t="shared" si="17"/>
        <v>129</v>
      </c>
      <c r="W25" s="16">
        <f t="shared" si="17"/>
        <v>33</v>
      </c>
      <c r="X25" s="16">
        <f t="shared" si="17"/>
        <v>4</v>
      </c>
      <c r="Y25" s="16">
        <f t="shared" si="17"/>
        <v>30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614</v>
      </c>
      <c r="AD25" s="16">
        <f t="shared" si="17"/>
        <v>0</v>
      </c>
      <c r="AE25" s="32">
        <f t="shared" si="17"/>
        <v>271</v>
      </c>
      <c r="AF25" s="32">
        <f t="shared" si="17"/>
        <v>885</v>
      </c>
    </row>
    <row r="26" spans="2:32" ht="23.1" customHeight="1" x14ac:dyDescent="0.25">
      <c r="B26" s="23" t="s">
        <v>53</v>
      </c>
      <c r="C26" s="50">
        <v>4</v>
      </c>
      <c r="D26" s="50">
        <v>1</v>
      </c>
      <c r="E26" s="50">
        <v>3</v>
      </c>
      <c r="F26" s="50">
        <v>15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f>SUM('[1]RD4 MCC'!R166:U166)</f>
        <v>0</v>
      </c>
      <c r="M26" s="50">
        <v>33</v>
      </c>
      <c r="N26" s="50">
        <v>0</v>
      </c>
      <c r="O26" s="15">
        <f t="shared" si="0"/>
        <v>25</v>
      </c>
      <c r="P26" s="15">
        <f t="shared" si="1"/>
        <v>58</v>
      </c>
      <c r="R26" s="28" t="s">
        <v>86</v>
      </c>
      <c r="S26" s="16">
        <f t="shared" ref="S26:AF26" si="18">SUM(S13:S18)</f>
        <v>109</v>
      </c>
      <c r="T26" s="16">
        <f t="shared" si="18"/>
        <v>10</v>
      </c>
      <c r="U26" s="16">
        <f t="shared" si="18"/>
        <v>60</v>
      </c>
      <c r="V26" s="16">
        <f t="shared" si="18"/>
        <v>216</v>
      </c>
      <c r="W26" s="16">
        <f t="shared" si="18"/>
        <v>15</v>
      </c>
      <c r="X26" s="16">
        <f t="shared" si="18"/>
        <v>1</v>
      </c>
      <c r="Y26" s="16">
        <f t="shared" si="18"/>
        <v>71</v>
      </c>
      <c r="Z26" s="16">
        <f t="shared" si="18"/>
        <v>8</v>
      </c>
      <c r="AA26" s="16">
        <f t="shared" si="18"/>
        <v>1</v>
      </c>
      <c r="AB26" s="16">
        <f t="shared" si="18"/>
        <v>0</v>
      </c>
      <c r="AC26" s="16">
        <f t="shared" si="18"/>
        <v>873</v>
      </c>
      <c r="AD26" s="16">
        <f t="shared" si="18"/>
        <v>1</v>
      </c>
      <c r="AE26" s="32">
        <f t="shared" si="18"/>
        <v>492</v>
      </c>
      <c r="AF26" s="32">
        <f t="shared" si="18"/>
        <v>1365</v>
      </c>
    </row>
    <row r="27" spans="2:32" ht="23.1" customHeight="1" x14ac:dyDescent="0.25">
      <c r="B27" s="23" t="s">
        <v>54</v>
      </c>
      <c r="C27" s="50">
        <v>5</v>
      </c>
      <c r="D27" s="50">
        <v>0</v>
      </c>
      <c r="E27" s="50">
        <v>1</v>
      </c>
      <c r="F27" s="50">
        <v>5</v>
      </c>
      <c r="G27" s="50">
        <v>0</v>
      </c>
      <c r="H27" s="50">
        <v>0</v>
      </c>
      <c r="I27" s="50">
        <v>3</v>
      </c>
      <c r="J27" s="50">
        <v>3</v>
      </c>
      <c r="K27" s="50">
        <v>0</v>
      </c>
      <c r="L27" s="50">
        <f>SUM('[1]RD4 MCC'!R167:U167)</f>
        <v>0</v>
      </c>
      <c r="M27" s="50">
        <v>40</v>
      </c>
      <c r="N27" s="50">
        <v>0</v>
      </c>
      <c r="O27" s="15">
        <f t="shared" si="0"/>
        <v>17</v>
      </c>
      <c r="P27" s="15">
        <f t="shared" si="1"/>
        <v>57</v>
      </c>
      <c r="R27" s="29" t="s">
        <v>87</v>
      </c>
      <c r="S27" s="16">
        <f t="shared" ref="S27:AF27" si="19">SUM(S19:S21)</f>
        <v>72</v>
      </c>
      <c r="T27" s="16">
        <f t="shared" si="19"/>
        <v>11</v>
      </c>
      <c r="U27" s="16">
        <f t="shared" si="19"/>
        <v>47</v>
      </c>
      <c r="V27" s="16">
        <f t="shared" si="19"/>
        <v>127</v>
      </c>
      <c r="W27" s="16">
        <f t="shared" si="19"/>
        <v>24</v>
      </c>
      <c r="X27" s="16">
        <f t="shared" si="19"/>
        <v>0</v>
      </c>
      <c r="Y27" s="16">
        <f t="shared" si="19"/>
        <v>64</v>
      </c>
      <c r="Z27" s="16">
        <f t="shared" si="19"/>
        <v>4</v>
      </c>
      <c r="AA27" s="16">
        <f t="shared" si="19"/>
        <v>1</v>
      </c>
      <c r="AB27" s="16">
        <f t="shared" si="19"/>
        <v>0</v>
      </c>
      <c r="AC27" s="16">
        <f t="shared" si="19"/>
        <v>474</v>
      </c>
      <c r="AD27" s="16">
        <f t="shared" si="19"/>
        <v>0</v>
      </c>
      <c r="AE27" s="32">
        <f t="shared" si="19"/>
        <v>350</v>
      </c>
      <c r="AF27" s="32">
        <f t="shared" si="19"/>
        <v>824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0</v>
      </c>
      <c r="F28" s="50">
        <v>6</v>
      </c>
      <c r="G28" s="50">
        <v>0</v>
      </c>
      <c r="H28" s="50">
        <v>1</v>
      </c>
      <c r="I28" s="50">
        <v>4</v>
      </c>
      <c r="J28" s="50">
        <v>0</v>
      </c>
      <c r="K28" s="50">
        <v>0</v>
      </c>
      <c r="L28" s="50">
        <f>SUM('[1]RD4 MCC'!R168:U168)</f>
        <v>0</v>
      </c>
      <c r="M28" s="50">
        <v>47</v>
      </c>
      <c r="N28" s="50">
        <v>0</v>
      </c>
      <c r="O28" s="15">
        <f t="shared" si="0"/>
        <v>15</v>
      </c>
      <c r="P28" s="15">
        <f t="shared" si="1"/>
        <v>62</v>
      </c>
      <c r="R28" s="5" t="s">
        <v>17</v>
      </c>
      <c r="S28" s="16">
        <f t="shared" ref="S28:AF28" si="20">SUM(S10:S21)</f>
        <v>229</v>
      </c>
      <c r="T28" s="16">
        <f t="shared" si="20"/>
        <v>23</v>
      </c>
      <c r="U28" s="16">
        <f t="shared" si="20"/>
        <v>129</v>
      </c>
      <c r="V28" s="16">
        <f t="shared" si="20"/>
        <v>472</v>
      </c>
      <c r="W28" s="16">
        <f t="shared" si="20"/>
        <v>72</v>
      </c>
      <c r="X28" s="16">
        <f t="shared" si="20"/>
        <v>5</v>
      </c>
      <c r="Y28" s="16">
        <f t="shared" si="20"/>
        <v>165</v>
      </c>
      <c r="Z28" s="16">
        <f t="shared" si="20"/>
        <v>15</v>
      </c>
      <c r="AA28" s="16">
        <f t="shared" si="20"/>
        <v>2</v>
      </c>
      <c r="AB28" s="16">
        <f t="shared" si="20"/>
        <v>0</v>
      </c>
      <c r="AC28" s="16">
        <f t="shared" si="20"/>
        <v>1961</v>
      </c>
      <c r="AD28" s="16">
        <f t="shared" si="20"/>
        <v>1</v>
      </c>
      <c r="AE28" s="32">
        <f t="shared" si="20"/>
        <v>1113</v>
      </c>
      <c r="AF28" s="32">
        <f t="shared" si="20"/>
        <v>3074</v>
      </c>
    </row>
    <row r="29" spans="2:32" ht="23.1" customHeight="1" x14ac:dyDescent="0.25">
      <c r="B29" s="23" t="s">
        <v>56</v>
      </c>
      <c r="C29" s="50">
        <v>5</v>
      </c>
      <c r="D29" s="50">
        <v>0</v>
      </c>
      <c r="E29" s="50">
        <v>3</v>
      </c>
      <c r="F29" s="50">
        <v>9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f>SUM('[1]RD4 MCC'!R169:U169)</f>
        <v>0</v>
      </c>
      <c r="M29" s="50">
        <v>32</v>
      </c>
      <c r="N29" s="50">
        <v>0</v>
      </c>
      <c r="O29" s="15">
        <f t="shared" si="0"/>
        <v>18</v>
      </c>
      <c r="P29" s="15">
        <f t="shared" si="1"/>
        <v>50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0</v>
      </c>
      <c r="E30" s="50">
        <v>2</v>
      </c>
      <c r="F30" s="50">
        <v>8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f>SUM('[1]RD4 MCC'!R170:U170)</f>
        <v>0</v>
      </c>
      <c r="M30" s="50">
        <v>43</v>
      </c>
      <c r="N30" s="50">
        <v>0</v>
      </c>
      <c r="O30" s="15">
        <f t="shared" si="0"/>
        <v>17</v>
      </c>
      <c r="P30" s="15">
        <f t="shared" si="1"/>
        <v>60</v>
      </c>
    </row>
    <row r="31" spans="2:32" ht="23.1" customHeight="1" x14ac:dyDescent="0.25">
      <c r="B31" s="24" t="s">
        <v>58</v>
      </c>
      <c r="C31" s="50">
        <v>8</v>
      </c>
      <c r="D31" s="50">
        <v>0</v>
      </c>
      <c r="E31" s="50">
        <v>2</v>
      </c>
      <c r="F31" s="50">
        <v>6</v>
      </c>
      <c r="G31" s="50">
        <v>1</v>
      </c>
      <c r="H31" s="50">
        <v>0</v>
      </c>
      <c r="I31" s="50">
        <v>4</v>
      </c>
      <c r="J31" s="50">
        <v>0</v>
      </c>
      <c r="K31" s="50">
        <v>0</v>
      </c>
      <c r="L31" s="50">
        <f>SUM('[1]RD4 MCC'!R171:U171)</f>
        <v>0</v>
      </c>
      <c r="M31" s="50">
        <v>38</v>
      </c>
      <c r="N31" s="50">
        <v>0</v>
      </c>
      <c r="O31" s="15">
        <f t="shared" si="0"/>
        <v>21</v>
      </c>
      <c r="P31" s="15">
        <f t="shared" si="1"/>
        <v>59</v>
      </c>
    </row>
    <row r="32" spans="2:32" ht="23.1" customHeight="1" x14ac:dyDescent="0.25">
      <c r="B32" s="24" t="s">
        <v>59</v>
      </c>
      <c r="C32" s="50">
        <v>2</v>
      </c>
      <c r="D32" s="50">
        <v>1</v>
      </c>
      <c r="E32" s="50">
        <v>5</v>
      </c>
      <c r="F32" s="50">
        <v>8</v>
      </c>
      <c r="G32" s="50">
        <v>1</v>
      </c>
      <c r="H32" s="50">
        <v>0</v>
      </c>
      <c r="I32" s="50">
        <v>1</v>
      </c>
      <c r="J32" s="50">
        <v>0</v>
      </c>
      <c r="K32" s="50">
        <v>0</v>
      </c>
      <c r="L32" s="50">
        <f>SUM('[1]RD4 MCC'!R172:U172)</f>
        <v>0</v>
      </c>
      <c r="M32" s="50">
        <v>31</v>
      </c>
      <c r="N32" s="50">
        <v>0</v>
      </c>
      <c r="O32" s="15">
        <f t="shared" si="0"/>
        <v>18</v>
      </c>
      <c r="P32" s="15">
        <f t="shared" si="1"/>
        <v>49</v>
      </c>
    </row>
    <row r="33" spans="2:20" ht="23.1" customHeight="1" x14ac:dyDescent="0.25">
      <c r="B33" s="23" t="s">
        <v>60</v>
      </c>
      <c r="C33" s="50">
        <v>5</v>
      </c>
      <c r="D33" s="50">
        <v>0</v>
      </c>
      <c r="E33" s="50">
        <v>3</v>
      </c>
      <c r="F33" s="50">
        <v>9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f>SUM('[1]RD4 MCC'!R173:U173)</f>
        <v>0</v>
      </c>
      <c r="M33" s="50">
        <v>30</v>
      </c>
      <c r="N33" s="50">
        <v>0</v>
      </c>
      <c r="O33" s="15">
        <f t="shared" si="0"/>
        <v>19</v>
      </c>
      <c r="P33" s="15">
        <f t="shared" si="1"/>
        <v>49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1</v>
      </c>
      <c r="F34" s="50">
        <v>9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f>SUM('[1]RD4 MCC'!R174:U174)</f>
        <v>0</v>
      </c>
      <c r="M34" s="50">
        <v>42</v>
      </c>
      <c r="N34" s="50">
        <v>0</v>
      </c>
      <c r="O34" s="15">
        <f t="shared" si="0"/>
        <v>15</v>
      </c>
      <c r="P34" s="15">
        <f t="shared" si="1"/>
        <v>57</v>
      </c>
    </row>
    <row r="35" spans="2:20" ht="23.1" customHeight="1" x14ac:dyDescent="0.25">
      <c r="B35" s="24" t="s">
        <v>62</v>
      </c>
      <c r="C35" s="50">
        <v>3</v>
      </c>
      <c r="D35" s="50">
        <v>2</v>
      </c>
      <c r="E35" s="50">
        <v>5</v>
      </c>
      <c r="F35" s="50">
        <v>7</v>
      </c>
      <c r="G35" s="50">
        <v>1</v>
      </c>
      <c r="H35" s="50">
        <v>0</v>
      </c>
      <c r="I35" s="50">
        <v>3</v>
      </c>
      <c r="J35" s="50">
        <v>1</v>
      </c>
      <c r="K35" s="50">
        <v>0</v>
      </c>
      <c r="L35" s="50">
        <f>SUM('[1]RD4 MCC'!R175:U175)</f>
        <v>0</v>
      </c>
      <c r="M35" s="50">
        <v>29</v>
      </c>
      <c r="N35" s="50">
        <v>0</v>
      </c>
      <c r="O35" s="15">
        <f t="shared" si="0"/>
        <v>22</v>
      </c>
      <c r="P35" s="15">
        <f t="shared" si="1"/>
        <v>51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10</v>
      </c>
      <c r="G36" s="50">
        <v>0</v>
      </c>
      <c r="H36" s="50">
        <v>0</v>
      </c>
      <c r="I36" s="50">
        <v>6</v>
      </c>
      <c r="J36" s="50">
        <v>1</v>
      </c>
      <c r="K36" s="50">
        <v>0</v>
      </c>
      <c r="L36" s="50">
        <f>SUM('[1]RD4 MCC'!R176:U176)</f>
        <v>0</v>
      </c>
      <c r="M36" s="50">
        <v>33</v>
      </c>
      <c r="N36" s="50">
        <v>0</v>
      </c>
      <c r="O36" s="15">
        <f t="shared" si="0"/>
        <v>18</v>
      </c>
      <c r="P36" s="15">
        <f t="shared" si="1"/>
        <v>51</v>
      </c>
    </row>
    <row r="37" spans="2:20" ht="23.1" customHeight="1" x14ac:dyDescent="0.25">
      <c r="B37" s="23" t="s">
        <v>64</v>
      </c>
      <c r="C37" s="50">
        <v>5</v>
      </c>
      <c r="D37" s="50">
        <v>0</v>
      </c>
      <c r="E37" s="50">
        <v>2</v>
      </c>
      <c r="F37" s="50">
        <v>8</v>
      </c>
      <c r="G37" s="50">
        <v>7</v>
      </c>
      <c r="H37" s="50">
        <v>0</v>
      </c>
      <c r="I37" s="50">
        <v>5</v>
      </c>
      <c r="J37" s="50">
        <v>0</v>
      </c>
      <c r="K37" s="50">
        <v>0</v>
      </c>
      <c r="L37" s="50">
        <f>SUM('[1]RD4 MCC'!R177:U177)</f>
        <v>0</v>
      </c>
      <c r="M37" s="50">
        <v>30</v>
      </c>
      <c r="N37" s="50">
        <v>0</v>
      </c>
      <c r="O37" s="15">
        <f t="shared" si="0"/>
        <v>27</v>
      </c>
      <c r="P37" s="15">
        <f t="shared" si="1"/>
        <v>57</v>
      </c>
    </row>
    <row r="38" spans="2:20" ht="23.1" customHeight="1" x14ac:dyDescent="0.25">
      <c r="B38" s="24" t="s">
        <v>65</v>
      </c>
      <c r="C38" s="50">
        <v>5</v>
      </c>
      <c r="D38" s="50">
        <v>0</v>
      </c>
      <c r="E38" s="50">
        <v>3</v>
      </c>
      <c r="F38" s="50">
        <v>8</v>
      </c>
      <c r="G38" s="50">
        <v>0</v>
      </c>
      <c r="H38" s="50">
        <v>0</v>
      </c>
      <c r="I38" s="50">
        <v>5</v>
      </c>
      <c r="J38" s="50">
        <v>0</v>
      </c>
      <c r="K38" s="50">
        <v>0</v>
      </c>
      <c r="L38" s="50">
        <f>SUM('[1]RD4 MCC'!R178:U178)</f>
        <v>0</v>
      </c>
      <c r="M38" s="50">
        <v>20</v>
      </c>
      <c r="N38" s="50">
        <v>1</v>
      </c>
      <c r="O38" s="15">
        <f t="shared" si="0"/>
        <v>22</v>
      </c>
      <c r="P38" s="15">
        <f t="shared" si="1"/>
        <v>42</v>
      </c>
    </row>
    <row r="39" spans="2:20" ht="23.1" customHeight="1" x14ac:dyDescent="0.25">
      <c r="B39" s="24" t="s">
        <v>66</v>
      </c>
      <c r="C39" s="50">
        <v>6</v>
      </c>
      <c r="D39" s="50">
        <v>1</v>
      </c>
      <c r="E39" s="50">
        <v>3</v>
      </c>
      <c r="F39" s="50">
        <v>6</v>
      </c>
      <c r="G39" s="50">
        <v>1</v>
      </c>
      <c r="H39" s="50">
        <v>0</v>
      </c>
      <c r="I39" s="50">
        <v>5</v>
      </c>
      <c r="J39" s="50">
        <v>1</v>
      </c>
      <c r="K39" s="50">
        <v>0</v>
      </c>
      <c r="L39" s="50">
        <f>SUM('[1]RD4 MCC'!R179:U179)</f>
        <v>0</v>
      </c>
      <c r="M39" s="50">
        <v>49</v>
      </c>
      <c r="N39" s="50">
        <v>0</v>
      </c>
      <c r="O39" s="15">
        <f t="shared" si="0"/>
        <v>23</v>
      </c>
      <c r="P39" s="15">
        <f t="shared" si="1"/>
        <v>72</v>
      </c>
    </row>
    <row r="40" spans="2:20" ht="23.1" customHeight="1" x14ac:dyDescent="0.25">
      <c r="B40" s="24" t="s">
        <v>67</v>
      </c>
      <c r="C40" s="50">
        <v>7</v>
      </c>
      <c r="D40" s="50">
        <v>0</v>
      </c>
      <c r="E40" s="50">
        <v>3</v>
      </c>
      <c r="F40" s="50">
        <v>12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f>SUM('[1]RD4 MCC'!R180:U180)</f>
        <v>0</v>
      </c>
      <c r="M40" s="50">
        <v>47</v>
      </c>
      <c r="N40" s="50">
        <v>0</v>
      </c>
      <c r="O40" s="15">
        <f t="shared" si="0"/>
        <v>24</v>
      </c>
      <c r="P40" s="15">
        <f t="shared" si="1"/>
        <v>71</v>
      </c>
    </row>
    <row r="41" spans="2:20" ht="23.1" customHeight="1" x14ac:dyDescent="0.25">
      <c r="B41" s="23" t="s">
        <v>68</v>
      </c>
      <c r="C41" s="50">
        <v>2</v>
      </c>
      <c r="D41" s="50">
        <v>2</v>
      </c>
      <c r="E41" s="50">
        <v>5</v>
      </c>
      <c r="F41" s="50">
        <v>4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f>SUM('[1]RD4 MCC'!R181:U181)</f>
        <v>0</v>
      </c>
      <c r="M41" s="50">
        <v>26</v>
      </c>
      <c r="N41" s="50">
        <v>0</v>
      </c>
      <c r="O41" s="15">
        <f t="shared" si="0"/>
        <v>15</v>
      </c>
      <c r="P41" s="15">
        <f t="shared" si="1"/>
        <v>41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1</v>
      </c>
      <c r="F42" s="50">
        <v>12</v>
      </c>
      <c r="G42" s="50">
        <v>1</v>
      </c>
      <c r="H42" s="50">
        <v>0</v>
      </c>
      <c r="I42" s="50">
        <v>4</v>
      </c>
      <c r="J42" s="50">
        <v>0</v>
      </c>
      <c r="K42" s="50">
        <v>0</v>
      </c>
      <c r="L42" s="50">
        <f>SUM('[1]RD4 MCC'!R182:U182)</f>
        <v>0</v>
      </c>
      <c r="M42" s="50">
        <v>36</v>
      </c>
      <c r="N42" s="50">
        <v>0</v>
      </c>
      <c r="O42" s="15">
        <f t="shared" si="0"/>
        <v>20</v>
      </c>
      <c r="P42" s="15">
        <f t="shared" si="1"/>
        <v>56</v>
      </c>
    </row>
    <row r="43" spans="2:20" ht="23.1" customHeight="1" x14ac:dyDescent="0.25">
      <c r="B43" s="23" t="s">
        <v>70</v>
      </c>
      <c r="C43" s="50">
        <v>7</v>
      </c>
      <c r="D43" s="50">
        <v>2</v>
      </c>
      <c r="E43" s="50">
        <v>5</v>
      </c>
      <c r="F43" s="50">
        <v>5</v>
      </c>
      <c r="G43" s="50">
        <v>1</v>
      </c>
      <c r="H43" s="50">
        <v>0</v>
      </c>
      <c r="I43" s="50">
        <v>3</v>
      </c>
      <c r="J43" s="50">
        <v>0</v>
      </c>
      <c r="K43" s="50">
        <v>1</v>
      </c>
      <c r="L43" s="50">
        <f>SUM('[1]RD4 MCC'!R183:U183)</f>
        <v>0</v>
      </c>
      <c r="M43" s="50">
        <v>34</v>
      </c>
      <c r="N43" s="50">
        <v>0</v>
      </c>
      <c r="O43" s="15">
        <f t="shared" si="0"/>
        <v>24</v>
      </c>
      <c r="P43" s="15">
        <f t="shared" si="1"/>
        <v>58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3</v>
      </c>
      <c r="F44" s="50">
        <v>15</v>
      </c>
      <c r="G44" s="50">
        <v>0</v>
      </c>
      <c r="H44" s="50">
        <v>0</v>
      </c>
      <c r="I44" s="50">
        <v>4</v>
      </c>
      <c r="J44" s="50">
        <v>1</v>
      </c>
      <c r="K44" s="50">
        <v>0</v>
      </c>
      <c r="L44" s="50">
        <f>SUM('[1]RD4 MCC'!R184:U184)</f>
        <v>0</v>
      </c>
      <c r="M44" s="50">
        <v>40</v>
      </c>
      <c r="N44" s="50">
        <v>0</v>
      </c>
      <c r="O44" s="15">
        <f t="shared" si="0"/>
        <v>26</v>
      </c>
      <c r="P44" s="15">
        <f t="shared" si="1"/>
        <v>66</v>
      </c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2</v>
      </c>
      <c r="F45" s="50">
        <v>6</v>
      </c>
      <c r="G45" s="50">
        <v>1</v>
      </c>
      <c r="H45" s="50">
        <v>0</v>
      </c>
      <c r="I45" s="50">
        <v>6</v>
      </c>
      <c r="J45" s="50">
        <v>0</v>
      </c>
      <c r="K45" s="50">
        <v>0</v>
      </c>
      <c r="L45" s="50">
        <f>SUM('[1]RD4 MCC'!R185:U185)</f>
        <v>0</v>
      </c>
      <c r="M45" s="50">
        <v>25</v>
      </c>
      <c r="N45" s="50">
        <v>0</v>
      </c>
      <c r="O45" s="15">
        <f t="shared" si="0"/>
        <v>20</v>
      </c>
      <c r="P45" s="15">
        <f t="shared" si="1"/>
        <v>45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0</v>
      </c>
      <c r="F46" s="50">
        <v>11</v>
      </c>
      <c r="G46" s="50">
        <v>3</v>
      </c>
      <c r="H46" s="50">
        <v>0</v>
      </c>
      <c r="I46" s="50">
        <v>4</v>
      </c>
      <c r="J46" s="50">
        <v>0</v>
      </c>
      <c r="K46" s="50">
        <v>0</v>
      </c>
      <c r="L46" s="50">
        <f>SUM('[1]RD4 MCC'!R186:U186)</f>
        <v>0</v>
      </c>
      <c r="M46" s="50">
        <v>35</v>
      </c>
      <c r="N46" s="50">
        <v>0</v>
      </c>
      <c r="O46" s="15">
        <f t="shared" si="0"/>
        <v>21</v>
      </c>
      <c r="P46" s="15">
        <f t="shared" si="1"/>
        <v>56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0</v>
      </c>
      <c r="E47" s="50">
        <v>3</v>
      </c>
      <c r="F47" s="50">
        <v>11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f>SUM('[1]RD4 MCC'!R187:U187)</f>
        <v>0</v>
      </c>
      <c r="M47" s="50">
        <v>30</v>
      </c>
      <c r="N47" s="50">
        <v>0</v>
      </c>
      <c r="O47" s="15">
        <f t="shared" si="0"/>
        <v>20</v>
      </c>
      <c r="P47" s="15">
        <f t="shared" si="1"/>
        <v>50</v>
      </c>
      <c r="R47" s="8"/>
      <c r="T47"/>
    </row>
    <row r="48" spans="2:20" ht="23.1" customHeight="1" x14ac:dyDescent="0.25">
      <c r="B48" s="24" t="s">
        <v>75</v>
      </c>
      <c r="C48" s="50">
        <v>7</v>
      </c>
      <c r="D48" s="50">
        <v>1</v>
      </c>
      <c r="E48" s="50">
        <v>4</v>
      </c>
      <c r="F48" s="50">
        <v>8</v>
      </c>
      <c r="G48" s="50">
        <v>2</v>
      </c>
      <c r="H48" s="50">
        <v>0</v>
      </c>
      <c r="I48" s="50">
        <v>8</v>
      </c>
      <c r="J48" s="50">
        <v>0</v>
      </c>
      <c r="K48" s="50">
        <v>0</v>
      </c>
      <c r="L48" s="50">
        <f>SUM('[1]RD4 MCC'!R188:U188)</f>
        <v>0</v>
      </c>
      <c r="M48" s="50">
        <v>31</v>
      </c>
      <c r="N48" s="50">
        <v>0</v>
      </c>
      <c r="O48" s="15">
        <f t="shared" si="0"/>
        <v>30</v>
      </c>
      <c r="P48" s="15">
        <f t="shared" si="1"/>
        <v>61</v>
      </c>
      <c r="R48" s="8"/>
      <c r="T48"/>
    </row>
    <row r="49" spans="2:20" ht="23.1" customHeight="1" x14ac:dyDescent="0.25">
      <c r="B49" s="23" t="s">
        <v>76</v>
      </c>
      <c r="C49" s="50">
        <v>8</v>
      </c>
      <c r="D49" s="50">
        <v>0</v>
      </c>
      <c r="E49" s="50">
        <v>2</v>
      </c>
      <c r="F49" s="50">
        <v>11</v>
      </c>
      <c r="G49" s="50">
        <v>2</v>
      </c>
      <c r="H49" s="50">
        <v>0</v>
      </c>
      <c r="I49" s="50">
        <v>4</v>
      </c>
      <c r="J49" s="50">
        <v>0</v>
      </c>
      <c r="K49" s="50">
        <v>0</v>
      </c>
      <c r="L49" s="50">
        <f>SUM('[1]RD4 MCC'!R189:U189)</f>
        <v>0</v>
      </c>
      <c r="M49" s="50">
        <v>40</v>
      </c>
      <c r="N49" s="50">
        <v>0</v>
      </c>
      <c r="O49" s="15">
        <f t="shared" si="0"/>
        <v>27</v>
      </c>
      <c r="P49" s="15">
        <f t="shared" si="1"/>
        <v>67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0</v>
      </c>
      <c r="E50" s="50">
        <v>3</v>
      </c>
      <c r="F50" s="50">
        <v>11</v>
      </c>
      <c r="G50" s="50">
        <v>0</v>
      </c>
      <c r="H50" s="50">
        <v>0</v>
      </c>
      <c r="I50" s="50">
        <v>6</v>
      </c>
      <c r="J50" s="50">
        <v>0</v>
      </c>
      <c r="K50" s="50">
        <v>0</v>
      </c>
      <c r="L50" s="50">
        <f>SUM('[1]RD4 MCC'!R190:U190)</f>
        <v>0</v>
      </c>
      <c r="M50" s="50">
        <v>52</v>
      </c>
      <c r="N50" s="50">
        <v>0</v>
      </c>
      <c r="O50" s="15">
        <f t="shared" si="0"/>
        <v>25</v>
      </c>
      <c r="P50" s="15">
        <f t="shared" si="1"/>
        <v>77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2</v>
      </c>
      <c r="E51" s="50">
        <v>6</v>
      </c>
      <c r="F51" s="50">
        <v>7</v>
      </c>
      <c r="G51" s="50">
        <v>1</v>
      </c>
      <c r="H51" s="50">
        <v>0</v>
      </c>
      <c r="I51" s="50">
        <v>6</v>
      </c>
      <c r="J51" s="50">
        <v>0</v>
      </c>
      <c r="K51" s="50">
        <v>0</v>
      </c>
      <c r="L51" s="50">
        <f>SUM('[1]RD4 MCC'!R191:U191)</f>
        <v>0</v>
      </c>
      <c r="M51" s="50">
        <v>40</v>
      </c>
      <c r="N51" s="50">
        <v>0</v>
      </c>
      <c r="O51" s="15">
        <f t="shared" si="0"/>
        <v>27</v>
      </c>
      <c r="P51" s="15">
        <f t="shared" si="1"/>
        <v>67</v>
      </c>
      <c r="R51" s="8"/>
      <c r="T51"/>
    </row>
    <row r="52" spans="2:20" ht="23.1" customHeight="1" x14ac:dyDescent="0.25">
      <c r="B52" s="24" t="s">
        <v>79</v>
      </c>
      <c r="C52" s="50">
        <v>7</v>
      </c>
      <c r="D52" s="50">
        <v>1</v>
      </c>
      <c r="E52" s="50">
        <v>4</v>
      </c>
      <c r="F52" s="50">
        <v>9</v>
      </c>
      <c r="G52" s="50">
        <v>1</v>
      </c>
      <c r="H52" s="50">
        <v>0</v>
      </c>
      <c r="I52" s="50">
        <v>5</v>
      </c>
      <c r="J52" s="50">
        <v>0</v>
      </c>
      <c r="K52" s="50">
        <v>0</v>
      </c>
      <c r="L52" s="50">
        <f>SUM('[1]RD4 MCC'!R192:U192)</f>
        <v>0</v>
      </c>
      <c r="M52" s="50">
        <v>40</v>
      </c>
      <c r="N52" s="50">
        <v>0</v>
      </c>
      <c r="O52" s="15">
        <f t="shared" si="0"/>
        <v>27</v>
      </c>
      <c r="P52" s="15">
        <f t="shared" si="1"/>
        <v>67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0</v>
      </c>
      <c r="E53" s="50">
        <v>2</v>
      </c>
      <c r="F53" s="50">
        <v>7</v>
      </c>
      <c r="G53" s="50">
        <v>2</v>
      </c>
      <c r="H53" s="50">
        <v>0</v>
      </c>
      <c r="I53" s="50">
        <v>4</v>
      </c>
      <c r="J53" s="50">
        <v>0</v>
      </c>
      <c r="K53" s="50">
        <v>1</v>
      </c>
      <c r="L53" s="50">
        <f>SUM('[1]RD4 MCC'!R193:U193)</f>
        <v>0</v>
      </c>
      <c r="M53" s="50">
        <v>60</v>
      </c>
      <c r="N53" s="50">
        <v>0</v>
      </c>
      <c r="O53" s="15">
        <f t="shared" si="0"/>
        <v>21</v>
      </c>
      <c r="P53" s="15">
        <f t="shared" si="1"/>
        <v>81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3</v>
      </c>
      <c r="E54" s="50">
        <v>9</v>
      </c>
      <c r="F54" s="50">
        <v>15</v>
      </c>
      <c r="G54" s="50">
        <v>3</v>
      </c>
      <c r="H54" s="50">
        <v>0</v>
      </c>
      <c r="I54" s="50">
        <v>9</v>
      </c>
      <c r="J54" s="50">
        <v>1</v>
      </c>
      <c r="K54" s="50">
        <v>0</v>
      </c>
      <c r="L54" s="50">
        <f>SUM('[1]RD4 MCC'!R194:U194)</f>
        <v>0</v>
      </c>
      <c r="M54" s="50">
        <v>35</v>
      </c>
      <c r="N54" s="50">
        <v>0</v>
      </c>
      <c r="O54" s="15">
        <f t="shared" si="0"/>
        <v>44</v>
      </c>
      <c r="P54" s="15">
        <f t="shared" si="1"/>
        <v>79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2</v>
      </c>
      <c r="E55" s="50">
        <v>6</v>
      </c>
      <c r="F55" s="50">
        <v>14</v>
      </c>
      <c r="G55" s="50">
        <v>4</v>
      </c>
      <c r="H55" s="50">
        <v>0</v>
      </c>
      <c r="I55" s="50">
        <v>5</v>
      </c>
      <c r="J55" s="50">
        <v>0</v>
      </c>
      <c r="K55" s="50">
        <v>0</v>
      </c>
      <c r="L55" s="50">
        <f>SUM('[1]RD4 MCC'!R195:U195)</f>
        <v>0</v>
      </c>
      <c r="M55" s="50">
        <v>37</v>
      </c>
      <c r="N55" s="50">
        <v>0</v>
      </c>
      <c r="O55" s="15">
        <f t="shared" si="0"/>
        <v>36</v>
      </c>
      <c r="P55" s="15">
        <f t="shared" si="1"/>
        <v>73</v>
      </c>
      <c r="R55" s="8"/>
      <c r="T55"/>
    </row>
    <row r="56" spans="2:20" ht="23.1" customHeight="1" x14ac:dyDescent="0.25">
      <c r="B56" s="23" t="s">
        <v>83</v>
      </c>
      <c r="C56" s="50">
        <v>9</v>
      </c>
      <c r="D56" s="50">
        <v>1</v>
      </c>
      <c r="E56" s="50">
        <v>4</v>
      </c>
      <c r="F56" s="50">
        <v>13</v>
      </c>
      <c r="G56" s="50">
        <v>4</v>
      </c>
      <c r="H56" s="50">
        <v>0</v>
      </c>
      <c r="I56" s="50">
        <v>10</v>
      </c>
      <c r="J56" s="50">
        <v>1</v>
      </c>
      <c r="K56" s="50">
        <v>0</v>
      </c>
      <c r="L56" s="50">
        <f>SUM('[1]RD4 MCC'!R196:U196)</f>
        <v>0</v>
      </c>
      <c r="M56" s="50">
        <v>39</v>
      </c>
      <c r="N56" s="50">
        <v>0</v>
      </c>
      <c r="O56" s="15">
        <f t="shared" si="0"/>
        <v>42</v>
      </c>
      <c r="P56" s="15">
        <f t="shared" si="1"/>
        <v>81</v>
      </c>
      <c r="R56" s="8"/>
      <c r="T56"/>
    </row>
    <row r="57" spans="2:20" ht="23.1" customHeight="1" x14ac:dyDescent="0.25">
      <c r="B57" s="23" t="s">
        <v>84</v>
      </c>
      <c r="C57" s="50">
        <v>10</v>
      </c>
      <c r="D57" s="50">
        <v>1</v>
      </c>
      <c r="E57" s="50">
        <v>4</v>
      </c>
      <c r="F57" s="50">
        <v>10</v>
      </c>
      <c r="G57" s="50">
        <v>2</v>
      </c>
      <c r="H57" s="50">
        <v>0</v>
      </c>
      <c r="I57" s="50">
        <v>2</v>
      </c>
      <c r="J57" s="50">
        <v>1</v>
      </c>
      <c r="K57" s="50">
        <v>0</v>
      </c>
      <c r="L57" s="50">
        <f>SUM('[1]RD4 MCC'!R197:U197)</f>
        <v>0</v>
      </c>
      <c r="M57" s="50">
        <v>35</v>
      </c>
      <c r="N57" s="50">
        <v>0</v>
      </c>
      <c r="O57" s="15">
        <f t="shared" si="0"/>
        <v>30</v>
      </c>
      <c r="P57" s="15">
        <f t="shared" si="1"/>
        <v>65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229</v>
      </c>
      <c r="D58" s="16">
        <f t="shared" si="21"/>
        <v>23</v>
      </c>
      <c r="E58" s="16">
        <f t="shared" si="21"/>
        <v>129</v>
      </c>
      <c r="F58" s="16">
        <f t="shared" si="21"/>
        <v>472</v>
      </c>
      <c r="G58" s="16">
        <f t="shared" si="21"/>
        <v>72</v>
      </c>
      <c r="H58" s="16">
        <f t="shared" si="21"/>
        <v>5</v>
      </c>
      <c r="I58" s="16">
        <f t="shared" si="21"/>
        <v>165</v>
      </c>
      <c r="J58" s="16">
        <f t="shared" si="21"/>
        <v>15</v>
      </c>
      <c r="K58" s="16">
        <f t="shared" si="21"/>
        <v>2</v>
      </c>
      <c r="L58" s="16">
        <f t="shared" si="21"/>
        <v>0</v>
      </c>
      <c r="M58" s="16">
        <f t="shared" si="21"/>
        <v>1961</v>
      </c>
      <c r="N58" s="16">
        <f t="shared" si="21"/>
        <v>1</v>
      </c>
      <c r="O58" s="16">
        <f t="shared" si="21"/>
        <v>1113</v>
      </c>
      <c r="P58" s="16">
        <f t="shared" si="21"/>
        <v>3074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7.4495770982433318E-2</v>
      </c>
      <c r="D59" s="43">
        <f t="shared" si="22"/>
        <v>7.4821080026024724E-3</v>
      </c>
      <c r="E59" s="43">
        <f t="shared" si="22"/>
        <v>4.196486662329213E-2</v>
      </c>
      <c r="F59" s="43">
        <f t="shared" si="22"/>
        <v>0.15354586857514638</v>
      </c>
      <c r="G59" s="43">
        <f t="shared" si="22"/>
        <v>2.3422251138581651E-2</v>
      </c>
      <c r="H59" s="43">
        <f t="shared" si="22"/>
        <v>1.6265452179570592E-3</v>
      </c>
      <c r="I59" s="43">
        <f t="shared" si="22"/>
        <v>5.3675992192582955E-2</v>
      </c>
      <c r="J59" s="43">
        <f t="shared" si="22"/>
        <v>4.8796356538711779E-3</v>
      </c>
      <c r="K59" s="43">
        <f t="shared" si="22"/>
        <v>6.5061808718282373E-4</v>
      </c>
      <c r="L59" s="43">
        <f t="shared" si="22"/>
        <v>0</v>
      </c>
      <c r="M59" s="43">
        <f t="shared" si="22"/>
        <v>0.63793103448275867</v>
      </c>
      <c r="N59" s="43">
        <f t="shared" si="22"/>
        <v>3.2530904359141186E-4</v>
      </c>
      <c r="R59" s="8"/>
      <c r="T59"/>
    </row>
    <row r="60" spans="2:20" ht="23.1" customHeight="1" x14ac:dyDescent="0.25">
      <c r="B60" s="42" t="s">
        <v>94</v>
      </c>
      <c r="C60" s="44">
        <f>C58/$O$58</f>
        <v>0.20575022461814915</v>
      </c>
      <c r="D60" s="44">
        <f t="shared" ref="D60:N60" si="23">D58/$O$58</f>
        <v>2.0664869721473494E-2</v>
      </c>
      <c r="E60" s="44">
        <f t="shared" si="23"/>
        <v>0.11590296495956873</v>
      </c>
      <c r="F60" s="44">
        <f t="shared" si="23"/>
        <v>0.42407906558849956</v>
      </c>
      <c r="G60" s="44">
        <f t="shared" si="23"/>
        <v>6.4690026954177901E-2</v>
      </c>
      <c r="H60" s="44">
        <f t="shared" si="23"/>
        <v>4.4923629829290209E-3</v>
      </c>
      <c r="I60" s="44">
        <f t="shared" si="23"/>
        <v>0.14824797843665768</v>
      </c>
      <c r="J60" s="44">
        <f t="shared" si="23"/>
        <v>1.3477088948787063E-2</v>
      </c>
      <c r="K60" s="44">
        <f t="shared" si="23"/>
        <v>1.7969451931716084E-3</v>
      </c>
      <c r="L60" s="44">
        <f t="shared" si="23"/>
        <v>0</v>
      </c>
      <c r="M60" s="44"/>
      <c r="N60" s="44">
        <f t="shared" si="23"/>
        <v>8.9847259658580418E-4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E57" sqref="E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Jinja-Buwenge'!C3:G3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'13.08 Buwenge-Jinja'!D5</f>
        <v>13.08.19</v>
      </c>
      <c r="E5" s="3"/>
      <c r="F5" s="41" t="s">
        <v>1</v>
      </c>
      <c r="G5" s="63" t="str">
        <f>'12.08 Buwenge-Jinja'!G5:H5</f>
        <v>xxx</v>
      </c>
      <c r="H5" s="64"/>
      <c r="I5" s="14"/>
      <c r="J5" s="2" t="s">
        <v>5</v>
      </c>
      <c r="K5" s="63" t="str">
        <f>'12.08 Buwenge-Jinja'!K5:L5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Jinja-Buwenge'!D6:E6</f>
        <v>Jinja</v>
      </c>
      <c r="E6" s="64"/>
      <c r="F6" s="2" t="s">
        <v>2</v>
      </c>
      <c r="G6" s="63" t="str">
        <f>'12.08 Jinja-Buwenge'!G6:H6</f>
        <v>Buwenge</v>
      </c>
      <c r="H6" s="64"/>
      <c r="J6" s="2" t="s">
        <v>21</v>
      </c>
      <c r="K6" s="63" t="str">
        <f>'12.08 Buwenge-Jinja'!K6:L6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1</v>
      </c>
      <c r="F10" s="50">
        <v>4</v>
      </c>
      <c r="G10" s="50">
        <v>5</v>
      </c>
      <c r="H10" s="50">
        <v>0</v>
      </c>
      <c r="I10" s="50">
        <v>4</v>
      </c>
      <c r="J10" s="50">
        <v>0</v>
      </c>
      <c r="K10" s="50">
        <v>0</v>
      </c>
      <c r="L10" s="50">
        <f>SUM('[1]RD4 MCC'!R102:U102)</f>
        <v>0</v>
      </c>
      <c r="M10" s="50">
        <v>10</v>
      </c>
      <c r="N10" s="50">
        <v>0</v>
      </c>
      <c r="O10" s="15">
        <f t="shared" ref="O10:O57" si="0">SUM(C10:L10,N10)</f>
        <v>17</v>
      </c>
      <c r="P10" s="15">
        <f t="shared" ref="P10:P57" si="1">SUM(C10:N10)</f>
        <v>27</v>
      </c>
      <c r="R10" s="1" t="s">
        <v>6</v>
      </c>
      <c r="S10" s="17">
        <f t="shared" ref="S10:AF10" si="2">SUM(C10:C13)</f>
        <v>21</v>
      </c>
      <c r="T10" s="17">
        <f t="shared" si="2"/>
        <v>0</v>
      </c>
      <c r="U10" s="17">
        <f t="shared" si="2"/>
        <v>2</v>
      </c>
      <c r="V10" s="17">
        <f t="shared" si="2"/>
        <v>25</v>
      </c>
      <c r="W10" s="17">
        <f t="shared" si="2"/>
        <v>17</v>
      </c>
      <c r="X10" s="17">
        <f t="shared" si="2"/>
        <v>0</v>
      </c>
      <c r="Y10" s="17">
        <f t="shared" si="2"/>
        <v>14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83</v>
      </c>
      <c r="AD10" s="17">
        <f t="shared" si="2"/>
        <v>0</v>
      </c>
      <c r="AE10" s="31">
        <f t="shared" si="2"/>
        <v>81</v>
      </c>
      <c r="AF10" s="31">
        <f t="shared" si="2"/>
        <v>164</v>
      </c>
    </row>
    <row r="11" spans="2:32" s="6" customFormat="1" ht="23.1" customHeight="1" x14ac:dyDescent="0.25">
      <c r="B11" s="23" t="s">
        <v>38</v>
      </c>
      <c r="C11" s="50">
        <v>7</v>
      </c>
      <c r="D11" s="50">
        <v>0</v>
      </c>
      <c r="E11" s="50">
        <v>0</v>
      </c>
      <c r="F11" s="50">
        <v>5</v>
      </c>
      <c r="G11" s="50">
        <v>2</v>
      </c>
      <c r="H11" s="50">
        <v>0</v>
      </c>
      <c r="I11" s="50">
        <v>3</v>
      </c>
      <c r="J11" s="50">
        <v>1</v>
      </c>
      <c r="K11" s="50">
        <v>0</v>
      </c>
      <c r="L11" s="50">
        <f>SUM('[1]RD4 MCC'!R103:U103)</f>
        <v>0</v>
      </c>
      <c r="M11" s="50">
        <v>27</v>
      </c>
      <c r="N11" s="50">
        <v>0</v>
      </c>
      <c r="O11" s="15">
        <f t="shared" si="0"/>
        <v>18</v>
      </c>
      <c r="P11" s="15">
        <f t="shared" si="1"/>
        <v>45</v>
      </c>
      <c r="R11" s="1" t="s">
        <v>7</v>
      </c>
      <c r="S11" s="17">
        <f t="shared" ref="S11:AF11" si="3">SUM(C14:C17)</f>
        <v>13</v>
      </c>
      <c r="T11" s="17">
        <f t="shared" si="3"/>
        <v>1</v>
      </c>
      <c r="U11" s="17">
        <f t="shared" si="3"/>
        <v>9</v>
      </c>
      <c r="V11" s="17">
        <f t="shared" si="3"/>
        <v>31</v>
      </c>
      <c r="W11" s="17">
        <f t="shared" si="3"/>
        <v>8</v>
      </c>
      <c r="X11" s="17">
        <f t="shared" si="3"/>
        <v>0</v>
      </c>
      <c r="Y11" s="17">
        <f t="shared" si="3"/>
        <v>6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120</v>
      </c>
      <c r="AD11" s="17">
        <f t="shared" si="3"/>
        <v>0</v>
      </c>
      <c r="AE11" s="31">
        <f t="shared" si="3"/>
        <v>71</v>
      </c>
      <c r="AF11" s="31">
        <f t="shared" si="3"/>
        <v>191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1</v>
      </c>
      <c r="F12" s="50">
        <v>11</v>
      </c>
      <c r="G12" s="50">
        <v>4</v>
      </c>
      <c r="H12" s="50">
        <v>0</v>
      </c>
      <c r="I12" s="50">
        <v>3</v>
      </c>
      <c r="J12" s="50">
        <v>0</v>
      </c>
      <c r="K12" s="50">
        <v>0</v>
      </c>
      <c r="L12" s="50">
        <f>SUM('[1]RD4 MCC'!R104:U104)</f>
        <v>0</v>
      </c>
      <c r="M12" s="50">
        <v>23</v>
      </c>
      <c r="N12" s="50">
        <v>0</v>
      </c>
      <c r="O12" s="15">
        <f t="shared" si="0"/>
        <v>22</v>
      </c>
      <c r="P12" s="15">
        <f t="shared" si="1"/>
        <v>45</v>
      </c>
      <c r="R12" s="1" t="s">
        <v>8</v>
      </c>
      <c r="S12" s="17">
        <f t="shared" ref="S12:AF12" si="4">SUM(C18:C21)</f>
        <v>25</v>
      </c>
      <c r="T12" s="17">
        <f t="shared" si="4"/>
        <v>2</v>
      </c>
      <c r="U12" s="17">
        <f t="shared" si="4"/>
        <v>9</v>
      </c>
      <c r="V12" s="17">
        <f t="shared" si="4"/>
        <v>44</v>
      </c>
      <c r="W12" s="17">
        <f t="shared" si="4"/>
        <v>3</v>
      </c>
      <c r="X12" s="17">
        <f t="shared" si="4"/>
        <v>0</v>
      </c>
      <c r="Y12" s="17">
        <f t="shared" si="4"/>
        <v>10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138</v>
      </c>
      <c r="AD12" s="17">
        <f t="shared" si="4"/>
        <v>0</v>
      </c>
      <c r="AE12" s="31">
        <f t="shared" si="4"/>
        <v>93</v>
      </c>
      <c r="AF12" s="31">
        <f t="shared" si="4"/>
        <v>231</v>
      </c>
    </row>
    <row r="13" spans="2:32" ht="23.1" customHeight="1" x14ac:dyDescent="0.25">
      <c r="B13" s="23" t="s">
        <v>40</v>
      </c>
      <c r="C13" s="50">
        <v>8</v>
      </c>
      <c r="D13" s="50">
        <v>0</v>
      </c>
      <c r="E13" s="50">
        <v>0</v>
      </c>
      <c r="F13" s="50">
        <v>5</v>
      </c>
      <c r="G13" s="50">
        <v>6</v>
      </c>
      <c r="H13" s="50">
        <v>0</v>
      </c>
      <c r="I13" s="50">
        <v>4</v>
      </c>
      <c r="J13" s="50">
        <v>1</v>
      </c>
      <c r="K13" s="50">
        <v>0</v>
      </c>
      <c r="L13" s="50">
        <f>SUM('[1]RD4 MCC'!R105:U105)</f>
        <v>0</v>
      </c>
      <c r="M13" s="50">
        <v>23</v>
      </c>
      <c r="N13" s="50">
        <v>0</v>
      </c>
      <c r="O13" s="15">
        <f t="shared" si="0"/>
        <v>24</v>
      </c>
      <c r="P13" s="15">
        <f t="shared" si="1"/>
        <v>47</v>
      </c>
      <c r="R13" s="1" t="s">
        <v>9</v>
      </c>
      <c r="S13" s="17">
        <f t="shared" ref="S13:AF13" si="5">SUM(C22:C25)</f>
        <v>22</v>
      </c>
      <c r="T13" s="17">
        <f t="shared" si="5"/>
        <v>3</v>
      </c>
      <c r="U13" s="17">
        <f t="shared" si="5"/>
        <v>17</v>
      </c>
      <c r="V13" s="17">
        <f t="shared" si="5"/>
        <v>44</v>
      </c>
      <c r="W13" s="17">
        <f t="shared" si="5"/>
        <v>1</v>
      </c>
      <c r="X13" s="17">
        <f t="shared" si="5"/>
        <v>0</v>
      </c>
      <c r="Y13" s="17">
        <f t="shared" si="5"/>
        <v>11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165</v>
      </c>
      <c r="AD13" s="17">
        <f t="shared" si="5"/>
        <v>1</v>
      </c>
      <c r="AE13" s="31">
        <f t="shared" si="5"/>
        <v>101</v>
      </c>
      <c r="AF13" s="31">
        <f t="shared" si="5"/>
        <v>266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0</v>
      </c>
      <c r="F14" s="50">
        <v>6</v>
      </c>
      <c r="G14" s="50">
        <v>2</v>
      </c>
      <c r="H14" s="50">
        <v>0</v>
      </c>
      <c r="I14" s="50">
        <v>0</v>
      </c>
      <c r="J14" s="50">
        <v>2</v>
      </c>
      <c r="K14" s="50">
        <v>0</v>
      </c>
      <c r="L14" s="50">
        <f>SUM('[1]RD4 MCC'!R106:U106)</f>
        <v>0</v>
      </c>
      <c r="M14" s="50">
        <v>28</v>
      </c>
      <c r="N14" s="50">
        <v>0</v>
      </c>
      <c r="O14" s="15">
        <f t="shared" si="0"/>
        <v>13</v>
      </c>
      <c r="P14" s="15">
        <f t="shared" si="1"/>
        <v>41</v>
      </c>
      <c r="R14" s="1" t="s">
        <v>10</v>
      </c>
      <c r="S14" s="17">
        <f t="shared" ref="S14:AF14" si="6">SUM(C26:C29)</f>
        <v>26</v>
      </c>
      <c r="T14" s="17">
        <f t="shared" si="6"/>
        <v>4</v>
      </c>
      <c r="U14" s="17">
        <f t="shared" si="6"/>
        <v>16</v>
      </c>
      <c r="V14" s="17">
        <f t="shared" si="6"/>
        <v>46</v>
      </c>
      <c r="W14" s="17">
        <f t="shared" si="6"/>
        <v>1</v>
      </c>
      <c r="X14" s="17">
        <f t="shared" si="6"/>
        <v>0</v>
      </c>
      <c r="Y14" s="17">
        <f t="shared" si="6"/>
        <v>10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144</v>
      </c>
      <c r="AD14" s="17">
        <f t="shared" si="6"/>
        <v>0</v>
      </c>
      <c r="AE14" s="31">
        <f t="shared" si="6"/>
        <v>104</v>
      </c>
      <c r="AF14" s="31">
        <f t="shared" si="6"/>
        <v>248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2</v>
      </c>
      <c r="F15" s="50">
        <v>10</v>
      </c>
      <c r="G15" s="50">
        <v>0</v>
      </c>
      <c r="H15" s="50">
        <v>0</v>
      </c>
      <c r="I15" s="50">
        <v>3</v>
      </c>
      <c r="J15" s="50">
        <v>1</v>
      </c>
      <c r="K15" s="50">
        <v>0</v>
      </c>
      <c r="L15" s="50">
        <f>SUM('[1]RD4 MCC'!R107:U107)</f>
        <v>0</v>
      </c>
      <c r="M15" s="50">
        <v>26</v>
      </c>
      <c r="N15" s="50">
        <v>0</v>
      </c>
      <c r="O15" s="15">
        <f t="shared" si="0"/>
        <v>18</v>
      </c>
      <c r="P15" s="15">
        <f t="shared" si="1"/>
        <v>44</v>
      </c>
      <c r="R15" s="1" t="s">
        <v>11</v>
      </c>
      <c r="S15" s="17">
        <f t="shared" ref="S15:AF15" si="7">SUM(C30:C33)</f>
        <v>21</v>
      </c>
      <c r="T15" s="17">
        <f t="shared" si="7"/>
        <v>1</v>
      </c>
      <c r="U15" s="17">
        <f t="shared" si="7"/>
        <v>9</v>
      </c>
      <c r="V15" s="17">
        <f t="shared" si="7"/>
        <v>41</v>
      </c>
      <c r="W15" s="17">
        <f t="shared" si="7"/>
        <v>7</v>
      </c>
      <c r="X15" s="17">
        <f t="shared" si="7"/>
        <v>0</v>
      </c>
      <c r="Y15" s="17">
        <f t="shared" si="7"/>
        <v>22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148</v>
      </c>
      <c r="AD15" s="17">
        <f t="shared" si="7"/>
        <v>0</v>
      </c>
      <c r="AE15" s="31">
        <f t="shared" si="7"/>
        <v>102</v>
      </c>
      <c r="AF15" s="31">
        <f t="shared" si="7"/>
        <v>250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3</v>
      </c>
      <c r="F16" s="50">
        <v>7</v>
      </c>
      <c r="G16" s="50">
        <v>4</v>
      </c>
      <c r="H16" s="50">
        <v>0</v>
      </c>
      <c r="I16" s="50">
        <v>1</v>
      </c>
      <c r="J16" s="50">
        <v>0</v>
      </c>
      <c r="K16" s="50">
        <v>0</v>
      </c>
      <c r="L16" s="50">
        <f>SUM('[1]RD4 MCC'!R108:U108)</f>
        <v>0</v>
      </c>
      <c r="M16" s="50">
        <v>35</v>
      </c>
      <c r="N16" s="50">
        <v>0</v>
      </c>
      <c r="O16" s="15">
        <f t="shared" si="0"/>
        <v>20</v>
      </c>
      <c r="P16" s="15">
        <f t="shared" si="1"/>
        <v>55</v>
      </c>
      <c r="R16" s="1" t="s">
        <v>12</v>
      </c>
      <c r="S16" s="17">
        <f t="shared" ref="S16:AF16" si="8">SUM(C34:C37)</f>
        <v>24</v>
      </c>
      <c r="T16" s="17">
        <f t="shared" si="8"/>
        <v>2</v>
      </c>
      <c r="U16" s="17">
        <f t="shared" si="8"/>
        <v>13</v>
      </c>
      <c r="V16" s="17">
        <f t="shared" si="8"/>
        <v>47</v>
      </c>
      <c r="W16" s="17">
        <f t="shared" si="8"/>
        <v>7</v>
      </c>
      <c r="X16" s="17">
        <f t="shared" si="8"/>
        <v>1</v>
      </c>
      <c r="Y16" s="17">
        <f t="shared" si="8"/>
        <v>10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147</v>
      </c>
      <c r="AD16" s="17">
        <f t="shared" si="8"/>
        <v>0</v>
      </c>
      <c r="AE16" s="31">
        <f t="shared" si="8"/>
        <v>105</v>
      </c>
      <c r="AF16" s="31">
        <f t="shared" si="8"/>
        <v>252</v>
      </c>
    </row>
    <row r="17" spans="2:32" ht="23.1" customHeight="1" x14ac:dyDescent="0.25">
      <c r="B17" s="23" t="s">
        <v>44</v>
      </c>
      <c r="C17" s="50">
        <v>3</v>
      </c>
      <c r="D17" s="50">
        <v>1</v>
      </c>
      <c r="E17" s="50">
        <v>4</v>
      </c>
      <c r="F17" s="50">
        <v>8</v>
      </c>
      <c r="G17" s="50">
        <v>2</v>
      </c>
      <c r="H17" s="50">
        <v>0</v>
      </c>
      <c r="I17" s="50">
        <v>2</v>
      </c>
      <c r="J17" s="50">
        <v>0</v>
      </c>
      <c r="K17" s="50">
        <v>0</v>
      </c>
      <c r="L17" s="50">
        <f>SUM('[1]RD4 MCC'!R109:U109)</f>
        <v>0</v>
      </c>
      <c r="M17" s="50">
        <v>31</v>
      </c>
      <c r="N17" s="50">
        <v>0</v>
      </c>
      <c r="O17" s="15">
        <f t="shared" si="0"/>
        <v>20</v>
      </c>
      <c r="P17" s="15">
        <f t="shared" si="1"/>
        <v>51</v>
      </c>
      <c r="R17" s="1" t="s">
        <v>13</v>
      </c>
      <c r="S17" s="17">
        <f t="shared" ref="S17:AF17" si="9">SUM(C38:C41)</f>
        <v>26</v>
      </c>
      <c r="T17" s="17">
        <f t="shared" si="9"/>
        <v>5</v>
      </c>
      <c r="U17" s="17">
        <f t="shared" si="9"/>
        <v>21</v>
      </c>
      <c r="V17" s="17">
        <f t="shared" si="9"/>
        <v>42</v>
      </c>
      <c r="W17" s="17">
        <f t="shared" si="9"/>
        <v>2</v>
      </c>
      <c r="X17" s="17">
        <f t="shared" si="9"/>
        <v>2</v>
      </c>
      <c r="Y17" s="17">
        <f t="shared" si="9"/>
        <v>6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160</v>
      </c>
      <c r="AD17" s="17">
        <f t="shared" si="9"/>
        <v>0</v>
      </c>
      <c r="AE17" s="31">
        <f t="shared" si="9"/>
        <v>105</v>
      </c>
      <c r="AF17" s="31">
        <f t="shared" si="9"/>
        <v>265</v>
      </c>
    </row>
    <row r="18" spans="2:32" ht="23.1" customHeight="1" x14ac:dyDescent="0.25">
      <c r="B18" s="23" t="s">
        <v>45</v>
      </c>
      <c r="C18" s="50">
        <v>4</v>
      </c>
      <c r="D18" s="50">
        <v>0</v>
      </c>
      <c r="E18" s="50">
        <v>0</v>
      </c>
      <c r="F18" s="50">
        <v>10</v>
      </c>
      <c r="G18" s="50">
        <v>2</v>
      </c>
      <c r="H18" s="50">
        <v>0</v>
      </c>
      <c r="I18" s="50">
        <v>4</v>
      </c>
      <c r="J18" s="50">
        <v>0</v>
      </c>
      <c r="K18" s="50">
        <v>0</v>
      </c>
      <c r="L18" s="50">
        <f>SUM('[1]RD4 MCC'!R110:U110)</f>
        <v>0</v>
      </c>
      <c r="M18" s="50">
        <v>40</v>
      </c>
      <c r="N18" s="50">
        <v>0</v>
      </c>
      <c r="O18" s="15">
        <f t="shared" si="0"/>
        <v>20</v>
      </c>
      <c r="P18" s="15">
        <f t="shared" si="1"/>
        <v>60</v>
      </c>
      <c r="R18" s="1" t="s">
        <v>14</v>
      </c>
      <c r="S18" s="17">
        <f t="shared" ref="S18:AF18" si="10">SUM(C42:C45)</f>
        <v>24</v>
      </c>
      <c r="T18" s="17">
        <f t="shared" si="10"/>
        <v>2</v>
      </c>
      <c r="U18" s="17">
        <f t="shared" si="10"/>
        <v>11</v>
      </c>
      <c r="V18" s="17">
        <f t="shared" si="10"/>
        <v>37</v>
      </c>
      <c r="W18" s="17">
        <f t="shared" si="10"/>
        <v>2</v>
      </c>
      <c r="X18" s="17">
        <f t="shared" si="10"/>
        <v>0</v>
      </c>
      <c r="Y18" s="17">
        <f t="shared" si="10"/>
        <v>7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141</v>
      </c>
      <c r="AD18" s="17">
        <f t="shared" si="10"/>
        <v>0</v>
      </c>
      <c r="AE18" s="31">
        <f t="shared" si="10"/>
        <v>83</v>
      </c>
      <c r="AF18" s="31">
        <f t="shared" si="10"/>
        <v>224</v>
      </c>
    </row>
    <row r="19" spans="2:32" ht="23.1" customHeight="1" x14ac:dyDescent="0.25">
      <c r="B19" s="23" t="s">
        <v>46</v>
      </c>
      <c r="C19" s="50">
        <v>5</v>
      </c>
      <c r="D19" s="50">
        <v>1</v>
      </c>
      <c r="E19" s="50">
        <v>4</v>
      </c>
      <c r="F19" s="50">
        <v>12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f>SUM('[1]RD4 MCC'!R111:U111)</f>
        <v>0</v>
      </c>
      <c r="M19" s="50">
        <v>30</v>
      </c>
      <c r="N19" s="50">
        <v>0</v>
      </c>
      <c r="O19" s="15">
        <f t="shared" si="0"/>
        <v>24</v>
      </c>
      <c r="P19" s="15">
        <f t="shared" si="1"/>
        <v>54</v>
      </c>
      <c r="R19" s="1" t="s">
        <v>15</v>
      </c>
      <c r="S19" s="17">
        <f t="shared" ref="S19:AF19" si="11">SUM(C46:C49)</f>
        <v>23</v>
      </c>
      <c r="T19" s="17">
        <f t="shared" si="11"/>
        <v>1</v>
      </c>
      <c r="U19" s="17">
        <f t="shared" si="11"/>
        <v>9</v>
      </c>
      <c r="V19" s="17">
        <f t="shared" si="11"/>
        <v>41</v>
      </c>
      <c r="W19" s="17">
        <f t="shared" si="11"/>
        <v>3</v>
      </c>
      <c r="X19" s="17">
        <f t="shared" si="11"/>
        <v>1</v>
      </c>
      <c r="Y19" s="17">
        <f t="shared" si="11"/>
        <v>17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133</v>
      </c>
      <c r="AD19" s="17">
        <f t="shared" si="11"/>
        <v>0</v>
      </c>
      <c r="AE19" s="31">
        <f t="shared" si="11"/>
        <v>95</v>
      </c>
      <c r="AF19" s="31">
        <f t="shared" si="11"/>
        <v>228</v>
      </c>
    </row>
    <row r="20" spans="2:32" ht="23.1" customHeight="1" x14ac:dyDescent="0.25">
      <c r="B20" s="23" t="s">
        <v>47</v>
      </c>
      <c r="C20" s="50">
        <v>10</v>
      </c>
      <c r="D20" s="50">
        <v>0</v>
      </c>
      <c r="E20" s="50">
        <v>1</v>
      </c>
      <c r="F20" s="50">
        <v>12</v>
      </c>
      <c r="G20" s="50">
        <v>1</v>
      </c>
      <c r="H20" s="50">
        <v>0</v>
      </c>
      <c r="I20" s="50">
        <v>3</v>
      </c>
      <c r="J20" s="50">
        <v>0</v>
      </c>
      <c r="K20" s="50">
        <v>0</v>
      </c>
      <c r="L20" s="50">
        <f>SUM('[1]RD4 MCC'!R112:U112)</f>
        <v>0</v>
      </c>
      <c r="M20" s="50">
        <v>25</v>
      </c>
      <c r="N20" s="50">
        <v>0</v>
      </c>
      <c r="O20" s="15">
        <f t="shared" si="0"/>
        <v>27</v>
      </c>
      <c r="P20" s="15">
        <f t="shared" si="1"/>
        <v>52</v>
      </c>
      <c r="R20" s="1" t="s">
        <v>16</v>
      </c>
      <c r="S20" s="17">
        <f t="shared" ref="S20:AF20" si="12">SUM(C50:C53)</f>
        <v>35</v>
      </c>
      <c r="T20" s="17">
        <f t="shared" si="12"/>
        <v>4</v>
      </c>
      <c r="U20" s="17">
        <f t="shared" si="12"/>
        <v>14</v>
      </c>
      <c r="V20" s="17">
        <f t="shared" si="12"/>
        <v>46</v>
      </c>
      <c r="W20" s="17">
        <f t="shared" si="12"/>
        <v>6</v>
      </c>
      <c r="X20" s="17">
        <f t="shared" si="12"/>
        <v>1</v>
      </c>
      <c r="Y20" s="17">
        <f t="shared" si="12"/>
        <v>16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183</v>
      </c>
      <c r="AD20" s="17">
        <f t="shared" si="12"/>
        <v>0</v>
      </c>
      <c r="AE20" s="31">
        <f t="shared" si="12"/>
        <v>122</v>
      </c>
      <c r="AF20" s="31">
        <f t="shared" si="12"/>
        <v>305</v>
      </c>
    </row>
    <row r="21" spans="2:32" ht="23.1" customHeight="1" x14ac:dyDescent="0.25">
      <c r="B21" s="23" t="s">
        <v>48</v>
      </c>
      <c r="C21" s="50">
        <v>6</v>
      </c>
      <c r="D21" s="50">
        <v>1</v>
      </c>
      <c r="E21" s="50">
        <v>4</v>
      </c>
      <c r="F21" s="50">
        <v>10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f>SUM('[1]RD4 MCC'!R113:U113)</f>
        <v>0</v>
      </c>
      <c r="M21" s="50">
        <v>43</v>
      </c>
      <c r="N21" s="50">
        <v>0</v>
      </c>
      <c r="O21" s="15">
        <f t="shared" si="0"/>
        <v>22</v>
      </c>
      <c r="P21" s="15">
        <f t="shared" si="1"/>
        <v>65</v>
      </c>
      <c r="R21" s="36" t="s">
        <v>20</v>
      </c>
      <c r="S21" s="34">
        <f t="shared" ref="S21:AF21" si="13">SUM(C54:C57)</f>
        <v>26</v>
      </c>
      <c r="T21" s="17">
        <f t="shared" si="13"/>
        <v>1</v>
      </c>
      <c r="U21" s="17">
        <f t="shared" si="13"/>
        <v>12</v>
      </c>
      <c r="V21" s="17">
        <f t="shared" si="13"/>
        <v>43</v>
      </c>
      <c r="W21" s="17">
        <f t="shared" si="13"/>
        <v>12</v>
      </c>
      <c r="X21" s="17">
        <f t="shared" si="13"/>
        <v>0</v>
      </c>
      <c r="Y21" s="17">
        <f t="shared" si="13"/>
        <v>10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209</v>
      </c>
      <c r="AD21" s="17">
        <f t="shared" si="13"/>
        <v>0</v>
      </c>
      <c r="AE21" s="31">
        <f t="shared" si="13"/>
        <v>105</v>
      </c>
      <c r="AF21" s="31">
        <f t="shared" si="13"/>
        <v>314</v>
      </c>
    </row>
    <row r="22" spans="2:32" ht="23.1" customHeight="1" x14ac:dyDescent="0.25">
      <c r="B22" s="23" t="s">
        <v>49</v>
      </c>
      <c r="C22" s="50">
        <v>7</v>
      </c>
      <c r="D22" s="50">
        <v>2</v>
      </c>
      <c r="E22" s="50">
        <v>7</v>
      </c>
      <c r="F22" s="50">
        <v>6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f>SUM('[1]RD4 MCC'!R114:U114)</f>
        <v>0</v>
      </c>
      <c r="M22" s="50">
        <v>40</v>
      </c>
      <c r="N22" s="50">
        <v>0</v>
      </c>
      <c r="O22" s="15">
        <f t="shared" si="0"/>
        <v>23</v>
      </c>
      <c r="P22" s="15">
        <f t="shared" si="1"/>
        <v>63</v>
      </c>
      <c r="R22" s="38" t="s">
        <v>90</v>
      </c>
      <c r="S22" s="39">
        <f>MAX(S10:S12)</f>
        <v>25</v>
      </c>
      <c r="T22" s="39">
        <f t="shared" ref="T22:AF22" si="14">MAX(T10:T12)</f>
        <v>2</v>
      </c>
      <c r="U22" s="39">
        <f t="shared" si="14"/>
        <v>9</v>
      </c>
      <c r="V22" s="39">
        <f t="shared" si="14"/>
        <v>44</v>
      </c>
      <c r="W22" s="39">
        <f t="shared" si="14"/>
        <v>17</v>
      </c>
      <c r="X22" s="39">
        <f t="shared" si="14"/>
        <v>0</v>
      </c>
      <c r="Y22" s="39">
        <f t="shared" si="14"/>
        <v>14</v>
      </c>
      <c r="Z22" s="39">
        <f t="shared" si="14"/>
        <v>3</v>
      </c>
      <c r="AA22" s="39">
        <f t="shared" si="14"/>
        <v>0</v>
      </c>
      <c r="AB22" s="39">
        <f t="shared" si="14"/>
        <v>0</v>
      </c>
      <c r="AC22" s="39">
        <f t="shared" si="14"/>
        <v>138</v>
      </c>
      <c r="AD22" s="39">
        <f t="shared" si="14"/>
        <v>0</v>
      </c>
      <c r="AE22" s="40">
        <f t="shared" si="14"/>
        <v>93</v>
      </c>
      <c r="AF22" s="40">
        <f t="shared" si="14"/>
        <v>231</v>
      </c>
    </row>
    <row r="23" spans="2:32" ht="23.1" customHeight="1" x14ac:dyDescent="0.25">
      <c r="B23" s="23" t="s">
        <v>50</v>
      </c>
      <c r="C23" s="50">
        <v>3</v>
      </c>
      <c r="D23" s="50">
        <v>1</v>
      </c>
      <c r="E23" s="50">
        <v>4</v>
      </c>
      <c r="F23" s="50">
        <v>12</v>
      </c>
      <c r="G23" s="50">
        <v>1</v>
      </c>
      <c r="H23" s="50">
        <v>0</v>
      </c>
      <c r="I23" s="50">
        <v>7</v>
      </c>
      <c r="J23" s="50">
        <v>1</v>
      </c>
      <c r="K23" s="50">
        <v>0</v>
      </c>
      <c r="L23" s="50">
        <f>SUM('[1]RD4 MCC'!R115:U115)</f>
        <v>0</v>
      </c>
      <c r="M23" s="50">
        <v>33</v>
      </c>
      <c r="N23" s="50">
        <v>0</v>
      </c>
      <c r="O23" s="15">
        <f t="shared" si="0"/>
        <v>29</v>
      </c>
      <c r="P23" s="15">
        <f t="shared" si="1"/>
        <v>62</v>
      </c>
      <c r="R23" s="38" t="s">
        <v>91</v>
      </c>
      <c r="S23" s="39">
        <f>MAX(S13:S18)</f>
        <v>26</v>
      </c>
      <c r="T23" s="39">
        <f t="shared" ref="T23:AF23" si="15">MAX(T13:T18)</f>
        <v>5</v>
      </c>
      <c r="U23" s="39">
        <f t="shared" si="15"/>
        <v>21</v>
      </c>
      <c r="V23" s="39">
        <f t="shared" si="15"/>
        <v>47</v>
      </c>
      <c r="W23" s="39">
        <f t="shared" si="15"/>
        <v>7</v>
      </c>
      <c r="X23" s="39">
        <f t="shared" si="15"/>
        <v>2</v>
      </c>
      <c r="Y23" s="39">
        <f t="shared" si="15"/>
        <v>22</v>
      </c>
      <c r="Z23" s="39">
        <f t="shared" si="15"/>
        <v>2</v>
      </c>
      <c r="AA23" s="39">
        <f t="shared" si="15"/>
        <v>1</v>
      </c>
      <c r="AB23" s="39">
        <f t="shared" si="15"/>
        <v>0</v>
      </c>
      <c r="AC23" s="39">
        <f t="shared" si="15"/>
        <v>165</v>
      </c>
      <c r="AD23" s="39">
        <f t="shared" si="15"/>
        <v>1</v>
      </c>
      <c r="AE23" s="40">
        <f t="shared" si="15"/>
        <v>105</v>
      </c>
      <c r="AF23" s="40">
        <f t="shared" si="15"/>
        <v>266</v>
      </c>
    </row>
    <row r="24" spans="2:32" ht="23.1" customHeight="1" x14ac:dyDescent="0.25">
      <c r="B24" s="23" t="s">
        <v>51</v>
      </c>
      <c r="C24" s="50">
        <v>5</v>
      </c>
      <c r="D24" s="50">
        <v>0</v>
      </c>
      <c r="E24" s="50">
        <v>3</v>
      </c>
      <c r="F24" s="50">
        <v>15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f>SUM('[1]RD4 MCC'!R116:U116)</f>
        <v>0</v>
      </c>
      <c r="M24" s="50">
        <v>42</v>
      </c>
      <c r="N24" s="50">
        <v>0</v>
      </c>
      <c r="O24" s="15">
        <f t="shared" si="0"/>
        <v>24</v>
      </c>
      <c r="P24" s="15">
        <f t="shared" si="1"/>
        <v>66</v>
      </c>
      <c r="R24" s="38" t="s">
        <v>92</v>
      </c>
      <c r="S24" s="39">
        <f>MAX(S19:S21)</f>
        <v>35</v>
      </c>
      <c r="T24" s="39">
        <f t="shared" ref="T24:AF24" si="16">MAX(T19:T21)</f>
        <v>4</v>
      </c>
      <c r="U24" s="39">
        <f t="shared" si="16"/>
        <v>14</v>
      </c>
      <c r="V24" s="39">
        <f t="shared" si="16"/>
        <v>46</v>
      </c>
      <c r="W24" s="39">
        <f t="shared" si="16"/>
        <v>12</v>
      </c>
      <c r="X24" s="39">
        <f t="shared" si="16"/>
        <v>1</v>
      </c>
      <c r="Y24" s="39">
        <f t="shared" si="16"/>
        <v>17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209</v>
      </c>
      <c r="AD24" s="39">
        <f t="shared" si="16"/>
        <v>0</v>
      </c>
      <c r="AE24" s="40">
        <f t="shared" si="16"/>
        <v>122</v>
      </c>
      <c r="AF24" s="40">
        <f t="shared" si="16"/>
        <v>314</v>
      </c>
    </row>
    <row r="25" spans="2:32" ht="23.1" customHeight="1" x14ac:dyDescent="0.25">
      <c r="B25" s="23" t="s">
        <v>52</v>
      </c>
      <c r="C25" s="50">
        <v>7</v>
      </c>
      <c r="D25" s="50">
        <v>0</v>
      </c>
      <c r="E25" s="50">
        <v>3</v>
      </c>
      <c r="F25" s="50">
        <v>11</v>
      </c>
      <c r="G25" s="50">
        <v>0</v>
      </c>
      <c r="H25" s="50">
        <v>0</v>
      </c>
      <c r="I25" s="50">
        <v>2</v>
      </c>
      <c r="J25" s="50">
        <v>1</v>
      </c>
      <c r="K25" s="50">
        <v>0</v>
      </c>
      <c r="L25" s="50">
        <f>SUM('[1]RD4 MCC'!R117:U117)</f>
        <v>0</v>
      </c>
      <c r="M25" s="50">
        <v>50</v>
      </c>
      <c r="N25" s="50">
        <v>1</v>
      </c>
      <c r="O25" s="15">
        <f t="shared" si="0"/>
        <v>25</v>
      </c>
      <c r="P25" s="15">
        <f t="shared" si="1"/>
        <v>75</v>
      </c>
      <c r="R25" s="37" t="s">
        <v>85</v>
      </c>
      <c r="S25" s="35">
        <f t="shared" ref="S25:AF25" si="17">SUM(S10:S12)</f>
        <v>59</v>
      </c>
      <c r="T25" s="16">
        <f t="shared" si="17"/>
        <v>3</v>
      </c>
      <c r="U25" s="16">
        <f t="shared" si="17"/>
        <v>20</v>
      </c>
      <c r="V25" s="16">
        <f t="shared" si="17"/>
        <v>100</v>
      </c>
      <c r="W25" s="16">
        <f t="shared" si="17"/>
        <v>28</v>
      </c>
      <c r="X25" s="16">
        <f t="shared" si="17"/>
        <v>0</v>
      </c>
      <c r="Y25" s="16">
        <f t="shared" si="17"/>
        <v>30</v>
      </c>
      <c r="Z25" s="16">
        <f t="shared" si="17"/>
        <v>5</v>
      </c>
      <c r="AA25" s="16">
        <f t="shared" si="17"/>
        <v>0</v>
      </c>
      <c r="AB25" s="16">
        <f t="shared" si="17"/>
        <v>0</v>
      </c>
      <c r="AC25" s="16">
        <f t="shared" si="17"/>
        <v>341</v>
      </c>
      <c r="AD25" s="16">
        <f t="shared" si="17"/>
        <v>0</v>
      </c>
      <c r="AE25" s="32">
        <f t="shared" si="17"/>
        <v>245</v>
      </c>
      <c r="AF25" s="32">
        <f t="shared" si="17"/>
        <v>586</v>
      </c>
    </row>
    <row r="26" spans="2:32" ht="23.1" customHeight="1" x14ac:dyDescent="0.25">
      <c r="B26" s="23" t="s">
        <v>53</v>
      </c>
      <c r="C26" s="50">
        <v>7</v>
      </c>
      <c r="D26" s="50">
        <v>0</v>
      </c>
      <c r="E26" s="50">
        <v>2</v>
      </c>
      <c r="F26" s="50">
        <v>12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f>SUM('[1]RD4 MCC'!R118:U118)</f>
        <v>0</v>
      </c>
      <c r="M26" s="50">
        <v>37</v>
      </c>
      <c r="N26" s="50">
        <v>0</v>
      </c>
      <c r="O26" s="15">
        <f t="shared" si="0"/>
        <v>24</v>
      </c>
      <c r="P26" s="15">
        <f t="shared" si="1"/>
        <v>61</v>
      </c>
      <c r="R26" s="28" t="s">
        <v>86</v>
      </c>
      <c r="S26" s="16">
        <f t="shared" ref="S26:AF26" si="18">SUM(S13:S18)</f>
        <v>143</v>
      </c>
      <c r="T26" s="16">
        <f t="shared" si="18"/>
        <v>17</v>
      </c>
      <c r="U26" s="16">
        <f t="shared" si="18"/>
        <v>87</v>
      </c>
      <c r="V26" s="16">
        <f t="shared" si="18"/>
        <v>257</v>
      </c>
      <c r="W26" s="16">
        <f t="shared" si="18"/>
        <v>20</v>
      </c>
      <c r="X26" s="16">
        <f t="shared" si="18"/>
        <v>3</v>
      </c>
      <c r="Y26" s="16">
        <f t="shared" si="18"/>
        <v>66</v>
      </c>
      <c r="Z26" s="16">
        <f t="shared" si="18"/>
        <v>3</v>
      </c>
      <c r="AA26" s="16">
        <f t="shared" si="18"/>
        <v>3</v>
      </c>
      <c r="AB26" s="16">
        <f t="shared" si="18"/>
        <v>0</v>
      </c>
      <c r="AC26" s="16">
        <f t="shared" si="18"/>
        <v>905</v>
      </c>
      <c r="AD26" s="16">
        <f t="shared" si="18"/>
        <v>1</v>
      </c>
      <c r="AE26" s="32">
        <f t="shared" si="18"/>
        <v>600</v>
      </c>
      <c r="AF26" s="32">
        <f t="shared" si="18"/>
        <v>1505</v>
      </c>
    </row>
    <row r="27" spans="2:32" ht="23.1" customHeight="1" x14ac:dyDescent="0.25">
      <c r="B27" s="23" t="s">
        <v>54</v>
      </c>
      <c r="C27" s="50">
        <v>6</v>
      </c>
      <c r="D27" s="50">
        <v>1</v>
      </c>
      <c r="E27" s="50">
        <v>3</v>
      </c>
      <c r="F27" s="50">
        <v>13</v>
      </c>
      <c r="G27" s="50">
        <v>0</v>
      </c>
      <c r="H27" s="50">
        <v>0</v>
      </c>
      <c r="I27" s="50">
        <v>2</v>
      </c>
      <c r="J27" s="50">
        <v>0</v>
      </c>
      <c r="K27" s="50">
        <v>1</v>
      </c>
      <c r="L27" s="50">
        <f>SUM('[1]RD4 MCC'!R119:U119)</f>
        <v>0</v>
      </c>
      <c r="M27" s="50">
        <v>53</v>
      </c>
      <c r="N27" s="50">
        <v>0</v>
      </c>
      <c r="O27" s="15">
        <f t="shared" si="0"/>
        <v>26</v>
      </c>
      <c r="P27" s="15">
        <f t="shared" si="1"/>
        <v>79</v>
      </c>
      <c r="R27" s="29" t="s">
        <v>87</v>
      </c>
      <c r="S27" s="16">
        <f t="shared" ref="S27:AF27" si="19">SUM(S19:S21)</f>
        <v>84</v>
      </c>
      <c r="T27" s="16">
        <f t="shared" si="19"/>
        <v>6</v>
      </c>
      <c r="U27" s="16">
        <f t="shared" si="19"/>
        <v>35</v>
      </c>
      <c r="V27" s="16">
        <f t="shared" si="19"/>
        <v>130</v>
      </c>
      <c r="W27" s="16">
        <f t="shared" si="19"/>
        <v>21</v>
      </c>
      <c r="X27" s="16">
        <f t="shared" si="19"/>
        <v>2</v>
      </c>
      <c r="Y27" s="16">
        <f t="shared" si="19"/>
        <v>43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525</v>
      </c>
      <c r="AD27" s="16">
        <f t="shared" si="19"/>
        <v>0</v>
      </c>
      <c r="AE27" s="32">
        <f t="shared" si="19"/>
        <v>322</v>
      </c>
      <c r="AF27" s="32">
        <f t="shared" si="19"/>
        <v>847</v>
      </c>
    </row>
    <row r="28" spans="2:32" ht="23.1" customHeight="1" x14ac:dyDescent="0.25">
      <c r="B28" s="23" t="s">
        <v>55</v>
      </c>
      <c r="C28" s="50">
        <v>10</v>
      </c>
      <c r="D28" s="50">
        <v>1</v>
      </c>
      <c r="E28" s="50">
        <v>5</v>
      </c>
      <c r="F28" s="50">
        <v>12</v>
      </c>
      <c r="G28" s="50">
        <v>1</v>
      </c>
      <c r="H28" s="50">
        <v>0</v>
      </c>
      <c r="I28" s="50">
        <v>4</v>
      </c>
      <c r="J28" s="50">
        <v>0</v>
      </c>
      <c r="K28" s="50">
        <v>0</v>
      </c>
      <c r="L28" s="50">
        <f>SUM('[1]RD4 MCC'!R120:U120)</f>
        <v>0</v>
      </c>
      <c r="M28" s="50">
        <v>26</v>
      </c>
      <c r="N28" s="50">
        <v>0</v>
      </c>
      <c r="O28" s="15">
        <f t="shared" si="0"/>
        <v>33</v>
      </c>
      <c r="P28" s="15">
        <f t="shared" si="1"/>
        <v>59</v>
      </c>
      <c r="R28" s="5" t="s">
        <v>17</v>
      </c>
      <c r="S28" s="16">
        <f t="shared" ref="S28:AF28" si="20">SUM(S10:S21)</f>
        <v>286</v>
      </c>
      <c r="T28" s="16">
        <f t="shared" si="20"/>
        <v>26</v>
      </c>
      <c r="U28" s="16">
        <f t="shared" si="20"/>
        <v>142</v>
      </c>
      <c r="V28" s="16">
        <f t="shared" si="20"/>
        <v>487</v>
      </c>
      <c r="W28" s="16">
        <f t="shared" si="20"/>
        <v>69</v>
      </c>
      <c r="X28" s="16">
        <f t="shared" si="20"/>
        <v>5</v>
      </c>
      <c r="Y28" s="16">
        <f t="shared" si="20"/>
        <v>139</v>
      </c>
      <c r="Z28" s="16">
        <f t="shared" si="20"/>
        <v>9</v>
      </c>
      <c r="AA28" s="16">
        <f t="shared" si="20"/>
        <v>3</v>
      </c>
      <c r="AB28" s="16">
        <f t="shared" si="20"/>
        <v>0</v>
      </c>
      <c r="AC28" s="16">
        <f t="shared" si="20"/>
        <v>1771</v>
      </c>
      <c r="AD28" s="16">
        <f t="shared" si="20"/>
        <v>1</v>
      </c>
      <c r="AE28" s="32">
        <f t="shared" si="20"/>
        <v>1167</v>
      </c>
      <c r="AF28" s="32">
        <f t="shared" si="20"/>
        <v>2938</v>
      </c>
    </row>
    <row r="29" spans="2:32" ht="23.1" customHeight="1" x14ac:dyDescent="0.25">
      <c r="B29" s="23" t="s">
        <v>56</v>
      </c>
      <c r="C29" s="50">
        <v>3</v>
      </c>
      <c r="D29" s="50">
        <v>2</v>
      </c>
      <c r="E29" s="50">
        <v>6</v>
      </c>
      <c r="F29" s="50">
        <v>9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f>SUM('[1]RD4 MCC'!R121:U121)</f>
        <v>0</v>
      </c>
      <c r="M29" s="50">
        <v>28</v>
      </c>
      <c r="N29" s="50">
        <v>0</v>
      </c>
      <c r="O29" s="15">
        <f t="shared" si="0"/>
        <v>21</v>
      </c>
      <c r="P29" s="15">
        <f t="shared" si="1"/>
        <v>49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2</v>
      </c>
      <c r="F30" s="50">
        <v>7</v>
      </c>
      <c r="G30" s="50">
        <v>0</v>
      </c>
      <c r="H30" s="50">
        <v>0</v>
      </c>
      <c r="I30" s="50">
        <v>6</v>
      </c>
      <c r="J30" s="50">
        <v>0</v>
      </c>
      <c r="K30" s="50">
        <v>0</v>
      </c>
      <c r="L30" s="50">
        <f>SUM('[1]RD4 MCC'!R122:U122)</f>
        <v>0</v>
      </c>
      <c r="M30" s="50">
        <v>44</v>
      </c>
      <c r="N30" s="50">
        <v>0</v>
      </c>
      <c r="O30" s="15">
        <f t="shared" si="0"/>
        <v>18</v>
      </c>
      <c r="P30" s="15">
        <f t="shared" si="1"/>
        <v>62</v>
      </c>
    </row>
    <row r="31" spans="2:32" ht="23.1" customHeight="1" x14ac:dyDescent="0.25">
      <c r="B31" s="24" t="s">
        <v>58</v>
      </c>
      <c r="C31" s="50">
        <v>8</v>
      </c>
      <c r="D31" s="50">
        <v>0</v>
      </c>
      <c r="E31" s="50">
        <v>1</v>
      </c>
      <c r="F31" s="50">
        <v>12</v>
      </c>
      <c r="G31" s="50">
        <v>4</v>
      </c>
      <c r="H31" s="50">
        <v>0</v>
      </c>
      <c r="I31" s="50">
        <v>5</v>
      </c>
      <c r="J31" s="50">
        <v>1</v>
      </c>
      <c r="K31" s="50">
        <v>0</v>
      </c>
      <c r="L31" s="50">
        <f>SUM('[1]RD4 MCC'!R123:U123)</f>
        <v>0</v>
      </c>
      <c r="M31" s="50">
        <v>45</v>
      </c>
      <c r="N31" s="50">
        <v>0</v>
      </c>
      <c r="O31" s="15">
        <f t="shared" si="0"/>
        <v>31</v>
      </c>
      <c r="P31" s="15">
        <f t="shared" si="1"/>
        <v>76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2</v>
      </c>
      <c r="F32" s="50">
        <v>15</v>
      </c>
      <c r="G32" s="50">
        <v>1</v>
      </c>
      <c r="H32" s="50">
        <v>0</v>
      </c>
      <c r="I32" s="50">
        <v>8</v>
      </c>
      <c r="J32" s="50">
        <v>0</v>
      </c>
      <c r="K32" s="50">
        <v>0</v>
      </c>
      <c r="L32" s="50">
        <f>SUM('[1]RD4 MCC'!R124:U124)</f>
        <v>0</v>
      </c>
      <c r="M32" s="50">
        <v>29</v>
      </c>
      <c r="N32" s="50">
        <v>0</v>
      </c>
      <c r="O32" s="15">
        <f t="shared" si="0"/>
        <v>29</v>
      </c>
      <c r="P32" s="15">
        <f t="shared" si="1"/>
        <v>58</v>
      </c>
    </row>
    <row r="33" spans="2:20" ht="23.1" customHeight="1" x14ac:dyDescent="0.25">
      <c r="B33" s="23" t="s">
        <v>60</v>
      </c>
      <c r="C33" s="50">
        <v>7</v>
      </c>
      <c r="D33" s="50">
        <v>1</v>
      </c>
      <c r="E33" s="50">
        <v>4</v>
      </c>
      <c r="F33" s="50">
        <v>7</v>
      </c>
      <c r="G33" s="50">
        <v>2</v>
      </c>
      <c r="H33" s="50">
        <v>0</v>
      </c>
      <c r="I33" s="50">
        <v>3</v>
      </c>
      <c r="J33" s="50">
        <v>0</v>
      </c>
      <c r="K33" s="50">
        <v>0</v>
      </c>
      <c r="L33" s="50">
        <f>SUM('[1]RD4 MCC'!R125:U125)</f>
        <v>0</v>
      </c>
      <c r="M33" s="50">
        <v>30</v>
      </c>
      <c r="N33" s="50">
        <v>0</v>
      </c>
      <c r="O33" s="15">
        <f t="shared" si="0"/>
        <v>24</v>
      </c>
      <c r="P33" s="15">
        <f t="shared" si="1"/>
        <v>54</v>
      </c>
    </row>
    <row r="34" spans="2:20" ht="23.1" customHeight="1" x14ac:dyDescent="0.25">
      <c r="B34" s="24" t="s">
        <v>61</v>
      </c>
      <c r="C34" s="50">
        <v>9</v>
      </c>
      <c r="D34" s="50">
        <v>1</v>
      </c>
      <c r="E34" s="50">
        <v>4</v>
      </c>
      <c r="F34" s="50">
        <v>10</v>
      </c>
      <c r="G34" s="50">
        <v>3</v>
      </c>
      <c r="H34" s="50">
        <v>1</v>
      </c>
      <c r="I34" s="50">
        <v>7</v>
      </c>
      <c r="J34" s="50">
        <v>0</v>
      </c>
      <c r="K34" s="50">
        <v>0</v>
      </c>
      <c r="L34" s="50">
        <f>SUM('[1]RD4 MCC'!R126:U126)</f>
        <v>0</v>
      </c>
      <c r="M34" s="50">
        <v>34</v>
      </c>
      <c r="N34" s="50">
        <v>0</v>
      </c>
      <c r="O34" s="15">
        <f t="shared" si="0"/>
        <v>35</v>
      </c>
      <c r="P34" s="15">
        <f t="shared" si="1"/>
        <v>69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2</v>
      </c>
      <c r="F35" s="50">
        <v>13</v>
      </c>
      <c r="G35" s="50">
        <v>1</v>
      </c>
      <c r="H35" s="50">
        <v>0</v>
      </c>
      <c r="I35" s="50">
        <v>1</v>
      </c>
      <c r="J35" s="50">
        <v>0</v>
      </c>
      <c r="K35" s="50">
        <v>0</v>
      </c>
      <c r="L35" s="50">
        <f>SUM('[1]RD4 MCC'!R127:U127)</f>
        <v>0</v>
      </c>
      <c r="M35" s="50">
        <v>43</v>
      </c>
      <c r="N35" s="50">
        <v>0</v>
      </c>
      <c r="O35" s="15">
        <f t="shared" si="0"/>
        <v>21</v>
      </c>
      <c r="P35" s="15">
        <f t="shared" si="1"/>
        <v>64</v>
      </c>
    </row>
    <row r="36" spans="2:20" ht="23.1" customHeight="1" x14ac:dyDescent="0.25">
      <c r="B36" s="24" t="s">
        <v>63</v>
      </c>
      <c r="C36" s="50">
        <v>5</v>
      </c>
      <c r="D36" s="50">
        <v>0</v>
      </c>
      <c r="E36" s="50">
        <v>3</v>
      </c>
      <c r="F36" s="50">
        <v>13</v>
      </c>
      <c r="G36" s="50">
        <v>1</v>
      </c>
      <c r="H36" s="50">
        <v>0</v>
      </c>
      <c r="I36" s="50">
        <v>0</v>
      </c>
      <c r="J36" s="50">
        <v>0</v>
      </c>
      <c r="K36" s="50">
        <v>0</v>
      </c>
      <c r="L36" s="50">
        <f>SUM('[1]RD4 MCC'!R128:U128)</f>
        <v>0</v>
      </c>
      <c r="M36" s="50">
        <v>27</v>
      </c>
      <c r="N36" s="50">
        <v>0</v>
      </c>
      <c r="O36" s="15">
        <f t="shared" si="0"/>
        <v>22</v>
      </c>
      <c r="P36" s="15">
        <f t="shared" si="1"/>
        <v>49</v>
      </c>
    </row>
    <row r="37" spans="2:20" ht="23.1" customHeight="1" x14ac:dyDescent="0.25">
      <c r="B37" s="23" t="s">
        <v>64</v>
      </c>
      <c r="C37" s="50">
        <v>6</v>
      </c>
      <c r="D37" s="50">
        <v>1</v>
      </c>
      <c r="E37" s="50">
        <v>4</v>
      </c>
      <c r="F37" s="50">
        <v>11</v>
      </c>
      <c r="G37" s="50">
        <v>2</v>
      </c>
      <c r="H37" s="50">
        <v>0</v>
      </c>
      <c r="I37" s="50">
        <v>2</v>
      </c>
      <c r="J37" s="50">
        <v>0</v>
      </c>
      <c r="K37" s="50">
        <v>1</v>
      </c>
      <c r="L37" s="50">
        <f>SUM('[1]RD4 MCC'!R129:U129)</f>
        <v>0</v>
      </c>
      <c r="M37" s="50">
        <v>43</v>
      </c>
      <c r="N37" s="50">
        <v>0</v>
      </c>
      <c r="O37" s="15">
        <f t="shared" si="0"/>
        <v>27</v>
      </c>
      <c r="P37" s="15">
        <f t="shared" si="1"/>
        <v>70</v>
      </c>
    </row>
    <row r="38" spans="2:20" ht="23.1" customHeight="1" x14ac:dyDescent="0.25">
      <c r="B38" s="24" t="s">
        <v>65</v>
      </c>
      <c r="C38" s="50">
        <v>7</v>
      </c>
      <c r="D38" s="50">
        <v>1</v>
      </c>
      <c r="E38" s="50">
        <v>5</v>
      </c>
      <c r="F38" s="50">
        <v>7</v>
      </c>
      <c r="G38" s="50">
        <v>1</v>
      </c>
      <c r="H38" s="50">
        <v>0</v>
      </c>
      <c r="I38" s="50">
        <v>3</v>
      </c>
      <c r="J38" s="50">
        <v>0</v>
      </c>
      <c r="K38" s="50">
        <v>1</v>
      </c>
      <c r="L38" s="50">
        <f>SUM('[1]RD4 MCC'!R130:U130)</f>
        <v>0</v>
      </c>
      <c r="M38" s="50">
        <v>35</v>
      </c>
      <c r="N38" s="50">
        <v>0</v>
      </c>
      <c r="O38" s="15">
        <f t="shared" si="0"/>
        <v>25</v>
      </c>
      <c r="P38" s="15">
        <f t="shared" si="1"/>
        <v>60</v>
      </c>
    </row>
    <row r="39" spans="2:20" ht="23.1" customHeight="1" x14ac:dyDescent="0.25">
      <c r="B39" s="24" t="s">
        <v>66</v>
      </c>
      <c r="C39" s="50">
        <v>7</v>
      </c>
      <c r="D39" s="50">
        <v>2</v>
      </c>
      <c r="E39" s="50">
        <v>6</v>
      </c>
      <c r="F39" s="50">
        <v>13</v>
      </c>
      <c r="G39" s="50">
        <v>0</v>
      </c>
      <c r="H39" s="50">
        <v>1</v>
      </c>
      <c r="I39" s="50">
        <v>0</v>
      </c>
      <c r="J39" s="50">
        <v>0</v>
      </c>
      <c r="K39" s="50">
        <v>0</v>
      </c>
      <c r="L39" s="50">
        <f>SUM('[1]RD4 MCC'!R131:U131)</f>
        <v>0</v>
      </c>
      <c r="M39" s="50">
        <v>43</v>
      </c>
      <c r="N39" s="50">
        <v>0</v>
      </c>
      <c r="O39" s="15">
        <f t="shared" si="0"/>
        <v>29</v>
      </c>
      <c r="P39" s="15">
        <f t="shared" si="1"/>
        <v>72</v>
      </c>
    </row>
    <row r="40" spans="2:20" ht="23.1" customHeight="1" x14ac:dyDescent="0.25">
      <c r="B40" s="24" t="s">
        <v>67</v>
      </c>
      <c r="C40" s="50">
        <v>9</v>
      </c>
      <c r="D40" s="50">
        <v>0</v>
      </c>
      <c r="E40" s="50">
        <v>3</v>
      </c>
      <c r="F40" s="50">
        <v>9</v>
      </c>
      <c r="G40" s="50">
        <v>0</v>
      </c>
      <c r="H40" s="50">
        <v>1</v>
      </c>
      <c r="I40" s="50">
        <v>2</v>
      </c>
      <c r="J40" s="50">
        <v>0</v>
      </c>
      <c r="K40" s="50">
        <v>0</v>
      </c>
      <c r="L40" s="50">
        <f>SUM('[1]RD4 MCC'!R132:U132)</f>
        <v>0</v>
      </c>
      <c r="M40" s="50">
        <v>47</v>
      </c>
      <c r="N40" s="50">
        <v>0</v>
      </c>
      <c r="O40" s="15">
        <f t="shared" si="0"/>
        <v>24</v>
      </c>
      <c r="P40" s="15">
        <f t="shared" si="1"/>
        <v>71</v>
      </c>
    </row>
    <row r="41" spans="2:20" ht="23.1" customHeight="1" x14ac:dyDescent="0.25">
      <c r="B41" s="23" t="s">
        <v>68</v>
      </c>
      <c r="C41" s="50">
        <v>3</v>
      </c>
      <c r="D41" s="50">
        <v>2</v>
      </c>
      <c r="E41" s="50">
        <v>7</v>
      </c>
      <c r="F41" s="50">
        <v>13</v>
      </c>
      <c r="G41" s="50">
        <v>1</v>
      </c>
      <c r="H41" s="50">
        <v>0</v>
      </c>
      <c r="I41" s="50">
        <v>1</v>
      </c>
      <c r="J41" s="50">
        <v>0</v>
      </c>
      <c r="K41" s="50">
        <v>0</v>
      </c>
      <c r="L41" s="50">
        <f>SUM('[1]RD4 MCC'!R133:U133)</f>
        <v>0</v>
      </c>
      <c r="M41" s="50">
        <v>35</v>
      </c>
      <c r="N41" s="50">
        <v>0</v>
      </c>
      <c r="O41" s="15">
        <f t="shared" si="0"/>
        <v>27</v>
      </c>
      <c r="P41" s="15">
        <f t="shared" si="1"/>
        <v>62</v>
      </c>
    </row>
    <row r="42" spans="2:20" ht="23.1" customHeight="1" x14ac:dyDescent="0.25">
      <c r="B42" s="24" t="s">
        <v>69</v>
      </c>
      <c r="C42" s="50">
        <v>4</v>
      </c>
      <c r="D42" s="50">
        <v>1</v>
      </c>
      <c r="E42" s="50">
        <v>3</v>
      </c>
      <c r="F42" s="50">
        <v>9</v>
      </c>
      <c r="G42" s="50">
        <v>1</v>
      </c>
      <c r="H42" s="50">
        <v>0</v>
      </c>
      <c r="I42" s="50">
        <v>3</v>
      </c>
      <c r="J42" s="50">
        <v>0</v>
      </c>
      <c r="K42" s="50">
        <v>0</v>
      </c>
      <c r="L42" s="50">
        <f>SUM('[1]RD4 MCC'!R134:U134)</f>
        <v>0</v>
      </c>
      <c r="M42" s="50">
        <v>42</v>
      </c>
      <c r="N42" s="50">
        <v>0</v>
      </c>
      <c r="O42" s="15">
        <f t="shared" si="0"/>
        <v>21</v>
      </c>
      <c r="P42" s="15">
        <f t="shared" si="1"/>
        <v>63</v>
      </c>
    </row>
    <row r="43" spans="2:20" ht="23.1" customHeight="1" x14ac:dyDescent="0.25">
      <c r="B43" s="23" t="s">
        <v>70</v>
      </c>
      <c r="C43" s="50">
        <v>8</v>
      </c>
      <c r="D43" s="50">
        <v>0</v>
      </c>
      <c r="E43" s="50">
        <v>2</v>
      </c>
      <c r="F43" s="50">
        <v>7</v>
      </c>
      <c r="G43" s="50">
        <v>1</v>
      </c>
      <c r="H43" s="50">
        <v>0</v>
      </c>
      <c r="I43" s="50">
        <v>1</v>
      </c>
      <c r="J43" s="50">
        <v>0</v>
      </c>
      <c r="K43" s="50">
        <v>0</v>
      </c>
      <c r="L43" s="50">
        <f>SUM('[1]RD4 MCC'!R135:U135)</f>
        <v>0</v>
      </c>
      <c r="M43" s="50">
        <v>39</v>
      </c>
      <c r="N43" s="50">
        <v>0</v>
      </c>
      <c r="O43" s="15">
        <f t="shared" si="0"/>
        <v>19</v>
      </c>
      <c r="P43" s="15">
        <f t="shared" si="1"/>
        <v>58</v>
      </c>
    </row>
    <row r="44" spans="2:20" ht="23.1" customHeight="1" x14ac:dyDescent="0.25">
      <c r="B44" s="25" t="s">
        <v>71</v>
      </c>
      <c r="C44" s="50">
        <v>6</v>
      </c>
      <c r="D44" s="50">
        <v>1</v>
      </c>
      <c r="E44" s="50">
        <v>4</v>
      </c>
      <c r="F44" s="50">
        <v>10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f>SUM('[1]RD4 MCC'!R136:U136)</f>
        <v>0</v>
      </c>
      <c r="M44" s="50">
        <v>26</v>
      </c>
      <c r="N44" s="50">
        <v>0</v>
      </c>
      <c r="O44" s="15">
        <f t="shared" si="0"/>
        <v>23</v>
      </c>
      <c r="P44" s="15">
        <f t="shared" si="1"/>
        <v>49</v>
      </c>
    </row>
    <row r="45" spans="2:20" ht="23.1" customHeight="1" x14ac:dyDescent="0.25">
      <c r="B45" s="23" t="s">
        <v>72</v>
      </c>
      <c r="C45" s="50">
        <v>6</v>
      </c>
      <c r="D45" s="50">
        <v>0</v>
      </c>
      <c r="E45" s="50">
        <v>2</v>
      </c>
      <c r="F45" s="50">
        <v>11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f>SUM('[1]RD4 MCC'!R137:U137)</f>
        <v>0</v>
      </c>
      <c r="M45" s="50">
        <v>34</v>
      </c>
      <c r="N45" s="50">
        <v>0</v>
      </c>
      <c r="O45" s="15">
        <f t="shared" si="0"/>
        <v>20</v>
      </c>
      <c r="P45" s="15">
        <f t="shared" si="1"/>
        <v>54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2</v>
      </c>
      <c r="F46" s="50">
        <v>8</v>
      </c>
      <c r="G46" s="50">
        <v>2</v>
      </c>
      <c r="H46" s="50">
        <v>0</v>
      </c>
      <c r="I46" s="50">
        <v>5</v>
      </c>
      <c r="J46" s="50">
        <v>0</v>
      </c>
      <c r="K46" s="50">
        <v>0</v>
      </c>
      <c r="L46" s="50">
        <f>SUM('[1]RD4 MCC'!R138:U138)</f>
        <v>0</v>
      </c>
      <c r="M46" s="50">
        <v>34</v>
      </c>
      <c r="N46" s="50">
        <v>0</v>
      </c>
      <c r="O46" s="15">
        <f t="shared" si="0"/>
        <v>20</v>
      </c>
      <c r="P46" s="15">
        <f t="shared" si="1"/>
        <v>54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2</v>
      </c>
      <c r="F47" s="50">
        <v>15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f>SUM('[1]RD4 MCC'!R139:U139)</f>
        <v>0</v>
      </c>
      <c r="M47" s="50">
        <v>34</v>
      </c>
      <c r="N47" s="50">
        <v>0</v>
      </c>
      <c r="O47" s="15">
        <f t="shared" si="0"/>
        <v>23</v>
      </c>
      <c r="P47" s="15">
        <f t="shared" si="1"/>
        <v>57</v>
      </c>
      <c r="R47" s="8"/>
      <c r="T47"/>
    </row>
    <row r="48" spans="2:20" ht="23.1" customHeight="1" x14ac:dyDescent="0.25">
      <c r="B48" s="24" t="s">
        <v>75</v>
      </c>
      <c r="C48" s="50">
        <v>7</v>
      </c>
      <c r="D48" s="50">
        <v>1</v>
      </c>
      <c r="E48" s="50">
        <v>3</v>
      </c>
      <c r="F48" s="50">
        <v>10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f>SUM('[1]RD4 MCC'!R140:U140)</f>
        <v>0</v>
      </c>
      <c r="M48" s="50">
        <v>27</v>
      </c>
      <c r="N48" s="50">
        <v>0</v>
      </c>
      <c r="O48" s="15">
        <f t="shared" si="0"/>
        <v>24</v>
      </c>
      <c r="P48" s="15">
        <f t="shared" si="1"/>
        <v>51</v>
      </c>
      <c r="R48" s="8"/>
      <c r="T48"/>
    </row>
    <row r="49" spans="2:20" ht="23.1" customHeight="1" x14ac:dyDescent="0.25">
      <c r="B49" s="23" t="s">
        <v>76</v>
      </c>
      <c r="C49" s="50">
        <v>11</v>
      </c>
      <c r="D49" s="50">
        <v>0</v>
      </c>
      <c r="E49" s="50">
        <v>2</v>
      </c>
      <c r="F49" s="50">
        <v>8</v>
      </c>
      <c r="G49" s="50">
        <v>1</v>
      </c>
      <c r="H49" s="50">
        <v>1</v>
      </c>
      <c r="I49" s="50">
        <v>5</v>
      </c>
      <c r="J49" s="50">
        <v>0</v>
      </c>
      <c r="K49" s="50">
        <v>0</v>
      </c>
      <c r="L49" s="50">
        <f>SUM('[1]RD4 MCC'!R141:U141)</f>
        <v>0</v>
      </c>
      <c r="M49" s="50">
        <v>38</v>
      </c>
      <c r="N49" s="50">
        <v>0</v>
      </c>
      <c r="O49" s="15">
        <f t="shared" si="0"/>
        <v>28</v>
      </c>
      <c r="P49" s="15">
        <f t="shared" si="1"/>
        <v>66</v>
      </c>
      <c r="R49" s="8"/>
      <c r="T49"/>
    </row>
    <row r="50" spans="2:20" ht="23.1" customHeight="1" x14ac:dyDescent="0.25">
      <c r="B50" s="24" t="s">
        <v>77</v>
      </c>
      <c r="C50" s="50">
        <v>7</v>
      </c>
      <c r="D50" s="50">
        <v>2</v>
      </c>
      <c r="E50" s="50">
        <v>5</v>
      </c>
      <c r="F50" s="50">
        <v>17</v>
      </c>
      <c r="G50" s="50">
        <v>0</v>
      </c>
      <c r="H50" s="50">
        <v>0</v>
      </c>
      <c r="I50" s="50">
        <v>7</v>
      </c>
      <c r="J50" s="50">
        <v>0</v>
      </c>
      <c r="K50" s="50">
        <v>0</v>
      </c>
      <c r="L50" s="50">
        <f>SUM('[1]RD4 MCC'!R142:U142)</f>
        <v>0</v>
      </c>
      <c r="M50" s="50">
        <v>38</v>
      </c>
      <c r="N50" s="50">
        <v>0</v>
      </c>
      <c r="O50" s="15">
        <f t="shared" si="0"/>
        <v>38</v>
      </c>
      <c r="P50" s="15">
        <f t="shared" si="1"/>
        <v>76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1</v>
      </c>
      <c r="E51" s="50">
        <v>4</v>
      </c>
      <c r="F51" s="50">
        <v>6</v>
      </c>
      <c r="G51" s="50">
        <v>1</v>
      </c>
      <c r="H51" s="50">
        <v>0</v>
      </c>
      <c r="I51" s="50">
        <v>2</v>
      </c>
      <c r="J51" s="50">
        <v>0</v>
      </c>
      <c r="K51" s="50">
        <v>0</v>
      </c>
      <c r="L51" s="50">
        <f>SUM('[1]RD4 MCC'!R143:U143)</f>
        <v>0</v>
      </c>
      <c r="M51" s="50">
        <v>48</v>
      </c>
      <c r="N51" s="50">
        <v>0</v>
      </c>
      <c r="O51" s="15">
        <f t="shared" si="0"/>
        <v>21</v>
      </c>
      <c r="P51" s="15">
        <f t="shared" si="1"/>
        <v>69</v>
      </c>
      <c r="R51" s="8"/>
      <c r="T51"/>
    </row>
    <row r="52" spans="2:20" ht="23.1" customHeight="1" x14ac:dyDescent="0.25">
      <c r="B52" s="24" t="s">
        <v>79</v>
      </c>
      <c r="C52" s="50">
        <v>9</v>
      </c>
      <c r="D52" s="50">
        <v>1</v>
      </c>
      <c r="E52" s="50">
        <v>4</v>
      </c>
      <c r="F52" s="50">
        <v>9</v>
      </c>
      <c r="G52" s="50">
        <v>3</v>
      </c>
      <c r="H52" s="50">
        <v>0</v>
      </c>
      <c r="I52" s="50">
        <v>2</v>
      </c>
      <c r="J52" s="50">
        <v>0</v>
      </c>
      <c r="K52" s="50">
        <v>0</v>
      </c>
      <c r="L52" s="50">
        <f>SUM('[1]RD4 MCC'!R144:U144)</f>
        <v>0</v>
      </c>
      <c r="M52" s="50">
        <v>55</v>
      </c>
      <c r="N52" s="50">
        <v>0</v>
      </c>
      <c r="O52" s="15">
        <f t="shared" si="0"/>
        <v>28</v>
      </c>
      <c r="P52" s="15">
        <f t="shared" si="1"/>
        <v>83</v>
      </c>
      <c r="R52" s="8"/>
      <c r="T52"/>
    </row>
    <row r="53" spans="2:20" ht="23.1" customHeight="1" x14ac:dyDescent="0.25">
      <c r="B53" s="23" t="s">
        <v>80</v>
      </c>
      <c r="C53" s="50">
        <v>12</v>
      </c>
      <c r="D53" s="50">
        <v>0</v>
      </c>
      <c r="E53" s="50">
        <v>1</v>
      </c>
      <c r="F53" s="50">
        <v>14</v>
      </c>
      <c r="G53" s="50">
        <v>2</v>
      </c>
      <c r="H53" s="50">
        <v>1</v>
      </c>
      <c r="I53" s="50">
        <v>5</v>
      </c>
      <c r="J53" s="50">
        <v>0</v>
      </c>
      <c r="K53" s="50">
        <v>0</v>
      </c>
      <c r="L53" s="50">
        <f>SUM('[1]RD4 MCC'!R145:U145)</f>
        <v>0</v>
      </c>
      <c r="M53" s="50">
        <v>42</v>
      </c>
      <c r="N53" s="50">
        <v>0</v>
      </c>
      <c r="O53" s="15">
        <f t="shared" si="0"/>
        <v>35</v>
      </c>
      <c r="P53" s="15">
        <f t="shared" si="1"/>
        <v>77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1</v>
      </c>
      <c r="E54" s="50">
        <v>5</v>
      </c>
      <c r="F54" s="50">
        <v>13</v>
      </c>
      <c r="G54" s="50">
        <v>4</v>
      </c>
      <c r="H54" s="50">
        <v>0</v>
      </c>
      <c r="I54" s="50">
        <v>3</v>
      </c>
      <c r="J54" s="50">
        <v>0</v>
      </c>
      <c r="K54" s="50">
        <v>0</v>
      </c>
      <c r="L54" s="50">
        <f>SUM('[1]RD4 MCC'!R146:U146)</f>
        <v>0</v>
      </c>
      <c r="M54" s="50">
        <v>62</v>
      </c>
      <c r="N54" s="50">
        <v>0</v>
      </c>
      <c r="O54" s="15">
        <f t="shared" si="0"/>
        <v>33</v>
      </c>
      <c r="P54" s="15">
        <f t="shared" si="1"/>
        <v>95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3</v>
      </c>
      <c r="F55" s="50">
        <v>11</v>
      </c>
      <c r="G55" s="50">
        <v>1</v>
      </c>
      <c r="H55" s="50">
        <v>0</v>
      </c>
      <c r="I55" s="50">
        <v>2</v>
      </c>
      <c r="J55" s="50">
        <v>0</v>
      </c>
      <c r="K55" s="50">
        <v>0</v>
      </c>
      <c r="L55" s="50">
        <f>SUM('[1]RD4 MCC'!R147:U147)</f>
        <v>0</v>
      </c>
      <c r="M55" s="50">
        <v>42</v>
      </c>
      <c r="N55" s="50">
        <v>0</v>
      </c>
      <c r="O55" s="15">
        <f t="shared" si="0"/>
        <v>21</v>
      </c>
      <c r="P55" s="15">
        <f t="shared" si="1"/>
        <v>63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0</v>
      </c>
      <c r="E56" s="50">
        <v>1</v>
      </c>
      <c r="F56" s="50">
        <v>8</v>
      </c>
      <c r="G56" s="50">
        <v>3</v>
      </c>
      <c r="H56" s="50">
        <v>0</v>
      </c>
      <c r="I56" s="50">
        <v>3</v>
      </c>
      <c r="J56" s="50">
        <v>1</v>
      </c>
      <c r="K56" s="50">
        <v>0</v>
      </c>
      <c r="L56" s="50">
        <f>SUM('[1]RD4 MCC'!R148:U148)</f>
        <v>0</v>
      </c>
      <c r="M56" s="50">
        <v>43</v>
      </c>
      <c r="N56" s="50">
        <v>0</v>
      </c>
      <c r="O56" s="15">
        <f t="shared" si="0"/>
        <v>24</v>
      </c>
      <c r="P56" s="15">
        <f t="shared" si="1"/>
        <v>67</v>
      </c>
      <c r="R56" s="8"/>
      <c r="T56"/>
    </row>
    <row r="57" spans="2:20" ht="23.1" customHeight="1" x14ac:dyDescent="0.25">
      <c r="B57" s="23" t="s">
        <v>84</v>
      </c>
      <c r="C57" s="50">
        <v>7</v>
      </c>
      <c r="D57" s="50">
        <v>0</v>
      </c>
      <c r="E57" s="50">
        <v>3</v>
      </c>
      <c r="F57" s="50">
        <v>11</v>
      </c>
      <c r="G57" s="50">
        <v>4</v>
      </c>
      <c r="H57" s="50">
        <v>0</v>
      </c>
      <c r="I57" s="50">
        <v>2</v>
      </c>
      <c r="J57" s="50">
        <v>0</v>
      </c>
      <c r="K57" s="50">
        <v>0</v>
      </c>
      <c r="L57" s="50">
        <f>SUM('[1]RD4 MCC'!R149:U149)</f>
        <v>0</v>
      </c>
      <c r="M57" s="50">
        <v>62</v>
      </c>
      <c r="N57" s="50">
        <v>0</v>
      </c>
      <c r="O57" s="15">
        <f t="shared" si="0"/>
        <v>27</v>
      </c>
      <c r="P57" s="15">
        <f t="shared" si="1"/>
        <v>89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286</v>
      </c>
      <c r="D58" s="16">
        <f t="shared" si="21"/>
        <v>26</v>
      </c>
      <c r="E58" s="16">
        <f t="shared" si="21"/>
        <v>142</v>
      </c>
      <c r="F58" s="16">
        <f t="shared" si="21"/>
        <v>487</v>
      </c>
      <c r="G58" s="16">
        <f t="shared" si="21"/>
        <v>69</v>
      </c>
      <c r="H58" s="16">
        <f t="shared" si="21"/>
        <v>5</v>
      </c>
      <c r="I58" s="16">
        <f t="shared" si="21"/>
        <v>139</v>
      </c>
      <c r="J58" s="16">
        <f t="shared" si="21"/>
        <v>9</v>
      </c>
      <c r="K58" s="16">
        <f t="shared" si="21"/>
        <v>3</v>
      </c>
      <c r="L58" s="16">
        <f t="shared" si="21"/>
        <v>0</v>
      </c>
      <c r="M58" s="16">
        <f t="shared" si="21"/>
        <v>1771</v>
      </c>
      <c r="N58" s="16">
        <f t="shared" si="21"/>
        <v>1</v>
      </c>
      <c r="O58" s="16">
        <f t="shared" si="21"/>
        <v>1167</v>
      </c>
      <c r="P58" s="16">
        <f t="shared" si="21"/>
        <v>2938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9.7345132743362831E-2</v>
      </c>
      <c r="D59" s="43">
        <f t="shared" si="22"/>
        <v>8.8495575221238937E-3</v>
      </c>
      <c r="E59" s="43">
        <f t="shared" si="22"/>
        <v>4.8332198774676649E-2</v>
      </c>
      <c r="F59" s="43">
        <f t="shared" si="22"/>
        <v>0.16575901974132062</v>
      </c>
      <c r="G59" s="43">
        <f t="shared" si="22"/>
        <v>2.3485364193328796E-2</v>
      </c>
      <c r="H59" s="43">
        <f t="shared" si="22"/>
        <v>1.7018379850238256E-3</v>
      </c>
      <c r="I59" s="43">
        <f t="shared" si="22"/>
        <v>4.7311095983662357E-2</v>
      </c>
      <c r="J59" s="43">
        <f t="shared" si="22"/>
        <v>3.0633083730428863E-3</v>
      </c>
      <c r="K59" s="43">
        <f t="shared" si="22"/>
        <v>1.0211027910142954E-3</v>
      </c>
      <c r="L59" s="43">
        <f t="shared" si="22"/>
        <v>0</v>
      </c>
      <c r="M59" s="43">
        <f t="shared" si="22"/>
        <v>0.60279101429543902</v>
      </c>
      <c r="N59" s="43">
        <f t="shared" si="22"/>
        <v>3.4036759700476512E-4</v>
      </c>
      <c r="R59" s="8"/>
      <c r="T59"/>
    </row>
    <row r="60" spans="2:20" ht="23.1" customHeight="1" x14ac:dyDescent="0.25">
      <c r="B60" s="42" t="s">
        <v>94</v>
      </c>
      <c r="C60" s="44">
        <f>C58/$O$58</f>
        <v>0.24507283633247642</v>
      </c>
      <c r="D60" s="44">
        <f t="shared" ref="D60:N60" si="23">D58/$O$58</f>
        <v>2.2279348757497857E-2</v>
      </c>
      <c r="E60" s="44">
        <f t="shared" si="23"/>
        <v>0.12167952013710369</v>
      </c>
      <c r="F60" s="44">
        <f t="shared" si="23"/>
        <v>0.41730934018851756</v>
      </c>
      <c r="G60" s="44">
        <f t="shared" si="23"/>
        <v>5.9125964010282778E-2</v>
      </c>
      <c r="H60" s="44">
        <f t="shared" si="23"/>
        <v>4.2844901456726651E-3</v>
      </c>
      <c r="I60" s="44">
        <f t="shared" si="23"/>
        <v>0.11910882604970009</v>
      </c>
      <c r="J60" s="44">
        <f t="shared" si="23"/>
        <v>7.7120822622107968E-3</v>
      </c>
      <c r="K60" s="44">
        <f t="shared" si="23"/>
        <v>2.5706940874035988E-3</v>
      </c>
      <c r="L60" s="44">
        <f t="shared" si="23"/>
        <v>0</v>
      </c>
      <c r="M60" s="44"/>
      <c r="N60" s="44">
        <f t="shared" si="23"/>
        <v>8.5689802913453304E-4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2" zoomScale="60" workbookViewId="0">
      <selection activeCell="E57" sqref="E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Buwenge-Jinja'!C3:G3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3" t="str">
        <f>'12.08 Buwenge-Jinja'!G5:H5</f>
        <v>xxx</v>
      </c>
      <c r="H5" s="64"/>
      <c r="I5" s="14"/>
      <c r="J5" s="2" t="s">
        <v>5</v>
      </c>
      <c r="K5" s="63" t="str">
        <f>'12.08 Buwenge-Jinja'!K5:L5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Buwenge-Jinja'!D6:E6</f>
        <v>Buwenge</v>
      </c>
      <c r="E6" s="64"/>
      <c r="F6" s="2" t="s">
        <v>2</v>
      </c>
      <c r="G6" s="63" t="str">
        <f>'12.08 Buwenge-Jinja'!G6:H6</f>
        <v>Jinja</v>
      </c>
      <c r="H6" s="64"/>
      <c r="J6" s="2" t="s">
        <v>21</v>
      </c>
      <c r="K6" s="63" t="str">
        <f>'12.08 Buwenge-Jinja'!K6:L6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3</v>
      </c>
      <c r="F10" s="50">
        <v>5</v>
      </c>
      <c r="G10" s="50">
        <v>2</v>
      </c>
      <c r="H10" s="50">
        <v>1</v>
      </c>
      <c r="I10" s="50">
        <v>1</v>
      </c>
      <c r="J10" s="50">
        <v>0</v>
      </c>
      <c r="K10" s="50">
        <v>0</v>
      </c>
      <c r="L10" s="50">
        <f>SUM('[1]RD4 MCC'!R246:U246)</f>
        <v>0</v>
      </c>
      <c r="M10" s="50">
        <v>60</v>
      </c>
      <c r="N10" s="50">
        <v>0</v>
      </c>
      <c r="O10" s="15">
        <f t="shared" ref="O10:O57" si="0">SUM(C10:L10,N10)</f>
        <v>15</v>
      </c>
      <c r="P10" s="15">
        <f t="shared" ref="P10:P57" si="1">SUM(C10:N10)</f>
        <v>75</v>
      </c>
      <c r="R10" s="1" t="s">
        <v>6</v>
      </c>
      <c r="S10" s="17">
        <f t="shared" ref="S10:AF10" si="2">SUM(C10:C13)</f>
        <v>12</v>
      </c>
      <c r="T10" s="17">
        <f t="shared" si="2"/>
        <v>0</v>
      </c>
      <c r="U10" s="17">
        <f t="shared" si="2"/>
        <v>7</v>
      </c>
      <c r="V10" s="17">
        <f t="shared" si="2"/>
        <v>28</v>
      </c>
      <c r="W10" s="17">
        <f t="shared" si="2"/>
        <v>17</v>
      </c>
      <c r="X10" s="17">
        <f t="shared" si="2"/>
        <v>1</v>
      </c>
      <c r="Y10" s="17">
        <f t="shared" si="2"/>
        <v>7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234</v>
      </c>
      <c r="AD10" s="17">
        <f t="shared" si="2"/>
        <v>0</v>
      </c>
      <c r="AE10" s="31">
        <f t="shared" si="2"/>
        <v>72</v>
      </c>
      <c r="AF10" s="31">
        <f t="shared" si="2"/>
        <v>306</v>
      </c>
    </row>
    <row r="11" spans="2:32" s="6" customFormat="1" ht="23.1" customHeight="1" x14ac:dyDescent="0.25">
      <c r="B11" s="23" t="s">
        <v>38</v>
      </c>
      <c r="C11" s="50">
        <v>4</v>
      </c>
      <c r="D11" s="50">
        <v>0</v>
      </c>
      <c r="E11" s="50">
        <v>1</v>
      </c>
      <c r="F11" s="50">
        <v>6</v>
      </c>
      <c r="G11" s="50">
        <v>4</v>
      </c>
      <c r="H11" s="50">
        <v>0</v>
      </c>
      <c r="I11" s="50">
        <v>1</v>
      </c>
      <c r="J11" s="50">
        <v>0</v>
      </c>
      <c r="K11" s="50">
        <v>0</v>
      </c>
      <c r="L11" s="50">
        <f>SUM('[1]RD4 MCC'!R247:U247)</f>
        <v>0</v>
      </c>
      <c r="M11" s="50">
        <v>45</v>
      </c>
      <c r="N11" s="50">
        <v>0</v>
      </c>
      <c r="O11" s="15">
        <f t="shared" si="0"/>
        <v>16</v>
      </c>
      <c r="P11" s="15">
        <f t="shared" si="1"/>
        <v>61</v>
      </c>
      <c r="R11" s="1" t="s">
        <v>7</v>
      </c>
      <c r="S11" s="17">
        <f t="shared" ref="S11:AF11" si="3">SUM(C14:C17)</f>
        <v>12</v>
      </c>
      <c r="T11" s="17">
        <f t="shared" si="3"/>
        <v>0</v>
      </c>
      <c r="U11" s="17">
        <f t="shared" si="3"/>
        <v>5</v>
      </c>
      <c r="V11" s="17">
        <f t="shared" si="3"/>
        <v>42</v>
      </c>
      <c r="W11" s="17">
        <f t="shared" si="3"/>
        <v>9</v>
      </c>
      <c r="X11" s="17">
        <f t="shared" si="3"/>
        <v>2</v>
      </c>
      <c r="Y11" s="17">
        <f t="shared" si="3"/>
        <v>11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196</v>
      </c>
      <c r="AD11" s="17">
        <f t="shared" si="3"/>
        <v>0</v>
      </c>
      <c r="AE11" s="31">
        <f t="shared" si="3"/>
        <v>83</v>
      </c>
      <c r="AF11" s="31">
        <f t="shared" si="3"/>
        <v>279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9</v>
      </c>
      <c r="G12" s="50">
        <v>8</v>
      </c>
      <c r="H12" s="50">
        <v>0</v>
      </c>
      <c r="I12" s="50">
        <v>4</v>
      </c>
      <c r="J12" s="50">
        <v>0</v>
      </c>
      <c r="K12" s="50">
        <v>0</v>
      </c>
      <c r="L12" s="50">
        <f>SUM('[1]RD4 MCC'!R248:U248)</f>
        <v>0</v>
      </c>
      <c r="M12" s="50">
        <v>70</v>
      </c>
      <c r="N12" s="50">
        <v>0</v>
      </c>
      <c r="O12" s="15">
        <f t="shared" si="0"/>
        <v>23</v>
      </c>
      <c r="P12" s="15">
        <f t="shared" si="1"/>
        <v>93</v>
      </c>
      <c r="R12" s="1" t="s">
        <v>8</v>
      </c>
      <c r="S12" s="17">
        <f t="shared" ref="S12:AF12" si="4">SUM(C18:C21)</f>
        <v>17</v>
      </c>
      <c r="T12" s="17">
        <f t="shared" si="4"/>
        <v>3</v>
      </c>
      <c r="U12" s="17">
        <f t="shared" si="4"/>
        <v>14</v>
      </c>
      <c r="V12" s="17">
        <f t="shared" si="4"/>
        <v>46</v>
      </c>
      <c r="W12" s="17">
        <f t="shared" si="4"/>
        <v>7</v>
      </c>
      <c r="X12" s="17">
        <f t="shared" si="4"/>
        <v>0</v>
      </c>
      <c r="Y12" s="17">
        <f t="shared" si="4"/>
        <v>9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176</v>
      </c>
      <c r="AD12" s="17">
        <f t="shared" si="4"/>
        <v>0</v>
      </c>
      <c r="AE12" s="31">
        <f t="shared" si="4"/>
        <v>97</v>
      </c>
      <c r="AF12" s="31">
        <f t="shared" si="4"/>
        <v>273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3</v>
      </c>
      <c r="F13" s="50">
        <v>8</v>
      </c>
      <c r="G13" s="50">
        <v>3</v>
      </c>
      <c r="H13" s="50">
        <v>0</v>
      </c>
      <c r="I13" s="50">
        <v>1</v>
      </c>
      <c r="J13" s="50">
        <v>0</v>
      </c>
      <c r="K13" s="50">
        <v>0</v>
      </c>
      <c r="L13" s="50">
        <f>SUM('[1]RD4 MCC'!R249:U249)</f>
        <v>0</v>
      </c>
      <c r="M13" s="50">
        <v>59</v>
      </c>
      <c r="N13" s="50">
        <v>0</v>
      </c>
      <c r="O13" s="15">
        <f t="shared" si="0"/>
        <v>18</v>
      </c>
      <c r="P13" s="15">
        <f t="shared" si="1"/>
        <v>77</v>
      </c>
      <c r="R13" s="1" t="s">
        <v>9</v>
      </c>
      <c r="S13" s="17">
        <f t="shared" ref="S13:AF13" si="5">SUM(C22:C25)</f>
        <v>16</v>
      </c>
      <c r="T13" s="17">
        <f t="shared" si="5"/>
        <v>0</v>
      </c>
      <c r="U13" s="17">
        <f t="shared" si="5"/>
        <v>7</v>
      </c>
      <c r="V13" s="17">
        <f t="shared" si="5"/>
        <v>35</v>
      </c>
      <c r="W13" s="17">
        <f t="shared" si="5"/>
        <v>1</v>
      </c>
      <c r="X13" s="17">
        <f t="shared" si="5"/>
        <v>1</v>
      </c>
      <c r="Y13" s="17">
        <f t="shared" si="5"/>
        <v>8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126</v>
      </c>
      <c r="AD13" s="17">
        <f t="shared" si="5"/>
        <v>0</v>
      </c>
      <c r="AE13" s="31">
        <f t="shared" si="5"/>
        <v>68</v>
      </c>
      <c r="AF13" s="31">
        <f t="shared" si="5"/>
        <v>194</v>
      </c>
    </row>
    <row r="14" spans="2:32" ht="23.1" customHeight="1" x14ac:dyDescent="0.25">
      <c r="B14" s="23" t="s">
        <v>41</v>
      </c>
      <c r="C14" s="50">
        <v>6</v>
      </c>
      <c r="D14" s="50">
        <v>0</v>
      </c>
      <c r="E14" s="50">
        <v>1</v>
      </c>
      <c r="F14" s="50">
        <v>12</v>
      </c>
      <c r="G14" s="50">
        <v>3</v>
      </c>
      <c r="H14" s="50">
        <v>0</v>
      </c>
      <c r="I14" s="50">
        <v>4</v>
      </c>
      <c r="J14" s="50">
        <v>1</v>
      </c>
      <c r="K14" s="50">
        <v>1</v>
      </c>
      <c r="L14" s="50">
        <f>SUM('[1]RD4 MCC'!R250:U250)</f>
        <v>0</v>
      </c>
      <c r="M14" s="50">
        <v>59</v>
      </c>
      <c r="N14" s="50">
        <v>0</v>
      </c>
      <c r="O14" s="15">
        <f t="shared" si="0"/>
        <v>28</v>
      </c>
      <c r="P14" s="15">
        <f t="shared" si="1"/>
        <v>87</v>
      </c>
      <c r="R14" s="1" t="s">
        <v>10</v>
      </c>
      <c r="S14" s="17">
        <f t="shared" ref="S14:AF14" si="6">SUM(C26:C29)</f>
        <v>10</v>
      </c>
      <c r="T14" s="17">
        <f t="shared" si="6"/>
        <v>1</v>
      </c>
      <c r="U14" s="17">
        <f t="shared" si="6"/>
        <v>12</v>
      </c>
      <c r="V14" s="17">
        <f t="shared" si="6"/>
        <v>37</v>
      </c>
      <c r="W14" s="17">
        <f t="shared" si="6"/>
        <v>1</v>
      </c>
      <c r="X14" s="17">
        <f t="shared" si="6"/>
        <v>0</v>
      </c>
      <c r="Y14" s="17">
        <f t="shared" si="6"/>
        <v>8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139</v>
      </c>
      <c r="AD14" s="17">
        <f t="shared" si="6"/>
        <v>0</v>
      </c>
      <c r="AE14" s="31">
        <f t="shared" si="6"/>
        <v>70</v>
      </c>
      <c r="AF14" s="31">
        <f t="shared" si="6"/>
        <v>209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2</v>
      </c>
      <c r="F15" s="50">
        <v>9</v>
      </c>
      <c r="G15" s="50">
        <v>3</v>
      </c>
      <c r="H15" s="50">
        <v>1</v>
      </c>
      <c r="I15" s="50">
        <v>3</v>
      </c>
      <c r="J15" s="50">
        <v>0</v>
      </c>
      <c r="K15" s="50">
        <v>0</v>
      </c>
      <c r="L15" s="50">
        <f>SUM('[1]RD4 MCC'!R251:U251)</f>
        <v>0</v>
      </c>
      <c r="M15" s="50">
        <v>29</v>
      </c>
      <c r="N15" s="50">
        <v>0</v>
      </c>
      <c r="O15" s="15">
        <f t="shared" si="0"/>
        <v>19</v>
      </c>
      <c r="P15" s="15">
        <f t="shared" si="1"/>
        <v>48</v>
      </c>
      <c r="R15" s="1" t="s">
        <v>11</v>
      </c>
      <c r="S15" s="17">
        <f t="shared" ref="S15:AF15" si="7">SUM(C30:C33)</f>
        <v>11</v>
      </c>
      <c r="T15" s="17">
        <f t="shared" si="7"/>
        <v>1</v>
      </c>
      <c r="U15" s="17">
        <f t="shared" si="7"/>
        <v>8</v>
      </c>
      <c r="V15" s="17">
        <f t="shared" si="7"/>
        <v>31</v>
      </c>
      <c r="W15" s="17">
        <f t="shared" si="7"/>
        <v>1</v>
      </c>
      <c r="X15" s="17">
        <f t="shared" si="7"/>
        <v>0</v>
      </c>
      <c r="Y15" s="17">
        <f t="shared" si="7"/>
        <v>8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120</v>
      </c>
      <c r="AD15" s="17">
        <f t="shared" si="7"/>
        <v>0</v>
      </c>
      <c r="AE15" s="31">
        <f t="shared" si="7"/>
        <v>61</v>
      </c>
      <c r="AF15" s="31">
        <f t="shared" si="7"/>
        <v>181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1</v>
      </c>
      <c r="F16" s="50">
        <v>8</v>
      </c>
      <c r="G16" s="50">
        <v>1</v>
      </c>
      <c r="H16" s="50">
        <v>0</v>
      </c>
      <c r="I16" s="50">
        <v>1</v>
      </c>
      <c r="J16" s="50">
        <v>0</v>
      </c>
      <c r="K16" s="50">
        <v>0</v>
      </c>
      <c r="L16" s="50">
        <f>SUM('[1]RD4 MCC'!R252:U252)</f>
        <v>0</v>
      </c>
      <c r="M16" s="50">
        <v>60</v>
      </c>
      <c r="N16" s="50">
        <v>0</v>
      </c>
      <c r="O16" s="15">
        <f t="shared" si="0"/>
        <v>12</v>
      </c>
      <c r="P16" s="15">
        <f t="shared" si="1"/>
        <v>72</v>
      </c>
      <c r="R16" s="1" t="s">
        <v>12</v>
      </c>
      <c r="S16" s="17">
        <f t="shared" ref="S16:AF16" si="8">SUM(C34:C37)</f>
        <v>10</v>
      </c>
      <c r="T16" s="17">
        <f t="shared" si="8"/>
        <v>2</v>
      </c>
      <c r="U16" s="17">
        <f t="shared" si="8"/>
        <v>12</v>
      </c>
      <c r="V16" s="17">
        <f t="shared" si="8"/>
        <v>36</v>
      </c>
      <c r="W16" s="17">
        <f t="shared" si="8"/>
        <v>1</v>
      </c>
      <c r="X16" s="17">
        <f t="shared" si="8"/>
        <v>0</v>
      </c>
      <c r="Y16" s="17">
        <f t="shared" si="8"/>
        <v>9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128</v>
      </c>
      <c r="AD16" s="17">
        <f t="shared" si="8"/>
        <v>0</v>
      </c>
      <c r="AE16" s="31">
        <f t="shared" si="8"/>
        <v>71</v>
      </c>
      <c r="AF16" s="31">
        <f t="shared" si="8"/>
        <v>199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1</v>
      </c>
      <c r="F17" s="50">
        <v>13</v>
      </c>
      <c r="G17" s="50">
        <v>2</v>
      </c>
      <c r="H17" s="50">
        <v>1</v>
      </c>
      <c r="I17" s="50">
        <v>3</v>
      </c>
      <c r="J17" s="50">
        <v>0</v>
      </c>
      <c r="K17" s="50">
        <v>0</v>
      </c>
      <c r="L17" s="50">
        <f>SUM('[1]RD4 MCC'!R253:U253)</f>
        <v>0</v>
      </c>
      <c r="M17" s="50">
        <v>48</v>
      </c>
      <c r="N17" s="50">
        <v>0</v>
      </c>
      <c r="O17" s="15">
        <f t="shared" si="0"/>
        <v>24</v>
      </c>
      <c r="P17" s="15">
        <f t="shared" si="1"/>
        <v>72</v>
      </c>
      <c r="R17" s="1" t="s">
        <v>13</v>
      </c>
      <c r="S17" s="17">
        <f t="shared" ref="S17:AF17" si="9">SUM(C38:C41)</f>
        <v>13</v>
      </c>
      <c r="T17" s="17">
        <f t="shared" si="9"/>
        <v>4</v>
      </c>
      <c r="U17" s="17">
        <f t="shared" si="9"/>
        <v>15</v>
      </c>
      <c r="V17" s="17">
        <f t="shared" si="9"/>
        <v>35</v>
      </c>
      <c r="W17" s="17">
        <f t="shared" si="9"/>
        <v>2</v>
      </c>
      <c r="X17" s="17">
        <f t="shared" si="9"/>
        <v>0</v>
      </c>
      <c r="Y17" s="17">
        <f t="shared" si="9"/>
        <v>14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122</v>
      </c>
      <c r="AD17" s="17">
        <f t="shared" si="9"/>
        <v>0</v>
      </c>
      <c r="AE17" s="31">
        <f t="shared" si="9"/>
        <v>86</v>
      </c>
      <c r="AF17" s="31">
        <f t="shared" si="9"/>
        <v>208</v>
      </c>
    </row>
    <row r="18" spans="2:32" ht="23.1" customHeight="1" x14ac:dyDescent="0.25">
      <c r="B18" s="23" t="s">
        <v>45</v>
      </c>
      <c r="C18" s="50">
        <v>3</v>
      </c>
      <c r="D18" s="50">
        <v>1</v>
      </c>
      <c r="E18" s="50">
        <v>4</v>
      </c>
      <c r="F18" s="50">
        <v>10</v>
      </c>
      <c r="G18" s="50">
        <v>1</v>
      </c>
      <c r="H18" s="50">
        <v>0</v>
      </c>
      <c r="I18" s="50">
        <v>6</v>
      </c>
      <c r="J18" s="50">
        <v>0</v>
      </c>
      <c r="K18" s="50">
        <v>0</v>
      </c>
      <c r="L18" s="50">
        <f>SUM('[1]RD4 MCC'!R254:U254)</f>
        <v>0</v>
      </c>
      <c r="M18" s="50">
        <v>44</v>
      </c>
      <c r="N18" s="50">
        <v>0</v>
      </c>
      <c r="O18" s="15">
        <f t="shared" si="0"/>
        <v>25</v>
      </c>
      <c r="P18" s="15">
        <f t="shared" si="1"/>
        <v>69</v>
      </c>
      <c r="R18" s="1" t="s">
        <v>14</v>
      </c>
      <c r="S18" s="17">
        <f t="shared" ref="S18:AF18" si="10">SUM(C42:C45)</f>
        <v>13</v>
      </c>
      <c r="T18" s="17">
        <f t="shared" si="10"/>
        <v>3</v>
      </c>
      <c r="U18" s="17">
        <f t="shared" si="10"/>
        <v>11</v>
      </c>
      <c r="V18" s="17">
        <f t="shared" si="10"/>
        <v>35</v>
      </c>
      <c r="W18" s="17">
        <f t="shared" si="10"/>
        <v>3</v>
      </c>
      <c r="X18" s="17">
        <f t="shared" si="10"/>
        <v>0</v>
      </c>
      <c r="Y18" s="17">
        <f t="shared" si="10"/>
        <v>10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140</v>
      </c>
      <c r="AD18" s="17">
        <f t="shared" si="10"/>
        <v>0</v>
      </c>
      <c r="AE18" s="31">
        <f t="shared" si="10"/>
        <v>75</v>
      </c>
      <c r="AF18" s="31">
        <f t="shared" si="10"/>
        <v>215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3</v>
      </c>
      <c r="F19" s="50">
        <v>9</v>
      </c>
      <c r="G19" s="50">
        <v>3</v>
      </c>
      <c r="H19" s="50">
        <v>0</v>
      </c>
      <c r="I19" s="50">
        <v>1</v>
      </c>
      <c r="J19" s="50">
        <v>0</v>
      </c>
      <c r="K19" s="50">
        <v>0</v>
      </c>
      <c r="L19" s="50">
        <f>SUM('[1]RD4 MCC'!R255:U255)</f>
        <v>0</v>
      </c>
      <c r="M19" s="50">
        <v>54</v>
      </c>
      <c r="N19" s="50">
        <v>0</v>
      </c>
      <c r="O19" s="15">
        <f t="shared" si="0"/>
        <v>20</v>
      </c>
      <c r="P19" s="15">
        <f t="shared" si="1"/>
        <v>74</v>
      </c>
      <c r="R19" s="1" t="s">
        <v>15</v>
      </c>
      <c r="S19" s="17">
        <f t="shared" ref="S19:AF19" si="11">SUM(C46:C49)</f>
        <v>19</v>
      </c>
      <c r="T19" s="17">
        <f t="shared" si="11"/>
        <v>4</v>
      </c>
      <c r="U19" s="17">
        <f t="shared" si="11"/>
        <v>17</v>
      </c>
      <c r="V19" s="17">
        <f t="shared" si="11"/>
        <v>41</v>
      </c>
      <c r="W19" s="17">
        <f t="shared" si="11"/>
        <v>2</v>
      </c>
      <c r="X19" s="17">
        <f t="shared" si="11"/>
        <v>0</v>
      </c>
      <c r="Y19" s="17">
        <f t="shared" si="11"/>
        <v>12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161</v>
      </c>
      <c r="AD19" s="17">
        <f t="shared" si="11"/>
        <v>1</v>
      </c>
      <c r="AE19" s="31">
        <f t="shared" si="11"/>
        <v>98</v>
      </c>
      <c r="AF19" s="31">
        <f t="shared" si="11"/>
        <v>259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1</v>
      </c>
      <c r="F20" s="50">
        <v>10</v>
      </c>
      <c r="G20" s="50">
        <v>2</v>
      </c>
      <c r="H20" s="50">
        <v>0</v>
      </c>
      <c r="I20" s="50">
        <v>0</v>
      </c>
      <c r="J20" s="50">
        <v>0</v>
      </c>
      <c r="K20" s="50">
        <v>0</v>
      </c>
      <c r="L20" s="50">
        <f>SUM('[1]RD4 MCC'!R256:U256)</f>
        <v>0</v>
      </c>
      <c r="M20" s="50">
        <v>45</v>
      </c>
      <c r="N20" s="50">
        <v>0</v>
      </c>
      <c r="O20" s="15">
        <f t="shared" si="0"/>
        <v>17</v>
      </c>
      <c r="P20" s="15">
        <f t="shared" si="1"/>
        <v>62</v>
      </c>
      <c r="R20" s="1" t="s">
        <v>16</v>
      </c>
      <c r="S20" s="17">
        <f t="shared" ref="S20:AF20" si="12">SUM(C50:C53)</f>
        <v>20</v>
      </c>
      <c r="T20" s="17">
        <f t="shared" si="12"/>
        <v>3</v>
      </c>
      <c r="U20" s="17">
        <f t="shared" si="12"/>
        <v>13</v>
      </c>
      <c r="V20" s="17">
        <f t="shared" si="12"/>
        <v>48</v>
      </c>
      <c r="W20" s="17">
        <f t="shared" si="12"/>
        <v>6</v>
      </c>
      <c r="X20" s="17">
        <f t="shared" si="12"/>
        <v>0</v>
      </c>
      <c r="Y20" s="17">
        <f t="shared" si="12"/>
        <v>22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151</v>
      </c>
      <c r="AD20" s="17">
        <f t="shared" si="12"/>
        <v>0</v>
      </c>
      <c r="AE20" s="31">
        <f t="shared" si="12"/>
        <v>114</v>
      </c>
      <c r="AF20" s="31">
        <f t="shared" si="12"/>
        <v>265</v>
      </c>
    </row>
    <row r="21" spans="2:32" ht="23.1" customHeight="1" x14ac:dyDescent="0.25">
      <c r="B21" s="23" t="s">
        <v>48</v>
      </c>
      <c r="C21" s="50">
        <v>6</v>
      </c>
      <c r="D21" s="50">
        <v>2</v>
      </c>
      <c r="E21" s="50">
        <v>6</v>
      </c>
      <c r="F21" s="50">
        <v>17</v>
      </c>
      <c r="G21" s="50">
        <v>1</v>
      </c>
      <c r="H21" s="50">
        <v>0</v>
      </c>
      <c r="I21" s="50">
        <v>2</v>
      </c>
      <c r="J21" s="50">
        <v>1</v>
      </c>
      <c r="K21" s="50">
        <v>0</v>
      </c>
      <c r="L21" s="50">
        <f>SUM('[1]RD4 MCC'!R257:U257)</f>
        <v>0</v>
      </c>
      <c r="M21" s="50">
        <v>33</v>
      </c>
      <c r="N21" s="50">
        <v>0</v>
      </c>
      <c r="O21" s="15">
        <f t="shared" si="0"/>
        <v>35</v>
      </c>
      <c r="P21" s="15">
        <f t="shared" si="1"/>
        <v>68</v>
      </c>
      <c r="R21" s="36" t="s">
        <v>20</v>
      </c>
      <c r="S21" s="34">
        <f t="shared" ref="S21:AF21" si="13">SUM(C54:C57)</f>
        <v>31</v>
      </c>
      <c r="T21" s="17">
        <f t="shared" si="13"/>
        <v>4</v>
      </c>
      <c r="U21" s="17">
        <f t="shared" si="13"/>
        <v>16</v>
      </c>
      <c r="V21" s="17">
        <f t="shared" si="13"/>
        <v>43</v>
      </c>
      <c r="W21" s="17">
        <f t="shared" si="13"/>
        <v>20</v>
      </c>
      <c r="X21" s="17">
        <f t="shared" si="13"/>
        <v>0</v>
      </c>
      <c r="Y21" s="17">
        <f t="shared" si="13"/>
        <v>15</v>
      </c>
      <c r="Z21" s="17">
        <f t="shared" si="13"/>
        <v>5</v>
      </c>
      <c r="AA21" s="17">
        <f t="shared" si="13"/>
        <v>0</v>
      </c>
      <c r="AB21" s="17">
        <f t="shared" si="13"/>
        <v>0</v>
      </c>
      <c r="AC21" s="17">
        <f t="shared" si="13"/>
        <v>182</v>
      </c>
      <c r="AD21" s="17">
        <f t="shared" si="13"/>
        <v>0</v>
      </c>
      <c r="AE21" s="31">
        <f t="shared" si="13"/>
        <v>134</v>
      </c>
      <c r="AF21" s="31">
        <f t="shared" si="13"/>
        <v>316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2</v>
      </c>
      <c r="F22" s="50">
        <v>7</v>
      </c>
      <c r="G22" s="50">
        <v>1</v>
      </c>
      <c r="H22" s="50">
        <v>0</v>
      </c>
      <c r="I22" s="50">
        <v>2</v>
      </c>
      <c r="J22" s="50">
        <v>0</v>
      </c>
      <c r="K22" s="50">
        <v>0</v>
      </c>
      <c r="L22" s="50">
        <f>SUM('[1]RD4 MCC'!R258:U258)</f>
        <v>0</v>
      </c>
      <c r="M22" s="50">
        <v>45</v>
      </c>
      <c r="N22" s="50">
        <v>0</v>
      </c>
      <c r="O22" s="15">
        <f t="shared" si="0"/>
        <v>16</v>
      </c>
      <c r="P22" s="15">
        <f t="shared" si="1"/>
        <v>61</v>
      </c>
      <c r="R22" s="38" t="s">
        <v>90</v>
      </c>
      <c r="S22" s="39">
        <f>MAX(S10:S12)</f>
        <v>17</v>
      </c>
      <c r="T22" s="39">
        <f t="shared" ref="T22:AF22" si="14">MAX(T10:T12)</f>
        <v>3</v>
      </c>
      <c r="U22" s="39">
        <f t="shared" si="14"/>
        <v>14</v>
      </c>
      <c r="V22" s="39">
        <f t="shared" si="14"/>
        <v>46</v>
      </c>
      <c r="W22" s="39">
        <f t="shared" si="14"/>
        <v>17</v>
      </c>
      <c r="X22" s="39">
        <f t="shared" si="14"/>
        <v>2</v>
      </c>
      <c r="Y22" s="39">
        <f t="shared" si="14"/>
        <v>11</v>
      </c>
      <c r="Z22" s="39">
        <f t="shared" si="14"/>
        <v>1</v>
      </c>
      <c r="AA22" s="39">
        <f t="shared" si="14"/>
        <v>1</v>
      </c>
      <c r="AB22" s="39">
        <f t="shared" si="14"/>
        <v>0</v>
      </c>
      <c r="AC22" s="39">
        <f t="shared" si="14"/>
        <v>234</v>
      </c>
      <c r="AD22" s="39">
        <f t="shared" si="14"/>
        <v>0</v>
      </c>
      <c r="AE22" s="40">
        <f t="shared" si="14"/>
        <v>97</v>
      </c>
      <c r="AF22" s="40">
        <f t="shared" si="14"/>
        <v>306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1</v>
      </c>
      <c r="F23" s="50">
        <v>9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f>SUM('[1]RD4 MCC'!R259:U259)</f>
        <v>0</v>
      </c>
      <c r="M23" s="50">
        <v>27</v>
      </c>
      <c r="N23" s="50">
        <v>0</v>
      </c>
      <c r="O23" s="15">
        <f t="shared" si="0"/>
        <v>15</v>
      </c>
      <c r="P23" s="15">
        <f t="shared" si="1"/>
        <v>42</v>
      </c>
      <c r="R23" s="38" t="s">
        <v>91</v>
      </c>
      <c r="S23" s="39">
        <f>MAX(S13:S18)</f>
        <v>16</v>
      </c>
      <c r="T23" s="39">
        <f t="shared" ref="T23:AF23" si="15">MAX(T13:T18)</f>
        <v>4</v>
      </c>
      <c r="U23" s="39">
        <f t="shared" si="15"/>
        <v>15</v>
      </c>
      <c r="V23" s="39">
        <f t="shared" si="15"/>
        <v>37</v>
      </c>
      <c r="W23" s="39">
        <f t="shared" si="15"/>
        <v>3</v>
      </c>
      <c r="X23" s="39">
        <f t="shared" si="15"/>
        <v>1</v>
      </c>
      <c r="Y23" s="39">
        <f t="shared" si="15"/>
        <v>14</v>
      </c>
      <c r="Z23" s="39">
        <f t="shared" si="15"/>
        <v>3</v>
      </c>
      <c r="AA23" s="39">
        <f t="shared" si="15"/>
        <v>0</v>
      </c>
      <c r="AB23" s="39">
        <f t="shared" si="15"/>
        <v>0</v>
      </c>
      <c r="AC23" s="39">
        <f t="shared" si="15"/>
        <v>140</v>
      </c>
      <c r="AD23" s="39">
        <f t="shared" si="15"/>
        <v>0</v>
      </c>
      <c r="AE23" s="40">
        <f t="shared" si="15"/>
        <v>86</v>
      </c>
      <c r="AF23" s="40">
        <f t="shared" si="15"/>
        <v>215</v>
      </c>
    </row>
    <row r="24" spans="2:32" ht="23.1" customHeight="1" x14ac:dyDescent="0.25">
      <c r="B24" s="23" t="s">
        <v>51</v>
      </c>
      <c r="C24" s="50">
        <v>3</v>
      </c>
      <c r="D24" s="50">
        <v>0</v>
      </c>
      <c r="E24" s="50">
        <v>2</v>
      </c>
      <c r="F24" s="50">
        <v>9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f>SUM('[1]RD4 MCC'!R260:U260)</f>
        <v>0</v>
      </c>
      <c r="M24" s="50">
        <v>23</v>
      </c>
      <c r="N24" s="50">
        <v>0</v>
      </c>
      <c r="O24" s="15">
        <f t="shared" si="0"/>
        <v>15</v>
      </c>
      <c r="P24" s="15">
        <f t="shared" si="1"/>
        <v>38</v>
      </c>
      <c r="R24" s="38" t="s">
        <v>92</v>
      </c>
      <c r="S24" s="39">
        <f>MAX(S19:S21)</f>
        <v>31</v>
      </c>
      <c r="T24" s="39">
        <f t="shared" ref="T24:AF24" si="16">MAX(T19:T21)</f>
        <v>4</v>
      </c>
      <c r="U24" s="39">
        <f t="shared" si="16"/>
        <v>17</v>
      </c>
      <c r="V24" s="39">
        <f t="shared" si="16"/>
        <v>48</v>
      </c>
      <c r="W24" s="39">
        <f t="shared" si="16"/>
        <v>20</v>
      </c>
      <c r="X24" s="39">
        <f t="shared" si="16"/>
        <v>0</v>
      </c>
      <c r="Y24" s="39">
        <f t="shared" si="16"/>
        <v>22</v>
      </c>
      <c r="Z24" s="39">
        <f t="shared" si="16"/>
        <v>5</v>
      </c>
      <c r="AA24" s="39">
        <f t="shared" si="16"/>
        <v>1</v>
      </c>
      <c r="AB24" s="39">
        <f t="shared" si="16"/>
        <v>0</v>
      </c>
      <c r="AC24" s="39">
        <f t="shared" si="16"/>
        <v>182</v>
      </c>
      <c r="AD24" s="39">
        <f t="shared" si="16"/>
        <v>1</v>
      </c>
      <c r="AE24" s="40">
        <f t="shared" si="16"/>
        <v>134</v>
      </c>
      <c r="AF24" s="40">
        <f t="shared" si="16"/>
        <v>316</v>
      </c>
    </row>
    <row r="25" spans="2:32" ht="23.1" customHeight="1" x14ac:dyDescent="0.25">
      <c r="B25" s="23" t="s">
        <v>52</v>
      </c>
      <c r="C25" s="50">
        <v>6</v>
      </c>
      <c r="D25" s="50">
        <v>0</v>
      </c>
      <c r="E25" s="50">
        <v>2</v>
      </c>
      <c r="F25" s="50">
        <v>10</v>
      </c>
      <c r="G25" s="50">
        <v>0</v>
      </c>
      <c r="H25" s="50">
        <v>1</v>
      </c>
      <c r="I25" s="50">
        <v>3</v>
      </c>
      <c r="J25" s="50">
        <v>0</v>
      </c>
      <c r="K25" s="50">
        <v>0</v>
      </c>
      <c r="L25" s="50">
        <f>SUM('[1]RD4 MCC'!R261:U261)</f>
        <v>0</v>
      </c>
      <c r="M25" s="50">
        <v>31</v>
      </c>
      <c r="N25" s="50">
        <v>0</v>
      </c>
      <c r="O25" s="15">
        <f t="shared" si="0"/>
        <v>22</v>
      </c>
      <c r="P25" s="15">
        <f t="shared" si="1"/>
        <v>53</v>
      </c>
      <c r="R25" s="37" t="s">
        <v>85</v>
      </c>
      <c r="S25" s="35">
        <f t="shared" ref="S25:AF25" si="17">SUM(S10:S12)</f>
        <v>41</v>
      </c>
      <c r="T25" s="16">
        <f t="shared" si="17"/>
        <v>3</v>
      </c>
      <c r="U25" s="16">
        <f t="shared" si="17"/>
        <v>26</v>
      </c>
      <c r="V25" s="16">
        <f t="shared" si="17"/>
        <v>116</v>
      </c>
      <c r="W25" s="16">
        <f t="shared" si="17"/>
        <v>33</v>
      </c>
      <c r="X25" s="16">
        <f t="shared" si="17"/>
        <v>3</v>
      </c>
      <c r="Y25" s="16">
        <f t="shared" si="17"/>
        <v>27</v>
      </c>
      <c r="Z25" s="16">
        <f t="shared" si="17"/>
        <v>2</v>
      </c>
      <c r="AA25" s="16">
        <f t="shared" si="17"/>
        <v>1</v>
      </c>
      <c r="AB25" s="16">
        <f t="shared" si="17"/>
        <v>0</v>
      </c>
      <c r="AC25" s="16">
        <f t="shared" si="17"/>
        <v>606</v>
      </c>
      <c r="AD25" s="16">
        <f t="shared" si="17"/>
        <v>0</v>
      </c>
      <c r="AE25" s="32">
        <f t="shared" si="17"/>
        <v>252</v>
      </c>
      <c r="AF25" s="32">
        <f t="shared" si="17"/>
        <v>858</v>
      </c>
    </row>
    <row r="26" spans="2:32" ht="23.1" customHeight="1" x14ac:dyDescent="0.25">
      <c r="B26" s="23" t="s">
        <v>53</v>
      </c>
      <c r="C26" s="50">
        <v>1</v>
      </c>
      <c r="D26" s="50">
        <v>1</v>
      </c>
      <c r="E26" s="50">
        <v>5</v>
      </c>
      <c r="F26" s="50">
        <v>19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f>SUM('[1]RD4 MCC'!R262:U262)</f>
        <v>0</v>
      </c>
      <c r="M26" s="50">
        <v>52</v>
      </c>
      <c r="N26" s="50">
        <v>0</v>
      </c>
      <c r="O26" s="15">
        <f t="shared" si="0"/>
        <v>28</v>
      </c>
      <c r="P26" s="15">
        <f t="shared" si="1"/>
        <v>80</v>
      </c>
      <c r="R26" s="28" t="s">
        <v>86</v>
      </c>
      <c r="S26" s="16">
        <f t="shared" ref="S26:AF26" si="18">SUM(S13:S18)</f>
        <v>73</v>
      </c>
      <c r="T26" s="16">
        <f t="shared" si="18"/>
        <v>11</v>
      </c>
      <c r="U26" s="16">
        <f t="shared" si="18"/>
        <v>65</v>
      </c>
      <c r="V26" s="16">
        <f t="shared" si="18"/>
        <v>209</v>
      </c>
      <c r="W26" s="16">
        <f t="shared" si="18"/>
        <v>9</v>
      </c>
      <c r="X26" s="16">
        <f t="shared" si="18"/>
        <v>1</v>
      </c>
      <c r="Y26" s="16">
        <f t="shared" si="18"/>
        <v>57</v>
      </c>
      <c r="Z26" s="16">
        <f t="shared" si="18"/>
        <v>6</v>
      </c>
      <c r="AA26" s="16">
        <f t="shared" si="18"/>
        <v>0</v>
      </c>
      <c r="AB26" s="16">
        <f t="shared" si="18"/>
        <v>0</v>
      </c>
      <c r="AC26" s="16">
        <f t="shared" si="18"/>
        <v>775</v>
      </c>
      <c r="AD26" s="16">
        <f t="shared" si="18"/>
        <v>0</v>
      </c>
      <c r="AE26" s="32">
        <f t="shared" si="18"/>
        <v>431</v>
      </c>
      <c r="AF26" s="32">
        <f t="shared" si="18"/>
        <v>1206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2</v>
      </c>
      <c r="F27" s="50">
        <v>5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f>SUM('[1]RD4 MCC'!R263:U263)</f>
        <v>0</v>
      </c>
      <c r="M27" s="50">
        <v>25</v>
      </c>
      <c r="N27" s="50">
        <v>0</v>
      </c>
      <c r="O27" s="15">
        <f t="shared" si="0"/>
        <v>10</v>
      </c>
      <c r="P27" s="15">
        <f t="shared" si="1"/>
        <v>35</v>
      </c>
      <c r="R27" s="29" t="s">
        <v>87</v>
      </c>
      <c r="S27" s="16">
        <f t="shared" ref="S27:AF27" si="19">SUM(S19:S21)</f>
        <v>70</v>
      </c>
      <c r="T27" s="16">
        <f t="shared" si="19"/>
        <v>11</v>
      </c>
      <c r="U27" s="16">
        <f t="shared" si="19"/>
        <v>46</v>
      </c>
      <c r="V27" s="16">
        <f t="shared" si="19"/>
        <v>132</v>
      </c>
      <c r="W27" s="16">
        <f t="shared" si="19"/>
        <v>28</v>
      </c>
      <c r="X27" s="16">
        <f t="shared" si="19"/>
        <v>0</v>
      </c>
      <c r="Y27" s="16">
        <f t="shared" si="19"/>
        <v>49</v>
      </c>
      <c r="Z27" s="16">
        <f t="shared" si="19"/>
        <v>7</v>
      </c>
      <c r="AA27" s="16">
        <f t="shared" si="19"/>
        <v>2</v>
      </c>
      <c r="AB27" s="16">
        <f t="shared" si="19"/>
        <v>0</v>
      </c>
      <c r="AC27" s="16">
        <f t="shared" si="19"/>
        <v>494</v>
      </c>
      <c r="AD27" s="16">
        <f t="shared" si="19"/>
        <v>1</v>
      </c>
      <c r="AE27" s="32">
        <f t="shared" si="19"/>
        <v>346</v>
      </c>
      <c r="AF27" s="32">
        <f t="shared" si="19"/>
        <v>840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2</v>
      </c>
      <c r="F28" s="50">
        <v>5</v>
      </c>
      <c r="G28" s="50">
        <v>1</v>
      </c>
      <c r="H28" s="50">
        <v>0</v>
      </c>
      <c r="I28" s="50">
        <v>1</v>
      </c>
      <c r="J28" s="50">
        <v>0</v>
      </c>
      <c r="K28" s="50">
        <v>0</v>
      </c>
      <c r="L28" s="50">
        <f>SUM('[1]RD4 MCC'!R264:U264)</f>
        <v>0</v>
      </c>
      <c r="M28" s="50">
        <v>32</v>
      </c>
      <c r="N28" s="50">
        <v>0</v>
      </c>
      <c r="O28" s="15">
        <f t="shared" si="0"/>
        <v>14</v>
      </c>
      <c r="P28" s="15">
        <f t="shared" si="1"/>
        <v>46</v>
      </c>
      <c r="R28" s="5" t="s">
        <v>17</v>
      </c>
      <c r="S28" s="16">
        <f t="shared" ref="S28:AF28" si="20">SUM(S10:S21)</f>
        <v>184</v>
      </c>
      <c r="T28" s="16">
        <f t="shared" si="20"/>
        <v>25</v>
      </c>
      <c r="U28" s="16">
        <f t="shared" si="20"/>
        <v>137</v>
      </c>
      <c r="V28" s="16">
        <f t="shared" si="20"/>
        <v>457</v>
      </c>
      <c r="W28" s="16">
        <f t="shared" si="20"/>
        <v>70</v>
      </c>
      <c r="X28" s="16">
        <f t="shared" si="20"/>
        <v>4</v>
      </c>
      <c r="Y28" s="16">
        <f t="shared" si="20"/>
        <v>133</v>
      </c>
      <c r="Z28" s="16">
        <f t="shared" si="20"/>
        <v>15</v>
      </c>
      <c r="AA28" s="16">
        <f t="shared" si="20"/>
        <v>3</v>
      </c>
      <c r="AB28" s="16">
        <f t="shared" si="20"/>
        <v>0</v>
      </c>
      <c r="AC28" s="16">
        <f t="shared" si="20"/>
        <v>1875</v>
      </c>
      <c r="AD28" s="16">
        <f t="shared" si="20"/>
        <v>1</v>
      </c>
      <c r="AE28" s="32">
        <f t="shared" si="20"/>
        <v>1029</v>
      </c>
      <c r="AF28" s="32">
        <f t="shared" si="20"/>
        <v>2904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3</v>
      </c>
      <c r="F29" s="50">
        <v>8</v>
      </c>
      <c r="G29" s="50">
        <v>0</v>
      </c>
      <c r="H29" s="50">
        <v>0</v>
      </c>
      <c r="I29" s="50">
        <v>4</v>
      </c>
      <c r="J29" s="50">
        <v>1</v>
      </c>
      <c r="K29" s="50">
        <v>0</v>
      </c>
      <c r="L29" s="50">
        <f>SUM('[1]RD4 MCC'!R265:U265)</f>
        <v>0</v>
      </c>
      <c r="M29" s="50">
        <v>30</v>
      </c>
      <c r="N29" s="50">
        <v>0</v>
      </c>
      <c r="O29" s="15">
        <f t="shared" si="0"/>
        <v>18</v>
      </c>
      <c r="P29" s="15">
        <f t="shared" si="1"/>
        <v>48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1</v>
      </c>
      <c r="E30" s="50">
        <v>4</v>
      </c>
      <c r="F30" s="50">
        <v>10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f>SUM('[1]RD4 MCC'!R266:U266)</f>
        <v>0</v>
      </c>
      <c r="M30" s="50">
        <v>30</v>
      </c>
      <c r="N30" s="50">
        <v>0</v>
      </c>
      <c r="O30" s="15">
        <f t="shared" si="0"/>
        <v>20</v>
      </c>
      <c r="P30" s="15">
        <f t="shared" si="1"/>
        <v>50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0</v>
      </c>
      <c r="F31" s="50">
        <v>12</v>
      </c>
      <c r="G31" s="50">
        <v>1</v>
      </c>
      <c r="H31" s="50">
        <v>0</v>
      </c>
      <c r="I31" s="50">
        <v>5</v>
      </c>
      <c r="J31" s="50">
        <v>0</v>
      </c>
      <c r="K31" s="50">
        <v>0</v>
      </c>
      <c r="L31" s="50">
        <f>SUM('[1]RD4 MCC'!R267:U267)</f>
        <v>0</v>
      </c>
      <c r="M31" s="50">
        <v>45</v>
      </c>
      <c r="N31" s="50">
        <v>0</v>
      </c>
      <c r="O31" s="15">
        <f t="shared" si="0"/>
        <v>20</v>
      </c>
      <c r="P31" s="15">
        <f t="shared" si="1"/>
        <v>65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1</v>
      </c>
      <c r="F32" s="50">
        <v>4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f>SUM('[1]RD4 MCC'!R268:U268)</f>
        <v>0</v>
      </c>
      <c r="M32" s="50">
        <v>13</v>
      </c>
      <c r="N32" s="50">
        <v>0</v>
      </c>
      <c r="O32" s="15">
        <f t="shared" si="0"/>
        <v>9</v>
      </c>
      <c r="P32" s="15">
        <f t="shared" si="1"/>
        <v>22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3</v>
      </c>
      <c r="F33" s="50">
        <v>5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f>SUM('[1]RD4 MCC'!R269:U269)</f>
        <v>0</v>
      </c>
      <c r="M33" s="50">
        <v>32</v>
      </c>
      <c r="N33" s="50">
        <v>0</v>
      </c>
      <c r="O33" s="15">
        <f t="shared" si="0"/>
        <v>12</v>
      </c>
      <c r="P33" s="15">
        <f t="shared" si="1"/>
        <v>44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2</v>
      </c>
      <c r="F34" s="50">
        <v>11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f>SUM('[1]RD4 MCC'!R270:U270)</f>
        <v>0</v>
      </c>
      <c r="M34" s="50">
        <v>25</v>
      </c>
      <c r="N34" s="50">
        <v>0</v>
      </c>
      <c r="O34" s="15">
        <f t="shared" si="0"/>
        <v>15</v>
      </c>
      <c r="P34" s="15">
        <f t="shared" si="1"/>
        <v>40</v>
      </c>
    </row>
    <row r="35" spans="2:20" ht="23.1" customHeight="1" x14ac:dyDescent="0.25">
      <c r="B35" s="24" t="s">
        <v>62</v>
      </c>
      <c r="C35" s="50">
        <v>0</v>
      </c>
      <c r="D35" s="50">
        <v>1</v>
      </c>
      <c r="E35" s="50">
        <v>3</v>
      </c>
      <c r="F35" s="50">
        <v>12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f>SUM('[1]RD4 MCC'!R271:U271)</f>
        <v>0</v>
      </c>
      <c r="M35" s="50">
        <v>29</v>
      </c>
      <c r="N35" s="50">
        <v>0</v>
      </c>
      <c r="O35" s="15">
        <f t="shared" si="0"/>
        <v>19</v>
      </c>
      <c r="P35" s="15">
        <f t="shared" si="1"/>
        <v>48</v>
      </c>
    </row>
    <row r="36" spans="2:20" ht="23.1" customHeight="1" x14ac:dyDescent="0.25">
      <c r="B36" s="24" t="s">
        <v>63</v>
      </c>
      <c r="C36" s="50">
        <v>6</v>
      </c>
      <c r="D36" s="50">
        <v>1</v>
      </c>
      <c r="E36" s="50">
        <v>4</v>
      </c>
      <c r="F36" s="50">
        <v>7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f>SUM('[1]RD4 MCC'!R272:U272)</f>
        <v>0</v>
      </c>
      <c r="M36" s="50">
        <v>32</v>
      </c>
      <c r="N36" s="50">
        <v>0</v>
      </c>
      <c r="O36" s="15">
        <f t="shared" si="0"/>
        <v>19</v>
      </c>
      <c r="P36" s="15">
        <f t="shared" si="1"/>
        <v>51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3</v>
      </c>
      <c r="F37" s="50">
        <v>6</v>
      </c>
      <c r="G37" s="50">
        <v>1</v>
      </c>
      <c r="H37" s="50">
        <v>0</v>
      </c>
      <c r="I37" s="50">
        <v>4</v>
      </c>
      <c r="J37" s="50">
        <v>1</v>
      </c>
      <c r="K37" s="50">
        <v>0</v>
      </c>
      <c r="L37" s="50">
        <f>SUM('[1]RD4 MCC'!R273:U273)</f>
        <v>0</v>
      </c>
      <c r="M37" s="50">
        <v>42</v>
      </c>
      <c r="N37" s="50">
        <v>0</v>
      </c>
      <c r="O37" s="15">
        <f t="shared" si="0"/>
        <v>18</v>
      </c>
      <c r="P37" s="15">
        <f t="shared" si="1"/>
        <v>60</v>
      </c>
    </row>
    <row r="38" spans="2:20" ht="23.1" customHeight="1" x14ac:dyDescent="0.25">
      <c r="B38" s="24" t="s">
        <v>65</v>
      </c>
      <c r="C38" s="50">
        <v>6</v>
      </c>
      <c r="D38" s="50">
        <v>0</v>
      </c>
      <c r="E38" s="50">
        <v>2</v>
      </c>
      <c r="F38" s="50">
        <v>9</v>
      </c>
      <c r="G38" s="50">
        <v>0</v>
      </c>
      <c r="H38" s="50">
        <v>0</v>
      </c>
      <c r="I38" s="50">
        <v>4</v>
      </c>
      <c r="J38" s="50">
        <v>2</v>
      </c>
      <c r="K38" s="50">
        <v>0</v>
      </c>
      <c r="L38" s="50">
        <f>SUM('[1]RD4 MCC'!R274:U274)</f>
        <v>0</v>
      </c>
      <c r="M38" s="50">
        <v>39</v>
      </c>
      <c r="N38" s="50">
        <v>0</v>
      </c>
      <c r="O38" s="15">
        <f t="shared" si="0"/>
        <v>23</v>
      </c>
      <c r="P38" s="15">
        <f t="shared" si="1"/>
        <v>62</v>
      </c>
    </row>
    <row r="39" spans="2:20" ht="23.1" customHeight="1" x14ac:dyDescent="0.25">
      <c r="B39" s="24" t="s">
        <v>66</v>
      </c>
      <c r="C39" s="50">
        <v>3</v>
      </c>
      <c r="D39" s="50">
        <v>2</v>
      </c>
      <c r="E39" s="50">
        <v>6</v>
      </c>
      <c r="F39" s="50">
        <v>11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f>SUM('[1]RD4 MCC'!R275:U275)</f>
        <v>0</v>
      </c>
      <c r="M39" s="50">
        <v>25</v>
      </c>
      <c r="N39" s="50">
        <v>0</v>
      </c>
      <c r="O39" s="15">
        <f t="shared" si="0"/>
        <v>24</v>
      </c>
      <c r="P39" s="15">
        <f t="shared" si="1"/>
        <v>49</v>
      </c>
    </row>
    <row r="40" spans="2:20" ht="23.1" customHeight="1" x14ac:dyDescent="0.25">
      <c r="B40" s="24" t="s">
        <v>67</v>
      </c>
      <c r="C40" s="50">
        <v>1</v>
      </c>
      <c r="D40" s="50">
        <v>1</v>
      </c>
      <c r="E40" s="50">
        <v>3</v>
      </c>
      <c r="F40" s="50">
        <v>8</v>
      </c>
      <c r="G40" s="50">
        <v>1</v>
      </c>
      <c r="H40" s="50">
        <v>0</v>
      </c>
      <c r="I40" s="50">
        <v>5</v>
      </c>
      <c r="J40" s="50">
        <v>1</v>
      </c>
      <c r="K40" s="50">
        <v>0</v>
      </c>
      <c r="L40" s="50">
        <f>SUM('[1]RD4 MCC'!R276:U276)</f>
        <v>0</v>
      </c>
      <c r="M40" s="50">
        <v>28</v>
      </c>
      <c r="N40" s="50">
        <v>0</v>
      </c>
      <c r="O40" s="15">
        <f t="shared" si="0"/>
        <v>20</v>
      </c>
      <c r="P40" s="15">
        <f t="shared" si="1"/>
        <v>48</v>
      </c>
    </row>
    <row r="41" spans="2:20" ht="23.1" customHeight="1" x14ac:dyDescent="0.25">
      <c r="B41" s="23" t="s">
        <v>68</v>
      </c>
      <c r="C41" s="50">
        <v>3</v>
      </c>
      <c r="D41" s="50">
        <v>1</v>
      </c>
      <c r="E41" s="50">
        <v>4</v>
      </c>
      <c r="F41" s="50">
        <v>7</v>
      </c>
      <c r="G41" s="50">
        <v>1</v>
      </c>
      <c r="H41" s="50">
        <v>0</v>
      </c>
      <c r="I41" s="50">
        <v>3</v>
      </c>
      <c r="J41" s="50">
        <v>0</v>
      </c>
      <c r="K41" s="50">
        <v>0</v>
      </c>
      <c r="L41" s="50">
        <f>SUM('[1]RD4 MCC'!R277:U277)</f>
        <v>0</v>
      </c>
      <c r="M41" s="50">
        <v>30</v>
      </c>
      <c r="N41" s="50">
        <v>0</v>
      </c>
      <c r="O41" s="15">
        <f t="shared" si="0"/>
        <v>19</v>
      </c>
      <c r="P41" s="15">
        <f t="shared" si="1"/>
        <v>49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1</v>
      </c>
      <c r="F42" s="50">
        <v>10</v>
      </c>
      <c r="G42" s="50">
        <v>1</v>
      </c>
      <c r="H42" s="50">
        <v>0</v>
      </c>
      <c r="I42" s="50">
        <v>5</v>
      </c>
      <c r="J42" s="50">
        <v>0</v>
      </c>
      <c r="K42" s="50">
        <v>0</v>
      </c>
      <c r="L42" s="50">
        <f>SUM('[1]RD4 MCC'!R278:U278)</f>
        <v>0</v>
      </c>
      <c r="M42" s="50">
        <v>48</v>
      </c>
      <c r="N42" s="50">
        <v>0</v>
      </c>
      <c r="O42" s="15">
        <f t="shared" si="0"/>
        <v>22</v>
      </c>
      <c r="P42" s="15">
        <f t="shared" si="1"/>
        <v>70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2</v>
      </c>
      <c r="F43" s="50">
        <v>11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f>SUM('[1]RD4 MCC'!R279:U279)</f>
        <v>0</v>
      </c>
      <c r="M43" s="50">
        <v>31</v>
      </c>
      <c r="N43" s="50">
        <v>0</v>
      </c>
      <c r="O43" s="15">
        <f t="shared" si="0"/>
        <v>16</v>
      </c>
      <c r="P43" s="15">
        <f t="shared" si="1"/>
        <v>47</v>
      </c>
    </row>
    <row r="44" spans="2:20" ht="23.1" customHeight="1" x14ac:dyDescent="0.25">
      <c r="B44" s="25" t="s">
        <v>71</v>
      </c>
      <c r="C44" s="50">
        <v>2</v>
      </c>
      <c r="D44" s="50">
        <v>2</v>
      </c>
      <c r="E44" s="50">
        <v>5</v>
      </c>
      <c r="F44" s="50">
        <v>6</v>
      </c>
      <c r="G44" s="50">
        <v>2</v>
      </c>
      <c r="H44" s="50">
        <v>0</v>
      </c>
      <c r="I44" s="50">
        <v>2</v>
      </c>
      <c r="J44" s="50">
        <v>0</v>
      </c>
      <c r="K44" s="50">
        <v>0</v>
      </c>
      <c r="L44" s="50">
        <f>SUM('[1]RD4 MCC'!R280:U280)</f>
        <v>0</v>
      </c>
      <c r="M44" s="50">
        <v>40</v>
      </c>
      <c r="N44" s="50">
        <v>0</v>
      </c>
      <c r="O44" s="15">
        <f t="shared" si="0"/>
        <v>19</v>
      </c>
      <c r="P44" s="15">
        <f t="shared" si="1"/>
        <v>59</v>
      </c>
    </row>
    <row r="45" spans="2:20" ht="23.1" customHeight="1" x14ac:dyDescent="0.25">
      <c r="B45" s="23" t="s">
        <v>72</v>
      </c>
      <c r="C45" s="50">
        <v>4</v>
      </c>
      <c r="D45" s="50">
        <v>1</v>
      </c>
      <c r="E45" s="50">
        <v>3</v>
      </c>
      <c r="F45" s="50">
        <v>8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f>SUM('[1]RD4 MCC'!R281:U281)</f>
        <v>0</v>
      </c>
      <c r="M45" s="50">
        <v>21</v>
      </c>
      <c r="N45" s="50">
        <v>0</v>
      </c>
      <c r="O45" s="15">
        <f t="shared" si="0"/>
        <v>18</v>
      </c>
      <c r="P45" s="15">
        <f t="shared" si="1"/>
        <v>39</v>
      </c>
    </row>
    <row r="46" spans="2:20" ht="23.1" customHeight="1" x14ac:dyDescent="0.25">
      <c r="B46" s="24" t="s">
        <v>73</v>
      </c>
      <c r="C46" s="50">
        <v>3</v>
      </c>
      <c r="D46" s="50">
        <v>1</v>
      </c>
      <c r="E46" s="50">
        <v>5</v>
      </c>
      <c r="F46" s="50">
        <v>13</v>
      </c>
      <c r="G46" s="50">
        <v>0</v>
      </c>
      <c r="H46" s="50">
        <v>0</v>
      </c>
      <c r="I46" s="50">
        <v>2</v>
      </c>
      <c r="J46" s="50">
        <v>0</v>
      </c>
      <c r="K46" s="50">
        <v>1</v>
      </c>
      <c r="L46" s="50">
        <f>SUM('[1]RD4 MCC'!R282:U282)</f>
        <v>0</v>
      </c>
      <c r="M46" s="50">
        <v>39</v>
      </c>
      <c r="N46" s="50">
        <v>1</v>
      </c>
      <c r="O46" s="15">
        <f t="shared" si="0"/>
        <v>26</v>
      </c>
      <c r="P46" s="15">
        <f t="shared" si="1"/>
        <v>65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1</v>
      </c>
      <c r="E47" s="50">
        <v>4</v>
      </c>
      <c r="F47" s="50">
        <v>10</v>
      </c>
      <c r="G47" s="50">
        <v>1</v>
      </c>
      <c r="H47" s="50">
        <v>0</v>
      </c>
      <c r="I47" s="50">
        <v>5</v>
      </c>
      <c r="J47" s="50">
        <v>1</v>
      </c>
      <c r="K47" s="50">
        <v>0</v>
      </c>
      <c r="L47" s="50">
        <f>SUM('[1]RD4 MCC'!R283:U283)</f>
        <v>0</v>
      </c>
      <c r="M47" s="50">
        <v>33</v>
      </c>
      <c r="N47" s="50">
        <v>0</v>
      </c>
      <c r="O47" s="15">
        <f t="shared" si="0"/>
        <v>28</v>
      </c>
      <c r="P47" s="15">
        <f t="shared" si="1"/>
        <v>61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1</v>
      </c>
      <c r="E48" s="50">
        <v>5</v>
      </c>
      <c r="F48" s="50">
        <v>9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f>SUM('[1]RD4 MCC'!R284:U284)</f>
        <v>0</v>
      </c>
      <c r="M48" s="50">
        <v>49</v>
      </c>
      <c r="N48" s="50">
        <v>0</v>
      </c>
      <c r="O48" s="15">
        <f t="shared" si="0"/>
        <v>21</v>
      </c>
      <c r="P48" s="15">
        <f t="shared" si="1"/>
        <v>70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1</v>
      </c>
      <c r="E49" s="50">
        <v>3</v>
      </c>
      <c r="F49" s="50">
        <v>9</v>
      </c>
      <c r="G49" s="50">
        <v>1</v>
      </c>
      <c r="H49" s="50">
        <v>0</v>
      </c>
      <c r="I49" s="50">
        <v>4</v>
      </c>
      <c r="J49" s="50">
        <v>0</v>
      </c>
      <c r="K49" s="50">
        <v>0</v>
      </c>
      <c r="L49" s="50">
        <f>SUM('[1]RD4 MCC'!R285:U285)</f>
        <v>0</v>
      </c>
      <c r="M49" s="50">
        <v>40</v>
      </c>
      <c r="N49" s="50">
        <v>0</v>
      </c>
      <c r="O49" s="15">
        <f t="shared" si="0"/>
        <v>23</v>
      </c>
      <c r="P49" s="15">
        <f t="shared" si="1"/>
        <v>63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2</v>
      </c>
      <c r="E50" s="50">
        <v>5</v>
      </c>
      <c r="F50" s="50">
        <v>12</v>
      </c>
      <c r="G50" s="50">
        <v>1</v>
      </c>
      <c r="H50" s="50">
        <v>0</v>
      </c>
      <c r="I50" s="50">
        <v>6</v>
      </c>
      <c r="J50" s="50">
        <v>0</v>
      </c>
      <c r="K50" s="50">
        <v>1</v>
      </c>
      <c r="L50" s="50">
        <f>SUM('[1]RD4 MCC'!R286:U286)</f>
        <v>0</v>
      </c>
      <c r="M50" s="50">
        <v>48</v>
      </c>
      <c r="N50" s="50">
        <v>0</v>
      </c>
      <c r="O50" s="15">
        <f t="shared" si="0"/>
        <v>28</v>
      </c>
      <c r="P50" s="15">
        <f t="shared" si="1"/>
        <v>76</v>
      </c>
      <c r="R50" s="8"/>
      <c r="T50"/>
    </row>
    <row r="51" spans="2:20" ht="23.1" customHeight="1" x14ac:dyDescent="0.25">
      <c r="B51" s="24" t="s">
        <v>78</v>
      </c>
      <c r="C51" s="50">
        <v>10</v>
      </c>
      <c r="D51" s="50">
        <v>0</v>
      </c>
      <c r="E51" s="50">
        <v>2</v>
      </c>
      <c r="F51" s="50">
        <v>18</v>
      </c>
      <c r="G51" s="50">
        <v>1</v>
      </c>
      <c r="H51" s="50">
        <v>0</v>
      </c>
      <c r="I51" s="50">
        <v>4</v>
      </c>
      <c r="J51" s="50">
        <v>0</v>
      </c>
      <c r="K51" s="50">
        <v>0</v>
      </c>
      <c r="L51" s="50">
        <f>SUM('[1]RD4 MCC'!R287:U287)</f>
        <v>0</v>
      </c>
      <c r="M51" s="50">
        <v>30</v>
      </c>
      <c r="N51" s="50">
        <v>0</v>
      </c>
      <c r="O51" s="15">
        <f t="shared" si="0"/>
        <v>35</v>
      </c>
      <c r="P51" s="15">
        <f t="shared" si="1"/>
        <v>65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0</v>
      </c>
      <c r="E52" s="50">
        <v>3</v>
      </c>
      <c r="F52" s="50">
        <v>6</v>
      </c>
      <c r="G52" s="50">
        <v>2</v>
      </c>
      <c r="H52" s="50">
        <v>0</v>
      </c>
      <c r="I52" s="50">
        <v>6</v>
      </c>
      <c r="J52" s="50">
        <v>1</v>
      </c>
      <c r="K52" s="50">
        <v>0</v>
      </c>
      <c r="L52" s="50">
        <f>SUM('[1]RD4 MCC'!R288:U288)</f>
        <v>0</v>
      </c>
      <c r="M52" s="50">
        <v>40</v>
      </c>
      <c r="N52" s="50">
        <v>0</v>
      </c>
      <c r="O52" s="15">
        <f t="shared" si="0"/>
        <v>22</v>
      </c>
      <c r="P52" s="15">
        <f t="shared" si="1"/>
        <v>62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1</v>
      </c>
      <c r="E53" s="50">
        <v>3</v>
      </c>
      <c r="F53" s="50">
        <v>12</v>
      </c>
      <c r="G53" s="50">
        <v>2</v>
      </c>
      <c r="H53" s="50">
        <v>0</v>
      </c>
      <c r="I53" s="50">
        <v>6</v>
      </c>
      <c r="J53" s="50">
        <v>0</v>
      </c>
      <c r="K53" s="50">
        <v>0</v>
      </c>
      <c r="L53" s="50">
        <f>SUM('[1]RD4 MCC'!R289:U289)</f>
        <v>0</v>
      </c>
      <c r="M53" s="50">
        <v>33</v>
      </c>
      <c r="N53" s="50">
        <v>0</v>
      </c>
      <c r="O53" s="15">
        <f t="shared" si="0"/>
        <v>29</v>
      </c>
      <c r="P53" s="15">
        <f t="shared" si="1"/>
        <v>62</v>
      </c>
      <c r="R53" s="8"/>
      <c r="T53"/>
    </row>
    <row r="54" spans="2:20" ht="23.1" customHeight="1" x14ac:dyDescent="0.25">
      <c r="B54" s="23" t="s">
        <v>81</v>
      </c>
      <c r="C54" s="50">
        <v>11</v>
      </c>
      <c r="D54" s="50">
        <v>2</v>
      </c>
      <c r="E54" s="50">
        <v>7</v>
      </c>
      <c r="F54" s="50">
        <v>14</v>
      </c>
      <c r="G54" s="50">
        <v>3</v>
      </c>
      <c r="H54" s="50">
        <v>0</v>
      </c>
      <c r="I54" s="50">
        <v>4</v>
      </c>
      <c r="J54" s="50">
        <v>1</v>
      </c>
      <c r="K54" s="50">
        <v>0</v>
      </c>
      <c r="L54" s="50">
        <f>SUM('[1]RD4 MCC'!R290:U290)</f>
        <v>0</v>
      </c>
      <c r="M54" s="50">
        <v>57</v>
      </c>
      <c r="N54" s="50">
        <v>0</v>
      </c>
      <c r="O54" s="15">
        <f t="shared" si="0"/>
        <v>42</v>
      </c>
      <c r="P54" s="15">
        <f t="shared" si="1"/>
        <v>99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0</v>
      </c>
      <c r="E55" s="50">
        <v>1</v>
      </c>
      <c r="F55" s="50">
        <v>11</v>
      </c>
      <c r="G55" s="50">
        <v>9</v>
      </c>
      <c r="H55" s="50">
        <v>0</v>
      </c>
      <c r="I55" s="50">
        <v>3</v>
      </c>
      <c r="J55" s="50">
        <v>1</v>
      </c>
      <c r="K55" s="50">
        <v>0</v>
      </c>
      <c r="L55" s="50">
        <f>SUM('[1]RD4 MCC'!R291:U291)</f>
        <v>0</v>
      </c>
      <c r="M55" s="50">
        <v>39</v>
      </c>
      <c r="N55" s="50">
        <v>0</v>
      </c>
      <c r="O55" s="15">
        <f t="shared" si="0"/>
        <v>30</v>
      </c>
      <c r="P55" s="15">
        <f t="shared" si="1"/>
        <v>69</v>
      </c>
      <c r="R55" s="8"/>
      <c r="T55"/>
    </row>
    <row r="56" spans="2:20" ht="23.1" customHeight="1" x14ac:dyDescent="0.25">
      <c r="B56" s="23" t="s">
        <v>83</v>
      </c>
      <c r="C56" s="50">
        <v>9</v>
      </c>
      <c r="D56" s="50">
        <v>1</v>
      </c>
      <c r="E56" s="50">
        <v>4</v>
      </c>
      <c r="F56" s="50">
        <v>12</v>
      </c>
      <c r="G56" s="50">
        <v>5</v>
      </c>
      <c r="H56" s="50">
        <v>0</v>
      </c>
      <c r="I56" s="50">
        <v>4</v>
      </c>
      <c r="J56" s="50">
        <v>1</v>
      </c>
      <c r="K56" s="50">
        <v>0</v>
      </c>
      <c r="L56" s="50">
        <f>SUM('[1]RD4 MCC'!R292:U292)</f>
        <v>0</v>
      </c>
      <c r="M56" s="50">
        <v>42</v>
      </c>
      <c r="N56" s="50">
        <v>0</v>
      </c>
      <c r="O56" s="15">
        <f t="shared" si="0"/>
        <v>36</v>
      </c>
      <c r="P56" s="15">
        <f t="shared" si="1"/>
        <v>78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1</v>
      </c>
      <c r="E57" s="50">
        <v>4</v>
      </c>
      <c r="F57" s="50">
        <v>6</v>
      </c>
      <c r="G57" s="50">
        <v>3</v>
      </c>
      <c r="H57" s="50">
        <v>0</v>
      </c>
      <c r="I57" s="50">
        <v>4</v>
      </c>
      <c r="J57" s="50">
        <v>2</v>
      </c>
      <c r="K57" s="50">
        <v>0</v>
      </c>
      <c r="L57" s="50">
        <f>SUM('[1]RD4 MCC'!R293:U293)</f>
        <v>0</v>
      </c>
      <c r="M57" s="50">
        <v>44</v>
      </c>
      <c r="N57" s="50">
        <v>0</v>
      </c>
      <c r="O57" s="15">
        <f t="shared" si="0"/>
        <v>26</v>
      </c>
      <c r="P57" s="15">
        <f t="shared" si="1"/>
        <v>70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184</v>
      </c>
      <c r="D58" s="16">
        <f t="shared" si="21"/>
        <v>25</v>
      </c>
      <c r="E58" s="16">
        <f t="shared" si="21"/>
        <v>137</v>
      </c>
      <c r="F58" s="16">
        <f t="shared" si="21"/>
        <v>457</v>
      </c>
      <c r="G58" s="16">
        <f t="shared" si="21"/>
        <v>70</v>
      </c>
      <c r="H58" s="16">
        <f t="shared" si="21"/>
        <v>4</v>
      </c>
      <c r="I58" s="16">
        <f t="shared" si="21"/>
        <v>133</v>
      </c>
      <c r="J58" s="16">
        <f t="shared" si="21"/>
        <v>15</v>
      </c>
      <c r="K58" s="16">
        <f t="shared" si="21"/>
        <v>3</v>
      </c>
      <c r="L58" s="16">
        <f t="shared" si="21"/>
        <v>0</v>
      </c>
      <c r="M58" s="16">
        <f t="shared" si="21"/>
        <v>1875</v>
      </c>
      <c r="N58" s="16">
        <f t="shared" si="21"/>
        <v>1</v>
      </c>
      <c r="O58" s="16">
        <f t="shared" si="21"/>
        <v>1029</v>
      </c>
      <c r="P58" s="16">
        <f t="shared" si="21"/>
        <v>2904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6.3360881542699726E-2</v>
      </c>
      <c r="D59" s="43">
        <f t="shared" si="22"/>
        <v>8.6088154269972454E-3</v>
      </c>
      <c r="E59" s="43">
        <f t="shared" si="22"/>
        <v>4.7176308539944901E-2</v>
      </c>
      <c r="F59" s="43">
        <f t="shared" si="22"/>
        <v>0.15736914600550964</v>
      </c>
      <c r="G59" s="43">
        <f t="shared" si="22"/>
        <v>2.4104683195592287E-2</v>
      </c>
      <c r="H59" s="43">
        <f t="shared" si="22"/>
        <v>1.3774104683195593E-3</v>
      </c>
      <c r="I59" s="43">
        <f t="shared" si="22"/>
        <v>4.5798898071625342E-2</v>
      </c>
      <c r="J59" s="43">
        <f t="shared" si="22"/>
        <v>5.1652892561983473E-3</v>
      </c>
      <c r="K59" s="43">
        <f t="shared" si="22"/>
        <v>1.0330578512396695E-3</v>
      </c>
      <c r="L59" s="43">
        <f t="shared" si="22"/>
        <v>0</v>
      </c>
      <c r="M59" s="43">
        <f t="shared" si="22"/>
        <v>0.64566115702479343</v>
      </c>
      <c r="N59" s="43">
        <f t="shared" si="22"/>
        <v>3.4435261707988982E-4</v>
      </c>
      <c r="R59" s="8"/>
      <c r="T59"/>
    </row>
    <row r="60" spans="2:20" ht="23.1" customHeight="1" x14ac:dyDescent="0.25">
      <c r="B60" s="42" t="s">
        <v>94</v>
      </c>
      <c r="C60" s="44">
        <f>C58/$O$58</f>
        <v>0.17881438289601556</v>
      </c>
      <c r="D60" s="44">
        <f t="shared" ref="D60:N60" si="23">D58/$O$58</f>
        <v>2.4295432458697766E-2</v>
      </c>
      <c r="E60" s="44">
        <f t="shared" si="23"/>
        <v>0.13313896987366375</v>
      </c>
      <c r="F60" s="44">
        <f t="shared" si="23"/>
        <v>0.44412050534499514</v>
      </c>
      <c r="G60" s="44">
        <f t="shared" si="23"/>
        <v>6.8027210884353748E-2</v>
      </c>
      <c r="H60" s="44">
        <f t="shared" si="23"/>
        <v>3.8872691933916422E-3</v>
      </c>
      <c r="I60" s="44">
        <f t="shared" si="23"/>
        <v>0.12925170068027211</v>
      </c>
      <c r="J60" s="44">
        <f t="shared" si="23"/>
        <v>1.4577259475218658E-2</v>
      </c>
      <c r="K60" s="44">
        <f t="shared" si="23"/>
        <v>2.9154518950437317E-3</v>
      </c>
      <c r="L60" s="44">
        <f t="shared" si="23"/>
        <v>0</v>
      </c>
      <c r="M60" s="44"/>
      <c r="N60" s="44">
        <f t="shared" si="23"/>
        <v>9.7181729834791054E-4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E56" sqref="E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Jinja-Buwenge'!C3:G3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'14.08 Buwenge-Jinja'!D5</f>
        <v>14.08.19</v>
      </c>
      <c r="E5" s="3"/>
      <c r="F5" s="41" t="s">
        <v>1</v>
      </c>
      <c r="G5" s="63" t="str">
        <f>'12.08 Buwenge-Jinja'!G5:H5</f>
        <v>xxx</v>
      </c>
      <c r="H5" s="64"/>
      <c r="I5" s="14"/>
      <c r="J5" s="2" t="s">
        <v>5</v>
      </c>
      <c r="K5" s="63" t="str">
        <f>'12.08 Buwenge-Jinja'!K5:L5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Jinja-Buwenge'!D6:E6</f>
        <v>Jinja</v>
      </c>
      <c r="E6" s="64"/>
      <c r="F6" s="2" t="s">
        <v>2</v>
      </c>
      <c r="G6" s="63" t="str">
        <f>'12.08 Jinja-Buwenge'!G6:H6</f>
        <v>Buwenge</v>
      </c>
      <c r="H6" s="64"/>
      <c r="J6" s="2" t="s">
        <v>21</v>
      </c>
      <c r="K6" s="63" t="str">
        <f>'12.08 Buwenge-Jinja'!K6:L6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1</v>
      </c>
      <c r="E10" s="50">
        <v>3</v>
      </c>
      <c r="F10" s="50">
        <v>10</v>
      </c>
      <c r="G10" s="50">
        <v>7</v>
      </c>
      <c r="H10" s="50">
        <v>0</v>
      </c>
      <c r="I10" s="50">
        <v>2</v>
      </c>
      <c r="J10" s="50">
        <v>0</v>
      </c>
      <c r="K10" s="50">
        <v>0</v>
      </c>
      <c r="L10" s="50">
        <f>SUM('[1]RD4 MCC'!R198:U198)</f>
        <v>0</v>
      </c>
      <c r="M10" s="50">
        <v>24</v>
      </c>
      <c r="N10" s="50">
        <v>0</v>
      </c>
      <c r="O10" s="15">
        <f t="shared" ref="O10:O57" si="0">SUM(C10:L10,N10)</f>
        <v>28</v>
      </c>
      <c r="P10" s="15">
        <f t="shared" ref="P10:P57" si="1">SUM(C10:N10)</f>
        <v>52</v>
      </c>
      <c r="R10" s="1" t="s">
        <v>6</v>
      </c>
      <c r="S10" s="17">
        <f t="shared" ref="S10:AF10" si="2">SUM(C10:C13)</f>
        <v>15</v>
      </c>
      <c r="T10" s="17">
        <f t="shared" si="2"/>
        <v>1</v>
      </c>
      <c r="U10" s="17">
        <f t="shared" si="2"/>
        <v>5</v>
      </c>
      <c r="V10" s="17">
        <f t="shared" si="2"/>
        <v>29</v>
      </c>
      <c r="W10" s="17">
        <f t="shared" si="2"/>
        <v>18</v>
      </c>
      <c r="X10" s="17">
        <f t="shared" si="2"/>
        <v>0</v>
      </c>
      <c r="Y10" s="17">
        <f t="shared" si="2"/>
        <v>6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107</v>
      </c>
      <c r="AD10" s="17">
        <f t="shared" si="2"/>
        <v>0</v>
      </c>
      <c r="AE10" s="31">
        <f t="shared" si="2"/>
        <v>74</v>
      </c>
      <c r="AF10" s="31">
        <f t="shared" si="2"/>
        <v>181</v>
      </c>
    </row>
    <row r="11" spans="2:32" s="6" customFormat="1" ht="23.1" customHeight="1" x14ac:dyDescent="0.25">
      <c r="B11" s="23" t="s">
        <v>38</v>
      </c>
      <c r="C11" s="50">
        <v>5</v>
      </c>
      <c r="D11" s="50">
        <v>0</v>
      </c>
      <c r="E11" s="50">
        <v>0</v>
      </c>
      <c r="F11" s="50">
        <v>5</v>
      </c>
      <c r="G11" s="50">
        <v>6</v>
      </c>
      <c r="H11" s="50">
        <v>0</v>
      </c>
      <c r="I11" s="50">
        <v>2</v>
      </c>
      <c r="J11" s="50">
        <v>0</v>
      </c>
      <c r="K11" s="50">
        <v>0</v>
      </c>
      <c r="L11" s="50">
        <f>SUM('[1]RD4 MCC'!R199:U199)</f>
        <v>0</v>
      </c>
      <c r="M11" s="50">
        <v>28</v>
      </c>
      <c r="N11" s="50">
        <v>0</v>
      </c>
      <c r="O11" s="15">
        <f t="shared" si="0"/>
        <v>18</v>
      </c>
      <c r="P11" s="15">
        <f t="shared" si="1"/>
        <v>46</v>
      </c>
      <c r="R11" s="1" t="s">
        <v>7</v>
      </c>
      <c r="S11" s="17">
        <f t="shared" ref="S11:AF11" si="3">SUM(C14:C17)</f>
        <v>11</v>
      </c>
      <c r="T11" s="17">
        <f t="shared" si="3"/>
        <v>2</v>
      </c>
      <c r="U11" s="17">
        <f t="shared" si="3"/>
        <v>11</v>
      </c>
      <c r="V11" s="17">
        <f t="shared" si="3"/>
        <v>34</v>
      </c>
      <c r="W11" s="17">
        <f t="shared" si="3"/>
        <v>9</v>
      </c>
      <c r="X11" s="17">
        <f t="shared" si="3"/>
        <v>0</v>
      </c>
      <c r="Y11" s="17">
        <f t="shared" si="3"/>
        <v>12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131</v>
      </c>
      <c r="AD11" s="17">
        <f t="shared" si="3"/>
        <v>0</v>
      </c>
      <c r="AE11" s="31">
        <f t="shared" si="3"/>
        <v>81</v>
      </c>
      <c r="AF11" s="31">
        <f t="shared" si="3"/>
        <v>212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2</v>
      </c>
      <c r="F12" s="50">
        <v>6</v>
      </c>
      <c r="G12" s="50">
        <v>1</v>
      </c>
      <c r="H12" s="50">
        <v>0</v>
      </c>
      <c r="I12" s="50">
        <v>2</v>
      </c>
      <c r="J12" s="50">
        <v>0</v>
      </c>
      <c r="K12" s="50">
        <v>0</v>
      </c>
      <c r="L12" s="50">
        <f>SUM('[1]RD4 MCC'!R200:U200)</f>
        <v>0</v>
      </c>
      <c r="M12" s="50">
        <v>25</v>
      </c>
      <c r="N12" s="50">
        <v>0</v>
      </c>
      <c r="O12" s="15">
        <f t="shared" si="0"/>
        <v>13</v>
      </c>
      <c r="P12" s="15">
        <f t="shared" si="1"/>
        <v>38</v>
      </c>
      <c r="R12" s="1" t="s">
        <v>8</v>
      </c>
      <c r="S12" s="17">
        <f t="shared" ref="S12:AF12" si="4">SUM(C18:C21)</f>
        <v>19</v>
      </c>
      <c r="T12" s="17">
        <f t="shared" si="4"/>
        <v>1</v>
      </c>
      <c r="U12" s="17">
        <f t="shared" si="4"/>
        <v>11</v>
      </c>
      <c r="V12" s="17">
        <f t="shared" si="4"/>
        <v>48</v>
      </c>
      <c r="W12" s="17">
        <f t="shared" si="4"/>
        <v>5</v>
      </c>
      <c r="X12" s="17">
        <f t="shared" si="4"/>
        <v>0</v>
      </c>
      <c r="Y12" s="17">
        <f t="shared" si="4"/>
        <v>13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174</v>
      </c>
      <c r="AD12" s="17">
        <f t="shared" si="4"/>
        <v>0</v>
      </c>
      <c r="AE12" s="31">
        <f t="shared" si="4"/>
        <v>100</v>
      </c>
      <c r="AF12" s="31">
        <f t="shared" si="4"/>
        <v>274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0</v>
      </c>
      <c r="F13" s="50">
        <v>8</v>
      </c>
      <c r="G13" s="50">
        <v>4</v>
      </c>
      <c r="H13" s="50">
        <v>0</v>
      </c>
      <c r="I13" s="50">
        <v>0</v>
      </c>
      <c r="J13" s="50">
        <v>0</v>
      </c>
      <c r="K13" s="50">
        <v>0</v>
      </c>
      <c r="L13" s="50">
        <f>SUM('[1]RD4 MCC'!R201:U201)</f>
        <v>0</v>
      </c>
      <c r="M13" s="50">
        <v>30</v>
      </c>
      <c r="N13" s="50">
        <v>0</v>
      </c>
      <c r="O13" s="15">
        <f t="shared" si="0"/>
        <v>15</v>
      </c>
      <c r="P13" s="15">
        <f t="shared" si="1"/>
        <v>45</v>
      </c>
      <c r="R13" s="1" t="s">
        <v>9</v>
      </c>
      <c r="S13" s="17">
        <f t="shared" ref="S13:AF13" si="5">SUM(C22:C25)</f>
        <v>24</v>
      </c>
      <c r="T13" s="17">
        <f t="shared" si="5"/>
        <v>1</v>
      </c>
      <c r="U13" s="17">
        <f t="shared" si="5"/>
        <v>10</v>
      </c>
      <c r="V13" s="17">
        <f t="shared" si="5"/>
        <v>42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129</v>
      </c>
      <c r="AD13" s="17">
        <f t="shared" si="5"/>
        <v>0</v>
      </c>
      <c r="AE13" s="31">
        <f t="shared" si="5"/>
        <v>88</v>
      </c>
      <c r="AF13" s="31">
        <f t="shared" si="5"/>
        <v>217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3</v>
      </c>
      <c r="F14" s="50">
        <v>8</v>
      </c>
      <c r="G14" s="50">
        <v>3</v>
      </c>
      <c r="H14" s="50">
        <v>0</v>
      </c>
      <c r="I14" s="50">
        <v>6</v>
      </c>
      <c r="J14" s="50">
        <v>1</v>
      </c>
      <c r="K14" s="50">
        <v>0</v>
      </c>
      <c r="L14" s="50">
        <f>SUM('[1]RD4 MCC'!R202:U202)</f>
        <v>0</v>
      </c>
      <c r="M14" s="50">
        <v>33</v>
      </c>
      <c r="N14" s="50">
        <v>0</v>
      </c>
      <c r="O14" s="15">
        <f t="shared" si="0"/>
        <v>23</v>
      </c>
      <c r="P14" s="15">
        <f t="shared" si="1"/>
        <v>56</v>
      </c>
      <c r="R14" s="1" t="s">
        <v>10</v>
      </c>
      <c r="S14" s="17">
        <f t="shared" ref="S14:AF14" si="6">SUM(C26:C29)</f>
        <v>13</v>
      </c>
      <c r="T14" s="17">
        <f t="shared" si="6"/>
        <v>3</v>
      </c>
      <c r="U14" s="17">
        <f t="shared" si="6"/>
        <v>12</v>
      </c>
      <c r="V14" s="17">
        <f t="shared" si="6"/>
        <v>45</v>
      </c>
      <c r="W14" s="17">
        <f t="shared" si="6"/>
        <v>2</v>
      </c>
      <c r="X14" s="17">
        <f t="shared" si="6"/>
        <v>0</v>
      </c>
      <c r="Y14" s="17">
        <f t="shared" si="6"/>
        <v>15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172</v>
      </c>
      <c r="AD14" s="17">
        <f t="shared" si="6"/>
        <v>0</v>
      </c>
      <c r="AE14" s="31">
        <f t="shared" si="6"/>
        <v>91</v>
      </c>
      <c r="AF14" s="31">
        <f t="shared" si="6"/>
        <v>263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2</v>
      </c>
      <c r="F15" s="50">
        <v>11</v>
      </c>
      <c r="G15" s="50">
        <v>2</v>
      </c>
      <c r="H15" s="50">
        <v>0</v>
      </c>
      <c r="I15" s="50">
        <v>1</v>
      </c>
      <c r="J15" s="50">
        <v>1</v>
      </c>
      <c r="K15" s="50">
        <v>0</v>
      </c>
      <c r="L15" s="50">
        <f>SUM('[1]RD4 MCC'!R203:U203)</f>
        <v>0</v>
      </c>
      <c r="M15" s="50">
        <v>25</v>
      </c>
      <c r="N15" s="50">
        <v>0</v>
      </c>
      <c r="O15" s="15">
        <f t="shared" si="0"/>
        <v>20</v>
      </c>
      <c r="P15" s="15">
        <f t="shared" si="1"/>
        <v>45</v>
      </c>
      <c r="R15" s="1" t="s">
        <v>11</v>
      </c>
      <c r="S15" s="17">
        <f t="shared" ref="S15:AF15" si="7">SUM(C30:C33)</f>
        <v>27</v>
      </c>
      <c r="T15" s="17">
        <f t="shared" si="7"/>
        <v>3</v>
      </c>
      <c r="U15" s="17">
        <f t="shared" si="7"/>
        <v>14</v>
      </c>
      <c r="V15" s="17">
        <f t="shared" si="7"/>
        <v>36</v>
      </c>
      <c r="W15" s="17">
        <f t="shared" si="7"/>
        <v>2</v>
      </c>
      <c r="X15" s="17">
        <f t="shared" si="7"/>
        <v>0</v>
      </c>
      <c r="Y15" s="17">
        <f t="shared" si="7"/>
        <v>7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156</v>
      </c>
      <c r="AD15" s="17">
        <f t="shared" si="7"/>
        <v>0</v>
      </c>
      <c r="AE15" s="31">
        <f t="shared" si="7"/>
        <v>90</v>
      </c>
      <c r="AF15" s="31">
        <f t="shared" si="7"/>
        <v>246</v>
      </c>
    </row>
    <row r="16" spans="2:32" ht="23.1" customHeight="1" x14ac:dyDescent="0.25">
      <c r="B16" s="23" t="s">
        <v>43</v>
      </c>
      <c r="C16" s="50">
        <v>5</v>
      </c>
      <c r="D16" s="50">
        <v>2</v>
      </c>
      <c r="E16" s="50">
        <v>6</v>
      </c>
      <c r="F16" s="50">
        <v>10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f>SUM('[1]RD4 MCC'!R204:U204)</f>
        <v>0</v>
      </c>
      <c r="M16" s="50">
        <v>35</v>
      </c>
      <c r="N16" s="50">
        <v>0</v>
      </c>
      <c r="O16" s="15">
        <f t="shared" si="0"/>
        <v>25</v>
      </c>
      <c r="P16" s="15">
        <f t="shared" si="1"/>
        <v>60</v>
      </c>
      <c r="R16" s="1" t="s">
        <v>12</v>
      </c>
      <c r="S16" s="17">
        <f t="shared" ref="S16:AF16" si="8">SUM(C34:C37)</f>
        <v>17</v>
      </c>
      <c r="T16" s="17">
        <f t="shared" si="8"/>
        <v>0</v>
      </c>
      <c r="U16" s="17">
        <f t="shared" si="8"/>
        <v>11</v>
      </c>
      <c r="V16" s="17">
        <f t="shared" si="8"/>
        <v>43</v>
      </c>
      <c r="W16" s="17">
        <f t="shared" si="8"/>
        <v>2</v>
      </c>
      <c r="X16" s="17">
        <f t="shared" si="8"/>
        <v>1</v>
      </c>
      <c r="Y16" s="17">
        <f t="shared" si="8"/>
        <v>10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155</v>
      </c>
      <c r="AD16" s="17">
        <f t="shared" si="8"/>
        <v>0</v>
      </c>
      <c r="AE16" s="31">
        <f t="shared" si="8"/>
        <v>87</v>
      </c>
      <c r="AF16" s="31">
        <f t="shared" si="8"/>
        <v>242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5</v>
      </c>
      <c r="G17" s="50">
        <v>4</v>
      </c>
      <c r="H17" s="50">
        <v>0</v>
      </c>
      <c r="I17" s="50">
        <v>3</v>
      </c>
      <c r="J17" s="50">
        <v>0</v>
      </c>
      <c r="K17" s="50">
        <v>0</v>
      </c>
      <c r="L17" s="50">
        <f>SUM('[1]RD4 MCC'!R205:U205)</f>
        <v>0</v>
      </c>
      <c r="M17" s="50">
        <v>38</v>
      </c>
      <c r="N17" s="50">
        <v>0</v>
      </c>
      <c r="O17" s="15">
        <f t="shared" si="0"/>
        <v>13</v>
      </c>
      <c r="P17" s="15">
        <f t="shared" si="1"/>
        <v>51</v>
      </c>
      <c r="R17" s="1" t="s">
        <v>13</v>
      </c>
      <c r="S17" s="17">
        <f t="shared" ref="S17:AF17" si="9">SUM(C38:C41)</f>
        <v>21</v>
      </c>
      <c r="T17" s="17">
        <f t="shared" si="9"/>
        <v>2</v>
      </c>
      <c r="U17" s="17">
        <f t="shared" si="9"/>
        <v>13</v>
      </c>
      <c r="V17" s="17">
        <f t="shared" si="9"/>
        <v>51</v>
      </c>
      <c r="W17" s="17">
        <f t="shared" si="9"/>
        <v>3</v>
      </c>
      <c r="X17" s="17">
        <f t="shared" si="9"/>
        <v>2</v>
      </c>
      <c r="Y17" s="17">
        <f t="shared" si="9"/>
        <v>6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147</v>
      </c>
      <c r="AD17" s="17">
        <f t="shared" si="9"/>
        <v>0</v>
      </c>
      <c r="AE17" s="31">
        <f t="shared" si="9"/>
        <v>101</v>
      </c>
      <c r="AF17" s="31">
        <f t="shared" si="9"/>
        <v>248</v>
      </c>
    </row>
    <row r="18" spans="2:32" ht="23.1" customHeight="1" x14ac:dyDescent="0.25">
      <c r="B18" s="23" t="s">
        <v>45</v>
      </c>
      <c r="C18" s="50">
        <v>4</v>
      </c>
      <c r="D18" s="50">
        <v>0</v>
      </c>
      <c r="E18" s="50">
        <v>2</v>
      </c>
      <c r="F18" s="50">
        <v>5</v>
      </c>
      <c r="G18" s="50">
        <v>1</v>
      </c>
      <c r="H18" s="50">
        <v>0</v>
      </c>
      <c r="I18" s="50">
        <v>3</v>
      </c>
      <c r="J18" s="50">
        <v>0</v>
      </c>
      <c r="K18" s="50">
        <v>0</v>
      </c>
      <c r="L18" s="50">
        <f>SUM('[1]RD4 MCC'!R206:U206)</f>
        <v>0</v>
      </c>
      <c r="M18" s="50">
        <v>48</v>
      </c>
      <c r="N18" s="50">
        <v>0</v>
      </c>
      <c r="O18" s="15">
        <f t="shared" si="0"/>
        <v>15</v>
      </c>
      <c r="P18" s="15">
        <f t="shared" si="1"/>
        <v>63</v>
      </c>
      <c r="R18" s="1" t="s">
        <v>14</v>
      </c>
      <c r="S18" s="17">
        <f t="shared" ref="S18:AF18" si="10">SUM(C42:C45)</f>
        <v>22</v>
      </c>
      <c r="T18" s="17">
        <f t="shared" si="10"/>
        <v>1</v>
      </c>
      <c r="U18" s="17">
        <f t="shared" si="10"/>
        <v>8</v>
      </c>
      <c r="V18" s="17">
        <f t="shared" si="10"/>
        <v>41</v>
      </c>
      <c r="W18" s="17">
        <f t="shared" si="10"/>
        <v>4</v>
      </c>
      <c r="X18" s="17">
        <f t="shared" si="10"/>
        <v>0</v>
      </c>
      <c r="Y18" s="17">
        <f t="shared" si="10"/>
        <v>13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153</v>
      </c>
      <c r="AD18" s="17">
        <f t="shared" si="10"/>
        <v>0</v>
      </c>
      <c r="AE18" s="31">
        <f t="shared" si="10"/>
        <v>90</v>
      </c>
      <c r="AF18" s="31">
        <f t="shared" si="10"/>
        <v>243</v>
      </c>
    </row>
    <row r="19" spans="2:32" ht="23.1" customHeight="1" x14ac:dyDescent="0.25">
      <c r="B19" s="23" t="s">
        <v>46</v>
      </c>
      <c r="C19" s="50">
        <v>4</v>
      </c>
      <c r="D19" s="50">
        <v>1</v>
      </c>
      <c r="E19" s="50">
        <v>5</v>
      </c>
      <c r="F19" s="50">
        <v>16</v>
      </c>
      <c r="G19" s="50">
        <v>0</v>
      </c>
      <c r="H19" s="50">
        <v>0</v>
      </c>
      <c r="I19" s="50">
        <v>3</v>
      </c>
      <c r="J19" s="50">
        <v>2</v>
      </c>
      <c r="K19" s="50">
        <v>0</v>
      </c>
      <c r="L19" s="50">
        <f>SUM('[1]RD4 MCC'!R207:U207)</f>
        <v>0</v>
      </c>
      <c r="M19" s="50">
        <v>43</v>
      </c>
      <c r="N19" s="50">
        <v>0</v>
      </c>
      <c r="O19" s="15">
        <f t="shared" si="0"/>
        <v>31</v>
      </c>
      <c r="P19" s="15">
        <f t="shared" si="1"/>
        <v>74</v>
      </c>
      <c r="R19" s="1" t="s">
        <v>15</v>
      </c>
      <c r="S19" s="17">
        <f t="shared" ref="S19:AF19" si="11">SUM(C46:C49)</f>
        <v>19</v>
      </c>
      <c r="T19" s="17">
        <f t="shared" si="11"/>
        <v>1</v>
      </c>
      <c r="U19" s="17">
        <f t="shared" si="11"/>
        <v>10</v>
      </c>
      <c r="V19" s="17">
        <f t="shared" si="11"/>
        <v>41</v>
      </c>
      <c r="W19" s="17">
        <f t="shared" si="11"/>
        <v>2</v>
      </c>
      <c r="X19" s="17">
        <f t="shared" si="11"/>
        <v>1</v>
      </c>
      <c r="Y19" s="17">
        <f t="shared" si="11"/>
        <v>10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149</v>
      </c>
      <c r="AD19" s="17">
        <f t="shared" si="11"/>
        <v>0</v>
      </c>
      <c r="AE19" s="31">
        <f t="shared" si="11"/>
        <v>85</v>
      </c>
      <c r="AF19" s="31">
        <f t="shared" si="11"/>
        <v>234</v>
      </c>
    </row>
    <row r="20" spans="2:32" ht="23.1" customHeight="1" x14ac:dyDescent="0.25">
      <c r="B20" s="23" t="s">
        <v>47</v>
      </c>
      <c r="C20" s="50">
        <v>6</v>
      </c>
      <c r="D20" s="50">
        <v>0</v>
      </c>
      <c r="E20" s="50">
        <v>1</v>
      </c>
      <c r="F20" s="50">
        <v>11</v>
      </c>
      <c r="G20" s="50">
        <v>3</v>
      </c>
      <c r="H20" s="50">
        <v>0</v>
      </c>
      <c r="I20" s="50">
        <v>2</v>
      </c>
      <c r="J20" s="50">
        <v>1</v>
      </c>
      <c r="K20" s="50">
        <v>0</v>
      </c>
      <c r="L20" s="50">
        <f>SUM('[1]RD4 MCC'!R208:U208)</f>
        <v>0</v>
      </c>
      <c r="M20" s="50">
        <v>36</v>
      </c>
      <c r="N20" s="50">
        <v>0</v>
      </c>
      <c r="O20" s="15">
        <f t="shared" si="0"/>
        <v>24</v>
      </c>
      <c r="P20" s="15">
        <f t="shared" si="1"/>
        <v>60</v>
      </c>
      <c r="R20" s="1" t="s">
        <v>16</v>
      </c>
      <c r="S20" s="17">
        <f t="shared" ref="S20:AF20" si="12">SUM(C50:C53)</f>
        <v>25</v>
      </c>
      <c r="T20" s="17">
        <f t="shared" si="12"/>
        <v>2</v>
      </c>
      <c r="U20" s="17">
        <f t="shared" si="12"/>
        <v>11</v>
      </c>
      <c r="V20" s="17">
        <f t="shared" si="12"/>
        <v>40</v>
      </c>
      <c r="W20" s="17">
        <f t="shared" si="12"/>
        <v>8</v>
      </c>
      <c r="X20" s="17">
        <f t="shared" si="12"/>
        <v>0</v>
      </c>
      <c r="Y20" s="17">
        <f t="shared" si="12"/>
        <v>15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204</v>
      </c>
      <c r="AD20" s="17">
        <f t="shared" si="12"/>
        <v>0</v>
      </c>
      <c r="AE20" s="31">
        <f t="shared" si="12"/>
        <v>101</v>
      </c>
      <c r="AF20" s="31">
        <f t="shared" si="12"/>
        <v>305</v>
      </c>
    </row>
    <row r="21" spans="2:32" ht="23.1" customHeight="1" x14ac:dyDescent="0.25">
      <c r="B21" s="23" t="s">
        <v>48</v>
      </c>
      <c r="C21" s="50">
        <v>5</v>
      </c>
      <c r="D21" s="50">
        <v>0</v>
      </c>
      <c r="E21" s="50">
        <v>3</v>
      </c>
      <c r="F21" s="50">
        <v>16</v>
      </c>
      <c r="G21" s="50">
        <v>1</v>
      </c>
      <c r="H21" s="50">
        <v>0</v>
      </c>
      <c r="I21" s="50">
        <v>5</v>
      </c>
      <c r="J21" s="50">
        <v>0</v>
      </c>
      <c r="K21" s="50">
        <v>0</v>
      </c>
      <c r="L21" s="50">
        <f>SUM('[1]RD4 MCC'!R209:U209)</f>
        <v>0</v>
      </c>
      <c r="M21" s="50">
        <v>47</v>
      </c>
      <c r="N21" s="50">
        <v>0</v>
      </c>
      <c r="O21" s="15">
        <f t="shared" si="0"/>
        <v>30</v>
      </c>
      <c r="P21" s="15">
        <f t="shared" si="1"/>
        <v>77</v>
      </c>
      <c r="R21" s="36" t="s">
        <v>20</v>
      </c>
      <c r="S21" s="34">
        <f t="shared" ref="S21:AF21" si="13">SUM(C54:C57)</f>
        <v>26</v>
      </c>
      <c r="T21" s="17">
        <f t="shared" si="13"/>
        <v>3</v>
      </c>
      <c r="U21" s="17">
        <f t="shared" si="13"/>
        <v>11</v>
      </c>
      <c r="V21" s="17">
        <f t="shared" si="13"/>
        <v>40</v>
      </c>
      <c r="W21" s="17">
        <f t="shared" si="13"/>
        <v>14</v>
      </c>
      <c r="X21" s="17">
        <f t="shared" si="13"/>
        <v>0</v>
      </c>
      <c r="Y21" s="17">
        <f t="shared" si="13"/>
        <v>2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174</v>
      </c>
      <c r="AD21" s="17">
        <f t="shared" si="13"/>
        <v>0</v>
      </c>
      <c r="AE21" s="31">
        <f t="shared" si="13"/>
        <v>97</v>
      </c>
      <c r="AF21" s="31">
        <f t="shared" si="13"/>
        <v>271</v>
      </c>
    </row>
    <row r="22" spans="2:32" ht="23.1" customHeight="1" x14ac:dyDescent="0.25">
      <c r="B22" s="23" t="s">
        <v>49</v>
      </c>
      <c r="C22" s="50">
        <v>9</v>
      </c>
      <c r="D22" s="50">
        <v>0</v>
      </c>
      <c r="E22" s="50">
        <v>2</v>
      </c>
      <c r="F22" s="50">
        <v>11</v>
      </c>
      <c r="G22" s="50">
        <v>0</v>
      </c>
      <c r="H22" s="50">
        <v>0</v>
      </c>
      <c r="I22" s="50">
        <v>5</v>
      </c>
      <c r="J22" s="50">
        <v>0</v>
      </c>
      <c r="K22" s="50">
        <v>0</v>
      </c>
      <c r="L22" s="50">
        <f>SUM('[1]RD4 MCC'!R210:U210)</f>
        <v>0</v>
      </c>
      <c r="M22" s="50">
        <v>35</v>
      </c>
      <c r="N22" s="50">
        <v>0</v>
      </c>
      <c r="O22" s="15">
        <f t="shared" si="0"/>
        <v>27</v>
      </c>
      <c r="P22" s="15">
        <f t="shared" si="1"/>
        <v>62</v>
      </c>
      <c r="R22" s="38" t="s">
        <v>90</v>
      </c>
      <c r="S22" s="39">
        <f>MAX(S10:S12)</f>
        <v>19</v>
      </c>
      <c r="T22" s="39">
        <f t="shared" ref="T22:AF22" si="14">MAX(T10:T12)</f>
        <v>2</v>
      </c>
      <c r="U22" s="39">
        <f t="shared" si="14"/>
        <v>11</v>
      </c>
      <c r="V22" s="39">
        <f t="shared" si="14"/>
        <v>48</v>
      </c>
      <c r="W22" s="39">
        <f t="shared" si="14"/>
        <v>18</v>
      </c>
      <c r="X22" s="39">
        <f t="shared" si="14"/>
        <v>0</v>
      </c>
      <c r="Y22" s="39">
        <f t="shared" si="14"/>
        <v>13</v>
      </c>
      <c r="Z22" s="39">
        <f t="shared" si="14"/>
        <v>3</v>
      </c>
      <c r="AA22" s="39">
        <f t="shared" si="14"/>
        <v>0</v>
      </c>
      <c r="AB22" s="39">
        <f t="shared" si="14"/>
        <v>0</v>
      </c>
      <c r="AC22" s="39">
        <f t="shared" si="14"/>
        <v>174</v>
      </c>
      <c r="AD22" s="39">
        <f t="shared" si="14"/>
        <v>0</v>
      </c>
      <c r="AE22" s="40">
        <f t="shared" si="14"/>
        <v>100</v>
      </c>
      <c r="AF22" s="40">
        <f t="shared" si="14"/>
        <v>274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1</v>
      </c>
      <c r="F23" s="50">
        <v>9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f>SUM('[1]RD4 MCC'!R211:U211)</f>
        <v>0</v>
      </c>
      <c r="M23" s="50">
        <v>15</v>
      </c>
      <c r="N23" s="50">
        <v>0</v>
      </c>
      <c r="O23" s="15">
        <f t="shared" si="0"/>
        <v>11</v>
      </c>
      <c r="P23" s="15">
        <f t="shared" si="1"/>
        <v>26</v>
      </c>
      <c r="R23" s="38" t="s">
        <v>91</v>
      </c>
      <c r="S23" s="39">
        <f>MAX(S13:S18)</f>
        <v>27</v>
      </c>
      <c r="T23" s="39">
        <f t="shared" ref="T23:AF23" si="15">MAX(T13:T18)</f>
        <v>3</v>
      </c>
      <c r="U23" s="39">
        <f t="shared" si="15"/>
        <v>14</v>
      </c>
      <c r="V23" s="39">
        <f t="shared" si="15"/>
        <v>51</v>
      </c>
      <c r="W23" s="39">
        <f t="shared" si="15"/>
        <v>4</v>
      </c>
      <c r="X23" s="39">
        <f t="shared" si="15"/>
        <v>2</v>
      </c>
      <c r="Y23" s="39">
        <f t="shared" si="15"/>
        <v>15</v>
      </c>
      <c r="Z23" s="39">
        <f t="shared" si="15"/>
        <v>3</v>
      </c>
      <c r="AA23" s="39">
        <f t="shared" si="15"/>
        <v>1</v>
      </c>
      <c r="AB23" s="39">
        <f t="shared" si="15"/>
        <v>0</v>
      </c>
      <c r="AC23" s="39">
        <f t="shared" si="15"/>
        <v>172</v>
      </c>
      <c r="AD23" s="39">
        <f t="shared" si="15"/>
        <v>0</v>
      </c>
      <c r="AE23" s="40">
        <f t="shared" si="15"/>
        <v>101</v>
      </c>
      <c r="AF23" s="40">
        <f t="shared" si="15"/>
        <v>263</v>
      </c>
    </row>
    <row r="24" spans="2:32" ht="23.1" customHeight="1" x14ac:dyDescent="0.25">
      <c r="B24" s="23" t="s">
        <v>51</v>
      </c>
      <c r="C24" s="50">
        <v>8</v>
      </c>
      <c r="D24" s="50">
        <v>0</v>
      </c>
      <c r="E24" s="50">
        <v>3</v>
      </c>
      <c r="F24" s="50">
        <v>11</v>
      </c>
      <c r="G24" s="50">
        <v>0</v>
      </c>
      <c r="H24" s="50">
        <v>0</v>
      </c>
      <c r="I24" s="50">
        <v>4</v>
      </c>
      <c r="J24" s="50">
        <v>0</v>
      </c>
      <c r="K24" s="50">
        <v>0</v>
      </c>
      <c r="L24" s="50">
        <f>SUM('[1]RD4 MCC'!R212:U212)</f>
        <v>0</v>
      </c>
      <c r="M24" s="50">
        <v>37</v>
      </c>
      <c r="N24" s="50">
        <v>0</v>
      </c>
      <c r="O24" s="15">
        <f t="shared" si="0"/>
        <v>26</v>
      </c>
      <c r="P24" s="15">
        <f t="shared" si="1"/>
        <v>63</v>
      </c>
      <c r="R24" s="38" t="s">
        <v>92</v>
      </c>
      <c r="S24" s="39">
        <f>MAX(S19:S21)</f>
        <v>26</v>
      </c>
      <c r="T24" s="39">
        <f t="shared" ref="T24:AF24" si="16">MAX(T19:T21)</f>
        <v>3</v>
      </c>
      <c r="U24" s="39">
        <f t="shared" si="16"/>
        <v>11</v>
      </c>
      <c r="V24" s="39">
        <f t="shared" si="16"/>
        <v>41</v>
      </c>
      <c r="W24" s="39">
        <f t="shared" si="16"/>
        <v>14</v>
      </c>
      <c r="X24" s="39">
        <f t="shared" si="16"/>
        <v>1</v>
      </c>
      <c r="Y24" s="39">
        <f t="shared" si="16"/>
        <v>15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204</v>
      </c>
      <c r="AD24" s="39">
        <f t="shared" si="16"/>
        <v>0</v>
      </c>
      <c r="AE24" s="40">
        <f t="shared" si="16"/>
        <v>101</v>
      </c>
      <c r="AF24" s="40">
        <f t="shared" si="16"/>
        <v>305</v>
      </c>
    </row>
    <row r="25" spans="2:32" ht="23.1" customHeight="1" x14ac:dyDescent="0.25">
      <c r="B25" s="23" t="s">
        <v>52</v>
      </c>
      <c r="C25" s="50">
        <v>6</v>
      </c>
      <c r="D25" s="50">
        <v>1</v>
      </c>
      <c r="E25" s="50">
        <v>4</v>
      </c>
      <c r="F25" s="50">
        <v>11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f>SUM('[1]RD4 MCC'!R213:U213)</f>
        <v>0</v>
      </c>
      <c r="M25" s="50">
        <v>42</v>
      </c>
      <c r="N25" s="50">
        <v>0</v>
      </c>
      <c r="O25" s="15">
        <f t="shared" si="0"/>
        <v>24</v>
      </c>
      <c r="P25" s="15">
        <f t="shared" si="1"/>
        <v>66</v>
      </c>
      <c r="R25" s="37" t="s">
        <v>85</v>
      </c>
      <c r="S25" s="35">
        <f t="shared" ref="S25:AF25" si="17">SUM(S10:S12)</f>
        <v>45</v>
      </c>
      <c r="T25" s="16">
        <f t="shared" si="17"/>
        <v>4</v>
      </c>
      <c r="U25" s="16">
        <f t="shared" si="17"/>
        <v>27</v>
      </c>
      <c r="V25" s="16">
        <f t="shared" si="17"/>
        <v>111</v>
      </c>
      <c r="W25" s="16">
        <f t="shared" si="17"/>
        <v>32</v>
      </c>
      <c r="X25" s="16">
        <f t="shared" si="17"/>
        <v>0</v>
      </c>
      <c r="Y25" s="16">
        <f t="shared" si="17"/>
        <v>31</v>
      </c>
      <c r="Z25" s="16">
        <f t="shared" si="17"/>
        <v>5</v>
      </c>
      <c r="AA25" s="16">
        <f t="shared" si="17"/>
        <v>0</v>
      </c>
      <c r="AB25" s="16">
        <f t="shared" si="17"/>
        <v>0</v>
      </c>
      <c r="AC25" s="16">
        <f t="shared" si="17"/>
        <v>412</v>
      </c>
      <c r="AD25" s="16">
        <f t="shared" si="17"/>
        <v>0</v>
      </c>
      <c r="AE25" s="32">
        <f t="shared" si="17"/>
        <v>255</v>
      </c>
      <c r="AF25" s="32">
        <f t="shared" si="17"/>
        <v>667</v>
      </c>
    </row>
    <row r="26" spans="2:32" ht="23.1" customHeight="1" x14ac:dyDescent="0.25">
      <c r="B26" s="23" t="s">
        <v>53</v>
      </c>
      <c r="C26" s="50">
        <v>3</v>
      </c>
      <c r="D26" s="50">
        <v>1</v>
      </c>
      <c r="E26" s="50">
        <v>3</v>
      </c>
      <c r="F26" s="50">
        <v>12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f>SUM('[1]RD4 MCC'!R214:U214)</f>
        <v>0</v>
      </c>
      <c r="M26" s="50">
        <v>37</v>
      </c>
      <c r="N26" s="50">
        <v>0</v>
      </c>
      <c r="O26" s="15">
        <f t="shared" si="0"/>
        <v>21</v>
      </c>
      <c r="P26" s="15">
        <f t="shared" si="1"/>
        <v>58</v>
      </c>
      <c r="R26" s="28" t="s">
        <v>86</v>
      </c>
      <c r="S26" s="16">
        <f t="shared" ref="S26:AF26" si="18">SUM(S13:S18)</f>
        <v>124</v>
      </c>
      <c r="T26" s="16">
        <f t="shared" si="18"/>
        <v>10</v>
      </c>
      <c r="U26" s="16">
        <f t="shared" si="18"/>
        <v>68</v>
      </c>
      <c r="V26" s="16">
        <f t="shared" si="18"/>
        <v>258</v>
      </c>
      <c r="W26" s="16">
        <f t="shared" si="18"/>
        <v>13</v>
      </c>
      <c r="X26" s="16">
        <f t="shared" si="18"/>
        <v>3</v>
      </c>
      <c r="Y26" s="16">
        <f t="shared" si="18"/>
        <v>62</v>
      </c>
      <c r="Z26" s="16">
        <f t="shared" si="18"/>
        <v>6</v>
      </c>
      <c r="AA26" s="16">
        <f t="shared" si="18"/>
        <v>3</v>
      </c>
      <c r="AB26" s="16">
        <f t="shared" si="18"/>
        <v>0</v>
      </c>
      <c r="AC26" s="16">
        <f t="shared" si="18"/>
        <v>912</v>
      </c>
      <c r="AD26" s="16">
        <f t="shared" si="18"/>
        <v>0</v>
      </c>
      <c r="AE26" s="32">
        <f t="shared" si="18"/>
        <v>547</v>
      </c>
      <c r="AF26" s="32">
        <f t="shared" si="18"/>
        <v>1459</v>
      </c>
    </row>
    <row r="27" spans="2:32" ht="23.1" customHeight="1" x14ac:dyDescent="0.25">
      <c r="B27" s="23" t="s">
        <v>54</v>
      </c>
      <c r="C27" s="50">
        <v>5</v>
      </c>
      <c r="D27" s="50">
        <v>1</v>
      </c>
      <c r="E27" s="50">
        <v>3</v>
      </c>
      <c r="F27" s="50">
        <v>9</v>
      </c>
      <c r="G27" s="50">
        <v>1</v>
      </c>
      <c r="H27" s="50">
        <v>0</v>
      </c>
      <c r="I27" s="50">
        <v>8</v>
      </c>
      <c r="J27" s="50">
        <v>0</v>
      </c>
      <c r="K27" s="50">
        <v>0</v>
      </c>
      <c r="L27" s="50">
        <f>SUM('[1]RD4 MCC'!R215:U215)</f>
        <v>0</v>
      </c>
      <c r="M27" s="50">
        <v>42</v>
      </c>
      <c r="N27" s="50">
        <v>0</v>
      </c>
      <c r="O27" s="15">
        <f t="shared" si="0"/>
        <v>27</v>
      </c>
      <c r="P27" s="15">
        <f t="shared" si="1"/>
        <v>69</v>
      </c>
      <c r="R27" s="29" t="s">
        <v>87</v>
      </c>
      <c r="S27" s="16">
        <f t="shared" ref="S27:AF27" si="19">SUM(S19:S21)</f>
        <v>70</v>
      </c>
      <c r="T27" s="16">
        <f t="shared" si="19"/>
        <v>6</v>
      </c>
      <c r="U27" s="16">
        <f t="shared" si="19"/>
        <v>32</v>
      </c>
      <c r="V27" s="16">
        <f t="shared" si="19"/>
        <v>121</v>
      </c>
      <c r="W27" s="16">
        <f t="shared" si="19"/>
        <v>24</v>
      </c>
      <c r="X27" s="16">
        <f t="shared" si="19"/>
        <v>1</v>
      </c>
      <c r="Y27" s="16">
        <f t="shared" si="19"/>
        <v>27</v>
      </c>
      <c r="Z27" s="16">
        <f t="shared" si="19"/>
        <v>2</v>
      </c>
      <c r="AA27" s="16">
        <f t="shared" si="19"/>
        <v>0</v>
      </c>
      <c r="AB27" s="16">
        <f t="shared" si="19"/>
        <v>0</v>
      </c>
      <c r="AC27" s="16">
        <f t="shared" si="19"/>
        <v>527</v>
      </c>
      <c r="AD27" s="16">
        <f t="shared" si="19"/>
        <v>0</v>
      </c>
      <c r="AE27" s="32">
        <f t="shared" si="19"/>
        <v>283</v>
      </c>
      <c r="AF27" s="32">
        <f t="shared" si="19"/>
        <v>810</v>
      </c>
    </row>
    <row r="28" spans="2:32" ht="23.1" customHeight="1" x14ac:dyDescent="0.25">
      <c r="B28" s="23" t="s">
        <v>55</v>
      </c>
      <c r="C28" s="50">
        <v>3</v>
      </c>
      <c r="D28" s="50">
        <v>1</v>
      </c>
      <c r="E28" s="50">
        <v>4</v>
      </c>
      <c r="F28" s="50">
        <v>15</v>
      </c>
      <c r="G28" s="50">
        <v>0</v>
      </c>
      <c r="H28" s="50">
        <v>0</v>
      </c>
      <c r="I28" s="50">
        <v>3</v>
      </c>
      <c r="J28" s="50">
        <v>0</v>
      </c>
      <c r="K28" s="50">
        <v>1</v>
      </c>
      <c r="L28" s="50">
        <f>SUM('[1]RD4 MCC'!R216:U216)</f>
        <v>0</v>
      </c>
      <c r="M28" s="50">
        <v>44</v>
      </c>
      <c r="N28" s="50">
        <v>0</v>
      </c>
      <c r="O28" s="15">
        <f t="shared" si="0"/>
        <v>27</v>
      </c>
      <c r="P28" s="15">
        <f t="shared" si="1"/>
        <v>71</v>
      </c>
      <c r="R28" s="5" t="s">
        <v>17</v>
      </c>
      <c r="S28" s="16">
        <f t="shared" ref="S28:AF28" si="20">SUM(S10:S21)</f>
        <v>239</v>
      </c>
      <c r="T28" s="16">
        <f t="shared" si="20"/>
        <v>20</v>
      </c>
      <c r="U28" s="16">
        <f t="shared" si="20"/>
        <v>127</v>
      </c>
      <c r="V28" s="16">
        <f t="shared" si="20"/>
        <v>490</v>
      </c>
      <c r="W28" s="16">
        <f t="shared" si="20"/>
        <v>69</v>
      </c>
      <c r="X28" s="16">
        <f t="shared" si="20"/>
        <v>4</v>
      </c>
      <c r="Y28" s="16">
        <f t="shared" si="20"/>
        <v>120</v>
      </c>
      <c r="Z28" s="16">
        <f t="shared" si="20"/>
        <v>13</v>
      </c>
      <c r="AA28" s="16">
        <f t="shared" si="20"/>
        <v>3</v>
      </c>
      <c r="AB28" s="16">
        <f t="shared" si="20"/>
        <v>0</v>
      </c>
      <c r="AC28" s="16">
        <f t="shared" si="20"/>
        <v>1851</v>
      </c>
      <c r="AD28" s="16">
        <f t="shared" si="20"/>
        <v>0</v>
      </c>
      <c r="AE28" s="32">
        <f t="shared" si="20"/>
        <v>1085</v>
      </c>
      <c r="AF28" s="32">
        <f t="shared" si="20"/>
        <v>2936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2</v>
      </c>
      <c r="F29" s="50">
        <v>9</v>
      </c>
      <c r="G29" s="50">
        <v>1</v>
      </c>
      <c r="H29" s="50">
        <v>0</v>
      </c>
      <c r="I29" s="50">
        <v>2</v>
      </c>
      <c r="J29" s="50">
        <v>0</v>
      </c>
      <c r="K29" s="50">
        <v>0</v>
      </c>
      <c r="L29" s="50">
        <f>SUM('[1]RD4 MCC'!R217:U217)</f>
        <v>0</v>
      </c>
      <c r="M29" s="50">
        <v>49</v>
      </c>
      <c r="N29" s="50">
        <v>0</v>
      </c>
      <c r="O29" s="15">
        <f t="shared" si="0"/>
        <v>16</v>
      </c>
      <c r="P29" s="15">
        <f t="shared" si="1"/>
        <v>65</v>
      </c>
      <c r="R29"/>
      <c r="S29" s="20"/>
      <c r="T29" s="19"/>
    </row>
    <row r="30" spans="2:32" ht="23.1" customHeight="1" x14ac:dyDescent="0.25">
      <c r="B30" s="23" t="s">
        <v>57</v>
      </c>
      <c r="C30" s="50">
        <v>11</v>
      </c>
      <c r="D30" s="50">
        <v>1</v>
      </c>
      <c r="E30" s="50">
        <v>4</v>
      </c>
      <c r="F30" s="50">
        <v>6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f>SUM('[1]RD4 MCC'!R218:U218)</f>
        <v>0</v>
      </c>
      <c r="M30" s="50">
        <v>44</v>
      </c>
      <c r="N30" s="50">
        <v>0</v>
      </c>
      <c r="O30" s="15">
        <f t="shared" si="0"/>
        <v>25</v>
      </c>
      <c r="P30" s="15">
        <f t="shared" si="1"/>
        <v>69</v>
      </c>
    </row>
    <row r="31" spans="2:32" ht="23.1" customHeight="1" x14ac:dyDescent="0.25">
      <c r="B31" s="24" t="s">
        <v>58</v>
      </c>
      <c r="C31" s="50">
        <v>6</v>
      </c>
      <c r="D31" s="50">
        <v>0</v>
      </c>
      <c r="E31" s="50">
        <v>2</v>
      </c>
      <c r="F31" s="50">
        <v>15</v>
      </c>
      <c r="G31" s="50">
        <v>1</v>
      </c>
      <c r="H31" s="50">
        <v>0</v>
      </c>
      <c r="I31" s="50">
        <v>2</v>
      </c>
      <c r="J31" s="50">
        <v>0</v>
      </c>
      <c r="K31" s="50">
        <v>0</v>
      </c>
      <c r="L31" s="50">
        <f>SUM('[1]RD4 MCC'!R219:U219)</f>
        <v>0</v>
      </c>
      <c r="M31" s="50">
        <v>38</v>
      </c>
      <c r="N31" s="50">
        <v>0</v>
      </c>
      <c r="O31" s="15">
        <f t="shared" si="0"/>
        <v>26</v>
      </c>
      <c r="P31" s="15">
        <f t="shared" si="1"/>
        <v>64</v>
      </c>
    </row>
    <row r="32" spans="2:32" ht="23.1" customHeight="1" x14ac:dyDescent="0.25">
      <c r="B32" s="24" t="s">
        <v>59</v>
      </c>
      <c r="C32" s="50">
        <v>5</v>
      </c>
      <c r="D32" s="50">
        <v>1</v>
      </c>
      <c r="E32" s="50">
        <v>4</v>
      </c>
      <c r="F32" s="50">
        <v>7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f>SUM('[1]RD4 MCC'!R220:U220)</f>
        <v>0</v>
      </c>
      <c r="M32" s="50">
        <v>31</v>
      </c>
      <c r="N32" s="50">
        <v>0</v>
      </c>
      <c r="O32" s="15">
        <f t="shared" si="0"/>
        <v>20</v>
      </c>
      <c r="P32" s="15">
        <f t="shared" si="1"/>
        <v>51</v>
      </c>
    </row>
    <row r="33" spans="2:20" ht="23.1" customHeight="1" x14ac:dyDescent="0.25">
      <c r="B33" s="23" t="s">
        <v>60</v>
      </c>
      <c r="C33" s="50">
        <v>5</v>
      </c>
      <c r="D33" s="50">
        <v>1</v>
      </c>
      <c r="E33" s="50">
        <v>4</v>
      </c>
      <c r="F33" s="50">
        <v>8</v>
      </c>
      <c r="G33" s="50">
        <v>1</v>
      </c>
      <c r="H33" s="50">
        <v>0</v>
      </c>
      <c r="I33" s="50">
        <v>0</v>
      </c>
      <c r="J33" s="50">
        <v>0</v>
      </c>
      <c r="K33" s="50">
        <v>0</v>
      </c>
      <c r="L33" s="50">
        <f>SUM('[1]RD4 MCC'!R221:U221)</f>
        <v>0</v>
      </c>
      <c r="M33" s="50">
        <v>43</v>
      </c>
      <c r="N33" s="50">
        <v>0</v>
      </c>
      <c r="O33" s="15">
        <f t="shared" si="0"/>
        <v>19</v>
      </c>
      <c r="P33" s="15">
        <f t="shared" si="1"/>
        <v>62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3</v>
      </c>
      <c r="F34" s="50">
        <v>13</v>
      </c>
      <c r="G34" s="50">
        <v>0</v>
      </c>
      <c r="H34" s="50">
        <v>0</v>
      </c>
      <c r="I34" s="50">
        <v>3</v>
      </c>
      <c r="J34" s="50">
        <v>2</v>
      </c>
      <c r="K34" s="50">
        <v>0</v>
      </c>
      <c r="L34" s="50">
        <f>SUM('[1]RD4 MCC'!R222:U222)</f>
        <v>0</v>
      </c>
      <c r="M34" s="50">
        <v>35</v>
      </c>
      <c r="N34" s="50">
        <v>0</v>
      </c>
      <c r="O34" s="15">
        <f t="shared" si="0"/>
        <v>24</v>
      </c>
      <c r="P34" s="15">
        <f t="shared" si="1"/>
        <v>59</v>
      </c>
    </row>
    <row r="35" spans="2:20" ht="23.1" customHeight="1" x14ac:dyDescent="0.25">
      <c r="B35" s="24" t="s">
        <v>62</v>
      </c>
      <c r="C35" s="50">
        <v>5</v>
      </c>
      <c r="D35" s="50">
        <v>0</v>
      </c>
      <c r="E35" s="50">
        <v>2</v>
      </c>
      <c r="F35" s="50">
        <v>10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f>SUM('[1]RD4 MCC'!R223:U223)</f>
        <v>0</v>
      </c>
      <c r="M35" s="50">
        <v>48</v>
      </c>
      <c r="N35" s="50">
        <v>0</v>
      </c>
      <c r="O35" s="15">
        <f t="shared" si="0"/>
        <v>19</v>
      </c>
      <c r="P35" s="15">
        <f t="shared" si="1"/>
        <v>67</v>
      </c>
    </row>
    <row r="36" spans="2:20" ht="23.1" customHeight="1" x14ac:dyDescent="0.25">
      <c r="B36" s="24" t="s">
        <v>63</v>
      </c>
      <c r="C36" s="50">
        <v>4</v>
      </c>
      <c r="D36" s="50">
        <v>0</v>
      </c>
      <c r="E36" s="50">
        <v>3</v>
      </c>
      <c r="F36" s="50">
        <v>9</v>
      </c>
      <c r="G36" s="50">
        <v>0</v>
      </c>
      <c r="H36" s="50">
        <v>0</v>
      </c>
      <c r="I36" s="50">
        <v>5</v>
      </c>
      <c r="J36" s="50">
        <v>0</v>
      </c>
      <c r="K36" s="50">
        <v>0</v>
      </c>
      <c r="L36" s="50">
        <f>SUM('[1]RD4 MCC'!R224:U224)</f>
        <v>0</v>
      </c>
      <c r="M36" s="50">
        <v>35</v>
      </c>
      <c r="N36" s="50">
        <v>0</v>
      </c>
      <c r="O36" s="15">
        <f t="shared" si="0"/>
        <v>21</v>
      </c>
      <c r="P36" s="15">
        <f t="shared" si="1"/>
        <v>56</v>
      </c>
    </row>
    <row r="37" spans="2:20" ht="23.1" customHeight="1" x14ac:dyDescent="0.25">
      <c r="B37" s="23" t="s">
        <v>64</v>
      </c>
      <c r="C37" s="50">
        <v>5</v>
      </c>
      <c r="D37" s="50">
        <v>0</v>
      </c>
      <c r="E37" s="50">
        <v>3</v>
      </c>
      <c r="F37" s="50">
        <v>11</v>
      </c>
      <c r="G37" s="50">
        <v>2</v>
      </c>
      <c r="H37" s="50">
        <v>1</v>
      </c>
      <c r="I37" s="50">
        <v>0</v>
      </c>
      <c r="J37" s="50">
        <v>0</v>
      </c>
      <c r="K37" s="50">
        <v>1</v>
      </c>
      <c r="L37" s="50">
        <f>SUM('[1]RD4 MCC'!R225:U225)</f>
        <v>0</v>
      </c>
      <c r="M37" s="50">
        <v>37</v>
      </c>
      <c r="N37" s="50">
        <v>0</v>
      </c>
      <c r="O37" s="15">
        <f t="shared" si="0"/>
        <v>23</v>
      </c>
      <c r="P37" s="15">
        <f t="shared" si="1"/>
        <v>60</v>
      </c>
    </row>
    <row r="38" spans="2:20" ht="23.1" customHeight="1" x14ac:dyDescent="0.25">
      <c r="B38" s="24" t="s">
        <v>65</v>
      </c>
      <c r="C38" s="50">
        <v>3</v>
      </c>
      <c r="D38" s="50">
        <v>1</v>
      </c>
      <c r="E38" s="50">
        <v>4</v>
      </c>
      <c r="F38" s="50">
        <v>11</v>
      </c>
      <c r="G38" s="50">
        <v>1</v>
      </c>
      <c r="H38" s="50">
        <v>0</v>
      </c>
      <c r="I38" s="50">
        <v>2</v>
      </c>
      <c r="J38" s="50">
        <v>0</v>
      </c>
      <c r="K38" s="50">
        <v>0</v>
      </c>
      <c r="L38" s="50">
        <f>SUM('[1]RD4 MCC'!R226:U226)</f>
        <v>0</v>
      </c>
      <c r="M38" s="50">
        <v>42</v>
      </c>
      <c r="N38" s="50">
        <v>0</v>
      </c>
      <c r="O38" s="15">
        <f t="shared" si="0"/>
        <v>22</v>
      </c>
      <c r="P38" s="15">
        <f t="shared" si="1"/>
        <v>64</v>
      </c>
    </row>
    <row r="39" spans="2:20" ht="23.1" customHeight="1" x14ac:dyDescent="0.25">
      <c r="B39" s="24" t="s">
        <v>66</v>
      </c>
      <c r="C39" s="50">
        <v>5</v>
      </c>
      <c r="D39" s="50">
        <v>0</v>
      </c>
      <c r="E39" s="50">
        <v>2</v>
      </c>
      <c r="F39" s="50">
        <v>13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f>SUM('[1]RD4 MCC'!R227:U227)</f>
        <v>0</v>
      </c>
      <c r="M39" s="50">
        <v>23</v>
      </c>
      <c r="N39" s="50">
        <v>0</v>
      </c>
      <c r="O39" s="15">
        <f t="shared" si="0"/>
        <v>21</v>
      </c>
      <c r="P39" s="15">
        <f t="shared" si="1"/>
        <v>44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3</v>
      </c>
      <c r="F40" s="50">
        <v>13</v>
      </c>
      <c r="G40" s="50">
        <v>2</v>
      </c>
      <c r="H40" s="50">
        <v>1</v>
      </c>
      <c r="I40" s="50">
        <v>1</v>
      </c>
      <c r="J40" s="50">
        <v>1</v>
      </c>
      <c r="K40" s="50">
        <v>0</v>
      </c>
      <c r="L40" s="50">
        <f>SUM('[1]RD4 MCC'!R228:U228)</f>
        <v>0</v>
      </c>
      <c r="M40" s="50">
        <v>38</v>
      </c>
      <c r="N40" s="50">
        <v>0</v>
      </c>
      <c r="O40" s="15">
        <f t="shared" si="0"/>
        <v>24</v>
      </c>
      <c r="P40" s="15">
        <f t="shared" si="1"/>
        <v>62</v>
      </c>
    </row>
    <row r="41" spans="2:20" ht="23.1" customHeight="1" x14ac:dyDescent="0.25">
      <c r="B41" s="23" t="s">
        <v>68</v>
      </c>
      <c r="C41" s="50">
        <v>10</v>
      </c>
      <c r="D41" s="50">
        <v>1</v>
      </c>
      <c r="E41" s="50">
        <v>4</v>
      </c>
      <c r="F41" s="50">
        <v>14</v>
      </c>
      <c r="G41" s="50">
        <v>0</v>
      </c>
      <c r="H41" s="50">
        <v>1</v>
      </c>
      <c r="I41" s="50">
        <v>2</v>
      </c>
      <c r="J41" s="50">
        <v>2</v>
      </c>
      <c r="K41" s="50">
        <v>0</v>
      </c>
      <c r="L41" s="50">
        <f>SUM('[1]RD4 MCC'!R229:U229)</f>
        <v>0</v>
      </c>
      <c r="M41" s="50">
        <v>44</v>
      </c>
      <c r="N41" s="50">
        <v>0</v>
      </c>
      <c r="O41" s="15">
        <f t="shared" si="0"/>
        <v>34</v>
      </c>
      <c r="P41" s="15">
        <f t="shared" si="1"/>
        <v>78</v>
      </c>
    </row>
    <row r="42" spans="2:20" ht="23.1" customHeight="1" x14ac:dyDescent="0.25">
      <c r="B42" s="24" t="s">
        <v>69</v>
      </c>
      <c r="C42" s="50">
        <v>7</v>
      </c>
      <c r="D42" s="50">
        <v>1</v>
      </c>
      <c r="E42" s="50">
        <v>4</v>
      </c>
      <c r="F42" s="50">
        <v>16</v>
      </c>
      <c r="G42" s="50">
        <v>2</v>
      </c>
      <c r="H42" s="50">
        <v>0</v>
      </c>
      <c r="I42" s="50">
        <v>2</v>
      </c>
      <c r="J42" s="50">
        <v>0</v>
      </c>
      <c r="K42" s="50">
        <v>0</v>
      </c>
      <c r="L42" s="50">
        <f>SUM('[1]RD4 MCC'!R230:U230)</f>
        <v>0</v>
      </c>
      <c r="M42" s="50">
        <v>51</v>
      </c>
      <c r="N42" s="50">
        <v>0</v>
      </c>
      <c r="O42" s="15">
        <f t="shared" si="0"/>
        <v>32</v>
      </c>
      <c r="P42" s="15">
        <f t="shared" si="1"/>
        <v>83</v>
      </c>
    </row>
    <row r="43" spans="2:20" ht="23.1" customHeight="1" x14ac:dyDescent="0.25">
      <c r="B43" s="23" t="s">
        <v>70</v>
      </c>
      <c r="C43" s="50">
        <v>6</v>
      </c>
      <c r="D43" s="50">
        <v>0</v>
      </c>
      <c r="E43" s="50">
        <v>1</v>
      </c>
      <c r="F43" s="50">
        <v>4</v>
      </c>
      <c r="G43" s="50">
        <v>1</v>
      </c>
      <c r="H43" s="50">
        <v>0</v>
      </c>
      <c r="I43" s="50">
        <v>4</v>
      </c>
      <c r="J43" s="50">
        <v>0</v>
      </c>
      <c r="K43" s="50">
        <v>0</v>
      </c>
      <c r="L43" s="50">
        <f>SUM('[1]RD4 MCC'!R231:U231)</f>
        <v>0</v>
      </c>
      <c r="M43" s="50">
        <v>23</v>
      </c>
      <c r="N43" s="50">
        <v>0</v>
      </c>
      <c r="O43" s="15">
        <f t="shared" si="0"/>
        <v>16</v>
      </c>
      <c r="P43" s="15">
        <f t="shared" si="1"/>
        <v>39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1</v>
      </c>
      <c r="F44" s="50">
        <v>9</v>
      </c>
      <c r="G44" s="50">
        <v>1</v>
      </c>
      <c r="H44" s="50">
        <v>0</v>
      </c>
      <c r="I44" s="50">
        <v>4</v>
      </c>
      <c r="J44" s="50">
        <v>0</v>
      </c>
      <c r="K44" s="50">
        <v>1</v>
      </c>
      <c r="L44" s="50">
        <f>SUM('[1]RD4 MCC'!R232:U232)</f>
        <v>0</v>
      </c>
      <c r="M44" s="50">
        <v>37</v>
      </c>
      <c r="N44" s="50">
        <v>0</v>
      </c>
      <c r="O44" s="15">
        <f t="shared" si="0"/>
        <v>20</v>
      </c>
      <c r="P44" s="15">
        <f t="shared" si="1"/>
        <v>57</v>
      </c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2</v>
      </c>
      <c r="F45" s="50">
        <v>12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f>SUM('[1]RD4 MCC'!R233:U233)</f>
        <v>0</v>
      </c>
      <c r="M45" s="50">
        <v>42</v>
      </c>
      <c r="N45" s="50">
        <v>0</v>
      </c>
      <c r="O45" s="15">
        <f t="shared" si="0"/>
        <v>22</v>
      </c>
      <c r="P45" s="15">
        <f t="shared" si="1"/>
        <v>64</v>
      </c>
    </row>
    <row r="46" spans="2:20" ht="23.1" customHeight="1" x14ac:dyDescent="0.25">
      <c r="B46" s="24" t="s">
        <v>73</v>
      </c>
      <c r="C46" s="50">
        <v>7</v>
      </c>
      <c r="D46" s="50">
        <v>0</v>
      </c>
      <c r="E46" s="50">
        <v>2</v>
      </c>
      <c r="F46" s="50">
        <v>9</v>
      </c>
      <c r="G46" s="50">
        <v>1</v>
      </c>
      <c r="H46" s="50">
        <v>0</v>
      </c>
      <c r="I46" s="50">
        <v>1</v>
      </c>
      <c r="J46" s="50">
        <v>0</v>
      </c>
      <c r="K46" s="50">
        <v>0</v>
      </c>
      <c r="L46" s="50">
        <f>SUM('[1]RD4 MCC'!R234:U234)</f>
        <v>0</v>
      </c>
      <c r="M46" s="50">
        <v>32</v>
      </c>
      <c r="N46" s="50">
        <v>0</v>
      </c>
      <c r="O46" s="15">
        <f t="shared" si="0"/>
        <v>20</v>
      </c>
      <c r="P46" s="15">
        <f t="shared" si="1"/>
        <v>52</v>
      </c>
      <c r="R46" s="8"/>
      <c r="T46"/>
    </row>
    <row r="47" spans="2:20" ht="23.1" customHeight="1" x14ac:dyDescent="0.25">
      <c r="B47" s="24" t="s">
        <v>74</v>
      </c>
      <c r="C47" s="50">
        <v>9</v>
      </c>
      <c r="D47" s="50">
        <v>0</v>
      </c>
      <c r="E47" s="50">
        <v>2</v>
      </c>
      <c r="F47" s="50">
        <v>12</v>
      </c>
      <c r="G47" s="50">
        <v>0</v>
      </c>
      <c r="H47" s="50">
        <v>0</v>
      </c>
      <c r="I47" s="50">
        <v>6</v>
      </c>
      <c r="J47" s="50">
        <v>0</v>
      </c>
      <c r="K47" s="50">
        <v>0</v>
      </c>
      <c r="L47" s="50">
        <f>SUM('[1]RD4 MCC'!R235:U235)</f>
        <v>0</v>
      </c>
      <c r="M47" s="50">
        <v>34</v>
      </c>
      <c r="N47" s="50">
        <v>0</v>
      </c>
      <c r="O47" s="15">
        <f t="shared" si="0"/>
        <v>29</v>
      </c>
      <c r="P47" s="15">
        <f t="shared" si="1"/>
        <v>63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1</v>
      </c>
      <c r="E48" s="50">
        <v>4</v>
      </c>
      <c r="F48" s="50">
        <v>10</v>
      </c>
      <c r="G48" s="50">
        <v>0</v>
      </c>
      <c r="H48" s="50">
        <v>0</v>
      </c>
      <c r="I48" s="50">
        <v>1</v>
      </c>
      <c r="J48" s="50">
        <v>1</v>
      </c>
      <c r="K48" s="50">
        <v>0</v>
      </c>
      <c r="L48" s="50">
        <f>SUM('[1]RD4 MCC'!R236:U236)</f>
        <v>0</v>
      </c>
      <c r="M48" s="50">
        <v>35</v>
      </c>
      <c r="N48" s="50">
        <v>0</v>
      </c>
      <c r="O48" s="15">
        <f t="shared" si="0"/>
        <v>18</v>
      </c>
      <c r="P48" s="15">
        <f t="shared" si="1"/>
        <v>53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2</v>
      </c>
      <c r="F49" s="50">
        <v>10</v>
      </c>
      <c r="G49" s="50">
        <v>1</v>
      </c>
      <c r="H49" s="50">
        <v>1</v>
      </c>
      <c r="I49" s="50">
        <v>2</v>
      </c>
      <c r="J49" s="50">
        <v>0</v>
      </c>
      <c r="K49" s="50">
        <v>0</v>
      </c>
      <c r="L49" s="50">
        <f>SUM('[1]RD4 MCC'!R237:U237)</f>
        <v>0</v>
      </c>
      <c r="M49" s="50">
        <v>48</v>
      </c>
      <c r="N49" s="50">
        <v>0</v>
      </c>
      <c r="O49" s="15">
        <f t="shared" si="0"/>
        <v>18</v>
      </c>
      <c r="P49" s="15">
        <f t="shared" si="1"/>
        <v>66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0</v>
      </c>
      <c r="E50" s="50">
        <v>1</v>
      </c>
      <c r="F50" s="50">
        <v>13</v>
      </c>
      <c r="G50" s="50">
        <v>1</v>
      </c>
      <c r="H50" s="50">
        <v>0</v>
      </c>
      <c r="I50" s="50">
        <v>4</v>
      </c>
      <c r="J50" s="50">
        <v>0</v>
      </c>
      <c r="K50" s="50">
        <v>0</v>
      </c>
      <c r="L50" s="50">
        <f>SUM('[1]RD4 MCC'!R238:U238)</f>
        <v>0</v>
      </c>
      <c r="M50" s="50">
        <v>42</v>
      </c>
      <c r="N50" s="50">
        <v>0</v>
      </c>
      <c r="O50" s="15">
        <f t="shared" si="0"/>
        <v>23</v>
      </c>
      <c r="P50" s="15">
        <f t="shared" si="1"/>
        <v>65</v>
      </c>
      <c r="R50" s="8"/>
      <c r="T50"/>
    </row>
    <row r="51" spans="2:20" ht="23.1" customHeight="1" x14ac:dyDescent="0.25">
      <c r="B51" s="24" t="s">
        <v>78</v>
      </c>
      <c r="C51" s="50">
        <v>8</v>
      </c>
      <c r="D51" s="50">
        <v>1</v>
      </c>
      <c r="E51" s="50">
        <v>4</v>
      </c>
      <c r="F51" s="50">
        <v>8</v>
      </c>
      <c r="G51" s="50">
        <v>3</v>
      </c>
      <c r="H51" s="50">
        <v>0</v>
      </c>
      <c r="I51" s="50">
        <v>3</v>
      </c>
      <c r="J51" s="50">
        <v>0</v>
      </c>
      <c r="K51" s="50">
        <v>0</v>
      </c>
      <c r="L51" s="50">
        <f>SUM('[1]RD4 MCC'!R239:U239)</f>
        <v>0</v>
      </c>
      <c r="M51" s="50">
        <v>49</v>
      </c>
      <c r="N51" s="50">
        <v>0</v>
      </c>
      <c r="O51" s="15">
        <f t="shared" si="0"/>
        <v>27</v>
      </c>
      <c r="P51" s="15">
        <f t="shared" si="1"/>
        <v>76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0</v>
      </c>
      <c r="E52" s="50">
        <v>1</v>
      </c>
      <c r="F52" s="50">
        <v>12</v>
      </c>
      <c r="G52" s="50">
        <v>1</v>
      </c>
      <c r="H52" s="50">
        <v>0</v>
      </c>
      <c r="I52" s="50">
        <v>3</v>
      </c>
      <c r="J52" s="50">
        <v>0</v>
      </c>
      <c r="K52" s="50">
        <v>0</v>
      </c>
      <c r="L52" s="50">
        <f>SUM('[1]RD4 MCC'!R240:U240)</f>
        <v>0</v>
      </c>
      <c r="M52" s="50">
        <v>59</v>
      </c>
      <c r="N52" s="50">
        <v>0</v>
      </c>
      <c r="O52" s="15">
        <f t="shared" si="0"/>
        <v>21</v>
      </c>
      <c r="P52" s="15">
        <f t="shared" si="1"/>
        <v>80</v>
      </c>
      <c r="R52" s="8"/>
      <c r="T52"/>
    </row>
    <row r="53" spans="2:20" ht="23.1" customHeight="1" x14ac:dyDescent="0.25">
      <c r="B53" s="23" t="s">
        <v>80</v>
      </c>
      <c r="C53" s="50">
        <v>9</v>
      </c>
      <c r="D53" s="50">
        <v>1</v>
      </c>
      <c r="E53" s="50">
        <v>5</v>
      </c>
      <c r="F53" s="50">
        <v>7</v>
      </c>
      <c r="G53" s="50">
        <v>3</v>
      </c>
      <c r="H53" s="50">
        <v>0</v>
      </c>
      <c r="I53" s="50">
        <v>5</v>
      </c>
      <c r="J53" s="50">
        <v>0</v>
      </c>
      <c r="K53" s="50">
        <v>0</v>
      </c>
      <c r="L53" s="50">
        <f>SUM('[1]RD4 MCC'!R241:U241)</f>
        <v>0</v>
      </c>
      <c r="M53" s="50">
        <v>54</v>
      </c>
      <c r="N53" s="50">
        <v>0</v>
      </c>
      <c r="O53" s="15">
        <f t="shared" si="0"/>
        <v>30</v>
      </c>
      <c r="P53" s="15">
        <f t="shared" si="1"/>
        <v>84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1</v>
      </c>
      <c r="E54" s="50">
        <v>3</v>
      </c>
      <c r="F54" s="50">
        <v>11</v>
      </c>
      <c r="G54" s="50">
        <v>3</v>
      </c>
      <c r="H54" s="50">
        <v>0</v>
      </c>
      <c r="I54" s="50">
        <v>0</v>
      </c>
      <c r="J54" s="50">
        <v>0</v>
      </c>
      <c r="K54" s="50">
        <v>0</v>
      </c>
      <c r="L54" s="50">
        <f>SUM('[1]RD4 MCC'!R242:U242)</f>
        <v>0</v>
      </c>
      <c r="M54" s="50">
        <v>28</v>
      </c>
      <c r="N54" s="50">
        <v>0</v>
      </c>
      <c r="O54" s="15">
        <f t="shared" si="0"/>
        <v>25</v>
      </c>
      <c r="P54" s="15">
        <f t="shared" si="1"/>
        <v>53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1</v>
      </c>
      <c r="E55" s="50">
        <v>5</v>
      </c>
      <c r="F55" s="50">
        <v>10</v>
      </c>
      <c r="G55" s="50">
        <v>5</v>
      </c>
      <c r="H55" s="50">
        <v>0</v>
      </c>
      <c r="I55" s="50">
        <v>1</v>
      </c>
      <c r="J55" s="50">
        <v>0</v>
      </c>
      <c r="K55" s="50">
        <v>0</v>
      </c>
      <c r="L55" s="50">
        <f>SUM('[1]RD4 MCC'!R243:U243)</f>
        <v>0</v>
      </c>
      <c r="M55" s="50">
        <v>55</v>
      </c>
      <c r="N55" s="50">
        <v>0</v>
      </c>
      <c r="O55" s="15">
        <f t="shared" si="0"/>
        <v>29</v>
      </c>
      <c r="P55" s="15">
        <f t="shared" si="1"/>
        <v>84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1</v>
      </c>
      <c r="E56" s="50">
        <v>3</v>
      </c>
      <c r="F56" s="50">
        <v>9</v>
      </c>
      <c r="G56" s="50">
        <v>4</v>
      </c>
      <c r="H56" s="50">
        <v>0</v>
      </c>
      <c r="I56" s="50">
        <v>0</v>
      </c>
      <c r="J56" s="50">
        <v>1</v>
      </c>
      <c r="K56" s="50">
        <v>0</v>
      </c>
      <c r="L56" s="50">
        <f>SUM('[1]RD4 MCC'!R244:U244)</f>
        <v>0</v>
      </c>
      <c r="M56" s="50">
        <v>35</v>
      </c>
      <c r="N56" s="50">
        <v>0</v>
      </c>
      <c r="O56" s="15">
        <f t="shared" si="0"/>
        <v>21</v>
      </c>
      <c r="P56" s="15">
        <f t="shared" si="1"/>
        <v>56</v>
      </c>
      <c r="R56" s="8"/>
      <c r="T56"/>
    </row>
    <row r="57" spans="2:20" ht="23.1" customHeight="1" x14ac:dyDescent="0.25">
      <c r="B57" s="23" t="s">
        <v>84</v>
      </c>
      <c r="C57" s="50">
        <v>9</v>
      </c>
      <c r="D57" s="50">
        <v>0</v>
      </c>
      <c r="E57" s="50">
        <v>0</v>
      </c>
      <c r="F57" s="50">
        <v>10</v>
      </c>
      <c r="G57" s="50">
        <v>2</v>
      </c>
      <c r="H57" s="50">
        <v>0</v>
      </c>
      <c r="I57" s="50">
        <v>1</v>
      </c>
      <c r="J57" s="50">
        <v>0</v>
      </c>
      <c r="K57" s="50">
        <v>0</v>
      </c>
      <c r="L57" s="50">
        <f>SUM('[1]RD4 MCC'!R245:U245)</f>
        <v>0</v>
      </c>
      <c r="M57" s="50">
        <v>56</v>
      </c>
      <c r="N57" s="50">
        <v>0</v>
      </c>
      <c r="O57" s="15">
        <f t="shared" si="0"/>
        <v>22</v>
      </c>
      <c r="P57" s="15">
        <f t="shared" si="1"/>
        <v>78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239</v>
      </c>
      <c r="D58" s="16">
        <f t="shared" si="21"/>
        <v>20</v>
      </c>
      <c r="E58" s="16">
        <f t="shared" si="21"/>
        <v>127</v>
      </c>
      <c r="F58" s="16">
        <f t="shared" si="21"/>
        <v>490</v>
      </c>
      <c r="G58" s="16">
        <f t="shared" si="21"/>
        <v>69</v>
      </c>
      <c r="H58" s="16">
        <f t="shared" si="21"/>
        <v>4</v>
      </c>
      <c r="I58" s="16">
        <f t="shared" si="21"/>
        <v>120</v>
      </c>
      <c r="J58" s="16">
        <f t="shared" si="21"/>
        <v>13</v>
      </c>
      <c r="K58" s="16">
        <f t="shared" si="21"/>
        <v>3</v>
      </c>
      <c r="L58" s="16">
        <f t="shared" si="21"/>
        <v>0</v>
      </c>
      <c r="M58" s="16">
        <f t="shared" si="21"/>
        <v>1851</v>
      </c>
      <c r="N58" s="16">
        <f t="shared" si="21"/>
        <v>0</v>
      </c>
      <c r="O58" s="16">
        <f t="shared" si="21"/>
        <v>1085</v>
      </c>
      <c r="P58" s="16">
        <f t="shared" si="21"/>
        <v>2936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8.1403269754768387E-2</v>
      </c>
      <c r="D59" s="43">
        <f t="shared" si="22"/>
        <v>6.8119891008174387E-3</v>
      </c>
      <c r="E59" s="43">
        <f t="shared" si="22"/>
        <v>4.3256130790190736E-2</v>
      </c>
      <c r="F59" s="43">
        <f t="shared" si="22"/>
        <v>0.16689373297002724</v>
      </c>
      <c r="G59" s="43">
        <f t="shared" si="22"/>
        <v>2.3501362397820164E-2</v>
      </c>
      <c r="H59" s="43">
        <f t="shared" si="22"/>
        <v>1.3623978201634877E-3</v>
      </c>
      <c r="I59" s="43">
        <f t="shared" si="22"/>
        <v>4.0871934604904632E-2</v>
      </c>
      <c r="J59" s="43">
        <f t="shared" si="22"/>
        <v>4.4277929155313355E-3</v>
      </c>
      <c r="K59" s="43">
        <f t="shared" si="22"/>
        <v>1.0217983651226157E-3</v>
      </c>
      <c r="L59" s="43">
        <f t="shared" si="22"/>
        <v>0</v>
      </c>
      <c r="M59" s="43">
        <f t="shared" si="22"/>
        <v>0.63044959128065392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0.22027649769585253</v>
      </c>
      <c r="D60" s="44">
        <f t="shared" ref="D60:N60" si="23">D58/$O$58</f>
        <v>1.8433179723502304E-2</v>
      </c>
      <c r="E60" s="44">
        <f t="shared" si="23"/>
        <v>0.11705069124423963</v>
      </c>
      <c r="F60" s="44">
        <f t="shared" si="23"/>
        <v>0.45161290322580644</v>
      </c>
      <c r="G60" s="44">
        <f t="shared" si="23"/>
        <v>6.3594470046082943E-2</v>
      </c>
      <c r="H60" s="44">
        <f t="shared" si="23"/>
        <v>3.6866359447004608E-3</v>
      </c>
      <c r="I60" s="44">
        <f t="shared" si="23"/>
        <v>0.11059907834101383</v>
      </c>
      <c r="J60" s="44">
        <f t="shared" si="23"/>
        <v>1.1981566820276499E-2</v>
      </c>
      <c r="K60" s="44">
        <f t="shared" si="23"/>
        <v>2.7649769585253456E-3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E58" sqref="E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Buwenge-Jinja'!C3:G3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3" t="str">
        <f>'14.08 Jinja-Buwenge'!G5:H5</f>
        <v>xxx</v>
      </c>
      <c r="H5" s="64"/>
      <c r="I5" s="14"/>
      <c r="J5" s="2" t="s">
        <v>5</v>
      </c>
      <c r="K5" s="63" t="str">
        <f>'14.08 Jinja-Buwenge'!K5:L5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Buwenge-Jinja'!D6:E6</f>
        <v>Buwenge</v>
      </c>
      <c r="E6" s="64"/>
      <c r="F6" s="2" t="s">
        <v>2</v>
      </c>
      <c r="G6" s="63" t="str">
        <f>'12.08 Buwenge-Jinja'!G6:H6</f>
        <v>Jinja</v>
      </c>
      <c r="H6" s="64"/>
      <c r="J6" s="2" t="s">
        <v>21</v>
      </c>
      <c r="K6" s="63" t="str">
        <f>'14.08 Jinja-Buwenge'!K6:L6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1</v>
      </c>
      <c r="F10" s="50">
        <v>8</v>
      </c>
      <c r="G10" s="50">
        <v>6</v>
      </c>
      <c r="H10" s="50">
        <v>1</v>
      </c>
      <c r="I10" s="50">
        <v>0</v>
      </c>
      <c r="J10" s="50">
        <v>0</v>
      </c>
      <c r="K10" s="50">
        <v>0</v>
      </c>
      <c r="L10" s="50">
        <f>SUM('[1]RD4 MCC'!R342:U342)</f>
        <v>0</v>
      </c>
      <c r="M10" s="50">
        <v>69</v>
      </c>
      <c r="N10" s="50">
        <v>0</v>
      </c>
      <c r="O10" s="15">
        <f t="shared" ref="O10:O57" si="0">SUM(C10:L10,N10)</f>
        <v>19</v>
      </c>
      <c r="P10" s="15">
        <f t="shared" ref="P10:P57" si="1">SUM(C10:N10)</f>
        <v>88</v>
      </c>
      <c r="R10" s="1" t="s">
        <v>6</v>
      </c>
      <c r="S10" s="17">
        <f t="shared" ref="S10:AF10" si="2">SUM(C10:C13)</f>
        <v>17</v>
      </c>
      <c r="T10" s="17">
        <f t="shared" si="2"/>
        <v>1</v>
      </c>
      <c r="U10" s="17">
        <f t="shared" si="2"/>
        <v>8</v>
      </c>
      <c r="V10" s="17">
        <f t="shared" si="2"/>
        <v>34</v>
      </c>
      <c r="W10" s="17">
        <f t="shared" si="2"/>
        <v>17</v>
      </c>
      <c r="X10" s="17">
        <f t="shared" si="2"/>
        <v>2</v>
      </c>
      <c r="Y10" s="17">
        <f t="shared" si="2"/>
        <v>7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251</v>
      </c>
      <c r="AD10" s="17">
        <f t="shared" si="2"/>
        <v>0</v>
      </c>
      <c r="AE10" s="31">
        <f t="shared" si="2"/>
        <v>87</v>
      </c>
      <c r="AF10" s="31">
        <f t="shared" si="2"/>
        <v>338</v>
      </c>
    </row>
    <row r="11" spans="2:32" s="6" customFormat="1" ht="23.1" customHeight="1" x14ac:dyDescent="0.25">
      <c r="B11" s="23" t="s">
        <v>38</v>
      </c>
      <c r="C11" s="50">
        <v>6</v>
      </c>
      <c r="D11" s="50">
        <v>0</v>
      </c>
      <c r="E11" s="50">
        <v>1</v>
      </c>
      <c r="F11" s="50">
        <v>8</v>
      </c>
      <c r="G11" s="50">
        <v>2</v>
      </c>
      <c r="H11" s="50">
        <v>0</v>
      </c>
      <c r="I11" s="50">
        <v>0</v>
      </c>
      <c r="J11" s="50">
        <v>0</v>
      </c>
      <c r="K11" s="50">
        <v>0</v>
      </c>
      <c r="L11" s="50">
        <f>SUM('[1]RD4 MCC'!R343:U343)</f>
        <v>0</v>
      </c>
      <c r="M11" s="50">
        <v>55</v>
      </c>
      <c r="N11" s="50">
        <v>0</v>
      </c>
      <c r="O11" s="15">
        <f t="shared" si="0"/>
        <v>17</v>
      </c>
      <c r="P11" s="15">
        <f t="shared" si="1"/>
        <v>72</v>
      </c>
      <c r="R11" s="1" t="s">
        <v>7</v>
      </c>
      <c r="S11" s="17">
        <f t="shared" ref="S11:AF11" si="3">SUM(C14:C17)</f>
        <v>17</v>
      </c>
      <c r="T11" s="17">
        <f t="shared" si="3"/>
        <v>2</v>
      </c>
      <c r="U11" s="17">
        <f t="shared" si="3"/>
        <v>13</v>
      </c>
      <c r="V11" s="17">
        <f t="shared" si="3"/>
        <v>39</v>
      </c>
      <c r="W11" s="17">
        <f t="shared" si="3"/>
        <v>11</v>
      </c>
      <c r="X11" s="17">
        <f t="shared" si="3"/>
        <v>0</v>
      </c>
      <c r="Y11" s="17">
        <f t="shared" si="3"/>
        <v>8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210</v>
      </c>
      <c r="AD11" s="17">
        <f t="shared" si="3"/>
        <v>0</v>
      </c>
      <c r="AE11" s="31">
        <f t="shared" si="3"/>
        <v>91</v>
      </c>
      <c r="AF11" s="31">
        <f t="shared" si="3"/>
        <v>301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3</v>
      </c>
      <c r="F12" s="50">
        <v>7</v>
      </c>
      <c r="G12" s="50">
        <v>5</v>
      </c>
      <c r="H12" s="50">
        <v>0</v>
      </c>
      <c r="I12" s="50">
        <v>3</v>
      </c>
      <c r="J12" s="50">
        <v>0</v>
      </c>
      <c r="K12" s="50">
        <v>0</v>
      </c>
      <c r="L12" s="50">
        <f>SUM('[1]RD4 MCC'!R344:U344)</f>
        <v>0</v>
      </c>
      <c r="M12" s="50">
        <v>56</v>
      </c>
      <c r="N12" s="50">
        <v>0</v>
      </c>
      <c r="O12" s="15">
        <f t="shared" si="0"/>
        <v>19</v>
      </c>
      <c r="P12" s="15">
        <f t="shared" si="1"/>
        <v>75</v>
      </c>
      <c r="R12" s="1" t="s">
        <v>8</v>
      </c>
      <c r="S12" s="17">
        <f t="shared" ref="S12:AF12" si="4">SUM(C18:C21)</f>
        <v>16</v>
      </c>
      <c r="T12" s="17">
        <f t="shared" si="4"/>
        <v>3</v>
      </c>
      <c r="U12" s="17">
        <f t="shared" si="4"/>
        <v>10</v>
      </c>
      <c r="V12" s="17">
        <f t="shared" si="4"/>
        <v>45</v>
      </c>
      <c r="W12" s="17">
        <f t="shared" si="4"/>
        <v>4</v>
      </c>
      <c r="X12" s="17">
        <f t="shared" si="4"/>
        <v>1</v>
      </c>
      <c r="Y12" s="17">
        <f t="shared" si="4"/>
        <v>11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194</v>
      </c>
      <c r="AD12" s="17">
        <f t="shared" si="4"/>
        <v>0</v>
      </c>
      <c r="AE12" s="31">
        <f t="shared" si="4"/>
        <v>92</v>
      </c>
      <c r="AF12" s="31">
        <f t="shared" si="4"/>
        <v>286</v>
      </c>
    </row>
    <row r="13" spans="2:32" ht="23.1" customHeight="1" x14ac:dyDescent="0.25">
      <c r="B13" s="23" t="s">
        <v>40</v>
      </c>
      <c r="C13" s="50">
        <v>8</v>
      </c>
      <c r="D13" s="50">
        <v>0</v>
      </c>
      <c r="E13" s="50">
        <v>3</v>
      </c>
      <c r="F13" s="50">
        <v>11</v>
      </c>
      <c r="G13" s="50">
        <v>4</v>
      </c>
      <c r="H13" s="50">
        <v>1</v>
      </c>
      <c r="I13" s="50">
        <v>4</v>
      </c>
      <c r="J13" s="50">
        <v>1</v>
      </c>
      <c r="K13" s="50">
        <v>0</v>
      </c>
      <c r="L13" s="50">
        <f>SUM('[1]RD4 MCC'!R345:U345)</f>
        <v>0</v>
      </c>
      <c r="M13" s="50">
        <v>71</v>
      </c>
      <c r="N13" s="50">
        <v>0</v>
      </c>
      <c r="O13" s="15">
        <f t="shared" si="0"/>
        <v>32</v>
      </c>
      <c r="P13" s="15">
        <f t="shared" si="1"/>
        <v>103</v>
      </c>
      <c r="R13" s="1" t="s">
        <v>9</v>
      </c>
      <c r="S13" s="17">
        <f t="shared" ref="S13:AF13" si="5">SUM(C22:C25)</f>
        <v>14</v>
      </c>
      <c r="T13" s="17">
        <f t="shared" si="5"/>
        <v>2</v>
      </c>
      <c r="U13" s="17">
        <f t="shared" si="5"/>
        <v>13</v>
      </c>
      <c r="V13" s="17">
        <f t="shared" si="5"/>
        <v>35</v>
      </c>
      <c r="W13" s="17">
        <f t="shared" si="5"/>
        <v>2</v>
      </c>
      <c r="X13" s="17">
        <f t="shared" si="5"/>
        <v>0</v>
      </c>
      <c r="Y13" s="17">
        <f t="shared" si="5"/>
        <v>12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154</v>
      </c>
      <c r="AD13" s="17">
        <f t="shared" si="5"/>
        <v>1</v>
      </c>
      <c r="AE13" s="31">
        <f t="shared" si="5"/>
        <v>80</v>
      </c>
      <c r="AF13" s="31">
        <f t="shared" si="5"/>
        <v>234</v>
      </c>
    </row>
    <row r="14" spans="2:32" ht="23.1" customHeight="1" x14ac:dyDescent="0.25">
      <c r="B14" s="23" t="s">
        <v>41</v>
      </c>
      <c r="C14" s="50">
        <v>5</v>
      </c>
      <c r="D14" s="50">
        <v>1</v>
      </c>
      <c r="E14" s="50">
        <v>3</v>
      </c>
      <c r="F14" s="50">
        <v>14</v>
      </c>
      <c r="G14" s="50">
        <v>3</v>
      </c>
      <c r="H14" s="50">
        <v>0</v>
      </c>
      <c r="I14" s="50">
        <v>4</v>
      </c>
      <c r="J14" s="50">
        <v>0</v>
      </c>
      <c r="K14" s="50">
        <v>0</v>
      </c>
      <c r="L14" s="50">
        <f>SUM('[1]RD4 MCC'!R346:U346)</f>
        <v>0</v>
      </c>
      <c r="M14" s="50">
        <v>63</v>
      </c>
      <c r="N14" s="50">
        <v>0</v>
      </c>
      <c r="O14" s="15">
        <f t="shared" si="0"/>
        <v>30</v>
      </c>
      <c r="P14" s="15">
        <f t="shared" si="1"/>
        <v>93</v>
      </c>
      <c r="R14" s="1" t="s">
        <v>10</v>
      </c>
      <c r="S14" s="17">
        <f t="shared" ref="S14:AF14" si="6">SUM(C26:C29)</f>
        <v>25</v>
      </c>
      <c r="T14" s="17">
        <f t="shared" si="6"/>
        <v>1</v>
      </c>
      <c r="U14" s="17">
        <f t="shared" si="6"/>
        <v>7</v>
      </c>
      <c r="V14" s="17">
        <f t="shared" si="6"/>
        <v>35</v>
      </c>
      <c r="W14" s="17">
        <f t="shared" si="6"/>
        <v>1</v>
      </c>
      <c r="X14" s="17">
        <f t="shared" si="6"/>
        <v>1</v>
      </c>
      <c r="Y14" s="17">
        <f t="shared" si="6"/>
        <v>7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130</v>
      </c>
      <c r="AD14" s="17">
        <f t="shared" si="6"/>
        <v>0</v>
      </c>
      <c r="AE14" s="31">
        <f t="shared" si="6"/>
        <v>77</v>
      </c>
      <c r="AF14" s="31">
        <f t="shared" si="6"/>
        <v>207</v>
      </c>
    </row>
    <row r="15" spans="2:32" ht="23.1" customHeight="1" x14ac:dyDescent="0.25">
      <c r="B15" s="23" t="s">
        <v>42</v>
      </c>
      <c r="C15" s="50">
        <v>4</v>
      </c>
      <c r="D15" s="50">
        <v>0</v>
      </c>
      <c r="E15" s="50">
        <v>3</v>
      </c>
      <c r="F15" s="50">
        <v>6</v>
      </c>
      <c r="G15" s="50">
        <v>4</v>
      </c>
      <c r="H15" s="50">
        <v>0</v>
      </c>
      <c r="I15" s="50">
        <v>1</v>
      </c>
      <c r="J15" s="50">
        <v>0</v>
      </c>
      <c r="K15" s="50">
        <v>0</v>
      </c>
      <c r="L15" s="50">
        <f>SUM('[1]RD4 MCC'!R347:U347)</f>
        <v>0</v>
      </c>
      <c r="M15" s="50">
        <v>52</v>
      </c>
      <c r="N15" s="50">
        <v>0</v>
      </c>
      <c r="O15" s="15">
        <f t="shared" si="0"/>
        <v>18</v>
      </c>
      <c r="P15" s="15">
        <f t="shared" si="1"/>
        <v>70</v>
      </c>
      <c r="R15" s="1" t="s">
        <v>11</v>
      </c>
      <c r="S15" s="17">
        <f t="shared" ref="S15:AF15" si="7">SUM(C30:C33)</f>
        <v>18</v>
      </c>
      <c r="T15" s="17">
        <f t="shared" si="7"/>
        <v>5</v>
      </c>
      <c r="U15" s="17">
        <f t="shared" si="7"/>
        <v>19</v>
      </c>
      <c r="V15" s="17">
        <f t="shared" si="7"/>
        <v>40</v>
      </c>
      <c r="W15" s="17">
        <f t="shared" si="7"/>
        <v>2</v>
      </c>
      <c r="X15" s="17">
        <f t="shared" si="7"/>
        <v>0</v>
      </c>
      <c r="Y15" s="17">
        <f t="shared" si="7"/>
        <v>16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169</v>
      </c>
      <c r="AD15" s="17">
        <f t="shared" si="7"/>
        <v>0</v>
      </c>
      <c r="AE15" s="31">
        <f t="shared" si="7"/>
        <v>100</v>
      </c>
      <c r="AF15" s="31">
        <f t="shared" si="7"/>
        <v>269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3</v>
      </c>
      <c r="F16" s="50">
        <v>11</v>
      </c>
      <c r="G16" s="50">
        <v>2</v>
      </c>
      <c r="H16" s="50">
        <v>0</v>
      </c>
      <c r="I16" s="50">
        <v>1</v>
      </c>
      <c r="J16" s="50">
        <v>0</v>
      </c>
      <c r="K16" s="50">
        <v>0</v>
      </c>
      <c r="L16" s="50">
        <f>SUM('[1]RD4 MCC'!R348:U348)</f>
        <v>0</v>
      </c>
      <c r="M16" s="50">
        <v>42</v>
      </c>
      <c r="N16" s="50">
        <v>0</v>
      </c>
      <c r="O16" s="15">
        <f t="shared" si="0"/>
        <v>19</v>
      </c>
      <c r="P16" s="15">
        <f t="shared" si="1"/>
        <v>61</v>
      </c>
      <c r="R16" s="1" t="s">
        <v>12</v>
      </c>
      <c r="S16" s="17">
        <f t="shared" ref="S16:AF16" si="8">SUM(C34:C37)</f>
        <v>21</v>
      </c>
      <c r="T16" s="17">
        <f t="shared" si="8"/>
        <v>4</v>
      </c>
      <c r="U16" s="17">
        <f t="shared" si="8"/>
        <v>15</v>
      </c>
      <c r="V16" s="17">
        <f t="shared" si="8"/>
        <v>33</v>
      </c>
      <c r="W16" s="17">
        <f t="shared" si="8"/>
        <v>3</v>
      </c>
      <c r="X16" s="17">
        <f t="shared" si="8"/>
        <v>0</v>
      </c>
      <c r="Y16" s="17">
        <f t="shared" si="8"/>
        <v>12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116</v>
      </c>
      <c r="AD16" s="17">
        <f t="shared" si="8"/>
        <v>0</v>
      </c>
      <c r="AE16" s="31">
        <f t="shared" si="8"/>
        <v>88</v>
      </c>
      <c r="AF16" s="31">
        <f t="shared" si="8"/>
        <v>204</v>
      </c>
    </row>
    <row r="17" spans="2:32" ht="23.1" customHeight="1" x14ac:dyDescent="0.25">
      <c r="B17" s="23" t="s">
        <v>44</v>
      </c>
      <c r="C17" s="50">
        <v>6</v>
      </c>
      <c r="D17" s="50">
        <v>1</v>
      </c>
      <c r="E17" s="50">
        <v>4</v>
      </c>
      <c r="F17" s="50">
        <v>8</v>
      </c>
      <c r="G17" s="50">
        <v>2</v>
      </c>
      <c r="H17" s="50">
        <v>0</v>
      </c>
      <c r="I17" s="50">
        <v>2</v>
      </c>
      <c r="J17" s="50">
        <v>1</v>
      </c>
      <c r="K17" s="50">
        <v>0</v>
      </c>
      <c r="L17" s="50">
        <f>SUM('[1]RD4 MCC'!R349:U349)</f>
        <v>0</v>
      </c>
      <c r="M17" s="50">
        <v>53</v>
      </c>
      <c r="N17" s="50">
        <v>0</v>
      </c>
      <c r="O17" s="15">
        <f t="shared" si="0"/>
        <v>24</v>
      </c>
      <c r="P17" s="15">
        <f t="shared" si="1"/>
        <v>77</v>
      </c>
      <c r="R17" s="1" t="s">
        <v>13</v>
      </c>
      <c r="S17" s="17">
        <f t="shared" ref="S17:AF17" si="9">SUM(C38:C41)</f>
        <v>14</v>
      </c>
      <c r="T17" s="17">
        <f t="shared" si="9"/>
        <v>3</v>
      </c>
      <c r="U17" s="17">
        <f t="shared" si="9"/>
        <v>13</v>
      </c>
      <c r="V17" s="17">
        <f t="shared" si="9"/>
        <v>39</v>
      </c>
      <c r="W17" s="17">
        <f t="shared" si="9"/>
        <v>1</v>
      </c>
      <c r="X17" s="17">
        <f t="shared" si="9"/>
        <v>0</v>
      </c>
      <c r="Y17" s="17">
        <f t="shared" si="9"/>
        <v>12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123</v>
      </c>
      <c r="AD17" s="17">
        <f t="shared" si="9"/>
        <v>0</v>
      </c>
      <c r="AE17" s="31">
        <f t="shared" si="9"/>
        <v>83</v>
      </c>
      <c r="AF17" s="31">
        <f t="shared" si="9"/>
        <v>206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0</v>
      </c>
      <c r="F18" s="50">
        <v>16</v>
      </c>
      <c r="G18" s="50">
        <v>2</v>
      </c>
      <c r="H18" s="50">
        <v>0</v>
      </c>
      <c r="I18" s="50">
        <v>5</v>
      </c>
      <c r="J18" s="50">
        <v>0</v>
      </c>
      <c r="K18" s="50">
        <v>0</v>
      </c>
      <c r="L18" s="50">
        <f>SUM('[1]RD4 MCC'!R350:U350)</f>
        <v>0</v>
      </c>
      <c r="M18" s="50">
        <v>48</v>
      </c>
      <c r="N18" s="50">
        <v>0</v>
      </c>
      <c r="O18" s="15">
        <f t="shared" si="0"/>
        <v>26</v>
      </c>
      <c r="P18" s="15">
        <f t="shared" si="1"/>
        <v>74</v>
      </c>
      <c r="R18" s="1" t="s">
        <v>14</v>
      </c>
      <c r="S18" s="17">
        <f t="shared" ref="S18:AF18" si="10">SUM(C42:C45)</f>
        <v>18</v>
      </c>
      <c r="T18" s="17">
        <f t="shared" si="10"/>
        <v>8</v>
      </c>
      <c r="U18" s="17">
        <f t="shared" si="10"/>
        <v>26</v>
      </c>
      <c r="V18" s="17">
        <f t="shared" si="10"/>
        <v>42</v>
      </c>
      <c r="W18" s="17">
        <f t="shared" si="10"/>
        <v>3</v>
      </c>
      <c r="X18" s="17">
        <f t="shared" si="10"/>
        <v>0</v>
      </c>
      <c r="Y18" s="17">
        <f t="shared" si="10"/>
        <v>22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127</v>
      </c>
      <c r="AD18" s="17">
        <f t="shared" si="10"/>
        <v>0</v>
      </c>
      <c r="AE18" s="31">
        <f t="shared" si="10"/>
        <v>121</v>
      </c>
      <c r="AF18" s="31">
        <f t="shared" si="10"/>
        <v>248</v>
      </c>
    </row>
    <row r="19" spans="2:32" ht="23.1" customHeight="1" x14ac:dyDescent="0.25">
      <c r="B19" s="23" t="s">
        <v>46</v>
      </c>
      <c r="C19" s="50">
        <v>7</v>
      </c>
      <c r="D19" s="50">
        <v>1</v>
      </c>
      <c r="E19" s="50">
        <v>3</v>
      </c>
      <c r="F19" s="50">
        <v>9</v>
      </c>
      <c r="G19" s="50">
        <v>1</v>
      </c>
      <c r="H19" s="50">
        <v>0</v>
      </c>
      <c r="I19" s="50">
        <v>3</v>
      </c>
      <c r="J19" s="50">
        <v>0</v>
      </c>
      <c r="K19" s="50">
        <v>0</v>
      </c>
      <c r="L19" s="50">
        <f>SUM('[1]RD4 MCC'!R351:U351)</f>
        <v>0</v>
      </c>
      <c r="M19" s="50">
        <v>50</v>
      </c>
      <c r="N19" s="50">
        <v>0</v>
      </c>
      <c r="O19" s="15">
        <f t="shared" si="0"/>
        <v>24</v>
      </c>
      <c r="P19" s="15">
        <f t="shared" si="1"/>
        <v>74</v>
      </c>
      <c r="R19" s="1" t="s">
        <v>15</v>
      </c>
      <c r="S19" s="17">
        <f t="shared" ref="S19:AF19" si="11">SUM(C46:C49)</f>
        <v>22</v>
      </c>
      <c r="T19" s="17">
        <f t="shared" si="11"/>
        <v>6</v>
      </c>
      <c r="U19" s="17">
        <f t="shared" si="11"/>
        <v>19</v>
      </c>
      <c r="V19" s="17">
        <f t="shared" si="11"/>
        <v>35</v>
      </c>
      <c r="W19" s="17">
        <f t="shared" si="11"/>
        <v>1</v>
      </c>
      <c r="X19" s="17">
        <f t="shared" si="11"/>
        <v>0</v>
      </c>
      <c r="Y19" s="17">
        <f t="shared" si="11"/>
        <v>20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140</v>
      </c>
      <c r="AD19" s="17">
        <f t="shared" si="11"/>
        <v>0</v>
      </c>
      <c r="AE19" s="31">
        <f t="shared" si="11"/>
        <v>106</v>
      </c>
      <c r="AF19" s="31">
        <f t="shared" si="11"/>
        <v>246</v>
      </c>
    </row>
    <row r="20" spans="2:32" ht="23.1" customHeight="1" x14ac:dyDescent="0.25">
      <c r="B20" s="23" t="s">
        <v>47</v>
      </c>
      <c r="C20" s="50">
        <v>6</v>
      </c>
      <c r="D20" s="50">
        <v>1</v>
      </c>
      <c r="E20" s="50">
        <v>3</v>
      </c>
      <c r="F20" s="50">
        <v>7</v>
      </c>
      <c r="G20" s="50">
        <v>0</v>
      </c>
      <c r="H20" s="50">
        <v>1</v>
      </c>
      <c r="I20" s="50">
        <v>2</v>
      </c>
      <c r="J20" s="50">
        <v>2</v>
      </c>
      <c r="K20" s="50">
        <v>0</v>
      </c>
      <c r="L20" s="50">
        <f>SUM('[1]RD4 MCC'!R352:U352)</f>
        <v>0</v>
      </c>
      <c r="M20" s="50">
        <v>45</v>
      </c>
      <c r="N20" s="50">
        <v>0</v>
      </c>
      <c r="O20" s="15">
        <f t="shared" si="0"/>
        <v>22</v>
      </c>
      <c r="P20" s="15">
        <f t="shared" si="1"/>
        <v>67</v>
      </c>
      <c r="R20" s="1" t="s">
        <v>16</v>
      </c>
      <c r="S20" s="17">
        <f t="shared" ref="S20:AF20" si="12">SUM(C50:C53)</f>
        <v>31</v>
      </c>
      <c r="T20" s="17">
        <f t="shared" si="12"/>
        <v>7</v>
      </c>
      <c r="U20" s="17">
        <f t="shared" si="12"/>
        <v>26</v>
      </c>
      <c r="V20" s="17">
        <f t="shared" si="12"/>
        <v>49</v>
      </c>
      <c r="W20" s="17">
        <f t="shared" si="12"/>
        <v>13</v>
      </c>
      <c r="X20" s="17">
        <f t="shared" si="12"/>
        <v>0</v>
      </c>
      <c r="Y20" s="17">
        <f t="shared" si="12"/>
        <v>18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179</v>
      </c>
      <c r="AD20" s="17">
        <f t="shared" si="12"/>
        <v>0</v>
      </c>
      <c r="AE20" s="31">
        <f t="shared" si="12"/>
        <v>144</v>
      </c>
      <c r="AF20" s="31">
        <f t="shared" si="12"/>
        <v>323</v>
      </c>
    </row>
    <row r="21" spans="2:32" ht="23.1" customHeight="1" x14ac:dyDescent="0.25">
      <c r="B21" s="23" t="s">
        <v>48</v>
      </c>
      <c r="C21" s="50">
        <v>0</v>
      </c>
      <c r="D21" s="50">
        <v>1</v>
      </c>
      <c r="E21" s="50">
        <v>4</v>
      </c>
      <c r="F21" s="50">
        <v>13</v>
      </c>
      <c r="G21" s="50">
        <v>1</v>
      </c>
      <c r="H21" s="50">
        <v>0</v>
      </c>
      <c r="I21" s="50">
        <v>1</v>
      </c>
      <c r="J21" s="50">
        <v>0</v>
      </c>
      <c r="K21" s="50">
        <v>0</v>
      </c>
      <c r="L21" s="50">
        <f>SUM('[1]RD4 MCC'!R353:U353)</f>
        <v>0</v>
      </c>
      <c r="M21" s="50">
        <v>51</v>
      </c>
      <c r="N21" s="50">
        <v>0</v>
      </c>
      <c r="O21" s="15">
        <f t="shared" si="0"/>
        <v>20</v>
      </c>
      <c r="P21" s="15">
        <f t="shared" si="1"/>
        <v>71</v>
      </c>
      <c r="R21" s="36" t="s">
        <v>20</v>
      </c>
      <c r="S21" s="34">
        <f t="shared" ref="S21:AF21" si="13">SUM(C54:C57)</f>
        <v>37</v>
      </c>
      <c r="T21" s="17">
        <f t="shared" si="13"/>
        <v>6</v>
      </c>
      <c r="U21" s="17">
        <f t="shared" si="13"/>
        <v>17</v>
      </c>
      <c r="V21" s="17">
        <f t="shared" si="13"/>
        <v>50</v>
      </c>
      <c r="W21" s="17">
        <f t="shared" si="13"/>
        <v>11</v>
      </c>
      <c r="X21" s="17">
        <f t="shared" si="13"/>
        <v>0</v>
      </c>
      <c r="Y21" s="17">
        <f t="shared" si="13"/>
        <v>21</v>
      </c>
      <c r="Z21" s="17">
        <f t="shared" si="13"/>
        <v>5</v>
      </c>
      <c r="AA21" s="17">
        <f t="shared" si="13"/>
        <v>0</v>
      </c>
      <c r="AB21" s="17">
        <f t="shared" si="13"/>
        <v>0</v>
      </c>
      <c r="AC21" s="17">
        <f t="shared" si="13"/>
        <v>155</v>
      </c>
      <c r="AD21" s="17">
        <f t="shared" si="13"/>
        <v>0</v>
      </c>
      <c r="AE21" s="31">
        <f t="shared" si="13"/>
        <v>147</v>
      </c>
      <c r="AF21" s="31">
        <f t="shared" si="13"/>
        <v>302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5</v>
      </c>
      <c r="F22" s="50">
        <v>9</v>
      </c>
      <c r="G22" s="50">
        <v>1</v>
      </c>
      <c r="H22" s="50">
        <v>0</v>
      </c>
      <c r="I22" s="50">
        <v>4</v>
      </c>
      <c r="J22" s="50">
        <v>1</v>
      </c>
      <c r="K22" s="50">
        <v>0</v>
      </c>
      <c r="L22" s="50">
        <f>SUM('[1]RD4 MCC'!R354:U354)</f>
        <v>0</v>
      </c>
      <c r="M22" s="50">
        <v>39</v>
      </c>
      <c r="N22" s="50">
        <v>0</v>
      </c>
      <c r="O22" s="15">
        <f t="shared" si="0"/>
        <v>24</v>
      </c>
      <c r="P22" s="15">
        <f t="shared" si="1"/>
        <v>63</v>
      </c>
      <c r="R22" s="38" t="s">
        <v>90</v>
      </c>
      <c r="S22" s="39">
        <f>MAX(S10:S12)</f>
        <v>17</v>
      </c>
      <c r="T22" s="39">
        <f t="shared" ref="T22:AF22" si="14">MAX(T10:T12)</f>
        <v>3</v>
      </c>
      <c r="U22" s="39">
        <f t="shared" si="14"/>
        <v>13</v>
      </c>
      <c r="V22" s="39">
        <f t="shared" si="14"/>
        <v>45</v>
      </c>
      <c r="W22" s="39">
        <f t="shared" si="14"/>
        <v>17</v>
      </c>
      <c r="X22" s="39">
        <f t="shared" si="14"/>
        <v>2</v>
      </c>
      <c r="Y22" s="39">
        <f t="shared" si="14"/>
        <v>11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251</v>
      </c>
      <c r="AD22" s="39">
        <f t="shared" si="14"/>
        <v>0</v>
      </c>
      <c r="AE22" s="40">
        <f t="shared" si="14"/>
        <v>92</v>
      </c>
      <c r="AF22" s="40">
        <f t="shared" si="14"/>
        <v>338</v>
      </c>
    </row>
    <row r="23" spans="2:32" ht="23.1" customHeight="1" x14ac:dyDescent="0.25">
      <c r="B23" s="23" t="s">
        <v>50</v>
      </c>
      <c r="C23" s="50">
        <v>4</v>
      </c>
      <c r="D23" s="50">
        <v>1</v>
      </c>
      <c r="E23" s="50">
        <v>4</v>
      </c>
      <c r="F23" s="50">
        <v>8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f>SUM('[1]RD4 MCC'!R355:U355)</f>
        <v>0</v>
      </c>
      <c r="M23" s="50">
        <v>46</v>
      </c>
      <c r="N23" s="50">
        <v>0</v>
      </c>
      <c r="O23" s="15">
        <f t="shared" si="0"/>
        <v>19</v>
      </c>
      <c r="P23" s="15">
        <f t="shared" si="1"/>
        <v>65</v>
      </c>
      <c r="R23" s="38" t="s">
        <v>91</v>
      </c>
      <c r="S23" s="39">
        <f>MAX(S13:S18)</f>
        <v>25</v>
      </c>
      <c r="T23" s="39">
        <f t="shared" ref="T23:AF23" si="15">MAX(T13:T18)</f>
        <v>8</v>
      </c>
      <c r="U23" s="39">
        <f t="shared" si="15"/>
        <v>26</v>
      </c>
      <c r="V23" s="39">
        <f t="shared" si="15"/>
        <v>42</v>
      </c>
      <c r="W23" s="39">
        <f t="shared" si="15"/>
        <v>3</v>
      </c>
      <c r="X23" s="39">
        <f t="shared" si="15"/>
        <v>1</v>
      </c>
      <c r="Y23" s="39">
        <f t="shared" si="15"/>
        <v>22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169</v>
      </c>
      <c r="AD23" s="39">
        <f t="shared" si="15"/>
        <v>1</v>
      </c>
      <c r="AE23" s="40">
        <f t="shared" si="15"/>
        <v>121</v>
      </c>
      <c r="AF23" s="40">
        <f t="shared" si="15"/>
        <v>269</v>
      </c>
    </row>
    <row r="24" spans="2:32" ht="23.1" customHeight="1" x14ac:dyDescent="0.25">
      <c r="B24" s="23" t="s">
        <v>51</v>
      </c>
      <c r="C24" s="50">
        <v>3</v>
      </c>
      <c r="D24" s="50">
        <v>0</v>
      </c>
      <c r="E24" s="50">
        <v>1</v>
      </c>
      <c r="F24" s="50">
        <v>9</v>
      </c>
      <c r="G24" s="50">
        <v>1</v>
      </c>
      <c r="H24" s="50">
        <v>0</v>
      </c>
      <c r="I24" s="50">
        <v>3</v>
      </c>
      <c r="J24" s="50">
        <v>0</v>
      </c>
      <c r="K24" s="50">
        <v>0</v>
      </c>
      <c r="L24" s="50">
        <f>SUM('[1]RD4 MCC'!R356:U356)</f>
        <v>0</v>
      </c>
      <c r="M24" s="50">
        <v>38</v>
      </c>
      <c r="N24" s="50">
        <v>0</v>
      </c>
      <c r="O24" s="15">
        <f t="shared" si="0"/>
        <v>17</v>
      </c>
      <c r="P24" s="15">
        <f t="shared" si="1"/>
        <v>55</v>
      </c>
      <c r="R24" s="38" t="s">
        <v>92</v>
      </c>
      <c r="S24" s="39">
        <f>MAX(S19:S21)</f>
        <v>37</v>
      </c>
      <c r="T24" s="39">
        <f t="shared" ref="T24:AF24" si="16">MAX(T19:T21)</f>
        <v>7</v>
      </c>
      <c r="U24" s="39">
        <f t="shared" si="16"/>
        <v>26</v>
      </c>
      <c r="V24" s="39">
        <f t="shared" si="16"/>
        <v>50</v>
      </c>
      <c r="W24" s="39">
        <f t="shared" si="16"/>
        <v>13</v>
      </c>
      <c r="X24" s="39">
        <f t="shared" si="16"/>
        <v>0</v>
      </c>
      <c r="Y24" s="39">
        <f t="shared" si="16"/>
        <v>21</v>
      </c>
      <c r="Z24" s="39">
        <f t="shared" si="16"/>
        <v>5</v>
      </c>
      <c r="AA24" s="39">
        <f t="shared" si="16"/>
        <v>0</v>
      </c>
      <c r="AB24" s="39">
        <f t="shared" si="16"/>
        <v>0</v>
      </c>
      <c r="AC24" s="39">
        <f t="shared" si="16"/>
        <v>179</v>
      </c>
      <c r="AD24" s="39">
        <f t="shared" si="16"/>
        <v>0</v>
      </c>
      <c r="AE24" s="40">
        <f t="shared" si="16"/>
        <v>147</v>
      </c>
      <c r="AF24" s="40">
        <f t="shared" si="16"/>
        <v>323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3</v>
      </c>
      <c r="F25" s="50">
        <v>9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f>SUM('[1]RD4 MCC'!R357:U357)</f>
        <v>0</v>
      </c>
      <c r="M25" s="50">
        <v>31</v>
      </c>
      <c r="N25" s="50">
        <v>1</v>
      </c>
      <c r="O25" s="15">
        <f t="shared" si="0"/>
        <v>20</v>
      </c>
      <c r="P25" s="15">
        <f t="shared" si="1"/>
        <v>51</v>
      </c>
      <c r="R25" s="37" t="s">
        <v>85</v>
      </c>
      <c r="S25" s="35">
        <f t="shared" ref="S25:AF25" si="17">SUM(S10:S12)</f>
        <v>50</v>
      </c>
      <c r="T25" s="16">
        <f t="shared" si="17"/>
        <v>6</v>
      </c>
      <c r="U25" s="16">
        <f t="shared" si="17"/>
        <v>31</v>
      </c>
      <c r="V25" s="16">
        <f t="shared" si="17"/>
        <v>118</v>
      </c>
      <c r="W25" s="16">
        <f t="shared" si="17"/>
        <v>32</v>
      </c>
      <c r="X25" s="16">
        <f t="shared" si="17"/>
        <v>3</v>
      </c>
      <c r="Y25" s="16">
        <f t="shared" si="17"/>
        <v>26</v>
      </c>
      <c r="Z25" s="16">
        <f t="shared" si="17"/>
        <v>4</v>
      </c>
      <c r="AA25" s="16">
        <f t="shared" si="17"/>
        <v>0</v>
      </c>
      <c r="AB25" s="16">
        <f t="shared" si="17"/>
        <v>0</v>
      </c>
      <c r="AC25" s="16">
        <f t="shared" si="17"/>
        <v>655</v>
      </c>
      <c r="AD25" s="16">
        <f t="shared" si="17"/>
        <v>0</v>
      </c>
      <c r="AE25" s="32">
        <f t="shared" si="17"/>
        <v>270</v>
      </c>
      <c r="AF25" s="32">
        <f t="shared" si="17"/>
        <v>925</v>
      </c>
    </row>
    <row r="26" spans="2:32" ht="23.1" customHeight="1" x14ac:dyDescent="0.25">
      <c r="B26" s="23" t="s">
        <v>53</v>
      </c>
      <c r="C26" s="50">
        <v>3</v>
      </c>
      <c r="D26" s="50">
        <v>1</v>
      </c>
      <c r="E26" s="50">
        <v>3</v>
      </c>
      <c r="F26" s="50">
        <v>6</v>
      </c>
      <c r="G26" s="50">
        <v>1</v>
      </c>
      <c r="H26" s="50">
        <v>0</v>
      </c>
      <c r="I26" s="50">
        <v>2</v>
      </c>
      <c r="J26" s="50">
        <v>0</v>
      </c>
      <c r="K26" s="50">
        <v>0</v>
      </c>
      <c r="L26" s="50">
        <f>SUM('[1]RD4 MCC'!R358:U358)</f>
        <v>0</v>
      </c>
      <c r="M26" s="50">
        <v>29</v>
      </c>
      <c r="N26" s="50">
        <v>0</v>
      </c>
      <c r="O26" s="15">
        <f t="shared" si="0"/>
        <v>16</v>
      </c>
      <c r="P26" s="15">
        <f t="shared" si="1"/>
        <v>45</v>
      </c>
      <c r="R26" s="28" t="s">
        <v>86</v>
      </c>
      <c r="S26" s="16">
        <f t="shared" ref="S26:AF26" si="18">SUM(S13:S18)</f>
        <v>110</v>
      </c>
      <c r="T26" s="16">
        <f t="shared" si="18"/>
        <v>23</v>
      </c>
      <c r="U26" s="16">
        <f t="shared" si="18"/>
        <v>93</v>
      </c>
      <c r="V26" s="16">
        <f t="shared" si="18"/>
        <v>224</v>
      </c>
      <c r="W26" s="16">
        <f t="shared" si="18"/>
        <v>12</v>
      </c>
      <c r="X26" s="16">
        <f t="shared" si="18"/>
        <v>1</v>
      </c>
      <c r="Y26" s="16">
        <f t="shared" si="18"/>
        <v>81</v>
      </c>
      <c r="Z26" s="16">
        <f t="shared" si="18"/>
        <v>4</v>
      </c>
      <c r="AA26" s="16">
        <f t="shared" si="18"/>
        <v>0</v>
      </c>
      <c r="AB26" s="16">
        <f t="shared" si="18"/>
        <v>0</v>
      </c>
      <c r="AC26" s="16">
        <f t="shared" si="18"/>
        <v>819</v>
      </c>
      <c r="AD26" s="16">
        <f t="shared" si="18"/>
        <v>1</v>
      </c>
      <c r="AE26" s="32">
        <f t="shared" si="18"/>
        <v>549</v>
      </c>
      <c r="AF26" s="32">
        <f t="shared" si="18"/>
        <v>1368</v>
      </c>
    </row>
    <row r="27" spans="2:32" ht="23.1" customHeight="1" x14ac:dyDescent="0.25">
      <c r="B27" s="23" t="s">
        <v>54</v>
      </c>
      <c r="C27" s="50">
        <v>11</v>
      </c>
      <c r="D27" s="50">
        <v>0</v>
      </c>
      <c r="E27" s="50">
        <v>1</v>
      </c>
      <c r="F27" s="50">
        <v>10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f>SUM('[1]RD4 MCC'!R359:U359)</f>
        <v>0</v>
      </c>
      <c r="M27" s="50">
        <v>37</v>
      </c>
      <c r="N27" s="50">
        <v>0</v>
      </c>
      <c r="O27" s="15">
        <f t="shared" si="0"/>
        <v>23</v>
      </c>
      <c r="P27" s="15">
        <f t="shared" si="1"/>
        <v>60</v>
      </c>
      <c r="R27" s="29" t="s">
        <v>87</v>
      </c>
      <c r="S27" s="16">
        <f t="shared" ref="S27:AF27" si="19">SUM(S19:S21)</f>
        <v>90</v>
      </c>
      <c r="T27" s="16">
        <f t="shared" si="19"/>
        <v>19</v>
      </c>
      <c r="U27" s="16">
        <f t="shared" si="19"/>
        <v>62</v>
      </c>
      <c r="V27" s="16">
        <f t="shared" si="19"/>
        <v>134</v>
      </c>
      <c r="W27" s="16">
        <f t="shared" si="19"/>
        <v>25</v>
      </c>
      <c r="X27" s="16">
        <f t="shared" si="19"/>
        <v>0</v>
      </c>
      <c r="Y27" s="16">
        <f t="shared" si="19"/>
        <v>59</v>
      </c>
      <c r="Z27" s="16">
        <f t="shared" si="19"/>
        <v>8</v>
      </c>
      <c r="AA27" s="16">
        <f t="shared" si="19"/>
        <v>0</v>
      </c>
      <c r="AB27" s="16">
        <f t="shared" si="19"/>
        <v>0</v>
      </c>
      <c r="AC27" s="16">
        <f t="shared" si="19"/>
        <v>474</v>
      </c>
      <c r="AD27" s="16">
        <f t="shared" si="19"/>
        <v>0</v>
      </c>
      <c r="AE27" s="32">
        <f t="shared" si="19"/>
        <v>397</v>
      </c>
      <c r="AF27" s="32">
        <f t="shared" si="19"/>
        <v>871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0</v>
      </c>
      <c r="F28" s="50">
        <v>10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f>SUM('[1]RD4 MCC'!R360:U360)</f>
        <v>0</v>
      </c>
      <c r="M28" s="50">
        <v>39</v>
      </c>
      <c r="N28" s="50">
        <v>0</v>
      </c>
      <c r="O28" s="15">
        <f t="shared" si="0"/>
        <v>17</v>
      </c>
      <c r="P28" s="15">
        <f t="shared" si="1"/>
        <v>56</v>
      </c>
      <c r="R28" s="5" t="s">
        <v>17</v>
      </c>
      <c r="S28" s="16">
        <f t="shared" ref="S28:AF28" si="20">SUM(S10:S21)</f>
        <v>250</v>
      </c>
      <c r="T28" s="16">
        <f t="shared" si="20"/>
        <v>48</v>
      </c>
      <c r="U28" s="16">
        <f t="shared" si="20"/>
        <v>186</v>
      </c>
      <c r="V28" s="16">
        <f t="shared" si="20"/>
        <v>476</v>
      </c>
      <c r="W28" s="16">
        <f t="shared" si="20"/>
        <v>69</v>
      </c>
      <c r="X28" s="16">
        <f t="shared" si="20"/>
        <v>4</v>
      </c>
      <c r="Y28" s="16">
        <f t="shared" si="20"/>
        <v>166</v>
      </c>
      <c r="Z28" s="16">
        <f t="shared" si="20"/>
        <v>16</v>
      </c>
      <c r="AA28" s="16">
        <f t="shared" si="20"/>
        <v>0</v>
      </c>
      <c r="AB28" s="16">
        <f t="shared" si="20"/>
        <v>0</v>
      </c>
      <c r="AC28" s="16">
        <f t="shared" si="20"/>
        <v>1948</v>
      </c>
      <c r="AD28" s="16">
        <f t="shared" si="20"/>
        <v>1</v>
      </c>
      <c r="AE28" s="32">
        <f t="shared" si="20"/>
        <v>1216</v>
      </c>
      <c r="AF28" s="32">
        <f t="shared" si="20"/>
        <v>3164</v>
      </c>
    </row>
    <row r="29" spans="2:32" ht="23.1" customHeight="1" x14ac:dyDescent="0.25">
      <c r="B29" s="23" t="s">
        <v>56</v>
      </c>
      <c r="C29" s="50">
        <v>6</v>
      </c>
      <c r="D29" s="50">
        <v>0</v>
      </c>
      <c r="E29" s="50">
        <v>3</v>
      </c>
      <c r="F29" s="50">
        <v>9</v>
      </c>
      <c r="G29" s="50">
        <v>0</v>
      </c>
      <c r="H29" s="50">
        <v>1</v>
      </c>
      <c r="I29" s="50">
        <v>2</v>
      </c>
      <c r="J29" s="50">
        <v>0</v>
      </c>
      <c r="K29" s="50">
        <v>0</v>
      </c>
      <c r="L29" s="50">
        <f>SUM('[1]RD4 MCC'!R361:U361)</f>
        <v>0</v>
      </c>
      <c r="M29" s="50">
        <v>25</v>
      </c>
      <c r="N29" s="50">
        <v>0</v>
      </c>
      <c r="O29" s="15">
        <f t="shared" si="0"/>
        <v>21</v>
      </c>
      <c r="P29" s="15">
        <f t="shared" si="1"/>
        <v>46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1</v>
      </c>
      <c r="E30" s="50">
        <v>5</v>
      </c>
      <c r="F30" s="50">
        <v>10</v>
      </c>
      <c r="G30" s="50">
        <v>1</v>
      </c>
      <c r="H30" s="50">
        <v>0</v>
      </c>
      <c r="I30" s="50">
        <v>1</v>
      </c>
      <c r="J30" s="50">
        <v>0</v>
      </c>
      <c r="K30" s="50">
        <v>0</v>
      </c>
      <c r="L30" s="50">
        <f>SUM('[1]RD4 MCC'!R362:U362)</f>
        <v>0</v>
      </c>
      <c r="M30" s="50">
        <v>32</v>
      </c>
      <c r="N30" s="50">
        <v>0</v>
      </c>
      <c r="O30" s="15">
        <f t="shared" si="0"/>
        <v>23</v>
      </c>
      <c r="P30" s="15">
        <f t="shared" si="1"/>
        <v>55</v>
      </c>
    </row>
    <row r="31" spans="2:32" ht="23.1" customHeight="1" x14ac:dyDescent="0.25">
      <c r="B31" s="24" t="s">
        <v>58</v>
      </c>
      <c r="C31" s="50">
        <v>7</v>
      </c>
      <c r="D31" s="50">
        <v>2</v>
      </c>
      <c r="E31" s="50">
        <v>5</v>
      </c>
      <c r="F31" s="50">
        <v>10</v>
      </c>
      <c r="G31" s="50">
        <v>1</v>
      </c>
      <c r="H31" s="50">
        <v>0</v>
      </c>
      <c r="I31" s="50">
        <v>6</v>
      </c>
      <c r="J31" s="50">
        <v>0</v>
      </c>
      <c r="K31" s="50">
        <v>0</v>
      </c>
      <c r="L31" s="50">
        <f>SUM('[1]RD4 MCC'!R363:U363)</f>
        <v>0</v>
      </c>
      <c r="M31" s="50">
        <v>40</v>
      </c>
      <c r="N31" s="50">
        <v>0</v>
      </c>
      <c r="O31" s="15">
        <f t="shared" si="0"/>
        <v>31</v>
      </c>
      <c r="P31" s="15">
        <f t="shared" si="1"/>
        <v>71</v>
      </c>
    </row>
    <row r="32" spans="2:32" ht="23.1" customHeight="1" x14ac:dyDescent="0.25">
      <c r="B32" s="24" t="s">
        <v>59</v>
      </c>
      <c r="C32" s="50">
        <v>3</v>
      </c>
      <c r="D32" s="50">
        <v>2</v>
      </c>
      <c r="E32" s="50">
        <v>6</v>
      </c>
      <c r="F32" s="50">
        <v>9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f>SUM('[1]RD4 MCC'!R364:U364)</f>
        <v>0</v>
      </c>
      <c r="M32" s="50">
        <v>48</v>
      </c>
      <c r="N32" s="50">
        <v>0</v>
      </c>
      <c r="O32" s="15">
        <f t="shared" si="0"/>
        <v>23</v>
      </c>
      <c r="P32" s="15">
        <f t="shared" si="1"/>
        <v>71</v>
      </c>
    </row>
    <row r="33" spans="2:20" ht="23.1" customHeight="1" x14ac:dyDescent="0.25">
      <c r="B33" s="23" t="s">
        <v>60</v>
      </c>
      <c r="C33" s="50">
        <v>3</v>
      </c>
      <c r="D33" s="50">
        <v>0</v>
      </c>
      <c r="E33" s="50">
        <v>3</v>
      </c>
      <c r="F33" s="50">
        <v>11</v>
      </c>
      <c r="G33" s="50">
        <v>0</v>
      </c>
      <c r="H33" s="50">
        <v>0</v>
      </c>
      <c r="I33" s="50">
        <v>6</v>
      </c>
      <c r="J33" s="50">
        <v>0</v>
      </c>
      <c r="K33" s="50">
        <v>0</v>
      </c>
      <c r="L33" s="50">
        <f>SUM('[1]RD4 MCC'!R365:U365)</f>
        <v>0</v>
      </c>
      <c r="M33" s="50">
        <v>49</v>
      </c>
      <c r="N33" s="50">
        <v>0</v>
      </c>
      <c r="O33" s="15">
        <f t="shared" si="0"/>
        <v>23</v>
      </c>
      <c r="P33" s="15">
        <f t="shared" si="1"/>
        <v>72</v>
      </c>
    </row>
    <row r="34" spans="2:20" ht="23.1" customHeight="1" x14ac:dyDescent="0.25">
      <c r="B34" s="24" t="s">
        <v>61</v>
      </c>
      <c r="C34" s="50">
        <v>5</v>
      </c>
      <c r="D34" s="50">
        <v>0</v>
      </c>
      <c r="E34" s="50">
        <v>2</v>
      </c>
      <c r="F34" s="50">
        <v>8</v>
      </c>
      <c r="G34" s="50">
        <v>1</v>
      </c>
      <c r="H34" s="50">
        <v>0</v>
      </c>
      <c r="I34" s="50">
        <v>3</v>
      </c>
      <c r="J34" s="50">
        <v>0</v>
      </c>
      <c r="K34" s="50">
        <v>0</v>
      </c>
      <c r="L34" s="50">
        <f>SUM('[1]RD4 MCC'!R366:U366)</f>
        <v>0</v>
      </c>
      <c r="M34" s="50">
        <v>22</v>
      </c>
      <c r="N34" s="50">
        <v>0</v>
      </c>
      <c r="O34" s="15">
        <f t="shared" si="0"/>
        <v>19</v>
      </c>
      <c r="P34" s="15">
        <f t="shared" si="1"/>
        <v>41</v>
      </c>
    </row>
    <row r="35" spans="2:20" ht="23.1" customHeight="1" x14ac:dyDescent="0.25">
      <c r="B35" s="24" t="s">
        <v>62</v>
      </c>
      <c r="C35" s="50">
        <v>3</v>
      </c>
      <c r="D35" s="50">
        <v>1</v>
      </c>
      <c r="E35" s="50">
        <v>4</v>
      </c>
      <c r="F35" s="50">
        <v>7</v>
      </c>
      <c r="G35" s="50">
        <v>2</v>
      </c>
      <c r="H35" s="50">
        <v>0</v>
      </c>
      <c r="I35" s="50">
        <v>2</v>
      </c>
      <c r="J35" s="50">
        <v>0</v>
      </c>
      <c r="K35" s="50">
        <v>0</v>
      </c>
      <c r="L35" s="50">
        <f>SUM('[1]RD4 MCC'!R367:U367)</f>
        <v>0</v>
      </c>
      <c r="M35" s="50">
        <v>32</v>
      </c>
      <c r="N35" s="50">
        <v>0</v>
      </c>
      <c r="O35" s="15">
        <f t="shared" si="0"/>
        <v>19</v>
      </c>
      <c r="P35" s="15">
        <f t="shared" si="1"/>
        <v>51</v>
      </c>
    </row>
    <row r="36" spans="2:20" ht="23.1" customHeight="1" x14ac:dyDescent="0.25">
      <c r="B36" s="24" t="s">
        <v>63</v>
      </c>
      <c r="C36" s="50">
        <v>9</v>
      </c>
      <c r="D36" s="50">
        <v>3</v>
      </c>
      <c r="E36" s="50">
        <v>7</v>
      </c>
      <c r="F36" s="50">
        <v>11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f>SUM('[1]RD4 MCC'!R368:U368)</f>
        <v>0</v>
      </c>
      <c r="M36" s="50">
        <v>35</v>
      </c>
      <c r="N36" s="50">
        <v>0</v>
      </c>
      <c r="O36" s="15">
        <f t="shared" si="0"/>
        <v>33</v>
      </c>
      <c r="P36" s="15">
        <f t="shared" si="1"/>
        <v>68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2</v>
      </c>
      <c r="F37" s="50">
        <v>7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f>SUM('[1]RD4 MCC'!R369:U369)</f>
        <v>0</v>
      </c>
      <c r="M37" s="50">
        <v>27</v>
      </c>
      <c r="N37" s="50">
        <v>0</v>
      </c>
      <c r="O37" s="15">
        <f t="shared" si="0"/>
        <v>17</v>
      </c>
      <c r="P37" s="15">
        <f t="shared" si="1"/>
        <v>44</v>
      </c>
    </row>
    <row r="38" spans="2:20" ht="23.1" customHeight="1" x14ac:dyDescent="0.25">
      <c r="B38" s="24" t="s">
        <v>65</v>
      </c>
      <c r="C38" s="50">
        <v>3</v>
      </c>
      <c r="D38" s="50">
        <v>1</v>
      </c>
      <c r="E38" s="50">
        <v>3</v>
      </c>
      <c r="F38" s="50">
        <v>12</v>
      </c>
      <c r="G38" s="50">
        <v>1</v>
      </c>
      <c r="H38" s="50">
        <v>0</v>
      </c>
      <c r="I38" s="50">
        <v>3</v>
      </c>
      <c r="J38" s="50">
        <v>0</v>
      </c>
      <c r="K38" s="50">
        <v>0</v>
      </c>
      <c r="L38" s="50">
        <f>SUM('[1]RD4 MCC'!R370:U370)</f>
        <v>0</v>
      </c>
      <c r="M38" s="50">
        <v>29</v>
      </c>
      <c r="N38" s="50">
        <v>0</v>
      </c>
      <c r="O38" s="15">
        <f t="shared" si="0"/>
        <v>23</v>
      </c>
      <c r="P38" s="15">
        <f t="shared" si="1"/>
        <v>52</v>
      </c>
    </row>
    <row r="39" spans="2:20" ht="23.1" customHeight="1" x14ac:dyDescent="0.25">
      <c r="B39" s="24" t="s">
        <v>66</v>
      </c>
      <c r="C39" s="50">
        <v>5</v>
      </c>
      <c r="D39" s="50">
        <v>0</v>
      </c>
      <c r="E39" s="50">
        <v>1</v>
      </c>
      <c r="F39" s="50">
        <v>5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f>SUM('[1]RD4 MCC'!R371:U371)</f>
        <v>0</v>
      </c>
      <c r="M39" s="50">
        <v>24</v>
      </c>
      <c r="N39" s="50">
        <v>0</v>
      </c>
      <c r="O39" s="15">
        <f t="shared" si="0"/>
        <v>13</v>
      </c>
      <c r="P39" s="15">
        <f t="shared" si="1"/>
        <v>37</v>
      </c>
    </row>
    <row r="40" spans="2:20" ht="23.1" customHeight="1" x14ac:dyDescent="0.25">
      <c r="B40" s="24" t="s">
        <v>67</v>
      </c>
      <c r="C40" s="50">
        <v>3</v>
      </c>
      <c r="D40" s="50">
        <v>1</v>
      </c>
      <c r="E40" s="50">
        <v>4</v>
      </c>
      <c r="F40" s="50">
        <v>14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f>SUM('[1]RD4 MCC'!R372:U372)</f>
        <v>0</v>
      </c>
      <c r="M40" s="50">
        <v>42</v>
      </c>
      <c r="N40" s="50">
        <v>0</v>
      </c>
      <c r="O40" s="15">
        <f t="shared" si="0"/>
        <v>26</v>
      </c>
      <c r="P40" s="15">
        <f t="shared" si="1"/>
        <v>68</v>
      </c>
    </row>
    <row r="41" spans="2:20" ht="23.1" customHeight="1" x14ac:dyDescent="0.25">
      <c r="B41" s="23" t="s">
        <v>68</v>
      </c>
      <c r="C41" s="50">
        <v>3</v>
      </c>
      <c r="D41" s="50">
        <v>1</v>
      </c>
      <c r="E41" s="50">
        <v>5</v>
      </c>
      <c r="F41" s="50">
        <v>8</v>
      </c>
      <c r="G41" s="50">
        <v>0</v>
      </c>
      <c r="H41" s="50">
        <v>0</v>
      </c>
      <c r="I41" s="50">
        <v>3</v>
      </c>
      <c r="J41" s="50">
        <v>1</v>
      </c>
      <c r="K41" s="50">
        <v>0</v>
      </c>
      <c r="L41" s="50">
        <f>SUM('[1]RD4 MCC'!R373:U373)</f>
        <v>0</v>
      </c>
      <c r="M41" s="50">
        <v>28</v>
      </c>
      <c r="N41" s="50">
        <v>0</v>
      </c>
      <c r="O41" s="15">
        <f t="shared" si="0"/>
        <v>21</v>
      </c>
      <c r="P41" s="15">
        <f t="shared" si="1"/>
        <v>49</v>
      </c>
    </row>
    <row r="42" spans="2:20" ht="23.1" customHeight="1" x14ac:dyDescent="0.25">
      <c r="B42" s="24" t="s">
        <v>69</v>
      </c>
      <c r="C42" s="50">
        <v>3</v>
      </c>
      <c r="D42" s="50">
        <v>2</v>
      </c>
      <c r="E42" s="50">
        <v>6</v>
      </c>
      <c r="F42" s="50">
        <v>9</v>
      </c>
      <c r="G42" s="50">
        <v>1</v>
      </c>
      <c r="H42" s="50">
        <v>0</v>
      </c>
      <c r="I42" s="50">
        <v>5</v>
      </c>
      <c r="J42" s="50">
        <v>0</v>
      </c>
      <c r="K42" s="50">
        <v>0</v>
      </c>
      <c r="L42" s="50">
        <f>SUM('[1]RD4 MCC'!R374:U374)</f>
        <v>0</v>
      </c>
      <c r="M42" s="50">
        <v>21</v>
      </c>
      <c r="N42" s="50">
        <v>0</v>
      </c>
      <c r="O42" s="15">
        <f t="shared" si="0"/>
        <v>26</v>
      </c>
      <c r="P42" s="15">
        <f t="shared" si="1"/>
        <v>47</v>
      </c>
    </row>
    <row r="43" spans="2:20" ht="23.1" customHeight="1" x14ac:dyDescent="0.25">
      <c r="B43" s="23" t="s">
        <v>70</v>
      </c>
      <c r="C43" s="50">
        <v>7</v>
      </c>
      <c r="D43" s="50">
        <v>2</v>
      </c>
      <c r="E43" s="50">
        <v>6</v>
      </c>
      <c r="F43" s="50">
        <v>16</v>
      </c>
      <c r="G43" s="50">
        <v>0</v>
      </c>
      <c r="H43" s="50">
        <v>0</v>
      </c>
      <c r="I43" s="50">
        <v>7</v>
      </c>
      <c r="J43" s="50">
        <v>1</v>
      </c>
      <c r="K43" s="50">
        <v>0</v>
      </c>
      <c r="L43" s="50">
        <f>SUM('[1]RD4 MCC'!R375:U375)</f>
        <v>0</v>
      </c>
      <c r="M43" s="50">
        <v>33</v>
      </c>
      <c r="N43" s="50">
        <v>0</v>
      </c>
      <c r="O43" s="15">
        <f t="shared" si="0"/>
        <v>39</v>
      </c>
      <c r="P43" s="15">
        <f t="shared" si="1"/>
        <v>72</v>
      </c>
    </row>
    <row r="44" spans="2:20" ht="23.1" customHeight="1" x14ac:dyDescent="0.25">
      <c r="B44" s="25" t="s">
        <v>71</v>
      </c>
      <c r="C44" s="50">
        <v>5</v>
      </c>
      <c r="D44" s="50">
        <v>2</v>
      </c>
      <c r="E44" s="50">
        <v>7</v>
      </c>
      <c r="F44" s="50">
        <v>4</v>
      </c>
      <c r="G44" s="50">
        <v>0</v>
      </c>
      <c r="H44" s="50">
        <v>0</v>
      </c>
      <c r="I44" s="50">
        <v>4</v>
      </c>
      <c r="J44" s="50">
        <v>1</v>
      </c>
      <c r="K44" s="50">
        <v>0</v>
      </c>
      <c r="L44" s="50">
        <f>SUM('[1]RD4 MCC'!R376:U376)</f>
        <v>0</v>
      </c>
      <c r="M44" s="50">
        <v>38</v>
      </c>
      <c r="N44" s="50">
        <v>0</v>
      </c>
      <c r="O44" s="15">
        <f t="shared" si="0"/>
        <v>23</v>
      </c>
      <c r="P44" s="15">
        <f t="shared" si="1"/>
        <v>61</v>
      </c>
    </row>
    <row r="45" spans="2:20" ht="23.1" customHeight="1" x14ac:dyDescent="0.25">
      <c r="B45" s="23" t="s">
        <v>72</v>
      </c>
      <c r="C45" s="50">
        <v>3</v>
      </c>
      <c r="D45" s="50">
        <v>2</v>
      </c>
      <c r="E45" s="50">
        <v>7</v>
      </c>
      <c r="F45" s="50">
        <v>13</v>
      </c>
      <c r="G45" s="50">
        <v>2</v>
      </c>
      <c r="H45" s="50">
        <v>0</v>
      </c>
      <c r="I45" s="50">
        <v>6</v>
      </c>
      <c r="J45" s="50">
        <v>0</v>
      </c>
      <c r="K45" s="50">
        <v>0</v>
      </c>
      <c r="L45" s="50">
        <f>SUM('[1]RD4 MCC'!R377:U377)</f>
        <v>0</v>
      </c>
      <c r="M45" s="50">
        <v>35</v>
      </c>
      <c r="N45" s="50">
        <v>0</v>
      </c>
      <c r="O45" s="15">
        <f t="shared" si="0"/>
        <v>33</v>
      </c>
      <c r="P45" s="15">
        <f t="shared" si="1"/>
        <v>68</v>
      </c>
    </row>
    <row r="46" spans="2:20" ht="23.1" customHeight="1" x14ac:dyDescent="0.25">
      <c r="B46" s="24" t="s">
        <v>73</v>
      </c>
      <c r="C46" s="50">
        <v>6</v>
      </c>
      <c r="D46" s="50">
        <v>3</v>
      </c>
      <c r="E46" s="50">
        <v>7</v>
      </c>
      <c r="F46" s="50">
        <v>7</v>
      </c>
      <c r="G46" s="50">
        <v>0</v>
      </c>
      <c r="H46" s="50">
        <v>0</v>
      </c>
      <c r="I46" s="50">
        <v>5</v>
      </c>
      <c r="J46" s="50">
        <v>0</v>
      </c>
      <c r="K46" s="50">
        <v>0</v>
      </c>
      <c r="L46" s="50">
        <f>SUM('[1]RD4 MCC'!R378:U378)</f>
        <v>0</v>
      </c>
      <c r="M46" s="50">
        <v>35</v>
      </c>
      <c r="N46" s="50">
        <v>0</v>
      </c>
      <c r="O46" s="15">
        <f t="shared" si="0"/>
        <v>28</v>
      </c>
      <c r="P46" s="15">
        <f t="shared" si="1"/>
        <v>63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0</v>
      </c>
      <c r="E47" s="50">
        <v>3</v>
      </c>
      <c r="F47" s="50">
        <v>10</v>
      </c>
      <c r="G47" s="50">
        <v>0</v>
      </c>
      <c r="H47" s="50">
        <v>0</v>
      </c>
      <c r="I47" s="50">
        <v>7</v>
      </c>
      <c r="J47" s="50">
        <v>1</v>
      </c>
      <c r="K47" s="50">
        <v>0</v>
      </c>
      <c r="L47" s="50">
        <f>SUM('[1]RD4 MCC'!R379:U379)</f>
        <v>0</v>
      </c>
      <c r="M47" s="50">
        <v>37</v>
      </c>
      <c r="N47" s="50">
        <v>0</v>
      </c>
      <c r="O47" s="15">
        <f t="shared" si="0"/>
        <v>27</v>
      </c>
      <c r="P47" s="15">
        <f t="shared" si="1"/>
        <v>64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0</v>
      </c>
      <c r="E48" s="50">
        <v>2</v>
      </c>
      <c r="F48" s="50">
        <v>8</v>
      </c>
      <c r="G48" s="50">
        <v>1</v>
      </c>
      <c r="H48" s="50">
        <v>0</v>
      </c>
      <c r="I48" s="50">
        <v>5</v>
      </c>
      <c r="J48" s="50">
        <v>2</v>
      </c>
      <c r="K48" s="50">
        <v>0</v>
      </c>
      <c r="L48" s="50">
        <f>SUM('[1]RD4 MCC'!R380:U380)</f>
        <v>0</v>
      </c>
      <c r="M48" s="50">
        <v>28</v>
      </c>
      <c r="N48" s="50">
        <v>0</v>
      </c>
      <c r="O48" s="15">
        <f t="shared" si="0"/>
        <v>24</v>
      </c>
      <c r="P48" s="15">
        <f t="shared" si="1"/>
        <v>52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3</v>
      </c>
      <c r="E49" s="50">
        <v>7</v>
      </c>
      <c r="F49" s="50">
        <v>10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f>SUM('[1]RD4 MCC'!R381:U381)</f>
        <v>0</v>
      </c>
      <c r="M49" s="50">
        <v>40</v>
      </c>
      <c r="N49" s="50">
        <v>0</v>
      </c>
      <c r="O49" s="15">
        <f t="shared" si="0"/>
        <v>27</v>
      </c>
      <c r="P49" s="15">
        <f t="shared" si="1"/>
        <v>67</v>
      </c>
      <c r="R49" s="8"/>
      <c r="T49"/>
    </row>
    <row r="50" spans="2:20" ht="23.1" customHeight="1" x14ac:dyDescent="0.25">
      <c r="B50" s="24" t="s">
        <v>77</v>
      </c>
      <c r="C50" s="50">
        <v>12</v>
      </c>
      <c r="D50" s="50">
        <v>1</v>
      </c>
      <c r="E50" s="50">
        <v>5</v>
      </c>
      <c r="F50" s="50">
        <v>9</v>
      </c>
      <c r="G50" s="50">
        <v>1</v>
      </c>
      <c r="H50" s="50">
        <v>0</v>
      </c>
      <c r="I50" s="50">
        <v>1</v>
      </c>
      <c r="J50" s="50">
        <v>0</v>
      </c>
      <c r="K50" s="50">
        <v>0</v>
      </c>
      <c r="L50" s="50">
        <f>SUM('[1]RD4 MCC'!R382:U382)</f>
        <v>0</v>
      </c>
      <c r="M50" s="50">
        <v>62</v>
      </c>
      <c r="N50" s="50">
        <v>0</v>
      </c>
      <c r="O50" s="15">
        <f t="shared" si="0"/>
        <v>29</v>
      </c>
      <c r="P50" s="15">
        <f t="shared" si="1"/>
        <v>91</v>
      </c>
      <c r="R50" s="8"/>
      <c r="T50"/>
    </row>
    <row r="51" spans="2:20" ht="23.1" customHeight="1" x14ac:dyDescent="0.25">
      <c r="B51" s="24" t="s">
        <v>78</v>
      </c>
      <c r="C51" s="50">
        <v>10</v>
      </c>
      <c r="D51" s="50">
        <v>3</v>
      </c>
      <c r="E51" s="50">
        <v>10</v>
      </c>
      <c r="F51" s="50">
        <v>18</v>
      </c>
      <c r="G51" s="50">
        <v>5</v>
      </c>
      <c r="H51" s="50">
        <v>0</v>
      </c>
      <c r="I51" s="50">
        <v>13</v>
      </c>
      <c r="J51" s="50">
        <v>0</v>
      </c>
      <c r="K51" s="50">
        <v>0</v>
      </c>
      <c r="L51" s="50">
        <f>SUM('[1]RD4 MCC'!R383:U383)</f>
        <v>0</v>
      </c>
      <c r="M51" s="50">
        <v>54</v>
      </c>
      <c r="N51" s="50">
        <v>0</v>
      </c>
      <c r="O51" s="15">
        <f t="shared" si="0"/>
        <v>59</v>
      </c>
      <c r="P51" s="15">
        <f t="shared" si="1"/>
        <v>113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2</v>
      </c>
      <c r="E52" s="50">
        <v>6</v>
      </c>
      <c r="F52" s="50">
        <v>13</v>
      </c>
      <c r="G52" s="50">
        <v>2</v>
      </c>
      <c r="H52" s="50">
        <v>0</v>
      </c>
      <c r="I52" s="50">
        <v>2</v>
      </c>
      <c r="J52" s="50">
        <v>0</v>
      </c>
      <c r="K52" s="50">
        <v>0</v>
      </c>
      <c r="L52" s="50">
        <f>SUM('[1]RD4 MCC'!R384:U384)</f>
        <v>0</v>
      </c>
      <c r="M52" s="50">
        <v>27</v>
      </c>
      <c r="N52" s="50">
        <v>0</v>
      </c>
      <c r="O52" s="15">
        <f t="shared" si="0"/>
        <v>29</v>
      </c>
      <c r="P52" s="15">
        <f t="shared" si="1"/>
        <v>56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1</v>
      </c>
      <c r="E53" s="50">
        <v>5</v>
      </c>
      <c r="F53" s="50">
        <v>9</v>
      </c>
      <c r="G53" s="50">
        <v>5</v>
      </c>
      <c r="H53" s="50">
        <v>0</v>
      </c>
      <c r="I53" s="50">
        <v>2</v>
      </c>
      <c r="J53" s="50">
        <v>0</v>
      </c>
      <c r="K53" s="50">
        <v>0</v>
      </c>
      <c r="L53" s="50">
        <f>SUM('[1]RD4 MCC'!R385:U385)</f>
        <v>0</v>
      </c>
      <c r="M53" s="50">
        <v>36</v>
      </c>
      <c r="N53" s="50">
        <v>0</v>
      </c>
      <c r="O53" s="15">
        <f t="shared" si="0"/>
        <v>27</v>
      </c>
      <c r="P53" s="15">
        <f t="shared" si="1"/>
        <v>63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1</v>
      </c>
      <c r="E54" s="50">
        <v>4</v>
      </c>
      <c r="F54" s="50">
        <v>6</v>
      </c>
      <c r="G54" s="50">
        <v>2</v>
      </c>
      <c r="H54" s="50">
        <v>0</v>
      </c>
      <c r="I54" s="50">
        <v>0</v>
      </c>
      <c r="J54" s="50">
        <v>0</v>
      </c>
      <c r="K54" s="50">
        <v>0</v>
      </c>
      <c r="L54" s="50">
        <f>SUM('[1]RD4 MCC'!R386:U386)</f>
        <v>0</v>
      </c>
      <c r="M54" s="50">
        <v>46</v>
      </c>
      <c r="N54" s="50">
        <v>0</v>
      </c>
      <c r="O54" s="15">
        <f t="shared" si="0"/>
        <v>17</v>
      </c>
      <c r="P54" s="15">
        <f t="shared" si="1"/>
        <v>63</v>
      </c>
      <c r="R54" s="8"/>
      <c r="T54"/>
    </row>
    <row r="55" spans="2:20" ht="23.1" customHeight="1" x14ac:dyDescent="0.25">
      <c r="B55" s="23" t="s">
        <v>82</v>
      </c>
      <c r="C55" s="50">
        <v>15</v>
      </c>
      <c r="D55" s="50">
        <v>2</v>
      </c>
      <c r="E55" s="50">
        <v>5</v>
      </c>
      <c r="F55" s="50">
        <v>16</v>
      </c>
      <c r="G55" s="50">
        <v>2</v>
      </c>
      <c r="H55" s="50">
        <v>0</v>
      </c>
      <c r="I55" s="50">
        <v>7</v>
      </c>
      <c r="J55" s="50">
        <v>0</v>
      </c>
      <c r="K55" s="50">
        <v>0</v>
      </c>
      <c r="L55" s="50">
        <f>SUM('[1]RD4 MCC'!R387:U387)</f>
        <v>0</v>
      </c>
      <c r="M55" s="50">
        <v>38</v>
      </c>
      <c r="N55" s="50">
        <v>0</v>
      </c>
      <c r="O55" s="15">
        <f t="shared" si="0"/>
        <v>47</v>
      </c>
      <c r="P55" s="15">
        <f t="shared" si="1"/>
        <v>85</v>
      </c>
      <c r="R55" s="8"/>
      <c r="T55"/>
    </row>
    <row r="56" spans="2:20" ht="23.1" customHeight="1" x14ac:dyDescent="0.25">
      <c r="B56" s="23" t="s">
        <v>83</v>
      </c>
      <c r="C56" s="50">
        <v>11</v>
      </c>
      <c r="D56" s="50">
        <v>2</v>
      </c>
      <c r="E56" s="50">
        <v>5</v>
      </c>
      <c r="F56" s="50">
        <v>12</v>
      </c>
      <c r="G56" s="50">
        <v>4</v>
      </c>
      <c r="H56" s="50">
        <v>0</v>
      </c>
      <c r="I56" s="50">
        <v>9</v>
      </c>
      <c r="J56" s="50">
        <v>3</v>
      </c>
      <c r="K56" s="50">
        <v>0</v>
      </c>
      <c r="L56" s="50">
        <f>SUM('[1]RD4 MCC'!R388:U388)</f>
        <v>0</v>
      </c>
      <c r="M56" s="50">
        <v>32</v>
      </c>
      <c r="N56" s="50">
        <v>0</v>
      </c>
      <c r="O56" s="15">
        <f t="shared" si="0"/>
        <v>46</v>
      </c>
      <c r="P56" s="15">
        <f t="shared" si="1"/>
        <v>78</v>
      </c>
      <c r="R56" s="8"/>
      <c r="T56"/>
    </row>
    <row r="57" spans="2:20" ht="23.1" customHeight="1" x14ac:dyDescent="0.25">
      <c r="B57" s="23" t="s">
        <v>84</v>
      </c>
      <c r="C57" s="50">
        <v>7</v>
      </c>
      <c r="D57" s="50">
        <v>1</v>
      </c>
      <c r="E57" s="50">
        <v>3</v>
      </c>
      <c r="F57" s="50">
        <v>16</v>
      </c>
      <c r="G57" s="50">
        <v>3</v>
      </c>
      <c r="H57" s="50">
        <v>0</v>
      </c>
      <c r="I57" s="50">
        <v>5</v>
      </c>
      <c r="J57" s="50">
        <v>2</v>
      </c>
      <c r="K57" s="50">
        <v>0</v>
      </c>
      <c r="L57" s="50">
        <f>SUM('[1]RD4 MCC'!R389:U389)</f>
        <v>0</v>
      </c>
      <c r="M57" s="50">
        <v>39</v>
      </c>
      <c r="N57" s="50">
        <v>0</v>
      </c>
      <c r="O57" s="15">
        <f t="shared" si="0"/>
        <v>37</v>
      </c>
      <c r="P57" s="15">
        <f t="shared" si="1"/>
        <v>76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250</v>
      </c>
      <c r="D58" s="16">
        <f t="shared" si="21"/>
        <v>48</v>
      </c>
      <c r="E58" s="16">
        <f t="shared" si="21"/>
        <v>186</v>
      </c>
      <c r="F58" s="16">
        <f t="shared" si="21"/>
        <v>476</v>
      </c>
      <c r="G58" s="16">
        <f t="shared" si="21"/>
        <v>69</v>
      </c>
      <c r="H58" s="16">
        <f t="shared" si="21"/>
        <v>4</v>
      </c>
      <c r="I58" s="16">
        <f t="shared" si="21"/>
        <v>166</v>
      </c>
      <c r="J58" s="16">
        <f t="shared" si="21"/>
        <v>16</v>
      </c>
      <c r="K58" s="16">
        <f t="shared" si="21"/>
        <v>0</v>
      </c>
      <c r="L58" s="16">
        <f t="shared" si="21"/>
        <v>0</v>
      </c>
      <c r="M58" s="16">
        <f t="shared" si="21"/>
        <v>1948</v>
      </c>
      <c r="N58" s="16">
        <f t="shared" si="21"/>
        <v>1</v>
      </c>
      <c r="O58" s="16">
        <f t="shared" si="21"/>
        <v>1216</v>
      </c>
      <c r="P58" s="16">
        <f t="shared" si="21"/>
        <v>3164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7.9013906447534768E-2</v>
      </c>
      <c r="D59" s="43">
        <f t="shared" si="22"/>
        <v>1.5170670037926675E-2</v>
      </c>
      <c r="E59" s="43">
        <f t="shared" si="22"/>
        <v>5.8786346396965866E-2</v>
      </c>
      <c r="F59" s="43">
        <f t="shared" si="22"/>
        <v>0.15044247787610621</v>
      </c>
      <c r="G59" s="43">
        <f t="shared" si="22"/>
        <v>2.1807838179519597E-2</v>
      </c>
      <c r="H59" s="43">
        <f t="shared" si="22"/>
        <v>1.2642225031605564E-3</v>
      </c>
      <c r="I59" s="43">
        <f t="shared" si="22"/>
        <v>5.2465233881163087E-2</v>
      </c>
      <c r="J59" s="43">
        <f t="shared" si="22"/>
        <v>5.0568900126422255E-3</v>
      </c>
      <c r="K59" s="43">
        <f t="shared" si="22"/>
        <v>0</v>
      </c>
      <c r="L59" s="43">
        <f t="shared" si="22"/>
        <v>0</v>
      </c>
      <c r="M59" s="43">
        <f t="shared" si="22"/>
        <v>0.61567635903919093</v>
      </c>
      <c r="N59" s="43">
        <f t="shared" si="22"/>
        <v>3.1605562579013909E-4</v>
      </c>
      <c r="R59" s="8"/>
      <c r="T59"/>
    </row>
    <row r="60" spans="2:20" ht="23.1" customHeight="1" x14ac:dyDescent="0.25">
      <c r="B60" s="42" t="s">
        <v>94</v>
      </c>
      <c r="C60" s="44">
        <f>C58/$O$58</f>
        <v>0.20559210526315788</v>
      </c>
      <c r="D60" s="44">
        <f t="shared" ref="D60:N60" si="23">D58/$O$58</f>
        <v>3.9473684210526314E-2</v>
      </c>
      <c r="E60" s="44">
        <f t="shared" si="23"/>
        <v>0.15296052631578946</v>
      </c>
      <c r="F60" s="44">
        <f t="shared" si="23"/>
        <v>0.39144736842105265</v>
      </c>
      <c r="G60" s="44">
        <f t="shared" si="23"/>
        <v>5.6743421052631582E-2</v>
      </c>
      <c r="H60" s="44">
        <f t="shared" si="23"/>
        <v>3.2894736842105261E-3</v>
      </c>
      <c r="I60" s="44">
        <f t="shared" si="23"/>
        <v>0.13651315789473684</v>
      </c>
      <c r="J60" s="44">
        <f t="shared" si="23"/>
        <v>1.3157894736842105E-2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8.2236842105263153E-4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10" sqref="D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Jinja-Buwenge'!C3:G3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'15.08 Buwenge-Jinja'!D5</f>
        <v>15.08.19</v>
      </c>
      <c r="E5" s="3"/>
      <c r="F5" s="41" t="s">
        <v>1</v>
      </c>
      <c r="G5" s="63" t="str">
        <f>'15.08 Buwenge-Jinja'!G5:H5</f>
        <v>xxx</v>
      </c>
      <c r="H5" s="64"/>
      <c r="I5" s="14"/>
      <c r="J5" s="2" t="s">
        <v>5</v>
      </c>
      <c r="K5" s="63" t="str">
        <f>'15.08 Buwenge-Jinja'!K5:L5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Jinja-Buwenge'!D6:E6</f>
        <v>Jinja</v>
      </c>
      <c r="E6" s="64"/>
      <c r="F6" s="2" t="s">
        <v>2</v>
      </c>
      <c r="G6" s="63" t="str">
        <f>'12.08 Jinja-Buwenge'!G6:H6</f>
        <v>Buwenge</v>
      </c>
      <c r="H6" s="64"/>
      <c r="J6" s="2" t="s">
        <v>21</v>
      </c>
      <c r="K6" s="63" t="str">
        <f>'15.08 Buwenge-Jinja'!K6:L6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1</v>
      </c>
      <c r="F10" s="50">
        <v>2</v>
      </c>
      <c r="G10" s="50">
        <v>4</v>
      </c>
      <c r="H10" s="50">
        <v>0</v>
      </c>
      <c r="I10" s="50">
        <v>1</v>
      </c>
      <c r="J10" s="50">
        <v>1</v>
      </c>
      <c r="K10" s="50">
        <v>0</v>
      </c>
      <c r="L10" s="50">
        <f>SUM('[1]RD4 MCC'!R294:U294)</f>
        <v>0</v>
      </c>
      <c r="M10" s="50">
        <v>29</v>
      </c>
      <c r="N10" s="50">
        <v>0</v>
      </c>
      <c r="O10" s="15">
        <f t="shared" ref="O10:O57" si="0">SUM(C10:L10,N10)</f>
        <v>12</v>
      </c>
      <c r="P10" s="15">
        <f t="shared" ref="P10:P57" si="1">SUM(C10:N10)</f>
        <v>41</v>
      </c>
      <c r="R10" s="1" t="s">
        <v>6</v>
      </c>
      <c r="S10" s="17">
        <f t="shared" ref="S10:AF10" si="2">SUM(C10:C13)</f>
        <v>9</v>
      </c>
      <c r="T10" s="17">
        <f t="shared" si="2"/>
        <v>1</v>
      </c>
      <c r="U10" s="17">
        <f t="shared" si="2"/>
        <v>7</v>
      </c>
      <c r="V10" s="17">
        <f t="shared" si="2"/>
        <v>20</v>
      </c>
      <c r="W10" s="17">
        <f t="shared" si="2"/>
        <v>16</v>
      </c>
      <c r="X10" s="17">
        <f t="shared" si="2"/>
        <v>0</v>
      </c>
      <c r="Y10" s="17">
        <f t="shared" si="2"/>
        <v>6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111</v>
      </c>
      <c r="AD10" s="17">
        <f t="shared" si="2"/>
        <v>0</v>
      </c>
      <c r="AE10" s="31">
        <f t="shared" si="2"/>
        <v>63</v>
      </c>
      <c r="AF10" s="31">
        <f t="shared" si="2"/>
        <v>174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2</v>
      </c>
      <c r="F11" s="50">
        <v>7</v>
      </c>
      <c r="G11" s="50">
        <v>4</v>
      </c>
      <c r="H11" s="50">
        <v>0</v>
      </c>
      <c r="I11" s="50">
        <v>2</v>
      </c>
      <c r="J11" s="50">
        <v>1</v>
      </c>
      <c r="K11" s="50">
        <v>0</v>
      </c>
      <c r="L11" s="50">
        <f>SUM('[1]RD4 MCC'!R295:U295)</f>
        <v>0</v>
      </c>
      <c r="M11" s="50">
        <v>25</v>
      </c>
      <c r="N11" s="50">
        <v>0</v>
      </c>
      <c r="O11" s="15">
        <f t="shared" si="0"/>
        <v>18</v>
      </c>
      <c r="P11" s="15">
        <f t="shared" si="1"/>
        <v>43</v>
      </c>
      <c r="R11" s="1" t="s">
        <v>7</v>
      </c>
      <c r="S11" s="17">
        <f t="shared" ref="S11:AF11" si="3">SUM(C14:C17)</f>
        <v>16</v>
      </c>
      <c r="T11" s="17">
        <f t="shared" si="3"/>
        <v>1</v>
      </c>
      <c r="U11" s="17">
        <f t="shared" si="3"/>
        <v>9</v>
      </c>
      <c r="V11" s="17">
        <f t="shared" si="3"/>
        <v>38</v>
      </c>
      <c r="W11" s="17">
        <f t="shared" si="3"/>
        <v>10</v>
      </c>
      <c r="X11" s="17">
        <f t="shared" si="3"/>
        <v>0</v>
      </c>
      <c r="Y11" s="17">
        <f t="shared" si="3"/>
        <v>10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111</v>
      </c>
      <c r="AD11" s="17">
        <f t="shared" si="3"/>
        <v>0</v>
      </c>
      <c r="AE11" s="31">
        <f t="shared" si="3"/>
        <v>84</v>
      </c>
      <c r="AF11" s="31">
        <f t="shared" si="3"/>
        <v>195</v>
      </c>
    </row>
    <row r="12" spans="2:32" ht="23.1" customHeight="1" x14ac:dyDescent="0.25">
      <c r="B12" s="23" t="s">
        <v>39</v>
      </c>
      <c r="C12" s="50">
        <v>1</v>
      </c>
      <c r="D12" s="50">
        <v>1</v>
      </c>
      <c r="E12" s="50">
        <v>3</v>
      </c>
      <c r="F12" s="50">
        <v>3</v>
      </c>
      <c r="G12" s="50">
        <v>6</v>
      </c>
      <c r="H12" s="50">
        <v>0</v>
      </c>
      <c r="I12" s="50">
        <v>1</v>
      </c>
      <c r="J12" s="50">
        <v>1</v>
      </c>
      <c r="K12" s="50">
        <v>0</v>
      </c>
      <c r="L12" s="50">
        <f>SUM('[1]RD4 MCC'!R296:U296)</f>
        <v>0</v>
      </c>
      <c r="M12" s="50">
        <v>26</v>
      </c>
      <c r="N12" s="50">
        <v>0</v>
      </c>
      <c r="O12" s="15">
        <f t="shared" si="0"/>
        <v>16</v>
      </c>
      <c r="P12" s="15">
        <f t="shared" si="1"/>
        <v>42</v>
      </c>
      <c r="R12" s="1" t="s">
        <v>8</v>
      </c>
      <c r="S12" s="17">
        <f t="shared" ref="S12:AF12" si="4">SUM(C18:C21)</f>
        <v>33</v>
      </c>
      <c r="T12" s="17">
        <f t="shared" si="4"/>
        <v>8</v>
      </c>
      <c r="U12" s="17">
        <f t="shared" si="4"/>
        <v>22</v>
      </c>
      <c r="V12" s="17">
        <f t="shared" si="4"/>
        <v>50</v>
      </c>
      <c r="W12" s="17">
        <f t="shared" si="4"/>
        <v>3</v>
      </c>
      <c r="X12" s="17">
        <f t="shared" si="4"/>
        <v>0</v>
      </c>
      <c r="Y12" s="17">
        <f t="shared" si="4"/>
        <v>16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195</v>
      </c>
      <c r="AD12" s="17">
        <f t="shared" si="4"/>
        <v>0</v>
      </c>
      <c r="AE12" s="31">
        <f t="shared" si="4"/>
        <v>133</v>
      </c>
      <c r="AF12" s="31">
        <f t="shared" si="4"/>
        <v>328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1</v>
      </c>
      <c r="F13" s="50">
        <v>8</v>
      </c>
      <c r="G13" s="50">
        <v>2</v>
      </c>
      <c r="H13" s="50">
        <v>0</v>
      </c>
      <c r="I13" s="50">
        <v>2</v>
      </c>
      <c r="J13" s="50">
        <v>1</v>
      </c>
      <c r="K13" s="50">
        <v>0</v>
      </c>
      <c r="L13" s="50">
        <f>SUM('[1]RD4 MCC'!R297:U297)</f>
        <v>0</v>
      </c>
      <c r="M13" s="50">
        <v>31</v>
      </c>
      <c r="N13" s="50">
        <v>0</v>
      </c>
      <c r="O13" s="15">
        <f t="shared" si="0"/>
        <v>17</v>
      </c>
      <c r="P13" s="15">
        <f t="shared" si="1"/>
        <v>48</v>
      </c>
      <c r="R13" s="1" t="s">
        <v>9</v>
      </c>
      <c r="S13" s="17">
        <f t="shared" ref="S13:AF13" si="5">SUM(C22:C25)</f>
        <v>21</v>
      </c>
      <c r="T13" s="17">
        <f t="shared" si="5"/>
        <v>5</v>
      </c>
      <c r="U13" s="17">
        <f t="shared" si="5"/>
        <v>18</v>
      </c>
      <c r="V13" s="17">
        <f t="shared" si="5"/>
        <v>52</v>
      </c>
      <c r="W13" s="17">
        <f t="shared" si="5"/>
        <v>1</v>
      </c>
      <c r="X13" s="17">
        <f t="shared" si="5"/>
        <v>0</v>
      </c>
      <c r="Y13" s="17">
        <f t="shared" si="5"/>
        <v>16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153</v>
      </c>
      <c r="AD13" s="17">
        <f t="shared" si="5"/>
        <v>0</v>
      </c>
      <c r="AE13" s="31">
        <f t="shared" si="5"/>
        <v>116</v>
      </c>
      <c r="AF13" s="31">
        <f t="shared" si="5"/>
        <v>269</v>
      </c>
    </row>
    <row r="14" spans="2:32" ht="23.1" customHeight="1" x14ac:dyDescent="0.25">
      <c r="B14" s="23" t="s">
        <v>41</v>
      </c>
      <c r="C14" s="50">
        <v>6</v>
      </c>
      <c r="D14" s="50">
        <v>1</v>
      </c>
      <c r="E14" s="50">
        <v>3</v>
      </c>
      <c r="F14" s="50">
        <v>7</v>
      </c>
      <c r="G14" s="50">
        <v>2</v>
      </c>
      <c r="H14" s="50">
        <v>0</v>
      </c>
      <c r="I14" s="50">
        <v>2</v>
      </c>
      <c r="J14" s="50">
        <v>0</v>
      </c>
      <c r="K14" s="50">
        <v>0</v>
      </c>
      <c r="L14" s="50">
        <f>SUM('[1]RD4 MCC'!R298:U298)</f>
        <v>0</v>
      </c>
      <c r="M14" s="50">
        <v>33</v>
      </c>
      <c r="N14" s="50">
        <v>0</v>
      </c>
      <c r="O14" s="15">
        <f t="shared" si="0"/>
        <v>21</v>
      </c>
      <c r="P14" s="15">
        <f t="shared" si="1"/>
        <v>54</v>
      </c>
      <c r="R14" s="1" t="s">
        <v>10</v>
      </c>
      <c r="S14" s="17">
        <f t="shared" ref="S14:AF14" si="6">SUM(C26:C29)</f>
        <v>25</v>
      </c>
      <c r="T14" s="17">
        <f t="shared" si="6"/>
        <v>6</v>
      </c>
      <c r="U14" s="17">
        <f t="shared" si="6"/>
        <v>19</v>
      </c>
      <c r="V14" s="17">
        <f t="shared" si="6"/>
        <v>52</v>
      </c>
      <c r="W14" s="17">
        <f t="shared" si="6"/>
        <v>2</v>
      </c>
      <c r="X14" s="17">
        <f t="shared" si="6"/>
        <v>0</v>
      </c>
      <c r="Y14" s="17">
        <f t="shared" si="6"/>
        <v>12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148</v>
      </c>
      <c r="AD14" s="17">
        <f t="shared" si="6"/>
        <v>0</v>
      </c>
      <c r="AE14" s="31">
        <f t="shared" si="6"/>
        <v>117</v>
      </c>
      <c r="AF14" s="31">
        <f t="shared" si="6"/>
        <v>265</v>
      </c>
    </row>
    <row r="15" spans="2:32" ht="23.1" customHeight="1" x14ac:dyDescent="0.25">
      <c r="B15" s="23" t="s">
        <v>42</v>
      </c>
      <c r="C15" s="50">
        <v>7</v>
      </c>
      <c r="D15" s="50">
        <v>0</v>
      </c>
      <c r="E15" s="50">
        <v>3</v>
      </c>
      <c r="F15" s="50">
        <v>11</v>
      </c>
      <c r="G15" s="50">
        <v>4</v>
      </c>
      <c r="H15" s="50">
        <v>0</v>
      </c>
      <c r="I15" s="50">
        <v>1</v>
      </c>
      <c r="J15" s="50">
        <v>0</v>
      </c>
      <c r="K15" s="50">
        <v>0</v>
      </c>
      <c r="L15" s="50">
        <f>SUM('[1]RD4 MCC'!R299:U299)</f>
        <v>0</v>
      </c>
      <c r="M15" s="50">
        <v>26</v>
      </c>
      <c r="N15" s="50">
        <v>0</v>
      </c>
      <c r="O15" s="15">
        <f t="shared" si="0"/>
        <v>26</v>
      </c>
      <c r="P15" s="15">
        <f t="shared" si="1"/>
        <v>52</v>
      </c>
      <c r="R15" s="1" t="s">
        <v>11</v>
      </c>
      <c r="S15" s="17">
        <f t="shared" ref="S15:AF15" si="7">SUM(C30:C33)</f>
        <v>38</v>
      </c>
      <c r="T15" s="17">
        <f t="shared" si="7"/>
        <v>6</v>
      </c>
      <c r="U15" s="17">
        <f t="shared" si="7"/>
        <v>19</v>
      </c>
      <c r="V15" s="17">
        <f t="shared" si="7"/>
        <v>55</v>
      </c>
      <c r="W15" s="17">
        <f t="shared" si="7"/>
        <v>2</v>
      </c>
      <c r="X15" s="17">
        <f t="shared" si="7"/>
        <v>0</v>
      </c>
      <c r="Y15" s="17">
        <f t="shared" si="7"/>
        <v>11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196</v>
      </c>
      <c r="AD15" s="17">
        <f t="shared" si="7"/>
        <v>0</v>
      </c>
      <c r="AE15" s="31">
        <f t="shared" si="7"/>
        <v>132</v>
      </c>
      <c r="AF15" s="31">
        <f t="shared" si="7"/>
        <v>328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2</v>
      </c>
      <c r="F16" s="50">
        <v>9</v>
      </c>
      <c r="G16" s="50">
        <v>3</v>
      </c>
      <c r="H16" s="50">
        <v>0</v>
      </c>
      <c r="I16" s="50">
        <v>2</v>
      </c>
      <c r="J16" s="50">
        <v>0</v>
      </c>
      <c r="K16" s="50">
        <v>0</v>
      </c>
      <c r="L16" s="50">
        <f>SUM('[1]RD4 MCC'!R300:U300)</f>
        <v>0</v>
      </c>
      <c r="M16" s="50">
        <v>22</v>
      </c>
      <c r="N16" s="50">
        <v>0</v>
      </c>
      <c r="O16" s="15">
        <f t="shared" si="0"/>
        <v>19</v>
      </c>
      <c r="P16" s="15">
        <f t="shared" si="1"/>
        <v>41</v>
      </c>
      <c r="R16" s="1" t="s">
        <v>12</v>
      </c>
      <c r="S16" s="17">
        <f t="shared" ref="S16:AF16" si="8">SUM(C34:C37)</f>
        <v>22</v>
      </c>
      <c r="T16" s="17">
        <f t="shared" si="8"/>
        <v>6</v>
      </c>
      <c r="U16" s="17">
        <f t="shared" si="8"/>
        <v>19</v>
      </c>
      <c r="V16" s="17">
        <f t="shared" si="8"/>
        <v>55</v>
      </c>
      <c r="W16" s="17">
        <f t="shared" si="8"/>
        <v>7</v>
      </c>
      <c r="X16" s="17">
        <f t="shared" si="8"/>
        <v>1</v>
      </c>
      <c r="Y16" s="17">
        <f t="shared" si="8"/>
        <v>11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135</v>
      </c>
      <c r="AD16" s="17">
        <f t="shared" si="8"/>
        <v>0</v>
      </c>
      <c r="AE16" s="31">
        <f t="shared" si="8"/>
        <v>123</v>
      </c>
      <c r="AF16" s="31">
        <f t="shared" si="8"/>
        <v>258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1</v>
      </c>
      <c r="F17" s="50">
        <v>11</v>
      </c>
      <c r="G17" s="50">
        <v>1</v>
      </c>
      <c r="H17" s="50">
        <v>0</v>
      </c>
      <c r="I17" s="50">
        <v>5</v>
      </c>
      <c r="J17" s="50">
        <v>0</v>
      </c>
      <c r="K17" s="50">
        <v>0</v>
      </c>
      <c r="L17" s="50">
        <f>SUM('[1]RD4 MCC'!R301:U301)</f>
        <v>0</v>
      </c>
      <c r="M17" s="50">
        <v>30</v>
      </c>
      <c r="N17" s="50">
        <v>0</v>
      </c>
      <c r="O17" s="15">
        <f t="shared" si="0"/>
        <v>18</v>
      </c>
      <c r="P17" s="15">
        <f t="shared" si="1"/>
        <v>48</v>
      </c>
      <c r="R17" s="1" t="s">
        <v>13</v>
      </c>
      <c r="S17" s="17">
        <f t="shared" ref="S17:AF17" si="9">SUM(C38:C41)</f>
        <v>17</v>
      </c>
      <c r="T17" s="17">
        <f t="shared" si="9"/>
        <v>1</v>
      </c>
      <c r="U17" s="17">
        <f t="shared" si="9"/>
        <v>9</v>
      </c>
      <c r="V17" s="17">
        <f t="shared" si="9"/>
        <v>44</v>
      </c>
      <c r="W17" s="17">
        <f t="shared" si="9"/>
        <v>6</v>
      </c>
      <c r="X17" s="17">
        <f t="shared" si="9"/>
        <v>2</v>
      </c>
      <c r="Y17" s="17">
        <f t="shared" si="9"/>
        <v>18</v>
      </c>
      <c r="Z17" s="17">
        <f t="shared" si="9"/>
        <v>2</v>
      </c>
      <c r="AA17" s="17">
        <f t="shared" si="9"/>
        <v>1</v>
      </c>
      <c r="AB17" s="17">
        <f t="shared" si="9"/>
        <v>0</v>
      </c>
      <c r="AC17" s="17">
        <f t="shared" si="9"/>
        <v>164</v>
      </c>
      <c r="AD17" s="17">
        <f t="shared" si="9"/>
        <v>0</v>
      </c>
      <c r="AE17" s="31">
        <f t="shared" si="9"/>
        <v>100</v>
      </c>
      <c r="AF17" s="31">
        <f t="shared" si="9"/>
        <v>264</v>
      </c>
    </row>
    <row r="18" spans="2:32" ht="23.1" customHeight="1" x14ac:dyDescent="0.25">
      <c r="B18" s="23" t="s">
        <v>45</v>
      </c>
      <c r="C18" s="50">
        <v>9</v>
      </c>
      <c r="D18" s="50">
        <v>3</v>
      </c>
      <c r="E18" s="50">
        <v>7</v>
      </c>
      <c r="F18" s="50">
        <v>8</v>
      </c>
      <c r="G18" s="50">
        <v>1</v>
      </c>
      <c r="H18" s="50">
        <v>0</v>
      </c>
      <c r="I18" s="50">
        <v>4</v>
      </c>
      <c r="J18" s="50">
        <v>0</v>
      </c>
      <c r="K18" s="50">
        <v>0</v>
      </c>
      <c r="L18" s="50">
        <f>SUM('[1]RD4 MCC'!R302:U302)</f>
        <v>0</v>
      </c>
      <c r="M18" s="50">
        <v>34</v>
      </c>
      <c r="N18" s="50">
        <v>0</v>
      </c>
      <c r="O18" s="15">
        <f t="shared" si="0"/>
        <v>32</v>
      </c>
      <c r="P18" s="15">
        <f t="shared" si="1"/>
        <v>66</v>
      </c>
      <c r="R18" s="1" t="s">
        <v>14</v>
      </c>
      <c r="S18" s="17">
        <f t="shared" ref="S18:AF18" si="10">SUM(C42:C45)</f>
        <v>21</v>
      </c>
      <c r="T18" s="17">
        <f t="shared" si="10"/>
        <v>3</v>
      </c>
      <c r="U18" s="17">
        <f t="shared" si="10"/>
        <v>11</v>
      </c>
      <c r="V18" s="17">
        <f t="shared" si="10"/>
        <v>39</v>
      </c>
      <c r="W18" s="17">
        <f t="shared" si="10"/>
        <v>2</v>
      </c>
      <c r="X18" s="17">
        <f t="shared" si="10"/>
        <v>0</v>
      </c>
      <c r="Y18" s="17">
        <f t="shared" si="10"/>
        <v>9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154</v>
      </c>
      <c r="AD18" s="17">
        <f t="shared" si="10"/>
        <v>0</v>
      </c>
      <c r="AE18" s="31">
        <f t="shared" si="10"/>
        <v>86</v>
      </c>
      <c r="AF18" s="31">
        <f t="shared" si="10"/>
        <v>240</v>
      </c>
    </row>
    <row r="19" spans="2:32" ht="23.1" customHeight="1" x14ac:dyDescent="0.25">
      <c r="B19" s="23" t="s">
        <v>46</v>
      </c>
      <c r="C19" s="50">
        <v>6</v>
      </c>
      <c r="D19" s="50">
        <v>3</v>
      </c>
      <c r="E19" s="50">
        <v>7</v>
      </c>
      <c r="F19" s="50">
        <v>15</v>
      </c>
      <c r="G19" s="50">
        <v>0</v>
      </c>
      <c r="H19" s="50">
        <v>0</v>
      </c>
      <c r="I19" s="50">
        <v>2</v>
      </c>
      <c r="J19" s="50">
        <v>1</v>
      </c>
      <c r="K19" s="50">
        <v>0</v>
      </c>
      <c r="L19" s="50">
        <f>SUM('[1]RD4 MCC'!R303:U303)</f>
        <v>0</v>
      </c>
      <c r="M19" s="50">
        <v>42</v>
      </c>
      <c r="N19" s="50">
        <v>0</v>
      </c>
      <c r="O19" s="15">
        <f t="shared" si="0"/>
        <v>34</v>
      </c>
      <c r="P19" s="15">
        <f t="shared" si="1"/>
        <v>76</v>
      </c>
      <c r="R19" s="1" t="s">
        <v>15</v>
      </c>
      <c r="S19" s="17">
        <f t="shared" ref="S19:AF19" si="11">SUM(C46:C49)</f>
        <v>16</v>
      </c>
      <c r="T19" s="17">
        <f t="shared" si="11"/>
        <v>4</v>
      </c>
      <c r="U19" s="17">
        <f t="shared" si="11"/>
        <v>16</v>
      </c>
      <c r="V19" s="17">
        <f t="shared" si="11"/>
        <v>36</v>
      </c>
      <c r="W19" s="17">
        <f t="shared" si="11"/>
        <v>1</v>
      </c>
      <c r="X19" s="17">
        <f t="shared" si="11"/>
        <v>1</v>
      </c>
      <c r="Y19" s="17">
        <f t="shared" si="11"/>
        <v>9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128</v>
      </c>
      <c r="AD19" s="17">
        <f t="shared" si="11"/>
        <v>0</v>
      </c>
      <c r="AE19" s="31">
        <f t="shared" si="11"/>
        <v>83</v>
      </c>
      <c r="AF19" s="31">
        <f t="shared" si="11"/>
        <v>211</v>
      </c>
    </row>
    <row r="20" spans="2:32" ht="23.1" customHeight="1" x14ac:dyDescent="0.25">
      <c r="B20" s="23" t="s">
        <v>47</v>
      </c>
      <c r="C20" s="50">
        <v>11</v>
      </c>
      <c r="D20" s="50">
        <v>1</v>
      </c>
      <c r="E20" s="50">
        <v>5</v>
      </c>
      <c r="F20" s="50">
        <v>12</v>
      </c>
      <c r="G20" s="50">
        <v>1</v>
      </c>
      <c r="H20" s="50">
        <v>0</v>
      </c>
      <c r="I20" s="50">
        <v>6</v>
      </c>
      <c r="J20" s="50">
        <v>0</v>
      </c>
      <c r="K20" s="50">
        <v>0</v>
      </c>
      <c r="L20" s="50">
        <f>SUM('[1]RD4 MCC'!R304:U304)</f>
        <v>0</v>
      </c>
      <c r="M20" s="50">
        <v>54</v>
      </c>
      <c r="N20" s="50">
        <v>0</v>
      </c>
      <c r="O20" s="15">
        <f t="shared" si="0"/>
        <v>36</v>
      </c>
      <c r="P20" s="15">
        <f t="shared" si="1"/>
        <v>90</v>
      </c>
      <c r="R20" s="1" t="s">
        <v>16</v>
      </c>
      <c r="S20" s="17">
        <f t="shared" ref="S20:AF20" si="12">SUM(C50:C53)</f>
        <v>23</v>
      </c>
      <c r="T20" s="17">
        <f t="shared" si="12"/>
        <v>1</v>
      </c>
      <c r="U20" s="17">
        <f t="shared" si="12"/>
        <v>11</v>
      </c>
      <c r="V20" s="17">
        <f t="shared" si="12"/>
        <v>41</v>
      </c>
      <c r="W20" s="17">
        <f t="shared" si="12"/>
        <v>5</v>
      </c>
      <c r="X20" s="17">
        <f t="shared" si="12"/>
        <v>0</v>
      </c>
      <c r="Y20" s="17">
        <f t="shared" si="12"/>
        <v>12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168</v>
      </c>
      <c r="AD20" s="17">
        <f t="shared" si="12"/>
        <v>0</v>
      </c>
      <c r="AE20" s="31">
        <f t="shared" si="12"/>
        <v>95</v>
      </c>
      <c r="AF20" s="31">
        <f t="shared" si="12"/>
        <v>263</v>
      </c>
    </row>
    <row r="21" spans="2:32" ht="23.1" customHeight="1" x14ac:dyDescent="0.25">
      <c r="B21" s="23" t="s">
        <v>48</v>
      </c>
      <c r="C21" s="50">
        <v>7</v>
      </c>
      <c r="D21" s="50">
        <v>1</v>
      </c>
      <c r="E21" s="50">
        <v>3</v>
      </c>
      <c r="F21" s="50">
        <v>15</v>
      </c>
      <c r="G21" s="50">
        <v>1</v>
      </c>
      <c r="H21" s="50">
        <v>0</v>
      </c>
      <c r="I21" s="50">
        <v>4</v>
      </c>
      <c r="J21" s="50">
        <v>0</v>
      </c>
      <c r="K21" s="50">
        <v>0</v>
      </c>
      <c r="L21" s="50">
        <f>SUM('[1]RD4 MCC'!R305:U305)</f>
        <v>0</v>
      </c>
      <c r="M21" s="50">
        <v>65</v>
      </c>
      <c r="N21" s="50">
        <v>0</v>
      </c>
      <c r="O21" s="15">
        <f t="shared" si="0"/>
        <v>31</v>
      </c>
      <c r="P21" s="15">
        <f t="shared" si="1"/>
        <v>96</v>
      </c>
      <c r="R21" s="36" t="s">
        <v>20</v>
      </c>
      <c r="S21" s="34">
        <f t="shared" ref="S21:AF21" si="13">SUM(C54:C57)</f>
        <v>28</v>
      </c>
      <c r="T21" s="17">
        <f t="shared" si="13"/>
        <v>3</v>
      </c>
      <c r="U21" s="17">
        <f t="shared" si="13"/>
        <v>13</v>
      </c>
      <c r="V21" s="17">
        <f t="shared" si="13"/>
        <v>43</v>
      </c>
      <c r="W21" s="17">
        <f t="shared" si="13"/>
        <v>9</v>
      </c>
      <c r="X21" s="17">
        <f t="shared" si="13"/>
        <v>1</v>
      </c>
      <c r="Y21" s="17">
        <f t="shared" si="13"/>
        <v>11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177</v>
      </c>
      <c r="AD21" s="17">
        <f t="shared" si="13"/>
        <v>0</v>
      </c>
      <c r="AE21" s="31">
        <f t="shared" si="13"/>
        <v>108</v>
      </c>
      <c r="AF21" s="31">
        <f t="shared" si="13"/>
        <v>285</v>
      </c>
    </row>
    <row r="22" spans="2:32" ht="23.1" customHeight="1" x14ac:dyDescent="0.25">
      <c r="B22" s="23" t="s">
        <v>49</v>
      </c>
      <c r="C22" s="50">
        <v>4</v>
      </c>
      <c r="D22" s="50">
        <v>2</v>
      </c>
      <c r="E22" s="50">
        <v>5</v>
      </c>
      <c r="F22" s="50">
        <v>14</v>
      </c>
      <c r="G22" s="50">
        <v>0</v>
      </c>
      <c r="H22" s="50">
        <v>0</v>
      </c>
      <c r="I22" s="50">
        <v>5</v>
      </c>
      <c r="J22" s="50">
        <v>2</v>
      </c>
      <c r="K22" s="50">
        <v>0</v>
      </c>
      <c r="L22" s="50">
        <f>SUM('[1]RD4 MCC'!R306:U306)</f>
        <v>0</v>
      </c>
      <c r="M22" s="50">
        <v>43</v>
      </c>
      <c r="N22" s="50">
        <v>0</v>
      </c>
      <c r="O22" s="15">
        <f t="shared" si="0"/>
        <v>32</v>
      </c>
      <c r="P22" s="15">
        <f t="shared" si="1"/>
        <v>75</v>
      </c>
      <c r="R22" s="38" t="s">
        <v>90</v>
      </c>
      <c r="S22" s="39">
        <f>MAX(S10:S12)</f>
        <v>33</v>
      </c>
      <c r="T22" s="39">
        <f t="shared" ref="T22:AF22" si="14">MAX(T10:T12)</f>
        <v>8</v>
      </c>
      <c r="U22" s="39">
        <f t="shared" si="14"/>
        <v>22</v>
      </c>
      <c r="V22" s="39">
        <f t="shared" si="14"/>
        <v>50</v>
      </c>
      <c r="W22" s="39">
        <f t="shared" si="14"/>
        <v>16</v>
      </c>
      <c r="X22" s="39">
        <f t="shared" si="14"/>
        <v>0</v>
      </c>
      <c r="Y22" s="39">
        <f t="shared" si="14"/>
        <v>16</v>
      </c>
      <c r="Z22" s="39">
        <f t="shared" si="14"/>
        <v>4</v>
      </c>
      <c r="AA22" s="39">
        <f t="shared" si="14"/>
        <v>0</v>
      </c>
      <c r="AB22" s="39">
        <f t="shared" si="14"/>
        <v>0</v>
      </c>
      <c r="AC22" s="39">
        <f t="shared" si="14"/>
        <v>195</v>
      </c>
      <c r="AD22" s="39">
        <f t="shared" si="14"/>
        <v>0</v>
      </c>
      <c r="AE22" s="40">
        <f t="shared" si="14"/>
        <v>133</v>
      </c>
      <c r="AF22" s="40">
        <f t="shared" si="14"/>
        <v>328</v>
      </c>
    </row>
    <row r="23" spans="2:32" ht="23.1" customHeight="1" x14ac:dyDescent="0.25">
      <c r="B23" s="23" t="s">
        <v>50</v>
      </c>
      <c r="C23" s="50">
        <v>3</v>
      </c>
      <c r="D23" s="50">
        <v>1</v>
      </c>
      <c r="E23" s="50">
        <v>4</v>
      </c>
      <c r="F23" s="50">
        <v>13</v>
      </c>
      <c r="G23" s="50">
        <v>1</v>
      </c>
      <c r="H23" s="50">
        <v>0</v>
      </c>
      <c r="I23" s="50">
        <v>3</v>
      </c>
      <c r="J23" s="50">
        <v>0</v>
      </c>
      <c r="K23" s="50">
        <v>0</v>
      </c>
      <c r="L23" s="50">
        <f>SUM('[1]RD4 MCC'!R307:U307)</f>
        <v>0</v>
      </c>
      <c r="M23" s="50">
        <v>40</v>
      </c>
      <c r="N23" s="50">
        <v>0</v>
      </c>
      <c r="O23" s="15">
        <f t="shared" si="0"/>
        <v>25</v>
      </c>
      <c r="P23" s="15">
        <f t="shared" si="1"/>
        <v>65</v>
      </c>
      <c r="R23" s="38" t="s">
        <v>91</v>
      </c>
      <c r="S23" s="39">
        <f>MAX(S13:S18)</f>
        <v>38</v>
      </c>
      <c r="T23" s="39">
        <f t="shared" ref="T23:AF23" si="15">MAX(T13:T18)</f>
        <v>6</v>
      </c>
      <c r="U23" s="39">
        <f t="shared" si="15"/>
        <v>19</v>
      </c>
      <c r="V23" s="39">
        <f t="shared" si="15"/>
        <v>55</v>
      </c>
      <c r="W23" s="39">
        <f t="shared" si="15"/>
        <v>7</v>
      </c>
      <c r="X23" s="39">
        <f t="shared" si="15"/>
        <v>2</v>
      </c>
      <c r="Y23" s="39">
        <f t="shared" si="15"/>
        <v>18</v>
      </c>
      <c r="Z23" s="39">
        <f t="shared" si="15"/>
        <v>3</v>
      </c>
      <c r="AA23" s="39">
        <f t="shared" si="15"/>
        <v>1</v>
      </c>
      <c r="AB23" s="39">
        <f t="shared" si="15"/>
        <v>0</v>
      </c>
      <c r="AC23" s="39">
        <f t="shared" si="15"/>
        <v>196</v>
      </c>
      <c r="AD23" s="39">
        <f t="shared" si="15"/>
        <v>0</v>
      </c>
      <c r="AE23" s="40">
        <f t="shared" si="15"/>
        <v>132</v>
      </c>
      <c r="AF23" s="40">
        <f t="shared" si="15"/>
        <v>328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3</v>
      </c>
      <c r="F24" s="50">
        <v>14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f>SUM('[1]RD4 MCC'!R308:U308)</f>
        <v>0</v>
      </c>
      <c r="M24" s="50">
        <v>28</v>
      </c>
      <c r="N24" s="50">
        <v>0</v>
      </c>
      <c r="O24" s="15">
        <f t="shared" si="0"/>
        <v>24</v>
      </c>
      <c r="P24" s="15">
        <f t="shared" si="1"/>
        <v>52</v>
      </c>
      <c r="R24" s="38" t="s">
        <v>92</v>
      </c>
      <c r="S24" s="39">
        <f>MAX(S19:S21)</f>
        <v>28</v>
      </c>
      <c r="T24" s="39">
        <f t="shared" ref="T24:AF24" si="16">MAX(T19:T21)</f>
        <v>4</v>
      </c>
      <c r="U24" s="39">
        <f t="shared" si="16"/>
        <v>16</v>
      </c>
      <c r="V24" s="39">
        <f t="shared" si="16"/>
        <v>43</v>
      </c>
      <c r="W24" s="39">
        <f t="shared" si="16"/>
        <v>9</v>
      </c>
      <c r="X24" s="39">
        <f t="shared" si="16"/>
        <v>1</v>
      </c>
      <c r="Y24" s="39">
        <f t="shared" si="16"/>
        <v>12</v>
      </c>
      <c r="Z24" s="39">
        <f t="shared" si="16"/>
        <v>1</v>
      </c>
      <c r="AA24" s="39">
        <f t="shared" si="16"/>
        <v>1</v>
      </c>
      <c r="AB24" s="39">
        <f t="shared" si="16"/>
        <v>0</v>
      </c>
      <c r="AC24" s="39">
        <f t="shared" si="16"/>
        <v>177</v>
      </c>
      <c r="AD24" s="39">
        <f t="shared" si="16"/>
        <v>0</v>
      </c>
      <c r="AE24" s="40">
        <f t="shared" si="16"/>
        <v>108</v>
      </c>
      <c r="AF24" s="40">
        <f t="shared" si="16"/>
        <v>285</v>
      </c>
    </row>
    <row r="25" spans="2:32" ht="23.1" customHeight="1" x14ac:dyDescent="0.25">
      <c r="B25" s="23" t="s">
        <v>52</v>
      </c>
      <c r="C25" s="50">
        <v>10</v>
      </c>
      <c r="D25" s="50">
        <v>2</v>
      </c>
      <c r="E25" s="50">
        <v>6</v>
      </c>
      <c r="F25" s="50">
        <v>11</v>
      </c>
      <c r="G25" s="50">
        <v>0</v>
      </c>
      <c r="H25" s="50">
        <v>0</v>
      </c>
      <c r="I25" s="50">
        <v>5</v>
      </c>
      <c r="J25" s="50">
        <v>1</v>
      </c>
      <c r="K25" s="50">
        <v>0</v>
      </c>
      <c r="L25" s="50">
        <f>SUM('[1]RD4 MCC'!R309:U309)</f>
        <v>0</v>
      </c>
      <c r="M25" s="50">
        <v>42</v>
      </c>
      <c r="N25" s="50">
        <v>0</v>
      </c>
      <c r="O25" s="15">
        <f t="shared" si="0"/>
        <v>35</v>
      </c>
      <c r="P25" s="15">
        <f t="shared" si="1"/>
        <v>77</v>
      </c>
      <c r="R25" s="37" t="s">
        <v>85</v>
      </c>
      <c r="S25" s="35">
        <f t="shared" ref="S25:AF25" si="17">SUM(S10:S12)</f>
        <v>58</v>
      </c>
      <c r="T25" s="16">
        <f t="shared" si="17"/>
        <v>10</v>
      </c>
      <c r="U25" s="16">
        <f t="shared" si="17"/>
        <v>38</v>
      </c>
      <c r="V25" s="16">
        <f t="shared" si="17"/>
        <v>108</v>
      </c>
      <c r="W25" s="16">
        <f t="shared" si="17"/>
        <v>29</v>
      </c>
      <c r="X25" s="16">
        <f t="shared" si="17"/>
        <v>0</v>
      </c>
      <c r="Y25" s="16">
        <f t="shared" si="17"/>
        <v>32</v>
      </c>
      <c r="Z25" s="16">
        <f t="shared" si="17"/>
        <v>5</v>
      </c>
      <c r="AA25" s="16">
        <f t="shared" si="17"/>
        <v>0</v>
      </c>
      <c r="AB25" s="16">
        <f t="shared" si="17"/>
        <v>0</v>
      </c>
      <c r="AC25" s="16">
        <f t="shared" si="17"/>
        <v>417</v>
      </c>
      <c r="AD25" s="16">
        <f t="shared" si="17"/>
        <v>0</v>
      </c>
      <c r="AE25" s="32">
        <f t="shared" si="17"/>
        <v>280</v>
      </c>
      <c r="AF25" s="32">
        <f t="shared" si="17"/>
        <v>697</v>
      </c>
    </row>
    <row r="26" spans="2:32" ht="23.1" customHeight="1" x14ac:dyDescent="0.25">
      <c r="B26" s="23" t="s">
        <v>53</v>
      </c>
      <c r="C26" s="50">
        <v>10</v>
      </c>
      <c r="D26" s="50">
        <v>1</v>
      </c>
      <c r="E26" s="50">
        <v>5</v>
      </c>
      <c r="F26" s="50">
        <v>22</v>
      </c>
      <c r="G26" s="50">
        <v>1</v>
      </c>
      <c r="H26" s="50">
        <v>0</v>
      </c>
      <c r="I26" s="50">
        <v>1</v>
      </c>
      <c r="J26" s="50">
        <v>0</v>
      </c>
      <c r="K26" s="50">
        <v>0</v>
      </c>
      <c r="L26" s="50">
        <f>SUM('[1]RD4 MCC'!R310:U310)</f>
        <v>0</v>
      </c>
      <c r="M26" s="50">
        <v>37</v>
      </c>
      <c r="N26" s="50">
        <v>0</v>
      </c>
      <c r="O26" s="15">
        <f t="shared" si="0"/>
        <v>40</v>
      </c>
      <c r="P26" s="15">
        <f t="shared" si="1"/>
        <v>77</v>
      </c>
      <c r="R26" s="28" t="s">
        <v>86</v>
      </c>
      <c r="S26" s="16">
        <f t="shared" ref="S26:AF26" si="18">SUM(S13:S18)</f>
        <v>144</v>
      </c>
      <c r="T26" s="16">
        <f t="shared" si="18"/>
        <v>27</v>
      </c>
      <c r="U26" s="16">
        <f t="shared" si="18"/>
        <v>95</v>
      </c>
      <c r="V26" s="16">
        <f t="shared" si="18"/>
        <v>297</v>
      </c>
      <c r="W26" s="16">
        <f t="shared" si="18"/>
        <v>20</v>
      </c>
      <c r="X26" s="16">
        <f t="shared" si="18"/>
        <v>3</v>
      </c>
      <c r="Y26" s="16">
        <f t="shared" si="18"/>
        <v>77</v>
      </c>
      <c r="Z26" s="16">
        <f t="shared" si="18"/>
        <v>10</v>
      </c>
      <c r="AA26" s="16">
        <f t="shared" si="18"/>
        <v>1</v>
      </c>
      <c r="AB26" s="16">
        <f t="shared" si="18"/>
        <v>0</v>
      </c>
      <c r="AC26" s="16">
        <f t="shared" si="18"/>
        <v>950</v>
      </c>
      <c r="AD26" s="16">
        <f t="shared" si="18"/>
        <v>0</v>
      </c>
      <c r="AE26" s="32">
        <f t="shared" si="18"/>
        <v>674</v>
      </c>
      <c r="AF26" s="32">
        <f t="shared" si="18"/>
        <v>1624</v>
      </c>
    </row>
    <row r="27" spans="2:32" ht="23.1" customHeight="1" x14ac:dyDescent="0.25">
      <c r="B27" s="23" t="s">
        <v>54</v>
      </c>
      <c r="C27" s="50">
        <v>5</v>
      </c>
      <c r="D27" s="50">
        <v>2</v>
      </c>
      <c r="E27" s="50">
        <v>5</v>
      </c>
      <c r="F27" s="50">
        <v>10</v>
      </c>
      <c r="G27" s="50">
        <v>1</v>
      </c>
      <c r="H27" s="50">
        <v>0</v>
      </c>
      <c r="I27" s="50">
        <v>2</v>
      </c>
      <c r="J27" s="50">
        <v>0</v>
      </c>
      <c r="K27" s="50">
        <v>0</v>
      </c>
      <c r="L27" s="50">
        <f>SUM('[1]RD4 MCC'!R311:U311)</f>
        <v>0</v>
      </c>
      <c r="M27" s="50">
        <v>38</v>
      </c>
      <c r="N27" s="50">
        <v>0</v>
      </c>
      <c r="O27" s="15">
        <f t="shared" si="0"/>
        <v>25</v>
      </c>
      <c r="P27" s="15">
        <f t="shared" si="1"/>
        <v>63</v>
      </c>
      <c r="R27" s="29" t="s">
        <v>87</v>
      </c>
      <c r="S27" s="16">
        <f t="shared" ref="S27:AF27" si="19">SUM(S19:S21)</f>
        <v>67</v>
      </c>
      <c r="T27" s="16">
        <f t="shared" si="19"/>
        <v>8</v>
      </c>
      <c r="U27" s="16">
        <f t="shared" si="19"/>
        <v>40</v>
      </c>
      <c r="V27" s="16">
        <f t="shared" si="19"/>
        <v>120</v>
      </c>
      <c r="W27" s="16">
        <f t="shared" si="19"/>
        <v>15</v>
      </c>
      <c r="X27" s="16">
        <f t="shared" si="19"/>
        <v>2</v>
      </c>
      <c r="Y27" s="16">
        <f t="shared" si="19"/>
        <v>32</v>
      </c>
      <c r="Z27" s="16">
        <f t="shared" si="19"/>
        <v>1</v>
      </c>
      <c r="AA27" s="16">
        <f t="shared" si="19"/>
        <v>1</v>
      </c>
      <c r="AB27" s="16">
        <f t="shared" si="19"/>
        <v>0</v>
      </c>
      <c r="AC27" s="16">
        <f t="shared" si="19"/>
        <v>473</v>
      </c>
      <c r="AD27" s="16">
        <f t="shared" si="19"/>
        <v>0</v>
      </c>
      <c r="AE27" s="32">
        <f t="shared" si="19"/>
        <v>286</v>
      </c>
      <c r="AF27" s="32">
        <f t="shared" si="19"/>
        <v>759</v>
      </c>
    </row>
    <row r="28" spans="2:32" ht="23.1" customHeight="1" x14ac:dyDescent="0.25">
      <c r="B28" s="23" t="s">
        <v>55</v>
      </c>
      <c r="C28" s="50">
        <v>4</v>
      </c>
      <c r="D28" s="50">
        <v>1</v>
      </c>
      <c r="E28" s="50">
        <v>3</v>
      </c>
      <c r="F28" s="50">
        <v>10</v>
      </c>
      <c r="G28" s="50">
        <v>0</v>
      </c>
      <c r="H28" s="50">
        <v>0</v>
      </c>
      <c r="I28" s="50">
        <v>5</v>
      </c>
      <c r="J28" s="50">
        <v>0</v>
      </c>
      <c r="K28" s="50">
        <v>0</v>
      </c>
      <c r="L28" s="50">
        <f>SUM('[1]RD4 MCC'!R312:U312)</f>
        <v>0</v>
      </c>
      <c r="M28" s="50">
        <v>36</v>
      </c>
      <c r="N28" s="50">
        <v>0</v>
      </c>
      <c r="O28" s="15">
        <f t="shared" si="0"/>
        <v>23</v>
      </c>
      <c r="P28" s="15">
        <f t="shared" si="1"/>
        <v>59</v>
      </c>
      <c r="R28" s="5" t="s">
        <v>17</v>
      </c>
      <c r="S28" s="16">
        <f t="shared" ref="S28:AF28" si="20">SUM(S10:S21)</f>
        <v>269</v>
      </c>
      <c r="T28" s="16">
        <f t="shared" si="20"/>
        <v>45</v>
      </c>
      <c r="U28" s="16">
        <f t="shared" si="20"/>
        <v>173</v>
      </c>
      <c r="V28" s="16">
        <f t="shared" si="20"/>
        <v>525</v>
      </c>
      <c r="W28" s="16">
        <f t="shared" si="20"/>
        <v>64</v>
      </c>
      <c r="X28" s="16">
        <f t="shared" si="20"/>
        <v>5</v>
      </c>
      <c r="Y28" s="16">
        <f t="shared" si="20"/>
        <v>141</v>
      </c>
      <c r="Z28" s="16">
        <f t="shared" si="20"/>
        <v>16</v>
      </c>
      <c r="AA28" s="16">
        <f t="shared" si="20"/>
        <v>2</v>
      </c>
      <c r="AB28" s="16">
        <f t="shared" si="20"/>
        <v>0</v>
      </c>
      <c r="AC28" s="16">
        <f t="shared" si="20"/>
        <v>1840</v>
      </c>
      <c r="AD28" s="16">
        <f t="shared" si="20"/>
        <v>0</v>
      </c>
      <c r="AE28" s="32">
        <f t="shared" si="20"/>
        <v>1240</v>
      </c>
      <c r="AF28" s="32">
        <f t="shared" si="20"/>
        <v>3080</v>
      </c>
    </row>
    <row r="29" spans="2:32" ht="23.1" customHeight="1" x14ac:dyDescent="0.25">
      <c r="B29" s="23" t="s">
        <v>56</v>
      </c>
      <c r="C29" s="50">
        <v>6</v>
      </c>
      <c r="D29" s="50">
        <v>2</v>
      </c>
      <c r="E29" s="50">
        <v>6</v>
      </c>
      <c r="F29" s="50">
        <v>10</v>
      </c>
      <c r="G29" s="50">
        <v>0</v>
      </c>
      <c r="H29" s="50">
        <v>0</v>
      </c>
      <c r="I29" s="50">
        <v>4</v>
      </c>
      <c r="J29" s="50">
        <v>1</v>
      </c>
      <c r="K29" s="50">
        <v>0</v>
      </c>
      <c r="L29" s="50">
        <f>SUM('[1]RD4 MCC'!R313:U313)</f>
        <v>0</v>
      </c>
      <c r="M29" s="50">
        <v>37</v>
      </c>
      <c r="N29" s="50">
        <v>0</v>
      </c>
      <c r="O29" s="15">
        <f t="shared" si="0"/>
        <v>29</v>
      </c>
      <c r="P29" s="15">
        <f t="shared" si="1"/>
        <v>66</v>
      </c>
      <c r="R29"/>
      <c r="S29" s="20"/>
      <c r="T29" s="19"/>
    </row>
    <row r="30" spans="2:32" ht="23.1" customHeight="1" x14ac:dyDescent="0.25">
      <c r="B30" s="23" t="s">
        <v>57</v>
      </c>
      <c r="C30" s="50">
        <v>9</v>
      </c>
      <c r="D30" s="50">
        <v>1</v>
      </c>
      <c r="E30" s="50">
        <v>4</v>
      </c>
      <c r="F30" s="50">
        <v>13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f>SUM('[1]RD4 MCC'!R314:U314)</f>
        <v>0</v>
      </c>
      <c r="M30" s="50">
        <v>51</v>
      </c>
      <c r="N30" s="50">
        <v>0</v>
      </c>
      <c r="O30" s="15">
        <f t="shared" si="0"/>
        <v>30</v>
      </c>
      <c r="P30" s="15">
        <f t="shared" si="1"/>
        <v>81</v>
      </c>
    </row>
    <row r="31" spans="2:32" ht="23.1" customHeight="1" x14ac:dyDescent="0.25">
      <c r="B31" s="24" t="s">
        <v>58</v>
      </c>
      <c r="C31" s="50">
        <v>10</v>
      </c>
      <c r="D31" s="50">
        <v>2</v>
      </c>
      <c r="E31" s="50">
        <v>5</v>
      </c>
      <c r="F31" s="50">
        <v>16</v>
      </c>
      <c r="G31" s="50">
        <v>2</v>
      </c>
      <c r="H31" s="50">
        <v>0</v>
      </c>
      <c r="I31" s="50">
        <v>2</v>
      </c>
      <c r="J31" s="50">
        <v>0</v>
      </c>
      <c r="K31" s="50">
        <v>0</v>
      </c>
      <c r="L31" s="50">
        <f>SUM('[1]RD4 MCC'!R315:U315)</f>
        <v>0</v>
      </c>
      <c r="M31" s="50">
        <v>39</v>
      </c>
      <c r="N31" s="50">
        <v>0</v>
      </c>
      <c r="O31" s="15">
        <f t="shared" si="0"/>
        <v>37</v>
      </c>
      <c r="P31" s="15">
        <f t="shared" si="1"/>
        <v>76</v>
      </c>
    </row>
    <row r="32" spans="2:32" ht="23.1" customHeight="1" x14ac:dyDescent="0.25">
      <c r="B32" s="24" t="s">
        <v>59</v>
      </c>
      <c r="C32" s="50">
        <v>13</v>
      </c>
      <c r="D32" s="50">
        <v>1</v>
      </c>
      <c r="E32" s="50">
        <v>3</v>
      </c>
      <c r="F32" s="50">
        <v>10</v>
      </c>
      <c r="G32" s="50">
        <v>0</v>
      </c>
      <c r="H32" s="50">
        <v>0</v>
      </c>
      <c r="I32" s="50">
        <v>5</v>
      </c>
      <c r="J32" s="50">
        <v>0</v>
      </c>
      <c r="K32" s="50">
        <v>0</v>
      </c>
      <c r="L32" s="50">
        <f>SUM('[1]RD4 MCC'!R316:U316)</f>
        <v>0</v>
      </c>
      <c r="M32" s="50">
        <v>47</v>
      </c>
      <c r="N32" s="50">
        <v>0</v>
      </c>
      <c r="O32" s="15">
        <f t="shared" si="0"/>
        <v>32</v>
      </c>
      <c r="P32" s="15">
        <f t="shared" si="1"/>
        <v>79</v>
      </c>
    </row>
    <row r="33" spans="2:20" ht="23.1" customHeight="1" x14ac:dyDescent="0.25">
      <c r="B33" s="23" t="s">
        <v>60</v>
      </c>
      <c r="C33" s="50">
        <v>6</v>
      </c>
      <c r="D33" s="50">
        <v>2</v>
      </c>
      <c r="E33" s="50">
        <v>7</v>
      </c>
      <c r="F33" s="50">
        <v>16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f>SUM('[1]RD4 MCC'!R317:U317)</f>
        <v>0</v>
      </c>
      <c r="M33" s="50">
        <v>59</v>
      </c>
      <c r="N33" s="50">
        <v>0</v>
      </c>
      <c r="O33" s="15">
        <f t="shared" si="0"/>
        <v>33</v>
      </c>
      <c r="P33" s="15">
        <f t="shared" si="1"/>
        <v>92</v>
      </c>
    </row>
    <row r="34" spans="2:20" ht="23.1" customHeight="1" x14ac:dyDescent="0.25">
      <c r="B34" s="24" t="s">
        <v>61</v>
      </c>
      <c r="C34" s="50">
        <v>3</v>
      </c>
      <c r="D34" s="50">
        <v>2</v>
      </c>
      <c r="E34" s="50">
        <v>5</v>
      </c>
      <c r="F34" s="50">
        <v>7</v>
      </c>
      <c r="G34" s="50">
        <v>1</v>
      </c>
      <c r="H34" s="50">
        <v>1</v>
      </c>
      <c r="I34" s="50">
        <v>5</v>
      </c>
      <c r="J34" s="50">
        <v>1</v>
      </c>
      <c r="K34" s="50">
        <v>0</v>
      </c>
      <c r="L34" s="50">
        <f>SUM('[1]RD4 MCC'!R318:U318)</f>
        <v>0</v>
      </c>
      <c r="M34" s="50">
        <v>24</v>
      </c>
      <c r="N34" s="50">
        <v>0</v>
      </c>
      <c r="O34" s="15">
        <f t="shared" si="0"/>
        <v>25</v>
      </c>
      <c r="P34" s="15">
        <f t="shared" si="1"/>
        <v>49</v>
      </c>
    </row>
    <row r="35" spans="2:20" ht="23.1" customHeight="1" x14ac:dyDescent="0.25">
      <c r="B35" s="24" t="s">
        <v>62</v>
      </c>
      <c r="C35" s="50">
        <v>9</v>
      </c>
      <c r="D35" s="50">
        <v>1</v>
      </c>
      <c r="E35" s="50">
        <v>5</v>
      </c>
      <c r="F35" s="50">
        <v>16</v>
      </c>
      <c r="G35" s="50">
        <v>3</v>
      </c>
      <c r="H35" s="50">
        <v>0</v>
      </c>
      <c r="I35" s="50">
        <v>2</v>
      </c>
      <c r="J35" s="50">
        <v>0</v>
      </c>
      <c r="K35" s="50">
        <v>0</v>
      </c>
      <c r="L35" s="50">
        <f>SUM('[1]RD4 MCC'!R319:U319)</f>
        <v>0</v>
      </c>
      <c r="M35" s="50">
        <v>37</v>
      </c>
      <c r="N35" s="50">
        <v>0</v>
      </c>
      <c r="O35" s="15">
        <f t="shared" si="0"/>
        <v>36</v>
      </c>
      <c r="P35" s="15">
        <f t="shared" si="1"/>
        <v>73</v>
      </c>
    </row>
    <row r="36" spans="2:20" ht="23.1" customHeight="1" x14ac:dyDescent="0.25">
      <c r="B36" s="24" t="s">
        <v>63</v>
      </c>
      <c r="C36" s="50">
        <v>5</v>
      </c>
      <c r="D36" s="50">
        <v>2</v>
      </c>
      <c r="E36" s="50">
        <v>4</v>
      </c>
      <c r="F36" s="50">
        <v>18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f>SUM('[1]RD4 MCC'!R320:U320)</f>
        <v>0</v>
      </c>
      <c r="M36" s="50">
        <v>42</v>
      </c>
      <c r="N36" s="50">
        <v>0</v>
      </c>
      <c r="O36" s="15">
        <f t="shared" si="0"/>
        <v>30</v>
      </c>
      <c r="P36" s="15">
        <f t="shared" si="1"/>
        <v>72</v>
      </c>
    </row>
    <row r="37" spans="2:20" ht="23.1" customHeight="1" x14ac:dyDescent="0.25">
      <c r="B37" s="23" t="s">
        <v>64</v>
      </c>
      <c r="C37" s="50">
        <v>5</v>
      </c>
      <c r="D37" s="50">
        <v>1</v>
      </c>
      <c r="E37" s="50">
        <v>5</v>
      </c>
      <c r="F37" s="50">
        <v>14</v>
      </c>
      <c r="G37" s="50">
        <v>3</v>
      </c>
      <c r="H37" s="50">
        <v>0</v>
      </c>
      <c r="I37" s="50">
        <v>3</v>
      </c>
      <c r="J37" s="50">
        <v>1</v>
      </c>
      <c r="K37" s="50">
        <v>0</v>
      </c>
      <c r="L37" s="50">
        <f>SUM('[1]RD4 MCC'!R321:U321)</f>
        <v>0</v>
      </c>
      <c r="M37" s="50">
        <v>32</v>
      </c>
      <c r="N37" s="50">
        <v>0</v>
      </c>
      <c r="O37" s="15">
        <f t="shared" si="0"/>
        <v>32</v>
      </c>
      <c r="P37" s="15">
        <f t="shared" si="1"/>
        <v>64</v>
      </c>
    </row>
    <row r="38" spans="2:20" ht="23.1" customHeight="1" x14ac:dyDescent="0.25">
      <c r="B38" s="24" t="s">
        <v>65</v>
      </c>
      <c r="C38" s="50">
        <v>4</v>
      </c>
      <c r="D38" s="50">
        <v>0</v>
      </c>
      <c r="E38" s="50">
        <v>3</v>
      </c>
      <c r="F38" s="50">
        <v>13</v>
      </c>
      <c r="G38" s="50">
        <v>2</v>
      </c>
      <c r="H38" s="50">
        <v>0</v>
      </c>
      <c r="I38" s="50">
        <v>5</v>
      </c>
      <c r="J38" s="50">
        <v>0</v>
      </c>
      <c r="K38" s="50">
        <v>1</v>
      </c>
      <c r="L38" s="50">
        <f>SUM('[1]RD4 MCC'!R322:U322)</f>
        <v>0</v>
      </c>
      <c r="M38" s="50">
        <v>55</v>
      </c>
      <c r="N38" s="50">
        <v>0</v>
      </c>
      <c r="O38" s="15">
        <f t="shared" si="0"/>
        <v>28</v>
      </c>
      <c r="P38" s="15">
        <f t="shared" si="1"/>
        <v>83</v>
      </c>
    </row>
    <row r="39" spans="2:20" ht="23.1" customHeight="1" x14ac:dyDescent="0.25">
      <c r="B39" s="24" t="s">
        <v>66</v>
      </c>
      <c r="C39" s="50">
        <v>9</v>
      </c>
      <c r="D39" s="50">
        <v>1</v>
      </c>
      <c r="E39" s="50">
        <v>3</v>
      </c>
      <c r="F39" s="50">
        <v>8</v>
      </c>
      <c r="G39" s="50">
        <v>2</v>
      </c>
      <c r="H39" s="50">
        <v>0</v>
      </c>
      <c r="I39" s="50">
        <v>4</v>
      </c>
      <c r="J39" s="50">
        <v>2</v>
      </c>
      <c r="K39" s="50">
        <v>0</v>
      </c>
      <c r="L39" s="50">
        <f>SUM('[1]RD4 MCC'!R323:U323)</f>
        <v>0</v>
      </c>
      <c r="M39" s="50">
        <v>33</v>
      </c>
      <c r="N39" s="50">
        <v>0</v>
      </c>
      <c r="O39" s="15">
        <f t="shared" si="0"/>
        <v>29</v>
      </c>
      <c r="P39" s="15">
        <f t="shared" si="1"/>
        <v>62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2</v>
      </c>
      <c r="F40" s="50">
        <v>10</v>
      </c>
      <c r="G40" s="50">
        <v>0</v>
      </c>
      <c r="H40" s="50">
        <v>1</v>
      </c>
      <c r="I40" s="50">
        <v>6</v>
      </c>
      <c r="J40" s="50">
        <v>0</v>
      </c>
      <c r="K40" s="50">
        <v>0</v>
      </c>
      <c r="L40" s="50">
        <f>SUM('[1]RD4 MCC'!R324:U324)</f>
        <v>0</v>
      </c>
      <c r="M40" s="50">
        <v>37</v>
      </c>
      <c r="N40" s="50">
        <v>0</v>
      </c>
      <c r="O40" s="15">
        <f t="shared" si="0"/>
        <v>22</v>
      </c>
      <c r="P40" s="15">
        <f t="shared" si="1"/>
        <v>59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1</v>
      </c>
      <c r="F41" s="50">
        <v>13</v>
      </c>
      <c r="G41" s="50">
        <v>2</v>
      </c>
      <c r="H41" s="50">
        <v>1</v>
      </c>
      <c r="I41" s="50">
        <v>3</v>
      </c>
      <c r="J41" s="50">
        <v>0</v>
      </c>
      <c r="K41" s="50">
        <v>0</v>
      </c>
      <c r="L41" s="50">
        <f>SUM('[1]RD4 MCC'!R325:U325)</f>
        <v>0</v>
      </c>
      <c r="M41" s="50">
        <v>39</v>
      </c>
      <c r="N41" s="50">
        <v>0</v>
      </c>
      <c r="O41" s="15">
        <f t="shared" si="0"/>
        <v>21</v>
      </c>
      <c r="P41" s="15">
        <f t="shared" si="1"/>
        <v>60</v>
      </c>
    </row>
    <row r="42" spans="2:20" ht="23.1" customHeight="1" x14ac:dyDescent="0.25">
      <c r="B42" s="24" t="s">
        <v>69</v>
      </c>
      <c r="C42" s="50">
        <v>3</v>
      </c>
      <c r="D42" s="50">
        <v>2</v>
      </c>
      <c r="E42" s="50">
        <v>5</v>
      </c>
      <c r="F42" s="50">
        <v>7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f>SUM('[1]RD4 MCC'!R326:U326)</f>
        <v>0</v>
      </c>
      <c r="M42" s="50">
        <v>45</v>
      </c>
      <c r="N42" s="50">
        <v>0</v>
      </c>
      <c r="O42" s="15">
        <f t="shared" si="0"/>
        <v>20</v>
      </c>
      <c r="P42" s="15">
        <f t="shared" si="1"/>
        <v>65</v>
      </c>
    </row>
    <row r="43" spans="2:20" ht="23.1" customHeight="1" x14ac:dyDescent="0.25">
      <c r="B43" s="23" t="s">
        <v>70</v>
      </c>
      <c r="C43" s="50">
        <v>8</v>
      </c>
      <c r="D43" s="50">
        <v>0</v>
      </c>
      <c r="E43" s="50">
        <v>3</v>
      </c>
      <c r="F43" s="50">
        <v>10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f>SUM('[1]RD4 MCC'!R327:U327)</f>
        <v>0</v>
      </c>
      <c r="M43" s="50">
        <v>36</v>
      </c>
      <c r="N43" s="50">
        <v>0</v>
      </c>
      <c r="O43" s="15">
        <f t="shared" si="0"/>
        <v>22</v>
      </c>
      <c r="P43" s="15">
        <f t="shared" si="1"/>
        <v>58</v>
      </c>
    </row>
    <row r="44" spans="2:20" ht="23.1" customHeight="1" x14ac:dyDescent="0.25">
      <c r="B44" s="25" t="s">
        <v>71</v>
      </c>
      <c r="C44" s="50">
        <v>7</v>
      </c>
      <c r="D44" s="50">
        <v>0</v>
      </c>
      <c r="E44" s="50">
        <v>0</v>
      </c>
      <c r="F44" s="50">
        <v>11</v>
      </c>
      <c r="G44" s="50">
        <v>1</v>
      </c>
      <c r="H44" s="50">
        <v>0</v>
      </c>
      <c r="I44" s="50">
        <v>4</v>
      </c>
      <c r="J44" s="50">
        <v>0</v>
      </c>
      <c r="K44" s="50">
        <v>0</v>
      </c>
      <c r="L44" s="50">
        <f>SUM('[1]RD4 MCC'!R328:U328)</f>
        <v>0</v>
      </c>
      <c r="M44" s="50">
        <v>37</v>
      </c>
      <c r="N44" s="50">
        <v>0</v>
      </c>
      <c r="O44" s="15">
        <f t="shared" si="0"/>
        <v>23</v>
      </c>
      <c r="P44" s="15">
        <f t="shared" si="1"/>
        <v>60</v>
      </c>
    </row>
    <row r="45" spans="2:20" ht="23.1" customHeight="1" x14ac:dyDescent="0.25">
      <c r="B45" s="23" t="s">
        <v>72</v>
      </c>
      <c r="C45" s="50">
        <v>3</v>
      </c>
      <c r="D45" s="50">
        <v>1</v>
      </c>
      <c r="E45" s="50">
        <v>3</v>
      </c>
      <c r="F45" s="50">
        <v>11</v>
      </c>
      <c r="G45" s="50">
        <v>1</v>
      </c>
      <c r="H45" s="50">
        <v>0</v>
      </c>
      <c r="I45" s="50">
        <v>2</v>
      </c>
      <c r="J45" s="50">
        <v>0</v>
      </c>
      <c r="K45" s="50">
        <v>0</v>
      </c>
      <c r="L45" s="50">
        <f>SUM('[1]RD4 MCC'!R329:U329)</f>
        <v>0</v>
      </c>
      <c r="M45" s="50">
        <v>36</v>
      </c>
      <c r="N45" s="50">
        <v>0</v>
      </c>
      <c r="O45" s="15">
        <f t="shared" si="0"/>
        <v>21</v>
      </c>
      <c r="P45" s="15">
        <f t="shared" si="1"/>
        <v>57</v>
      </c>
    </row>
    <row r="46" spans="2:20" ht="23.1" customHeight="1" x14ac:dyDescent="0.25">
      <c r="B46" s="24" t="s">
        <v>73</v>
      </c>
      <c r="C46" s="50">
        <v>4</v>
      </c>
      <c r="D46" s="50">
        <v>1</v>
      </c>
      <c r="E46" s="50">
        <v>3</v>
      </c>
      <c r="F46" s="50">
        <v>7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f>SUM('[1]RD4 MCC'!R330:U330)</f>
        <v>0</v>
      </c>
      <c r="M46" s="50">
        <v>29</v>
      </c>
      <c r="N46" s="50">
        <v>0</v>
      </c>
      <c r="O46" s="15">
        <f t="shared" si="0"/>
        <v>17</v>
      </c>
      <c r="P46" s="15">
        <f t="shared" si="1"/>
        <v>46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1</v>
      </c>
      <c r="E47" s="50">
        <v>5</v>
      </c>
      <c r="F47" s="50">
        <v>8</v>
      </c>
      <c r="G47" s="50">
        <v>1</v>
      </c>
      <c r="H47" s="50">
        <v>0</v>
      </c>
      <c r="I47" s="50">
        <v>1</v>
      </c>
      <c r="J47" s="50">
        <v>0</v>
      </c>
      <c r="K47" s="50">
        <v>0</v>
      </c>
      <c r="L47" s="50">
        <f>SUM('[1]RD4 MCC'!R331:U331)</f>
        <v>0</v>
      </c>
      <c r="M47" s="50">
        <v>35</v>
      </c>
      <c r="N47" s="50">
        <v>0</v>
      </c>
      <c r="O47" s="15">
        <f t="shared" si="0"/>
        <v>22</v>
      </c>
      <c r="P47" s="15">
        <f t="shared" si="1"/>
        <v>57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1</v>
      </c>
      <c r="E48" s="50">
        <v>4</v>
      </c>
      <c r="F48" s="50">
        <v>12</v>
      </c>
      <c r="G48" s="50">
        <v>0</v>
      </c>
      <c r="H48" s="50">
        <v>0</v>
      </c>
      <c r="I48" s="50">
        <v>6</v>
      </c>
      <c r="J48" s="50">
        <v>0</v>
      </c>
      <c r="K48" s="50">
        <v>0</v>
      </c>
      <c r="L48" s="50">
        <f>SUM('[1]RD4 MCC'!R332:U332)</f>
        <v>0</v>
      </c>
      <c r="M48" s="50">
        <v>30</v>
      </c>
      <c r="N48" s="50">
        <v>0</v>
      </c>
      <c r="O48" s="15">
        <f t="shared" si="0"/>
        <v>28</v>
      </c>
      <c r="P48" s="15">
        <f t="shared" si="1"/>
        <v>58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1</v>
      </c>
      <c r="E49" s="50">
        <v>4</v>
      </c>
      <c r="F49" s="50">
        <v>9</v>
      </c>
      <c r="G49" s="50">
        <v>0</v>
      </c>
      <c r="H49" s="50">
        <v>1</v>
      </c>
      <c r="I49" s="50">
        <v>0</v>
      </c>
      <c r="J49" s="50">
        <v>0</v>
      </c>
      <c r="K49" s="50">
        <v>0</v>
      </c>
      <c r="L49" s="50">
        <f>SUM('[1]RD4 MCC'!R333:U333)</f>
        <v>0</v>
      </c>
      <c r="M49" s="50">
        <v>34</v>
      </c>
      <c r="N49" s="50">
        <v>0</v>
      </c>
      <c r="O49" s="15">
        <f t="shared" si="0"/>
        <v>16</v>
      </c>
      <c r="P49" s="15">
        <f t="shared" si="1"/>
        <v>50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3</v>
      </c>
      <c r="F50" s="50">
        <v>12</v>
      </c>
      <c r="G50" s="50">
        <v>1</v>
      </c>
      <c r="H50" s="50">
        <v>0</v>
      </c>
      <c r="I50" s="50">
        <v>2</v>
      </c>
      <c r="J50" s="50">
        <v>0</v>
      </c>
      <c r="K50" s="50">
        <v>0</v>
      </c>
      <c r="L50" s="50">
        <f>SUM('[1]RD4 MCC'!R334:U334)</f>
        <v>0</v>
      </c>
      <c r="M50" s="50">
        <v>36</v>
      </c>
      <c r="N50" s="50">
        <v>0</v>
      </c>
      <c r="O50" s="15">
        <f t="shared" si="0"/>
        <v>20</v>
      </c>
      <c r="P50" s="15">
        <f t="shared" si="1"/>
        <v>56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1</v>
      </c>
      <c r="E51" s="50">
        <v>4</v>
      </c>
      <c r="F51" s="50">
        <v>9</v>
      </c>
      <c r="G51" s="50">
        <v>1</v>
      </c>
      <c r="H51" s="50">
        <v>0</v>
      </c>
      <c r="I51" s="50">
        <v>5</v>
      </c>
      <c r="J51" s="50">
        <v>0</v>
      </c>
      <c r="K51" s="50">
        <v>0</v>
      </c>
      <c r="L51" s="50">
        <f>SUM('[1]RD4 MCC'!R335:U335)</f>
        <v>0</v>
      </c>
      <c r="M51" s="50">
        <v>40</v>
      </c>
      <c r="N51" s="50">
        <v>0</v>
      </c>
      <c r="O51" s="15">
        <f t="shared" si="0"/>
        <v>24</v>
      </c>
      <c r="P51" s="15">
        <f t="shared" si="1"/>
        <v>64</v>
      </c>
      <c r="R51" s="8"/>
      <c r="T51"/>
    </row>
    <row r="52" spans="2:20" ht="23.1" customHeight="1" x14ac:dyDescent="0.25">
      <c r="B52" s="24" t="s">
        <v>79</v>
      </c>
      <c r="C52" s="50">
        <v>8</v>
      </c>
      <c r="D52" s="50">
        <v>0</v>
      </c>
      <c r="E52" s="50">
        <v>1</v>
      </c>
      <c r="F52" s="50">
        <v>10</v>
      </c>
      <c r="G52" s="50">
        <v>1</v>
      </c>
      <c r="H52" s="50">
        <v>0</v>
      </c>
      <c r="I52" s="50">
        <v>1</v>
      </c>
      <c r="J52" s="50">
        <v>1</v>
      </c>
      <c r="K52" s="50">
        <v>0</v>
      </c>
      <c r="L52" s="50">
        <f>SUM('[1]RD4 MCC'!R336:U336)</f>
        <v>0</v>
      </c>
      <c r="M52" s="50">
        <v>45</v>
      </c>
      <c r="N52" s="50">
        <v>0</v>
      </c>
      <c r="O52" s="15">
        <f t="shared" si="0"/>
        <v>22</v>
      </c>
      <c r="P52" s="15">
        <f t="shared" si="1"/>
        <v>67</v>
      </c>
      <c r="R52" s="8"/>
      <c r="T52"/>
    </row>
    <row r="53" spans="2:20" ht="23.1" customHeight="1" x14ac:dyDescent="0.25">
      <c r="B53" s="23" t="s">
        <v>80</v>
      </c>
      <c r="C53" s="50">
        <v>9</v>
      </c>
      <c r="D53" s="50">
        <v>0</v>
      </c>
      <c r="E53" s="50">
        <v>3</v>
      </c>
      <c r="F53" s="50">
        <v>10</v>
      </c>
      <c r="G53" s="50">
        <v>2</v>
      </c>
      <c r="H53" s="50">
        <v>0</v>
      </c>
      <c r="I53" s="50">
        <v>4</v>
      </c>
      <c r="J53" s="50">
        <v>0</v>
      </c>
      <c r="K53" s="50">
        <v>1</v>
      </c>
      <c r="L53" s="50">
        <f>SUM('[1]RD4 MCC'!R337:U337)</f>
        <v>0</v>
      </c>
      <c r="M53" s="50">
        <v>47</v>
      </c>
      <c r="N53" s="50">
        <v>0</v>
      </c>
      <c r="O53" s="15">
        <f t="shared" si="0"/>
        <v>29</v>
      </c>
      <c r="P53" s="15">
        <f t="shared" si="1"/>
        <v>76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1</v>
      </c>
      <c r="E54" s="50">
        <v>3</v>
      </c>
      <c r="F54" s="50">
        <v>11</v>
      </c>
      <c r="G54" s="50">
        <v>2</v>
      </c>
      <c r="H54" s="50">
        <v>0</v>
      </c>
      <c r="I54" s="50">
        <v>2</v>
      </c>
      <c r="J54" s="50">
        <v>0</v>
      </c>
      <c r="K54" s="50">
        <v>0</v>
      </c>
      <c r="L54" s="50">
        <f>SUM('[1]RD4 MCC'!R338:U338)</f>
        <v>0</v>
      </c>
      <c r="M54" s="50">
        <v>37</v>
      </c>
      <c r="N54" s="50">
        <v>0</v>
      </c>
      <c r="O54" s="15">
        <f t="shared" si="0"/>
        <v>27</v>
      </c>
      <c r="P54" s="15">
        <f t="shared" si="1"/>
        <v>64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1</v>
      </c>
      <c r="E55" s="50">
        <v>4</v>
      </c>
      <c r="F55" s="50">
        <v>10</v>
      </c>
      <c r="G55" s="50">
        <v>1</v>
      </c>
      <c r="H55" s="50">
        <v>1</v>
      </c>
      <c r="I55" s="50">
        <v>0</v>
      </c>
      <c r="J55" s="50">
        <v>0</v>
      </c>
      <c r="K55" s="50">
        <v>0</v>
      </c>
      <c r="L55" s="50">
        <f>SUM('[1]RD4 MCC'!R339:U339)</f>
        <v>0</v>
      </c>
      <c r="M55" s="50">
        <v>51</v>
      </c>
      <c r="N55" s="50">
        <v>0</v>
      </c>
      <c r="O55" s="15">
        <f t="shared" si="0"/>
        <v>22</v>
      </c>
      <c r="P55" s="15">
        <f t="shared" si="1"/>
        <v>73</v>
      </c>
      <c r="R55" s="8"/>
      <c r="T55"/>
    </row>
    <row r="56" spans="2:20" ht="23.1" customHeight="1" x14ac:dyDescent="0.25">
      <c r="B56" s="23" t="s">
        <v>83</v>
      </c>
      <c r="C56" s="50">
        <v>10</v>
      </c>
      <c r="D56" s="50">
        <v>0</v>
      </c>
      <c r="E56" s="50">
        <v>3</v>
      </c>
      <c r="F56" s="50">
        <v>13</v>
      </c>
      <c r="G56" s="50">
        <v>3</v>
      </c>
      <c r="H56" s="50">
        <v>0</v>
      </c>
      <c r="I56" s="50">
        <v>4</v>
      </c>
      <c r="J56" s="50">
        <v>0</v>
      </c>
      <c r="K56" s="50">
        <v>0</v>
      </c>
      <c r="L56" s="50">
        <f>SUM('[1]RD4 MCC'!R340:U340)</f>
        <v>0</v>
      </c>
      <c r="M56" s="50">
        <v>42</v>
      </c>
      <c r="N56" s="50">
        <v>0</v>
      </c>
      <c r="O56" s="15">
        <f t="shared" si="0"/>
        <v>33</v>
      </c>
      <c r="P56" s="15">
        <f t="shared" si="1"/>
        <v>75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1</v>
      </c>
      <c r="E57" s="50">
        <v>3</v>
      </c>
      <c r="F57" s="50">
        <v>9</v>
      </c>
      <c r="G57" s="50">
        <v>3</v>
      </c>
      <c r="H57" s="50">
        <v>0</v>
      </c>
      <c r="I57" s="50">
        <v>5</v>
      </c>
      <c r="J57" s="50">
        <v>0</v>
      </c>
      <c r="K57" s="50">
        <v>0</v>
      </c>
      <c r="L57" s="50">
        <f>SUM('[1]RD4 MCC'!R341:U341)</f>
        <v>0</v>
      </c>
      <c r="M57" s="50">
        <v>47</v>
      </c>
      <c r="N57" s="50">
        <v>0</v>
      </c>
      <c r="O57" s="15">
        <f t="shared" si="0"/>
        <v>26</v>
      </c>
      <c r="P57" s="15">
        <f t="shared" si="1"/>
        <v>73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269</v>
      </c>
      <c r="D58" s="16">
        <f t="shared" si="21"/>
        <v>45</v>
      </c>
      <c r="E58" s="16">
        <f t="shared" si="21"/>
        <v>173</v>
      </c>
      <c r="F58" s="16">
        <f t="shared" si="21"/>
        <v>525</v>
      </c>
      <c r="G58" s="16">
        <f t="shared" si="21"/>
        <v>64</v>
      </c>
      <c r="H58" s="16">
        <f t="shared" si="21"/>
        <v>5</v>
      </c>
      <c r="I58" s="16">
        <f t="shared" si="21"/>
        <v>141</v>
      </c>
      <c r="J58" s="16">
        <f t="shared" si="21"/>
        <v>16</v>
      </c>
      <c r="K58" s="16">
        <f t="shared" si="21"/>
        <v>2</v>
      </c>
      <c r="L58" s="16">
        <f t="shared" si="21"/>
        <v>0</v>
      </c>
      <c r="M58" s="16">
        <f t="shared" si="21"/>
        <v>1840</v>
      </c>
      <c r="N58" s="16">
        <f t="shared" si="21"/>
        <v>0</v>
      </c>
      <c r="O58" s="16">
        <f t="shared" si="21"/>
        <v>1240</v>
      </c>
      <c r="P58" s="16">
        <f t="shared" si="21"/>
        <v>3080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8.7337662337662339E-2</v>
      </c>
      <c r="D59" s="43">
        <f t="shared" si="22"/>
        <v>1.461038961038961E-2</v>
      </c>
      <c r="E59" s="43">
        <f t="shared" si="22"/>
        <v>5.6168831168831167E-2</v>
      </c>
      <c r="F59" s="43">
        <f t="shared" si="22"/>
        <v>0.17045454545454544</v>
      </c>
      <c r="G59" s="43">
        <f t="shared" si="22"/>
        <v>2.0779220779220779E-2</v>
      </c>
      <c r="H59" s="43">
        <f t="shared" si="22"/>
        <v>1.6233766233766235E-3</v>
      </c>
      <c r="I59" s="43">
        <f t="shared" si="22"/>
        <v>4.5779220779220781E-2</v>
      </c>
      <c r="J59" s="43">
        <f t="shared" si="22"/>
        <v>5.1948051948051948E-3</v>
      </c>
      <c r="K59" s="43">
        <f t="shared" si="22"/>
        <v>6.4935064935064935E-4</v>
      </c>
      <c r="L59" s="43">
        <f t="shared" si="22"/>
        <v>0</v>
      </c>
      <c r="M59" s="43">
        <f t="shared" si="22"/>
        <v>0.59740259740259738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0.21693548387096775</v>
      </c>
      <c r="D60" s="44">
        <f t="shared" ref="D60:N60" si="23">D58/$O$58</f>
        <v>3.6290322580645164E-2</v>
      </c>
      <c r="E60" s="44">
        <f t="shared" si="23"/>
        <v>0.13951612903225807</v>
      </c>
      <c r="F60" s="44">
        <f t="shared" si="23"/>
        <v>0.42338709677419356</v>
      </c>
      <c r="G60" s="44">
        <f t="shared" si="23"/>
        <v>5.1612903225806452E-2</v>
      </c>
      <c r="H60" s="44">
        <f t="shared" si="23"/>
        <v>4.0322580645161289E-3</v>
      </c>
      <c r="I60" s="44">
        <f t="shared" si="23"/>
        <v>0.11370967741935484</v>
      </c>
      <c r="J60" s="44">
        <f t="shared" si="23"/>
        <v>1.2903225806451613E-2</v>
      </c>
      <c r="K60" s="44">
        <f t="shared" si="23"/>
        <v>1.6129032258064516E-3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9" zoomScale="60" workbookViewId="0">
      <selection activeCell="D10" sqref="D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Buwenge-Jinja'!C3:G3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3" t="str">
        <f>'15.08 Jinja-Buwenge'!G5:H5</f>
        <v>xxx</v>
      </c>
      <c r="H5" s="64"/>
      <c r="I5" s="14"/>
      <c r="J5" s="2" t="s">
        <v>5</v>
      </c>
      <c r="K5" s="63" t="str">
        <f>'15.08 Jinja-Buwenge'!K5:L5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Buwenge-Jinja'!D6:E6</f>
        <v>Buwenge</v>
      </c>
      <c r="E6" s="64"/>
      <c r="F6" s="2" t="s">
        <v>2</v>
      </c>
      <c r="G6" s="63" t="str">
        <f>'12.08 Buwenge-Jinja'!G6:H6</f>
        <v>Jinja</v>
      </c>
      <c r="H6" s="64"/>
      <c r="J6" s="2" t="s">
        <v>21</v>
      </c>
      <c r="K6" s="63" t="str">
        <f>'15.08 Jinja-Buwenge'!K6:L6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</v>
      </c>
      <c r="D10" s="50">
        <v>0</v>
      </c>
      <c r="E10" s="50">
        <v>2</v>
      </c>
      <c r="F10" s="50">
        <v>9</v>
      </c>
      <c r="G10" s="50">
        <v>6</v>
      </c>
      <c r="H10" s="50">
        <v>1</v>
      </c>
      <c r="I10" s="50">
        <v>5</v>
      </c>
      <c r="J10" s="50">
        <v>0</v>
      </c>
      <c r="K10" s="50">
        <v>0</v>
      </c>
      <c r="L10" s="50">
        <f>SUM('[1]RD4 MCC'!R486:U486)</f>
        <v>0</v>
      </c>
      <c r="M10" s="50">
        <v>64</v>
      </c>
      <c r="N10" s="50">
        <v>0</v>
      </c>
      <c r="O10" s="15">
        <f t="shared" ref="O10:O57" si="0">SUM(C10:L10,N10)</f>
        <v>26</v>
      </c>
      <c r="P10" s="15">
        <f t="shared" ref="P10:P57" si="1">SUM(C10:N10)</f>
        <v>90</v>
      </c>
      <c r="R10" s="1" t="s">
        <v>6</v>
      </c>
      <c r="S10" s="17">
        <f t="shared" ref="S10:AF10" si="2">SUM(C10:C13)</f>
        <v>18</v>
      </c>
      <c r="T10" s="17">
        <f t="shared" si="2"/>
        <v>2</v>
      </c>
      <c r="U10" s="17">
        <f t="shared" si="2"/>
        <v>10</v>
      </c>
      <c r="V10" s="17">
        <f t="shared" si="2"/>
        <v>33</v>
      </c>
      <c r="W10" s="17">
        <f t="shared" si="2"/>
        <v>18</v>
      </c>
      <c r="X10" s="17">
        <f t="shared" si="2"/>
        <v>1</v>
      </c>
      <c r="Y10" s="17">
        <f t="shared" si="2"/>
        <v>15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208</v>
      </c>
      <c r="AD10" s="17">
        <f t="shared" si="2"/>
        <v>0</v>
      </c>
      <c r="AE10" s="31">
        <f t="shared" si="2"/>
        <v>98</v>
      </c>
      <c r="AF10" s="31">
        <f t="shared" si="2"/>
        <v>306</v>
      </c>
    </row>
    <row r="11" spans="2:32" s="6" customFormat="1" ht="23.1" customHeight="1" x14ac:dyDescent="0.25">
      <c r="B11" s="45" t="s">
        <v>38</v>
      </c>
      <c r="C11" s="50">
        <v>5</v>
      </c>
      <c r="D11" s="50">
        <v>0</v>
      </c>
      <c r="E11" s="50">
        <v>0</v>
      </c>
      <c r="F11" s="50">
        <v>4</v>
      </c>
      <c r="G11" s="50">
        <v>6</v>
      </c>
      <c r="H11" s="50">
        <v>0</v>
      </c>
      <c r="I11" s="50">
        <v>3</v>
      </c>
      <c r="J11" s="50">
        <v>0</v>
      </c>
      <c r="K11" s="50">
        <v>0</v>
      </c>
      <c r="L11" s="50">
        <f>SUM('[1]RD4 MCC'!R487:U487)</f>
        <v>0</v>
      </c>
      <c r="M11" s="50">
        <v>41</v>
      </c>
      <c r="N11" s="50">
        <v>0</v>
      </c>
      <c r="O11" s="15">
        <f t="shared" si="0"/>
        <v>18</v>
      </c>
      <c r="P11" s="15">
        <f t="shared" si="1"/>
        <v>59</v>
      </c>
      <c r="R11" s="1" t="s">
        <v>7</v>
      </c>
      <c r="S11" s="17">
        <f t="shared" ref="S11:AF11" si="3">SUM(C14:C17)</f>
        <v>21</v>
      </c>
      <c r="T11" s="17">
        <f t="shared" si="3"/>
        <v>1</v>
      </c>
      <c r="U11" s="17">
        <f t="shared" si="3"/>
        <v>9</v>
      </c>
      <c r="V11" s="17">
        <f t="shared" si="3"/>
        <v>29</v>
      </c>
      <c r="W11" s="17">
        <f t="shared" si="3"/>
        <v>13</v>
      </c>
      <c r="X11" s="17">
        <f t="shared" si="3"/>
        <v>1</v>
      </c>
      <c r="Y11" s="17">
        <f t="shared" si="3"/>
        <v>5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194</v>
      </c>
      <c r="AD11" s="17">
        <f t="shared" si="3"/>
        <v>0</v>
      </c>
      <c r="AE11" s="31">
        <f t="shared" si="3"/>
        <v>80</v>
      </c>
      <c r="AF11" s="31">
        <f t="shared" si="3"/>
        <v>274</v>
      </c>
    </row>
    <row r="12" spans="2:32" ht="23.1" customHeight="1" x14ac:dyDescent="0.25">
      <c r="B12" s="45" t="s">
        <v>39</v>
      </c>
      <c r="C12" s="50">
        <v>2</v>
      </c>
      <c r="D12" s="50">
        <v>0</v>
      </c>
      <c r="E12" s="50">
        <v>3</v>
      </c>
      <c r="F12" s="50">
        <v>11</v>
      </c>
      <c r="G12" s="50">
        <v>3</v>
      </c>
      <c r="H12" s="50">
        <v>0</v>
      </c>
      <c r="I12" s="50">
        <v>2</v>
      </c>
      <c r="J12" s="50">
        <v>0</v>
      </c>
      <c r="K12" s="50">
        <v>0</v>
      </c>
      <c r="L12" s="50">
        <f>SUM('[1]RD4 MCC'!R488:U488)</f>
        <v>0</v>
      </c>
      <c r="M12" s="50">
        <v>52</v>
      </c>
      <c r="N12" s="50">
        <v>0</v>
      </c>
      <c r="O12" s="15">
        <f t="shared" si="0"/>
        <v>21</v>
      </c>
      <c r="P12" s="15">
        <f t="shared" si="1"/>
        <v>73</v>
      </c>
      <c r="R12" s="1" t="s">
        <v>8</v>
      </c>
      <c r="S12" s="17">
        <f t="shared" ref="S12:AF12" si="4">SUM(C18:C21)</f>
        <v>16</v>
      </c>
      <c r="T12" s="17">
        <f t="shared" si="4"/>
        <v>0</v>
      </c>
      <c r="U12" s="17">
        <f t="shared" si="4"/>
        <v>9</v>
      </c>
      <c r="V12" s="17">
        <f t="shared" si="4"/>
        <v>49</v>
      </c>
      <c r="W12" s="17">
        <f t="shared" si="4"/>
        <v>3</v>
      </c>
      <c r="X12" s="17">
        <f t="shared" si="4"/>
        <v>2</v>
      </c>
      <c r="Y12" s="17">
        <f t="shared" si="4"/>
        <v>9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186</v>
      </c>
      <c r="AD12" s="17">
        <f t="shared" si="4"/>
        <v>0</v>
      </c>
      <c r="AE12" s="31">
        <f t="shared" si="4"/>
        <v>89</v>
      </c>
      <c r="AF12" s="31">
        <f t="shared" si="4"/>
        <v>275</v>
      </c>
    </row>
    <row r="13" spans="2:32" ht="23.1" customHeight="1" x14ac:dyDescent="0.25">
      <c r="B13" s="45" t="s">
        <v>40</v>
      </c>
      <c r="C13" s="50">
        <v>8</v>
      </c>
      <c r="D13" s="50">
        <v>2</v>
      </c>
      <c r="E13" s="50">
        <v>5</v>
      </c>
      <c r="F13" s="50">
        <v>9</v>
      </c>
      <c r="G13" s="50">
        <v>3</v>
      </c>
      <c r="H13" s="50">
        <v>0</v>
      </c>
      <c r="I13" s="50">
        <v>5</v>
      </c>
      <c r="J13" s="50">
        <v>1</v>
      </c>
      <c r="K13" s="50">
        <v>0</v>
      </c>
      <c r="L13" s="50">
        <f>SUM('[1]RD4 MCC'!R489:U489)</f>
        <v>0</v>
      </c>
      <c r="M13" s="50">
        <v>51</v>
      </c>
      <c r="N13" s="50">
        <v>0</v>
      </c>
      <c r="O13" s="15">
        <f t="shared" si="0"/>
        <v>33</v>
      </c>
      <c r="P13" s="15">
        <f t="shared" si="1"/>
        <v>84</v>
      </c>
      <c r="R13" s="1" t="s">
        <v>9</v>
      </c>
      <c r="S13" s="17">
        <f t="shared" ref="S13:AF13" si="5">SUM(C22:C25)</f>
        <v>17</v>
      </c>
      <c r="T13" s="17">
        <f t="shared" si="5"/>
        <v>1</v>
      </c>
      <c r="U13" s="17">
        <f t="shared" si="5"/>
        <v>11</v>
      </c>
      <c r="V13" s="17">
        <f t="shared" si="5"/>
        <v>44</v>
      </c>
      <c r="W13" s="17">
        <f t="shared" si="5"/>
        <v>1</v>
      </c>
      <c r="X13" s="17">
        <f t="shared" si="5"/>
        <v>0</v>
      </c>
      <c r="Y13" s="17">
        <f t="shared" si="5"/>
        <v>7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141</v>
      </c>
      <c r="AD13" s="17">
        <f t="shared" si="5"/>
        <v>0</v>
      </c>
      <c r="AE13" s="31">
        <f t="shared" si="5"/>
        <v>83</v>
      </c>
      <c r="AF13" s="31">
        <f t="shared" si="5"/>
        <v>224</v>
      </c>
    </row>
    <row r="14" spans="2:32" ht="23.1" customHeight="1" x14ac:dyDescent="0.25">
      <c r="B14" s="45" t="s">
        <v>41</v>
      </c>
      <c r="C14" s="50">
        <v>4</v>
      </c>
      <c r="D14" s="50">
        <v>0</v>
      </c>
      <c r="E14" s="50">
        <v>2</v>
      </c>
      <c r="F14" s="50">
        <v>3</v>
      </c>
      <c r="G14" s="50">
        <v>3</v>
      </c>
      <c r="H14" s="50">
        <v>0</v>
      </c>
      <c r="I14" s="50">
        <v>0</v>
      </c>
      <c r="J14" s="50">
        <v>0</v>
      </c>
      <c r="K14" s="50">
        <v>0</v>
      </c>
      <c r="L14" s="50">
        <f>SUM('[1]RD4 MCC'!R490:U490)</f>
        <v>0</v>
      </c>
      <c r="M14" s="50">
        <v>55</v>
      </c>
      <c r="N14" s="50">
        <v>0</v>
      </c>
      <c r="O14" s="15">
        <f t="shared" si="0"/>
        <v>12</v>
      </c>
      <c r="P14" s="15">
        <f t="shared" si="1"/>
        <v>67</v>
      </c>
      <c r="R14" s="1" t="s">
        <v>10</v>
      </c>
      <c r="S14" s="17">
        <f t="shared" ref="S14:AF14" si="6">SUM(C26:C29)</f>
        <v>21</v>
      </c>
      <c r="T14" s="17">
        <f t="shared" si="6"/>
        <v>3</v>
      </c>
      <c r="U14" s="17">
        <f t="shared" si="6"/>
        <v>15</v>
      </c>
      <c r="V14" s="17">
        <f t="shared" si="6"/>
        <v>36</v>
      </c>
      <c r="W14" s="17">
        <f t="shared" si="6"/>
        <v>3</v>
      </c>
      <c r="X14" s="17">
        <f t="shared" si="6"/>
        <v>1</v>
      </c>
      <c r="Y14" s="17">
        <f t="shared" si="6"/>
        <v>12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162</v>
      </c>
      <c r="AD14" s="17">
        <f t="shared" si="6"/>
        <v>0</v>
      </c>
      <c r="AE14" s="31">
        <f t="shared" si="6"/>
        <v>93</v>
      </c>
      <c r="AF14" s="31">
        <f t="shared" si="6"/>
        <v>255</v>
      </c>
    </row>
    <row r="15" spans="2:32" ht="23.1" customHeight="1" x14ac:dyDescent="0.25">
      <c r="B15" s="45" t="s">
        <v>42</v>
      </c>
      <c r="C15" s="50">
        <v>8</v>
      </c>
      <c r="D15" s="50">
        <v>0</v>
      </c>
      <c r="E15" s="50">
        <v>2</v>
      </c>
      <c r="F15" s="50">
        <v>9</v>
      </c>
      <c r="G15" s="50">
        <v>3</v>
      </c>
      <c r="H15" s="50">
        <v>0</v>
      </c>
      <c r="I15" s="50">
        <v>0</v>
      </c>
      <c r="J15" s="50">
        <v>0</v>
      </c>
      <c r="K15" s="50">
        <v>0</v>
      </c>
      <c r="L15" s="50">
        <f>SUM('[1]RD4 MCC'!R491:U491)</f>
        <v>0</v>
      </c>
      <c r="M15" s="50">
        <v>48</v>
      </c>
      <c r="N15" s="50">
        <v>0</v>
      </c>
      <c r="O15" s="15">
        <f t="shared" si="0"/>
        <v>22</v>
      </c>
      <c r="P15" s="15">
        <f t="shared" si="1"/>
        <v>70</v>
      </c>
      <c r="R15" s="1" t="s">
        <v>11</v>
      </c>
      <c r="S15" s="17">
        <f t="shared" ref="S15:AF15" si="7">SUM(C30:C33)</f>
        <v>16</v>
      </c>
      <c r="T15" s="17">
        <f t="shared" si="7"/>
        <v>2</v>
      </c>
      <c r="U15" s="17">
        <f t="shared" si="7"/>
        <v>10</v>
      </c>
      <c r="V15" s="17">
        <f t="shared" si="7"/>
        <v>35</v>
      </c>
      <c r="W15" s="17">
        <f t="shared" si="7"/>
        <v>3</v>
      </c>
      <c r="X15" s="17">
        <f t="shared" si="7"/>
        <v>0</v>
      </c>
      <c r="Y15" s="17">
        <f t="shared" si="7"/>
        <v>13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159</v>
      </c>
      <c r="AD15" s="17">
        <f t="shared" si="7"/>
        <v>1</v>
      </c>
      <c r="AE15" s="31">
        <f t="shared" si="7"/>
        <v>81</v>
      </c>
      <c r="AF15" s="31">
        <f t="shared" si="7"/>
        <v>240</v>
      </c>
    </row>
    <row r="16" spans="2:32" ht="23.1" customHeight="1" x14ac:dyDescent="0.25">
      <c r="B16" s="45" t="s">
        <v>43</v>
      </c>
      <c r="C16" s="50">
        <v>3</v>
      </c>
      <c r="D16" s="50">
        <v>0</v>
      </c>
      <c r="E16" s="50">
        <v>2</v>
      </c>
      <c r="F16" s="50">
        <v>8</v>
      </c>
      <c r="G16" s="50">
        <v>4</v>
      </c>
      <c r="H16" s="50">
        <v>1</v>
      </c>
      <c r="I16" s="50">
        <v>1</v>
      </c>
      <c r="J16" s="50">
        <v>1</v>
      </c>
      <c r="K16" s="50">
        <v>0</v>
      </c>
      <c r="L16" s="50">
        <f>SUM('[1]RD4 MCC'!R492:U492)</f>
        <v>0</v>
      </c>
      <c r="M16" s="50">
        <v>43</v>
      </c>
      <c r="N16" s="50">
        <v>0</v>
      </c>
      <c r="O16" s="15">
        <f t="shared" si="0"/>
        <v>20</v>
      </c>
      <c r="P16" s="15">
        <f t="shared" si="1"/>
        <v>63</v>
      </c>
      <c r="R16" s="1" t="s">
        <v>12</v>
      </c>
      <c r="S16" s="17">
        <f t="shared" ref="S16:AF16" si="8">SUM(C34:C37)</f>
        <v>20</v>
      </c>
      <c r="T16" s="17">
        <f t="shared" si="8"/>
        <v>2</v>
      </c>
      <c r="U16" s="17">
        <f t="shared" si="8"/>
        <v>11</v>
      </c>
      <c r="V16" s="17">
        <f t="shared" si="8"/>
        <v>46</v>
      </c>
      <c r="W16" s="17">
        <f t="shared" si="8"/>
        <v>2</v>
      </c>
      <c r="X16" s="17">
        <f t="shared" si="8"/>
        <v>0</v>
      </c>
      <c r="Y16" s="17">
        <f t="shared" si="8"/>
        <v>8</v>
      </c>
      <c r="Z16" s="17">
        <f t="shared" si="8"/>
        <v>4</v>
      </c>
      <c r="AA16" s="17">
        <f t="shared" si="8"/>
        <v>0</v>
      </c>
      <c r="AB16" s="17">
        <f t="shared" si="8"/>
        <v>0</v>
      </c>
      <c r="AC16" s="17">
        <f t="shared" si="8"/>
        <v>136</v>
      </c>
      <c r="AD16" s="17">
        <f t="shared" si="8"/>
        <v>0</v>
      </c>
      <c r="AE16" s="31">
        <f t="shared" si="8"/>
        <v>93</v>
      </c>
      <c r="AF16" s="31">
        <f t="shared" si="8"/>
        <v>229</v>
      </c>
    </row>
    <row r="17" spans="2:32" ht="23.1" customHeight="1" x14ac:dyDescent="0.25">
      <c r="B17" s="45" t="s">
        <v>44</v>
      </c>
      <c r="C17" s="50">
        <v>6</v>
      </c>
      <c r="D17" s="50">
        <v>1</v>
      </c>
      <c r="E17" s="50">
        <v>3</v>
      </c>
      <c r="F17" s="50">
        <v>9</v>
      </c>
      <c r="G17" s="50">
        <v>3</v>
      </c>
      <c r="H17" s="50">
        <v>0</v>
      </c>
      <c r="I17" s="50">
        <v>4</v>
      </c>
      <c r="J17" s="50">
        <v>0</v>
      </c>
      <c r="K17" s="50">
        <v>0</v>
      </c>
      <c r="L17" s="50">
        <f>SUM('[1]RD4 MCC'!R493:U493)</f>
        <v>0</v>
      </c>
      <c r="M17" s="50">
        <v>48</v>
      </c>
      <c r="N17" s="50">
        <v>0</v>
      </c>
      <c r="O17" s="15">
        <f t="shared" si="0"/>
        <v>26</v>
      </c>
      <c r="P17" s="15">
        <f t="shared" si="1"/>
        <v>74</v>
      </c>
      <c r="R17" s="1" t="s">
        <v>13</v>
      </c>
      <c r="S17" s="17">
        <f t="shared" ref="S17:AF17" si="9">SUM(C38:C41)</f>
        <v>18</v>
      </c>
      <c r="T17" s="17">
        <f t="shared" si="9"/>
        <v>3</v>
      </c>
      <c r="U17" s="17">
        <f t="shared" si="9"/>
        <v>16</v>
      </c>
      <c r="V17" s="17">
        <f t="shared" si="9"/>
        <v>36</v>
      </c>
      <c r="W17" s="17">
        <f t="shared" si="9"/>
        <v>3</v>
      </c>
      <c r="X17" s="17">
        <f t="shared" si="9"/>
        <v>0</v>
      </c>
      <c r="Y17" s="17">
        <f t="shared" si="9"/>
        <v>9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119</v>
      </c>
      <c r="AD17" s="17">
        <f t="shared" si="9"/>
        <v>0</v>
      </c>
      <c r="AE17" s="31">
        <f t="shared" si="9"/>
        <v>87</v>
      </c>
      <c r="AF17" s="31">
        <f t="shared" si="9"/>
        <v>206</v>
      </c>
    </row>
    <row r="18" spans="2:32" ht="23.1" customHeight="1" x14ac:dyDescent="0.25">
      <c r="B18" s="45" t="s">
        <v>45</v>
      </c>
      <c r="C18" s="50">
        <v>3</v>
      </c>
      <c r="D18" s="50">
        <v>0</v>
      </c>
      <c r="E18" s="50">
        <v>2</v>
      </c>
      <c r="F18" s="50">
        <v>14</v>
      </c>
      <c r="G18" s="50">
        <v>3</v>
      </c>
      <c r="H18" s="50">
        <v>0</v>
      </c>
      <c r="I18" s="50">
        <v>1</v>
      </c>
      <c r="J18" s="50">
        <v>1</v>
      </c>
      <c r="K18" s="50">
        <v>0</v>
      </c>
      <c r="L18" s="50">
        <f>SUM('[1]RD4 MCC'!R494:U494)</f>
        <v>0</v>
      </c>
      <c r="M18" s="50">
        <v>40</v>
      </c>
      <c r="N18" s="50">
        <v>0</v>
      </c>
      <c r="O18" s="15">
        <f t="shared" si="0"/>
        <v>24</v>
      </c>
      <c r="P18" s="15">
        <f t="shared" si="1"/>
        <v>64</v>
      </c>
      <c r="R18" s="1" t="s">
        <v>14</v>
      </c>
      <c r="S18" s="17">
        <f t="shared" ref="S18:AF18" si="10">SUM(C42:C45)</f>
        <v>22</v>
      </c>
      <c r="T18" s="17">
        <f t="shared" si="10"/>
        <v>5</v>
      </c>
      <c r="U18" s="17">
        <f t="shared" si="10"/>
        <v>19</v>
      </c>
      <c r="V18" s="17">
        <f t="shared" si="10"/>
        <v>42</v>
      </c>
      <c r="W18" s="17">
        <f t="shared" si="10"/>
        <v>2</v>
      </c>
      <c r="X18" s="17">
        <f t="shared" si="10"/>
        <v>0</v>
      </c>
      <c r="Y18" s="17">
        <f t="shared" si="10"/>
        <v>12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30</v>
      </c>
      <c r="AD18" s="17">
        <f t="shared" si="10"/>
        <v>0</v>
      </c>
      <c r="AE18" s="31">
        <f t="shared" si="10"/>
        <v>104</v>
      </c>
      <c r="AF18" s="31">
        <f t="shared" si="10"/>
        <v>134</v>
      </c>
    </row>
    <row r="19" spans="2:32" ht="23.1" customHeight="1" x14ac:dyDescent="0.25">
      <c r="B19" s="45" t="s">
        <v>46</v>
      </c>
      <c r="C19" s="50">
        <v>3</v>
      </c>
      <c r="D19" s="50">
        <v>0</v>
      </c>
      <c r="E19" s="50">
        <v>2</v>
      </c>
      <c r="F19" s="50">
        <v>10</v>
      </c>
      <c r="G19" s="50">
        <v>0</v>
      </c>
      <c r="H19" s="50">
        <v>2</v>
      </c>
      <c r="I19" s="50">
        <v>3</v>
      </c>
      <c r="J19" s="50">
        <v>0</v>
      </c>
      <c r="K19" s="50">
        <v>0</v>
      </c>
      <c r="L19" s="50">
        <f>SUM('[1]RD4 MCC'!R495:U495)</f>
        <v>0</v>
      </c>
      <c r="M19" s="50">
        <v>47</v>
      </c>
      <c r="N19" s="50">
        <v>0</v>
      </c>
      <c r="O19" s="15">
        <f t="shared" si="0"/>
        <v>20</v>
      </c>
      <c r="P19" s="15">
        <f t="shared" si="1"/>
        <v>67</v>
      </c>
      <c r="R19" s="1" t="s">
        <v>15</v>
      </c>
      <c r="S19" s="17">
        <f t="shared" ref="S19:AF19" si="11">SUM(C46:C49)</f>
        <v>27</v>
      </c>
      <c r="T19" s="17">
        <f t="shared" si="11"/>
        <v>7</v>
      </c>
      <c r="U19" s="17">
        <f t="shared" si="11"/>
        <v>23</v>
      </c>
      <c r="V19" s="17">
        <f t="shared" si="11"/>
        <v>34</v>
      </c>
      <c r="W19" s="17">
        <f t="shared" si="11"/>
        <v>7</v>
      </c>
      <c r="X19" s="17">
        <f t="shared" si="11"/>
        <v>0</v>
      </c>
      <c r="Y19" s="17">
        <f t="shared" si="11"/>
        <v>11</v>
      </c>
      <c r="Z19" s="17">
        <f t="shared" si="11"/>
        <v>2</v>
      </c>
      <c r="AA19" s="17">
        <f t="shared" si="11"/>
        <v>1</v>
      </c>
      <c r="AB19" s="17">
        <f t="shared" si="11"/>
        <v>0</v>
      </c>
      <c r="AC19" s="17">
        <f t="shared" si="11"/>
        <v>94</v>
      </c>
      <c r="AD19" s="17">
        <f t="shared" si="11"/>
        <v>0</v>
      </c>
      <c r="AE19" s="31">
        <f t="shared" si="11"/>
        <v>112</v>
      </c>
      <c r="AF19" s="31">
        <f t="shared" si="11"/>
        <v>206</v>
      </c>
    </row>
    <row r="20" spans="2:32" ht="23.1" customHeight="1" x14ac:dyDescent="0.25">
      <c r="B20" s="45" t="s">
        <v>47</v>
      </c>
      <c r="C20" s="50">
        <v>3</v>
      </c>
      <c r="D20" s="50">
        <v>0</v>
      </c>
      <c r="E20" s="50">
        <v>2</v>
      </c>
      <c r="F20" s="50">
        <v>11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f>SUM('[1]RD4 MCC'!R496:U496)</f>
        <v>0</v>
      </c>
      <c r="M20" s="50">
        <v>58</v>
      </c>
      <c r="N20" s="50">
        <v>0</v>
      </c>
      <c r="O20" s="15">
        <f t="shared" si="0"/>
        <v>18</v>
      </c>
      <c r="P20" s="15">
        <f t="shared" si="1"/>
        <v>76</v>
      </c>
      <c r="R20" s="1" t="s">
        <v>16</v>
      </c>
      <c r="S20" s="17">
        <f t="shared" ref="S20:AF20" si="12">SUM(C50:C53)</f>
        <v>35</v>
      </c>
      <c r="T20" s="17">
        <f t="shared" si="12"/>
        <v>8</v>
      </c>
      <c r="U20" s="17">
        <f t="shared" si="12"/>
        <v>24</v>
      </c>
      <c r="V20" s="17">
        <f t="shared" si="12"/>
        <v>47</v>
      </c>
      <c r="W20" s="17">
        <f t="shared" si="12"/>
        <v>8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1</v>
      </c>
      <c r="AB20" s="17">
        <f t="shared" si="12"/>
        <v>0</v>
      </c>
      <c r="AC20" s="17">
        <f t="shared" si="12"/>
        <v>155</v>
      </c>
      <c r="AD20" s="17">
        <f t="shared" si="12"/>
        <v>0</v>
      </c>
      <c r="AE20" s="31">
        <f t="shared" si="12"/>
        <v>128</v>
      </c>
      <c r="AF20" s="31">
        <f t="shared" si="12"/>
        <v>283</v>
      </c>
    </row>
    <row r="21" spans="2:32" ht="23.1" customHeight="1" x14ac:dyDescent="0.25">
      <c r="B21" s="45" t="s">
        <v>48</v>
      </c>
      <c r="C21" s="50">
        <v>7</v>
      </c>
      <c r="D21" s="50">
        <v>0</v>
      </c>
      <c r="E21" s="50">
        <v>3</v>
      </c>
      <c r="F21" s="50">
        <v>14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f>SUM('[1]RD4 MCC'!R497:U497)</f>
        <v>0</v>
      </c>
      <c r="M21" s="50">
        <v>41</v>
      </c>
      <c r="N21" s="50">
        <v>0</v>
      </c>
      <c r="O21" s="15">
        <f t="shared" si="0"/>
        <v>27</v>
      </c>
      <c r="P21" s="15">
        <f t="shared" si="1"/>
        <v>68</v>
      </c>
      <c r="R21" s="36" t="s">
        <v>20</v>
      </c>
      <c r="S21" s="34">
        <f t="shared" ref="S21:AF21" si="13">SUM(C54:C57)</f>
        <v>38</v>
      </c>
      <c r="T21" s="17">
        <f t="shared" si="13"/>
        <v>3</v>
      </c>
      <c r="U21" s="17">
        <f t="shared" si="13"/>
        <v>16</v>
      </c>
      <c r="V21" s="17">
        <f t="shared" si="13"/>
        <v>42</v>
      </c>
      <c r="W21" s="17">
        <f t="shared" si="13"/>
        <v>11</v>
      </c>
      <c r="X21" s="17">
        <f t="shared" si="13"/>
        <v>0</v>
      </c>
      <c r="Y21" s="17">
        <f t="shared" si="13"/>
        <v>13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173</v>
      </c>
      <c r="AD21" s="17">
        <f t="shared" si="13"/>
        <v>0</v>
      </c>
      <c r="AE21" s="31">
        <f t="shared" si="13"/>
        <v>124</v>
      </c>
      <c r="AF21" s="31">
        <f t="shared" si="13"/>
        <v>297</v>
      </c>
    </row>
    <row r="22" spans="2:32" ht="23.1" customHeight="1" x14ac:dyDescent="0.25">
      <c r="B22" s="45" t="s">
        <v>49</v>
      </c>
      <c r="C22" s="50">
        <v>7</v>
      </c>
      <c r="D22" s="50">
        <v>0</v>
      </c>
      <c r="E22" s="50">
        <v>3</v>
      </c>
      <c r="F22" s="50">
        <v>6</v>
      </c>
      <c r="G22" s="50">
        <v>1</v>
      </c>
      <c r="H22" s="50">
        <v>0</v>
      </c>
      <c r="I22" s="50">
        <v>5</v>
      </c>
      <c r="J22" s="50">
        <v>0</v>
      </c>
      <c r="K22" s="50">
        <v>0</v>
      </c>
      <c r="L22" s="50">
        <f>SUM('[1]RD4 MCC'!R498:U498)</f>
        <v>0</v>
      </c>
      <c r="M22" s="50">
        <v>38</v>
      </c>
      <c r="N22" s="50">
        <v>0</v>
      </c>
      <c r="O22" s="15">
        <f t="shared" si="0"/>
        <v>22</v>
      </c>
      <c r="P22" s="15">
        <f t="shared" si="1"/>
        <v>60</v>
      </c>
      <c r="R22" s="36" t="s">
        <v>146</v>
      </c>
      <c r="S22" s="34">
        <f>SUM(C58:C61)</f>
        <v>24</v>
      </c>
      <c r="T22" s="34">
        <f t="shared" ref="T22:AF22" si="14">SUM(D58:D61)</f>
        <v>2</v>
      </c>
      <c r="U22" s="34">
        <f t="shared" si="14"/>
        <v>10</v>
      </c>
      <c r="V22" s="34">
        <f t="shared" si="14"/>
        <v>39</v>
      </c>
      <c r="W22" s="34">
        <f t="shared" si="14"/>
        <v>15</v>
      </c>
      <c r="X22" s="34">
        <f t="shared" si="14"/>
        <v>0</v>
      </c>
      <c r="Y22" s="34">
        <f t="shared" si="14"/>
        <v>16</v>
      </c>
      <c r="Z22" s="34">
        <f t="shared" si="14"/>
        <v>3</v>
      </c>
      <c r="AA22" s="34">
        <f t="shared" si="14"/>
        <v>0</v>
      </c>
      <c r="AB22" s="34">
        <f t="shared" si="14"/>
        <v>0</v>
      </c>
      <c r="AC22" s="34">
        <f t="shared" si="14"/>
        <v>153</v>
      </c>
      <c r="AD22" s="34">
        <f t="shared" si="14"/>
        <v>0</v>
      </c>
      <c r="AE22" s="31">
        <f t="shared" si="14"/>
        <v>109</v>
      </c>
      <c r="AF22" s="31">
        <f t="shared" si="14"/>
        <v>262</v>
      </c>
    </row>
    <row r="23" spans="2:32" ht="23.1" customHeight="1" x14ac:dyDescent="0.25">
      <c r="B23" s="45" t="s">
        <v>50</v>
      </c>
      <c r="C23" s="50">
        <v>3</v>
      </c>
      <c r="D23" s="50">
        <v>1</v>
      </c>
      <c r="E23" s="50">
        <v>4</v>
      </c>
      <c r="F23" s="50">
        <v>11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f>SUM('[1]RD4 MCC'!R499:U499)</f>
        <v>0</v>
      </c>
      <c r="M23" s="50">
        <v>39</v>
      </c>
      <c r="N23" s="50">
        <v>0</v>
      </c>
      <c r="O23" s="15">
        <f t="shared" si="0"/>
        <v>21</v>
      </c>
      <c r="P23" s="15">
        <f t="shared" si="1"/>
        <v>60</v>
      </c>
      <c r="R23" s="36" t="s">
        <v>147</v>
      </c>
      <c r="S23" s="34">
        <f>SUM(C62:C65)</f>
        <v>13</v>
      </c>
      <c r="T23" s="34">
        <f t="shared" ref="T23:AF23" si="15">SUM(D62:D65)</f>
        <v>2</v>
      </c>
      <c r="U23" s="34">
        <f t="shared" si="15"/>
        <v>11</v>
      </c>
      <c r="V23" s="34">
        <f t="shared" si="15"/>
        <v>29</v>
      </c>
      <c r="W23" s="34">
        <f t="shared" si="15"/>
        <v>11</v>
      </c>
      <c r="X23" s="34">
        <f t="shared" si="15"/>
        <v>0</v>
      </c>
      <c r="Y23" s="34">
        <f t="shared" si="15"/>
        <v>13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109</v>
      </c>
      <c r="AD23" s="34">
        <f t="shared" si="15"/>
        <v>0</v>
      </c>
      <c r="AE23" s="31">
        <f t="shared" si="15"/>
        <v>79</v>
      </c>
      <c r="AF23" s="31">
        <f t="shared" si="15"/>
        <v>188</v>
      </c>
    </row>
    <row r="24" spans="2:32" ht="23.1" customHeight="1" x14ac:dyDescent="0.25">
      <c r="B24" s="45" t="s">
        <v>51</v>
      </c>
      <c r="C24" s="50">
        <v>4</v>
      </c>
      <c r="D24" s="50">
        <v>0</v>
      </c>
      <c r="E24" s="50">
        <v>1</v>
      </c>
      <c r="F24" s="50">
        <v>19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f>SUM('[1]RD4 MCC'!R500:U500)</f>
        <v>0</v>
      </c>
      <c r="M24" s="50">
        <v>35</v>
      </c>
      <c r="N24" s="50">
        <v>0</v>
      </c>
      <c r="O24" s="15">
        <f t="shared" si="0"/>
        <v>24</v>
      </c>
      <c r="P24" s="15">
        <f t="shared" si="1"/>
        <v>59</v>
      </c>
      <c r="R24" s="36" t="s">
        <v>148</v>
      </c>
      <c r="S24" s="34">
        <f>SUM(C66:C69)</f>
        <v>23</v>
      </c>
      <c r="T24" s="34">
        <f t="shared" ref="T24:AF24" si="16">SUM(D66:D69)</f>
        <v>2</v>
      </c>
      <c r="U24" s="34">
        <f t="shared" si="16"/>
        <v>10</v>
      </c>
      <c r="V24" s="34">
        <f t="shared" si="16"/>
        <v>15</v>
      </c>
      <c r="W24" s="34">
        <f t="shared" si="16"/>
        <v>3</v>
      </c>
      <c r="X24" s="34">
        <f t="shared" si="16"/>
        <v>0</v>
      </c>
      <c r="Y24" s="34">
        <f t="shared" si="16"/>
        <v>8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69</v>
      </c>
      <c r="AD24" s="34">
        <f t="shared" si="16"/>
        <v>0</v>
      </c>
      <c r="AE24" s="31">
        <f t="shared" si="16"/>
        <v>62</v>
      </c>
      <c r="AF24" s="31">
        <f t="shared" si="16"/>
        <v>131</v>
      </c>
    </row>
    <row r="25" spans="2:32" ht="23.1" customHeight="1" x14ac:dyDescent="0.25">
      <c r="B25" s="45" t="s">
        <v>52</v>
      </c>
      <c r="C25" s="50">
        <v>3</v>
      </c>
      <c r="D25" s="50">
        <v>0</v>
      </c>
      <c r="E25" s="50">
        <v>3</v>
      </c>
      <c r="F25" s="50">
        <v>8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f>SUM('[1]RD4 MCC'!R501:U501)</f>
        <v>0</v>
      </c>
      <c r="M25" s="50">
        <v>29</v>
      </c>
      <c r="N25" s="50">
        <v>0</v>
      </c>
      <c r="O25" s="15">
        <f t="shared" si="0"/>
        <v>16</v>
      </c>
      <c r="P25" s="15">
        <f t="shared" si="1"/>
        <v>45</v>
      </c>
      <c r="R25" s="36" t="s">
        <v>149</v>
      </c>
      <c r="S25" s="34">
        <f>SUM(C70:C73)</f>
        <v>15</v>
      </c>
      <c r="T25" s="34">
        <f t="shared" ref="T25:AF25" si="17">SUM(D70:D73)</f>
        <v>1</v>
      </c>
      <c r="U25" s="34">
        <f t="shared" si="17"/>
        <v>6</v>
      </c>
      <c r="V25" s="34">
        <f t="shared" si="17"/>
        <v>4</v>
      </c>
      <c r="W25" s="34">
        <f t="shared" si="17"/>
        <v>2</v>
      </c>
      <c r="X25" s="34">
        <f t="shared" si="17"/>
        <v>0</v>
      </c>
      <c r="Y25" s="34">
        <f t="shared" si="17"/>
        <v>8</v>
      </c>
      <c r="Z25" s="34">
        <f t="shared" si="17"/>
        <v>2</v>
      </c>
      <c r="AA25" s="34">
        <f t="shared" si="17"/>
        <v>0</v>
      </c>
      <c r="AB25" s="34">
        <f t="shared" si="17"/>
        <v>0</v>
      </c>
      <c r="AC25" s="34">
        <f t="shared" si="17"/>
        <v>46</v>
      </c>
      <c r="AD25" s="34">
        <f t="shared" si="17"/>
        <v>0</v>
      </c>
      <c r="AE25" s="31">
        <f t="shared" si="17"/>
        <v>38</v>
      </c>
      <c r="AF25" s="31">
        <f t="shared" si="17"/>
        <v>84</v>
      </c>
    </row>
    <row r="26" spans="2:32" ht="23.1" customHeight="1" x14ac:dyDescent="0.25">
      <c r="B26" s="45" t="s">
        <v>53</v>
      </c>
      <c r="C26" s="50">
        <v>5</v>
      </c>
      <c r="D26" s="50">
        <v>1</v>
      </c>
      <c r="E26" s="50">
        <v>5</v>
      </c>
      <c r="F26" s="50">
        <v>10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f>SUM('[1]RD4 MCC'!R502:U502)</f>
        <v>0</v>
      </c>
      <c r="M26" s="50">
        <v>36</v>
      </c>
      <c r="N26" s="50">
        <v>0</v>
      </c>
      <c r="O26" s="15">
        <f t="shared" si="0"/>
        <v>24</v>
      </c>
      <c r="P26" s="15">
        <f t="shared" si="1"/>
        <v>60</v>
      </c>
      <c r="R26" s="36" t="s">
        <v>150</v>
      </c>
      <c r="S26" s="34">
        <f>SUM(C74:C77)</f>
        <v>6</v>
      </c>
      <c r="T26" s="34">
        <f t="shared" ref="T26:AF26" si="18">SUM(D74:D77)</f>
        <v>0</v>
      </c>
      <c r="U26" s="34">
        <f t="shared" si="18"/>
        <v>7</v>
      </c>
      <c r="V26" s="34">
        <f t="shared" si="18"/>
        <v>7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28</v>
      </c>
      <c r="AD26" s="34">
        <f t="shared" si="18"/>
        <v>0</v>
      </c>
      <c r="AE26" s="31">
        <f t="shared" si="18"/>
        <v>23</v>
      </c>
      <c r="AF26" s="31">
        <f t="shared" si="18"/>
        <v>51</v>
      </c>
    </row>
    <row r="27" spans="2:32" ht="23.1" customHeight="1" x14ac:dyDescent="0.25">
      <c r="B27" s="45" t="s">
        <v>54</v>
      </c>
      <c r="C27" s="50">
        <v>8</v>
      </c>
      <c r="D27" s="50">
        <v>1</v>
      </c>
      <c r="E27" s="50">
        <v>5</v>
      </c>
      <c r="F27" s="50">
        <v>8</v>
      </c>
      <c r="G27" s="50">
        <v>2</v>
      </c>
      <c r="H27" s="50">
        <v>0</v>
      </c>
      <c r="I27" s="50">
        <v>4</v>
      </c>
      <c r="J27" s="50">
        <v>1</v>
      </c>
      <c r="K27" s="50">
        <v>0</v>
      </c>
      <c r="L27" s="50">
        <f>SUM('[1]RD4 MCC'!R503:U503)</f>
        <v>0</v>
      </c>
      <c r="M27" s="50">
        <v>47</v>
      </c>
      <c r="N27" s="50">
        <v>0</v>
      </c>
      <c r="O27" s="15">
        <f t="shared" si="0"/>
        <v>29</v>
      </c>
      <c r="P27" s="15">
        <f t="shared" si="1"/>
        <v>76</v>
      </c>
      <c r="R27" s="36" t="s">
        <v>151</v>
      </c>
      <c r="S27" s="34">
        <f>SUM(C78:C81)</f>
        <v>6</v>
      </c>
      <c r="T27" s="34">
        <f t="shared" ref="T27:AF27" si="19">SUM(D78:D81)</f>
        <v>0</v>
      </c>
      <c r="U27" s="34">
        <f t="shared" si="19"/>
        <v>3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6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12</v>
      </c>
      <c r="AD27" s="34">
        <f t="shared" si="19"/>
        <v>0</v>
      </c>
      <c r="AE27" s="31">
        <f t="shared" si="19"/>
        <v>16</v>
      </c>
      <c r="AF27" s="31">
        <f t="shared" si="19"/>
        <v>28</v>
      </c>
    </row>
    <row r="28" spans="2:32" ht="23.1" customHeight="1" x14ac:dyDescent="0.25">
      <c r="B28" s="45" t="s">
        <v>55</v>
      </c>
      <c r="C28" s="50">
        <v>2</v>
      </c>
      <c r="D28" s="50">
        <v>0</v>
      </c>
      <c r="E28" s="50">
        <v>0</v>
      </c>
      <c r="F28" s="50">
        <v>9</v>
      </c>
      <c r="G28" s="50">
        <v>1</v>
      </c>
      <c r="H28" s="50">
        <v>1</v>
      </c>
      <c r="I28" s="50">
        <v>3</v>
      </c>
      <c r="J28" s="50">
        <v>1</v>
      </c>
      <c r="K28" s="50">
        <v>0</v>
      </c>
      <c r="L28" s="50">
        <f>SUM('[1]RD4 MCC'!R504:U504)</f>
        <v>0</v>
      </c>
      <c r="M28" s="50">
        <v>39</v>
      </c>
      <c r="N28" s="50">
        <v>0</v>
      </c>
      <c r="O28" s="15">
        <f t="shared" si="0"/>
        <v>17</v>
      </c>
      <c r="P28" s="15">
        <f t="shared" si="1"/>
        <v>56</v>
      </c>
      <c r="R28" s="36" t="s">
        <v>152</v>
      </c>
      <c r="S28" s="34">
        <f>SUM(C82:C85)</f>
        <v>5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12</v>
      </c>
      <c r="AD28" s="34">
        <f t="shared" si="20"/>
        <v>0</v>
      </c>
      <c r="AE28" s="31">
        <f t="shared" si="20"/>
        <v>11</v>
      </c>
      <c r="AF28" s="31">
        <f t="shared" si="20"/>
        <v>23</v>
      </c>
    </row>
    <row r="29" spans="2:32" ht="23.1" customHeight="1" x14ac:dyDescent="0.25">
      <c r="B29" s="45" t="s">
        <v>56</v>
      </c>
      <c r="C29" s="50">
        <v>6</v>
      </c>
      <c r="D29" s="50">
        <v>1</v>
      </c>
      <c r="E29" s="50">
        <v>5</v>
      </c>
      <c r="F29" s="50">
        <v>9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f>SUM('[1]RD4 MCC'!R505:U505)</f>
        <v>0</v>
      </c>
      <c r="M29" s="50">
        <v>40</v>
      </c>
      <c r="N29" s="50">
        <v>0</v>
      </c>
      <c r="O29" s="15">
        <f t="shared" si="0"/>
        <v>23</v>
      </c>
      <c r="P29" s="15">
        <f t="shared" si="1"/>
        <v>63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4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7</v>
      </c>
      <c r="AF29" s="31">
        <f t="shared" si="21"/>
        <v>8</v>
      </c>
    </row>
    <row r="30" spans="2:32" ht="23.1" customHeight="1" x14ac:dyDescent="0.25">
      <c r="B30" s="45" t="s">
        <v>57</v>
      </c>
      <c r="C30" s="50">
        <v>3</v>
      </c>
      <c r="D30" s="50">
        <v>1</v>
      </c>
      <c r="E30" s="50">
        <v>5</v>
      </c>
      <c r="F30" s="50">
        <v>11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f>SUM('[1]RD4 MCC'!R506:U506)</f>
        <v>0</v>
      </c>
      <c r="M30" s="50">
        <v>40</v>
      </c>
      <c r="N30" s="50">
        <v>0</v>
      </c>
      <c r="O30" s="15">
        <f t="shared" si="0"/>
        <v>24</v>
      </c>
      <c r="P30" s="15">
        <f t="shared" si="1"/>
        <v>64</v>
      </c>
      <c r="R30" s="36" t="s">
        <v>154</v>
      </c>
      <c r="S30" s="34">
        <f>SUM(C90:C93)</f>
        <v>2</v>
      </c>
      <c r="T30" s="34">
        <f t="shared" ref="T30:AF30" si="22">SUM(D90:D93)</f>
        <v>0</v>
      </c>
      <c r="U30" s="34">
        <f t="shared" si="22"/>
        <v>2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3</v>
      </c>
      <c r="Z30" s="34">
        <f t="shared" si="22"/>
        <v>2</v>
      </c>
      <c r="AA30" s="34">
        <f t="shared" si="22"/>
        <v>1</v>
      </c>
      <c r="AB30" s="34">
        <f t="shared" si="22"/>
        <v>0</v>
      </c>
      <c r="AC30" s="34">
        <f t="shared" si="22"/>
        <v>2</v>
      </c>
      <c r="AD30" s="34">
        <f t="shared" si="22"/>
        <v>0</v>
      </c>
      <c r="AE30" s="31">
        <f t="shared" si="22"/>
        <v>12</v>
      </c>
      <c r="AF30" s="31">
        <f t="shared" si="22"/>
        <v>14</v>
      </c>
    </row>
    <row r="31" spans="2:32" ht="23.1" customHeight="1" x14ac:dyDescent="0.25">
      <c r="B31" s="46" t="s">
        <v>58</v>
      </c>
      <c r="C31" s="50">
        <v>3</v>
      </c>
      <c r="D31" s="50">
        <v>0</v>
      </c>
      <c r="E31" s="50">
        <v>2</v>
      </c>
      <c r="F31" s="50">
        <v>9</v>
      </c>
      <c r="G31" s="50">
        <v>1</v>
      </c>
      <c r="H31" s="50">
        <v>0</v>
      </c>
      <c r="I31" s="50">
        <v>3</v>
      </c>
      <c r="J31" s="50">
        <v>0</v>
      </c>
      <c r="K31" s="50">
        <v>0</v>
      </c>
      <c r="L31" s="50">
        <f>SUM('[1]RD4 MCC'!R507:U507)</f>
        <v>0</v>
      </c>
      <c r="M31" s="50">
        <v>44</v>
      </c>
      <c r="N31" s="50">
        <v>0</v>
      </c>
      <c r="O31" s="15">
        <f t="shared" si="0"/>
        <v>18</v>
      </c>
      <c r="P31" s="15">
        <f t="shared" si="1"/>
        <v>62</v>
      </c>
      <c r="R31" s="36" t="s">
        <v>155</v>
      </c>
      <c r="S31" s="34">
        <f>SUM(C94:C97)</f>
        <v>6</v>
      </c>
      <c r="T31" s="34">
        <f t="shared" ref="T31:AF31" si="23">SUM(D94:D97)</f>
        <v>1</v>
      </c>
      <c r="U31" s="34">
        <f t="shared" si="23"/>
        <v>4</v>
      </c>
      <c r="V31" s="34">
        <f t="shared" si="23"/>
        <v>4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7</v>
      </c>
      <c r="AD31" s="34">
        <f t="shared" si="23"/>
        <v>0</v>
      </c>
      <c r="AE31" s="31">
        <f t="shared" si="23"/>
        <v>16</v>
      </c>
      <c r="AF31" s="31">
        <f t="shared" si="23"/>
        <v>23</v>
      </c>
    </row>
    <row r="32" spans="2:32" ht="23.1" customHeight="1" x14ac:dyDescent="0.25">
      <c r="B32" s="46" t="s">
        <v>59</v>
      </c>
      <c r="C32" s="50">
        <v>6</v>
      </c>
      <c r="D32" s="50">
        <v>1</v>
      </c>
      <c r="E32" s="50">
        <v>3</v>
      </c>
      <c r="F32" s="50">
        <v>10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f>SUM('[1]RD4 MCC'!R508:U508)</f>
        <v>0</v>
      </c>
      <c r="M32" s="50">
        <v>41</v>
      </c>
      <c r="N32" s="50">
        <v>1</v>
      </c>
      <c r="O32" s="15">
        <f t="shared" si="0"/>
        <v>25</v>
      </c>
      <c r="P32" s="15">
        <f t="shared" si="1"/>
        <v>66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5</v>
      </c>
      <c r="V32" s="34">
        <f t="shared" si="24"/>
        <v>8</v>
      </c>
      <c r="W32" s="34">
        <f t="shared" si="24"/>
        <v>3</v>
      </c>
      <c r="X32" s="34">
        <f t="shared" si="24"/>
        <v>0</v>
      </c>
      <c r="Y32" s="34">
        <f t="shared" si="24"/>
        <v>7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26</v>
      </c>
      <c r="AD32" s="34">
        <f t="shared" si="24"/>
        <v>0</v>
      </c>
      <c r="AE32" s="31">
        <f t="shared" si="24"/>
        <v>24</v>
      </c>
      <c r="AF32" s="31">
        <f t="shared" si="24"/>
        <v>50</v>
      </c>
    </row>
    <row r="33" spans="2:32" ht="23.1" customHeight="1" x14ac:dyDescent="0.25">
      <c r="B33" s="45" t="s">
        <v>60</v>
      </c>
      <c r="C33" s="50">
        <v>4</v>
      </c>
      <c r="D33" s="50">
        <v>0</v>
      </c>
      <c r="E33" s="50">
        <v>0</v>
      </c>
      <c r="F33" s="50">
        <v>5</v>
      </c>
      <c r="G33" s="50">
        <v>2</v>
      </c>
      <c r="H33" s="50">
        <v>0</v>
      </c>
      <c r="I33" s="50">
        <v>3</v>
      </c>
      <c r="J33" s="50">
        <v>0</v>
      </c>
      <c r="K33" s="50">
        <v>0</v>
      </c>
      <c r="L33" s="50">
        <f>SUM('[1]RD4 MCC'!R509:U509)</f>
        <v>0</v>
      </c>
      <c r="M33" s="50">
        <v>34</v>
      </c>
      <c r="N33" s="50">
        <v>0</v>
      </c>
      <c r="O33" s="15">
        <f t="shared" si="0"/>
        <v>14</v>
      </c>
      <c r="P33" s="15">
        <f t="shared" si="1"/>
        <v>48</v>
      </c>
      <c r="R33" s="33" t="s">
        <v>157</v>
      </c>
      <c r="S33" s="34">
        <f>SUM(C102:C105)</f>
        <v>6</v>
      </c>
      <c r="T33" s="34">
        <f t="shared" ref="T33:AF33" si="25">SUM(D102:D105)</f>
        <v>0</v>
      </c>
      <c r="U33" s="34">
        <f t="shared" si="25"/>
        <v>4</v>
      </c>
      <c r="V33" s="34">
        <f t="shared" si="25"/>
        <v>27</v>
      </c>
      <c r="W33" s="34">
        <f t="shared" si="25"/>
        <v>15</v>
      </c>
      <c r="X33" s="34">
        <f t="shared" si="25"/>
        <v>0</v>
      </c>
      <c r="Y33" s="34">
        <f t="shared" si="25"/>
        <v>6</v>
      </c>
      <c r="Z33" s="34">
        <f t="shared" si="25"/>
        <v>2</v>
      </c>
      <c r="AA33" s="34">
        <f t="shared" si="25"/>
        <v>0</v>
      </c>
      <c r="AB33" s="34">
        <f t="shared" si="25"/>
        <v>0</v>
      </c>
      <c r="AC33" s="34">
        <f t="shared" si="25"/>
        <v>112</v>
      </c>
      <c r="AD33" s="34">
        <f t="shared" si="25"/>
        <v>0</v>
      </c>
      <c r="AE33" s="31">
        <f t="shared" si="25"/>
        <v>60</v>
      </c>
      <c r="AF33" s="31">
        <f t="shared" si="25"/>
        <v>172</v>
      </c>
    </row>
    <row r="34" spans="2:32" ht="23.1" customHeight="1" x14ac:dyDescent="0.25">
      <c r="B34" s="46" t="s">
        <v>61</v>
      </c>
      <c r="C34" s="50">
        <v>9</v>
      </c>
      <c r="D34" s="50">
        <v>1</v>
      </c>
      <c r="E34" s="50">
        <v>4</v>
      </c>
      <c r="F34" s="50">
        <v>19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f>SUM('[1]RD4 MCC'!R510:U510)</f>
        <v>0</v>
      </c>
      <c r="M34" s="50">
        <v>36</v>
      </c>
      <c r="N34" s="50">
        <v>0</v>
      </c>
      <c r="O34" s="15">
        <f t="shared" si="0"/>
        <v>36</v>
      </c>
      <c r="P34" s="15">
        <f t="shared" si="1"/>
        <v>72</v>
      </c>
      <c r="R34" s="38" t="s">
        <v>90</v>
      </c>
      <c r="S34" s="39">
        <f t="shared" ref="S34:AF34" si="26">MAX(S10:S12)</f>
        <v>21</v>
      </c>
      <c r="T34" s="39">
        <f t="shared" si="26"/>
        <v>2</v>
      </c>
      <c r="U34" s="39">
        <f t="shared" si="26"/>
        <v>10</v>
      </c>
      <c r="V34" s="39">
        <f t="shared" si="26"/>
        <v>49</v>
      </c>
      <c r="W34" s="39">
        <f t="shared" si="26"/>
        <v>18</v>
      </c>
      <c r="X34" s="39">
        <f t="shared" si="26"/>
        <v>2</v>
      </c>
      <c r="Y34" s="39">
        <f t="shared" si="26"/>
        <v>15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208</v>
      </c>
      <c r="AD34" s="39">
        <f t="shared" si="26"/>
        <v>0</v>
      </c>
      <c r="AE34" s="40">
        <f t="shared" si="26"/>
        <v>98</v>
      </c>
      <c r="AF34" s="40">
        <f t="shared" si="26"/>
        <v>306</v>
      </c>
    </row>
    <row r="35" spans="2:32" ht="23.1" customHeight="1" x14ac:dyDescent="0.25">
      <c r="B35" s="46" t="s">
        <v>62</v>
      </c>
      <c r="C35" s="50">
        <v>4</v>
      </c>
      <c r="D35" s="50">
        <v>0</v>
      </c>
      <c r="E35" s="50">
        <v>3</v>
      </c>
      <c r="F35" s="50">
        <v>6</v>
      </c>
      <c r="G35" s="50">
        <v>1</v>
      </c>
      <c r="H35" s="50">
        <v>0</v>
      </c>
      <c r="I35" s="50">
        <v>5</v>
      </c>
      <c r="J35" s="50">
        <v>1</v>
      </c>
      <c r="K35" s="50">
        <v>0</v>
      </c>
      <c r="L35" s="50">
        <f>SUM('[1]RD4 MCC'!R511:U511)</f>
        <v>0</v>
      </c>
      <c r="M35" s="50">
        <v>32</v>
      </c>
      <c r="N35" s="50">
        <v>0</v>
      </c>
      <c r="O35" s="15">
        <f t="shared" si="0"/>
        <v>20</v>
      </c>
      <c r="P35" s="15">
        <f t="shared" si="1"/>
        <v>52</v>
      </c>
      <c r="R35" s="38" t="s">
        <v>91</v>
      </c>
      <c r="S35" s="39">
        <f t="shared" ref="S35:AF35" si="27">MAX(S13:S18)</f>
        <v>22</v>
      </c>
      <c r="T35" s="39">
        <f t="shared" si="27"/>
        <v>5</v>
      </c>
      <c r="U35" s="39">
        <f t="shared" si="27"/>
        <v>19</v>
      </c>
      <c r="V35" s="39">
        <f t="shared" si="27"/>
        <v>46</v>
      </c>
      <c r="W35" s="39">
        <f t="shared" si="27"/>
        <v>3</v>
      </c>
      <c r="X35" s="39">
        <f t="shared" si="27"/>
        <v>1</v>
      </c>
      <c r="Y35" s="39">
        <f t="shared" si="27"/>
        <v>13</v>
      </c>
      <c r="Z35" s="39">
        <f t="shared" si="27"/>
        <v>4</v>
      </c>
      <c r="AA35" s="39">
        <f t="shared" si="27"/>
        <v>1</v>
      </c>
      <c r="AB35" s="39">
        <f t="shared" si="27"/>
        <v>0</v>
      </c>
      <c r="AC35" s="39">
        <f t="shared" si="27"/>
        <v>162</v>
      </c>
      <c r="AD35" s="39">
        <f t="shared" si="27"/>
        <v>1</v>
      </c>
      <c r="AE35" s="40">
        <f t="shared" si="27"/>
        <v>104</v>
      </c>
      <c r="AF35" s="40">
        <f t="shared" si="27"/>
        <v>255</v>
      </c>
    </row>
    <row r="36" spans="2:32" ht="23.1" customHeight="1" x14ac:dyDescent="0.25">
      <c r="B36" s="46" t="s">
        <v>63</v>
      </c>
      <c r="C36" s="50">
        <v>2</v>
      </c>
      <c r="D36" s="50">
        <v>1</v>
      </c>
      <c r="E36" s="50">
        <v>4</v>
      </c>
      <c r="F36" s="50">
        <v>14</v>
      </c>
      <c r="G36" s="50">
        <v>1</v>
      </c>
      <c r="H36" s="50">
        <v>0</v>
      </c>
      <c r="I36" s="50">
        <v>0</v>
      </c>
      <c r="J36" s="50">
        <v>1</v>
      </c>
      <c r="K36" s="50">
        <v>0</v>
      </c>
      <c r="L36" s="50">
        <f>SUM('[1]RD4 MCC'!R512:U512)</f>
        <v>0</v>
      </c>
      <c r="M36" s="50">
        <v>40</v>
      </c>
      <c r="N36" s="50">
        <v>0</v>
      </c>
      <c r="O36" s="15">
        <f t="shared" si="0"/>
        <v>23</v>
      </c>
      <c r="P36" s="15">
        <f t="shared" si="1"/>
        <v>63</v>
      </c>
      <c r="R36" s="38" t="s">
        <v>92</v>
      </c>
      <c r="S36" s="39">
        <f t="shared" ref="S36:AF36" si="28">MAX(S19:S21)</f>
        <v>38</v>
      </c>
      <c r="T36" s="39">
        <f t="shared" si="28"/>
        <v>8</v>
      </c>
      <c r="U36" s="39">
        <f t="shared" si="28"/>
        <v>24</v>
      </c>
      <c r="V36" s="39">
        <f t="shared" si="28"/>
        <v>47</v>
      </c>
      <c r="W36" s="39">
        <f t="shared" si="28"/>
        <v>11</v>
      </c>
      <c r="X36" s="39">
        <f t="shared" si="28"/>
        <v>0</v>
      </c>
      <c r="Y36" s="39">
        <f t="shared" si="28"/>
        <v>13</v>
      </c>
      <c r="Z36" s="39">
        <f t="shared" si="28"/>
        <v>2</v>
      </c>
      <c r="AA36" s="39">
        <f t="shared" si="28"/>
        <v>1</v>
      </c>
      <c r="AB36" s="39">
        <f t="shared" si="28"/>
        <v>0</v>
      </c>
      <c r="AC36" s="39">
        <f t="shared" si="28"/>
        <v>173</v>
      </c>
      <c r="AD36" s="39">
        <f t="shared" si="28"/>
        <v>0</v>
      </c>
      <c r="AE36" s="40">
        <f t="shared" si="28"/>
        <v>128</v>
      </c>
      <c r="AF36" s="40">
        <f t="shared" si="28"/>
        <v>297</v>
      </c>
    </row>
    <row r="37" spans="2:32" ht="23.1" customHeight="1" x14ac:dyDescent="0.25">
      <c r="B37" s="45" t="s">
        <v>64</v>
      </c>
      <c r="C37" s="50">
        <v>5</v>
      </c>
      <c r="D37" s="50">
        <v>0</v>
      </c>
      <c r="E37" s="50">
        <v>0</v>
      </c>
      <c r="F37" s="50">
        <v>7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f>SUM('[1]RD4 MCC'!R513:U513)</f>
        <v>0</v>
      </c>
      <c r="M37" s="50">
        <v>28</v>
      </c>
      <c r="N37" s="50">
        <v>0</v>
      </c>
      <c r="O37" s="15">
        <f t="shared" si="0"/>
        <v>14</v>
      </c>
      <c r="P37" s="15">
        <f t="shared" si="1"/>
        <v>42</v>
      </c>
      <c r="R37" s="37" t="s">
        <v>85</v>
      </c>
      <c r="S37" s="35">
        <f t="shared" ref="S37:AF37" si="29">SUM(S10:S12)</f>
        <v>55</v>
      </c>
      <c r="T37" s="16">
        <f t="shared" si="29"/>
        <v>3</v>
      </c>
      <c r="U37" s="16">
        <f t="shared" si="29"/>
        <v>28</v>
      </c>
      <c r="V37" s="16">
        <f t="shared" si="29"/>
        <v>111</v>
      </c>
      <c r="W37" s="16">
        <f t="shared" si="29"/>
        <v>34</v>
      </c>
      <c r="X37" s="16">
        <f t="shared" si="29"/>
        <v>4</v>
      </c>
      <c r="Y37" s="16">
        <f t="shared" si="29"/>
        <v>29</v>
      </c>
      <c r="Z37" s="16">
        <f t="shared" si="29"/>
        <v>3</v>
      </c>
      <c r="AA37" s="16">
        <f t="shared" si="29"/>
        <v>0</v>
      </c>
      <c r="AB37" s="16">
        <f t="shared" si="29"/>
        <v>0</v>
      </c>
      <c r="AC37" s="16">
        <f t="shared" si="29"/>
        <v>588</v>
      </c>
      <c r="AD37" s="16">
        <f t="shared" si="29"/>
        <v>0</v>
      </c>
      <c r="AE37" s="32">
        <f t="shared" si="29"/>
        <v>267</v>
      </c>
      <c r="AF37" s="32">
        <f t="shared" si="29"/>
        <v>855</v>
      </c>
    </row>
    <row r="38" spans="2:32" ht="23.1" customHeight="1" x14ac:dyDescent="0.25">
      <c r="B38" s="46" t="s">
        <v>65</v>
      </c>
      <c r="C38" s="50">
        <v>4</v>
      </c>
      <c r="D38" s="50">
        <v>1</v>
      </c>
      <c r="E38" s="50">
        <v>4</v>
      </c>
      <c r="F38" s="50">
        <v>10</v>
      </c>
      <c r="G38" s="50">
        <v>1</v>
      </c>
      <c r="H38" s="50">
        <v>0</v>
      </c>
      <c r="I38" s="50">
        <v>5</v>
      </c>
      <c r="J38" s="50">
        <v>1</v>
      </c>
      <c r="K38" s="50">
        <v>0</v>
      </c>
      <c r="L38" s="50">
        <f>SUM('[1]RD4 MCC'!R514:U514)</f>
        <v>0</v>
      </c>
      <c r="M38" s="50">
        <v>37</v>
      </c>
      <c r="N38" s="50">
        <v>0</v>
      </c>
      <c r="O38" s="15">
        <f t="shared" si="0"/>
        <v>26</v>
      </c>
      <c r="P38" s="15">
        <f t="shared" si="1"/>
        <v>63</v>
      </c>
      <c r="R38" s="28" t="s">
        <v>86</v>
      </c>
      <c r="S38" s="16">
        <f t="shared" ref="S38:AF38" si="30">SUM(S13:S18)</f>
        <v>114</v>
      </c>
      <c r="T38" s="16">
        <f t="shared" si="30"/>
        <v>16</v>
      </c>
      <c r="U38" s="16">
        <f t="shared" si="30"/>
        <v>82</v>
      </c>
      <c r="V38" s="16">
        <f t="shared" si="30"/>
        <v>239</v>
      </c>
      <c r="W38" s="16">
        <f t="shared" si="30"/>
        <v>14</v>
      </c>
      <c r="X38" s="16">
        <f t="shared" si="30"/>
        <v>1</v>
      </c>
      <c r="Y38" s="16">
        <f t="shared" si="30"/>
        <v>61</v>
      </c>
      <c r="Z38" s="16">
        <f t="shared" si="30"/>
        <v>12</v>
      </c>
      <c r="AA38" s="16">
        <f t="shared" si="30"/>
        <v>1</v>
      </c>
      <c r="AB38" s="16">
        <f t="shared" si="30"/>
        <v>0</v>
      </c>
      <c r="AC38" s="16">
        <f t="shared" si="30"/>
        <v>747</v>
      </c>
      <c r="AD38" s="16">
        <f t="shared" si="30"/>
        <v>1</v>
      </c>
      <c r="AE38" s="32">
        <f t="shared" si="30"/>
        <v>541</v>
      </c>
      <c r="AF38" s="32">
        <f t="shared" si="30"/>
        <v>1288</v>
      </c>
    </row>
    <row r="39" spans="2:32" ht="23.1" customHeight="1" x14ac:dyDescent="0.25">
      <c r="B39" s="46" t="s">
        <v>66</v>
      </c>
      <c r="C39" s="50">
        <v>3</v>
      </c>
      <c r="D39" s="50">
        <v>1</v>
      </c>
      <c r="E39" s="50">
        <v>4</v>
      </c>
      <c r="F39" s="50">
        <v>7</v>
      </c>
      <c r="G39" s="50">
        <v>1</v>
      </c>
      <c r="H39" s="50">
        <v>0</v>
      </c>
      <c r="I39" s="50">
        <v>2</v>
      </c>
      <c r="J39" s="50">
        <v>1</v>
      </c>
      <c r="K39" s="50">
        <v>0</v>
      </c>
      <c r="L39" s="50">
        <f>SUM('[1]RD4 MCC'!R515:U515)</f>
        <v>0</v>
      </c>
      <c r="M39" s="50">
        <v>40</v>
      </c>
      <c r="N39" s="50">
        <v>0</v>
      </c>
      <c r="O39" s="15">
        <f t="shared" si="0"/>
        <v>19</v>
      </c>
      <c r="P39" s="15">
        <f t="shared" si="1"/>
        <v>59</v>
      </c>
      <c r="R39" s="29" t="s">
        <v>87</v>
      </c>
      <c r="S39" s="16">
        <f t="shared" ref="S39:AF39" si="31">SUM(S19:S21)</f>
        <v>100</v>
      </c>
      <c r="T39" s="16">
        <f t="shared" si="31"/>
        <v>18</v>
      </c>
      <c r="U39" s="16">
        <f t="shared" si="31"/>
        <v>63</v>
      </c>
      <c r="V39" s="16">
        <f t="shared" si="31"/>
        <v>123</v>
      </c>
      <c r="W39" s="16">
        <f t="shared" si="31"/>
        <v>26</v>
      </c>
      <c r="X39" s="16">
        <f t="shared" si="31"/>
        <v>0</v>
      </c>
      <c r="Y39" s="16">
        <f t="shared" si="31"/>
        <v>29</v>
      </c>
      <c r="Z39" s="16">
        <f t="shared" si="31"/>
        <v>3</v>
      </c>
      <c r="AA39" s="16">
        <f t="shared" si="31"/>
        <v>2</v>
      </c>
      <c r="AB39" s="16">
        <f t="shared" si="31"/>
        <v>0</v>
      </c>
      <c r="AC39" s="16">
        <f t="shared" si="31"/>
        <v>422</v>
      </c>
      <c r="AD39" s="16">
        <f t="shared" si="31"/>
        <v>0</v>
      </c>
      <c r="AE39" s="32">
        <f t="shared" si="31"/>
        <v>364</v>
      </c>
      <c r="AF39" s="32">
        <f t="shared" si="31"/>
        <v>786</v>
      </c>
    </row>
    <row r="40" spans="2:32" ht="23.1" customHeight="1" x14ac:dyDescent="0.25">
      <c r="B40" s="46" t="s">
        <v>67</v>
      </c>
      <c r="C40" s="50">
        <v>2</v>
      </c>
      <c r="D40" s="50">
        <v>1</v>
      </c>
      <c r="E40" s="50">
        <v>5</v>
      </c>
      <c r="F40" s="50">
        <v>9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f>SUM('[1]RD4 MCC'!R516:U516)</f>
        <v>0</v>
      </c>
      <c r="M40" s="50">
        <v>16</v>
      </c>
      <c r="N40" s="50">
        <v>0</v>
      </c>
      <c r="O40" s="15">
        <f t="shared" si="0"/>
        <v>18</v>
      </c>
      <c r="P40" s="15">
        <f t="shared" si="1"/>
        <v>34</v>
      </c>
      <c r="R40" s="5" t="s">
        <v>17</v>
      </c>
      <c r="S40" s="16">
        <f t="shared" ref="S40:AF40" si="32">SUM(S10:S21)</f>
        <v>269</v>
      </c>
      <c r="T40" s="16">
        <f t="shared" si="32"/>
        <v>37</v>
      </c>
      <c r="U40" s="16">
        <f t="shared" si="32"/>
        <v>173</v>
      </c>
      <c r="V40" s="16">
        <f t="shared" si="32"/>
        <v>473</v>
      </c>
      <c r="W40" s="16">
        <f t="shared" si="32"/>
        <v>74</v>
      </c>
      <c r="X40" s="16">
        <f t="shared" si="32"/>
        <v>5</v>
      </c>
      <c r="Y40" s="16">
        <f t="shared" si="32"/>
        <v>119</v>
      </c>
      <c r="Z40" s="16">
        <f t="shared" si="32"/>
        <v>18</v>
      </c>
      <c r="AA40" s="16">
        <f t="shared" si="32"/>
        <v>3</v>
      </c>
      <c r="AB40" s="16">
        <f t="shared" si="32"/>
        <v>0</v>
      </c>
      <c r="AC40" s="16">
        <f t="shared" si="32"/>
        <v>1757</v>
      </c>
      <c r="AD40" s="16">
        <f t="shared" si="32"/>
        <v>1</v>
      </c>
      <c r="AE40" s="32">
        <f t="shared" si="32"/>
        <v>1172</v>
      </c>
      <c r="AF40" s="32">
        <f t="shared" si="32"/>
        <v>2929</v>
      </c>
    </row>
    <row r="41" spans="2:32" ht="23.1" customHeight="1" x14ac:dyDescent="0.25">
      <c r="B41" s="45" t="s">
        <v>68</v>
      </c>
      <c r="C41" s="50">
        <v>9</v>
      </c>
      <c r="D41" s="50">
        <v>0</v>
      </c>
      <c r="E41" s="50">
        <v>3</v>
      </c>
      <c r="F41" s="50">
        <v>10</v>
      </c>
      <c r="G41" s="50">
        <v>1</v>
      </c>
      <c r="H41" s="50">
        <v>0</v>
      </c>
      <c r="I41" s="50">
        <v>1</v>
      </c>
      <c r="J41" s="50">
        <v>0</v>
      </c>
      <c r="K41" s="50">
        <v>0</v>
      </c>
      <c r="L41" s="50">
        <f>SUM('[1]RD4 MCC'!R517:U517)</f>
        <v>0</v>
      </c>
      <c r="M41" s="50">
        <v>26</v>
      </c>
      <c r="N41" s="50">
        <v>0</v>
      </c>
      <c r="O41" s="15">
        <f t="shared" si="0"/>
        <v>24</v>
      </c>
      <c r="P41" s="15">
        <f t="shared" si="1"/>
        <v>50</v>
      </c>
      <c r="R41" s="5" t="s">
        <v>159</v>
      </c>
      <c r="S41" s="16">
        <f>SUM(S10:S33)</f>
        <v>376</v>
      </c>
      <c r="T41" s="16">
        <f t="shared" ref="T41:AF41" si="33">SUM(T10:T33)</f>
        <v>45</v>
      </c>
      <c r="U41" s="16">
        <f t="shared" si="33"/>
        <v>238</v>
      </c>
      <c r="V41" s="16">
        <f t="shared" si="33"/>
        <v>610</v>
      </c>
      <c r="W41" s="16">
        <f t="shared" si="33"/>
        <v>123</v>
      </c>
      <c r="X41" s="16">
        <f t="shared" si="33"/>
        <v>5</v>
      </c>
      <c r="Y41" s="16">
        <f t="shared" si="33"/>
        <v>199</v>
      </c>
      <c r="Z41" s="16">
        <f t="shared" si="33"/>
        <v>28</v>
      </c>
      <c r="AA41" s="16">
        <f t="shared" si="33"/>
        <v>4</v>
      </c>
      <c r="AB41" s="16">
        <f t="shared" si="33"/>
        <v>0</v>
      </c>
      <c r="AC41" s="16">
        <f t="shared" si="33"/>
        <v>2334</v>
      </c>
      <c r="AD41" s="16">
        <f t="shared" si="33"/>
        <v>1</v>
      </c>
      <c r="AE41" s="32">
        <f t="shared" si="33"/>
        <v>1629</v>
      </c>
      <c r="AF41" s="32">
        <f t="shared" si="33"/>
        <v>3963</v>
      </c>
    </row>
    <row r="42" spans="2:32" ht="23.1" customHeight="1" x14ac:dyDescent="0.25">
      <c r="B42" s="46" t="s">
        <v>69</v>
      </c>
      <c r="C42" s="50">
        <v>4</v>
      </c>
      <c r="D42" s="50">
        <v>1</v>
      </c>
      <c r="E42" s="50">
        <v>4</v>
      </c>
      <c r="F42" s="50">
        <v>9</v>
      </c>
      <c r="G42" s="50">
        <v>0</v>
      </c>
      <c r="H42" s="50">
        <v>0</v>
      </c>
      <c r="I42" s="50">
        <v>3</v>
      </c>
      <c r="J42" s="50">
        <v>1</v>
      </c>
      <c r="K42" s="50">
        <v>0</v>
      </c>
      <c r="L42" s="50">
        <f>SUM('[1]RD4 MCC'!R518:U518)</f>
        <v>0</v>
      </c>
      <c r="M42" s="50">
        <v>15</v>
      </c>
      <c r="N42" s="50">
        <v>0</v>
      </c>
      <c r="O42" s="15">
        <f t="shared" si="0"/>
        <v>22</v>
      </c>
      <c r="P42" s="15">
        <f t="shared" si="1"/>
        <v>37</v>
      </c>
      <c r="R42" s="5" t="s">
        <v>160</v>
      </c>
      <c r="S42" s="48">
        <f>S41/S40</f>
        <v>1.3977695167286246</v>
      </c>
      <c r="T42" s="48">
        <f t="shared" ref="T42:AF42" si="34">T41/T40</f>
        <v>1.2162162162162162</v>
      </c>
      <c r="U42" s="48">
        <f t="shared" si="34"/>
        <v>1.3757225433526012</v>
      </c>
      <c r="V42" s="48">
        <f t="shared" si="34"/>
        <v>1.2896405919661733</v>
      </c>
      <c r="W42" s="48">
        <f t="shared" si="34"/>
        <v>1.6621621621621621</v>
      </c>
      <c r="X42" s="48">
        <f t="shared" si="34"/>
        <v>1</v>
      </c>
      <c r="Y42" s="48">
        <f t="shared" si="34"/>
        <v>1.6722689075630253</v>
      </c>
      <c r="Z42" s="48">
        <f t="shared" si="34"/>
        <v>1.5555555555555556</v>
      </c>
      <c r="AA42" s="48">
        <f t="shared" si="34"/>
        <v>1.3333333333333333</v>
      </c>
      <c r="AB42" s="48" t="e">
        <f t="shared" si="34"/>
        <v>#DIV/0!</v>
      </c>
      <c r="AC42" s="48">
        <f t="shared" si="34"/>
        <v>1.3284006829823563</v>
      </c>
      <c r="AD42" s="48">
        <f t="shared" si="34"/>
        <v>1</v>
      </c>
      <c r="AE42" s="48">
        <f t="shared" si="34"/>
        <v>1.3899317406143346</v>
      </c>
      <c r="AF42" s="48">
        <f t="shared" si="34"/>
        <v>1.3530215090474564</v>
      </c>
    </row>
    <row r="43" spans="2:32" ht="23.1" customHeight="1" x14ac:dyDescent="0.25">
      <c r="B43" s="45" t="s">
        <v>70</v>
      </c>
      <c r="C43" s="50">
        <v>4</v>
      </c>
      <c r="D43" s="50">
        <v>0</v>
      </c>
      <c r="E43" s="50">
        <v>3</v>
      </c>
      <c r="F43" s="50">
        <v>15</v>
      </c>
      <c r="G43" s="50">
        <v>1</v>
      </c>
      <c r="H43" s="50">
        <v>0</v>
      </c>
      <c r="I43" s="50">
        <v>2</v>
      </c>
      <c r="J43" s="50">
        <v>0</v>
      </c>
      <c r="K43" s="50">
        <v>0</v>
      </c>
      <c r="L43" s="50">
        <f>SUM('[1]RD4 MCC'!R519:U519)</f>
        <v>0</v>
      </c>
      <c r="M43" s="50">
        <v>8</v>
      </c>
      <c r="N43" s="50">
        <v>0</v>
      </c>
      <c r="O43" s="15">
        <f t="shared" si="0"/>
        <v>25</v>
      </c>
      <c r="P43" s="15">
        <f t="shared" si="1"/>
        <v>33</v>
      </c>
    </row>
    <row r="44" spans="2:32" ht="23.1" customHeight="1" x14ac:dyDescent="0.25">
      <c r="B44" s="47" t="s">
        <v>71</v>
      </c>
      <c r="C44" s="50">
        <v>5</v>
      </c>
      <c r="D44" s="50">
        <v>1</v>
      </c>
      <c r="E44" s="50">
        <v>3</v>
      </c>
      <c r="F44" s="50">
        <v>8</v>
      </c>
      <c r="G44" s="50">
        <v>1</v>
      </c>
      <c r="H44" s="50">
        <v>0</v>
      </c>
      <c r="I44" s="50">
        <v>2</v>
      </c>
      <c r="J44" s="50">
        <v>0</v>
      </c>
      <c r="K44" s="50">
        <v>0</v>
      </c>
      <c r="L44" s="50">
        <f>SUM('[1]RD4 MCC'!R520:U520)</f>
        <v>0</v>
      </c>
      <c r="M44" s="50">
        <v>1</v>
      </c>
      <c r="N44" s="50">
        <v>0</v>
      </c>
      <c r="O44" s="15">
        <f t="shared" si="0"/>
        <v>20</v>
      </c>
      <c r="P44" s="15">
        <f t="shared" si="1"/>
        <v>21</v>
      </c>
    </row>
    <row r="45" spans="2:32" ht="23.1" customHeight="1" x14ac:dyDescent="0.25">
      <c r="B45" s="45" t="s">
        <v>72</v>
      </c>
      <c r="C45" s="50">
        <v>9</v>
      </c>
      <c r="D45" s="50">
        <v>3</v>
      </c>
      <c r="E45" s="50">
        <v>9</v>
      </c>
      <c r="F45" s="50">
        <v>10</v>
      </c>
      <c r="G45" s="50">
        <v>0</v>
      </c>
      <c r="H45" s="50">
        <v>0</v>
      </c>
      <c r="I45" s="50">
        <v>5</v>
      </c>
      <c r="J45" s="50">
        <v>0</v>
      </c>
      <c r="K45" s="50">
        <v>1</v>
      </c>
      <c r="L45" s="50">
        <f>SUM('[1]RD4 MCC'!R521:U521)</f>
        <v>0</v>
      </c>
      <c r="M45" s="50">
        <v>6</v>
      </c>
      <c r="N45" s="50">
        <v>0</v>
      </c>
      <c r="O45" s="15">
        <f t="shared" si="0"/>
        <v>37</v>
      </c>
      <c r="P45" s="15">
        <f t="shared" si="1"/>
        <v>43</v>
      </c>
    </row>
    <row r="46" spans="2:32" ht="23.1" customHeight="1" x14ac:dyDescent="0.25">
      <c r="B46" s="46" t="s">
        <v>73</v>
      </c>
      <c r="C46" s="50">
        <v>2</v>
      </c>
      <c r="D46" s="50">
        <v>2</v>
      </c>
      <c r="E46" s="50">
        <v>6</v>
      </c>
      <c r="F46" s="50">
        <v>8</v>
      </c>
      <c r="G46" s="50">
        <v>1</v>
      </c>
      <c r="H46" s="50">
        <v>0</v>
      </c>
      <c r="I46" s="50">
        <v>2</v>
      </c>
      <c r="J46" s="50">
        <v>0</v>
      </c>
      <c r="K46" s="50">
        <v>0</v>
      </c>
      <c r="L46" s="50">
        <f>SUM('[1]RD4 MCC'!R522:U522)</f>
        <v>0</v>
      </c>
      <c r="M46" s="50">
        <v>2</v>
      </c>
      <c r="N46" s="50">
        <v>0</v>
      </c>
      <c r="O46" s="15">
        <f t="shared" si="0"/>
        <v>21</v>
      </c>
      <c r="P46" s="15">
        <f t="shared" si="1"/>
        <v>23</v>
      </c>
      <c r="R46" s="8"/>
      <c r="T46"/>
    </row>
    <row r="47" spans="2:32" ht="23.1" customHeight="1" x14ac:dyDescent="0.25">
      <c r="B47" s="46" t="s">
        <v>74</v>
      </c>
      <c r="C47" s="50">
        <v>6</v>
      </c>
      <c r="D47" s="50">
        <v>2</v>
      </c>
      <c r="E47" s="50">
        <v>5</v>
      </c>
      <c r="F47" s="50">
        <v>5</v>
      </c>
      <c r="G47" s="50">
        <v>1</v>
      </c>
      <c r="H47" s="50">
        <v>0</v>
      </c>
      <c r="I47" s="50">
        <v>4</v>
      </c>
      <c r="J47" s="50">
        <v>0</v>
      </c>
      <c r="K47" s="50">
        <v>0</v>
      </c>
      <c r="L47" s="50">
        <f>SUM('[1]RD4 MCC'!R523:U523)</f>
        <v>0</v>
      </c>
      <c r="M47" s="50">
        <v>6</v>
      </c>
      <c r="N47" s="50">
        <v>0</v>
      </c>
      <c r="O47" s="15">
        <f t="shared" si="0"/>
        <v>23</v>
      </c>
      <c r="P47" s="15">
        <f t="shared" si="1"/>
        <v>29</v>
      </c>
      <c r="R47" s="8"/>
      <c r="T47"/>
    </row>
    <row r="48" spans="2:32" ht="23.1" customHeight="1" x14ac:dyDescent="0.25">
      <c r="B48" s="46" t="s">
        <v>75</v>
      </c>
      <c r="C48" s="50">
        <v>8</v>
      </c>
      <c r="D48" s="50">
        <v>2</v>
      </c>
      <c r="E48" s="50">
        <v>7</v>
      </c>
      <c r="F48" s="50">
        <v>8</v>
      </c>
      <c r="G48" s="50">
        <v>2</v>
      </c>
      <c r="H48" s="50">
        <v>0</v>
      </c>
      <c r="I48" s="50">
        <v>1</v>
      </c>
      <c r="J48" s="50">
        <v>1</v>
      </c>
      <c r="K48" s="50">
        <v>0</v>
      </c>
      <c r="L48" s="50">
        <f>SUM('[1]RD4 MCC'!R524:U524)</f>
        <v>0</v>
      </c>
      <c r="M48" s="50">
        <v>32</v>
      </c>
      <c r="N48" s="50">
        <v>0</v>
      </c>
      <c r="O48" s="15">
        <f t="shared" si="0"/>
        <v>29</v>
      </c>
      <c r="P48" s="15">
        <f t="shared" si="1"/>
        <v>61</v>
      </c>
      <c r="R48" s="8"/>
      <c r="T48"/>
    </row>
    <row r="49" spans="2:20" ht="23.1" customHeight="1" x14ac:dyDescent="0.25">
      <c r="B49" s="45" t="s">
        <v>76</v>
      </c>
      <c r="C49" s="50">
        <v>11</v>
      </c>
      <c r="D49" s="50">
        <v>1</v>
      </c>
      <c r="E49" s="50">
        <v>5</v>
      </c>
      <c r="F49" s="50">
        <v>13</v>
      </c>
      <c r="G49" s="50">
        <v>3</v>
      </c>
      <c r="H49" s="50">
        <v>0</v>
      </c>
      <c r="I49" s="50">
        <v>4</v>
      </c>
      <c r="J49" s="50">
        <v>1</v>
      </c>
      <c r="K49" s="50">
        <v>1</v>
      </c>
      <c r="L49" s="50">
        <f>SUM('[1]RD4 MCC'!R525:U525)</f>
        <v>0</v>
      </c>
      <c r="M49" s="50">
        <v>54</v>
      </c>
      <c r="N49" s="50">
        <v>0</v>
      </c>
      <c r="O49" s="15">
        <f t="shared" si="0"/>
        <v>39</v>
      </c>
      <c r="P49" s="15">
        <f t="shared" si="1"/>
        <v>93</v>
      </c>
      <c r="R49" s="8"/>
      <c r="T49"/>
    </row>
    <row r="50" spans="2:20" ht="23.1" customHeight="1" x14ac:dyDescent="0.25">
      <c r="B50" s="46" t="s">
        <v>77</v>
      </c>
      <c r="C50" s="50">
        <v>6</v>
      </c>
      <c r="D50" s="50">
        <v>1</v>
      </c>
      <c r="E50" s="50">
        <v>5</v>
      </c>
      <c r="F50" s="50">
        <v>15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f>SUM('[1]RD4 MCC'!R526:U526)</f>
        <v>0</v>
      </c>
      <c r="M50" s="50">
        <v>44</v>
      </c>
      <c r="N50" s="50">
        <v>0</v>
      </c>
      <c r="O50" s="15">
        <f t="shared" si="0"/>
        <v>30</v>
      </c>
      <c r="P50" s="15">
        <f t="shared" si="1"/>
        <v>74</v>
      </c>
      <c r="R50" s="8"/>
      <c r="T50"/>
    </row>
    <row r="51" spans="2:20" ht="23.1" customHeight="1" x14ac:dyDescent="0.25">
      <c r="B51" s="46" t="s">
        <v>78</v>
      </c>
      <c r="C51" s="50">
        <v>5</v>
      </c>
      <c r="D51" s="50">
        <v>1</v>
      </c>
      <c r="E51" s="50">
        <v>3</v>
      </c>
      <c r="F51" s="50">
        <v>14</v>
      </c>
      <c r="G51" s="50">
        <v>2</v>
      </c>
      <c r="H51" s="50">
        <v>0</v>
      </c>
      <c r="I51" s="50">
        <v>0</v>
      </c>
      <c r="J51" s="50">
        <v>0</v>
      </c>
      <c r="K51" s="50">
        <v>0</v>
      </c>
      <c r="L51" s="50">
        <f>SUM('[1]RD4 MCC'!R527:U527)</f>
        <v>0</v>
      </c>
      <c r="M51" s="50">
        <v>36</v>
      </c>
      <c r="N51" s="50">
        <v>0</v>
      </c>
      <c r="O51" s="15">
        <f t="shared" si="0"/>
        <v>25</v>
      </c>
      <c r="P51" s="15">
        <f t="shared" si="1"/>
        <v>61</v>
      </c>
      <c r="R51" s="8"/>
      <c r="T51"/>
    </row>
    <row r="52" spans="2:20" ht="23.1" customHeight="1" x14ac:dyDescent="0.25">
      <c r="B52" s="46" t="s">
        <v>79</v>
      </c>
      <c r="C52" s="50">
        <v>11</v>
      </c>
      <c r="D52" s="50">
        <v>3</v>
      </c>
      <c r="E52" s="50">
        <v>9</v>
      </c>
      <c r="F52" s="50">
        <v>9</v>
      </c>
      <c r="G52" s="50">
        <v>4</v>
      </c>
      <c r="H52" s="50">
        <v>0</v>
      </c>
      <c r="I52" s="50">
        <v>1</v>
      </c>
      <c r="J52" s="50">
        <v>0</v>
      </c>
      <c r="K52" s="50">
        <v>1</v>
      </c>
      <c r="L52" s="50">
        <f>SUM('[1]RD4 MCC'!R528:U528)</f>
        <v>0</v>
      </c>
      <c r="M52" s="50">
        <v>42</v>
      </c>
      <c r="N52" s="50">
        <v>0</v>
      </c>
      <c r="O52" s="15">
        <f t="shared" si="0"/>
        <v>38</v>
      </c>
      <c r="P52" s="15">
        <f t="shared" si="1"/>
        <v>80</v>
      </c>
      <c r="R52" s="8"/>
      <c r="T52"/>
    </row>
    <row r="53" spans="2:20" ht="23.1" customHeight="1" x14ac:dyDescent="0.25">
      <c r="B53" s="45" t="s">
        <v>80</v>
      </c>
      <c r="C53" s="50">
        <v>13</v>
      </c>
      <c r="D53" s="50">
        <v>3</v>
      </c>
      <c r="E53" s="50">
        <v>7</v>
      </c>
      <c r="F53" s="50">
        <v>9</v>
      </c>
      <c r="G53" s="50">
        <v>2</v>
      </c>
      <c r="H53" s="50">
        <v>0</v>
      </c>
      <c r="I53" s="50">
        <v>1</v>
      </c>
      <c r="J53" s="50">
        <v>0</v>
      </c>
      <c r="K53" s="50">
        <v>0</v>
      </c>
      <c r="L53" s="50">
        <f>SUM('[1]RD4 MCC'!R529:U529)</f>
        <v>0</v>
      </c>
      <c r="M53" s="50">
        <v>33</v>
      </c>
      <c r="N53" s="50">
        <v>0</v>
      </c>
      <c r="O53" s="15">
        <f t="shared" si="0"/>
        <v>35</v>
      </c>
      <c r="P53" s="15">
        <f t="shared" si="1"/>
        <v>68</v>
      </c>
      <c r="R53" s="8"/>
      <c r="T53"/>
    </row>
    <row r="54" spans="2:20" ht="23.1" customHeight="1" x14ac:dyDescent="0.25">
      <c r="B54" s="45" t="s">
        <v>81</v>
      </c>
      <c r="C54" s="50">
        <v>10</v>
      </c>
      <c r="D54" s="50">
        <v>1</v>
      </c>
      <c r="E54" s="50">
        <v>5</v>
      </c>
      <c r="F54" s="50">
        <v>10</v>
      </c>
      <c r="G54" s="50">
        <v>3</v>
      </c>
      <c r="H54" s="50">
        <v>0</v>
      </c>
      <c r="I54" s="50">
        <v>4</v>
      </c>
      <c r="J54" s="50">
        <v>0</v>
      </c>
      <c r="K54" s="50">
        <v>0</v>
      </c>
      <c r="L54" s="50">
        <f>SUM('[1]RD4 MCC'!R530:U530)</f>
        <v>0</v>
      </c>
      <c r="M54" s="50">
        <v>45</v>
      </c>
      <c r="N54" s="50">
        <v>0</v>
      </c>
      <c r="O54" s="15">
        <f t="shared" si="0"/>
        <v>33</v>
      </c>
      <c r="P54" s="15">
        <f t="shared" si="1"/>
        <v>78</v>
      </c>
      <c r="R54" s="8"/>
      <c r="T54"/>
    </row>
    <row r="55" spans="2:20" ht="23.1" customHeight="1" x14ac:dyDescent="0.25">
      <c r="B55" s="45" t="s">
        <v>82</v>
      </c>
      <c r="C55" s="50">
        <v>9</v>
      </c>
      <c r="D55" s="50">
        <v>2</v>
      </c>
      <c r="E55" s="50">
        <v>5</v>
      </c>
      <c r="F55" s="50">
        <v>15</v>
      </c>
      <c r="G55" s="50">
        <v>3</v>
      </c>
      <c r="H55" s="50">
        <v>0</v>
      </c>
      <c r="I55" s="50">
        <v>2</v>
      </c>
      <c r="J55" s="50">
        <v>0</v>
      </c>
      <c r="K55" s="50">
        <v>0</v>
      </c>
      <c r="L55" s="50">
        <f>SUM('[1]RD4 MCC'!R531:U531)</f>
        <v>0</v>
      </c>
      <c r="M55" s="50">
        <v>52</v>
      </c>
      <c r="N55" s="50">
        <v>0</v>
      </c>
      <c r="O55" s="15">
        <f t="shared" si="0"/>
        <v>36</v>
      </c>
      <c r="P55" s="15">
        <f t="shared" si="1"/>
        <v>88</v>
      </c>
      <c r="R55" s="8"/>
      <c r="T55"/>
    </row>
    <row r="56" spans="2:20" ht="23.1" customHeight="1" x14ac:dyDescent="0.25">
      <c r="B56" s="45" t="s">
        <v>83</v>
      </c>
      <c r="C56" s="50">
        <v>6</v>
      </c>
      <c r="D56" s="50">
        <v>0</v>
      </c>
      <c r="E56" s="50">
        <v>3</v>
      </c>
      <c r="F56" s="50">
        <v>10</v>
      </c>
      <c r="G56" s="50">
        <v>2</v>
      </c>
      <c r="H56" s="50">
        <v>0</v>
      </c>
      <c r="I56" s="50">
        <v>5</v>
      </c>
      <c r="J56" s="50">
        <v>1</v>
      </c>
      <c r="K56" s="50">
        <v>0</v>
      </c>
      <c r="L56" s="50">
        <f>SUM('[1]RD4 MCC'!R532:U532)</f>
        <v>0</v>
      </c>
      <c r="M56" s="50">
        <v>36</v>
      </c>
      <c r="N56" s="50">
        <v>0</v>
      </c>
      <c r="O56" s="15">
        <f t="shared" si="0"/>
        <v>27</v>
      </c>
      <c r="P56" s="15">
        <f t="shared" si="1"/>
        <v>63</v>
      </c>
      <c r="R56" s="8"/>
      <c r="T56"/>
    </row>
    <row r="57" spans="2:20" ht="23.1" customHeight="1" x14ac:dyDescent="0.25">
      <c r="B57" s="45" t="s">
        <v>84</v>
      </c>
      <c r="C57" s="50">
        <v>13</v>
      </c>
      <c r="D57" s="50">
        <v>0</v>
      </c>
      <c r="E57" s="50">
        <v>3</v>
      </c>
      <c r="F57" s="50">
        <v>7</v>
      </c>
      <c r="G57" s="50">
        <v>3</v>
      </c>
      <c r="H57" s="50">
        <v>0</v>
      </c>
      <c r="I57" s="50">
        <v>2</v>
      </c>
      <c r="J57" s="50">
        <v>0</v>
      </c>
      <c r="K57" s="50">
        <v>0</v>
      </c>
      <c r="L57" s="50">
        <f>SUM('[1]RD4 MCC'!R533:U533)</f>
        <v>0</v>
      </c>
      <c r="M57" s="50">
        <v>40</v>
      </c>
      <c r="N57" s="50">
        <v>0</v>
      </c>
      <c r="O57" s="15">
        <f t="shared" si="0"/>
        <v>28</v>
      </c>
      <c r="P57" s="15">
        <f t="shared" si="1"/>
        <v>68</v>
      </c>
      <c r="R57" s="8"/>
      <c r="T57"/>
    </row>
    <row r="58" spans="2:20" ht="23.1" customHeight="1" x14ac:dyDescent="0.25">
      <c r="B58" s="45" t="s">
        <v>99</v>
      </c>
      <c r="C58" s="50">
        <v>4</v>
      </c>
      <c r="D58" s="50">
        <v>0</v>
      </c>
      <c r="E58" s="50">
        <v>3</v>
      </c>
      <c r="F58" s="50">
        <v>12</v>
      </c>
      <c r="G58" s="50">
        <v>2</v>
      </c>
      <c r="H58" s="50">
        <v>0</v>
      </c>
      <c r="I58" s="50">
        <v>3</v>
      </c>
      <c r="J58" s="50">
        <v>2</v>
      </c>
      <c r="K58" s="50">
        <v>0</v>
      </c>
      <c r="L58" s="50">
        <f>SUM('[1]RD4 MCC'!R534:U534)</f>
        <v>0</v>
      </c>
      <c r="M58" s="50">
        <v>39</v>
      </c>
      <c r="N58" s="50">
        <v>0</v>
      </c>
      <c r="O58" s="15">
        <f t="shared" ref="O58:O105" si="35">SUM(C58:L58,N58)</f>
        <v>26</v>
      </c>
      <c r="P58" s="15">
        <f t="shared" ref="P58:P105" si="36">SUM(C58:N58)</f>
        <v>65</v>
      </c>
      <c r="R58" s="8"/>
      <c r="T58"/>
    </row>
    <row r="59" spans="2:20" ht="23.1" customHeight="1" x14ac:dyDescent="0.25">
      <c r="B59" s="45" t="s">
        <v>100</v>
      </c>
      <c r="C59" s="50">
        <v>9</v>
      </c>
      <c r="D59" s="50">
        <v>0</v>
      </c>
      <c r="E59" s="50">
        <v>2</v>
      </c>
      <c r="F59" s="50">
        <v>10</v>
      </c>
      <c r="G59" s="50">
        <v>3</v>
      </c>
      <c r="H59" s="50">
        <v>0</v>
      </c>
      <c r="I59" s="50">
        <v>2</v>
      </c>
      <c r="J59" s="50">
        <v>0</v>
      </c>
      <c r="K59" s="50">
        <v>0</v>
      </c>
      <c r="L59" s="50">
        <f>SUM('[1]RD4 MCC'!R535:U535)</f>
        <v>0</v>
      </c>
      <c r="M59" s="50">
        <v>47</v>
      </c>
      <c r="N59" s="50">
        <v>0</v>
      </c>
      <c r="O59" s="15">
        <f t="shared" si="35"/>
        <v>26</v>
      </c>
      <c r="P59" s="15">
        <f t="shared" si="36"/>
        <v>73</v>
      </c>
      <c r="R59" s="8"/>
      <c r="T59"/>
    </row>
    <row r="60" spans="2:20" ht="23.1" customHeight="1" x14ac:dyDescent="0.25">
      <c r="B60" s="45" t="s">
        <v>101</v>
      </c>
      <c r="C60" s="50">
        <v>5</v>
      </c>
      <c r="D60" s="50">
        <v>2</v>
      </c>
      <c r="E60" s="50">
        <v>5</v>
      </c>
      <c r="F60" s="50">
        <v>13</v>
      </c>
      <c r="G60" s="50">
        <v>6</v>
      </c>
      <c r="H60" s="50">
        <v>0</v>
      </c>
      <c r="I60" s="50">
        <v>6</v>
      </c>
      <c r="J60" s="50">
        <v>1</v>
      </c>
      <c r="K60" s="50">
        <v>0</v>
      </c>
      <c r="L60" s="50">
        <f>SUM('[1]RD4 MCC'!R536:U536)</f>
        <v>0</v>
      </c>
      <c r="M60" s="50">
        <v>29</v>
      </c>
      <c r="N60" s="50">
        <v>0</v>
      </c>
      <c r="O60" s="15">
        <f t="shared" si="35"/>
        <v>38</v>
      </c>
      <c r="P60" s="15">
        <f t="shared" si="36"/>
        <v>67</v>
      </c>
      <c r="R60" s="8"/>
      <c r="T60"/>
    </row>
    <row r="61" spans="2:20" ht="23.1" customHeight="1" x14ac:dyDescent="0.25">
      <c r="B61" s="45" t="s">
        <v>102</v>
      </c>
      <c r="C61" s="50">
        <v>6</v>
      </c>
      <c r="D61" s="50">
        <v>0</v>
      </c>
      <c r="E61" s="50">
        <v>0</v>
      </c>
      <c r="F61" s="50">
        <v>4</v>
      </c>
      <c r="G61" s="50">
        <v>4</v>
      </c>
      <c r="H61" s="50">
        <v>0</v>
      </c>
      <c r="I61" s="50">
        <v>5</v>
      </c>
      <c r="J61" s="50">
        <v>0</v>
      </c>
      <c r="K61" s="50">
        <v>0</v>
      </c>
      <c r="L61" s="50">
        <f>SUM('[1]RD4 MCC'!R537:U537)</f>
        <v>0</v>
      </c>
      <c r="M61" s="50">
        <v>38</v>
      </c>
      <c r="N61" s="50">
        <v>0</v>
      </c>
      <c r="O61" s="15">
        <f t="shared" si="35"/>
        <v>19</v>
      </c>
      <c r="P61" s="15">
        <f t="shared" si="36"/>
        <v>57</v>
      </c>
      <c r="R61" s="8"/>
      <c r="T61"/>
    </row>
    <row r="62" spans="2:20" ht="23.1" customHeight="1" x14ac:dyDescent="0.25">
      <c r="B62" s="45" t="s">
        <v>107</v>
      </c>
      <c r="C62" s="50">
        <v>5</v>
      </c>
      <c r="D62" s="50">
        <v>0</v>
      </c>
      <c r="E62" s="50">
        <v>2</v>
      </c>
      <c r="F62" s="50">
        <v>9</v>
      </c>
      <c r="G62" s="50">
        <v>4</v>
      </c>
      <c r="H62" s="50">
        <v>0</v>
      </c>
      <c r="I62" s="50">
        <v>3</v>
      </c>
      <c r="J62" s="50">
        <v>0</v>
      </c>
      <c r="K62" s="50">
        <v>0</v>
      </c>
      <c r="L62" s="50">
        <f>SUM('[1]RD4 MCC'!R538:U538)</f>
        <v>0</v>
      </c>
      <c r="M62" s="50">
        <v>40</v>
      </c>
      <c r="N62" s="50">
        <v>0</v>
      </c>
      <c r="O62" s="15">
        <f t="shared" si="35"/>
        <v>23</v>
      </c>
      <c r="P62" s="15">
        <f t="shared" si="36"/>
        <v>63</v>
      </c>
      <c r="R62" s="8"/>
      <c r="T62"/>
    </row>
    <row r="63" spans="2:20" ht="23.1" customHeight="1" x14ac:dyDescent="0.25">
      <c r="B63" s="45" t="s">
        <v>108</v>
      </c>
      <c r="C63" s="50">
        <v>5</v>
      </c>
      <c r="D63" s="50">
        <v>1</v>
      </c>
      <c r="E63" s="50">
        <v>3</v>
      </c>
      <c r="F63" s="50">
        <v>10</v>
      </c>
      <c r="G63" s="50">
        <v>5</v>
      </c>
      <c r="H63" s="50">
        <v>0</v>
      </c>
      <c r="I63" s="50">
        <v>2</v>
      </c>
      <c r="J63" s="50">
        <v>0</v>
      </c>
      <c r="K63" s="50">
        <v>0</v>
      </c>
      <c r="L63" s="50">
        <f>SUM('[1]RD4 MCC'!R539:U539)</f>
        <v>0</v>
      </c>
      <c r="M63" s="50">
        <v>34</v>
      </c>
      <c r="N63" s="50">
        <v>0</v>
      </c>
      <c r="O63" s="15">
        <f t="shared" si="35"/>
        <v>26</v>
      </c>
      <c r="P63" s="15">
        <f t="shared" si="36"/>
        <v>60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0</v>
      </c>
      <c r="E64" s="50">
        <v>3</v>
      </c>
      <c r="F64" s="50">
        <v>9</v>
      </c>
      <c r="G64" s="50">
        <v>1</v>
      </c>
      <c r="H64" s="50">
        <v>0</v>
      </c>
      <c r="I64" s="50">
        <v>4</v>
      </c>
      <c r="J64" s="50">
        <v>0</v>
      </c>
      <c r="K64" s="50">
        <v>0</v>
      </c>
      <c r="L64" s="50">
        <f>SUM('[1]RD4 MCC'!R540:U540)</f>
        <v>0</v>
      </c>
      <c r="M64" s="50">
        <v>20</v>
      </c>
      <c r="N64" s="50">
        <v>0</v>
      </c>
      <c r="O64" s="15">
        <f t="shared" si="35"/>
        <v>20</v>
      </c>
      <c r="P64" s="15">
        <f t="shared" si="36"/>
        <v>40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1</v>
      </c>
      <c r="E65" s="50">
        <v>3</v>
      </c>
      <c r="F65" s="50">
        <v>1</v>
      </c>
      <c r="G65" s="50">
        <v>1</v>
      </c>
      <c r="H65" s="50">
        <v>0</v>
      </c>
      <c r="I65" s="50">
        <v>4</v>
      </c>
      <c r="J65" s="50">
        <v>0</v>
      </c>
      <c r="K65" s="50">
        <v>0</v>
      </c>
      <c r="L65" s="50">
        <f>SUM('[1]RD4 MCC'!R541:U541)</f>
        <v>0</v>
      </c>
      <c r="M65" s="50">
        <v>15</v>
      </c>
      <c r="N65" s="50">
        <v>0</v>
      </c>
      <c r="O65" s="15">
        <f t="shared" si="35"/>
        <v>10</v>
      </c>
      <c r="P65" s="15">
        <f t="shared" si="36"/>
        <v>25</v>
      </c>
      <c r="R65" s="8"/>
      <c r="T65"/>
    </row>
    <row r="66" spans="2:20" ht="23.1" customHeight="1" x14ac:dyDescent="0.25">
      <c r="B66" s="45" t="s">
        <v>103</v>
      </c>
      <c r="C66" s="50">
        <v>8</v>
      </c>
      <c r="D66" s="50">
        <v>1</v>
      </c>
      <c r="E66" s="50">
        <v>5</v>
      </c>
      <c r="F66" s="50">
        <v>9</v>
      </c>
      <c r="G66" s="50">
        <v>1</v>
      </c>
      <c r="H66" s="50">
        <v>0</v>
      </c>
      <c r="I66" s="50">
        <v>3</v>
      </c>
      <c r="J66" s="50">
        <v>0</v>
      </c>
      <c r="K66" s="50">
        <v>0</v>
      </c>
      <c r="L66" s="50">
        <f>SUM('[1]RD4 MCC'!R542:U542)</f>
        <v>0</v>
      </c>
      <c r="M66" s="50">
        <v>28</v>
      </c>
      <c r="N66" s="50">
        <v>0</v>
      </c>
      <c r="O66" s="15">
        <f t="shared" si="35"/>
        <v>27</v>
      </c>
      <c r="P66" s="15">
        <f t="shared" si="36"/>
        <v>55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0</v>
      </c>
      <c r="E67" s="50">
        <v>0</v>
      </c>
      <c r="F67" s="50">
        <v>2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f>SUM('[1]RD4 MCC'!R543:U543)</f>
        <v>0</v>
      </c>
      <c r="M67" s="50">
        <v>7</v>
      </c>
      <c r="N67" s="50">
        <v>0</v>
      </c>
      <c r="O67" s="15">
        <f t="shared" si="35"/>
        <v>4</v>
      </c>
      <c r="P67" s="15">
        <f t="shared" si="36"/>
        <v>11</v>
      </c>
      <c r="R67" s="8"/>
      <c r="T67"/>
    </row>
    <row r="68" spans="2:20" ht="23.1" customHeight="1" x14ac:dyDescent="0.25">
      <c r="B68" s="45" t="s">
        <v>105</v>
      </c>
      <c r="C68" s="50">
        <v>10</v>
      </c>
      <c r="D68" s="50">
        <v>1</v>
      </c>
      <c r="E68" s="50">
        <v>3</v>
      </c>
      <c r="F68" s="50">
        <v>3</v>
      </c>
      <c r="G68" s="50">
        <v>2</v>
      </c>
      <c r="H68" s="50">
        <v>0</v>
      </c>
      <c r="I68" s="50">
        <v>3</v>
      </c>
      <c r="J68" s="50">
        <v>1</v>
      </c>
      <c r="K68" s="50">
        <v>0</v>
      </c>
      <c r="L68" s="50">
        <f>SUM('[1]RD4 MCC'!R544:U544)</f>
        <v>0</v>
      </c>
      <c r="M68" s="50">
        <v>16</v>
      </c>
      <c r="N68" s="50">
        <v>0</v>
      </c>
      <c r="O68" s="15">
        <f t="shared" si="35"/>
        <v>23</v>
      </c>
      <c r="P68" s="15">
        <f t="shared" si="36"/>
        <v>39</v>
      </c>
      <c r="R68" s="8"/>
      <c r="T68"/>
    </row>
    <row r="69" spans="2:20" ht="23.1" customHeight="1" x14ac:dyDescent="0.25">
      <c r="B69" s="45" t="s">
        <v>106</v>
      </c>
      <c r="C69" s="50">
        <v>3</v>
      </c>
      <c r="D69" s="50">
        <v>0</v>
      </c>
      <c r="E69" s="50">
        <v>2</v>
      </c>
      <c r="F69" s="50">
        <v>1</v>
      </c>
      <c r="G69" s="50">
        <v>0</v>
      </c>
      <c r="H69" s="50">
        <v>0</v>
      </c>
      <c r="I69" s="50">
        <v>2</v>
      </c>
      <c r="J69" s="50">
        <v>0</v>
      </c>
      <c r="K69" s="50">
        <v>0</v>
      </c>
      <c r="L69" s="50">
        <f>SUM('[1]RD4 MCC'!R545:U545)</f>
        <v>0</v>
      </c>
      <c r="M69" s="50">
        <v>18</v>
      </c>
      <c r="N69" s="50">
        <v>0</v>
      </c>
      <c r="O69" s="15">
        <f t="shared" si="35"/>
        <v>8</v>
      </c>
      <c r="P69" s="15">
        <f t="shared" si="36"/>
        <v>26</v>
      </c>
      <c r="R69" s="8"/>
      <c r="T69"/>
    </row>
    <row r="70" spans="2:20" ht="23.1" customHeight="1" x14ac:dyDescent="0.25">
      <c r="B70" s="45" t="s">
        <v>110</v>
      </c>
      <c r="C70" s="50">
        <v>4</v>
      </c>
      <c r="D70" s="50">
        <v>0</v>
      </c>
      <c r="E70" s="50">
        <v>2</v>
      </c>
      <c r="F70" s="50">
        <v>2</v>
      </c>
      <c r="G70" s="50">
        <v>2</v>
      </c>
      <c r="H70" s="50">
        <v>0</v>
      </c>
      <c r="I70" s="50">
        <v>1</v>
      </c>
      <c r="J70" s="50">
        <v>2</v>
      </c>
      <c r="K70" s="50">
        <v>0</v>
      </c>
      <c r="L70" s="50">
        <f>SUM('[1]RD4 MCC'!R546:U546)</f>
        <v>0</v>
      </c>
      <c r="M70" s="50">
        <v>10</v>
      </c>
      <c r="N70" s="50">
        <v>0</v>
      </c>
      <c r="O70" s="15">
        <f t="shared" si="35"/>
        <v>13</v>
      </c>
      <c r="P70" s="15">
        <f t="shared" si="36"/>
        <v>23</v>
      </c>
      <c r="R70" s="8"/>
      <c r="T70"/>
    </row>
    <row r="71" spans="2:20" ht="23.1" customHeight="1" x14ac:dyDescent="0.25">
      <c r="B71" s="45" t="s">
        <v>111</v>
      </c>
      <c r="C71" s="50">
        <v>5</v>
      </c>
      <c r="D71" s="50">
        <v>1</v>
      </c>
      <c r="E71" s="50">
        <v>3</v>
      </c>
      <c r="F71" s="50">
        <v>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f>SUM('[1]RD4 MCC'!R547:U547)</f>
        <v>0</v>
      </c>
      <c r="M71" s="50">
        <v>15</v>
      </c>
      <c r="N71" s="50">
        <v>0</v>
      </c>
      <c r="O71" s="15">
        <f t="shared" si="35"/>
        <v>10</v>
      </c>
      <c r="P71" s="15">
        <f t="shared" si="36"/>
        <v>25</v>
      </c>
      <c r="R71" s="8"/>
      <c r="T71"/>
    </row>
    <row r="72" spans="2:20" ht="23.1" customHeight="1" x14ac:dyDescent="0.25">
      <c r="B72" s="45" t="s">
        <v>112</v>
      </c>
      <c r="C72" s="50">
        <v>4</v>
      </c>
      <c r="D72" s="50">
        <v>0</v>
      </c>
      <c r="E72" s="50">
        <v>0</v>
      </c>
      <c r="F72" s="50">
        <v>1</v>
      </c>
      <c r="G72" s="50">
        <v>0</v>
      </c>
      <c r="H72" s="50">
        <v>0</v>
      </c>
      <c r="I72" s="50">
        <v>3</v>
      </c>
      <c r="J72" s="50">
        <v>0</v>
      </c>
      <c r="K72" s="50">
        <v>0</v>
      </c>
      <c r="L72" s="50">
        <f>SUM('[1]RD4 MCC'!R548:U548)</f>
        <v>0</v>
      </c>
      <c r="M72" s="50">
        <v>15</v>
      </c>
      <c r="N72" s="50">
        <v>0</v>
      </c>
      <c r="O72" s="15">
        <f t="shared" si="35"/>
        <v>8</v>
      </c>
      <c r="P72" s="15">
        <f t="shared" si="36"/>
        <v>23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0</v>
      </c>
      <c r="E73" s="50">
        <v>1</v>
      </c>
      <c r="F73" s="50">
        <v>1</v>
      </c>
      <c r="G73" s="50">
        <v>0</v>
      </c>
      <c r="H73" s="50">
        <v>0</v>
      </c>
      <c r="I73" s="50">
        <v>3</v>
      </c>
      <c r="J73" s="50">
        <v>0</v>
      </c>
      <c r="K73" s="50">
        <v>0</v>
      </c>
      <c r="L73" s="50">
        <f>SUM('[1]RD4 MCC'!R549:U549)</f>
        <v>0</v>
      </c>
      <c r="M73" s="50">
        <v>6</v>
      </c>
      <c r="N73" s="50">
        <v>0</v>
      </c>
      <c r="O73" s="15">
        <f t="shared" si="35"/>
        <v>7</v>
      </c>
      <c r="P73" s="15">
        <f t="shared" si="36"/>
        <v>13</v>
      </c>
      <c r="R73" s="8"/>
      <c r="T73"/>
    </row>
    <row r="74" spans="2:20" ht="23.1" customHeight="1" x14ac:dyDescent="0.25">
      <c r="B74" s="45" t="s">
        <v>114</v>
      </c>
      <c r="C74" s="50">
        <v>3</v>
      </c>
      <c r="D74" s="50">
        <v>0</v>
      </c>
      <c r="E74" s="50">
        <v>2</v>
      </c>
      <c r="F74" s="50">
        <v>1</v>
      </c>
      <c r="G74" s="50">
        <v>0</v>
      </c>
      <c r="H74" s="50">
        <v>0</v>
      </c>
      <c r="I74" s="50">
        <v>2</v>
      </c>
      <c r="J74" s="50">
        <v>0</v>
      </c>
      <c r="K74" s="50">
        <v>0</v>
      </c>
      <c r="L74" s="50">
        <f>SUM('[1]RD4 MCC'!R550:U550)</f>
        <v>0</v>
      </c>
      <c r="M74" s="50">
        <v>7</v>
      </c>
      <c r="N74" s="50">
        <v>0</v>
      </c>
      <c r="O74" s="15">
        <f t="shared" si="35"/>
        <v>8</v>
      </c>
      <c r="P74" s="15">
        <f t="shared" si="36"/>
        <v>15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1</v>
      </c>
      <c r="F75" s="50">
        <v>3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f>SUM('[1]RD4 MCC'!R551:U551)</f>
        <v>0</v>
      </c>
      <c r="M75" s="50">
        <v>4</v>
      </c>
      <c r="N75" s="50">
        <v>0</v>
      </c>
      <c r="O75" s="15">
        <f t="shared" si="35"/>
        <v>4</v>
      </c>
      <c r="P75" s="15">
        <f t="shared" si="36"/>
        <v>8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3</v>
      </c>
      <c r="F76" s="50">
        <v>2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f>SUM('[1]RD4 MCC'!R552:U552)</f>
        <v>0</v>
      </c>
      <c r="M76" s="50">
        <v>10</v>
      </c>
      <c r="N76" s="50">
        <v>0</v>
      </c>
      <c r="O76" s="15">
        <f t="shared" si="35"/>
        <v>7</v>
      </c>
      <c r="P76" s="15">
        <f t="shared" si="36"/>
        <v>17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0</v>
      </c>
      <c r="E77" s="50">
        <v>1</v>
      </c>
      <c r="F77" s="50">
        <v>1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f>SUM('[1]RD4 MCC'!R553:U553)</f>
        <v>0</v>
      </c>
      <c r="M77" s="50">
        <v>7</v>
      </c>
      <c r="N77" s="50">
        <v>0</v>
      </c>
      <c r="O77" s="15">
        <f t="shared" si="35"/>
        <v>4</v>
      </c>
      <c r="P77" s="15">
        <f t="shared" si="36"/>
        <v>11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0</v>
      </c>
      <c r="E78" s="50">
        <v>1</v>
      </c>
      <c r="F78" s="50">
        <v>1</v>
      </c>
      <c r="G78" s="50">
        <v>0</v>
      </c>
      <c r="H78" s="50">
        <v>0</v>
      </c>
      <c r="I78" s="50">
        <v>2</v>
      </c>
      <c r="J78" s="50">
        <v>0</v>
      </c>
      <c r="K78" s="50">
        <v>0</v>
      </c>
      <c r="L78" s="50">
        <f>SUM('[1]RD4 MCC'!R554:U554)</f>
        <v>0</v>
      </c>
      <c r="M78" s="50">
        <v>3</v>
      </c>
      <c r="N78" s="50">
        <v>0</v>
      </c>
      <c r="O78" s="15">
        <f t="shared" si="35"/>
        <v>6</v>
      </c>
      <c r="P78" s="15">
        <f t="shared" si="36"/>
        <v>9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1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f>SUM('[1]RD4 MCC'!R555:U555)</f>
        <v>0</v>
      </c>
      <c r="M79" s="50">
        <v>4</v>
      </c>
      <c r="N79" s="50">
        <v>0</v>
      </c>
      <c r="O79" s="15">
        <f t="shared" si="35"/>
        <v>1</v>
      </c>
      <c r="P79" s="15">
        <f t="shared" si="36"/>
        <v>5</v>
      </c>
      <c r="R79" s="8"/>
      <c r="T79"/>
    </row>
    <row r="80" spans="2:20" ht="23.1" customHeight="1" x14ac:dyDescent="0.25">
      <c r="B80" s="47" t="s">
        <v>120</v>
      </c>
      <c r="C80" s="50">
        <v>3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f>SUM('[1]RD4 MCC'!R556:U556)</f>
        <v>0</v>
      </c>
      <c r="M80" s="50">
        <v>4</v>
      </c>
      <c r="N80" s="50">
        <v>0</v>
      </c>
      <c r="O80" s="15">
        <f t="shared" si="35"/>
        <v>4</v>
      </c>
      <c r="P80" s="15">
        <f t="shared" si="36"/>
        <v>8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1</v>
      </c>
      <c r="F81" s="50">
        <v>0</v>
      </c>
      <c r="G81" s="50">
        <v>0</v>
      </c>
      <c r="H81" s="50">
        <v>0</v>
      </c>
      <c r="I81" s="50">
        <v>3</v>
      </c>
      <c r="J81" s="50">
        <v>0</v>
      </c>
      <c r="K81" s="50">
        <v>0</v>
      </c>
      <c r="L81" s="50">
        <f>SUM('[1]RD4 MCC'!R557:U557)</f>
        <v>0</v>
      </c>
      <c r="M81" s="50">
        <v>1</v>
      </c>
      <c r="N81" s="50">
        <v>0</v>
      </c>
      <c r="O81" s="15">
        <f t="shared" si="35"/>
        <v>5</v>
      </c>
      <c r="P81" s="15">
        <f t="shared" si="36"/>
        <v>6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f>SUM('[1]RD4 MCC'!R558:U558)</f>
        <v>0</v>
      </c>
      <c r="M82" s="50">
        <v>5</v>
      </c>
      <c r="N82" s="50">
        <v>0</v>
      </c>
      <c r="O82" s="15">
        <f t="shared" si="35"/>
        <v>1</v>
      </c>
      <c r="P82" s="15">
        <f t="shared" si="36"/>
        <v>6</v>
      </c>
      <c r="R82" s="8"/>
      <c r="T82"/>
    </row>
    <row r="83" spans="2:20" ht="23.1" customHeight="1" x14ac:dyDescent="0.25">
      <c r="B83" s="45" t="s">
        <v>123</v>
      </c>
      <c r="C83" s="50">
        <v>4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2</v>
      </c>
      <c r="J83" s="50">
        <v>0</v>
      </c>
      <c r="K83" s="50">
        <v>0</v>
      </c>
      <c r="L83" s="50">
        <f>SUM('[1]RD4 MCC'!R559:U559)</f>
        <v>0</v>
      </c>
      <c r="M83" s="50">
        <v>5</v>
      </c>
      <c r="N83" s="50">
        <v>0</v>
      </c>
      <c r="O83" s="15">
        <f t="shared" si="35"/>
        <v>6</v>
      </c>
      <c r="P83" s="15">
        <f t="shared" si="36"/>
        <v>11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f>SUM('[1]RD4 MCC'!R560:U560)</f>
        <v>0</v>
      </c>
      <c r="M84" s="50">
        <v>1</v>
      </c>
      <c r="N84" s="50">
        <v>0</v>
      </c>
      <c r="O84" s="15">
        <f t="shared" si="35"/>
        <v>2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f>SUM('[1]RD4 MCC'!R561:U561)</f>
        <v>0</v>
      </c>
      <c r="M85" s="50">
        <v>1</v>
      </c>
      <c r="N85" s="50">
        <v>0</v>
      </c>
      <c r="O85" s="15">
        <f t="shared" si="35"/>
        <v>2</v>
      </c>
      <c r="P85" s="15">
        <f t="shared" si="36"/>
        <v>3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2</v>
      </c>
      <c r="J86" s="50">
        <v>0</v>
      </c>
      <c r="K86" s="50">
        <v>0</v>
      </c>
      <c r="L86" s="50">
        <f>SUM('[1]RD4 MCC'!R562:U562)</f>
        <v>0</v>
      </c>
      <c r="M86" s="50">
        <v>1</v>
      </c>
      <c r="N86" s="50">
        <v>0</v>
      </c>
      <c r="O86" s="15">
        <f t="shared" si="35"/>
        <v>3</v>
      </c>
      <c r="P86" s="15">
        <f t="shared" si="36"/>
        <v>4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1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f>SUM('[1]RD4 MCC'!R563:U563)</f>
        <v>0</v>
      </c>
      <c r="M87" s="50">
        <v>0</v>
      </c>
      <c r="N87" s="50">
        <v>0</v>
      </c>
      <c r="O87" s="15">
        <f t="shared" si="35"/>
        <v>2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f>SUM('[1]RD4 MCC'!R564:U564)</f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f>SUM('[1]RD4 MCC'!R565:U565)</f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1</v>
      </c>
      <c r="K90" s="50">
        <v>1</v>
      </c>
      <c r="L90" s="50">
        <f>SUM('[1]RD4 MCC'!R566:U566)</f>
        <v>0</v>
      </c>
      <c r="M90" s="50">
        <v>0</v>
      </c>
      <c r="N90" s="50">
        <v>0</v>
      </c>
      <c r="O90" s="15">
        <f t="shared" si="35"/>
        <v>3</v>
      </c>
      <c r="P90" s="15">
        <f t="shared" si="36"/>
        <v>3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2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f>SUM('[1]RD4 MCC'!R567:U567)</f>
        <v>0</v>
      </c>
      <c r="M91" s="50">
        <v>0</v>
      </c>
      <c r="N91" s="50">
        <v>0</v>
      </c>
      <c r="O91" s="15">
        <f t="shared" si="35"/>
        <v>3</v>
      </c>
      <c r="P91" s="15">
        <f t="shared" si="36"/>
        <v>3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0</v>
      </c>
      <c r="E92" s="50">
        <v>1</v>
      </c>
      <c r="F92" s="50">
        <v>0</v>
      </c>
      <c r="G92" s="50">
        <v>0</v>
      </c>
      <c r="H92" s="50">
        <v>0</v>
      </c>
      <c r="I92" s="50">
        <v>2</v>
      </c>
      <c r="J92" s="50">
        <v>0</v>
      </c>
      <c r="K92" s="50">
        <v>0</v>
      </c>
      <c r="L92" s="50">
        <f>SUM('[1]RD4 MCC'!R568:U568)</f>
        <v>0</v>
      </c>
      <c r="M92" s="50">
        <v>0</v>
      </c>
      <c r="N92" s="50">
        <v>0</v>
      </c>
      <c r="O92" s="15">
        <f t="shared" si="35"/>
        <v>5</v>
      </c>
      <c r="P92" s="15">
        <f t="shared" si="36"/>
        <v>5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f>SUM('[1]RD4 MCC'!R569:U569)</f>
        <v>0</v>
      </c>
      <c r="M93" s="50">
        <v>2</v>
      </c>
      <c r="N93" s="50">
        <v>0</v>
      </c>
      <c r="O93" s="15">
        <f t="shared" si="35"/>
        <v>1</v>
      </c>
      <c r="P93" s="15">
        <f t="shared" si="36"/>
        <v>3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1</v>
      </c>
      <c r="E94" s="50">
        <v>3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f>SUM('[1]RD4 MCC'!R570:U570)</f>
        <v>0</v>
      </c>
      <c r="M94" s="50">
        <v>2</v>
      </c>
      <c r="N94" s="50">
        <v>0</v>
      </c>
      <c r="O94" s="15">
        <f t="shared" si="35"/>
        <v>4</v>
      </c>
      <c r="P94" s="15">
        <f t="shared" si="36"/>
        <v>6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f>SUM('[1]RD4 MCC'!R571:U571)</f>
        <v>0</v>
      </c>
      <c r="M95" s="50">
        <v>2</v>
      </c>
      <c r="N95" s="50">
        <v>0</v>
      </c>
      <c r="O95" s="15">
        <f t="shared" si="35"/>
        <v>2</v>
      </c>
      <c r="P95" s="15">
        <f t="shared" si="36"/>
        <v>4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f>SUM('[1]RD4 MCC'!R572:U572)</f>
        <v>0</v>
      </c>
      <c r="M96" s="50">
        <v>3</v>
      </c>
      <c r="N96" s="50">
        <v>0</v>
      </c>
      <c r="O96" s="15">
        <f t="shared" si="35"/>
        <v>1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0</v>
      </c>
      <c r="E97" s="50">
        <v>0</v>
      </c>
      <c r="F97" s="50">
        <v>4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f>SUM('[1]RD4 MCC'!R573:U573)</f>
        <v>0</v>
      </c>
      <c r="M97" s="50">
        <v>0</v>
      </c>
      <c r="N97" s="50">
        <v>0</v>
      </c>
      <c r="O97" s="15">
        <f t="shared" si="35"/>
        <v>9</v>
      </c>
      <c r="P97" s="15">
        <f t="shared" si="36"/>
        <v>9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0</v>
      </c>
      <c r="F98" s="50">
        <v>2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f>SUM('[1]RD4 MCC'!R574:U574)</f>
        <v>0</v>
      </c>
      <c r="M98" s="50">
        <v>7</v>
      </c>
      <c r="N98" s="50">
        <v>0</v>
      </c>
      <c r="O98" s="15">
        <f t="shared" si="35"/>
        <v>3</v>
      </c>
      <c r="P98" s="15">
        <f t="shared" si="36"/>
        <v>10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3</v>
      </c>
      <c r="F99" s="50">
        <v>2</v>
      </c>
      <c r="G99" s="50">
        <v>0</v>
      </c>
      <c r="H99" s="50">
        <v>0</v>
      </c>
      <c r="I99" s="50">
        <v>1</v>
      </c>
      <c r="J99" s="50">
        <v>0</v>
      </c>
      <c r="K99" s="50">
        <v>0</v>
      </c>
      <c r="L99" s="50">
        <f>SUM('[1]RD4 MCC'!R575:U575)</f>
        <v>0</v>
      </c>
      <c r="M99" s="50">
        <v>0</v>
      </c>
      <c r="N99" s="50">
        <v>0</v>
      </c>
      <c r="O99" s="15">
        <f t="shared" si="35"/>
        <v>6</v>
      </c>
      <c r="P99" s="15">
        <f t="shared" si="36"/>
        <v>6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2</v>
      </c>
      <c r="F100" s="50">
        <v>3</v>
      </c>
      <c r="G100" s="50">
        <v>2</v>
      </c>
      <c r="H100" s="50">
        <v>0</v>
      </c>
      <c r="I100" s="50">
        <v>1</v>
      </c>
      <c r="J100" s="50">
        <v>0</v>
      </c>
      <c r="K100" s="50">
        <v>0</v>
      </c>
      <c r="L100" s="50">
        <f>SUM('[1]RD4 MCC'!R576:U576)</f>
        <v>0</v>
      </c>
      <c r="M100" s="50">
        <v>6</v>
      </c>
      <c r="N100" s="50">
        <v>0</v>
      </c>
      <c r="O100" s="15">
        <f t="shared" si="35"/>
        <v>8</v>
      </c>
      <c r="P100" s="15">
        <f t="shared" si="36"/>
        <v>14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1</v>
      </c>
      <c r="G101" s="50">
        <v>1</v>
      </c>
      <c r="H101" s="50">
        <v>0</v>
      </c>
      <c r="I101" s="50">
        <v>5</v>
      </c>
      <c r="J101" s="50">
        <v>0</v>
      </c>
      <c r="K101" s="50">
        <v>0</v>
      </c>
      <c r="L101" s="50">
        <f>SUM('[1]RD4 MCC'!R577:U577)</f>
        <v>0</v>
      </c>
      <c r="M101" s="50">
        <v>13</v>
      </c>
      <c r="N101" s="50">
        <v>0</v>
      </c>
      <c r="O101" s="15">
        <f t="shared" si="35"/>
        <v>7</v>
      </c>
      <c r="P101" s="15">
        <f t="shared" si="36"/>
        <v>20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7</v>
      </c>
      <c r="G102" s="50">
        <v>2</v>
      </c>
      <c r="H102" s="50">
        <v>0</v>
      </c>
      <c r="I102" s="50">
        <v>0</v>
      </c>
      <c r="J102" s="50">
        <v>0</v>
      </c>
      <c r="K102" s="50">
        <v>0</v>
      </c>
      <c r="L102" s="50">
        <f>SUM('[1]RD4 MCC'!R578:U578)</f>
        <v>0</v>
      </c>
      <c r="M102" s="50">
        <v>27</v>
      </c>
      <c r="N102" s="50">
        <v>0</v>
      </c>
      <c r="O102" s="15">
        <f t="shared" si="35"/>
        <v>10</v>
      </c>
      <c r="P102" s="15">
        <f t="shared" si="36"/>
        <v>37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5</v>
      </c>
      <c r="G103" s="50">
        <v>3</v>
      </c>
      <c r="H103" s="50">
        <v>0</v>
      </c>
      <c r="I103" s="50">
        <v>2</v>
      </c>
      <c r="J103" s="50">
        <v>0</v>
      </c>
      <c r="K103" s="50">
        <v>0</v>
      </c>
      <c r="L103" s="50">
        <f>SUM('[1]RD4 MCC'!R579:U579)</f>
        <v>0</v>
      </c>
      <c r="M103" s="50">
        <v>30</v>
      </c>
      <c r="N103" s="50">
        <v>0</v>
      </c>
      <c r="O103" s="15">
        <f t="shared" si="35"/>
        <v>10</v>
      </c>
      <c r="P103" s="15">
        <f t="shared" si="36"/>
        <v>40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2</v>
      </c>
      <c r="F104" s="50">
        <v>9</v>
      </c>
      <c r="G104" s="50">
        <v>6</v>
      </c>
      <c r="H104" s="50">
        <v>0</v>
      </c>
      <c r="I104" s="50">
        <v>1</v>
      </c>
      <c r="J104" s="50">
        <v>0</v>
      </c>
      <c r="K104" s="50">
        <v>0</v>
      </c>
      <c r="L104" s="50">
        <f>SUM('[1]RD4 MCC'!R580:U580)</f>
        <v>0</v>
      </c>
      <c r="M104" s="50">
        <v>24</v>
      </c>
      <c r="N104" s="50">
        <v>0</v>
      </c>
      <c r="O104" s="15">
        <f t="shared" si="35"/>
        <v>19</v>
      </c>
      <c r="P104" s="15">
        <f t="shared" si="36"/>
        <v>43</v>
      </c>
      <c r="R104" s="8"/>
      <c r="T104"/>
    </row>
    <row r="105" spans="2:20" ht="23.1" customHeight="1" x14ac:dyDescent="0.25">
      <c r="B105" s="45" t="s">
        <v>145</v>
      </c>
      <c r="C105" s="50">
        <v>4</v>
      </c>
      <c r="D105" s="50">
        <v>0</v>
      </c>
      <c r="E105" s="50">
        <v>2</v>
      </c>
      <c r="F105" s="50">
        <v>6</v>
      </c>
      <c r="G105" s="50">
        <v>4</v>
      </c>
      <c r="H105" s="50">
        <v>0</v>
      </c>
      <c r="I105" s="50">
        <v>3</v>
      </c>
      <c r="J105" s="50">
        <v>2</v>
      </c>
      <c r="K105" s="50">
        <v>0</v>
      </c>
      <c r="L105" s="50">
        <f>SUM('[1]RD4 MCC'!R581:U581)</f>
        <v>0</v>
      </c>
      <c r="M105" s="50">
        <v>31</v>
      </c>
      <c r="N105" s="50">
        <v>0</v>
      </c>
      <c r="O105" s="15">
        <f t="shared" si="35"/>
        <v>21</v>
      </c>
      <c r="P105" s="15">
        <f t="shared" si="36"/>
        <v>52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376</v>
      </c>
      <c r="D106" s="16">
        <f t="shared" ref="D106:P106" si="37">SUM(D10:D105)</f>
        <v>45</v>
      </c>
      <c r="E106" s="16">
        <f t="shared" si="37"/>
        <v>238</v>
      </c>
      <c r="F106" s="16">
        <f t="shared" si="37"/>
        <v>610</v>
      </c>
      <c r="G106" s="16">
        <f t="shared" si="37"/>
        <v>123</v>
      </c>
      <c r="H106" s="16">
        <f t="shared" si="37"/>
        <v>5</v>
      </c>
      <c r="I106" s="16">
        <f t="shared" si="37"/>
        <v>199</v>
      </c>
      <c r="J106" s="16">
        <f t="shared" si="37"/>
        <v>28</v>
      </c>
      <c r="K106" s="16">
        <f t="shared" si="37"/>
        <v>4</v>
      </c>
      <c r="L106" s="16">
        <f t="shared" si="37"/>
        <v>0</v>
      </c>
      <c r="M106" s="16">
        <f t="shared" si="37"/>
        <v>2334</v>
      </c>
      <c r="N106" s="16">
        <f t="shared" si="37"/>
        <v>1</v>
      </c>
      <c r="O106" s="16">
        <f t="shared" si="37"/>
        <v>1629</v>
      </c>
      <c r="P106" s="16">
        <f t="shared" si="37"/>
        <v>3963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9.4877617966187239E-2</v>
      </c>
      <c r="D107" s="43">
        <f t="shared" si="38"/>
        <v>1.1355034065102196E-2</v>
      </c>
      <c r="E107" s="43">
        <f t="shared" si="38"/>
        <v>6.0055513499873835E-2</v>
      </c>
      <c r="F107" s="43">
        <f t="shared" si="38"/>
        <v>0.15392379510471865</v>
      </c>
      <c r="G107" s="43">
        <f t="shared" si="38"/>
        <v>3.1037093111279335E-2</v>
      </c>
      <c r="H107" s="43">
        <f t="shared" si="38"/>
        <v>1.2616704516780217E-3</v>
      </c>
      <c r="I107" s="43">
        <f t="shared" si="38"/>
        <v>5.0214483976785261E-2</v>
      </c>
      <c r="J107" s="43">
        <f t="shared" si="38"/>
        <v>7.0653545293969215E-3</v>
      </c>
      <c r="K107" s="43">
        <f t="shared" si="38"/>
        <v>1.0093363613424174E-3</v>
      </c>
      <c r="L107" s="43">
        <f t="shared" si="38"/>
        <v>0</v>
      </c>
      <c r="M107" s="43">
        <f t="shared" si="38"/>
        <v>0.58894776684330052</v>
      </c>
      <c r="N107" s="43">
        <f t="shared" si="38"/>
        <v>2.5233409033560434E-4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0.23081645181092694</v>
      </c>
      <c r="D108" s="44">
        <f t="shared" ref="D108:N108" si="39">D106/$O$106</f>
        <v>2.7624309392265192E-2</v>
      </c>
      <c r="E108" s="44">
        <f t="shared" si="39"/>
        <v>0.14610190300798034</v>
      </c>
      <c r="F108" s="44">
        <f t="shared" si="39"/>
        <v>0.37446286065070594</v>
      </c>
      <c r="G108" s="44">
        <f t="shared" si="39"/>
        <v>7.550644567219153E-2</v>
      </c>
      <c r="H108" s="44">
        <f t="shared" si="39"/>
        <v>3.0693677102516881E-3</v>
      </c>
      <c r="I108" s="44">
        <f t="shared" si="39"/>
        <v>0.12216083486801718</v>
      </c>
      <c r="J108" s="44">
        <f t="shared" si="39"/>
        <v>1.7188459177409455E-2</v>
      </c>
      <c r="K108" s="44">
        <f t="shared" si="39"/>
        <v>2.4554941682013503E-3</v>
      </c>
      <c r="L108" s="44">
        <f t="shared" si="39"/>
        <v>0</v>
      </c>
      <c r="M108" s="44"/>
      <c r="N108" s="44">
        <f t="shared" si="39"/>
        <v>6.1387354205033758E-4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37" zoomScale="60" workbookViewId="0">
      <selection activeCell="D10" sqref="D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Buwenge-Jinja'!C3:G3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'16.08 Buwenge-Jinja-24h'!D5</f>
        <v>16.08.19</v>
      </c>
      <c r="E5" s="3"/>
      <c r="F5" s="41" t="s">
        <v>1</v>
      </c>
      <c r="G5" s="63" t="str">
        <f>'16.08 Buwenge-Jinja-24h'!G5:H5</f>
        <v>xxx</v>
      </c>
      <c r="H5" s="64"/>
      <c r="I5" s="14"/>
      <c r="J5" s="2" t="s">
        <v>5</v>
      </c>
      <c r="K5" s="63" t="str">
        <f>'16.08 Buwenge-Jinja-24h'!K5:L5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Jinja-Buwenge'!D6:E6</f>
        <v>Jinja</v>
      </c>
      <c r="E6" s="64"/>
      <c r="F6" s="2" t="s">
        <v>2</v>
      </c>
      <c r="G6" s="63" t="str">
        <f>'13.08 Jinja-Buwenge'!G6:H6</f>
        <v>Buwenge</v>
      </c>
      <c r="H6" s="64"/>
      <c r="J6" s="2" t="s">
        <v>21</v>
      </c>
      <c r="K6" s="63" t="str">
        <f>'16.08 Buwenge-Jinja-24h'!K6:L6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</v>
      </c>
      <c r="D10" s="50">
        <v>0</v>
      </c>
      <c r="E10" s="50">
        <v>1</v>
      </c>
      <c r="F10" s="50">
        <v>6</v>
      </c>
      <c r="G10" s="50">
        <v>3</v>
      </c>
      <c r="H10" s="50">
        <v>0</v>
      </c>
      <c r="I10" s="50">
        <v>4</v>
      </c>
      <c r="J10" s="50">
        <v>1</v>
      </c>
      <c r="K10" s="50">
        <v>0</v>
      </c>
      <c r="L10" s="50">
        <f>SUM('[1]RD4 MCC'!R390:U390)</f>
        <v>0</v>
      </c>
      <c r="M10" s="50">
        <v>27</v>
      </c>
      <c r="N10" s="50">
        <v>0</v>
      </c>
      <c r="O10" s="15">
        <f t="shared" ref="O10:O73" si="0">SUM(C10:L10,N10)</f>
        <v>18</v>
      </c>
      <c r="P10" s="15">
        <f t="shared" ref="P10:P73" si="1">SUM(C10:N10)</f>
        <v>45</v>
      </c>
      <c r="R10" s="1" t="s">
        <v>6</v>
      </c>
      <c r="S10" s="17">
        <f t="shared" ref="S10:AF10" si="2">SUM(C10:C13)</f>
        <v>14</v>
      </c>
      <c r="T10" s="17">
        <f t="shared" si="2"/>
        <v>1</v>
      </c>
      <c r="U10" s="17">
        <f t="shared" si="2"/>
        <v>6</v>
      </c>
      <c r="V10" s="17">
        <f t="shared" si="2"/>
        <v>22</v>
      </c>
      <c r="W10" s="17">
        <f t="shared" si="2"/>
        <v>15</v>
      </c>
      <c r="X10" s="17">
        <f t="shared" si="2"/>
        <v>0</v>
      </c>
      <c r="Y10" s="17">
        <f t="shared" si="2"/>
        <v>9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95</v>
      </c>
      <c r="AD10" s="17">
        <f t="shared" si="2"/>
        <v>0</v>
      </c>
      <c r="AE10" s="31">
        <f t="shared" si="2"/>
        <v>71</v>
      </c>
      <c r="AF10" s="31">
        <f t="shared" si="2"/>
        <v>166</v>
      </c>
    </row>
    <row r="11" spans="2:32" s="6" customFormat="1" ht="23.1" customHeight="1" x14ac:dyDescent="0.25">
      <c r="B11" s="45" t="s">
        <v>38</v>
      </c>
      <c r="C11" s="50">
        <v>5</v>
      </c>
      <c r="D11" s="50">
        <v>0</v>
      </c>
      <c r="E11" s="50">
        <v>2</v>
      </c>
      <c r="F11" s="50">
        <v>4</v>
      </c>
      <c r="G11" s="50">
        <v>5</v>
      </c>
      <c r="H11" s="50">
        <v>0</v>
      </c>
      <c r="I11" s="50">
        <v>0</v>
      </c>
      <c r="J11" s="50">
        <v>0</v>
      </c>
      <c r="K11" s="50">
        <v>0</v>
      </c>
      <c r="L11" s="50">
        <f>SUM('[1]RD4 MCC'!R391:U391)</f>
        <v>0</v>
      </c>
      <c r="M11" s="50">
        <v>22</v>
      </c>
      <c r="N11" s="50">
        <v>0</v>
      </c>
      <c r="O11" s="15">
        <f t="shared" si="0"/>
        <v>16</v>
      </c>
      <c r="P11" s="15">
        <f t="shared" si="1"/>
        <v>38</v>
      </c>
      <c r="R11" s="1" t="s">
        <v>7</v>
      </c>
      <c r="S11" s="17">
        <f t="shared" ref="S11:AF11" si="3">SUM(C14:C17)</f>
        <v>13</v>
      </c>
      <c r="T11" s="17">
        <f t="shared" si="3"/>
        <v>1</v>
      </c>
      <c r="U11" s="17">
        <f t="shared" si="3"/>
        <v>5</v>
      </c>
      <c r="V11" s="17">
        <f t="shared" si="3"/>
        <v>25</v>
      </c>
      <c r="W11" s="17">
        <f t="shared" si="3"/>
        <v>11</v>
      </c>
      <c r="X11" s="17">
        <f t="shared" si="3"/>
        <v>0</v>
      </c>
      <c r="Y11" s="17">
        <f t="shared" si="3"/>
        <v>10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101</v>
      </c>
      <c r="AD11" s="17">
        <f t="shared" si="3"/>
        <v>0</v>
      </c>
      <c r="AE11" s="31">
        <f t="shared" si="3"/>
        <v>66</v>
      </c>
      <c r="AF11" s="31">
        <f t="shared" si="3"/>
        <v>167</v>
      </c>
    </row>
    <row r="12" spans="2:32" ht="23.1" customHeight="1" x14ac:dyDescent="0.25">
      <c r="B12" s="45" t="s">
        <v>39</v>
      </c>
      <c r="C12" s="50">
        <v>2</v>
      </c>
      <c r="D12" s="50">
        <v>0</v>
      </c>
      <c r="E12" s="50">
        <v>0</v>
      </c>
      <c r="F12" s="50">
        <v>6</v>
      </c>
      <c r="G12" s="50">
        <v>4</v>
      </c>
      <c r="H12" s="50">
        <v>0</v>
      </c>
      <c r="I12" s="50">
        <v>3</v>
      </c>
      <c r="J12" s="50">
        <v>1</v>
      </c>
      <c r="K12" s="50">
        <v>0</v>
      </c>
      <c r="L12" s="50">
        <f>SUM('[1]RD4 MCC'!R392:U392)</f>
        <v>0</v>
      </c>
      <c r="M12" s="50">
        <v>22</v>
      </c>
      <c r="N12" s="50">
        <v>0</v>
      </c>
      <c r="O12" s="15">
        <f t="shared" si="0"/>
        <v>16</v>
      </c>
      <c r="P12" s="15">
        <f t="shared" si="1"/>
        <v>38</v>
      </c>
      <c r="R12" s="1" t="s">
        <v>8</v>
      </c>
      <c r="S12" s="17">
        <f t="shared" ref="S12:AF12" si="4">SUM(C18:C21)</f>
        <v>23</v>
      </c>
      <c r="T12" s="17">
        <f t="shared" si="4"/>
        <v>2</v>
      </c>
      <c r="U12" s="17">
        <f t="shared" si="4"/>
        <v>11</v>
      </c>
      <c r="V12" s="17">
        <f t="shared" si="4"/>
        <v>41</v>
      </c>
      <c r="W12" s="17">
        <f t="shared" si="4"/>
        <v>1</v>
      </c>
      <c r="X12" s="17">
        <f t="shared" si="4"/>
        <v>0</v>
      </c>
      <c r="Y12" s="17">
        <f t="shared" si="4"/>
        <v>8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122</v>
      </c>
      <c r="AD12" s="17">
        <f t="shared" si="4"/>
        <v>0</v>
      </c>
      <c r="AE12" s="31">
        <f t="shared" si="4"/>
        <v>86</v>
      </c>
      <c r="AF12" s="31">
        <f t="shared" si="4"/>
        <v>208</v>
      </c>
    </row>
    <row r="13" spans="2:32" ht="23.1" customHeight="1" x14ac:dyDescent="0.25">
      <c r="B13" s="45" t="s">
        <v>40</v>
      </c>
      <c r="C13" s="50">
        <v>4</v>
      </c>
      <c r="D13" s="50">
        <v>1</v>
      </c>
      <c r="E13" s="50">
        <v>3</v>
      </c>
      <c r="F13" s="50">
        <v>6</v>
      </c>
      <c r="G13" s="50">
        <v>3</v>
      </c>
      <c r="H13" s="50">
        <v>0</v>
      </c>
      <c r="I13" s="50">
        <v>2</v>
      </c>
      <c r="J13" s="50">
        <v>2</v>
      </c>
      <c r="K13" s="50">
        <v>0</v>
      </c>
      <c r="L13" s="50">
        <f>SUM('[1]RD4 MCC'!R393:U393)</f>
        <v>0</v>
      </c>
      <c r="M13" s="50">
        <v>24</v>
      </c>
      <c r="N13" s="50">
        <v>0</v>
      </c>
      <c r="O13" s="15">
        <f t="shared" si="0"/>
        <v>21</v>
      </c>
      <c r="P13" s="15">
        <f t="shared" si="1"/>
        <v>45</v>
      </c>
      <c r="R13" s="1" t="s">
        <v>9</v>
      </c>
      <c r="S13" s="17">
        <f t="shared" ref="S13:AF13" si="5">SUM(C22:C25)</f>
        <v>14</v>
      </c>
      <c r="T13" s="17">
        <f t="shared" si="5"/>
        <v>5</v>
      </c>
      <c r="U13" s="17">
        <f t="shared" si="5"/>
        <v>17</v>
      </c>
      <c r="V13" s="17">
        <f t="shared" si="5"/>
        <v>50</v>
      </c>
      <c r="W13" s="17">
        <f t="shared" si="5"/>
        <v>1</v>
      </c>
      <c r="X13" s="17">
        <f t="shared" si="5"/>
        <v>0</v>
      </c>
      <c r="Y13" s="17">
        <f t="shared" si="5"/>
        <v>13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142</v>
      </c>
      <c r="AD13" s="17">
        <f t="shared" si="5"/>
        <v>0</v>
      </c>
      <c r="AE13" s="31">
        <f t="shared" si="5"/>
        <v>100</v>
      </c>
      <c r="AF13" s="31">
        <f t="shared" si="5"/>
        <v>242</v>
      </c>
    </row>
    <row r="14" spans="2:32" ht="23.1" customHeight="1" x14ac:dyDescent="0.25">
      <c r="B14" s="45" t="s">
        <v>41</v>
      </c>
      <c r="C14" s="50">
        <v>4</v>
      </c>
      <c r="D14" s="50">
        <v>1</v>
      </c>
      <c r="E14" s="50">
        <v>3</v>
      </c>
      <c r="F14" s="50">
        <v>6</v>
      </c>
      <c r="G14" s="50">
        <v>3</v>
      </c>
      <c r="H14" s="50">
        <v>0</v>
      </c>
      <c r="I14" s="50">
        <v>0</v>
      </c>
      <c r="J14" s="50">
        <v>0</v>
      </c>
      <c r="K14" s="50">
        <v>0</v>
      </c>
      <c r="L14" s="50">
        <f>SUM('[1]RD4 MCC'!R394:U394)</f>
        <v>0</v>
      </c>
      <c r="M14" s="50">
        <v>22</v>
      </c>
      <c r="N14" s="50">
        <v>0</v>
      </c>
      <c r="O14" s="15">
        <f t="shared" si="0"/>
        <v>17</v>
      </c>
      <c r="P14" s="15">
        <f t="shared" si="1"/>
        <v>39</v>
      </c>
      <c r="R14" s="1" t="s">
        <v>10</v>
      </c>
      <c r="S14" s="17">
        <f t="shared" ref="S14:AF14" si="6">SUM(C26:C29)</f>
        <v>23</v>
      </c>
      <c r="T14" s="17">
        <f t="shared" si="6"/>
        <v>2</v>
      </c>
      <c r="U14" s="17">
        <f t="shared" si="6"/>
        <v>12</v>
      </c>
      <c r="V14" s="17">
        <f t="shared" si="6"/>
        <v>52</v>
      </c>
      <c r="W14" s="17">
        <f t="shared" si="6"/>
        <v>5</v>
      </c>
      <c r="X14" s="17">
        <f t="shared" si="6"/>
        <v>0</v>
      </c>
      <c r="Y14" s="17">
        <f t="shared" si="6"/>
        <v>12</v>
      </c>
      <c r="Z14" s="17">
        <f t="shared" si="6"/>
        <v>1</v>
      </c>
      <c r="AA14" s="17">
        <f t="shared" si="6"/>
        <v>1</v>
      </c>
      <c r="AB14" s="17">
        <f t="shared" si="6"/>
        <v>0</v>
      </c>
      <c r="AC14" s="17">
        <f t="shared" si="6"/>
        <v>188</v>
      </c>
      <c r="AD14" s="17">
        <f t="shared" si="6"/>
        <v>0</v>
      </c>
      <c r="AE14" s="31">
        <f t="shared" si="6"/>
        <v>108</v>
      </c>
      <c r="AF14" s="31">
        <f t="shared" si="6"/>
        <v>296</v>
      </c>
    </row>
    <row r="15" spans="2:32" ht="23.1" customHeight="1" x14ac:dyDescent="0.25">
      <c r="B15" s="45" t="s">
        <v>42</v>
      </c>
      <c r="C15" s="50">
        <v>3</v>
      </c>
      <c r="D15" s="50">
        <v>0</v>
      </c>
      <c r="E15" s="50">
        <v>1</v>
      </c>
      <c r="F15" s="50">
        <v>6</v>
      </c>
      <c r="G15" s="50">
        <v>2</v>
      </c>
      <c r="H15" s="50">
        <v>0</v>
      </c>
      <c r="I15" s="50">
        <v>5</v>
      </c>
      <c r="J15" s="50">
        <v>0</v>
      </c>
      <c r="K15" s="50">
        <v>0</v>
      </c>
      <c r="L15" s="50">
        <f>SUM('[1]RD4 MCC'!R395:U395)</f>
        <v>0</v>
      </c>
      <c r="M15" s="50">
        <v>27</v>
      </c>
      <c r="N15" s="50">
        <v>0</v>
      </c>
      <c r="O15" s="15">
        <f t="shared" si="0"/>
        <v>17</v>
      </c>
      <c r="P15" s="15">
        <f t="shared" si="1"/>
        <v>44</v>
      </c>
      <c r="R15" s="1" t="s">
        <v>11</v>
      </c>
      <c r="S15" s="17">
        <f t="shared" ref="S15:AF15" si="7">SUM(C30:C33)</f>
        <v>29</v>
      </c>
      <c r="T15" s="17">
        <f t="shared" si="7"/>
        <v>7</v>
      </c>
      <c r="U15" s="17">
        <f t="shared" si="7"/>
        <v>23</v>
      </c>
      <c r="V15" s="17">
        <f t="shared" si="7"/>
        <v>40</v>
      </c>
      <c r="W15" s="17">
        <f t="shared" si="7"/>
        <v>3</v>
      </c>
      <c r="X15" s="17">
        <f t="shared" si="7"/>
        <v>0</v>
      </c>
      <c r="Y15" s="17">
        <f t="shared" si="7"/>
        <v>5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182</v>
      </c>
      <c r="AD15" s="17">
        <f t="shared" si="7"/>
        <v>0</v>
      </c>
      <c r="AE15" s="31">
        <f t="shared" si="7"/>
        <v>110</v>
      </c>
      <c r="AF15" s="31">
        <f t="shared" si="7"/>
        <v>292</v>
      </c>
    </row>
    <row r="16" spans="2:32" ht="23.1" customHeight="1" x14ac:dyDescent="0.25">
      <c r="B16" s="45" t="s">
        <v>43</v>
      </c>
      <c r="C16" s="50">
        <v>3</v>
      </c>
      <c r="D16" s="50">
        <v>0</v>
      </c>
      <c r="E16" s="50">
        <v>1</v>
      </c>
      <c r="F16" s="50">
        <v>5</v>
      </c>
      <c r="G16" s="50">
        <v>4</v>
      </c>
      <c r="H16" s="50">
        <v>0</v>
      </c>
      <c r="I16" s="50">
        <v>5</v>
      </c>
      <c r="J16" s="50">
        <v>1</v>
      </c>
      <c r="K16" s="50">
        <v>0</v>
      </c>
      <c r="L16" s="50">
        <f>SUM('[1]RD4 MCC'!R396:U396)</f>
        <v>0</v>
      </c>
      <c r="M16" s="50">
        <v>30</v>
      </c>
      <c r="N16" s="50">
        <v>0</v>
      </c>
      <c r="O16" s="15">
        <f t="shared" si="0"/>
        <v>19</v>
      </c>
      <c r="P16" s="15">
        <f t="shared" si="1"/>
        <v>49</v>
      </c>
      <c r="R16" s="1" t="s">
        <v>12</v>
      </c>
      <c r="S16" s="17">
        <f t="shared" ref="S16:AF16" si="8">SUM(C34:C37)</f>
        <v>32</v>
      </c>
      <c r="T16" s="17">
        <f t="shared" si="8"/>
        <v>3</v>
      </c>
      <c r="U16" s="17">
        <f t="shared" si="8"/>
        <v>12</v>
      </c>
      <c r="V16" s="17">
        <f t="shared" si="8"/>
        <v>55</v>
      </c>
      <c r="W16" s="17">
        <f t="shared" si="8"/>
        <v>2</v>
      </c>
      <c r="X16" s="17">
        <f t="shared" si="8"/>
        <v>1</v>
      </c>
      <c r="Y16" s="17">
        <f t="shared" si="8"/>
        <v>6</v>
      </c>
      <c r="Z16" s="17">
        <f t="shared" si="8"/>
        <v>4</v>
      </c>
      <c r="AA16" s="17">
        <f t="shared" si="8"/>
        <v>1</v>
      </c>
      <c r="AB16" s="17">
        <f t="shared" si="8"/>
        <v>0</v>
      </c>
      <c r="AC16" s="17">
        <f t="shared" si="8"/>
        <v>184</v>
      </c>
      <c r="AD16" s="17">
        <f t="shared" si="8"/>
        <v>0</v>
      </c>
      <c r="AE16" s="31">
        <f t="shared" si="8"/>
        <v>116</v>
      </c>
      <c r="AF16" s="31">
        <f t="shared" si="8"/>
        <v>300</v>
      </c>
    </row>
    <row r="17" spans="2:32" ht="23.1" customHeight="1" x14ac:dyDescent="0.25">
      <c r="B17" s="45" t="s">
        <v>44</v>
      </c>
      <c r="C17" s="50">
        <v>3</v>
      </c>
      <c r="D17" s="50">
        <v>0</v>
      </c>
      <c r="E17" s="50">
        <v>0</v>
      </c>
      <c r="F17" s="50">
        <v>8</v>
      </c>
      <c r="G17" s="50">
        <v>2</v>
      </c>
      <c r="H17" s="50">
        <v>0</v>
      </c>
      <c r="I17" s="50">
        <v>0</v>
      </c>
      <c r="J17" s="50">
        <v>0</v>
      </c>
      <c r="K17" s="50">
        <v>0</v>
      </c>
      <c r="L17" s="50">
        <f>SUM('[1]RD4 MCC'!R397:U397)</f>
        <v>0</v>
      </c>
      <c r="M17" s="50">
        <v>22</v>
      </c>
      <c r="N17" s="50">
        <v>0</v>
      </c>
      <c r="O17" s="15">
        <f t="shared" si="0"/>
        <v>13</v>
      </c>
      <c r="P17" s="15">
        <f t="shared" si="1"/>
        <v>35</v>
      </c>
      <c r="R17" s="1" t="s">
        <v>13</v>
      </c>
      <c r="S17" s="17">
        <f t="shared" ref="S17:AF17" si="9">SUM(C38:C41)</f>
        <v>35</v>
      </c>
      <c r="T17" s="17">
        <f t="shared" si="9"/>
        <v>4</v>
      </c>
      <c r="U17" s="17">
        <f t="shared" si="9"/>
        <v>20</v>
      </c>
      <c r="V17" s="17">
        <f t="shared" si="9"/>
        <v>45</v>
      </c>
      <c r="W17" s="17">
        <f t="shared" si="9"/>
        <v>7</v>
      </c>
      <c r="X17" s="17">
        <f t="shared" si="9"/>
        <v>2</v>
      </c>
      <c r="Y17" s="17">
        <f t="shared" si="9"/>
        <v>15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161</v>
      </c>
      <c r="AD17" s="17">
        <f t="shared" si="9"/>
        <v>0</v>
      </c>
      <c r="AE17" s="31">
        <f t="shared" si="9"/>
        <v>130</v>
      </c>
      <c r="AF17" s="31">
        <f t="shared" si="9"/>
        <v>291</v>
      </c>
    </row>
    <row r="18" spans="2:32" ht="23.1" customHeight="1" x14ac:dyDescent="0.25">
      <c r="B18" s="45" t="s">
        <v>45</v>
      </c>
      <c r="C18" s="50">
        <v>4</v>
      </c>
      <c r="D18" s="50">
        <v>0</v>
      </c>
      <c r="E18" s="50">
        <v>1</v>
      </c>
      <c r="F18" s="50">
        <v>8</v>
      </c>
      <c r="G18" s="50">
        <v>0</v>
      </c>
      <c r="H18" s="50">
        <v>0</v>
      </c>
      <c r="I18" s="50">
        <v>4</v>
      </c>
      <c r="J18" s="50">
        <v>0</v>
      </c>
      <c r="K18" s="50">
        <v>0</v>
      </c>
      <c r="L18" s="50">
        <f>SUM('[1]RD4 MCC'!R398:U398)</f>
        <v>0</v>
      </c>
      <c r="M18" s="50">
        <v>27</v>
      </c>
      <c r="N18" s="50">
        <v>0</v>
      </c>
      <c r="O18" s="15">
        <f t="shared" si="0"/>
        <v>17</v>
      </c>
      <c r="P18" s="15">
        <f t="shared" si="1"/>
        <v>44</v>
      </c>
      <c r="R18" s="1" t="s">
        <v>14</v>
      </c>
      <c r="S18" s="17">
        <f t="shared" ref="S18:AF18" si="10">SUM(C42:C45)</f>
        <v>26</v>
      </c>
      <c r="T18" s="17">
        <f t="shared" si="10"/>
        <v>6</v>
      </c>
      <c r="U18" s="17">
        <f t="shared" si="10"/>
        <v>18</v>
      </c>
      <c r="V18" s="17">
        <f t="shared" si="10"/>
        <v>49</v>
      </c>
      <c r="W18" s="17">
        <f t="shared" si="10"/>
        <v>3</v>
      </c>
      <c r="X18" s="17">
        <f t="shared" si="10"/>
        <v>0</v>
      </c>
      <c r="Y18" s="17">
        <f t="shared" si="10"/>
        <v>21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60</v>
      </c>
      <c r="AD18" s="17">
        <f t="shared" si="10"/>
        <v>0</v>
      </c>
      <c r="AE18" s="31">
        <f t="shared" si="10"/>
        <v>123</v>
      </c>
      <c r="AF18" s="31">
        <f t="shared" si="10"/>
        <v>183</v>
      </c>
    </row>
    <row r="19" spans="2:32" ht="23.1" customHeight="1" x14ac:dyDescent="0.25">
      <c r="B19" s="45" t="s">
        <v>46</v>
      </c>
      <c r="C19" s="50">
        <v>5</v>
      </c>
      <c r="D19" s="50">
        <v>1</v>
      </c>
      <c r="E19" s="50">
        <v>4</v>
      </c>
      <c r="F19" s="50">
        <v>10</v>
      </c>
      <c r="G19" s="50">
        <v>1</v>
      </c>
      <c r="H19" s="50">
        <v>0</v>
      </c>
      <c r="I19" s="50">
        <v>1</v>
      </c>
      <c r="J19" s="50">
        <v>0</v>
      </c>
      <c r="K19" s="50">
        <v>0</v>
      </c>
      <c r="L19" s="50">
        <f>SUM('[1]RD4 MCC'!R399:U399)</f>
        <v>0</v>
      </c>
      <c r="M19" s="50">
        <v>35</v>
      </c>
      <c r="N19" s="50">
        <v>0</v>
      </c>
      <c r="O19" s="15">
        <f t="shared" si="0"/>
        <v>22</v>
      </c>
      <c r="P19" s="15">
        <f t="shared" si="1"/>
        <v>57</v>
      </c>
      <c r="R19" s="1" t="s">
        <v>15</v>
      </c>
      <c r="S19" s="17">
        <f t="shared" ref="S19:AF19" si="11">SUM(C46:C49)</f>
        <v>34</v>
      </c>
      <c r="T19" s="17">
        <f t="shared" si="11"/>
        <v>2</v>
      </c>
      <c r="U19" s="17">
        <f t="shared" si="11"/>
        <v>10</v>
      </c>
      <c r="V19" s="17">
        <f t="shared" si="11"/>
        <v>45</v>
      </c>
      <c r="W19" s="17">
        <f t="shared" si="11"/>
        <v>4</v>
      </c>
      <c r="X19" s="17">
        <f t="shared" si="11"/>
        <v>1</v>
      </c>
      <c r="Y19" s="17">
        <f t="shared" si="11"/>
        <v>13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70</v>
      </c>
      <c r="AD19" s="17">
        <f t="shared" si="11"/>
        <v>0</v>
      </c>
      <c r="AE19" s="31">
        <f t="shared" si="11"/>
        <v>111</v>
      </c>
      <c r="AF19" s="31">
        <f t="shared" si="11"/>
        <v>181</v>
      </c>
    </row>
    <row r="20" spans="2:32" ht="23.1" customHeight="1" x14ac:dyDescent="0.25">
      <c r="B20" s="45" t="s">
        <v>47</v>
      </c>
      <c r="C20" s="50">
        <v>4</v>
      </c>
      <c r="D20" s="50">
        <v>0</v>
      </c>
      <c r="E20" s="50">
        <v>2</v>
      </c>
      <c r="F20" s="50">
        <v>13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f>SUM('[1]RD4 MCC'!R400:U400)</f>
        <v>0</v>
      </c>
      <c r="M20" s="50">
        <v>29</v>
      </c>
      <c r="N20" s="50">
        <v>0</v>
      </c>
      <c r="O20" s="15">
        <f t="shared" si="0"/>
        <v>21</v>
      </c>
      <c r="P20" s="15">
        <f t="shared" si="1"/>
        <v>50</v>
      </c>
      <c r="R20" s="1" t="s">
        <v>16</v>
      </c>
      <c r="S20" s="17">
        <f t="shared" ref="S20:AF20" si="12">SUM(C50:C53)</f>
        <v>29</v>
      </c>
      <c r="T20" s="17">
        <f t="shared" si="12"/>
        <v>3</v>
      </c>
      <c r="U20" s="17">
        <f t="shared" si="12"/>
        <v>13</v>
      </c>
      <c r="V20" s="17">
        <f t="shared" si="12"/>
        <v>36</v>
      </c>
      <c r="W20" s="17">
        <f t="shared" si="12"/>
        <v>4</v>
      </c>
      <c r="X20" s="17">
        <f t="shared" si="12"/>
        <v>0</v>
      </c>
      <c r="Y20" s="17">
        <f t="shared" si="12"/>
        <v>10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185</v>
      </c>
      <c r="AD20" s="17">
        <f t="shared" si="12"/>
        <v>0</v>
      </c>
      <c r="AE20" s="31">
        <f t="shared" si="12"/>
        <v>96</v>
      </c>
      <c r="AF20" s="31">
        <f t="shared" si="12"/>
        <v>281</v>
      </c>
    </row>
    <row r="21" spans="2:32" ht="23.1" customHeight="1" x14ac:dyDescent="0.25">
      <c r="B21" s="45" t="s">
        <v>48</v>
      </c>
      <c r="C21" s="50">
        <v>10</v>
      </c>
      <c r="D21" s="50">
        <v>1</v>
      </c>
      <c r="E21" s="50">
        <v>4</v>
      </c>
      <c r="F21" s="50">
        <v>10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f>SUM('[1]RD4 MCC'!R401:U401)</f>
        <v>0</v>
      </c>
      <c r="M21" s="50">
        <v>31</v>
      </c>
      <c r="N21" s="50">
        <v>0</v>
      </c>
      <c r="O21" s="15">
        <f t="shared" si="0"/>
        <v>26</v>
      </c>
      <c r="P21" s="15">
        <f t="shared" si="1"/>
        <v>57</v>
      </c>
      <c r="R21" s="36" t="s">
        <v>20</v>
      </c>
      <c r="S21" s="34">
        <f t="shared" ref="S21:AF21" si="13">SUM(C54:C57)</f>
        <v>31</v>
      </c>
      <c r="T21" s="17">
        <f t="shared" si="13"/>
        <v>5</v>
      </c>
      <c r="U21" s="17">
        <f t="shared" si="13"/>
        <v>20</v>
      </c>
      <c r="V21" s="17">
        <f t="shared" si="13"/>
        <v>50</v>
      </c>
      <c r="W21" s="17">
        <f t="shared" si="13"/>
        <v>9</v>
      </c>
      <c r="X21" s="17">
        <f t="shared" si="13"/>
        <v>0</v>
      </c>
      <c r="Y21" s="17">
        <f t="shared" si="13"/>
        <v>11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218</v>
      </c>
      <c r="AD21" s="17">
        <f t="shared" si="13"/>
        <v>0</v>
      </c>
      <c r="AE21" s="31">
        <f t="shared" si="13"/>
        <v>126</v>
      </c>
      <c r="AF21" s="31">
        <f t="shared" si="13"/>
        <v>344</v>
      </c>
    </row>
    <row r="22" spans="2:32" ht="23.1" customHeight="1" x14ac:dyDescent="0.25">
      <c r="B22" s="45" t="s">
        <v>49</v>
      </c>
      <c r="C22" s="50">
        <v>4</v>
      </c>
      <c r="D22" s="50">
        <v>0</v>
      </c>
      <c r="E22" s="50">
        <v>3</v>
      </c>
      <c r="F22" s="50">
        <v>13</v>
      </c>
      <c r="G22" s="50">
        <v>1</v>
      </c>
      <c r="H22" s="50">
        <v>0</v>
      </c>
      <c r="I22" s="50">
        <v>4</v>
      </c>
      <c r="J22" s="50">
        <v>0</v>
      </c>
      <c r="K22" s="50">
        <v>0</v>
      </c>
      <c r="L22" s="50">
        <f>SUM('[1]RD4 MCC'!R402:U402)</f>
        <v>0</v>
      </c>
      <c r="M22" s="50">
        <v>27</v>
      </c>
      <c r="N22" s="50">
        <v>0</v>
      </c>
      <c r="O22" s="15">
        <f t="shared" si="0"/>
        <v>25</v>
      </c>
      <c r="P22" s="15">
        <f t="shared" si="1"/>
        <v>52</v>
      </c>
      <c r="R22" s="36" t="s">
        <v>146</v>
      </c>
      <c r="S22" s="34">
        <f>SUM(C58:C61)</f>
        <v>32</v>
      </c>
      <c r="T22" s="34">
        <f t="shared" ref="T22:AF22" si="14">SUM(D58:D61)</f>
        <v>3</v>
      </c>
      <c r="U22" s="34">
        <f t="shared" si="14"/>
        <v>13</v>
      </c>
      <c r="V22" s="34">
        <f t="shared" si="14"/>
        <v>44</v>
      </c>
      <c r="W22" s="34">
        <f t="shared" si="14"/>
        <v>21</v>
      </c>
      <c r="X22" s="34">
        <f t="shared" si="14"/>
        <v>0</v>
      </c>
      <c r="Y22" s="34">
        <f t="shared" si="14"/>
        <v>11</v>
      </c>
      <c r="Z22" s="34">
        <f t="shared" si="14"/>
        <v>3</v>
      </c>
      <c r="AA22" s="34">
        <f t="shared" si="14"/>
        <v>0</v>
      </c>
      <c r="AB22" s="34">
        <f t="shared" si="14"/>
        <v>0</v>
      </c>
      <c r="AC22" s="34">
        <f t="shared" si="14"/>
        <v>237</v>
      </c>
      <c r="AD22" s="34">
        <f t="shared" si="14"/>
        <v>0</v>
      </c>
      <c r="AE22" s="31">
        <f t="shared" si="14"/>
        <v>127</v>
      </c>
      <c r="AF22" s="31">
        <f t="shared" si="14"/>
        <v>364</v>
      </c>
    </row>
    <row r="23" spans="2:32" ht="23.1" customHeight="1" x14ac:dyDescent="0.25">
      <c r="B23" s="45" t="s">
        <v>50</v>
      </c>
      <c r="C23" s="50">
        <v>2</v>
      </c>
      <c r="D23" s="50">
        <v>1</v>
      </c>
      <c r="E23" s="50">
        <v>3</v>
      </c>
      <c r="F23" s="50">
        <v>19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f>SUM('[1]RD4 MCC'!R403:U403)</f>
        <v>0</v>
      </c>
      <c r="M23" s="50">
        <v>44</v>
      </c>
      <c r="N23" s="50">
        <v>0</v>
      </c>
      <c r="O23" s="15">
        <f t="shared" si="0"/>
        <v>28</v>
      </c>
      <c r="P23" s="15">
        <f t="shared" si="1"/>
        <v>72</v>
      </c>
      <c r="R23" s="36" t="s">
        <v>147</v>
      </c>
      <c r="S23" s="34">
        <f>SUM(C62:C65)</f>
        <v>28</v>
      </c>
      <c r="T23" s="34">
        <f t="shared" ref="T23:AF23" si="15">SUM(D62:D65)</f>
        <v>4</v>
      </c>
      <c r="U23" s="34">
        <f t="shared" si="15"/>
        <v>15</v>
      </c>
      <c r="V23" s="34">
        <f t="shared" si="15"/>
        <v>26</v>
      </c>
      <c r="W23" s="34">
        <f t="shared" si="15"/>
        <v>15</v>
      </c>
      <c r="X23" s="34">
        <f t="shared" si="15"/>
        <v>2</v>
      </c>
      <c r="Y23" s="34">
        <f t="shared" si="15"/>
        <v>9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126</v>
      </c>
      <c r="AD23" s="34">
        <f t="shared" si="15"/>
        <v>0</v>
      </c>
      <c r="AE23" s="31">
        <f t="shared" si="15"/>
        <v>100</v>
      </c>
      <c r="AF23" s="31">
        <f t="shared" si="15"/>
        <v>226</v>
      </c>
    </row>
    <row r="24" spans="2:32" ht="23.1" customHeight="1" x14ac:dyDescent="0.25">
      <c r="B24" s="45" t="s">
        <v>51</v>
      </c>
      <c r="C24" s="50">
        <v>5</v>
      </c>
      <c r="D24" s="50">
        <v>2</v>
      </c>
      <c r="E24" s="50">
        <v>6</v>
      </c>
      <c r="F24" s="50">
        <v>7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f>SUM('[1]RD4 MCC'!R404:U404)</f>
        <v>0</v>
      </c>
      <c r="M24" s="50">
        <v>40</v>
      </c>
      <c r="N24" s="50">
        <v>0</v>
      </c>
      <c r="O24" s="15">
        <f t="shared" si="0"/>
        <v>23</v>
      </c>
      <c r="P24" s="15">
        <f t="shared" si="1"/>
        <v>63</v>
      </c>
      <c r="R24" s="36" t="s">
        <v>148</v>
      </c>
      <c r="S24" s="34">
        <f>SUM(C66:C69)</f>
        <v>22</v>
      </c>
      <c r="T24" s="34">
        <f t="shared" ref="T24:AF24" si="16">SUM(D66:D69)</f>
        <v>4</v>
      </c>
      <c r="U24" s="34">
        <f t="shared" si="16"/>
        <v>17</v>
      </c>
      <c r="V24" s="34">
        <f t="shared" si="16"/>
        <v>25</v>
      </c>
      <c r="W24" s="34">
        <f t="shared" si="16"/>
        <v>9</v>
      </c>
      <c r="X24" s="34">
        <f t="shared" si="16"/>
        <v>0</v>
      </c>
      <c r="Y24" s="34">
        <f t="shared" si="16"/>
        <v>7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132</v>
      </c>
      <c r="AD24" s="34">
        <f t="shared" si="16"/>
        <v>0</v>
      </c>
      <c r="AE24" s="31">
        <f t="shared" si="16"/>
        <v>85</v>
      </c>
      <c r="AF24" s="31">
        <f t="shared" si="16"/>
        <v>217</v>
      </c>
    </row>
    <row r="25" spans="2:32" ht="23.1" customHeight="1" x14ac:dyDescent="0.25">
      <c r="B25" s="45" t="s">
        <v>52</v>
      </c>
      <c r="C25" s="50">
        <v>3</v>
      </c>
      <c r="D25" s="50">
        <v>2</v>
      </c>
      <c r="E25" s="50">
        <v>5</v>
      </c>
      <c r="F25" s="50">
        <v>11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f>SUM('[1]RD4 MCC'!R405:U405)</f>
        <v>0</v>
      </c>
      <c r="M25" s="50">
        <v>31</v>
      </c>
      <c r="N25" s="50">
        <v>0</v>
      </c>
      <c r="O25" s="15">
        <f t="shared" si="0"/>
        <v>24</v>
      </c>
      <c r="P25" s="15">
        <f t="shared" si="1"/>
        <v>55</v>
      </c>
      <c r="R25" s="36" t="s">
        <v>149</v>
      </c>
      <c r="S25" s="34">
        <f>SUM(C70:C73)</f>
        <v>19</v>
      </c>
      <c r="T25" s="34">
        <f t="shared" ref="T25:AF25" si="17">SUM(D70:D73)</f>
        <v>2</v>
      </c>
      <c r="U25" s="34">
        <f t="shared" si="17"/>
        <v>12</v>
      </c>
      <c r="V25" s="34">
        <f t="shared" si="17"/>
        <v>14</v>
      </c>
      <c r="W25" s="34">
        <f t="shared" si="17"/>
        <v>3</v>
      </c>
      <c r="X25" s="34">
        <f t="shared" si="17"/>
        <v>0</v>
      </c>
      <c r="Y25" s="34">
        <f t="shared" si="17"/>
        <v>6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81</v>
      </c>
      <c r="AD25" s="34">
        <f t="shared" si="17"/>
        <v>0</v>
      </c>
      <c r="AE25" s="31">
        <f t="shared" si="17"/>
        <v>57</v>
      </c>
      <c r="AF25" s="31">
        <f t="shared" si="17"/>
        <v>138</v>
      </c>
    </row>
    <row r="26" spans="2:32" ht="23.1" customHeight="1" x14ac:dyDescent="0.25">
      <c r="B26" s="45" t="s">
        <v>53</v>
      </c>
      <c r="C26" s="50">
        <v>7</v>
      </c>
      <c r="D26" s="50">
        <v>1</v>
      </c>
      <c r="E26" s="50">
        <v>5</v>
      </c>
      <c r="F26" s="50">
        <v>12</v>
      </c>
      <c r="G26" s="50">
        <v>1</v>
      </c>
      <c r="H26" s="50">
        <v>0</v>
      </c>
      <c r="I26" s="50">
        <v>2</v>
      </c>
      <c r="J26" s="50">
        <v>0</v>
      </c>
      <c r="K26" s="50">
        <v>0</v>
      </c>
      <c r="L26" s="50">
        <f>SUM('[1]RD4 MCC'!R406:U406)</f>
        <v>0</v>
      </c>
      <c r="M26" s="50">
        <v>45</v>
      </c>
      <c r="N26" s="50">
        <v>0</v>
      </c>
      <c r="O26" s="15">
        <f t="shared" si="0"/>
        <v>28</v>
      </c>
      <c r="P26" s="15">
        <f t="shared" si="1"/>
        <v>73</v>
      </c>
      <c r="R26" s="36" t="s">
        <v>150</v>
      </c>
      <c r="S26" s="34">
        <f>SUM(C74:C77)</f>
        <v>8</v>
      </c>
      <c r="T26" s="34">
        <f t="shared" ref="T26:AF26" si="18">SUM(D74:D77)</f>
        <v>2</v>
      </c>
      <c r="U26" s="34">
        <f t="shared" si="18"/>
        <v>9</v>
      </c>
      <c r="V26" s="34">
        <f t="shared" si="18"/>
        <v>8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55</v>
      </c>
      <c r="AD26" s="34">
        <f t="shared" si="18"/>
        <v>0</v>
      </c>
      <c r="AE26" s="31">
        <f t="shared" si="18"/>
        <v>28</v>
      </c>
      <c r="AF26" s="31">
        <f t="shared" si="18"/>
        <v>83</v>
      </c>
    </row>
    <row r="27" spans="2:32" ht="23.1" customHeight="1" x14ac:dyDescent="0.25">
      <c r="B27" s="45" t="s">
        <v>54</v>
      </c>
      <c r="C27" s="50">
        <v>6</v>
      </c>
      <c r="D27" s="50">
        <v>1</v>
      </c>
      <c r="E27" s="50">
        <v>5</v>
      </c>
      <c r="F27" s="50">
        <v>16</v>
      </c>
      <c r="G27" s="50">
        <v>1</v>
      </c>
      <c r="H27" s="50">
        <v>0</v>
      </c>
      <c r="I27" s="50">
        <v>3</v>
      </c>
      <c r="J27" s="50">
        <v>0</v>
      </c>
      <c r="K27" s="50">
        <v>0</v>
      </c>
      <c r="L27" s="50">
        <f>SUM('[1]RD4 MCC'!R407:U407)</f>
        <v>0</v>
      </c>
      <c r="M27" s="50">
        <v>40</v>
      </c>
      <c r="N27" s="50">
        <v>0</v>
      </c>
      <c r="O27" s="15">
        <f t="shared" si="0"/>
        <v>32</v>
      </c>
      <c r="P27" s="15">
        <f t="shared" si="1"/>
        <v>72</v>
      </c>
      <c r="R27" s="36" t="s">
        <v>151</v>
      </c>
      <c r="S27" s="34">
        <f>SUM(C78:C81)</f>
        <v>6</v>
      </c>
      <c r="T27" s="34">
        <f t="shared" ref="T27:AF27" si="19">SUM(D78:D81)</f>
        <v>0</v>
      </c>
      <c r="U27" s="34">
        <f t="shared" si="19"/>
        <v>6</v>
      </c>
      <c r="V27" s="34">
        <f t="shared" si="19"/>
        <v>2</v>
      </c>
      <c r="W27" s="34">
        <f t="shared" si="19"/>
        <v>0</v>
      </c>
      <c r="X27" s="34">
        <f t="shared" si="19"/>
        <v>1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19</v>
      </c>
      <c r="AD27" s="34">
        <f t="shared" si="19"/>
        <v>0</v>
      </c>
      <c r="AE27" s="31">
        <f t="shared" si="19"/>
        <v>15</v>
      </c>
      <c r="AF27" s="31">
        <f t="shared" si="19"/>
        <v>34</v>
      </c>
    </row>
    <row r="28" spans="2:32" ht="23.1" customHeight="1" x14ac:dyDescent="0.25">
      <c r="B28" s="45" t="s">
        <v>55</v>
      </c>
      <c r="C28" s="50">
        <v>4</v>
      </c>
      <c r="D28" s="50">
        <v>0</v>
      </c>
      <c r="E28" s="50">
        <v>1</v>
      </c>
      <c r="F28" s="50">
        <v>10</v>
      </c>
      <c r="G28" s="50">
        <v>3</v>
      </c>
      <c r="H28" s="50">
        <v>0</v>
      </c>
      <c r="I28" s="50">
        <v>3</v>
      </c>
      <c r="J28" s="50">
        <v>1</v>
      </c>
      <c r="K28" s="50">
        <v>1</v>
      </c>
      <c r="L28" s="50">
        <f>SUM('[1]RD4 MCC'!R408:U408)</f>
        <v>0</v>
      </c>
      <c r="M28" s="50">
        <v>56</v>
      </c>
      <c r="N28" s="50">
        <v>0</v>
      </c>
      <c r="O28" s="15">
        <f t="shared" si="0"/>
        <v>23</v>
      </c>
      <c r="P28" s="15">
        <f t="shared" si="1"/>
        <v>79</v>
      </c>
      <c r="R28" s="36" t="s">
        <v>152</v>
      </c>
      <c r="S28" s="34">
        <f>SUM(C82:C85)</f>
        <v>10</v>
      </c>
      <c r="T28" s="34">
        <f t="shared" ref="T28:AF28" si="20">SUM(D82:D85)</f>
        <v>0</v>
      </c>
      <c r="U28" s="34">
        <f t="shared" si="20"/>
        <v>4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17</v>
      </c>
      <c r="AD28" s="34">
        <f t="shared" si="20"/>
        <v>0</v>
      </c>
      <c r="AE28" s="31">
        <f t="shared" si="20"/>
        <v>17</v>
      </c>
      <c r="AF28" s="31">
        <f t="shared" si="20"/>
        <v>34</v>
      </c>
    </row>
    <row r="29" spans="2:32" ht="23.1" customHeight="1" x14ac:dyDescent="0.25">
      <c r="B29" s="45" t="s">
        <v>56</v>
      </c>
      <c r="C29" s="50">
        <v>6</v>
      </c>
      <c r="D29" s="50">
        <v>0</v>
      </c>
      <c r="E29" s="50">
        <v>1</v>
      </c>
      <c r="F29" s="50">
        <v>14</v>
      </c>
      <c r="G29" s="50">
        <v>0</v>
      </c>
      <c r="H29" s="50">
        <v>0</v>
      </c>
      <c r="I29" s="50">
        <v>4</v>
      </c>
      <c r="J29" s="50">
        <v>0</v>
      </c>
      <c r="K29" s="50">
        <v>0</v>
      </c>
      <c r="L29" s="50">
        <f>SUM('[1]RD4 MCC'!R409:U409)</f>
        <v>0</v>
      </c>
      <c r="M29" s="50">
        <v>47</v>
      </c>
      <c r="N29" s="50">
        <v>0</v>
      </c>
      <c r="O29" s="15">
        <f t="shared" si="0"/>
        <v>25</v>
      </c>
      <c r="P29" s="15">
        <f t="shared" si="1"/>
        <v>72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4</v>
      </c>
      <c r="Z29" s="34">
        <f t="shared" si="21"/>
        <v>2</v>
      </c>
      <c r="AA29" s="34">
        <f t="shared" si="21"/>
        <v>0</v>
      </c>
      <c r="AB29" s="34">
        <f t="shared" si="21"/>
        <v>0</v>
      </c>
      <c r="AC29" s="34">
        <f t="shared" si="21"/>
        <v>4</v>
      </c>
      <c r="AD29" s="34">
        <f t="shared" si="21"/>
        <v>0</v>
      </c>
      <c r="AE29" s="31">
        <f t="shared" si="21"/>
        <v>9</v>
      </c>
      <c r="AF29" s="31">
        <f t="shared" si="21"/>
        <v>13</v>
      </c>
    </row>
    <row r="30" spans="2:32" ht="23.1" customHeight="1" x14ac:dyDescent="0.25">
      <c r="B30" s="45" t="s">
        <v>57</v>
      </c>
      <c r="C30" s="50">
        <v>10</v>
      </c>
      <c r="D30" s="50">
        <v>2</v>
      </c>
      <c r="E30" s="50">
        <v>6</v>
      </c>
      <c r="F30" s="50">
        <v>8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f>SUM('[1]RD4 MCC'!R410:U410)</f>
        <v>0</v>
      </c>
      <c r="M30" s="50">
        <v>44</v>
      </c>
      <c r="N30" s="50">
        <v>0</v>
      </c>
      <c r="O30" s="15">
        <f t="shared" si="0"/>
        <v>28</v>
      </c>
      <c r="P30" s="15">
        <f t="shared" si="1"/>
        <v>72</v>
      </c>
      <c r="R30" s="36" t="s">
        <v>154</v>
      </c>
      <c r="S30" s="34">
        <f>SUM(C90:C93)</f>
        <v>3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3</v>
      </c>
      <c r="AD30" s="34">
        <f t="shared" si="22"/>
        <v>0</v>
      </c>
      <c r="AE30" s="31">
        <f t="shared" si="22"/>
        <v>8</v>
      </c>
      <c r="AF30" s="31">
        <f t="shared" si="22"/>
        <v>11</v>
      </c>
    </row>
    <row r="31" spans="2:32" ht="23.1" customHeight="1" x14ac:dyDescent="0.25">
      <c r="B31" s="46" t="s">
        <v>58</v>
      </c>
      <c r="C31" s="50">
        <v>8</v>
      </c>
      <c r="D31" s="50">
        <v>2</v>
      </c>
      <c r="E31" s="50">
        <v>6</v>
      </c>
      <c r="F31" s="50">
        <v>11</v>
      </c>
      <c r="G31" s="50">
        <v>1</v>
      </c>
      <c r="H31" s="50">
        <v>0</v>
      </c>
      <c r="I31" s="50">
        <v>0</v>
      </c>
      <c r="J31" s="50">
        <v>0</v>
      </c>
      <c r="K31" s="50">
        <v>0</v>
      </c>
      <c r="L31" s="50">
        <f>SUM('[1]RD4 MCC'!R411:U411)</f>
        <v>0</v>
      </c>
      <c r="M31" s="50">
        <v>50</v>
      </c>
      <c r="N31" s="50">
        <v>0</v>
      </c>
      <c r="O31" s="15">
        <f t="shared" si="0"/>
        <v>28</v>
      </c>
      <c r="P31" s="15">
        <f t="shared" si="1"/>
        <v>78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2</v>
      </c>
      <c r="V31" s="34">
        <f t="shared" si="23"/>
        <v>3</v>
      </c>
      <c r="W31" s="34">
        <f t="shared" si="23"/>
        <v>0</v>
      </c>
      <c r="X31" s="34">
        <f t="shared" si="23"/>
        <v>0</v>
      </c>
      <c r="Y31" s="34">
        <f t="shared" si="23"/>
        <v>4</v>
      </c>
      <c r="Z31" s="34">
        <f t="shared" si="23"/>
        <v>2</v>
      </c>
      <c r="AA31" s="34">
        <f t="shared" si="23"/>
        <v>0</v>
      </c>
      <c r="AB31" s="34">
        <f t="shared" si="23"/>
        <v>0</v>
      </c>
      <c r="AC31" s="34">
        <f t="shared" si="23"/>
        <v>11</v>
      </c>
      <c r="AD31" s="34">
        <f t="shared" si="23"/>
        <v>0</v>
      </c>
      <c r="AE31" s="31">
        <f t="shared" si="23"/>
        <v>13</v>
      </c>
      <c r="AF31" s="31">
        <f t="shared" si="23"/>
        <v>24</v>
      </c>
    </row>
    <row r="32" spans="2:32" ht="23.1" customHeight="1" x14ac:dyDescent="0.25">
      <c r="B32" s="46" t="s">
        <v>59</v>
      </c>
      <c r="C32" s="50">
        <v>5</v>
      </c>
      <c r="D32" s="50">
        <v>2</v>
      </c>
      <c r="E32" s="50">
        <v>7</v>
      </c>
      <c r="F32" s="50">
        <v>12</v>
      </c>
      <c r="G32" s="50">
        <v>1</v>
      </c>
      <c r="H32" s="50">
        <v>0</v>
      </c>
      <c r="I32" s="50">
        <v>2</v>
      </c>
      <c r="J32" s="50">
        <v>2</v>
      </c>
      <c r="K32" s="50">
        <v>0</v>
      </c>
      <c r="L32" s="50">
        <f>SUM('[1]RD4 MCC'!R412:U412)</f>
        <v>0</v>
      </c>
      <c r="M32" s="50">
        <v>50</v>
      </c>
      <c r="N32" s="50">
        <v>0</v>
      </c>
      <c r="O32" s="15">
        <f t="shared" si="0"/>
        <v>31</v>
      </c>
      <c r="P32" s="15">
        <f t="shared" si="1"/>
        <v>81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4</v>
      </c>
      <c r="V32" s="34">
        <f t="shared" si="24"/>
        <v>2</v>
      </c>
      <c r="W32" s="34">
        <f t="shared" si="24"/>
        <v>8</v>
      </c>
      <c r="X32" s="34">
        <f t="shared" si="24"/>
        <v>0</v>
      </c>
      <c r="Y32" s="34">
        <f t="shared" si="24"/>
        <v>6</v>
      </c>
      <c r="Z32" s="34">
        <f t="shared" si="24"/>
        <v>2</v>
      </c>
      <c r="AA32" s="34">
        <f t="shared" si="24"/>
        <v>0</v>
      </c>
      <c r="AB32" s="34">
        <f t="shared" si="24"/>
        <v>0</v>
      </c>
      <c r="AC32" s="34">
        <f t="shared" si="24"/>
        <v>19</v>
      </c>
      <c r="AD32" s="34">
        <f t="shared" si="24"/>
        <v>0</v>
      </c>
      <c r="AE32" s="31">
        <f t="shared" si="24"/>
        <v>23</v>
      </c>
      <c r="AF32" s="31">
        <f t="shared" si="24"/>
        <v>42</v>
      </c>
    </row>
    <row r="33" spans="2:32" ht="23.1" customHeight="1" x14ac:dyDescent="0.25">
      <c r="B33" s="45" t="s">
        <v>60</v>
      </c>
      <c r="C33" s="50">
        <v>6</v>
      </c>
      <c r="D33" s="50">
        <v>1</v>
      </c>
      <c r="E33" s="50">
        <v>4</v>
      </c>
      <c r="F33" s="50">
        <v>9</v>
      </c>
      <c r="G33" s="50">
        <v>1</v>
      </c>
      <c r="H33" s="50">
        <v>0</v>
      </c>
      <c r="I33" s="50">
        <v>2</v>
      </c>
      <c r="J33" s="50">
        <v>0</v>
      </c>
      <c r="K33" s="50">
        <v>0</v>
      </c>
      <c r="L33" s="50">
        <f>SUM('[1]RD4 MCC'!R413:U413)</f>
        <v>0</v>
      </c>
      <c r="M33" s="50">
        <v>38</v>
      </c>
      <c r="N33" s="50">
        <v>0</v>
      </c>
      <c r="O33" s="15">
        <f t="shared" si="0"/>
        <v>23</v>
      </c>
      <c r="P33" s="15">
        <f t="shared" si="1"/>
        <v>61</v>
      </c>
      <c r="R33" s="33" t="s">
        <v>157</v>
      </c>
      <c r="S33" s="34">
        <f>SUM(C102:C105)</f>
        <v>2</v>
      </c>
      <c r="T33" s="34">
        <f t="shared" ref="T33:AF33" si="25">SUM(D102:D105)</f>
        <v>0</v>
      </c>
      <c r="U33" s="34">
        <f t="shared" si="25"/>
        <v>6</v>
      </c>
      <c r="V33" s="34">
        <f t="shared" si="25"/>
        <v>18</v>
      </c>
      <c r="W33" s="34">
        <f t="shared" si="25"/>
        <v>13</v>
      </c>
      <c r="X33" s="34">
        <f t="shared" si="25"/>
        <v>0</v>
      </c>
      <c r="Y33" s="34">
        <f t="shared" si="25"/>
        <v>2</v>
      </c>
      <c r="Z33" s="34">
        <f t="shared" si="25"/>
        <v>2</v>
      </c>
      <c r="AA33" s="34">
        <f t="shared" si="25"/>
        <v>0</v>
      </c>
      <c r="AB33" s="34">
        <f t="shared" si="25"/>
        <v>0</v>
      </c>
      <c r="AC33" s="34">
        <f t="shared" si="25"/>
        <v>22</v>
      </c>
      <c r="AD33" s="34">
        <f t="shared" si="25"/>
        <v>0</v>
      </c>
      <c r="AE33" s="31">
        <f t="shared" si="25"/>
        <v>43</v>
      </c>
      <c r="AF33" s="31">
        <f t="shared" si="25"/>
        <v>65</v>
      </c>
    </row>
    <row r="34" spans="2:32" ht="23.1" customHeight="1" x14ac:dyDescent="0.25">
      <c r="B34" s="46" t="s">
        <v>61</v>
      </c>
      <c r="C34" s="50">
        <v>11</v>
      </c>
      <c r="D34" s="50">
        <v>2</v>
      </c>
      <c r="E34" s="50">
        <v>6</v>
      </c>
      <c r="F34" s="50">
        <v>13</v>
      </c>
      <c r="G34" s="50">
        <v>0</v>
      </c>
      <c r="H34" s="50">
        <v>1</v>
      </c>
      <c r="I34" s="50">
        <v>1</v>
      </c>
      <c r="J34" s="50">
        <v>0</v>
      </c>
      <c r="K34" s="50">
        <v>0</v>
      </c>
      <c r="L34" s="50">
        <f>SUM('[1]RD4 MCC'!R414:U414)</f>
        <v>0</v>
      </c>
      <c r="M34" s="50">
        <v>52</v>
      </c>
      <c r="N34" s="50">
        <v>0</v>
      </c>
      <c r="O34" s="15">
        <f t="shared" si="0"/>
        <v>34</v>
      </c>
      <c r="P34" s="15">
        <f t="shared" si="1"/>
        <v>86</v>
      </c>
      <c r="R34" s="38" t="s">
        <v>90</v>
      </c>
      <c r="S34" s="39">
        <f t="shared" ref="S34:AF34" si="26">MAX(S10:S12)</f>
        <v>23</v>
      </c>
      <c r="T34" s="39">
        <f t="shared" si="26"/>
        <v>2</v>
      </c>
      <c r="U34" s="39">
        <f t="shared" si="26"/>
        <v>11</v>
      </c>
      <c r="V34" s="39">
        <f t="shared" si="26"/>
        <v>41</v>
      </c>
      <c r="W34" s="39">
        <f t="shared" si="26"/>
        <v>15</v>
      </c>
      <c r="X34" s="39">
        <f t="shared" si="26"/>
        <v>0</v>
      </c>
      <c r="Y34" s="39">
        <f t="shared" si="26"/>
        <v>10</v>
      </c>
      <c r="Z34" s="39">
        <f t="shared" si="26"/>
        <v>4</v>
      </c>
      <c r="AA34" s="39">
        <f t="shared" si="26"/>
        <v>0</v>
      </c>
      <c r="AB34" s="39">
        <f t="shared" si="26"/>
        <v>0</v>
      </c>
      <c r="AC34" s="39">
        <f t="shared" si="26"/>
        <v>122</v>
      </c>
      <c r="AD34" s="39">
        <f t="shared" si="26"/>
        <v>0</v>
      </c>
      <c r="AE34" s="40">
        <f t="shared" si="26"/>
        <v>86</v>
      </c>
      <c r="AF34" s="40">
        <f t="shared" si="26"/>
        <v>208</v>
      </c>
    </row>
    <row r="35" spans="2:32" ht="23.1" customHeight="1" x14ac:dyDescent="0.25">
      <c r="B35" s="46" t="s">
        <v>62</v>
      </c>
      <c r="C35" s="50">
        <v>6</v>
      </c>
      <c r="D35" s="50">
        <v>0</v>
      </c>
      <c r="E35" s="50">
        <v>1</v>
      </c>
      <c r="F35" s="50">
        <v>9</v>
      </c>
      <c r="G35" s="50">
        <v>1</v>
      </c>
      <c r="H35" s="50">
        <v>0</v>
      </c>
      <c r="I35" s="50">
        <v>2</v>
      </c>
      <c r="J35" s="50">
        <v>1</v>
      </c>
      <c r="K35" s="50">
        <v>0</v>
      </c>
      <c r="L35" s="50">
        <f>SUM('[1]RD4 MCC'!R415:U415)</f>
        <v>0</v>
      </c>
      <c r="M35" s="50">
        <v>43</v>
      </c>
      <c r="N35" s="50">
        <v>0</v>
      </c>
      <c r="O35" s="15">
        <f t="shared" si="0"/>
        <v>20</v>
      </c>
      <c r="P35" s="15">
        <f t="shared" si="1"/>
        <v>63</v>
      </c>
      <c r="R35" s="38" t="s">
        <v>91</v>
      </c>
      <c r="S35" s="39">
        <f t="shared" ref="S35:AF35" si="27">MAX(S13:S18)</f>
        <v>35</v>
      </c>
      <c r="T35" s="39">
        <f t="shared" si="27"/>
        <v>7</v>
      </c>
      <c r="U35" s="39">
        <f t="shared" si="27"/>
        <v>23</v>
      </c>
      <c r="V35" s="39">
        <f t="shared" si="27"/>
        <v>55</v>
      </c>
      <c r="W35" s="39">
        <f t="shared" si="27"/>
        <v>7</v>
      </c>
      <c r="X35" s="39">
        <f t="shared" si="27"/>
        <v>2</v>
      </c>
      <c r="Y35" s="39">
        <f t="shared" si="27"/>
        <v>21</v>
      </c>
      <c r="Z35" s="39">
        <f t="shared" si="27"/>
        <v>4</v>
      </c>
      <c r="AA35" s="39">
        <f t="shared" si="27"/>
        <v>1</v>
      </c>
      <c r="AB35" s="39">
        <f t="shared" si="27"/>
        <v>0</v>
      </c>
      <c r="AC35" s="39">
        <f t="shared" si="27"/>
        <v>188</v>
      </c>
      <c r="AD35" s="39">
        <f t="shared" si="27"/>
        <v>0</v>
      </c>
      <c r="AE35" s="40">
        <f t="shared" si="27"/>
        <v>130</v>
      </c>
      <c r="AF35" s="40">
        <f t="shared" si="27"/>
        <v>300</v>
      </c>
    </row>
    <row r="36" spans="2:32" ht="23.1" customHeight="1" x14ac:dyDescent="0.25">
      <c r="B36" s="46" t="s">
        <v>63</v>
      </c>
      <c r="C36" s="50">
        <v>9</v>
      </c>
      <c r="D36" s="50">
        <v>0</v>
      </c>
      <c r="E36" s="50">
        <v>1</v>
      </c>
      <c r="F36" s="50">
        <v>17</v>
      </c>
      <c r="G36" s="50">
        <v>0</v>
      </c>
      <c r="H36" s="50">
        <v>0</v>
      </c>
      <c r="I36" s="50">
        <v>0</v>
      </c>
      <c r="J36" s="50">
        <v>2</v>
      </c>
      <c r="K36" s="50">
        <v>1</v>
      </c>
      <c r="L36" s="50">
        <f>SUM('[1]RD4 MCC'!R416:U416)</f>
        <v>0</v>
      </c>
      <c r="M36" s="50">
        <v>49</v>
      </c>
      <c r="N36" s="50">
        <v>0</v>
      </c>
      <c r="O36" s="15">
        <f t="shared" si="0"/>
        <v>30</v>
      </c>
      <c r="P36" s="15">
        <f t="shared" si="1"/>
        <v>79</v>
      </c>
      <c r="R36" s="38" t="s">
        <v>92</v>
      </c>
      <c r="S36" s="39">
        <f t="shared" ref="S36:AF36" si="28">MAX(S19:S21)</f>
        <v>34</v>
      </c>
      <c r="T36" s="39">
        <f t="shared" si="28"/>
        <v>5</v>
      </c>
      <c r="U36" s="39">
        <f t="shared" si="28"/>
        <v>20</v>
      </c>
      <c r="V36" s="39">
        <f t="shared" si="28"/>
        <v>50</v>
      </c>
      <c r="W36" s="39">
        <f t="shared" si="28"/>
        <v>9</v>
      </c>
      <c r="X36" s="39">
        <f t="shared" si="28"/>
        <v>1</v>
      </c>
      <c r="Y36" s="39">
        <f t="shared" si="28"/>
        <v>13</v>
      </c>
      <c r="Z36" s="39">
        <f t="shared" si="28"/>
        <v>1</v>
      </c>
      <c r="AA36" s="39">
        <f t="shared" si="28"/>
        <v>1</v>
      </c>
      <c r="AB36" s="39">
        <f t="shared" si="28"/>
        <v>0</v>
      </c>
      <c r="AC36" s="39">
        <f t="shared" si="28"/>
        <v>218</v>
      </c>
      <c r="AD36" s="39">
        <f t="shared" si="28"/>
        <v>0</v>
      </c>
      <c r="AE36" s="40">
        <f t="shared" si="28"/>
        <v>126</v>
      </c>
      <c r="AF36" s="40">
        <f t="shared" si="28"/>
        <v>344</v>
      </c>
    </row>
    <row r="37" spans="2:32" ht="23.1" customHeight="1" x14ac:dyDescent="0.25">
      <c r="B37" s="45" t="s">
        <v>64</v>
      </c>
      <c r="C37" s="50">
        <v>6</v>
      </c>
      <c r="D37" s="50">
        <v>1</v>
      </c>
      <c r="E37" s="50">
        <v>4</v>
      </c>
      <c r="F37" s="50">
        <v>16</v>
      </c>
      <c r="G37" s="50">
        <v>1</v>
      </c>
      <c r="H37" s="50">
        <v>0</v>
      </c>
      <c r="I37" s="50">
        <v>3</v>
      </c>
      <c r="J37" s="50">
        <v>1</v>
      </c>
      <c r="K37" s="50">
        <v>0</v>
      </c>
      <c r="L37" s="50">
        <f>SUM('[1]RD4 MCC'!R417:U417)</f>
        <v>0</v>
      </c>
      <c r="M37" s="50">
        <v>40</v>
      </c>
      <c r="N37" s="50">
        <v>0</v>
      </c>
      <c r="O37" s="15">
        <f t="shared" si="0"/>
        <v>32</v>
      </c>
      <c r="P37" s="15">
        <f t="shared" si="1"/>
        <v>72</v>
      </c>
      <c r="R37" s="37" t="s">
        <v>85</v>
      </c>
      <c r="S37" s="35">
        <f t="shared" ref="S37:AF37" si="29">SUM(S10:S12)</f>
        <v>50</v>
      </c>
      <c r="T37" s="16">
        <f t="shared" si="29"/>
        <v>4</v>
      </c>
      <c r="U37" s="16">
        <f t="shared" si="29"/>
        <v>22</v>
      </c>
      <c r="V37" s="16">
        <f t="shared" si="29"/>
        <v>88</v>
      </c>
      <c r="W37" s="16">
        <f t="shared" si="29"/>
        <v>27</v>
      </c>
      <c r="X37" s="16">
        <f t="shared" si="29"/>
        <v>0</v>
      </c>
      <c r="Y37" s="16">
        <f t="shared" si="29"/>
        <v>27</v>
      </c>
      <c r="Z37" s="16">
        <f t="shared" si="29"/>
        <v>5</v>
      </c>
      <c r="AA37" s="16">
        <f t="shared" si="29"/>
        <v>0</v>
      </c>
      <c r="AB37" s="16">
        <f t="shared" si="29"/>
        <v>0</v>
      </c>
      <c r="AC37" s="16">
        <f t="shared" si="29"/>
        <v>318</v>
      </c>
      <c r="AD37" s="16">
        <f t="shared" si="29"/>
        <v>0</v>
      </c>
      <c r="AE37" s="32">
        <f t="shared" si="29"/>
        <v>223</v>
      </c>
      <c r="AF37" s="32">
        <f t="shared" si="29"/>
        <v>541</v>
      </c>
    </row>
    <row r="38" spans="2:32" ht="23.1" customHeight="1" x14ac:dyDescent="0.25">
      <c r="B38" s="46" t="s">
        <v>65</v>
      </c>
      <c r="C38" s="50">
        <v>9</v>
      </c>
      <c r="D38" s="50">
        <v>0</v>
      </c>
      <c r="E38" s="50">
        <v>3</v>
      </c>
      <c r="F38" s="50">
        <v>13</v>
      </c>
      <c r="G38" s="50">
        <v>2</v>
      </c>
      <c r="H38" s="50">
        <v>1</v>
      </c>
      <c r="I38" s="50">
        <v>8</v>
      </c>
      <c r="J38" s="50">
        <v>0</v>
      </c>
      <c r="K38" s="50">
        <v>0</v>
      </c>
      <c r="L38" s="50">
        <f>SUM('[1]RD4 MCC'!R418:U418)</f>
        <v>0</v>
      </c>
      <c r="M38" s="50">
        <v>50</v>
      </c>
      <c r="N38" s="50">
        <v>0</v>
      </c>
      <c r="O38" s="15">
        <f t="shared" si="0"/>
        <v>36</v>
      </c>
      <c r="P38" s="15">
        <f t="shared" si="1"/>
        <v>86</v>
      </c>
      <c r="R38" s="28" t="s">
        <v>86</v>
      </c>
      <c r="S38" s="16">
        <f t="shared" ref="S38:AF38" si="30">SUM(S13:S18)</f>
        <v>159</v>
      </c>
      <c r="T38" s="16">
        <f t="shared" si="30"/>
        <v>27</v>
      </c>
      <c r="U38" s="16">
        <f t="shared" si="30"/>
        <v>102</v>
      </c>
      <c r="V38" s="16">
        <f t="shared" si="30"/>
        <v>291</v>
      </c>
      <c r="W38" s="16">
        <f t="shared" si="30"/>
        <v>21</v>
      </c>
      <c r="X38" s="16">
        <f t="shared" si="30"/>
        <v>3</v>
      </c>
      <c r="Y38" s="16">
        <f t="shared" si="30"/>
        <v>72</v>
      </c>
      <c r="Z38" s="16">
        <f t="shared" si="30"/>
        <v>9</v>
      </c>
      <c r="AA38" s="16">
        <f t="shared" si="30"/>
        <v>3</v>
      </c>
      <c r="AB38" s="16">
        <f t="shared" si="30"/>
        <v>0</v>
      </c>
      <c r="AC38" s="16">
        <f t="shared" si="30"/>
        <v>917</v>
      </c>
      <c r="AD38" s="16">
        <f t="shared" si="30"/>
        <v>0</v>
      </c>
      <c r="AE38" s="32">
        <f t="shared" si="30"/>
        <v>687</v>
      </c>
      <c r="AF38" s="32">
        <f t="shared" si="30"/>
        <v>1604</v>
      </c>
    </row>
    <row r="39" spans="2:32" ht="23.1" customHeight="1" x14ac:dyDescent="0.25">
      <c r="B39" s="46" t="s">
        <v>66</v>
      </c>
      <c r="C39" s="50">
        <v>13</v>
      </c>
      <c r="D39" s="50">
        <v>2</v>
      </c>
      <c r="E39" s="50">
        <v>7</v>
      </c>
      <c r="F39" s="50">
        <v>10</v>
      </c>
      <c r="G39" s="50">
        <v>2</v>
      </c>
      <c r="H39" s="50">
        <v>0</v>
      </c>
      <c r="I39" s="50">
        <v>2</v>
      </c>
      <c r="J39" s="50">
        <v>1</v>
      </c>
      <c r="K39" s="50">
        <v>1</v>
      </c>
      <c r="L39" s="50">
        <f>SUM('[1]RD4 MCC'!R419:U419)</f>
        <v>0</v>
      </c>
      <c r="M39" s="50">
        <v>37</v>
      </c>
      <c r="N39" s="50">
        <v>0</v>
      </c>
      <c r="O39" s="15">
        <f t="shared" si="0"/>
        <v>38</v>
      </c>
      <c r="P39" s="15">
        <f t="shared" si="1"/>
        <v>75</v>
      </c>
      <c r="R39" s="29" t="s">
        <v>87</v>
      </c>
      <c r="S39" s="16">
        <f t="shared" ref="S39:AF39" si="31">SUM(S19:S21)</f>
        <v>94</v>
      </c>
      <c r="T39" s="16">
        <f t="shared" si="31"/>
        <v>10</v>
      </c>
      <c r="U39" s="16">
        <f t="shared" si="31"/>
        <v>43</v>
      </c>
      <c r="V39" s="16">
        <f t="shared" si="31"/>
        <v>131</v>
      </c>
      <c r="W39" s="16">
        <f t="shared" si="31"/>
        <v>17</v>
      </c>
      <c r="X39" s="16">
        <f t="shared" si="31"/>
        <v>1</v>
      </c>
      <c r="Y39" s="16">
        <f t="shared" si="31"/>
        <v>34</v>
      </c>
      <c r="Z39" s="16">
        <f t="shared" si="31"/>
        <v>2</v>
      </c>
      <c r="AA39" s="16">
        <f t="shared" si="31"/>
        <v>1</v>
      </c>
      <c r="AB39" s="16">
        <f t="shared" si="31"/>
        <v>0</v>
      </c>
      <c r="AC39" s="16">
        <f t="shared" si="31"/>
        <v>473</v>
      </c>
      <c r="AD39" s="16">
        <f t="shared" si="31"/>
        <v>0</v>
      </c>
      <c r="AE39" s="32">
        <f t="shared" si="31"/>
        <v>333</v>
      </c>
      <c r="AF39" s="32">
        <f t="shared" si="31"/>
        <v>806</v>
      </c>
    </row>
    <row r="40" spans="2:32" ht="23.1" customHeight="1" x14ac:dyDescent="0.25">
      <c r="B40" s="46" t="s">
        <v>67</v>
      </c>
      <c r="C40" s="50">
        <v>7</v>
      </c>
      <c r="D40" s="50">
        <v>2</v>
      </c>
      <c r="E40" s="50">
        <v>7</v>
      </c>
      <c r="F40" s="50">
        <v>10</v>
      </c>
      <c r="G40" s="50">
        <v>2</v>
      </c>
      <c r="H40" s="50">
        <v>1</v>
      </c>
      <c r="I40" s="50">
        <v>3</v>
      </c>
      <c r="J40" s="50">
        <v>0</v>
      </c>
      <c r="K40" s="50">
        <v>0</v>
      </c>
      <c r="L40" s="50">
        <f>SUM('[1]RD4 MCC'!R420:U420)</f>
        <v>0</v>
      </c>
      <c r="M40" s="50">
        <v>32</v>
      </c>
      <c r="N40" s="50">
        <v>0</v>
      </c>
      <c r="O40" s="15">
        <f t="shared" si="0"/>
        <v>32</v>
      </c>
      <c r="P40" s="15">
        <f t="shared" si="1"/>
        <v>64</v>
      </c>
      <c r="R40" s="5" t="s">
        <v>17</v>
      </c>
      <c r="S40" s="16">
        <f t="shared" ref="S40:AF40" si="32">SUM(S10:S21)</f>
        <v>303</v>
      </c>
      <c r="T40" s="16">
        <f t="shared" si="32"/>
        <v>41</v>
      </c>
      <c r="U40" s="16">
        <f t="shared" si="32"/>
        <v>167</v>
      </c>
      <c r="V40" s="16">
        <f t="shared" si="32"/>
        <v>510</v>
      </c>
      <c r="W40" s="16">
        <f t="shared" si="32"/>
        <v>65</v>
      </c>
      <c r="X40" s="16">
        <f t="shared" si="32"/>
        <v>4</v>
      </c>
      <c r="Y40" s="16">
        <f t="shared" si="32"/>
        <v>133</v>
      </c>
      <c r="Z40" s="16">
        <f t="shared" si="32"/>
        <v>16</v>
      </c>
      <c r="AA40" s="16">
        <f t="shared" si="32"/>
        <v>4</v>
      </c>
      <c r="AB40" s="16">
        <f t="shared" si="32"/>
        <v>0</v>
      </c>
      <c r="AC40" s="16">
        <f t="shared" si="32"/>
        <v>1708</v>
      </c>
      <c r="AD40" s="16">
        <f t="shared" si="32"/>
        <v>0</v>
      </c>
      <c r="AE40" s="32">
        <f t="shared" si="32"/>
        <v>1243</v>
      </c>
      <c r="AF40" s="32">
        <f t="shared" si="32"/>
        <v>2951</v>
      </c>
    </row>
    <row r="41" spans="2:32" ht="23.1" customHeight="1" x14ac:dyDescent="0.25">
      <c r="B41" s="45" t="s">
        <v>68</v>
      </c>
      <c r="C41" s="50">
        <v>6</v>
      </c>
      <c r="D41" s="50">
        <v>0</v>
      </c>
      <c r="E41" s="50">
        <v>3</v>
      </c>
      <c r="F41" s="50">
        <v>12</v>
      </c>
      <c r="G41" s="50">
        <v>1</v>
      </c>
      <c r="H41" s="50">
        <v>0</v>
      </c>
      <c r="I41" s="50">
        <v>2</v>
      </c>
      <c r="J41" s="50">
        <v>0</v>
      </c>
      <c r="K41" s="50">
        <v>0</v>
      </c>
      <c r="L41" s="50">
        <f>SUM('[1]RD4 MCC'!R421:U421)</f>
        <v>0</v>
      </c>
      <c r="M41" s="50">
        <v>42</v>
      </c>
      <c r="N41" s="50">
        <v>0</v>
      </c>
      <c r="O41" s="15">
        <f t="shared" si="0"/>
        <v>24</v>
      </c>
      <c r="P41" s="15">
        <f t="shared" si="1"/>
        <v>66</v>
      </c>
      <c r="R41" s="5" t="s">
        <v>159</v>
      </c>
      <c r="S41" s="16">
        <f>SUM(S10:S33)</f>
        <v>437</v>
      </c>
      <c r="T41" s="16">
        <f t="shared" ref="T41:AF41" si="33">SUM(T10:T33)</f>
        <v>56</v>
      </c>
      <c r="U41" s="16">
        <f t="shared" si="33"/>
        <v>256</v>
      </c>
      <c r="V41" s="16">
        <f t="shared" si="33"/>
        <v>656</v>
      </c>
      <c r="W41" s="16">
        <f t="shared" si="33"/>
        <v>134</v>
      </c>
      <c r="X41" s="16">
        <f t="shared" si="33"/>
        <v>7</v>
      </c>
      <c r="Y41" s="16">
        <f t="shared" si="33"/>
        <v>187</v>
      </c>
      <c r="Z41" s="16">
        <f t="shared" si="33"/>
        <v>30</v>
      </c>
      <c r="AA41" s="16">
        <f t="shared" si="33"/>
        <v>5</v>
      </c>
      <c r="AB41" s="16">
        <f t="shared" si="33"/>
        <v>0</v>
      </c>
      <c r="AC41" s="16">
        <f t="shared" si="33"/>
        <v>2434</v>
      </c>
      <c r="AD41" s="16">
        <f t="shared" si="33"/>
        <v>0</v>
      </c>
      <c r="AE41" s="32">
        <f t="shared" si="33"/>
        <v>1768</v>
      </c>
      <c r="AF41" s="32">
        <f t="shared" si="33"/>
        <v>4202</v>
      </c>
    </row>
    <row r="42" spans="2:32" ht="23.1" customHeight="1" x14ac:dyDescent="0.25">
      <c r="B42" s="46" t="s">
        <v>69</v>
      </c>
      <c r="C42" s="50">
        <v>7</v>
      </c>
      <c r="D42" s="50">
        <v>1</v>
      </c>
      <c r="E42" s="50">
        <v>3</v>
      </c>
      <c r="F42" s="50">
        <v>7</v>
      </c>
      <c r="G42" s="50">
        <v>0</v>
      </c>
      <c r="H42" s="50">
        <v>0</v>
      </c>
      <c r="I42" s="50">
        <v>9</v>
      </c>
      <c r="J42" s="50">
        <v>0</v>
      </c>
      <c r="K42" s="50">
        <v>0</v>
      </c>
      <c r="L42" s="50">
        <f>SUM('[1]RD4 MCC'!R422:U422)</f>
        <v>0</v>
      </c>
      <c r="M42" s="50">
        <v>29</v>
      </c>
      <c r="N42" s="50">
        <v>0</v>
      </c>
      <c r="O42" s="15">
        <f t="shared" si="0"/>
        <v>27</v>
      </c>
      <c r="P42" s="15">
        <f t="shared" si="1"/>
        <v>56</v>
      </c>
      <c r="R42" s="5" t="s">
        <v>160</v>
      </c>
      <c r="S42" s="48">
        <f>S41/S40</f>
        <v>1.4422442244224423</v>
      </c>
      <c r="T42" s="48">
        <f t="shared" ref="T42:AF42" si="34">T41/T40</f>
        <v>1.3658536585365855</v>
      </c>
      <c r="U42" s="48">
        <f t="shared" si="34"/>
        <v>1.532934131736527</v>
      </c>
      <c r="V42" s="48">
        <f t="shared" si="34"/>
        <v>1.2862745098039217</v>
      </c>
      <c r="W42" s="48">
        <f t="shared" si="34"/>
        <v>2.0615384615384613</v>
      </c>
      <c r="X42" s="48">
        <f t="shared" si="34"/>
        <v>1.75</v>
      </c>
      <c r="Y42" s="48">
        <f t="shared" si="34"/>
        <v>1.4060150375939851</v>
      </c>
      <c r="Z42" s="48">
        <f t="shared" si="34"/>
        <v>1.875</v>
      </c>
      <c r="AA42" s="48">
        <f t="shared" si="34"/>
        <v>1.25</v>
      </c>
      <c r="AB42" s="48" t="e">
        <f t="shared" si="34"/>
        <v>#DIV/0!</v>
      </c>
      <c r="AC42" s="48">
        <f t="shared" si="34"/>
        <v>1.4250585480093676</v>
      </c>
      <c r="AD42" s="48" t="e">
        <f t="shared" si="34"/>
        <v>#DIV/0!</v>
      </c>
      <c r="AE42" s="48">
        <f t="shared" si="34"/>
        <v>1.4223652453740949</v>
      </c>
      <c r="AF42" s="48">
        <f t="shared" si="34"/>
        <v>1.4239240935276178</v>
      </c>
    </row>
    <row r="43" spans="2:32" ht="23.1" customHeight="1" x14ac:dyDescent="0.25">
      <c r="B43" s="45" t="s">
        <v>70</v>
      </c>
      <c r="C43" s="50">
        <v>8</v>
      </c>
      <c r="D43" s="50">
        <v>1</v>
      </c>
      <c r="E43" s="50">
        <v>3</v>
      </c>
      <c r="F43" s="50">
        <v>12</v>
      </c>
      <c r="G43" s="50">
        <v>1</v>
      </c>
      <c r="H43" s="50">
        <v>0</v>
      </c>
      <c r="I43" s="50">
        <v>5</v>
      </c>
      <c r="J43" s="50">
        <v>0</v>
      </c>
      <c r="K43" s="50">
        <v>0</v>
      </c>
      <c r="L43" s="50">
        <f>SUM('[1]RD4 MCC'!R423:U423)</f>
        <v>0</v>
      </c>
      <c r="M43" s="50">
        <v>24</v>
      </c>
      <c r="N43" s="50">
        <v>0</v>
      </c>
      <c r="O43" s="15">
        <f t="shared" si="0"/>
        <v>30</v>
      </c>
      <c r="P43" s="15">
        <f t="shared" si="1"/>
        <v>54</v>
      </c>
    </row>
    <row r="44" spans="2:32" ht="23.1" customHeight="1" x14ac:dyDescent="0.25">
      <c r="B44" s="47" t="s">
        <v>71</v>
      </c>
      <c r="C44" s="50">
        <v>8</v>
      </c>
      <c r="D44" s="50">
        <v>2</v>
      </c>
      <c r="E44" s="50">
        <v>5</v>
      </c>
      <c r="F44" s="50">
        <v>15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f>SUM('[1]RD4 MCC'!R424:U424)</f>
        <v>0</v>
      </c>
      <c r="M44" s="50">
        <v>3</v>
      </c>
      <c r="N44" s="50">
        <v>0</v>
      </c>
      <c r="O44" s="15">
        <f t="shared" si="0"/>
        <v>34</v>
      </c>
      <c r="P44" s="15">
        <f t="shared" si="1"/>
        <v>37</v>
      </c>
    </row>
    <row r="45" spans="2:32" ht="23.1" customHeight="1" x14ac:dyDescent="0.25">
      <c r="B45" s="45" t="s">
        <v>72</v>
      </c>
      <c r="C45" s="50">
        <v>3</v>
      </c>
      <c r="D45" s="50">
        <v>2</v>
      </c>
      <c r="E45" s="50">
        <v>7</v>
      </c>
      <c r="F45" s="50">
        <v>15</v>
      </c>
      <c r="G45" s="50">
        <v>2</v>
      </c>
      <c r="H45" s="50">
        <v>0</v>
      </c>
      <c r="I45" s="50">
        <v>3</v>
      </c>
      <c r="J45" s="50">
        <v>0</v>
      </c>
      <c r="K45" s="50">
        <v>0</v>
      </c>
      <c r="L45" s="50">
        <f>SUM('[1]RD4 MCC'!R425:U425)</f>
        <v>0</v>
      </c>
      <c r="M45" s="50">
        <v>4</v>
      </c>
      <c r="N45" s="50">
        <v>0</v>
      </c>
      <c r="O45" s="15">
        <f t="shared" si="0"/>
        <v>32</v>
      </c>
      <c r="P45" s="15">
        <f t="shared" si="1"/>
        <v>36</v>
      </c>
    </row>
    <row r="46" spans="2:32" ht="23.1" customHeight="1" x14ac:dyDescent="0.25">
      <c r="B46" s="46" t="s">
        <v>73</v>
      </c>
      <c r="C46" s="50">
        <v>6</v>
      </c>
      <c r="D46" s="50">
        <v>1</v>
      </c>
      <c r="E46" s="50">
        <v>3</v>
      </c>
      <c r="F46" s="50">
        <v>12</v>
      </c>
      <c r="G46" s="50">
        <v>0</v>
      </c>
      <c r="H46" s="50">
        <v>0</v>
      </c>
      <c r="I46" s="50">
        <v>2</v>
      </c>
      <c r="J46" s="50">
        <v>0</v>
      </c>
      <c r="K46" s="50">
        <v>1</v>
      </c>
      <c r="L46" s="50">
        <f>SUM('[1]RD4 MCC'!R426:U426)</f>
        <v>0</v>
      </c>
      <c r="M46" s="50">
        <v>7</v>
      </c>
      <c r="N46" s="50">
        <v>0</v>
      </c>
      <c r="O46" s="15">
        <f t="shared" si="0"/>
        <v>25</v>
      </c>
      <c r="P46" s="15">
        <f t="shared" si="1"/>
        <v>32</v>
      </c>
      <c r="R46" s="8"/>
      <c r="T46"/>
    </row>
    <row r="47" spans="2:32" ht="23.1" customHeight="1" x14ac:dyDescent="0.25">
      <c r="B47" s="46" t="s">
        <v>74</v>
      </c>
      <c r="C47" s="50">
        <v>11</v>
      </c>
      <c r="D47" s="50">
        <v>1</v>
      </c>
      <c r="E47" s="50">
        <v>4</v>
      </c>
      <c r="F47" s="50">
        <v>8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f>SUM('[1]RD4 MCC'!R427:U427)</f>
        <v>0</v>
      </c>
      <c r="M47" s="50">
        <v>3</v>
      </c>
      <c r="N47" s="50">
        <v>0</v>
      </c>
      <c r="O47" s="15">
        <f t="shared" si="0"/>
        <v>25</v>
      </c>
      <c r="P47" s="15">
        <f t="shared" si="1"/>
        <v>28</v>
      </c>
      <c r="R47" s="8"/>
      <c r="T47"/>
    </row>
    <row r="48" spans="2:32" ht="23.1" customHeight="1" x14ac:dyDescent="0.25">
      <c r="B48" s="46" t="s">
        <v>75</v>
      </c>
      <c r="C48" s="50">
        <v>8</v>
      </c>
      <c r="D48" s="50">
        <v>0</v>
      </c>
      <c r="E48" s="50">
        <v>1</v>
      </c>
      <c r="F48" s="50">
        <v>17</v>
      </c>
      <c r="G48" s="50">
        <v>2</v>
      </c>
      <c r="H48" s="50">
        <v>1</v>
      </c>
      <c r="I48" s="50">
        <v>7</v>
      </c>
      <c r="J48" s="50">
        <v>0</v>
      </c>
      <c r="K48" s="50">
        <v>0</v>
      </c>
      <c r="L48" s="50">
        <f>SUM('[1]RD4 MCC'!R428:U428)</f>
        <v>0</v>
      </c>
      <c r="M48" s="50">
        <v>28</v>
      </c>
      <c r="N48" s="50">
        <v>0</v>
      </c>
      <c r="O48" s="15">
        <f t="shared" si="0"/>
        <v>36</v>
      </c>
      <c r="P48" s="15">
        <f t="shared" si="1"/>
        <v>64</v>
      </c>
      <c r="R48" s="8"/>
      <c r="T48"/>
    </row>
    <row r="49" spans="2:20" ht="23.1" customHeight="1" x14ac:dyDescent="0.25">
      <c r="B49" s="45" t="s">
        <v>76</v>
      </c>
      <c r="C49" s="50">
        <v>9</v>
      </c>
      <c r="D49" s="50">
        <v>0</v>
      </c>
      <c r="E49" s="50">
        <v>2</v>
      </c>
      <c r="F49" s="50">
        <v>8</v>
      </c>
      <c r="G49" s="50">
        <v>2</v>
      </c>
      <c r="H49" s="50">
        <v>0</v>
      </c>
      <c r="I49" s="50">
        <v>4</v>
      </c>
      <c r="J49" s="50">
        <v>0</v>
      </c>
      <c r="K49" s="50">
        <v>0</v>
      </c>
      <c r="L49" s="50">
        <f>SUM('[1]RD4 MCC'!R429:U429)</f>
        <v>0</v>
      </c>
      <c r="M49" s="50">
        <v>32</v>
      </c>
      <c r="N49" s="50">
        <v>0</v>
      </c>
      <c r="O49" s="15">
        <f t="shared" si="0"/>
        <v>25</v>
      </c>
      <c r="P49" s="15">
        <f t="shared" si="1"/>
        <v>57</v>
      </c>
      <c r="R49" s="8"/>
      <c r="T49"/>
    </row>
    <row r="50" spans="2:20" ht="23.1" customHeight="1" x14ac:dyDescent="0.25">
      <c r="B50" s="46" t="s">
        <v>77</v>
      </c>
      <c r="C50" s="50">
        <v>9</v>
      </c>
      <c r="D50" s="50">
        <v>1</v>
      </c>
      <c r="E50" s="50">
        <v>2</v>
      </c>
      <c r="F50" s="50">
        <v>12</v>
      </c>
      <c r="G50" s="50">
        <v>1</v>
      </c>
      <c r="H50" s="50">
        <v>0</v>
      </c>
      <c r="I50" s="50">
        <v>5</v>
      </c>
      <c r="J50" s="50">
        <v>0</v>
      </c>
      <c r="K50" s="50">
        <v>0</v>
      </c>
      <c r="L50" s="50">
        <f>SUM('[1]RD4 MCC'!R430:U430)</f>
        <v>0</v>
      </c>
      <c r="M50" s="50">
        <v>59</v>
      </c>
      <c r="N50" s="50">
        <v>0</v>
      </c>
      <c r="O50" s="15">
        <f t="shared" si="0"/>
        <v>30</v>
      </c>
      <c r="P50" s="15">
        <f t="shared" si="1"/>
        <v>89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1</v>
      </c>
      <c r="E51" s="50">
        <v>4</v>
      </c>
      <c r="F51" s="50">
        <v>7</v>
      </c>
      <c r="G51" s="50">
        <v>1</v>
      </c>
      <c r="H51" s="50">
        <v>0</v>
      </c>
      <c r="I51" s="50">
        <v>2</v>
      </c>
      <c r="J51" s="50">
        <v>0</v>
      </c>
      <c r="K51" s="50">
        <v>0</v>
      </c>
      <c r="L51" s="50">
        <f>SUM('[1]RD4 MCC'!R431:U431)</f>
        <v>0</v>
      </c>
      <c r="M51" s="50">
        <v>42</v>
      </c>
      <c r="N51" s="50">
        <v>0</v>
      </c>
      <c r="O51" s="15">
        <f t="shared" si="0"/>
        <v>21</v>
      </c>
      <c r="P51" s="15">
        <f t="shared" si="1"/>
        <v>63</v>
      </c>
      <c r="R51" s="8"/>
      <c r="T51"/>
    </row>
    <row r="52" spans="2:20" ht="23.1" customHeight="1" x14ac:dyDescent="0.25">
      <c r="B52" s="46" t="s">
        <v>79</v>
      </c>
      <c r="C52" s="50">
        <v>5</v>
      </c>
      <c r="D52" s="50">
        <v>0</v>
      </c>
      <c r="E52" s="50">
        <v>3</v>
      </c>
      <c r="F52" s="50">
        <v>11</v>
      </c>
      <c r="G52" s="50">
        <v>1</v>
      </c>
      <c r="H52" s="50">
        <v>0</v>
      </c>
      <c r="I52" s="50">
        <v>2</v>
      </c>
      <c r="J52" s="50">
        <v>0</v>
      </c>
      <c r="K52" s="50">
        <v>0</v>
      </c>
      <c r="L52" s="50">
        <f>SUM('[1]RD4 MCC'!R432:U432)</f>
        <v>0</v>
      </c>
      <c r="M52" s="50">
        <v>38</v>
      </c>
      <c r="N52" s="50">
        <v>0</v>
      </c>
      <c r="O52" s="15">
        <f t="shared" si="0"/>
        <v>22</v>
      </c>
      <c r="P52" s="15">
        <f t="shared" si="1"/>
        <v>60</v>
      </c>
      <c r="R52" s="8"/>
      <c r="T52"/>
    </row>
    <row r="53" spans="2:20" ht="23.1" customHeight="1" x14ac:dyDescent="0.25">
      <c r="B53" s="45" t="s">
        <v>80</v>
      </c>
      <c r="C53" s="50">
        <v>9</v>
      </c>
      <c r="D53" s="50">
        <v>1</v>
      </c>
      <c r="E53" s="50">
        <v>4</v>
      </c>
      <c r="F53" s="50">
        <v>6</v>
      </c>
      <c r="G53" s="50">
        <v>1</v>
      </c>
      <c r="H53" s="50">
        <v>0</v>
      </c>
      <c r="I53" s="50">
        <v>1</v>
      </c>
      <c r="J53" s="50">
        <v>1</v>
      </c>
      <c r="K53" s="50">
        <v>0</v>
      </c>
      <c r="L53" s="50">
        <f>SUM('[1]RD4 MCC'!R433:U433)</f>
        <v>0</v>
      </c>
      <c r="M53" s="50">
        <v>46</v>
      </c>
      <c r="N53" s="50">
        <v>0</v>
      </c>
      <c r="O53" s="15">
        <f t="shared" si="0"/>
        <v>23</v>
      </c>
      <c r="P53" s="15">
        <f t="shared" si="1"/>
        <v>69</v>
      </c>
      <c r="R53" s="8"/>
      <c r="T53"/>
    </row>
    <row r="54" spans="2:20" ht="23.1" customHeight="1" x14ac:dyDescent="0.25">
      <c r="B54" s="45" t="s">
        <v>81</v>
      </c>
      <c r="C54" s="50">
        <v>7</v>
      </c>
      <c r="D54" s="50">
        <v>2</v>
      </c>
      <c r="E54" s="50">
        <v>6</v>
      </c>
      <c r="F54" s="50">
        <v>14</v>
      </c>
      <c r="G54" s="50">
        <v>2</v>
      </c>
      <c r="H54" s="50">
        <v>0</v>
      </c>
      <c r="I54" s="50">
        <v>3</v>
      </c>
      <c r="J54" s="50">
        <v>0</v>
      </c>
      <c r="K54" s="50">
        <v>0</v>
      </c>
      <c r="L54" s="50">
        <f>SUM('[1]RD4 MCC'!R434:U434)</f>
        <v>0</v>
      </c>
      <c r="M54" s="50">
        <v>56</v>
      </c>
      <c r="N54" s="50">
        <v>0</v>
      </c>
      <c r="O54" s="15">
        <f t="shared" si="0"/>
        <v>34</v>
      </c>
      <c r="P54" s="15">
        <f t="shared" si="1"/>
        <v>90</v>
      </c>
      <c r="R54" s="8"/>
      <c r="T54"/>
    </row>
    <row r="55" spans="2:20" ht="23.1" customHeight="1" x14ac:dyDescent="0.25">
      <c r="B55" s="45" t="s">
        <v>82</v>
      </c>
      <c r="C55" s="50">
        <v>7</v>
      </c>
      <c r="D55" s="50">
        <v>1</v>
      </c>
      <c r="E55" s="50">
        <v>4</v>
      </c>
      <c r="F55" s="50">
        <v>14</v>
      </c>
      <c r="G55" s="50">
        <v>2</v>
      </c>
      <c r="H55" s="50">
        <v>0</v>
      </c>
      <c r="I55" s="50">
        <v>6</v>
      </c>
      <c r="J55" s="50">
        <v>0</v>
      </c>
      <c r="K55" s="50">
        <v>0</v>
      </c>
      <c r="L55" s="50">
        <f>SUM('[1]RD4 MCC'!R435:U435)</f>
        <v>0</v>
      </c>
      <c r="M55" s="50">
        <v>50</v>
      </c>
      <c r="N55" s="50">
        <v>0</v>
      </c>
      <c r="O55" s="15">
        <f t="shared" si="0"/>
        <v>34</v>
      </c>
      <c r="P55" s="15">
        <f t="shared" si="1"/>
        <v>84</v>
      </c>
      <c r="R55" s="8"/>
      <c r="T55"/>
    </row>
    <row r="56" spans="2:20" ht="23.1" customHeight="1" x14ac:dyDescent="0.25">
      <c r="B56" s="45" t="s">
        <v>83</v>
      </c>
      <c r="C56" s="50">
        <v>11</v>
      </c>
      <c r="D56" s="50">
        <v>2</v>
      </c>
      <c r="E56" s="50">
        <v>7</v>
      </c>
      <c r="F56" s="50">
        <v>14</v>
      </c>
      <c r="G56" s="50">
        <v>4</v>
      </c>
      <c r="H56" s="50">
        <v>0</v>
      </c>
      <c r="I56" s="50">
        <v>2</v>
      </c>
      <c r="J56" s="50">
        <v>0</v>
      </c>
      <c r="K56" s="50">
        <v>0</v>
      </c>
      <c r="L56" s="50">
        <f>SUM('[1]RD4 MCC'!R436:U436)</f>
        <v>0</v>
      </c>
      <c r="M56" s="50">
        <v>57</v>
      </c>
      <c r="N56" s="50">
        <v>0</v>
      </c>
      <c r="O56" s="15">
        <f t="shared" si="0"/>
        <v>40</v>
      </c>
      <c r="P56" s="15">
        <f t="shared" si="1"/>
        <v>97</v>
      </c>
      <c r="R56" s="8"/>
      <c r="T56"/>
    </row>
    <row r="57" spans="2:20" ht="23.1" customHeight="1" x14ac:dyDescent="0.25">
      <c r="B57" s="45" t="s">
        <v>84</v>
      </c>
      <c r="C57" s="50">
        <v>6</v>
      </c>
      <c r="D57" s="50">
        <v>0</v>
      </c>
      <c r="E57" s="50">
        <v>3</v>
      </c>
      <c r="F57" s="50">
        <v>8</v>
      </c>
      <c r="G57" s="50">
        <v>1</v>
      </c>
      <c r="H57" s="50">
        <v>0</v>
      </c>
      <c r="I57" s="50">
        <v>0</v>
      </c>
      <c r="J57" s="50">
        <v>0</v>
      </c>
      <c r="K57" s="50">
        <v>0</v>
      </c>
      <c r="L57" s="50">
        <f>SUM('[1]RD4 MCC'!R437:U437)</f>
        <v>0</v>
      </c>
      <c r="M57" s="50">
        <v>55</v>
      </c>
      <c r="N57" s="50">
        <v>0</v>
      </c>
      <c r="O57" s="15">
        <f t="shared" si="0"/>
        <v>18</v>
      </c>
      <c r="P57" s="15">
        <f t="shared" si="1"/>
        <v>73</v>
      </c>
      <c r="R57" s="8"/>
      <c r="T57"/>
    </row>
    <row r="58" spans="2:20" ht="23.1" customHeight="1" x14ac:dyDescent="0.25">
      <c r="B58" s="45" t="s">
        <v>99</v>
      </c>
      <c r="C58" s="50">
        <v>11</v>
      </c>
      <c r="D58" s="50">
        <v>1</v>
      </c>
      <c r="E58" s="50">
        <v>3</v>
      </c>
      <c r="F58" s="50">
        <v>12</v>
      </c>
      <c r="G58" s="50">
        <v>4</v>
      </c>
      <c r="H58" s="50">
        <v>0</v>
      </c>
      <c r="I58" s="50">
        <v>7</v>
      </c>
      <c r="J58" s="50">
        <v>2</v>
      </c>
      <c r="K58" s="50">
        <v>0</v>
      </c>
      <c r="L58" s="50">
        <f>SUM('[1]RD4 MCC'!R438:U438)</f>
        <v>0</v>
      </c>
      <c r="M58" s="50">
        <v>54</v>
      </c>
      <c r="N58" s="50">
        <v>0</v>
      </c>
      <c r="O58" s="15">
        <f t="shared" si="0"/>
        <v>40</v>
      </c>
      <c r="P58" s="15">
        <f t="shared" si="1"/>
        <v>94</v>
      </c>
      <c r="R58" s="8"/>
      <c r="T58"/>
    </row>
    <row r="59" spans="2:20" ht="23.1" customHeight="1" x14ac:dyDescent="0.25">
      <c r="B59" s="45" t="s">
        <v>100</v>
      </c>
      <c r="C59" s="50">
        <v>8</v>
      </c>
      <c r="D59" s="50">
        <v>2</v>
      </c>
      <c r="E59" s="50">
        <v>6</v>
      </c>
      <c r="F59" s="50">
        <v>22</v>
      </c>
      <c r="G59" s="50">
        <v>7</v>
      </c>
      <c r="H59" s="50">
        <v>0</v>
      </c>
      <c r="I59" s="50">
        <v>2</v>
      </c>
      <c r="J59" s="50">
        <v>1</v>
      </c>
      <c r="K59" s="50">
        <v>0</v>
      </c>
      <c r="L59" s="50">
        <f>SUM('[1]RD4 MCC'!R439:U439)</f>
        <v>0</v>
      </c>
      <c r="M59" s="50">
        <v>57</v>
      </c>
      <c r="N59" s="50">
        <v>0</v>
      </c>
      <c r="O59" s="15">
        <f t="shared" si="0"/>
        <v>48</v>
      </c>
      <c r="P59" s="15">
        <f t="shared" si="1"/>
        <v>105</v>
      </c>
      <c r="R59" s="8"/>
      <c r="T59"/>
    </row>
    <row r="60" spans="2:20" ht="23.1" customHeight="1" x14ac:dyDescent="0.25">
      <c r="B60" s="45" t="s">
        <v>101</v>
      </c>
      <c r="C60" s="50">
        <v>8</v>
      </c>
      <c r="D60" s="50">
        <v>0</v>
      </c>
      <c r="E60" s="50">
        <v>2</v>
      </c>
      <c r="F60" s="50">
        <v>8</v>
      </c>
      <c r="G60" s="50">
        <v>7</v>
      </c>
      <c r="H60" s="50">
        <v>0</v>
      </c>
      <c r="I60" s="50">
        <v>1</v>
      </c>
      <c r="J60" s="50">
        <v>0</v>
      </c>
      <c r="K60" s="50">
        <v>0</v>
      </c>
      <c r="L60" s="50">
        <f>SUM('[1]RD4 MCC'!R440:U440)</f>
        <v>0</v>
      </c>
      <c r="M60" s="50">
        <v>63</v>
      </c>
      <c r="N60" s="50">
        <v>0</v>
      </c>
      <c r="O60" s="15">
        <f t="shared" si="0"/>
        <v>26</v>
      </c>
      <c r="P60" s="15">
        <f t="shared" si="1"/>
        <v>89</v>
      </c>
      <c r="R60" s="8"/>
      <c r="T60"/>
    </row>
    <row r="61" spans="2:20" ht="23.1" customHeight="1" x14ac:dyDescent="0.25">
      <c r="B61" s="45" t="s">
        <v>102</v>
      </c>
      <c r="C61" s="50">
        <v>5</v>
      </c>
      <c r="D61" s="50">
        <v>0</v>
      </c>
      <c r="E61" s="50">
        <v>2</v>
      </c>
      <c r="F61" s="50">
        <v>2</v>
      </c>
      <c r="G61" s="50">
        <v>3</v>
      </c>
      <c r="H61" s="50">
        <v>0</v>
      </c>
      <c r="I61" s="50">
        <v>1</v>
      </c>
      <c r="J61" s="50">
        <v>0</v>
      </c>
      <c r="K61" s="50">
        <v>0</v>
      </c>
      <c r="L61" s="50">
        <f>SUM('[1]RD4 MCC'!R441:U441)</f>
        <v>0</v>
      </c>
      <c r="M61" s="50">
        <v>63</v>
      </c>
      <c r="N61" s="50">
        <v>0</v>
      </c>
      <c r="O61" s="15">
        <f t="shared" si="0"/>
        <v>13</v>
      </c>
      <c r="P61" s="15">
        <f t="shared" si="1"/>
        <v>76</v>
      </c>
      <c r="R61" s="8"/>
      <c r="T61"/>
    </row>
    <row r="62" spans="2:20" ht="23.1" customHeight="1" x14ac:dyDescent="0.25">
      <c r="B62" s="45" t="s">
        <v>107</v>
      </c>
      <c r="C62" s="50">
        <v>4</v>
      </c>
      <c r="D62" s="50">
        <v>0</v>
      </c>
      <c r="E62" s="50">
        <v>2</v>
      </c>
      <c r="F62" s="50">
        <v>9</v>
      </c>
      <c r="G62" s="50">
        <v>5</v>
      </c>
      <c r="H62" s="50">
        <v>1</v>
      </c>
      <c r="I62" s="50">
        <v>4</v>
      </c>
      <c r="J62" s="50">
        <v>0</v>
      </c>
      <c r="K62" s="50">
        <v>0</v>
      </c>
      <c r="L62" s="50">
        <f>SUM('[1]RD4 MCC'!R442:U442)</f>
        <v>0</v>
      </c>
      <c r="M62" s="50">
        <v>29</v>
      </c>
      <c r="N62" s="50">
        <v>0</v>
      </c>
      <c r="O62" s="15">
        <f t="shared" si="0"/>
        <v>25</v>
      </c>
      <c r="P62" s="15">
        <f t="shared" si="1"/>
        <v>54</v>
      </c>
      <c r="R62" s="8"/>
      <c r="T62"/>
    </row>
    <row r="63" spans="2:20" ht="23.1" customHeight="1" x14ac:dyDescent="0.25">
      <c r="B63" s="45" t="s">
        <v>108</v>
      </c>
      <c r="C63" s="50">
        <v>8</v>
      </c>
      <c r="D63" s="50">
        <v>1</v>
      </c>
      <c r="E63" s="50">
        <v>3</v>
      </c>
      <c r="F63" s="50">
        <v>6</v>
      </c>
      <c r="G63" s="50">
        <v>4</v>
      </c>
      <c r="H63" s="50">
        <v>1</v>
      </c>
      <c r="I63" s="50">
        <v>3</v>
      </c>
      <c r="J63" s="50">
        <v>0</v>
      </c>
      <c r="K63" s="50">
        <v>0</v>
      </c>
      <c r="L63" s="50">
        <f>SUM('[1]RD4 MCC'!R443:U443)</f>
        <v>0</v>
      </c>
      <c r="M63" s="50">
        <v>34</v>
      </c>
      <c r="N63" s="50">
        <v>0</v>
      </c>
      <c r="O63" s="15">
        <f t="shared" si="0"/>
        <v>26</v>
      </c>
      <c r="P63" s="15">
        <f t="shared" si="1"/>
        <v>60</v>
      </c>
      <c r="R63" s="8"/>
      <c r="T63"/>
    </row>
    <row r="64" spans="2:20" ht="23.1" customHeight="1" x14ac:dyDescent="0.25">
      <c r="B64" s="45" t="s">
        <v>109</v>
      </c>
      <c r="C64" s="50">
        <v>9</v>
      </c>
      <c r="D64" s="50">
        <v>2</v>
      </c>
      <c r="E64" s="50">
        <v>5</v>
      </c>
      <c r="F64" s="50">
        <v>4</v>
      </c>
      <c r="G64" s="50">
        <v>4</v>
      </c>
      <c r="H64" s="50">
        <v>0</v>
      </c>
      <c r="I64" s="50">
        <v>1</v>
      </c>
      <c r="J64" s="50">
        <v>0</v>
      </c>
      <c r="K64" s="50">
        <v>0</v>
      </c>
      <c r="L64" s="50">
        <f>SUM('[1]RD4 MCC'!R444:U444)</f>
        <v>0</v>
      </c>
      <c r="M64" s="50">
        <v>35</v>
      </c>
      <c r="N64" s="50">
        <v>0</v>
      </c>
      <c r="O64" s="15">
        <f t="shared" si="0"/>
        <v>25</v>
      </c>
      <c r="P64" s="15">
        <f t="shared" si="1"/>
        <v>60</v>
      </c>
      <c r="R64" s="8"/>
      <c r="T64"/>
    </row>
    <row r="65" spans="2:20" ht="23.1" customHeight="1" x14ac:dyDescent="0.25">
      <c r="B65" s="45" t="s">
        <v>158</v>
      </c>
      <c r="C65" s="50">
        <v>7</v>
      </c>
      <c r="D65" s="50">
        <v>1</v>
      </c>
      <c r="E65" s="50">
        <v>5</v>
      </c>
      <c r="F65" s="50">
        <v>7</v>
      </c>
      <c r="G65" s="50">
        <v>2</v>
      </c>
      <c r="H65" s="50">
        <v>0</v>
      </c>
      <c r="I65" s="50">
        <v>1</v>
      </c>
      <c r="J65" s="50">
        <v>1</v>
      </c>
      <c r="K65" s="50">
        <v>0</v>
      </c>
      <c r="L65" s="50">
        <f>SUM('[1]RD4 MCC'!R445:U445)</f>
        <v>0</v>
      </c>
      <c r="M65" s="50">
        <v>28</v>
      </c>
      <c r="N65" s="50">
        <v>0</v>
      </c>
      <c r="O65" s="15">
        <f t="shared" si="0"/>
        <v>24</v>
      </c>
      <c r="P65" s="15">
        <f t="shared" si="1"/>
        <v>52</v>
      </c>
      <c r="R65" s="8"/>
      <c r="T65"/>
    </row>
    <row r="66" spans="2:20" ht="23.1" customHeight="1" x14ac:dyDescent="0.25">
      <c r="B66" s="45" t="s">
        <v>103</v>
      </c>
      <c r="C66" s="50">
        <v>1</v>
      </c>
      <c r="D66" s="50">
        <v>1</v>
      </c>
      <c r="E66" s="50">
        <v>5</v>
      </c>
      <c r="F66" s="50">
        <v>9</v>
      </c>
      <c r="G66" s="50">
        <v>3</v>
      </c>
      <c r="H66" s="50">
        <v>0</v>
      </c>
      <c r="I66" s="50">
        <v>4</v>
      </c>
      <c r="J66" s="50">
        <v>0</v>
      </c>
      <c r="K66" s="50">
        <v>0</v>
      </c>
      <c r="L66" s="50">
        <f>SUM('[1]RD4 MCC'!R446:U446)</f>
        <v>0</v>
      </c>
      <c r="M66" s="50">
        <v>29</v>
      </c>
      <c r="N66" s="50">
        <v>0</v>
      </c>
      <c r="O66" s="15">
        <f t="shared" si="0"/>
        <v>23</v>
      </c>
      <c r="P66" s="15">
        <f t="shared" si="1"/>
        <v>52</v>
      </c>
      <c r="R66" s="8"/>
      <c r="T66"/>
    </row>
    <row r="67" spans="2:20" ht="23.1" customHeight="1" x14ac:dyDescent="0.25">
      <c r="B67" s="45" t="s">
        <v>104</v>
      </c>
      <c r="C67" s="50">
        <v>9</v>
      </c>
      <c r="D67" s="50">
        <v>2</v>
      </c>
      <c r="E67" s="50">
        <v>6</v>
      </c>
      <c r="F67" s="50">
        <v>7</v>
      </c>
      <c r="G67" s="50">
        <v>4</v>
      </c>
      <c r="H67" s="50">
        <v>0</v>
      </c>
      <c r="I67" s="50">
        <v>2</v>
      </c>
      <c r="J67" s="50">
        <v>0</v>
      </c>
      <c r="K67" s="50">
        <v>0</v>
      </c>
      <c r="L67" s="50">
        <f>SUM('[1]RD4 MCC'!R447:U447)</f>
        <v>0</v>
      </c>
      <c r="M67" s="50">
        <v>35</v>
      </c>
      <c r="N67" s="50">
        <v>0</v>
      </c>
      <c r="O67" s="15">
        <f t="shared" si="0"/>
        <v>30</v>
      </c>
      <c r="P67" s="15">
        <f t="shared" si="1"/>
        <v>65</v>
      </c>
      <c r="R67" s="8"/>
      <c r="T67"/>
    </row>
    <row r="68" spans="2:20" ht="23.1" customHeight="1" x14ac:dyDescent="0.25">
      <c r="B68" s="45" t="s">
        <v>105</v>
      </c>
      <c r="C68" s="50">
        <v>6</v>
      </c>
      <c r="D68" s="50">
        <v>1</v>
      </c>
      <c r="E68" s="50">
        <v>4</v>
      </c>
      <c r="F68" s="50">
        <v>5</v>
      </c>
      <c r="G68" s="50">
        <v>1</v>
      </c>
      <c r="H68" s="50">
        <v>0</v>
      </c>
      <c r="I68" s="50">
        <v>1</v>
      </c>
      <c r="J68" s="50">
        <v>0</v>
      </c>
      <c r="K68" s="50">
        <v>1</v>
      </c>
      <c r="L68" s="50">
        <f>SUM('[1]RD4 MCC'!R448:U448)</f>
        <v>0</v>
      </c>
      <c r="M68" s="50">
        <v>35</v>
      </c>
      <c r="N68" s="50">
        <v>0</v>
      </c>
      <c r="O68" s="15">
        <f t="shared" si="0"/>
        <v>19</v>
      </c>
      <c r="P68" s="15">
        <f t="shared" si="1"/>
        <v>54</v>
      </c>
      <c r="R68" s="8"/>
      <c r="T68"/>
    </row>
    <row r="69" spans="2:20" ht="23.1" customHeight="1" x14ac:dyDescent="0.25">
      <c r="B69" s="45" t="s">
        <v>106</v>
      </c>
      <c r="C69" s="50">
        <v>6</v>
      </c>
      <c r="D69" s="50">
        <v>0</v>
      </c>
      <c r="E69" s="50">
        <v>2</v>
      </c>
      <c r="F69" s="50">
        <v>4</v>
      </c>
      <c r="G69" s="50">
        <v>1</v>
      </c>
      <c r="H69" s="50">
        <v>0</v>
      </c>
      <c r="I69" s="50">
        <v>0</v>
      </c>
      <c r="J69" s="50">
        <v>0</v>
      </c>
      <c r="K69" s="50">
        <v>0</v>
      </c>
      <c r="L69" s="50">
        <f>SUM('[1]RD4 MCC'!R449:U449)</f>
        <v>0</v>
      </c>
      <c r="M69" s="50">
        <v>33</v>
      </c>
      <c r="N69" s="50">
        <v>0</v>
      </c>
      <c r="O69" s="15">
        <f t="shared" si="0"/>
        <v>13</v>
      </c>
      <c r="P69" s="15">
        <f t="shared" si="1"/>
        <v>46</v>
      </c>
      <c r="R69" s="8"/>
      <c r="T69"/>
    </row>
    <row r="70" spans="2:20" ht="23.1" customHeight="1" x14ac:dyDescent="0.25">
      <c r="B70" s="45" t="s">
        <v>110</v>
      </c>
      <c r="C70" s="50">
        <v>3</v>
      </c>
      <c r="D70" s="50">
        <v>1</v>
      </c>
      <c r="E70" s="50">
        <v>2</v>
      </c>
      <c r="F70" s="50">
        <v>1</v>
      </c>
      <c r="G70" s="50">
        <v>1</v>
      </c>
      <c r="H70" s="50">
        <v>0</v>
      </c>
      <c r="I70" s="50">
        <v>3</v>
      </c>
      <c r="J70" s="50">
        <v>1</v>
      </c>
      <c r="K70" s="50">
        <v>0</v>
      </c>
      <c r="L70" s="50">
        <f>SUM('[1]RD4 MCC'!R450:U450)</f>
        <v>0</v>
      </c>
      <c r="M70" s="50">
        <v>12</v>
      </c>
      <c r="N70" s="50">
        <v>0</v>
      </c>
      <c r="O70" s="15">
        <f t="shared" si="0"/>
        <v>12</v>
      </c>
      <c r="P70" s="15">
        <f t="shared" si="1"/>
        <v>24</v>
      </c>
      <c r="R70" s="8"/>
      <c r="T70"/>
    </row>
    <row r="71" spans="2:20" ht="23.1" customHeight="1" x14ac:dyDescent="0.25">
      <c r="B71" s="45" t="s">
        <v>111</v>
      </c>
      <c r="C71" s="50">
        <v>9</v>
      </c>
      <c r="D71" s="50">
        <v>0</v>
      </c>
      <c r="E71" s="50">
        <v>3</v>
      </c>
      <c r="F71" s="50">
        <v>4</v>
      </c>
      <c r="G71" s="50">
        <v>1</v>
      </c>
      <c r="H71" s="50">
        <v>0</v>
      </c>
      <c r="I71" s="50">
        <v>1</v>
      </c>
      <c r="J71" s="50">
        <v>0</v>
      </c>
      <c r="K71" s="50">
        <v>0</v>
      </c>
      <c r="L71" s="50">
        <f>SUM('[1]RD4 MCC'!R451:U451)</f>
        <v>0</v>
      </c>
      <c r="M71" s="50">
        <v>35</v>
      </c>
      <c r="N71" s="50">
        <v>0</v>
      </c>
      <c r="O71" s="15">
        <f t="shared" si="0"/>
        <v>18</v>
      </c>
      <c r="P71" s="15">
        <f t="shared" si="1"/>
        <v>53</v>
      </c>
      <c r="R71" s="8"/>
      <c r="T71"/>
    </row>
    <row r="72" spans="2:20" ht="23.1" customHeight="1" x14ac:dyDescent="0.25">
      <c r="B72" s="45" t="s">
        <v>112</v>
      </c>
      <c r="C72" s="50">
        <v>3</v>
      </c>
      <c r="D72" s="50">
        <v>0</v>
      </c>
      <c r="E72" s="50">
        <v>3</v>
      </c>
      <c r="F72" s="50">
        <v>3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f>SUM('[1]RD4 MCC'!R452:U452)</f>
        <v>0</v>
      </c>
      <c r="M72" s="50">
        <v>19</v>
      </c>
      <c r="N72" s="50">
        <v>0</v>
      </c>
      <c r="O72" s="15">
        <f t="shared" si="0"/>
        <v>9</v>
      </c>
      <c r="P72" s="15">
        <f t="shared" si="1"/>
        <v>28</v>
      </c>
      <c r="R72" s="8"/>
      <c r="T72"/>
    </row>
    <row r="73" spans="2:20" ht="23.1" customHeight="1" x14ac:dyDescent="0.25">
      <c r="B73" s="45" t="s">
        <v>113</v>
      </c>
      <c r="C73" s="50">
        <v>4</v>
      </c>
      <c r="D73" s="50">
        <v>1</v>
      </c>
      <c r="E73" s="50">
        <v>4</v>
      </c>
      <c r="F73" s="50">
        <v>6</v>
      </c>
      <c r="G73" s="50">
        <v>1</v>
      </c>
      <c r="H73" s="50">
        <v>0</v>
      </c>
      <c r="I73" s="50">
        <v>2</v>
      </c>
      <c r="J73" s="50">
        <v>0</v>
      </c>
      <c r="K73" s="50">
        <v>0</v>
      </c>
      <c r="L73" s="50">
        <f>SUM('[1]RD4 MCC'!R453:U453)</f>
        <v>0</v>
      </c>
      <c r="M73" s="50">
        <v>15</v>
      </c>
      <c r="N73" s="50">
        <v>0</v>
      </c>
      <c r="O73" s="15">
        <f t="shared" si="0"/>
        <v>18</v>
      </c>
      <c r="P73" s="15">
        <f t="shared" si="1"/>
        <v>33</v>
      </c>
      <c r="R73" s="8"/>
      <c r="T73"/>
    </row>
    <row r="74" spans="2:20" ht="23.1" customHeight="1" x14ac:dyDescent="0.25">
      <c r="B74" s="45" t="s">
        <v>114</v>
      </c>
      <c r="C74" s="50">
        <v>2</v>
      </c>
      <c r="D74" s="50">
        <v>0</v>
      </c>
      <c r="E74" s="50">
        <v>2</v>
      </c>
      <c r="F74" s="50">
        <v>3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f>SUM('[1]RD4 MCC'!R454:U454)</f>
        <v>0</v>
      </c>
      <c r="M74" s="50">
        <v>13</v>
      </c>
      <c r="N74" s="50">
        <v>0</v>
      </c>
      <c r="O74" s="15">
        <f t="shared" ref="O74:O105" si="35">SUM(C74:L74,N74)</f>
        <v>7</v>
      </c>
      <c r="P74" s="15">
        <f t="shared" ref="P74:P105" si="36">SUM(C74:N74)</f>
        <v>20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1</v>
      </c>
      <c r="E75" s="50">
        <v>2</v>
      </c>
      <c r="F75" s="50">
        <v>3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f>SUM('[1]RD4 MCC'!R455:U455)</f>
        <v>0</v>
      </c>
      <c r="M75" s="50">
        <v>21</v>
      </c>
      <c r="N75" s="50">
        <v>0</v>
      </c>
      <c r="O75" s="15">
        <f t="shared" si="35"/>
        <v>7</v>
      </c>
      <c r="P75" s="15">
        <f t="shared" si="36"/>
        <v>28</v>
      </c>
      <c r="R75" s="8"/>
      <c r="T75"/>
    </row>
    <row r="76" spans="2:20" ht="23.1" customHeight="1" x14ac:dyDescent="0.25">
      <c r="B76" s="45" t="s">
        <v>116</v>
      </c>
      <c r="C76" s="50">
        <v>3</v>
      </c>
      <c r="D76" s="50">
        <v>0</v>
      </c>
      <c r="E76" s="50">
        <v>2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f>SUM('[1]RD4 MCC'!R456:U456)</f>
        <v>0</v>
      </c>
      <c r="M76" s="50">
        <v>15</v>
      </c>
      <c r="N76" s="50">
        <v>0</v>
      </c>
      <c r="O76" s="15">
        <f t="shared" si="35"/>
        <v>6</v>
      </c>
      <c r="P76" s="15">
        <f t="shared" si="36"/>
        <v>21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1</v>
      </c>
      <c r="E77" s="50">
        <v>3</v>
      </c>
      <c r="F77" s="50">
        <v>1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f>SUM('[1]RD4 MCC'!R457:U457)</f>
        <v>0</v>
      </c>
      <c r="M77" s="50">
        <v>6</v>
      </c>
      <c r="N77" s="50">
        <v>0</v>
      </c>
      <c r="O77" s="15">
        <f t="shared" si="35"/>
        <v>8</v>
      </c>
      <c r="P77" s="15">
        <f t="shared" si="36"/>
        <v>14</v>
      </c>
      <c r="R77" s="8"/>
      <c r="T77"/>
    </row>
    <row r="78" spans="2:20" ht="23.1" customHeight="1" x14ac:dyDescent="0.25">
      <c r="B78" s="46" t="s">
        <v>118</v>
      </c>
      <c r="C78" s="50">
        <v>4</v>
      </c>
      <c r="D78" s="50">
        <v>0</v>
      </c>
      <c r="E78" s="50">
        <v>3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f>SUM('[1]RD4 MCC'!R458:U458)</f>
        <v>0</v>
      </c>
      <c r="M78" s="50">
        <v>7</v>
      </c>
      <c r="N78" s="50">
        <v>0</v>
      </c>
      <c r="O78" s="15">
        <f t="shared" si="35"/>
        <v>7</v>
      </c>
      <c r="P78" s="15">
        <f t="shared" si="36"/>
        <v>14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2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f>SUM('[1]RD4 MCC'!R459:U459)</f>
        <v>0</v>
      </c>
      <c r="M79" s="50">
        <v>3</v>
      </c>
      <c r="N79" s="50">
        <v>0</v>
      </c>
      <c r="O79" s="15">
        <f t="shared" si="35"/>
        <v>2</v>
      </c>
      <c r="P79" s="15">
        <f t="shared" si="36"/>
        <v>5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1</v>
      </c>
      <c r="I80" s="50">
        <v>0</v>
      </c>
      <c r="J80" s="50">
        <v>0</v>
      </c>
      <c r="K80" s="50">
        <v>0</v>
      </c>
      <c r="L80" s="50">
        <f>SUM('[1]RD4 MCC'!R460:U460)</f>
        <v>0</v>
      </c>
      <c r="M80" s="50">
        <v>5</v>
      </c>
      <c r="N80" s="50">
        <v>0</v>
      </c>
      <c r="O80" s="15">
        <f t="shared" si="35"/>
        <v>1</v>
      </c>
      <c r="P80" s="15">
        <f t="shared" si="36"/>
        <v>6</v>
      </c>
      <c r="R80" s="8"/>
      <c r="T80"/>
    </row>
    <row r="81" spans="2:20" ht="23.1" customHeight="1" x14ac:dyDescent="0.25">
      <c r="B81" s="45" t="s">
        <v>121</v>
      </c>
      <c r="C81" s="50">
        <v>2</v>
      </c>
      <c r="D81" s="50">
        <v>0</v>
      </c>
      <c r="E81" s="50">
        <v>3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f>SUM('[1]RD4 MCC'!R461:U461)</f>
        <v>0</v>
      </c>
      <c r="M81" s="50">
        <v>4</v>
      </c>
      <c r="N81" s="50">
        <v>0</v>
      </c>
      <c r="O81" s="15">
        <f t="shared" si="35"/>
        <v>5</v>
      </c>
      <c r="P81" s="15">
        <f t="shared" si="36"/>
        <v>9</v>
      </c>
      <c r="R81" s="8"/>
      <c r="T81"/>
    </row>
    <row r="82" spans="2:20" ht="23.1" customHeight="1" x14ac:dyDescent="0.25">
      <c r="B82" s="46" t="s">
        <v>122</v>
      </c>
      <c r="C82" s="50">
        <v>2</v>
      </c>
      <c r="D82" s="50">
        <v>0</v>
      </c>
      <c r="E82" s="50">
        <v>2</v>
      </c>
      <c r="F82" s="50">
        <v>0</v>
      </c>
      <c r="G82" s="50">
        <v>0</v>
      </c>
      <c r="H82" s="50">
        <v>0</v>
      </c>
      <c r="I82" s="50">
        <v>2</v>
      </c>
      <c r="J82" s="50">
        <v>0</v>
      </c>
      <c r="K82" s="50">
        <v>0</v>
      </c>
      <c r="L82" s="50">
        <f>SUM('[1]RD4 MCC'!R462:U462)</f>
        <v>0</v>
      </c>
      <c r="M82" s="50">
        <v>11</v>
      </c>
      <c r="N82" s="50">
        <v>0</v>
      </c>
      <c r="O82" s="15">
        <f t="shared" si="35"/>
        <v>6</v>
      </c>
      <c r="P82" s="15">
        <f t="shared" si="36"/>
        <v>17</v>
      </c>
      <c r="R82" s="8"/>
      <c r="T82"/>
    </row>
    <row r="83" spans="2:20" ht="23.1" customHeight="1" x14ac:dyDescent="0.25">
      <c r="B83" s="45" t="s">
        <v>123</v>
      </c>
      <c r="C83" s="50">
        <v>3</v>
      </c>
      <c r="D83" s="50">
        <v>0</v>
      </c>
      <c r="E83" s="50">
        <v>0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f>SUM('[1]RD4 MCC'!R463:U463)</f>
        <v>0</v>
      </c>
      <c r="M83" s="50">
        <v>5</v>
      </c>
      <c r="N83" s="50">
        <v>0</v>
      </c>
      <c r="O83" s="15">
        <f t="shared" si="35"/>
        <v>4</v>
      </c>
      <c r="P83" s="15">
        <f t="shared" si="36"/>
        <v>9</v>
      </c>
      <c r="R83" s="8"/>
      <c r="T83"/>
    </row>
    <row r="84" spans="2:20" ht="23.1" customHeight="1" x14ac:dyDescent="0.25">
      <c r="B84" s="47" t="s">
        <v>124</v>
      </c>
      <c r="C84" s="50">
        <v>4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f>SUM('[1]RD4 MCC'!R464:U464)</f>
        <v>0</v>
      </c>
      <c r="M84" s="50">
        <v>0</v>
      </c>
      <c r="N84" s="50">
        <v>0</v>
      </c>
      <c r="O84" s="15">
        <f t="shared" si="35"/>
        <v>5</v>
      </c>
      <c r="P84" s="15">
        <f t="shared" si="36"/>
        <v>5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f>SUM('[1]RD4 MCC'!R465:U465)</f>
        <v>0</v>
      </c>
      <c r="M85" s="50">
        <v>1</v>
      </c>
      <c r="N85" s="50">
        <v>0</v>
      </c>
      <c r="O85" s="15">
        <f t="shared" si="35"/>
        <v>2</v>
      </c>
      <c r="P85" s="15">
        <f t="shared" si="36"/>
        <v>3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1</v>
      </c>
      <c r="G86" s="50">
        <v>0</v>
      </c>
      <c r="H86" s="50">
        <v>0</v>
      </c>
      <c r="I86" s="50">
        <v>2</v>
      </c>
      <c r="J86" s="50">
        <v>2</v>
      </c>
      <c r="K86" s="50">
        <v>0</v>
      </c>
      <c r="L86" s="50">
        <f>SUM('[1]RD4 MCC'!R466:U466)</f>
        <v>0</v>
      </c>
      <c r="M86" s="50">
        <v>3</v>
      </c>
      <c r="N86" s="50">
        <v>0</v>
      </c>
      <c r="O86" s="15">
        <f t="shared" si="35"/>
        <v>5</v>
      </c>
      <c r="P86" s="15">
        <f t="shared" si="36"/>
        <v>8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f>SUM('[1]RD4 MCC'!R467:U467)</f>
        <v>0</v>
      </c>
      <c r="M87" s="50">
        <v>0</v>
      </c>
      <c r="N87" s="50">
        <v>0</v>
      </c>
      <c r="O87" s="15">
        <f t="shared" si="35"/>
        <v>2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f>SUM('[1]RD4 MCC'!R468:U468)</f>
        <v>0</v>
      </c>
      <c r="M88" s="50">
        <v>1</v>
      </c>
      <c r="N88" s="50">
        <v>0</v>
      </c>
      <c r="O88" s="15">
        <f t="shared" si="35"/>
        <v>1</v>
      </c>
      <c r="P88" s="15">
        <f t="shared" si="36"/>
        <v>2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f>SUM('[1]RD4 MCC'!R469:U469)</f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2</v>
      </c>
      <c r="J90" s="50">
        <v>0</v>
      </c>
      <c r="K90" s="50">
        <v>0</v>
      </c>
      <c r="L90" s="50">
        <f>SUM('[1]RD4 MCC'!R470:U470)</f>
        <v>0</v>
      </c>
      <c r="M90" s="50">
        <v>0</v>
      </c>
      <c r="N90" s="50"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0</v>
      </c>
      <c r="E91" s="50">
        <v>0</v>
      </c>
      <c r="F91" s="50">
        <v>1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f>SUM('[1]RD4 MCC'!R471:U471)</f>
        <v>0</v>
      </c>
      <c r="M91" s="50">
        <v>0</v>
      </c>
      <c r="N91" s="50">
        <v>0</v>
      </c>
      <c r="O91" s="15">
        <f t="shared" si="35"/>
        <v>4</v>
      </c>
      <c r="P91" s="15">
        <f t="shared" si="36"/>
        <v>4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f>SUM('[1]RD4 MCC'!R472:U472)</f>
        <v>0</v>
      </c>
      <c r="M92" s="50">
        <v>1</v>
      </c>
      <c r="N92" s="50">
        <v>0</v>
      </c>
      <c r="O92" s="15">
        <f t="shared" si="35"/>
        <v>1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f>SUM('[1]RD4 MCC'!R473:U473)</f>
        <v>0</v>
      </c>
      <c r="M93" s="50">
        <v>2</v>
      </c>
      <c r="N93" s="50">
        <v>0</v>
      </c>
      <c r="O93" s="15">
        <f t="shared" si="35"/>
        <v>1</v>
      </c>
      <c r="P93" s="15">
        <f t="shared" si="36"/>
        <v>3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f>SUM('[1]RD4 MCC'!R474:U474)</f>
        <v>0</v>
      </c>
      <c r="M94" s="50">
        <v>3</v>
      </c>
      <c r="N94" s="50">
        <v>0</v>
      </c>
      <c r="O94" s="15">
        <f t="shared" si="35"/>
        <v>2</v>
      </c>
      <c r="P94" s="15">
        <f t="shared" si="36"/>
        <v>5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2</v>
      </c>
      <c r="J95" s="50">
        <v>0</v>
      </c>
      <c r="K95" s="50">
        <v>0</v>
      </c>
      <c r="L95" s="50">
        <f>SUM('[1]RD4 MCC'!R475:U475)</f>
        <v>0</v>
      </c>
      <c r="M95" s="50">
        <v>4</v>
      </c>
      <c r="N95" s="50">
        <v>0</v>
      </c>
      <c r="O95" s="15">
        <f t="shared" si="35"/>
        <v>3</v>
      </c>
      <c r="P95" s="15">
        <f t="shared" si="36"/>
        <v>7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1</v>
      </c>
      <c r="F96" s="50">
        <v>1</v>
      </c>
      <c r="G96" s="50">
        <v>0</v>
      </c>
      <c r="H96" s="50">
        <v>0</v>
      </c>
      <c r="I96" s="50">
        <v>1</v>
      </c>
      <c r="J96" s="50">
        <v>2</v>
      </c>
      <c r="K96" s="50">
        <v>0</v>
      </c>
      <c r="L96" s="50">
        <f>SUM('[1]RD4 MCC'!R476:U476)</f>
        <v>0</v>
      </c>
      <c r="M96" s="50">
        <v>3</v>
      </c>
      <c r="N96" s="50">
        <v>0</v>
      </c>
      <c r="O96" s="15">
        <f t="shared" si="35"/>
        <v>5</v>
      </c>
      <c r="P96" s="15">
        <f t="shared" si="36"/>
        <v>8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1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f>SUM('[1]RD4 MCC'!R477:U477)</f>
        <v>0</v>
      </c>
      <c r="M97" s="50">
        <v>1</v>
      </c>
      <c r="N97" s="50">
        <v>0</v>
      </c>
      <c r="O97" s="15">
        <f t="shared" si="35"/>
        <v>3</v>
      </c>
      <c r="P97" s="15">
        <f t="shared" si="36"/>
        <v>4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1</v>
      </c>
      <c r="K98" s="50">
        <v>0</v>
      </c>
      <c r="L98" s="50">
        <f>SUM('[1]RD4 MCC'!R478:U478)</f>
        <v>0</v>
      </c>
      <c r="M98" s="50">
        <v>3</v>
      </c>
      <c r="N98" s="50">
        <v>0</v>
      </c>
      <c r="O98" s="15">
        <f t="shared" si="35"/>
        <v>1</v>
      </c>
      <c r="P98" s="15">
        <f t="shared" si="36"/>
        <v>4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3</v>
      </c>
      <c r="F99" s="50">
        <v>0</v>
      </c>
      <c r="G99" s="50">
        <v>1</v>
      </c>
      <c r="H99" s="50">
        <v>0</v>
      </c>
      <c r="I99" s="50">
        <v>1</v>
      </c>
      <c r="J99" s="50">
        <v>1</v>
      </c>
      <c r="K99" s="50">
        <v>0</v>
      </c>
      <c r="L99" s="50">
        <f>SUM('[1]RD4 MCC'!R479:U479)</f>
        <v>0</v>
      </c>
      <c r="M99" s="50">
        <v>2</v>
      </c>
      <c r="N99" s="50">
        <v>0</v>
      </c>
      <c r="O99" s="15">
        <f t="shared" si="35"/>
        <v>7</v>
      </c>
      <c r="P99" s="15">
        <f t="shared" si="36"/>
        <v>9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4</v>
      </c>
      <c r="H100" s="50">
        <v>0</v>
      </c>
      <c r="I100" s="50">
        <v>2</v>
      </c>
      <c r="J100" s="50">
        <v>0</v>
      </c>
      <c r="K100" s="50">
        <v>0</v>
      </c>
      <c r="L100" s="50">
        <f>SUM('[1]RD4 MCC'!R480:U480)</f>
        <v>0</v>
      </c>
      <c r="M100" s="50">
        <v>4</v>
      </c>
      <c r="N100" s="50">
        <v>0</v>
      </c>
      <c r="O100" s="15">
        <f t="shared" si="35"/>
        <v>6</v>
      </c>
      <c r="P100" s="15">
        <f t="shared" si="36"/>
        <v>10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1</v>
      </c>
      <c r="F101" s="50">
        <v>2</v>
      </c>
      <c r="G101" s="50">
        <v>3</v>
      </c>
      <c r="H101" s="50">
        <v>0</v>
      </c>
      <c r="I101" s="50">
        <v>3</v>
      </c>
      <c r="J101" s="50">
        <v>0</v>
      </c>
      <c r="K101" s="50">
        <v>0</v>
      </c>
      <c r="L101" s="50">
        <f>SUM('[1]RD4 MCC'!R481:U481)</f>
        <v>0</v>
      </c>
      <c r="M101" s="50">
        <v>10</v>
      </c>
      <c r="N101" s="50">
        <v>0</v>
      </c>
      <c r="O101" s="15">
        <f t="shared" si="35"/>
        <v>9</v>
      </c>
      <c r="P101" s="15">
        <f t="shared" si="36"/>
        <v>19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3</v>
      </c>
      <c r="G102" s="50">
        <v>2</v>
      </c>
      <c r="H102" s="50">
        <v>0</v>
      </c>
      <c r="I102" s="50">
        <v>1</v>
      </c>
      <c r="J102" s="50">
        <v>0</v>
      </c>
      <c r="K102" s="50">
        <v>0</v>
      </c>
      <c r="L102" s="50">
        <f>SUM('[1]RD4 MCC'!R482:U482)</f>
        <v>0</v>
      </c>
      <c r="M102" s="50">
        <v>4</v>
      </c>
      <c r="N102" s="50">
        <v>0</v>
      </c>
      <c r="O102" s="15">
        <f t="shared" si="35"/>
        <v>6</v>
      </c>
      <c r="P102" s="15">
        <f t="shared" si="36"/>
        <v>10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2</v>
      </c>
      <c r="F103" s="50">
        <v>8</v>
      </c>
      <c r="G103" s="50">
        <v>3</v>
      </c>
      <c r="H103" s="50">
        <v>0</v>
      </c>
      <c r="I103" s="50">
        <v>0</v>
      </c>
      <c r="J103" s="50">
        <v>0</v>
      </c>
      <c r="K103" s="50">
        <v>0</v>
      </c>
      <c r="L103" s="50">
        <f>SUM('[1]RD4 MCC'!R483:U483)</f>
        <v>0</v>
      </c>
      <c r="M103" s="50">
        <v>8</v>
      </c>
      <c r="N103" s="50">
        <v>0</v>
      </c>
      <c r="O103" s="15">
        <f t="shared" si="35"/>
        <v>13</v>
      </c>
      <c r="P103" s="15">
        <f t="shared" si="36"/>
        <v>21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4</v>
      </c>
      <c r="G104" s="50">
        <v>5</v>
      </c>
      <c r="H104" s="50">
        <v>0</v>
      </c>
      <c r="I104" s="50">
        <v>0</v>
      </c>
      <c r="J104" s="50">
        <v>1</v>
      </c>
      <c r="K104" s="50">
        <v>0</v>
      </c>
      <c r="L104" s="50">
        <f>SUM('[1]RD4 MCC'!R484:U484)</f>
        <v>0</v>
      </c>
      <c r="M104" s="50">
        <v>10</v>
      </c>
      <c r="N104" s="50">
        <v>0</v>
      </c>
      <c r="O104" s="15">
        <f t="shared" si="35"/>
        <v>12</v>
      </c>
      <c r="P104" s="15">
        <f t="shared" si="36"/>
        <v>22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3</v>
      </c>
      <c r="F105" s="50">
        <v>3</v>
      </c>
      <c r="G105" s="50">
        <v>3</v>
      </c>
      <c r="H105" s="50">
        <v>0</v>
      </c>
      <c r="I105" s="50">
        <v>1</v>
      </c>
      <c r="J105" s="50">
        <v>1</v>
      </c>
      <c r="K105" s="50">
        <v>0</v>
      </c>
      <c r="L105" s="50">
        <f>SUM('[1]RD4 MCC'!R485:U485)</f>
        <v>0</v>
      </c>
      <c r="M105" s="50">
        <v>0</v>
      </c>
      <c r="N105" s="50">
        <v>0</v>
      </c>
      <c r="O105" s="15">
        <f t="shared" si="35"/>
        <v>12</v>
      </c>
      <c r="P105" s="15">
        <f t="shared" si="36"/>
        <v>12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437</v>
      </c>
      <c r="D106" s="16">
        <f t="shared" ref="D106:P106" si="37">SUM(D10:D105)</f>
        <v>56</v>
      </c>
      <c r="E106" s="16">
        <f t="shared" si="37"/>
        <v>256</v>
      </c>
      <c r="F106" s="16">
        <f t="shared" si="37"/>
        <v>656</v>
      </c>
      <c r="G106" s="16">
        <f t="shared" si="37"/>
        <v>134</v>
      </c>
      <c r="H106" s="16">
        <f t="shared" si="37"/>
        <v>7</v>
      </c>
      <c r="I106" s="16">
        <f t="shared" si="37"/>
        <v>187</v>
      </c>
      <c r="J106" s="16">
        <f t="shared" si="37"/>
        <v>30</v>
      </c>
      <c r="K106" s="16">
        <f t="shared" si="37"/>
        <v>5</v>
      </c>
      <c r="L106" s="16">
        <f t="shared" si="37"/>
        <v>0</v>
      </c>
      <c r="M106" s="16">
        <f t="shared" si="37"/>
        <v>2434</v>
      </c>
      <c r="N106" s="16">
        <f t="shared" si="37"/>
        <v>0</v>
      </c>
      <c r="O106" s="16">
        <f t="shared" si="37"/>
        <v>1768</v>
      </c>
      <c r="P106" s="16">
        <f t="shared" si="37"/>
        <v>4202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0.10399809614469301</v>
      </c>
      <c r="D107" s="43">
        <f t="shared" si="38"/>
        <v>1.3326987148976678E-2</v>
      </c>
      <c r="E107" s="43">
        <f t="shared" si="38"/>
        <v>6.0923369823893382E-2</v>
      </c>
      <c r="F107" s="43">
        <f t="shared" si="38"/>
        <v>0.1561161351737268</v>
      </c>
      <c r="G107" s="43">
        <f t="shared" si="38"/>
        <v>3.1889576392194197E-2</v>
      </c>
      <c r="H107" s="43">
        <f t="shared" si="38"/>
        <v>1.6658733936220848E-3</v>
      </c>
      <c r="I107" s="43">
        <f t="shared" si="38"/>
        <v>4.4502617801047119E-2</v>
      </c>
      <c r="J107" s="43">
        <f t="shared" si="38"/>
        <v>7.139457401237506E-3</v>
      </c>
      <c r="K107" s="43">
        <f t="shared" si="38"/>
        <v>1.1899095668729176E-3</v>
      </c>
      <c r="L107" s="43">
        <f t="shared" si="38"/>
        <v>0</v>
      </c>
      <c r="M107" s="43">
        <f t="shared" si="38"/>
        <v>0.57924797715373633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0.24717194570135748</v>
      </c>
      <c r="D108" s="44">
        <f t="shared" ref="D108:N108" si="39">D106/$O$106</f>
        <v>3.1674208144796379E-2</v>
      </c>
      <c r="E108" s="44">
        <f t="shared" si="39"/>
        <v>0.14479638009049775</v>
      </c>
      <c r="F108" s="44">
        <f t="shared" si="39"/>
        <v>0.37104072398190047</v>
      </c>
      <c r="G108" s="44">
        <f t="shared" si="39"/>
        <v>7.5791855203619904E-2</v>
      </c>
      <c r="H108" s="44">
        <f t="shared" si="39"/>
        <v>3.9592760180995473E-3</v>
      </c>
      <c r="I108" s="44">
        <f t="shared" si="39"/>
        <v>0.10576923076923077</v>
      </c>
      <c r="J108" s="44">
        <f t="shared" si="39"/>
        <v>1.6968325791855202E-2</v>
      </c>
      <c r="K108" s="44">
        <f t="shared" si="39"/>
        <v>2.8280542986425339E-3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I15" sqref="I15:J1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Buwenge-Jinja'!C3:G3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3" t="str">
        <f>'16.08 Jinja-Buwenge-24h'!G5:H5</f>
        <v>xxx</v>
      </c>
      <c r="H5" s="64"/>
      <c r="I5" s="14"/>
      <c r="J5" s="2" t="s">
        <v>5</v>
      </c>
      <c r="K5" s="63" t="str">
        <f>'16.08 Jinja-Buwenge-24h'!K5:L5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Buwenge-Jinja'!D6:E6</f>
        <v>Buwenge</v>
      </c>
      <c r="E6" s="64"/>
      <c r="F6" s="2" t="s">
        <v>2</v>
      </c>
      <c r="G6" s="63" t="str">
        <f>'12.08 Buwenge-Jinja'!G6:H6</f>
        <v>Jinja</v>
      </c>
      <c r="H6" s="64"/>
      <c r="J6" s="2" t="s">
        <v>21</v>
      </c>
      <c r="K6" s="63" t="str">
        <f>'16.08 Jinja-Buwenge-24h'!K6:L6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4</v>
      </c>
      <c r="D10" s="50">
        <v>0</v>
      </c>
      <c r="E10" s="50">
        <v>2</v>
      </c>
      <c r="F10" s="50">
        <v>5</v>
      </c>
      <c r="G10" s="50">
        <v>5</v>
      </c>
      <c r="H10" s="50">
        <v>0</v>
      </c>
      <c r="I10" s="50">
        <v>4</v>
      </c>
      <c r="J10" s="50">
        <v>0</v>
      </c>
      <c r="K10" s="50">
        <v>0</v>
      </c>
      <c r="L10" s="50">
        <f>SUM('[1]RD4 MCC'!R678:U678)</f>
        <v>0</v>
      </c>
      <c r="M10" s="50">
        <v>60</v>
      </c>
      <c r="N10" s="50">
        <v>0</v>
      </c>
      <c r="O10" s="15">
        <f t="shared" ref="O10:O73" si="0">SUM(C10:L10,N10)</f>
        <v>20</v>
      </c>
      <c r="P10" s="15">
        <f t="shared" ref="P10:P73" si="1">SUM(C10:N10)</f>
        <v>80</v>
      </c>
      <c r="R10" s="1" t="s">
        <v>6</v>
      </c>
      <c r="S10" s="17">
        <f t="shared" ref="S10:AF10" si="2">SUM(C10:C13)</f>
        <v>18</v>
      </c>
      <c r="T10" s="17">
        <f t="shared" si="2"/>
        <v>0</v>
      </c>
      <c r="U10" s="17">
        <f t="shared" si="2"/>
        <v>7</v>
      </c>
      <c r="V10" s="17">
        <f t="shared" si="2"/>
        <v>39</v>
      </c>
      <c r="W10" s="17">
        <f t="shared" si="2"/>
        <v>18</v>
      </c>
      <c r="X10" s="17">
        <f t="shared" si="2"/>
        <v>1</v>
      </c>
      <c r="Y10" s="17">
        <f t="shared" si="2"/>
        <v>14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208</v>
      </c>
      <c r="AD10" s="17">
        <f t="shared" si="2"/>
        <v>0</v>
      </c>
      <c r="AE10" s="31">
        <f t="shared" si="2"/>
        <v>97</v>
      </c>
      <c r="AF10" s="31">
        <f t="shared" si="2"/>
        <v>305</v>
      </c>
    </row>
    <row r="11" spans="2:32" s="6" customFormat="1" ht="23.1" customHeight="1" x14ac:dyDescent="0.25">
      <c r="B11" s="45" t="s">
        <v>38</v>
      </c>
      <c r="C11" s="50">
        <v>2</v>
      </c>
      <c r="D11" s="50">
        <v>0</v>
      </c>
      <c r="E11" s="50">
        <v>0</v>
      </c>
      <c r="F11" s="50">
        <v>12</v>
      </c>
      <c r="G11" s="50">
        <v>4</v>
      </c>
      <c r="H11" s="50">
        <v>1</v>
      </c>
      <c r="I11" s="50">
        <v>3</v>
      </c>
      <c r="J11" s="50">
        <v>0</v>
      </c>
      <c r="K11" s="50">
        <v>0</v>
      </c>
      <c r="L11" s="50">
        <f>SUM('[1]RD4 MCC'!R679:U679)</f>
        <v>0</v>
      </c>
      <c r="M11" s="50">
        <v>60</v>
      </c>
      <c r="N11" s="50">
        <v>0</v>
      </c>
      <c r="O11" s="15">
        <f t="shared" si="0"/>
        <v>22</v>
      </c>
      <c r="P11" s="15">
        <f t="shared" si="1"/>
        <v>82</v>
      </c>
      <c r="R11" s="1" t="s">
        <v>7</v>
      </c>
      <c r="S11" s="17">
        <f t="shared" ref="S11:AF11" si="3">SUM(C14:C17)</f>
        <v>18</v>
      </c>
      <c r="T11" s="17">
        <f t="shared" si="3"/>
        <v>2</v>
      </c>
      <c r="U11" s="17">
        <f t="shared" si="3"/>
        <v>11</v>
      </c>
      <c r="V11" s="17">
        <f t="shared" si="3"/>
        <v>27</v>
      </c>
      <c r="W11" s="17">
        <f t="shared" si="3"/>
        <v>9</v>
      </c>
      <c r="X11" s="17">
        <f t="shared" si="3"/>
        <v>2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185</v>
      </c>
      <c r="AD11" s="17">
        <f t="shared" si="3"/>
        <v>0</v>
      </c>
      <c r="AE11" s="31">
        <f t="shared" si="3"/>
        <v>73</v>
      </c>
      <c r="AF11" s="31">
        <f t="shared" si="3"/>
        <v>258</v>
      </c>
    </row>
    <row r="12" spans="2:32" ht="23.1" customHeight="1" x14ac:dyDescent="0.25">
      <c r="B12" s="45" t="s">
        <v>39</v>
      </c>
      <c r="C12" s="50">
        <v>5</v>
      </c>
      <c r="D12" s="50">
        <v>0</v>
      </c>
      <c r="E12" s="50">
        <v>2</v>
      </c>
      <c r="F12" s="50">
        <v>6</v>
      </c>
      <c r="G12" s="50">
        <v>2</v>
      </c>
      <c r="H12" s="50">
        <v>0</v>
      </c>
      <c r="I12" s="50">
        <v>4</v>
      </c>
      <c r="J12" s="50">
        <v>0</v>
      </c>
      <c r="K12" s="50">
        <v>0</v>
      </c>
      <c r="L12" s="50">
        <f>SUM('[1]RD4 MCC'!R680:U680)</f>
        <v>0</v>
      </c>
      <c r="M12" s="50">
        <v>42</v>
      </c>
      <c r="N12" s="50">
        <v>0</v>
      </c>
      <c r="O12" s="15">
        <f t="shared" si="0"/>
        <v>19</v>
      </c>
      <c r="P12" s="15">
        <f t="shared" si="1"/>
        <v>61</v>
      </c>
      <c r="R12" s="1" t="s">
        <v>8</v>
      </c>
      <c r="S12" s="17">
        <f t="shared" ref="S12:AF12" si="4">SUM(C18:C21)</f>
        <v>17</v>
      </c>
      <c r="T12" s="17">
        <f t="shared" si="4"/>
        <v>2</v>
      </c>
      <c r="U12" s="17">
        <f t="shared" si="4"/>
        <v>9</v>
      </c>
      <c r="V12" s="17">
        <f t="shared" si="4"/>
        <v>36</v>
      </c>
      <c r="W12" s="17">
        <f t="shared" si="4"/>
        <v>7</v>
      </c>
      <c r="X12" s="17">
        <f t="shared" si="4"/>
        <v>0</v>
      </c>
      <c r="Y12" s="17">
        <f t="shared" si="4"/>
        <v>10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154</v>
      </c>
      <c r="AD12" s="17">
        <f t="shared" si="4"/>
        <v>0</v>
      </c>
      <c r="AE12" s="31">
        <f t="shared" si="4"/>
        <v>82</v>
      </c>
      <c r="AF12" s="31">
        <f t="shared" si="4"/>
        <v>236</v>
      </c>
    </row>
    <row r="13" spans="2:32" ht="23.1" customHeight="1" x14ac:dyDescent="0.25">
      <c r="B13" s="45" t="s">
        <v>40</v>
      </c>
      <c r="C13" s="50">
        <v>7</v>
      </c>
      <c r="D13" s="50">
        <v>0</v>
      </c>
      <c r="E13" s="50">
        <v>3</v>
      </c>
      <c r="F13" s="50">
        <v>16</v>
      </c>
      <c r="G13" s="50">
        <v>7</v>
      </c>
      <c r="H13" s="50">
        <v>0</v>
      </c>
      <c r="I13" s="50">
        <v>3</v>
      </c>
      <c r="J13" s="50">
        <v>0</v>
      </c>
      <c r="K13" s="50">
        <v>0</v>
      </c>
      <c r="L13" s="50">
        <f>SUM('[1]RD4 MCC'!R681:U681)</f>
        <v>0</v>
      </c>
      <c r="M13" s="50">
        <v>46</v>
      </c>
      <c r="N13" s="50">
        <v>0</v>
      </c>
      <c r="O13" s="15">
        <f t="shared" si="0"/>
        <v>36</v>
      </c>
      <c r="P13" s="15">
        <f t="shared" si="1"/>
        <v>82</v>
      </c>
      <c r="R13" s="1" t="s">
        <v>9</v>
      </c>
      <c r="S13" s="17">
        <f t="shared" ref="S13:AF13" si="5">SUM(C22:C25)</f>
        <v>16</v>
      </c>
      <c r="T13" s="17">
        <f t="shared" si="5"/>
        <v>0</v>
      </c>
      <c r="U13" s="17">
        <f t="shared" si="5"/>
        <v>8</v>
      </c>
      <c r="V13" s="17">
        <f t="shared" si="5"/>
        <v>39</v>
      </c>
      <c r="W13" s="17">
        <f t="shared" si="5"/>
        <v>2</v>
      </c>
      <c r="X13" s="17">
        <f t="shared" si="5"/>
        <v>0</v>
      </c>
      <c r="Y13" s="17">
        <f t="shared" si="5"/>
        <v>12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187</v>
      </c>
      <c r="AD13" s="17">
        <f t="shared" si="5"/>
        <v>1</v>
      </c>
      <c r="AE13" s="31">
        <f t="shared" si="5"/>
        <v>78</v>
      </c>
      <c r="AF13" s="31">
        <f t="shared" si="5"/>
        <v>265</v>
      </c>
    </row>
    <row r="14" spans="2:32" ht="23.1" customHeight="1" x14ac:dyDescent="0.25">
      <c r="B14" s="45" t="s">
        <v>41</v>
      </c>
      <c r="C14" s="50">
        <v>9</v>
      </c>
      <c r="D14" s="50">
        <v>1</v>
      </c>
      <c r="E14" s="50">
        <v>5</v>
      </c>
      <c r="F14" s="50">
        <v>9</v>
      </c>
      <c r="G14" s="50">
        <v>5</v>
      </c>
      <c r="H14" s="50">
        <v>0</v>
      </c>
      <c r="I14" s="50">
        <v>2</v>
      </c>
      <c r="J14" s="50">
        <v>0</v>
      </c>
      <c r="K14" s="50">
        <v>0</v>
      </c>
      <c r="L14" s="50">
        <f>SUM('[1]RD4 MCC'!R682:U682)</f>
        <v>0</v>
      </c>
      <c r="M14" s="50">
        <v>66</v>
      </c>
      <c r="N14" s="50">
        <v>0</v>
      </c>
      <c r="O14" s="15">
        <f t="shared" si="0"/>
        <v>31</v>
      </c>
      <c r="P14" s="15">
        <f t="shared" si="1"/>
        <v>97</v>
      </c>
      <c r="R14" s="1" t="s">
        <v>10</v>
      </c>
      <c r="S14" s="17">
        <f t="shared" ref="S14:AF14" si="6">SUM(C26:C29)</f>
        <v>19</v>
      </c>
      <c r="T14" s="17">
        <f t="shared" si="6"/>
        <v>3</v>
      </c>
      <c r="U14" s="17">
        <f t="shared" si="6"/>
        <v>13</v>
      </c>
      <c r="V14" s="17">
        <f t="shared" si="6"/>
        <v>33</v>
      </c>
      <c r="W14" s="17">
        <f t="shared" si="6"/>
        <v>0</v>
      </c>
      <c r="X14" s="17">
        <f t="shared" si="6"/>
        <v>1</v>
      </c>
      <c r="Y14" s="17">
        <f t="shared" si="6"/>
        <v>8</v>
      </c>
      <c r="Z14" s="17">
        <f t="shared" si="6"/>
        <v>6</v>
      </c>
      <c r="AA14" s="17">
        <f t="shared" si="6"/>
        <v>1</v>
      </c>
      <c r="AB14" s="17">
        <f t="shared" si="6"/>
        <v>0</v>
      </c>
      <c r="AC14" s="17">
        <f t="shared" si="6"/>
        <v>172</v>
      </c>
      <c r="AD14" s="17">
        <f t="shared" si="6"/>
        <v>0</v>
      </c>
      <c r="AE14" s="31">
        <f t="shared" si="6"/>
        <v>84</v>
      </c>
      <c r="AF14" s="31">
        <f t="shared" si="6"/>
        <v>256</v>
      </c>
    </row>
    <row r="15" spans="2:32" ht="23.1" customHeight="1" x14ac:dyDescent="0.25">
      <c r="B15" s="45" t="s">
        <v>42</v>
      </c>
      <c r="C15" s="50">
        <v>1</v>
      </c>
      <c r="D15" s="50">
        <v>0</v>
      </c>
      <c r="E15" s="50">
        <v>0</v>
      </c>
      <c r="F15" s="50">
        <v>2</v>
      </c>
      <c r="G15" s="50">
        <v>0</v>
      </c>
      <c r="H15" s="50">
        <v>1</v>
      </c>
      <c r="I15" s="50">
        <v>0</v>
      </c>
      <c r="J15" s="50">
        <v>0</v>
      </c>
      <c r="K15" s="50">
        <v>0</v>
      </c>
      <c r="L15" s="50">
        <f>SUM('[1]RD4 MCC'!R683:U683)</f>
        <v>0</v>
      </c>
      <c r="M15" s="50">
        <v>25</v>
      </c>
      <c r="N15" s="50">
        <v>0</v>
      </c>
      <c r="O15" s="15">
        <f t="shared" si="0"/>
        <v>4</v>
      </c>
      <c r="P15" s="15">
        <f t="shared" si="1"/>
        <v>29</v>
      </c>
      <c r="R15" s="1" t="s">
        <v>11</v>
      </c>
      <c r="S15" s="17">
        <f t="shared" ref="S15:AF15" si="7">SUM(C30:C33)</f>
        <v>22</v>
      </c>
      <c r="T15" s="17">
        <f t="shared" si="7"/>
        <v>1</v>
      </c>
      <c r="U15" s="17">
        <f t="shared" si="7"/>
        <v>11</v>
      </c>
      <c r="V15" s="17">
        <f t="shared" si="7"/>
        <v>36</v>
      </c>
      <c r="W15" s="17">
        <f t="shared" si="7"/>
        <v>1</v>
      </c>
      <c r="X15" s="17">
        <f t="shared" si="7"/>
        <v>0</v>
      </c>
      <c r="Y15" s="17">
        <f t="shared" si="7"/>
        <v>14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148</v>
      </c>
      <c r="AD15" s="17">
        <f t="shared" si="7"/>
        <v>0</v>
      </c>
      <c r="AE15" s="31">
        <f t="shared" si="7"/>
        <v>85</v>
      </c>
      <c r="AF15" s="31">
        <f t="shared" si="7"/>
        <v>233</v>
      </c>
    </row>
    <row r="16" spans="2:32" ht="23.1" customHeight="1" x14ac:dyDescent="0.25">
      <c r="B16" s="45" t="s">
        <v>43</v>
      </c>
      <c r="C16" s="50">
        <v>3</v>
      </c>
      <c r="D16" s="50">
        <v>0</v>
      </c>
      <c r="E16" s="50">
        <v>3</v>
      </c>
      <c r="F16" s="50">
        <v>13</v>
      </c>
      <c r="G16" s="50">
        <v>2</v>
      </c>
      <c r="H16" s="50">
        <v>1</v>
      </c>
      <c r="I16" s="50">
        <v>1</v>
      </c>
      <c r="J16" s="50">
        <v>0</v>
      </c>
      <c r="K16" s="50">
        <v>0</v>
      </c>
      <c r="L16" s="50">
        <f>SUM('[1]RD4 MCC'!R684:U684)</f>
        <v>0</v>
      </c>
      <c r="M16" s="50">
        <v>48</v>
      </c>
      <c r="N16" s="50">
        <v>0</v>
      </c>
      <c r="O16" s="15">
        <f t="shared" si="0"/>
        <v>23</v>
      </c>
      <c r="P16" s="15">
        <f t="shared" si="1"/>
        <v>71</v>
      </c>
      <c r="R16" s="1" t="s">
        <v>12</v>
      </c>
      <c r="S16" s="17">
        <f t="shared" ref="S16:AF16" si="8">SUM(C34:C37)</f>
        <v>17</v>
      </c>
      <c r="T16" s="17">
        <f t="shared" si="8"/>
        <v>3</v>
      </c>
      <c r="U16" s="17">
        <f t="shared" si="8"/>
        <v>14</v>
      </c>
      <c r="V16" s="17">
        <f t="shared" si="8"/>
        <v>35</v>
      </c>
      <c r="W16" s="17">
        <f t="shared" si="8"/>
        <v>3</v>
      </c>
      <c r="X16" s="17">
        <f t="shared" si="8"/>
        <v>0</v>
      </c>
      <c r="Y16" s="17">
        <f t="shared" si="8"/>
        <v>13</v>
      </c>
      <c r="Z16" s="17">
        <f t="shared" si="8"/>
        <v>1</v>
      </c>
      <c r="AA16" s="17">
        <f t="shared" si="8"/>
        <v>1</v>
      </c>
      <c r="AB16" s="17">
        <f t="shared" si="8"/>
        <v>0</v>
      </c>
      <c r="AC16" s="17">
        <f t="shared" si="8"/>
        <v>132</v>
      </c>
      <c r="AD16" s="17">
        <f t="shared" si="8"/>
        <v>0</v>
      </c>
      <c r="AE16" s="31">
        <f t="shared" si="8"/>
        <v>87</v>
      </c>
      <c r="AF16" s="31">
        <f t="shared" si="8"/>
        <v>219</v>
      </c>
    </row>
    <row r="17" spans="2:32" ht="23.1" customHeight="1" x14ac:dyDescent="0.25">
      <c r="B17" s="45" t="s">
        <v>44</v>
      </c>
      <c r="C17" s="50">
        <v>5</v>
      </c>
      <c r="D17" s="50">
        <v>1</v>
      </c>
      <c r="E17" s="50">
        <v>3</v>
      </c>
      <c r="F17" s="50">
        <v>3</v>
      </c>
      <c r="G17" s="50">
        <v>2</v>
      </c>
      <c r="H17" s="50">
        <v>0</v>
      </c>
      <c r="I17" s="50">
        <v>1</v>
      </c>
      <c r="J17" s="50">
        <v>0</v>
      </c>
      <c r="K17" s="50">
        <v>0</v>
      </c>
      <c r="L17" s="50">
        <f>SUM('[1]RD4 MCC'!R685:U685)</f>
        <v>0</v>
      </c>
      <c r="M17" s="50">
        <v>46</v>
      </c>
      <c r="N17" s="50">
        <v>0</v>
      </c>
      <c r="O17" s="15">
        <f t="shared" si="0"/>
        <v>15</v>
      </c>
      <c r="P17" s="15">
        <f t="shared" si="1"/>
        <v>61</v>
      </c>
      <c r="R17" s="1" t="s">
        <v>13</v>
      </c>
      <c r="S17" s="17">
        <f t="shared" ref="S17:AF17" si="9">SUM(C38:C41)</f>
        <v>14</v>
      </c>
      <c r="T17" s="17">
        <f t="shared" si="9"/>
        <v>2</v>
      </c>
      <c r="U17" s="17">
        <f t="shared" si="9"/>
        <v>12</v>
      </c>
      <c r="V17" s="17">
        <f t="shared" si="9"/>
        <v>44</v>
      </c>
      <c r="W17" s="17">
        <f t="shared" si="9"/>
        <v>2</v>
      </c>
      <c r="X17" s="17">
        <f t="shared" si="9"/>
        <v>0</v>
      </c>
      <c r="Y17" s="17">
        <f t="shared" si="9"/>
        <v>15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199</v>
      </c>
      <c r="AD17" s="17">
        <f t="shared" si="9"/>
        <v>0</v>
      </c>
      <c r="AE17" s="31">
        <f t="shared" si="9"/>
        <v>91</v>
      </c>
      <c r="AF17" s="31">
        <f t="shared" si="9"/>
        <v>290</v>
      </c>
    </row>
    <row r="18" spans="2:32" ht="23.1" customHeight="1" x14ac:dyDescent="0.25">
      <c r="B18" s="45" t="s">
        <v>45</v>
      </c>
      <c r="C18" s="50">
        <v>4</v>
      </c>
      <c r="D18" s="50">
        <v>1</v>
      </c>
      <c r="E18" s="50">
        <v>3</v>
      </c>
      <c r="F18" s="50">
        <v>9</v>
      </c>
      <c r="G18" s="50">
        <v>6</v>
      </c>
      <c r="H18" s="50">
        <v>0</v>
      </c>
      <c r="I18" s="50">
        <v>4</v>
      </c>
      <c r="J18" s="50">
        <v>0</v>
      </c>
      <c r="K18" s="50">
        <v>0</v>
      </c>
      <c r="L18" s="50">
        <f>SUM('[1]RD4 MCC'!R686:U686)</f>
        <v>0</v>
      </c>
      <c r="M18" s="50">
        <v>35</v>
      </c>
      <c r="N18" s="50">
        <v>0</v>
      </c>
      <c r="O18" s="15">
        <f t="shared" si="0"/>
        <v>27</v>
      </c>
      <c r="P18" s="15">
        <f t="shared" si="1"/>
        <v>62</v>
      </c>
      <c r="R18" s="1" t="s">
        <v>14</v>
      </c>
      <c r="S18" s="17">
        <f t="shared" ref="S18:AF18" si="10">SUM(C42:C45)</f>
        <v>11</v>
      </c>
      <c r="T18" s="17">
        <f t="shared" si="10"/>
        <v>6</v>
      </c>
      <c r="U18" s="17">
        <f t="shared" si="10"/>
        <v>18</v>
      </c>
      <c r="V18" s="17">
        <f t="shared" si="10"/>
        <v>42</v>
      </c>
      <c r="W18" s="17">
        <f t="shared" si="10"/>
        <v>2</v>
      </c>
      <c r="X18" s="17">
        <f t="shared" si="10"/>
        <v>0</v>
      </c>
      <c r="Y18" s="17">
        <f t="shared" si="10"/>
        <v>25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168</v>
      </c>
      <c r="AD18" s="17">
        <f t="shared" si="10"/>
        <v>0</v>
      </c>
      <c r="AE18" s="31">
        <f t="shared" si="10"/>
        <v>106</v>
      </c>
      <c r="AF18" s="31">
        <f t="shared" si="10"/>
        <v>274</v>
      </c>
    </row>
    <row r="19" spans="2:32" ht="23.1" customHeight="1" x14ac:dyDescent="0.25">
      <c r="B19" s="45" t="s">
        <v>46</v>
      </c>
      <c r="C19" s="50">
        <v>3</v>
      </c>
      <c r="D19" s="50">
        <v>0</v>
      </c>
      <c r="E19" s="50">
        <v>2</v>
      </c>
      <c r="F19" s="50">
        <v>10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f>SUM('[1]RD4 MCC'!R687:U687)</f>
        <v>0</v>
      </c>
      <c r="M19" s="50">
        <v>40</v>
      </c>
      <c r="N19" s="50">
        <v>0</v>
      </c>
      <c r="O19" s="15">
        <f t="shared" si="0"/>
        <v>17</v>
      </c>
      <c r="P19" s="15">
        <f t="shared" si="1"/>
        <v>57</v>
      </c>
      <c r="R19" s="1" t="s">
        <v>15</v>
      </c>
      <c r="S19" s="17">
        <f t="shared" ref="S19:AF19" si="11">SUM(C46:C49)</f>
        <v>33</v>
      </c>
      <c r="T19" s="17">
        <f t="shared" si="11"/>
        <v>4</v>
      </c>
      <c r="U19" s="17">
        <f t="shared" si="11"/>
        <v>16</v>
      </c>
      <c r="V19" s="17">
        <f t="shared" si="11"/>
        <v>44</v>
      </c>
      <c r="W19" s="17">
        <f t="shared" si="11"/>
        <v>4</v>
      </c>
      <c r="X19" s="17">
        <f t="shared" si="11"/>
        <v>0</v>
      </c>
      <c r="Y19" s="17">
        <f t="shared" si="11"/>
        <v>18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195</v>
      </c>
      <c r="AD19" s="17">
        <f t="shared" si="11"/>
        <v>0</v>
      </c>
      <c r="AE19" s="31">
        <f t="shared" si="11"/>
        <v>119</v>
      </c>
      <c r="AF19" s="31">
        <f t="shared" si="11"/>
        <v>314</v>
      </c>
    </row>
    <row r="20" spans="2:32" ht="23.1" customHeight="1" x14ac:dyDescent="0.25">
      <c r="B20" s="45" t="s">
        <v>47</v>
      </c>
      <c r="C20" s="50">
        <v>4</v>
      </c>
      <c r="D20" s="50">
        <v>1</v>
      </c>
      <c r="E20" s="50">
        <v>3</v>
      </c>
      <c r="F20" s="50">
        <v>11</v>
      </c>
      <c r="G20" s="50">
        <v>1</v>
      </c>
      <c r="H20" s="50">
        <v>0</v>
      </c>
      <c r="I20" s="50">
        <v>2</v>
      </c>
      <c r="J20" s="50">
        <v>0</v>
      </c>
      <c r="K20" s="50">
        <v>0</v>
      </c>
      <c r="L20" s="50">
        <f>SUM('[1]RD4 MCC'!R688:U688)</f>
        <v>0</v>
      </c>
      <c r="M20" s="50">
        <v>43</v>
      </c>
      <c r="N20" s="50">
        <v>0</v>
      </c>
      <c r="O20" s="15">
        <f t="shared" si="0"/>
        <v>22</v>
      </c>
      <c r="P20" s="15">
        <f t="shared" si="1"/>
        <v>65</v>
      </c>
      <c r="R20" s="1" t="s">
        <v>16</v>
      </c>
      <c r="S20" s="17">
        <f t="shared" ref="S20:AF20" si="12">SUM(C50:C53)</f>
        <v>74</v>
      </c>
      <c r="T20" s="17">
        <f t="shared" si="12"/>
        <v>13</v>
      </c>
      <c r="U20" s="17">
        <f t="shared" si="12"/>
        <v>35</v>
      </c>
      <c r="V20" s="17">
        <f t="shared" si="12"/>
        <v>65</v>
      </c>
      <c r="W20" s="17">
        <f t="shared" si="12"/>
        <v>10</v>
      </c>
      <c r="X20" s="17">
        <f t="shared" si="12"/>
        <v>0</v>
      </c>
      <c r="Y20" s="17">
        <f t="shared" si="12"/>
        <v>22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136</v>
      </c>
      <c r="AD20" s="17">
        <f t="shared" si="12"/>
        <v>0</v>
      </c>
      <c r="AE20" s="31">
        <f t="shared" si="12"/>
        <v>221</v>
      </c>
      <c r="AF20" s="31">
        <f t="shared" si="12"/>
        <v>357</v>
      </c>
    </row>
    <row r="21" spans="2:32" ht="23.1" customHeight="1" x14ac:dyDescent="0.25">
      <c r="B21" s="45" t="s">
        <v>48</v>
      </c>
      <c r="C21" s="50">
        <v>6</v>
      </c>
      <c r="D21" s="50">
        <v>0</v>
      </c>
      <c r="E21" s="50">
        <v>1</v>
      </c>
      <c r="F21" s="50">
        <v>6</v>
      </c>
      <c r="G21" s="50">
        <v>0</v>
      </c>
      <c r="H21" s="50">
        <v>0</v>
      </c>
      <c r="I21" s="50">
        <v>2</v>
      </c>
      <c r="J21" s="50">
        <v>1</v>
      </c>
      <c r="K21" s="50">
        <v>0</v>
      </c>
      <c r="L21" s="50">
        <f>SUM('[1]RD4 MCC'!R689:U689)</f>
        <v>0</v>
      </c>
      <c r="M21" s="50">
        <v>36</v>
      </c>
      <c r="N21" s="50">
        <v>0</v>
      </c>
      <c r="O21" s="15">
        <f t="shared" si="0"/>
        <v>16</v>
      </c>
      <c r="P21" s="15">
        <f t="shared" si="1"/>
        <v>52</v>
      </c>
      <c r="R21" s="36" t="s">
        <v>20</v>
      </c>
      <c r="S21" s="34">
        <f t="shared" ref="S21:AF21" si="13">SUM(C54:C57)</f>
        <v>43</v>
      </c>
      <c r="T21" s="17">
        <f t="shared" si="13"/>
        <v>14</v>
      </c>
      <c r="U21" s="17">
        <f t="shared" si="13"/>
        <v>37</v>
      </c>
      <c r="V21" s="17">
        <f t="shared" si="13"/>
        <v>46</v>
      </c>
      <c r="W21" s="17">
        <f t="shared" si="13"/>
        <v>11</v>
      </c>
      <c r="X21" s="17">
        <f t="shared" si="13"/>
        <v>0</v>
      </c>
      <c r="Y21" s="17">
        <f t="shared" si="13"/>
        <v>18</v>
      </c>
      <c r="Z21" s="17">
        <f t="shared" si="13"/>
        <v>2</v>
      </c>
      <c r="AA21" s="17">
        <f t="shared" si="13"/>
        <v>2</v>
      </c>
      <c r="AB21" s="17">
        <f t="shared" si="13"/>
        <v>0</v>
      </c>
      <c r="AC21" s="17">
        <f t="shared" si="13"/>
        <v>39</v>
      </c>
      <c r="AD21" s="17">
        <f t="shared" si="13"/>
        <v>0</v>
      </c>
      <c r="AE21" s="31">
        <f t="shared" si="13"/>
        <v>173</v>
      </c>
      <c r="AF21" s="31">
        <f t="shared" si="13"/>
        <v>212</v>
      </c>
    </row>
    <row r="22" spans="2:32" ht="23.1" customHeight="1" x14ac:dyDescent="0.25">
      <c r="B22" s="45" t="s">
        <v>49</v>
      </c>
      <c r="C22" s="50">
        <v>5</v>
      </c>
      <c r="D22" s="50">
        <v>0</v>
      </c>
      <c r="E22" s="50">
        <v>3</v>
      </c>
      <c r="F22" s="50">
        <v>9</v>
      </c>
      <c r="G22" s="50">
        <v>1</v>
      </c>
      <c r="H22" s="50">
        <v>0</v>
      </c>
      <c r="I22" s="50">
        <v>5</v>
      </c>
      <c r="J22" s="50">
        <v>0</v>
      </c>
      <c r="K22" s="50">
        <v>0</v>
      </c>
      <c r="L22" s="50">
        <f>SUM('[1]RD4 MCC'!R690:U690)</f>
        <v>0</v>
      </c>
      <c r="M22" s="50">
        <v>51</v>
      </c>
      <c r="N22" s="50">
        <v>1</v>
      </c>
      <c r="O22" s="15">
        <f t="shared" si="0"/>
        <v>24</v>
      </c>
      <c r="P22" s="15">
        <f t="shared" si="1"/>
        <v>75</v>
      </c>
      <c r="R22" s="36" t="s">
        <v>146</v>
      </c>
      <c r="S22" s="34">
        <f>SUM(C58:C61)</f>
        <v>22</v>
      </c>
      <c r="T22" s="34">
        <f t="shared" ref="T22:AF22" si="14">SUM(D58:D61)</f>
        <v>6</v>
      </c>
      <c r="U22" s="34">
        <f t="shared" si="14"/>
        <v>20</v>
      </c>
      <c r="V22" s="34">
        <f t="shared" si="14"/>
        <v>11</v>
      </c>
      <c r="W22" s="34">
        <f t="shared" si="14"/>
        <v>0</v>
      </c>
      <c r="X22" s="34">
        <f t="shared" si="14"/>
        <v>129</v>
      </c>
      <c r="Y22" s="34">
        <f t="shared" si="14"/>
        <v>1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3</v>
      </c>
      <c r="AD22" s="34">
        <f t="shared" si="14"/>
        <v>3</v>
      </c>
      <c r="AE22" s="31">
        <f t="shared" si="14"/>
        <v>193</v>
      </c>
      <c r="AF22" s="31">
        <f t="shared" si="14"/>
        <v>196</v>
      </c>
    </row>
    <row r="23" spans="2:32" ht="23.1" customHeight="1" x14ac:dyDescent="0.25">
      <c r="B23" s="45" t="s">
        <v>50</v>
      </c>
      <c r="C23" s="50">
        <v>5</v>
      </c>
      <c r="D23" s="50">
        <v>0</v>
      </c>
      <c r="E23" s="50">
        <v>2</v>
      </c>
      <c r="F23" s="50">
        <v>9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f>SUM('[1]RD4 MCC'!R691:U691)</f>
        <v>0</v>
      </c>
      <c r="M23" s="50">
        <v>48</v>
      </c>
      <c r="N23" s="50">
        <v>0</v>
      </c>
      <c r="O23" s="15">
        <f t="shared" si="0"/>
        <v>16</v>
      </c>
      <c r="P23" s="15">
        <f t="shared" si="1"/>
        <v>64</v>
      </c>
      <c r="R23" s="36" t="s">
        <v>147</v>
      </c>
      <c r="S23" s="34">
        <f>SUM(C62:C65)</f>
        <v>44</v>
      </c>
      <c r="T23" s="34">
        <f t="shared" ref="T23:AF23" si="15">SUM(D62:D65)</f>
        <v>11</v>
      </c>
      <c r="U23" s="34">
        <f t="shared" si="15"/>
        <v>29</v>
      </c>
      <c r="V23" s="34">
        <f t="shared" si="15"/>
        <v>12</v>
      </c>
      <c r="W23" s="34">
        <f t="shared" si="15"/>
        <v>1</v>
      </c>
      <c r="X23" s="34">
        <f t="shared" si="15"/>
        <v>114</v>
      </c>
      <c r="Y23" s="34">
        <f t="shared" si="15"/>
        <v>1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4</v>
      </c>
      <c r="AD23" s="34">
        <f t="shared" si="15"/>
        <v>3</v>
      </c>
      <c r="AE23" s="31">
        <f t="shared" si="15"/>
        <v>215</v>
      </c>
      <c r="AF23" s="31">
        <f t="shared" si="15"/>
        <v>219</v>
      </c>
    </row>
    <row r="24" spans="2:32" ht="23.1" customHeight="1" x14ac:dyDescent="0.25">
      <c r="B24" s="45" t="s">
        <v>51</v>
      </c>
      <c r="C24" s="50">
        <v>4</v>
      </c>
      <c r="D24" s="50">
        <v>0</v>
      </c>
      <c r="E24" s="50">
        <v>1</v>
      </c>
      <c r="F24" s="50">
        <v>13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f>SUM('[1]RD4 MCC'!R692:U692)</f>
        <v>0</v>
      </c>
      <c r="M24" s="50">
        <v>42</v>
      </c>
      <c r="N24" s="50">
        <v>0</v>
      </c>
      <c r="O24" s="15">
        <f t="shared" si="0"/>
        <v>20</v>
      </c>
      <c r="P24" s="15">
        <f t="shared" si="1"/>
        <v>62</v>
      </c>
      <c r="R24" s="36" t="s">
        <v>148</v>
      </c>
      <c r="S24" s="34">
        <f>SUM(C66:C69)</f>
        <v>21</v>
      </c>
      <c r="T24" s="34">
        <f t="shared" ref="T24:AF24" si="16">SUM(D66:D69)</f>
        <v>2</v>
      </c>
      <c r="U24" s="34">
        <f t="shared" si="16"/>
        <v>14</v>
      </c>
      <c r="V24" s="34">
        <f t="shared" si="16"/>
        <v>6</v>
      </c>
      <c r="W24" s="34">
        <f t="shared" si="16"/>
        <v>0</v>
      </c>
      <c r="X24" s="34">
        <f t="shared" si="16"/>
        <v>74</v>
      </c>
      <c r="Y24" s="34">
        <f t="shared" si="16"/>
        <v>1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</v>
      </c>
      <c r="AD24" s="34">
        <f t="shared" si="16"/>
        <v>4</v>
      </c>
      <c r="AE24" s="31">
        <f t="shared" si="16"/>
        <v>122</v>
      </c>
      <c r="AF24" s="31">
        <f t="shared" si="16"/>
        <v>123</v>
      </c>
    </row>
    <row r="25" spans="2:32" ht="23.1" customHeight="1" x14ac:dyDescent="0.25">
      <c r="B25" s="45" t="s">
        <v>52</v>
      </c>
      <c r="C25" s="50">
        <v>2</v>
      </c>
      <c r="D25" s="50">
        <v>0</v>
      </c>
      <c r="E25" s="50">
        <v>2</v>
      </c>
      <c r="F25" s="50">
        <v>8</v>
      </c>
      <c r="G25" s="50">
        <v>1</v>
      </c>
      <c r="H25" s="50">
        <v>0</v>
      </c>
      <c r="I25" s="50">
        <v>5</v>
      </c>
      <c r="J25" s="50">
        <v>0</v>
      </c>
      <c r="K25" s="50">
        <v>0</v>
      </c>
      <c r="L25" s="50">
        <f>SUM('[1]RD4 MCC'!R693:U693)</f>
        <v>0</v>
      </c>
      <c r="M25" s="50">
        <v>46</v>
      </c>
      <c r="N25" s="50">
        <v>0</v>
      </c>
      <c r="O25" s="15">
        <f t="shared" si="0"/>
        <v>18</v>
      </c>
      <c r="P25" s="15">
        <f t="shared" si="1"/>
        <v>64</v>
      </c>
      <c r="R25" s="36" t="s">
        <v>149</v>
      </c>
      <c r="S25" s="34">
        <f>SUM(C70:C73)</f>
        <v>4</v>
      </c>
      <c r="T25" s="34">
        <f t="shared" ref="T25:AF25" si="17">SUM(D70:D73)</f>
        <v>0</v>
      </c>
      <c r="U25" s="34">
        <f t="shared" si="17"/>
        <v>5</v>
      </c>
      <c r="V25" s="34">
        <f t="shared" si="17"/>
        <v>1</v>
      </c>
      <c r="W25" s="34">
        <f t="shared" si="17"/>
        <v>0</v>
      </c>
      <c r="X25" s="34">
        <f t="shared" si="17"/>
        <v>24</v>
      </c>
      <c r="Y25" s="34">
        <f t="shared" si="17"/>
        <v>3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5</v>
      </c>
      <c r="AD25" s="34">
        <f t="shared" si="17"/>
        <v>0</v>
      </c>
      <c r="AE25" s="31">
        <f t="shared" si="17"/>
        <v>37</v>
      </c>
      <c r="AF25" s="31">
        <f t="shared" si="17"/>
        <v>42</v>
      </c>
    </row>
    <row r="26" spans="2:32" ht="23.1" customHeight="1" x14ac:dyDescent="0.25">
      <c r="B26" s="45" t="s">
        <v>53</v>
      </c>
      <c r="C26" s="50">
        <v>6</v>
      </c>
      <c r="D26" s="50">
        <v>1</v>
      </c>
      <c r="E26" s="50">
        <v>3</v>
      </c>
      <c r="F26" s="50">
        <v>9</v>
      </c>
      <c r="G26" s="50">
        <v>0</v>
      </c>
      <c r="H26" s="50">
        <v>0</v>
      </c>
      <c r="I26" s="50">
        <v>0</v>
      </c>
      <c r="J26" s="50">
        <v>3</v>
      </c>
      <c r="K26" s="50">
        <v>1</v>
      </c>
      <c r="L26" s="50">
        <f>SUM('[1]RD4 MCC'!R694:U694)</f>
        <v>0</v>
      </c>
      <c r="M26" s="50">
        <v>42</v>
      </c>
      <c r="N26" s="50">
        <v>0</v>
      </c>
      <c r="O26" s="15">
        <f t="shared" si="0"/>
        <v>23</v>
      </c>
      <c r="P26" s="15">
        <f t="shared" si="1"/>
        <v>65</v>
      </c>
      <c r="R26" s="36" t="s">
        <v>150</v>
      </c>
      <c r="S26" s="34">
        <f>SUM(C74:C77)</f>
        <v>5</v>
      </c>
      <c r="T26" s="34">
        <f t="shared" ref="T26:AF26" si="18">SUM(D74:D77)</f>
        <v>0</v>
      </c>
      <c r="U26" s="34">
        <f t="shared" si="18"/>
        <v>6</v>
      </c>
      <c r="V26" s="34">
        <f t="shared" si="18"/>
        <v>4</v>
      </c>
      <c r="W26" s="34">
        <f t="shared" si="18"/>
        <v>0</v>
      </c>
      <c r="X26" s="34">
        <f t="shared" si="18"/>
        <v>27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1</v>
      </c>
      <c r="AE26" s="31">
        <f t="shared" si="18"/>
        <v>44</v>
      </c>
      <c r="AF26" s="31">
        <f t="shared" si="18"/>
        <v>45</v>
      </c>
    </row>
    <row r="27" spans="2:32" ht="23.1" customHeight="1" x14ac:dyDescent="0.25">
      <c r="B27" s="45" t="s">
        <v>54</v>
      </c>
      <c r="C27" s="50">
        <v>2</v>
      </c>
      <c r="D27" s="50">
        <v>2</v>
      </c>
      <c r="E27" s="50">
        <v>7</v>
      </c>
      <c r="F27" s="50">
        <v>8</v>
      </c>
      <c r="G27" s="50">
        <v>0</v>
      </c>
      <c r="H27" s="50">
        <v>0</v>
      </c>
      <c r="I27" s="50">
        <v>3</v>
      </c>
      <c r="J27" s="50">
        <v>1</v>
      </c>
      <c r="K27" s="50">
        <v>0</v>
      </c>
      <c r="L27" s="50">
        <f>SUM('[1]RD4 MCC'!R695:U695)</f>
        <v>0</v>
      </c>
      <c r="M27" s="50">
        <v>50</v>
      </c>
      <c r="N27" s="50">
        <v>0</v>
      </c>
      <c r="O27" s="15">
        <f t="shared" si="0"/>
        <v>23</v>
      </c>
      <c r="P27" s="15">
        <f t="shared" si="1"/>
        <v>73</v>
      </c>
      <c r="R27" s="36" t="s">
        <v>151</v>
      </c>
      <c r="S27" s="34">
        <f>SUM(C78:C81)</f>
        <v>6</v>
      </c>
      <c r="T27" s="34">
        <f t="shared" ref="T27:AF27" si="19">SUM(D78:D81)</f>
        <v>0</v>
      </c>
      <c r="U27" s="34">
        <f t="shared" si="19"/>
        <v>6</v>
      </c>
      <c r="V27" s="34">
        <f t="shared" si="19"/>
        <v>0</v>
      </c>
      <c r="W27" s="34">
        <f t="shared" si="19"/>
        <v>0</v>
      </c>
      <c r="X27" s="34">
        <f t="shared" si="19"/>
        <v>15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28</v>
      </c>
      <c r="AF27" s="31">
        <f t="shared" si="19"/>
        <v>28</v>
      </c>
    </row>
    <row r="28" spans="2:32" ht="23.1" customHeight="1" x14ac:dyDescent="0.25">
      <c r="B28" s="45" t="s">
        <v>55</v>
      </c>
      <c r="C28" s="50">
        <v>7</v>
      </c>
      <c r="D28" s="50">
        <v>0</v>
      </c>
      <c r="E28" s="50">
        <v>1</v>
      </c>
      <c r="F28" s="50">
        <v>8</v>
      </c>
      <c r="G28" s="50">
        <v>0</v>
      </c>
      <c r="H28" s="50">
        <v>0</v>
      </c>
      <c r="I28" s="50">
        <v>3</v>
      </c>
      <c r="J28" s="50">
        <v>2</v>
      </c>
      <c r="K28" s="50">
        <v>0</v>
      </c>
      <c r="L28" s="50">
        <f>SUM('[1]RD4 MCC'!R696:U696)</f>
        <v>0</v>
      </c>
      <c r="M28" s="50">
        <v>45</v>
      </c>
      <c r="N28" s="50">
        <v>0</v>
      </c>
      <c r="O28" s="15">
        <f t="shared" si="0"/>
        <v>21</v>
      </c>
      <c r="P28" s="15">
        <f t="shared" si="1"/>
        <v>66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2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4</v>
      </c>
      <c r="AF28" s="31">
        <f t="shared" si="20"/>
        <v>4</v>
      </c>
    </row>
    <row r="29" spans="2:32" ht="23.1" customHeight="1" x14ac:dyDescent="0.25">
      <c r="B29" s="45" t="s">
        <v>56</v>
      </c>
      <c r="C29" s="50">
        <v>4</v>
      </c>
      <c r="D29" s="50">
        <v>0</v>
      </c>
      <c r="E29" s="50">
        <v>2</v>
      </c>
      <c r="F29" s="50">
        <v>8</v>
      </c>
      <c r="G29" s="50">
        <v>0</v>
      </c>
      <c r="H29" s="50">
        <v>1</v>
      </c>
      <c r="I29" s="50">
        <v>2</v>
      </c>
      <c r="J29" s="50">
        <v>0</v>
      </c>
      <c r="K29" s="50">
        <v>0</v>
      </c>
      <c r="L29" s="50">
        <f>SUM('[1]RD4 MCC'!R697:U697)</f>
        <v>0</v>
      </c>
      <c r="M29" s="50">
        <v>35</v>
      </c>
      <c r="N29" s="50">
        <v>0</v>
      </c>
      <c r="O29" s="15">
        <f t="shared" si="0"/>
        <v>17</v>
      </c>
      <c r="P29" s="15">
        <f t="shared" si="1"/>
        <v>52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3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3</v>
      </c>
      <c r="AF29" s="31">
        <f t="shared" si="21"/>
        <v>3</v>
      </c>
    </row>
    <row r="30" spans="2:32" ht="23.1" customHeight="1" x14ac:dyDescent="0.25">
      <c r="B30" s="45" t="s">
        <v>57</v>
      </c>
      <c r="C30" s="50">
        <v>3</v>
      </c>
      <c r="D30" s="50">
        <v>0</v>
      </c>
      <c r="E30" s="50">
        <v>2</v>
      </c>
      <c r="F30" s="50">
        <v>9</v>
      </c>
      <c r="G30" s="50">
        <v>1</v>
      </c>
      <c r="H30" s="50">
        <v>0</v>
      </c>
      <c r="I30" s="50">
        <v>4</v>
      </c>
      <c r="J30" s="50">
        <v>0</v>
      </c>
      <c r="K30" s="50">
        <v>0</v>
      </c>
      <c r="L30" s="50">
        <f>SUM('[1]RD4 MCC'!R698:U698)</f>
        <v>0</v>
      </c>
      <c r="M30" s="50">
        <v>38</v>
      </c>
      <c r="N30" s="50">
        <v>0</v>
      </c>
      <c r="O30" s="15">
        <f t="shared" si="0"/>
        <v>19</v>
      </c>
      <c r="P30" s="15">
        <f t="shared" si="1"/>
        <v>57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2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3</v>
      </c>
      <c r="AF30" s="31">
        <f t="shared" si="22"/>
        <v>3</v>
      </c>
    </row>
    <row r="31" spans="2:32" ht="23.1" customHeight="1" x14ac:dyDescent="0.25">
      <c r="B31" s="46" t="s">
        <v>58</v>
      </c>
      <c r="C31" s="50">
        <v>7</v>
      </c>
      <c r="D31" s="50">
        <v>0</v>
      </c>
      <c r="E31" s="50">
        <v>3</v>
      </c>
      <c r="F31" s="50">
        <v>12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f>SUM('[1]RD4 MCC'!R699:U699)</f>
        <v>0</v>
      </c>
      <c r="M31" s="50">
        <v>51</v>
      </c>
      <c r="N31" s="50">
        <v>0</v>
      </c>
      <c r="O31" s="15">
        <f t="shared" si="0"/>
        <v>26</v>
      </c>
      <c r="P31" s="15">
        <f t="shared" si="1"/>
        <v>77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4</v>
      </c>
      <c r="V31" s="34">
        <f t="shared" si="23"/>
        <v>0</v>
      </c>
      <c r="W31" s="34">
        <f t="shared" si="23"/>
        <v>0</v>
      </c>
      <c r="X31" s="34">
        <f t="shared" si="23"/>
        <v>8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12</v>
      </c>
      <c r="AF31" s="31">
        <f t="shared" si="23"/>
        <v>12</v>
      </c>
    </row>
    <row r="32" spans="2:32" ht="23.1" customHeight="1" x14ac:dyDescent="0.25">
      <c r="B32" s="46" t="s">
        <v>59</v>
      </c>
      <c r="C32" s="50">
        <v>3</v>
      </c>
      <c r="D32" s="50">
        <v>1</v>
      </c>
      <c r="E32" s="50">
        <v>3</v>
      </c>
      <c r="F32" s="50">
        <v>9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f>SUM('[1]RD4 MCC'!R700:U700)</f>
        <v>0</v>
      </c>
      <c r="M32" s="50">
        <v>24</v>
      </c>
      <c r="N32" s="50">
        <v>0</v>
      </c>
      <c r="O32" s="15">
        <f t="shared" si="0"/>
        <v>18</v>
      </c>
      <c r="P32" s="15">
        <f t="shared" si="1"/>
        <v>42</v>
      </c>
      <c r="R32" s="33" t="s">
        <v>156</v>
      </c>
      <c r="S32" s="34">
        <f>SUM(C98:C101)</f>
        <v>2</v>
      </c>
      <c r="T32" s="34">
        <f t="shared" ref="T32:AF32" si="24">SUM(D98:D101)</f>
        <v>1</v>
      </c>
      <c r="U32" s="34">
        <f t="shared" si="24"/>
        <v>8</v>
      </c>
      <c r="V32" s="34">
        <f t="shared" si="24"/>
        <v>3</v>
      </c>
      <c r="W32" s="34">
        <f t="shared" si="24"/>
        <v>0</v>
      </c>
      <c r="X32" s="34">
        <f t="shared" si="24"/>
        <v>14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1</v>
      </c>
      <c r="AE32" s="31">
        <f t="shared" si="24"/>
        <v>29</v>
      </c>
      <c r="AF32" s="31">
        <f t="shared" si="24"/>
        <v>29</v>
      </c>
    </row>
    <row r="33" spans="2:32" ht="23.1" customHeight="1" x14ac:dyDescent="0.25">
      <c r="B33" s="45" t="s">
        <v>60</v>
      </c>
      <c r="C33" s="50">
        <v>9</v>
      </c>
      <c r="D33" s="50">
        <v>0</v>
      </c>
      <c r="E33" s="50">
        <v>3</v>
      </c>
      <c r="F33" s="50">
        <v>6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f>SUM('[1]RD4 MCC'!R701:U701)</f>
        <v>0</v>
      </c>
      <c r="M33" s="50">
        <v>35</v>
      </c>
      <c r="N33" s="50">
        <v>0</v>
      </c>
      <c r="O33" s="15">
        <f t="shared" si="0"/>
        <v>22</v>
      </c>
      <c r="P33" s="15">
        <f t="shared" si="1"/>
        <v>57</v>
      </c>
      <c r="R33" s="33" t="s">
        <v>157</v>
      </c>
      <c r="S33" s="34">
        <f>SUM(C102:C105)</f>
        <v>1</v>
      </c>
      <c r="T33" s="34">
        <f t="shared" ref="T33:AF33" si="25">SUM(D102:D105)</f>
        <v>1</v>
      </c>
      <c r="U33" s="34">
        <f t="shared" si="25"/>
        <v>11</v>
      </c>
      <c r="V33" s="34">
        <f t="shared" si="25"/>
        <v>1</v>
      </c>
      <c r="W33" s="34">
        <f t="shared" si="25"/>
        <v>0</v>
      </c>
      <c r="X33" s="34">
        <f t="shared" si="25"/>
        <v>42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4</v>
      </c>
      <c r="AE33" s="31">
        <f t="shared" si="25"/>
        <v>60</v>
      </c>
      <c r="AF33" s="31">
        <f t="shared" si="25"/>
        <v>60</v>
      </c>
    </row>
    <row r="34" spans="2:32" ht="23.1" customHeight="1" x14ac:dyDescent="0.25">
      <c r="B34" s="46" t="s">
        <v>61</v>
      </c>
      <c r="C34" s="50">
        <v>5</v>
      </c>
      <c r="D34" s="50">
        <v>0</v>
      </c>
      <c r="E34" s="50">
        <v>2</v>
      </c>
      <c r="F34" s="50">
        <v>6</v>
      </c>
      <c r="G34" s="50">
        <v>2</v>
      </c>
      <c r="H34" s="50">
        <v>0</v>
      </c>
      <c r="I34" s="50">
        <v>4</v>
      </c>
      <c r="J34" s="50">
        <v>0</v>
      </c>
      <c r="K34" s="50">
        <v>0</v>
      </c>
      <c r="L34" s="50">
        <f>SUM('[1]RD4 MCC'!R702:U702)</f>
        <v>0</v>
      </c>
      <c r="M34" s="50">
        <v>37</v>
      </c>
      <c r="N34" s="50">
        <v>0</v>
      </c>
      <c r="O34" s="15">
        <f t="shared" si="0"/>
        <v>19</v>
      </c>
      <c r="P34" s="15">
        <f t="shared" si="1"/>
        <v>56</v>
      </c>
      <c r="R34" s="38" t="s">
        <v>90</v>
      </c>
      <c r="S34" s="39">
        <f t="shared" ref="S34:AF34" si="26">MAX(S10:S12)</f>
        <v>18</v>
      </c>
      <c r="T34" s="39">
        <f t="shared" si="26"/>
        <v>2</v>
      </c>
      <c r="U34" s="39">
        <f t="shared" si="26"/>
        <v>11</v>
      </c>
      <c r="V34" s="39">
        <f t="shared" si="26"/>
        <v>39</v>
      </c>
      <c r="W34" s="39">
        <f t="shared" si="26"/>
        <v>18</v>
      </c>
      <c r="X34" s="39">
        <f t="shared" si="26"/>
        <v>2</v>
      </c>
      <c r="Y34" s="39">
        <f t="shared" si="26"/>
        <v>14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208</v>
      </c>
      <c r="AD34" s="39">
        <f t="shared" si="26"/>
        <v>0</v>
      </c>
      <c r="AE34" s="40">
        <f t="shared" si="26"/>
        <v>97</v>
      </c>
      <c r="AF34" s="40">
        <f t="shared" si="26"/>
        <v>305</v>
      </c>
    </row>
    <row r="35" spans="2:32" ht="23.1" customHeight="1" x14ac:dyDescent="0.25">
      <c r="B35" s="46" t="s">
        <v>62</v>
      </c>
      <c r="C35" s="50">
        <v>2</v>
      </c>
      <c r="D35" s="50">
        <v>0</v>
      </c>
      <c r="E35" s="50">
        <v>3</v>
      </c>
      <c r="F35" s="50">
        <v>3</v>
      </c>
      <c r="G35" s="50">
        <v>0</v>
      </c>
      <c r="H35" s="50">
        <v>0</v>
      </c>
      <c r="I35" s="50">
        <v>3</v>
      </c>
      <c r="J35" s="50">
        <v>1</v>
      </c>
      <c r="K35" s="50">
        <v>0</v>
      </c>
      <c r="L35" s="50">
        <f>SUM('[1]RD4 MCC'!R703:U703)</f>
        <v>0</v>
      </c>
      <c r="M35" s="50">
        <v>20</v>
      </c>
      <c r="N35" s="50">
        <v>0</v>
      </c>
      <c r="O35" s="15">
        <f t="shared" si="0"/>
        <v>12</v>
      </c>
      <c r="P35" s="15">
        <f t="shared" si="1"/>
        <v>32</v>
      </c>
      <c r="R35" s="38" t="s">
        <v>91</v>
      </c>
      <c r="S35" s="39">
        <f t="shared" ref="S35:AF35" si="27">MAX(S13:S18)</f>
        <v>22</v>
      </c>
      <c r="T35" s="39">
        <f t="shared" si="27"/>
        <v>6</v>
      </c>
      <c r="U35" s="39">
        <f t="shared" si="27"/>
        <v>18</v>
      </c>
      <c r="V35" s="39">
        <f t="shared" si="27"/>
        <v>44</v>
      </c>
      <c r="W35" s="39">
        <f t="shared" si="27"/>
        <v>3</v>
      </c>
      <c r="X35" s="39">
        <f t="shared" si="27"/>
        <v>1</v>
      </c>
      <c r="Y35" s="39">
        <f t="shared" si="27"/>
        <v>25</v>
      </c>
      <c r="Z35" s="39">
        <f t="shared" si="27"/>
        <v>6</v>
      </c>
      <c r="AA35" s="39">
        <f t="shared" si="27"/>
        <v>1</v>
      </c>
      <c r="AB35" s="39">
        <f t="shared" si="27"/>
        <v>0</v>
      </c>
      <c r="AC35" s="39">
        <f t="shared" si="27"/>
        <v>199</v>
      </c>
      <c r="AD35" s="39">
        <f t="shared" si="27"/>
        <v>1</v>
      </c>
      <c r="AE35" s="40">
        <f t="shared" si="27"/>
        <v>106</v>
      </c>
      <c r="AF35" s="40">
        <f t="shared" si="27"/>
        <v>290</v>
      </c>
    </row>
    <row r="36" spans="2:32" ht="23.1" customHeight="1" x14ac:dyDescent="0.25">
      <c r="B36" s="46" t="s">
        <v>63</v>
      </c>
      <c r="C36" s="50">
        <v>5</v>
      </c>
      <c r="D36" s="50">
        <v>1</v>
      </c>
      <c r="E36" s="50">
        <v>3</v>
      </c>
      <c r="F36" s="50">
        <v>15</v>
      </c>
      <c r="G36" s="50">
        <v>0</v>
      </c>
      <c r="H36" s="50">
        <v>0</v>
      </c>
      <c r="I36" s="50">
        <v>3</v>
      </c>
      <c r="J36" s="50">
        <v>0</v>
      </c>
      <c r="K36" s="50">
        <v>1</v>
      </c>
      <c r="L36" s="50">
        <f>SUM('[1]RD4 MCC'!R704:U704)</f>
        <v>0</v>
      </c>
      <c r="M36" s="50">
        <v>33</v>
      </c>
      <c r="N36" s="50">
        <v>0</v>
      </c>
      <c r="O36" s="15">
        <f t="shared" si="0"/>
        <v>28</v>
      </c>
      <c r="P36" s="15">
        <f t="shared" si="1"/>
        <v>61</v>
      </c>
      <c r="R36" s="38" t="s">
        <v>92</v>
      </c>
      <c r="S36" s="39">
        <f t="shared" ref="S36:AF36" si="28">MAX(S19:S21)</f>
        <v>74</v>
      </c>
      <c r="T36" s="39">
        <f t="shared" si="28"/>
        <v>14</v>
      </c>
      <c r="U36" s="39">
        <f t="shared" si="28"/>
        <v>37</v>
      </c>
      <c r="V36" s="39">
        <f t="shared" si="28"/>
        <v>65</v>
      </c>
      <c r="W36" s="39">
        <f t="shared" si="28"/>
        <v>11</v>
      </c>
      <c r="X36" s="39">
        <f t="shared" si="28"/>
        <v>0</v>
      </c>
      <c r="Y36" s="39">
        <f t="shared" si="28"/>
        <v>22</v>
      </c>
      <c r="Z36" s="39">
        <f t="shared" si="28"/>
        <v>2</v>
      </c>
      <c r="AA36" s="39">
        <f t="shared" si="28"/>
        <v>2</v>
      </c>
      <c r="AB36" s="39">
        <f t="shared" si="28"/>
        <v>0</v>
      </c>
      <c r="AC36" s="39">
        <f t="shared" si="28"/>
        <v>195</v>
      </c>
      <c r="AD36" s="39">
        <f t="shared" si="28"/>
        <v>0</v>
      </c>
      <c r="AE36" s="40">
        <f t="shared" si="28"/>
        <v>221</v>
      </c>
      <c r="AF36" s="40">
        <f t="shared" si="28"/>
        <v>357</v>
      </c>
    </row>
    <row r="37" spans="2:32" ht="23.1" customHeight="1" x14ac:dyDescent="0.25">
      <c r="B37" s="45" t="s">
        <v>64</v>
      </c>
      <c r="C37" s="50">
        <v>5</v>
      </c>
      <c r="D37" s="50">
        <v>2</v>
      </c>
      <c r="E37" s="50">
        <v>6</v>
      </c>
      <c r="F37" s="50">
        <v>11</v>
      </c>
      <c r="G37" s="50">
        <v>1</v>
      </c>
      <c r="H37" s="50">
        <v>0</v>
      </c>
      <c r="I37" s="50">
        <v>3</v>
      </c>
      <c r="J37" s="50">
        <v>0</v>
      </c>
      <c r="K37" s="50">
        <v>0</v>
      </c>
      <c r="L37" s="50">
        <f>SUM('[1]RD4 MCC'!R705:U705)</f>
        <v>0</v>
      </c>
      <c r="M37" s="50">
        <v>42</v>
      </c>
      <c r="N37" s="50">
        <v>0</v>
      </c>
      <c r="O37" s="15">
        <f t="shared" si="0"/>
        <v>28</v>
      </c>
      <c r="P37" s="15">
        <f t="shared" si="1"/>
        <v>70</v>
      </c>
      <c r="R37" s="37" t="s">
        <v>85</v>
      </c>
      <c r="S37" s="35">
        <f t="shared" ref="S37:AF37" si="29">SUM(S10:S12)</f>
        <v>53</v>
      </c>
      <c r="T37" s="16">
        <f t="shared" si="29"/>
        <v>4</v>
      </c>
      <c r="U37" s="16">
        <f t="shared" si="29"/>
        <v>27</v>
      </c>
      <c r="V37" s="16">
        <f t="shared" si="29"/>
        <v>102</v>
      </c>
      <c r="W37" s="16">
        <f t="shared" si="29"/>
        <v>34</v>
      </c>
      <c r="X37" s="16">
        <f t="shared" si="29"/>
        <v>3</v>
      </c>
      <c r="Y37" s="16">
        <f t="shared" si="29"/>
        <v>28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547</v>
      </c>
      <c r="AD37" s="16">
        <f t="shared" si="29"/>
        <v>0</v>
      </c>
      <c r="AE37" s="32">
        <f t="shared" si="29"/>
        <v>252</v>
      </c>
      <c r="AF37" s="32">
        <f t="shared" si="29"/>
        <v>799</v>
      </c>
    </row>
    <row r="38" spans="2:32" ht="23.1" customHeight="1" x14ac:dyDescent="0.25">
      <c r="B38" s="46" t="s">
        <v>65</v>
      </c>
      <c r="C38" s="50">
        <v>3</v>
      </c>
      <c r="D38" s="50">
        <v>0</v>
      </c>
      <c r="E38" s="50">
        <v>3</v>
      </c>
      <c r="F38" s="50">
        <v>5</v>
      </c>
      <c r="G38" s="50">
        <v>0</v>
      </c>
      <c r="H38" s="50">
        <v>0</v>
      </c>
      <c r="I38" s="50">
        <v>3</v>
      </c>
      <c r="J38" s="50">
        <v>1</v>
      </c>
      <c r="K38" s="50">
        <v>0</v>
      </c>
      <c r="L38" s="50">
        <f>SUM('[1]RD4 MCC'!R706:U706)</f>
        <v>0</v>
      </c>
      <c r="M38" s="50">
        <v>61</v>
      </c>
      <c r="N38" s="50">
        <v>0</v>
      </c>
      <c r="O38" s="15">
        <f t="shared" si="0"/>
        <v>15</v>
      </c>
      <c r="P38" s="15">
        <f t="shared" si="1"/>
        <v>76</v>
      </c>
      <c r="R38" s="28" t="s">
        <v>86</v>
      </c>
      <c r="S38" s="16">
        <f t="shared" ref="S38:AF38" si="30">SUM(S13:S18)</f>
        <v>99</v>
      </c>
      <c r="T38" s="16">
        <f t="shared" si="30"/>
        <v>15</v>
      </c>
      <c r="U38" s="16">
        <f t="shared" si="30"/>
        <v>76</v>
      </c>
      <c r="V38" s="16">
        <f t="shared" si="30"/>
        <v>229</v>
      </c>
      <c r="W38" s="16">
        <f t="shared" si="30"/>
        <v>10</v>
      </c>
      <c r="X38" s="16">
        <f t="shared" si="30"/>
        <v>1</v>
      </c>
      <c r="Y38" s="16">
        <f t="shared" si="30"/>
        <v>87</v>
      </c>
      <c r="Z38" s="16">
        <f t="shared" si="30"/>
        <v>11</v>
      </c>
      <c r="AA38" s="16">
        <f t="shared" si="30"/>
        <v>2</v>
      </c>
      <c r="AB38" s="16">
        <f t="shared" si="30"/>
        <v>0</v>
      </c>
      <c r="AC38" s="16">
        <f t="shared" si="30"/>
        <v>1006</v>
      </c>
      <c r="AD38" s="16">
        <f t="shared" si="30"/>
        <v>1</v>
      </c>
      <c r="AE38" s="32">
        <f t="shared" si="30"/>
        <v>531</v>
      </c>
      <c r="AF38" s="32">
        <f t="shared" si="30"/>
        <v>1537</v>
      </c>
    </row>
    <row r="39" spans="2:32" ht="23.1" customHeight="1" x14ac:dyDescent="0.25">
      <c r="B39" s="46" t="s">
        <v>66</v>
      </c>
      <c r="C39" s="50">
        <v>4</v>
      </c>
      <c r="D39" s="50">
        <v>0</v>
      </c>
      <c r="E39" s="50">
        <v>1</v>
      </c>
      <c r="F39" s="50">
        <v>16</v>
      </c>
      <c r="G39" s="50">
        <v>1</v>
      </c>
      <c r="H39" s="50">
        <v>0</v>
      </c>
      <c r="I39" s="50">
        <v>4</v>
      </c>
      <c r="J39" s="50">
        <v>0</v>
      </c>
      <c r="K39" s="50">
        <v>0</v>
      </c>
      <c r="L39" s="50">
        <f>SUM('[1]RD4 MCC'!R707:U707)</f>
        <v>0</v>
      </c>
      <c r="M39" s="50">
        <v>46</v>
      </c>
      <c r="N39" s="50">
        <v>0</v>
      </c>
      <c r="O39" s="15">
        <f t="shared" si="0"/>
        <v>26</v>
      </c>
      <c r="P39" s="15">
        <f t="shared" si="1"/>
        <v>72</v>
      </c>
      <c r="R39" s="29" t="s">
        <v>87</v>
      </c>
      <c r="S39" s="16">
        <f t="shared" ref="S39:AF39" si="31">SUM(S19:S21)</f>
        <v>150</v>
      </c>
      <c r="T39" s="16">
        <f t="shared" si="31"/>
        <v>31</v>
      </c>
      <c r="U39" s="16">
        <f t="shared" si="31"/>
        <v>88</v>
      </c>
      <c r="V39" s="16">
        <f t="shared" si="31"/>
        <v>155</v>
      </c>
      <c r="W39" s="16">
        <f t="shared" si="31"/>
        <v>25</v>
      </c>
      <c r="X39" s="16">
        <f t="shared" si="31"/>
        <v>0</v>
      </c>
      <c r="Y39" s="16">
        <f t="shared" si="31"/>
        <v>58</v>
      </c>
      <c r="Z39" s="16">
        <f t="shared" si="31"/>
        <v>3</v>
      </c>
      <c r="AA39" s="16">
        <f t="shared" si="31"/>
        <v>3</v>
      </c>
      <c r="AB39" s="16">
        <f t="shared" si="31"/>
        <v>0</v>
      </c>
      <c r="AC39" s="16">
        <f t="shared" si="31"/>
        <v>370</v>
      </c>
      <c r="AD39" s="16">
        <f t="shared" si="31"/>
        <v>0</v>
      </c>
      <c r="AE39" s="32">
        <f t="shared" si="31"/>
        <v>513</v>
      </c>
      <c r="AF39" s="32">
        <f t="shared" si="31"/>
        <v>883</v>
      </c>
    </row>
    <row r="40" spans="2:32" ht="23.1" customHeight="1" x14ac:dyDescent="0.25">
      <c r="B40" s="46" t="s">
        <v>67</v>
      </c>
      <c r="C40" s="50">
        <v>4</v>
      </c>
      <c r="D40" s="50">
        <v>2</v>
      </c>
      <c r="E40" s="50">
        <v>5</v>
      </c>
      <c r="F40" s="50">
        <v>10</v>
      </c>
      <c r="G40" s="50">
        <v>1</v>
      </c>
      <c r="H40" s="50">
        <v>0</v>
      </c>
      <c r="I40" s="50">
        <v>2</v>
      </c>
      <c r="J40" s="50">
        <v>1</v>
      </c>
      <c r="K40" s="50">
        <v>0</v>
      </c>
      <c r="L40" s="50">
        <f>SUM('[1]RD4 MCC'!R708:U708)</f>
        <v>0</v>
      </c>
      <c r="M40" s="50">
        <v>48</v>
      </c>
      <c r="N40" s="50">
        <v>0</v>
      </c>
      <c r="O40" s="15">
        <f t="shared" si="0"/>
        <v>25</v>
      </c>
      <c r="P40" s="15">
        <f t="shared" si="1"/>
        <v>73</v>
      </c>
      <c r="R40" s="5" t="s">
        <v>17</v>
      </c>
      <c r="S40" s="16">
        <f t="shared" ref="S40:AF40" si="32">SUM(S10:S21)</f>
        <v>302</v>
      </c>
      <c r="T40" s="16">
        <f t="shared" si="32"/>
        <v>50</v>
      </c>
      <c r="U40" s="16">
        <f t="shared" si="32"/>
        <v>191</v>
      </c>
      <c r="V40" s="16">
        <f t="shared" si="32"/>
        <v>486</v>
      </c>
      <c r="W40" s="16">
        <f t="shared" si="32"/>
        <v>69</v>
      </c>
      <c r="X40" s="16">
        <f t="shared" si="32"/>
        <v>4</v>
      </c>
      <c r="Y40" s="16">
        <f t="shared" si="32"/>
        <v>173</v>
      </c>
      <c r="Z40" s="16">
        <f t="shared" si="32"/>
        <v>15</v>
      </c>
      <c r="AA40" s="16">
        <f t="shared" si="32"/>
        <v>5</v>
      </c>
      <c r="AB40" s="16">
        <f t="shared" si="32"/>
        <v>0</v>
      </c>
      <c r="AC40" s="16">
        <f t="shared" si="32"/>
        <v>1923</v>
      </c>
      <c r="AD40" s="16">
        <f t="shared" si="32"/>
        <v>1</v>
      </c>
      <c r="AE40" s="32">
        <f t="shared" si="32"/>
        <v>1296</v>
      </c>
      <c r="AF40" s="32">
        <f t="shared" si="32"/>
        <v>3219</v>
      </c>
    </row>
    <row r="41" spans="2:32" ht="23.1" customHeight="1" x14ac:dyDescent="0.25">
      <c r="B41" s="45" t="s">
        <v>68</v>
      </c>
      <c r="C41" s="50">
        <v>3</v>
      </c>
      <c r="D41" s="50">
        <v>0</v>
      </c>
      <c r="E41" s="50">
        <v>3</v>
      </c>
      <c r="F41" s="50">
        <v>13</v>
      </c>
      <c r="G41" s="50">
        <v>0</v>
      </c>
      <c r="H41" s="50">
        <v>0</v>
      </c>
      <c r="I41" s="50">
        <v>6</v>
      </c>
      <c r="J41" s="50">
        <v>0</v>
      </c>
      <c r="K41" s="50">
        <v>0</v>
      </c>
      <c r="L41" s="50">
        <f>SUM('[1]RD4 MCC'!R709:U709)</f>
        <v>0</v>
      </c>
      <c r="M41" s="50">
        <v>44</v>
      </c>
      <c r="N41" s="50">
        <v>0</v>
      </c>
      <c r="O41" s="15">
        <f t="shared" si="0"/>
        <v>25</v>
      </c>
      <c r="P41" s="15">
        <f t="shared" si="1"/>
        <v>69</v>
      </c>
      <c r="R41" s="5" t="s">
        <v>159</v>
      </c>
      <c r="S41" s="16">
        <f>SUM(S10:S33)</f>
        <v>409</v>
      </c>
      <c r="T41" s="16">
        <f t="shared" ref="T41:AF41" si="33">SUM(T10:T33)</f>
        <v>71</v>
      </c>
      <c r="U41" s="16">
        <f t="shared" si="33"/>
        <v>294</v>
      </c>
      <c r="V41" s="16">
        <f t="shared" si="33"/>
        <v>524</v>
      </c>
      <c r="W41" s="16">
        <f t="shared" si="33"/>
        <v>70</v>
      </c>
      <c r="X41" s="16">
        <f t="shared" si="33"/>
        <v>458</v>
      </c>
      <c r="Y41" s="16">
        <f t="shared" si="33"/>
        <v>182</v>
      </c>
      <c r="Z41" s="16">
        <f t="shared" si="33"/>
        <v>16</v>
      </c>
      <c r="AA41" s="16">
        <f t="shared" si="33"/>
        <v>5</v>
      </c>
      <c r="AB41" s="16">
        <f t="shared" si="33"/>
        <v>0</v>
      </c>
      <c r="AC41" s="16">
        <f t="shared" si="33"/>
        <v>1937</v>
      </c>
      <c r="AD41" s="16">
        <f t="shared" si="33"/>
        <v>17</v>
      </c>
      <c r="AE41" s="32">
        <f t="shared" si="33"/>
        <v>2046</v>
      </c>
      <c r="AF41" s="32">
        <f t="shared" si="33"/>
        <v>3983</v>
      </c>
    </row>
    <row r="42" spans="2:32" ht="23.1" customHeight="1" x14ac:dyDescent="0.25">
      <c r="B42" s="46" t="s">
        <v>69</v>
      </c>
      <c r="C42" s="50">
        <v>4</v>
      </c>
      <c r="D42" s="50">
        <v>3</v>
      </c>
      <c r="E42" s="50">
        <v>7</v>
      </c>
      <c r="F42" s="50">
        <v>8</v>
      </c>
      <c r="G42" s="50">
        <v>1</v>
      </c>
      <c r="H42" s="50">
        <v>0</v>
      </c>
      <c r="I42" s="50">
        <v>6</v>
      </c>
      <c r="J42" s="50">
        <v>0</v>
      </c>
      <c r="K42" s="50">
        <v>0</v>
      </c>
      <c r="L42" s="50">
        <f>SUM('[1]RD4 MCC'!R710:U710)</f>
        <v>0</v>
      </c>
      <c r="M42" s="50">
        <v>44</v>
      </c>
      <c r="N42" s="50">
        <v>0</v>
      </c>
      <c r="O42" s="15">
        <f t="shared" si="0"/>
        <v>29</v>
      </c>
      <c r="P42" s="15">
        <f t="shared" si="1"/>
        <v>73</v>
      </c>
      <c r="R42" s="5" t="s">
        <v>160</v>
      </c>
      <c r="S42" s="48">
        <f>S41/S40</f>
        <v>1.3543046357615893</v>
      </c>
      <c r="T42" s="48">
        <f t="shared" ref="T42:AF42" si="34">T41/T40</f>
        <v>1.42</v>
      </c>
      <c r="U42" s="48">
        <f t="shared" si="34"/>
        <v>1.5392670157068062</v>
      </c>
      <c r="V42" s="48">
        <f t="shared" si="34"/>
        <v>1.0781893004115226</v>
      </c>
      <c r="W42" s="48">
        <f t="shared" si="34"/>
        <v>1.0144927536231885</v>
      </c>
      <c r="X42" s="48">
        <f t="shared" si="34"/>
        <v>114.5</v>
      </c>
      <c r="Y42" s="48">
        <f t="shared" si="34"/>
        <v>1.0520231213872833</v>
      </c>
      <c r="Z42" s="48">
        <f t="shared" si="34"/>
        <v>1.0666666666666667</v>
      </c>
      <c r="AA42" s="48">
        <f t="shared" si="34"/>
        <v>1</v>
      </c>
      <c r="AB42" s="48" t="e">
        <f t="shared" si="34"/>
        <v>#DIV/0!</v>
      </c>
      <c r="AC42" s="48">
        <f t="shared" si="34"/>
        <v>1.0072802912116485</v>
      </c>
      <c r="AD42" s="48">
        <f t="shared" si="34"/>
        <v>17</v>
      </c>
      <c r="AE42" s="48">
        <f t="shared" si="34"/>
        <v>1.5787037037037037</v>
      </c>
      <c r="AF42" s="48">
        <f t="shared" si="34"/>
        <v>1.2373407890649271</v>
      </c>
    </row>
    <row r="43" spans="2:32" ht="23.1" customHeight="1" x14ac:dyDescent="0.25">
      <c r="B43" s="45" t="s">
        <v>70</v>
      </c>
      <c r="C43" s="50">
        <v>1</v>
      </c>
      <c r="D43" s="50">
        <v>1</v>
      </c>
      <c r="E43" s="50">
        <v>3</v>
      </c>
      <c r="F43" s="50">
        <v>11</v>
      </c>
      <c r="G43" s="50">
        <v>1</v>
      </c>
      <c r="H43" s="50">
        <v>0</v>
      </c>
      <c r="I43" s="50">
        <v>6</v>
      </c>
      <c r="J43" s="50">
        <v>1</v>
      </c>
      <c r="K43" s="50">
        <v>0</v>
      </c>
      <c r="L43" s="50">
        <f>SUM('[1]RD4 MCC'!R711:U711)</f>
        <v>0</v>
      </c>
      <c r="M43" s="50">
        <v>46</v>
      </c>
      <c r="N43" s="50">
        <v>0</v>
      </c>
      <c r="O43" s="15">
        <f t="shared" si="0"/>
        <v>24</v>
      </c>
      <c r="P43" s="15">
        <f t="shared" si="1"/>
        <v>70</v>
      </c>
    </row>
    <row r="44" spans="2:32" ht="23.1" customHeight="1" x14ac:dyDescent="0.25">
      <c r="B44" s="47" t="s">
        <v>71</v>
      </c>
      <c r="C44" s="50">
        <v>4</v>
      </c>
      <c r="D44" s="50">
        <v>1</v>
      </c>
      <c r="E44" s="50">
        <v>4</v>
      </c>
      <c r="F44" s="50">
        <v>7</v>
      </c>
      <c r="G44" s="50">
        <v>0</v>
      </c>
      <c r="H44" s="50">
        <v>0</v>
      </c>
      <c r="I44" s="50">
        <v>7</v>
      </c>
      <c r="J44" s="50">
        <v>1</v>
      </c>
      <c r="K44" s="50">
        <v>0</v>
      </c>
      <c r="L44" s="50">
        <f>SUM('[1]RD4 MCC'!R712:U712)</f>
        <v>0</v>
      </c>
      <c r="M44" s="50">
        <v>32</v>
      </c>
      <c r="N44" s="50">
        <v>0</v>
      </c>
      <c r="O44" s="15">
        <f t="shared" si="0"/>
        <v>24</v>
      </c>
      <c r="P44" s="15">
        <f t="shared" si="1"/>
        <v>56</v>
      </c>
    </row>
    <row r="45" spans="2:32" ht="23.1" customHeight="1" x14ac:dyDescent="0.25">
      <c r="B45" s="45" t="s">
        <v>72</v>
      </c>
      <c r="C45" s="50">
        <v>2</v>
      </c>
      <c r="D45" s="50">
        <v>1</v>
      </c>
      <c r="E45" s="50">
        <v>4</v>
      </c>
      <c r="F45" s="50">
        <v>16</v>
      </c>
      <c r="G45" s="50">
        <v>0</v>
      </c>
      <c r="H45" s="50">
        <v>0</v>
      </c>
      <c r="I45" s="50">
        <v>6</v>
      </c>
      <c r="J45" s="50">
        <v>0</v>
      </c>
      <c r="K45" s="50">
        <v>0</v>
      </c>
      <c r="L45" s="50">
        <f>SUM('[1]RD4 MCC'!R713:U713)</f>
        <v>0</v>
      </c>
      <c r="M45" s="50">
        <v>46</v>
      </c>
      <c r="N45" s="50">
        <v>0</v>
      </c>
      <c r="O45" s="15">
        <f t="shared" si="0"/>
        <v>29</v>
      </c>
      <c r="P45" s="15">
        <f t="shared" si="1"/>
        <v>75</v>
      </c>
    </row>
    <row r="46" spans="2:32" ht="23.1" customHeight="1" x14ac:dyDescent="0.25">
      <c r="B46" s="46" t="s">
        <v>73</v>
      </c>
      <c r="C46" s="50">
        <v>2</v>
      </c>
      <c r="D46" s="50">
        <v>0</v>
      </c>
      <c r="E46" s="50">
        <v>2</v>
      </c>
      <c r="F46" s="50">
        <v>11</v>
      </c>
      <c r="G46" s="50">
        <v>0</v>
      </c>
      <c r="H46" s="50">
        <v>0</v>
      </c>
      <c r="I46" s="50">
        <v>5</v>
      </c>
      <c r="J46" s="50">
        <v>0</v>
      </c>
      <c r="K46" s="50">
        <v>0</v>
      </c>
      <c r="L46" s="50">
        <f>SUM('[1]RD4 MCC'!R714:U714)</f>
        <v>0</v>
      </c>
      <c r="M46" s="50">
        <v>53</v>
      </c>
      <c r="N46" s="50">
        <v>0</v>
      </c>
      <c r="O46" s="15">
        <f t="shared" si="0"/>
        <v>20</v>
      </c>
      <c r="P46" s="15">
        <f t="shared" si="1"/>
        <v>73</v>
      </c>
      <c r="R46" s="8"/>
      <c r="T46"/>
    </row>
    <row r="47" spans="2:32" ht="23.1" customHeight="1" x14ac:dyDescent="0.25">
      <c r="B47" s="46" t="s">
        <v>74</v>
      </c>
      <c r="C47" s="50">
        <v>9</v>
      </c>
      <c r="D47" s="50">
        <v>1</v>
      </c>
      <c r="E47" s="50">
        <v>5</v>
      </c>
      <c r="F47" s="50">
        <v>9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f>SUM('[1]RD4 MCC'!R715:U715)</f>
        <v>0</v>
      </c>
      <c r="M47" s="50">
        <v>36</v>
      </c>
      <c r="N47" s="50">
        <v>0</v>
      </c>
      <c r="O47" s="15">
        <f t="shared" si="0"/>
        <v>25</v>
      </c>
      <c r="P47" s="15">
        <f t="shared" si="1"/>
        <v>61</v>
      </c>
      <c r="R47" s="8"/>
      <c r="T47"/>
    </row>
    <row r="48" spans="2:32" ht="23.1" customHeight="1" x14ac:dyDescent="0.25">
      <c r="B48" s="46" t="s">
        <v>75</v>
      </c>
      <c r="C48" s="50">
        <v>7</v>
      </c>
      <c r="D48" s="50">
        <v>0</v>
      </c>
      <c r="E48" s="50">
        <v>0</v>
      </c>
      <c r="F48" s="50">
        <v>10</v>
      </c>
      <c r="G48" s="50">
        <v>4</v>
      </c>
      <c r="H48" s="50">
        <v>0</v>
      </c>
      <c r="I48" s="50">
        <v>7</v>
      </c>
      <c r="J48" s="50">
        <v>0</v>
      </c>
      <c r="K48" s="50">
        <v>0</v>
      </c>
      <c r="L48" s="50">
        <f>SUM('[1]RD4 MCC'!R716:U716)</f>
        <v>0</v>
      </c>
      <c r="M48" s="50">
        <v>63</v>
      </c>
      <c r="N48" s="50">
        <v>0</v>
      </c>
      <c r="O48" s="15">
        <f t="shared" si="0"/>
        <v>28</v>
      </c>
      <c r="P48" s="15">
        <f t="shared" si="1"/>
        <v>91</v>
      </c>
      <c r="R48" s="8"/>
      <c r="T48"/>
    </row>
    <row r="49" spans="2:20" ht="23.1" customHeight="1" x14ac:dyDescent="0.25">
      <c r="B49" s="45" t="s">
        <v>76</v>
      </c>
      <c r="C49" s="50">
        <v>15</v>
      </c>
      <c r="D49" s="50">
        <v>3</v>
      </c>
      <c r="E49" s="50">
        <v>9</v>
      </c>
      <c r="F49" s="50">
        <v>14</v>
      </c>
      <c r="G49" s="50">
        <v>0</v>
      </c>
      <c r="H49" s="50">
        <v>0</v>
      </c>
      <c r="I49" s="50">
        <v>5</v>
      </c>
      <c r="J49" s="50">
        <v>0</v>
      </c>
      <c r="K49" s="50">
        <v>0</v>
      </c>
      <c r="L49" s="50">
        <f>SUM('[1]RD4 MCC'!R717:U717)</f>
        <v>0</v>
      </c>
      <c r="M49" s="50">
        <v>43</v>
      </c>
      <c r="N49" s="50">
        <v>0</v>
      </c>
      <c r="O49" s="15">
        <f t="shared" si="0"/>
        <v>46</v>
      </c>
      <c r="P49" s="15">
        <f t="shared" si="1"/>
        <v>89</v>
      </c>
      <c r="R49" s="8"/>
      <c r="T49"/>
    </row>
    <row r="50" spans="2:20" ht="23.1" customHeight="1" x14ac:dyDescent="0.25">
      <c r="B50" s="46" t="s">
        <v>77</v>
      </c>
      <c r="C50" s="50">
        <v>11</v>
      </c>
      <c r="D50" s="50">
        <v>1</v>
      </c>
      <c r="E50" s="50">
        <v>4</v>
      </c>
      <c r="F50" s="50">
        <v>19</v>
      </c>
      <c r="G50" s="50">
        <v>0</v>
      </c>
      <c r="H50" s="50">
        <v>0</v>
      </c>
      <c r="I50" s="50">
        <v>6</v>
      </c>
      <c r="J50" s="50">
        <v>0</v>
      </c>
      <c r="K50" s="50">
        <v>1</v>
      </c>
      <c r="L50" s="50">
        <f>SUM('[1]RD4 MCC'!R718:U718)</f>
        <v>0</v>
      </c>
      <c r="M50" s="50">
        <v>40</v>
      </c>
      <c r="N50" s="50">
        <v>0</v>
      </c>
      <c r="O50" s="15">
        <f t="shared" si="0"/>
        <v>42</v>
      </c>
      <c r="P50" s="15">
        <f t="shared" si="1"/>
        <v>82</v>
      </c>
      <c r="R50" s="8"/>
      <c r="T50"/>
    </row>
    <row r="51" spans="2:20" ht="23.1" customHeight="1" x14ac:dyDescent="0.25">
      <c r="B51" s="46" t="s">
        <v>78</v>
      </c>
      <c r="C51" s="50">
        <v>10</v>
      </c>
      <c r="D51" s="50">
        <v>2</v>
      </c>
      <c r="E51" s="50">
        <v>6</v>
      </c>
      <c r="F51" s="50">
        <v>10</v>
      </c>
      <c r="G51" s="50">
        <v>1</v>
      </c>
      <c r="H51" s="50">
        <v>0</v>
      </c>
      <c r="I51" s="50">
        <v>8</v>
      </c>
      <c r="J51" s="50">
        <v>0</v>
      </c>
      <c r="K51" s="50">
        <v>0</v>
      </c>
      <c r="L51" s="50">
        <f>SUM('[1]RD4 MCC'!R719:U719)</f>
        <v>0</v>
      </c>
      <c r="M51" s="50">
        <v>47</v>
      </c>
      <c r="N51" s="50">
        <v>0</v>
      </c>
      <c r="O51" s="15">
        <f t="shared" si="0"/>
        <v>37</v>
      </c>
      <c r="P51" s="15">
        <f t="shared" si="1"/>
        <v>84</v>
      </c>
      <c r="R51" s="8"/>
      <c r="T51"/>
    </row>
    <row r="52" spans="2:20" ht="23.1" customHeight="1" x14ac:dyDescent="0.25">
      <c r="B52" s="46" t="s">
        <v>79</v>
      </c>
      <c r="C52" s="50">
        <v>33</v>
      </c>
      <c r="D52" s="50">
        <v>8</v>
      </c>
      <c r="E52" s="50">
        <v>19</v>
      </c>
      <c r="F52" s="50">
        <v>20</v>
      </c>
      <c r="G52" s="50">
        <v>5</v>
      </c>
      <c r="H52" s="50">
        <v>0</v>
      </c>
      <c r="I52" s="50">
        <v>4</v>
      </c>
      <c r="J52" s="50">
        <v>0</v>
      </c>
      <c r="K52" s="50">
        <v>0</v>
      </c>
      <c r="L52" s="50">
        <f>SUM('[1]RD4 MCC'!R720:U720)</f>
        <v>0</v>
      </c>
      <c r="M52" s="50">
        <v>40</v>
      </c>
      <c r="N52" s="50">
        <v>0</v>
      </c>
      <c r="O52" s="15">
        <f t="shared" si="0"/>
        <v>89</v>
      </c>
      <c r="P52" s="15">
        <f t="shared" si="1"/>
        <v>129</v>
      </c>
      <c r="R52" s="8"/>
      <c r="T52"/>
    </row>
    <row r="53" spans="2:20" ht="23.1" customHeight="1" x14ac:dyDescent="0.25">
      <c r="B53" s="45" t="s">
        <v>80</v>
      </c>
      <c r="C53" s="50">
        <v>20</v>
      </c>
      <c r="D53" s="50">
        <v>2</v>
      </c>
      <c r="E53" s="50">
        <v>6</v>
      </c>
      <c r="F53" s="50">
        <v>16</v>
      </c>
      <c r="G53" s="50">
        <v>4</v>
      </c>
      <c r="H53" s="50">
        <v>0</v>
      </c>
      <c r="I53" s="50">
        <v>4</v>
      </c>
      <c r="J53" s="50">
        <v>1</v>
      </c>
      <c r="K53" s="50">
        <v>0</v>
      </c>
      <c r="L53" s="50">
        <f>SUM('[1]RD4 MCC'!R721:U721)</f>
        <v>0</v>
      </c>
      <c r="M53" s="50">
        <v>9</v>
      </c>
      <c r="N53" s="50">
        <v>0</v>
      </c>
      <c r="O53" s="15">
        <f t="shared" si="0"/>
        <v>53</v>
      </c>
      <c r="P53" s="15">
        <f t="shared" si="1"/>
        <v>62</v>
      </c>
      <c r="R53" s="8"/>
      <c r="T53"/>
    </row>
    <row r="54" spans="2:20" ht="23.1" customHeight="1" x14ac:dyDescent="0.25">
      <c r="B54" s="45" t="s">
        <v>81</v>
      </c>
      <c r="C54" s="50">
        <v>11</v>
      </c>
      <c r="D54" s="50">
        <v>5</v>
      </c>
      <c r="E54" s="50">
        <v>12</v>
      </c>
      <c r="F54" s="50">
        <v>12</v>
      </c>
      <c r="G54" s="50">
        <v>3</v>
      </c>
      <c r="H54" s="50">
        <v>0</v>
      </c>
      <c r="I54" s="50">
        <v>4</v>
      </c>
      <c r="J54" s="50">
        <v>1</v>
      </c>
      <c r="K54" s="50">
        <v>0</v>
      </c>
      <c r="L54" s="50">
        <f>SUM('[1]RD4 MCC'!R722:U722)</f>
        <v>0</v>
      </c>
      <c r="M54" s="50">
        <v>1</v>
      </c>
      <c r="N54" s="50">
        <v>0</v>
      </c>
      <c r="O54" s="15">
        <f t="shared" si="0"/>
        <v>48</v>
      </c>
      <c r="P54" s="15">
        <f t="shared" si="1"/>
        <v>49</v>
      </c>
      <c r="R54" s="8"/>
      <c r="T54"/>
    </row>
    <row r="55" spans="2:20" ht="23.1" customHeight="1" x14ac:dyDescent="0.25">
      <c r="B55" s="45" t="s">
        <v>82</v>
      </c>
      <c r="C55" s="50">
        <v>8</v>
      </c>
      <c r="D55" s="50">
        <v>2</v>
      </c>
      <c r="E55" s="50">
        <v>7</v>
      </c>
      <c r="F55" s="50">
        <v>7</v>
      </c>
      <c r="G55" s="50">
        <v>5</v>
      </c>
      <c r="H55" s="50">
        <v>0</v>
      </c>
      <c r="I55" s="50">
        <v>6</v>
      </c>
      <c r="J55" s="50">
        <v>0</v>
      </c>
      <c r="K55" s="50">
        <v>0</v>
      </c>
      <c r="L55" s="50">
        <f>SUM('[1]RD4 MCC'!R723:U723)</f>
        <v>0</v>
      </c>
      <c r="M55" s="50">
        <v>16</v>
      </c>
      <c r="N55" s="50">
        <v>0</v>
      </c>
      <c r="O55" s="15">
        <f t="shared" si="0"/>
        <v>35</v>
      </c>
      <c r="P55" s="15">
        <f t="shared" si="1"/>
        <v>51</v>
      </c>
      <c r="R55" s="8"/>
      <c r="T55"/>
    </row>
    <row r="56" spans="2:20" ht="23.1" customHeight="1" x14ac:dyDescent="0.25">
      <c r="B56" s="45" t="s">
        <v>83</v>
      </c>
      <c r="C56" s="50">
        <v>3</v>
      </c>
      <c r="D56" s="50">
        <v>3</v>
      </c>
      <c r="E56" s="50">
        <v>7</v>
      </c>
      <c r="F56" s="50">
        <v>12</v>
      </c>
      <c r="G56" s="50">
        <v>0</v>
      </c>
      <c r="H56" s="50">
        <v>0</v>
      </c>
      <c r="I56" s="50">
        <v>5</v>
      </c>
      <c r="J56" s="50">
        <v>1</v>
      </c>
      <c r="K56" s="50">
        <v>2</v>
      </c>
      <c r="L56" s="50">
        <f>SUM('[1]RD4 MCC'!R724:U724)</f>
        <v>0</v>
      </c>
      <c r="M56" s="50">
        <v>8</v>
      </c>
      <c r="N56" s="50">
        <v>0</v>
      </c>
      <c r="O56" s="15">
        <f t="shared" si="0"/>
        <v>33</v>
      </c>
      <c r="P56" s="15">
        <f t="shared" si="1"/>
        <v>41</v>
      </c>
      <c r="R56" s="8"/>
      <c r="T56"/>
    </row>
    <row r="57" spans="2:20" ht="23.1" customHeight="1" x14ac:dyDescent="0.25">
      <c r="B57" s="45" t="s">
        <v>84</v>
      </c>
      <c r="C57" s="50">
        <v>21</v>
      </c>
      <c r="D57" s="50">
        <v>4</v>
      </c>
      <c r="E57" s="50">
        <v>11</v>
      </c>
      <c r="F57" s="50">
        <v>15</v>
      </c>
      <c r="G57" s="50">
        <v>3</v>
      </c>
      <c r="H57" s="50">
        <v>0</v>
      </c>
      <c r="I57" s="50">
        <v>3</v>
      </c>
      <c r="J57" s="50">
        <v>0</v>
      </c>
      <c r="K57" s="50">
        <v>0</v>
      </c>
      <c r="L57" s="50">
        <f>SUM('[1]RD4 MCC'!R725:U725)</f>
        <v>0</v>
      </c>
      <c r="M57" s="50">
        <v>14</v>
      </c>
      <c r="N57" s="50">
        <v>0</v>
      </c>
      <c r="O57" s="15">
        <f t="shared" si="0"/>
        <v>57</v>
      </c>
      <c r="P57" s="15">
        <f t="shared" si="1"/>
        <v>71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1</v>
      </c>
      <c r="E58" s="50">
        <v>3</v>
      </c>
      <c r="F58" s="50">
        <v>2</v>
      </c>
      <c r="G58" s="50">
        <v>0</v>
      </c>
      <c r="H58" s="50">
        <v>5</v>
      </c>
      <c r="I58" s="50">
        <v>0</v>
      </c>
      <c r="J58" s="50">
        <v>0</v>
      </c>
      <c r="K58" s="50">
        <v>0</v>
      </c>
      <c r="L58" s="50">
        <f>SUM('[1]RD4 MCC'!R726:U726)</f>
        <v>0</v>
      </c>
      <c r="M58" s="50">
        <v>0</v>
      </c>
      <c r="N58" s="50">
        <v>0</v>
      </c>
      <c r="O58" s="15">
        <f t="shared" si="0"/>
        <v>13</v>
      </c>
      <c r="P58" s="15">
        <f t="shared" si="1"/>
        <v>13</v>
      </c>
      <c r="R58" s="8"/>
      <c r="T58"/>
    </row>
    <row r="59" spans="2:20" ht="23.1" customHeight="1" x14ac:dyDescent="0.25">
      <c r="B59" s="45" t="s">
        <v>100</v>
      </c>
      <c r="C59" s="50">
        <v>3</v>
      </c>
      <c r="D59" s="50">
        <v>1</v>
      </c>
      <c r="E59" s="50">
        <v>5</v>
      </c>
      <c r="F59" s="50">
        <v>1</v>
      </c>
      <c r="G59" s="50">
        <v>0</v>
      </c>
      <c r="H59" s="50">
        <v>42</v>
      </c>
      <c r="I59" s="50">
        <v>0</v>
      </c>
      <c r="J59" s="50">
        <v>0</v>
      </c>
      <c r="K59" s="50">
        <v>0</v>
      </c>
      <c r="L59" s="50">
        <f>SUM('[1]RD4 MCC'!R727:U727)</f>
        <v>0</v>
      </c>
      <c r="M59" s="50">
        <v>2</v>
      </c>
      <c r="N59" s="50">
        <v>0</v>
      </c>
      <c r="O59" s="15">
        <f t="shared" si="0"/>
        <v>52</v>
      </c>
      <c r="P59" s="15">
        <f t="shared" si="1"/>
        <v>54</v>
      </c>
      <c r="R59" s="8"/>
      <c r="T59"/>
    </row>
    <row r="60" spans="2:20" ht="23.1" customHeight="1" x14ac:dyDescent="0.25">
      <c r="B60" s="45" t="s">
        <v>101</v>
      </c>
      <c r="C60" s="50">
        <v>5</v>
      </c>
      <c r="D60" s="50">
        <v>1</v>
      </c>
      <c r="E60" s="50">
        <v>3</v>
      </c>
      <c r="F60" s="50">
        <v>3</v>
      </c>
      <c r="G60" s="50">
        <v>0</v>
      </c>
      <c r="H60" s="50">
        <v>37</v>
      </c>
      <c r="I60" s="50">
        <v>0</v>
      </c>
      <c r="J60" s="50">
        <v>1</v>
      </c>
      <c r="K60" s="50">
        <v>0</v>
      </c>
      <c r="L60" s="50">
        <f>SUM('[1]RD4 MCC'!R728:U728)</f>
        <v>0</v>
      </c>
      <c r="M60" s="50">
        <v>1</v>
      </c>
      <c r="N60" s="50">
        <v>1</v>
      </c>
      <c r="O60" s="15">
        <f t="shared" si="0"/>
        <v>51</v>
      </c>
      <c r="P60" s="15">
        <f t="shared" si="1"/>
        <v>52</v>
      </c>
      <c r="R60" s="8"/>
      <c r="T60"/>
    </row>
    <row r="61" spans="2:20" ht="23.1" customHeight="1" x14ac:dyDescent="0.25">
      <c r="B61" s="45" t="s">
        <v>102</v>
      </c>
      <c r="C61" s="50">
        <v>12</v>
      </c>
      <c r="D61" s="50">
        <v>3</v>
      </c>
      <c r="E61" s="50">
        <v>9</v>
      </c>
      <c r="F61" s="50">
        <v>5</v>
      </c>
      <c r="G61" s="50">
        <v>0</v>
      </c>
      <c r="H61" s="50">
        <v>45</v>
      </c>
      <c r="I61" s="50">
        <v>1</v>
      </c>
      <c r="J61" s="50">
        <v>0</v>
      </c>
      <c r="K61" s="50">
        <v>0</v>
      </c>
      <c r="L61" s="50">
        <f>SUM('[1]RD4 MCC'!R729:U729)</f>
        <v>0</v>
      </c>
      <c r="M61" s="50">
        <v>0</v>
      </c>
      <c r="N61" s="50">
        <v>2</v>
      </c>
      <c r="O61" s="15">
        <f t="shared" si="0"/>
        <v>77</v>
      </c>
      <c r="P61" s="15">
        <f t="shared" si="1"/>
        <v>77</v>
      </c>
      <c r="R61" s="8"/>
      <c r="T61"/>
    </row>
    <row r="62" spans="2:20" ht="23.1" customHeight="1" x14ac:dyDescent="0.25">
      <c r="B62" s="45" t="s">
        <v>107</v>
      </c>
      <c r="C62" s="50">
        <v>7</v>
      </c>
      <c r="D62" s="50">
        <v>3</v>
      </c>
      <c r="E62" s="50">
        <v>7</v>
      </c>
      <c r="F62" s="50">
        <v>7</v>
      </c>
      <c r="G62" s="50">
        <v>0</v>
      </c>
      <c r="H62" s="50">
        <v>31</v>
      </c>
      <c r="I62" s="50">
        <v>0</v>
      </c>
      <c r="J62" s="50">
        <v>0</v>
      </c>
      <c r="K62" s="50">
        <v>0</v>
      </c>
      <c r="L62" s="50">
        <f>SUM('[1]RD4 MCC'!R730:U730)</f>
        <v>0</v>
      </c>
      <c r="M62" s="50">
        <v>2</v>
      </c>
      <c r="N62" s="50">
        <v>1</v>
      </c>
      <c r="O62" s="15">
        <f t="shared" si="0"/>
        <v>56</v>
      </c>
      <c r="P62" s="15">
        <f t="shared" si="1"/>
        <v>58</v>
      </c>
      <c r="R62" s="8"/>
      <c r="T62"/>
    </row>
    <row r="63" spans="2:20" ht="23.1" customHeight="1" x14ac:dyDescent="0.25">
      <c r="B63" s="45" t="s">
        <v>108</v>
      </c>
      <c r="C63" s="50">
        <v>15</v>
      </c>
      <c r="D63" s="50">
        <v>3</v>
      </c>
      <c r="E63" s="50">
        <v>9</v>
      </c>
      <c r="F63" s="50">
        <v>2</v>
      </c>
      <c r="G63" s="50">
        <v>0</v>
      </c>
      <c r="H63" s="50">
        <v>28</v>
      </c>
      <c r="I63" s="50">
        <v>0</v>
      </c>
      <c r="J63" s="50">
        <v>0</v>
      </c>
      <c r="K63" s="50">
        <v>0</v>
      </c>
      <c r="L63" s="50">
        <f>SUM('[1]RD4 MCC'!R731:U731)</f>
        <v>0</v>
      </c>
      <c r="M63" s="50">
        <v>1</v>
      </c>
      <c r="N63" s="50">
        <v>2</v>
      </c>
      <c r="O63" s="15">
        <f t="shared" si="0"/>
        <v>59</v>
      </c>
      <c r="P63" s="15">
        <f t="shared" si="1"/>
        <v>60</v>
      </c>
      <c r="R63" s="8"/>
      <c r="T63"/>
    </row>
    <row r="64" spans="2:20" ht="23.1" customHeight="1" x14ac:dyDescent="0.25">
      <c r="B64" s="45" t="s">
        <v>109</v>
      </c>
      <c r="C64" s="50">
        <v>2</v>
      </c>
      <c r="D64" s="50">
        <v>2</v>
      </c>
      <c r="E64" s="50">
        <v>6</v>
      </c>
      <c r="F64" s="50">
        <v>3</v>
      </c>
      <c r="G64" s="50">
        <v>0</v>
      </c>
      <c r="H64" s="50">
        <v>25</v>
      </c>
      <c r="I64" s="50">
        <v>0</v>
      </c>
      <c r="J64" s="50">
        <v>0</v>
      </c>
      <c r="K64" s="50">
        <v>0</v>
      </c>
      <c r="L64" s="50">
        <f>SUM('[1]RD4 MCC'!R732:U732)</f>
        <v>0</v>
      </c>
      <c r="M64" s="50">
        <v>0</v>
      </c>
      <c r="N64" s="50">
        <v>0</v>
      </c>
      <c r="O64" s="15">
        <f t="shared" si="0"/>
        <v>38</v>
      </c>
      <c r="P64" s="15">
        <f t="shared" si="1"/>
        <v>38</v>
      </c>
      <c r="R64" s="8"/>
      <c r="T64"/>
    </row>
    <row r="65" spans="2:20" ht="23.1" customHeight="1" x14ac:dyDescent="0.25">
      <c r="B65" s="45" t="s">
        <v>158</v>
      </c>
      <c r="C65" s="50">
        <v>20</v>
      </c>
      <c r="D65" s="50">
        <v>3</v>
      </c>
      <c r="E65" s="50">
        <v>7</v>
      </c>
      <c r="F65" s="50">
        <v>0</v>
      </c>
      <c r="G65" s="50">
        <v>1</v>
      </c>
      <c r="H65" s="50">
        <v>30</v>
      </c>
      <c r="I65" s="50">
        <v>1</v>
      </c>
      <c r="J65" s="50">
        <v>0</v>
      </c>
      <c r="K65" s="50">
        <v>0</v>
      </c>
      <c r="L65" s="50">
        <f>SUM('[1]RD4 MCC'!R733:U733)</f>
        <v>0</v>
      </c>
      <c r="M65" s="50">
        <v>1</v>
      </c>
      <c r="N65" s="50">
        <v>0</v>
      </c>
      <c r="O65" s="15">
        <f t="shared" si="0"/>
        <v>62</v>
      </c>
      <c r="P65" s="15">
        <f t="shared" si="1"/>
        <v>63</v>
      </c>
      <c r="R65" s="8"/>
      <c r="T65"/>
    </row>
    <row r="66" spans="2:20" ht="23.1" customHeight="1" x14ac:dyDescent="0.25">
      <c r="B66" s="45" t="s">
        <v>103</v>
      </c>
      <c r="C66" s="50">
        <v>9</v>
      </c>
      <c r="D66" s="50">
        <v>1</v>
      </c>
      <c r="E66" s="50">
        <v>5</v>
      </c>
      <c r="F66" s="50">
        <v>3</v>
      </c>
      <c r="G66" s="50">
        <v>0</v>
      </c>
      <c r="H66" s="50">
        <v>24</v>
      </c>
      <c r="I66" s="50">
        <v>0</v>
      </c>
      <c r="J66" s="50">
        <v>0</v>
      </c>
      <c r="K66" s="50">
        <v>0</v>
      </c>
      <c r="L66" s="50">
        <f>SUM('[1]RD4 MCC'!R734:U734)</f>
        <v>0</v>
      </c>
      <c r="M66" s="50">
        <v>0</v>
      </c>
      <c r="N66" s="50">
        <v>2</v>
      </c>
      <c r="O66" s="15">
        <f t="shared" si="0"/>
        <v>44</v>
      </c>
      <c r="P66" s="15">
        <f t="shared" si="1"/>
        <v>44</v>
      </c>
      <c r="R66" s="8"/>
      <c r="T66"/>
    </row>
    <row r="67" spans="2:20" ht="23.1" customHeight="1" x14ac:dyDescent="0.25">
      <c r="B67" s="45" t="s">
        <v>104</v>
      </c>
      <c r="C67" s="50">
        <v>4</v>
      </c>
      <c r="D67" s="50">
        <v>0</v>
      </c>
      <c r="E67" s="50">
        <v>3</v>
      </c>
      <c r="F67" s="50">
        <v>1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f>SUM('[1]RD4 MCC'!R735:U735)</f>
        <v>0</v>
      </c>
      <c r="M67" s="50">
        <v>0</v>
      </c>
      <c r="N67" s="50">
        <v>0</v>
      </c>
      <c r="O67" s="15">
        <f t="shared" si="0"/>
        <v>8</v>
      </c>
      <c r="P67" s="15">
        <f t="shared" si="1"/>
        <v>8</v>
      </c>
      <c r="R67" s="8"/>
      <c r="T67"/>
    </row>
    <row r="68" spans="2:20" ht="23.1" customHeight="1" x14ac:dyDescent="0.25">
      <c r="B68" s="45" t="s">
        <v>105</v>
      </c>
      <c r="C68" s="50">
        <v>1</v>
      </c>
      <c r="D68" s="50">
        <v>1</v>
      </c>
      <c r="E68" s="50">
        <v>3</v>
      </c>
      <c r="F68" s="50">
        <v>1</v>
      </c>
      <c r="G68" s="50">
        <v>0</v>
      </c>
      <c r="H68" s="50">
        <v>20</v>
      </c>
      <c r="I68" s="50">
        <v>0</v>
      </c>
      <c r="J68" s="50">
        <v>0</v>
      </c>
      <c r="K68" s="50">
        <v>0</v>
      </c>
      <c r="L68" s="50">
        <f>SUM('[1]RD4 MCC'!R736:U736)</f>
        <v>0</v>
      </c>
      <c r="M68" s="50">
        <v>0</v>
      </c>
      <c r="N68" s="50">
        <v>1</v>
      </c>
      <c r="O68" s="15">
        <f t="shared" si="0"/>
        <v>27</v>
      </c>
      <c r="P68" s="15">
        <f t="shared" si="1"/>
        <v>27</v>
      </c>
      <c r="R68" s="8"/>
      <c r="T68"/>
    </row>
    <row r="69" spans="2:20" ht="23.1" customHeight="1" x14ac:dyDescent="0.25">
      <c r="B69" s="45" t="s">
        <v>106</v>
      </c>
      <c r="C69" s="50">
        <v>7</v>
      </c>
      <c r="D69" s="50">
        <v>0</v>
      </c>
      <c r="E69" s="50">
        <v>3</v>
      </c>
      <c r="F69" s="50">
        <v>1</v>
      </c>
      <c r="G69" s="50">
        <v>0</v>
      </c>
      <c r="H69" s="50">
        <v>30</v>
      </c>
      <c r="I69" s="50">
        <v>1</v>
      </c>
      <c r="J69" s="50">
        <v>0</v>
      </c>
      <c r="K69" s="50">
        <v>0</v>
      </c>
      <c r="L69" s="50">
        <f>SUM('[1]RD4 MCC'!R737:U737)</f>
        <v>0</v>
      </c>
      <c r="M69" s="50">
        <v>1</v>
      </c>
      <c r="N69" s="50">
        <v>1</v>
      </c>
      <c r="O69" s="15">
        <f t="shared" si="0"/>
        <v>43</v>
      </c>
      <c r="P69" s="15">
        <f t="shared" si="1"/>
        <v>44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2</v>
      </c>
      <c r="F70" s="50">
        <v>1</v>
      </c>
      <c r="G70" s="50">
        <v>0</v>
      </c>
      <c r="H70" s="50">
        <v>5</v>
      </c>
      <c r="I70" s="50">
        <v>0</v>
      </c>
      <c r="J70" s="50">
        <v>0</v>
      </c>
      <c r="K70" s="50">
        <v>0</v>
      </c>
      <c r="L70" s="50">
        <f>SUM('[1]RD4 MCC'!R738:U738)</f>
        <v>0</v>
      </c>
      <c r="M70" s="50">
        <v>0</v>
      </c>
      <c r="N70" s="50">
        <v>0</v>
      </c>
      <c r="O70" s="15">
        <f t="shared" si="0"/>
        <v>8</v>
      </c>
      <c r="P70" s="15">
        <f t="shared" si="1"/>
        <v>8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0</v>
      </c>
      <c r="F71" s="50">
        <v>0</v>
      </c>
      <c r="G71" s="50">
        <v>0</v>
      </c>
      <c r="H71" s="50">
        <v>2</v>
      </c>
      <c r="I71" s="50">
        <v>0</v>
      </c>
      <c r="J71" s="50">
        <v>0</v>
      </c>
      <c r="K71" s="50">
        <v>0</v>
      </c>
      <c r="L71" s="50">
        <f>SUM('[1]RD4 MCC'!R739:U739)</f>
        <v>0</v>
      </c>
      <c r="M71" s="50">
        <v>0</v>
      </c>
      <c r="N71" s="50">
        <v>0</v>
      </c>
      <c r="O71" s="15">
        <f t="shared" si="0"/>
        <v>3</v>
      </c>
      <c r="P71" s="15">
        <f t="shared" si="1"/>
        <v>3</v>
      </c>
      <c r="R71" s="8"/>
      <c r="T71"/>
    </row>
    <row r="72" spans="2:20" ht="23.1" customHeight="1" x14ac:dyDescent="0.25">
      <c r="B72" s="45" t="s">
        <v>112</v>
      </c>
      <c r="C72" s="50">
        <v>3</v>
      </c>
      <c r="D72" s="50">
        <v>0</v>
      </c>
      <c r="E72" s="50">
        <v>2</v>
      </c>
      <c r="F72" s="50">
        <v>0</v>
      </c>
      <c r="G72" s="50">
        <v>0</v>
      </c>
      <c r="H72" s="50">
        <v>7</v>
      </c>
      <c r="I72" s="50">
        <v>3</v>
      </c>
      <c r="J72" s="50">
        <v>0</v>
      </c>
      <c r="K72" s="50">
        <v>0</v>
      </c>
      <c r="L72" s="50">
        <f>SUM('[1]RD4 MCC'!R740:U740)</f>
        <v>0</v>
      </c>
      <c r="M72" s="50">
        <v>3</v>
      </c>
      <c r="N72" s="50">
        <v>0</v>
      </c>
      <c r="O72" s="15">
        <f t="shared" si="0"/>
        <v>15</v>
      </c>
      <c r="P72" s="15">
        <f t="shared" si="1"/>
        <v>18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1</v>
      </c>
      <c r="F73" s="50">
        <v>0</v>
      </c>
      <c r="G73" s="50">
        <v>0</v>
      </c>
      <c r="H73" s="50">
        <v>10</v>
      </c>
      <c r="I73" s="50">
        <v>0</v>
      </c>
      <c r="J73" s="50">
        <v>0</v>
      </c>
      <c r="K73" s="50">
        <v>0</v>
      </c>
      <c r="L73" s="50">
        <f>SUM('[1]RD4 MCC'!R741:U741)</f>
        <v>0</v>
      </c>
      <c r="M73" s="50">
        <v>2</v>
      </c>
      <c r="N73" s="50">
        <v>0</v>
      </c>
      <c r="O73" s="15">
        <f t="shared" si="0"/>
        <v>11</v>
      </c>
      <c r="P73" s="15">
        <f t="shared" si="1"/>
        <v>13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2</v>
      </c>
      <c r="F74" s="50">
        <v>0</v>
      </c>
      <c r="G74" s="50">
        <v>0</v>
      </c>
      <c r="H74" s="50">
        <v>8</v>
      </c>
      <c r="I74" s="50">
        <v>0</v>
      </c>
      <c r="J74" s="50">
        <v>0</v>
      </c>
      <c r="K74" s="50">
        <v>0</v>
      </c>
      <c r="L74" s="50">
        <f>SUM('[1]RD4 MCC'!R742:U742)</f>
        <v>0</v>
      </c>
      <c r="M74" s="50">
        <v>1</v>
      </c>
      <c r="N74" s="50">
        <v>0</v>
      </c>
      <c r="O74" s="15">
        <f t="shared" ref="O74:O105" si="35">SUM(C74:L74,N74)</f>
        <v>11</v>
      </c>
      <c r="P74" s="15">
        <f t="shared" ref="P74:P105" si="36">SUM(C74:N74)</f>
        <v>12</v>
      </c>
      <c r="R74" s="8"/>
      <c r="T74"/>
    </row>
    <row r="75" spans="2:20" ht="23.1" customHeight="1" x14ac:dyDescent="0.25">
      <c r="B75" s="45" t="s">
        <v>115</v>
      </c>
      <c r="C75" s="50">
        <v>2</v>
      </c>
      <c r="D75" s="50">
        <v>0</v>
      </c>
      <c r="E75" s="50">
        <v>2</v>
      </c>
      <c r="F75" s="50">
        <v>1</v>
      </c>
      <c r="G75" s="50">
        <v>0</v>
      </c>
      <c r="H75" s="50">
        <v>8</v>
      </c>
      <c r="I75" s="50">
        <v>0</v>
      </c>
      <c r="J75" s="50">
        <v>0</v>
      </c>
      <c r="K75" s="50">
        <v>0</v>
      </c>
      <c r="L75" s="50">
        <f>SUM('[1]RD4 MCC'!R743:U743)</f>
        <v>0</v>
      </c>
      <c r="M75" s="50">
        <v>0</v>
      </c>
      <c r="N75" s="50">
        <v>1</v>
      </c>
      <c r="O75" s="15">
        <f t="shared" si="35"/>
        <v>14</v>
      </c>
      <c r="P75" s="15">
        <f t="shared" si="36"/>
        <v>14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1</v>
      </c>
      <c r="F76" s="50">
        <v>1</v>
      </c>
      <c r="G76" s="50">
        <v>0</v>
      </c>
      <c r="H76" s="50">
        <v>3</v>
      </c>
      <c r="I76" s="50">
        <v>0</v>
      </c>
      <c r="J76" s="50">
        <v>0</v>
      </c>
      <c r="K76" s="50">
        <v>0</v>
      </c>
      <c r="L76" s="50">
        <f>SUM('[1]RD4 MCC'!R744:U744)</f>
        <v>0</v>
      </c>
      <c r="M76" s="50">
        <v>0</v>
      </c>
      <c r="N76" s="50">
        <v>0</v>
      </c>
      <c r="O76" s="15">
        <f t="shared" si="35"/>
        <v>6</v>
      </c>
      <c r="P76" s="15">
        <f t="shared" si="36"/>
        <v>6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1</v>
      </c>
      <c r="F77" s="50">
        <v>2</v>
      </c>
      <c r="G77" s="50">
        <v>0</v>
      </c>
      <c r="H77" s="50">
        <v>8</v>
      </c>
      <c r="I77" s="50">
        <v>1</v>
      </c>
      <c r="J77" s="50">
        <v>0</v>
      </c>
      <c r="K77" s="50">
        <v>0</v>
      </c>
      <c r="L77" s="50">
        <f>SUM('[1]RD4 MCC'!R745:U745)</f>
        <v>0</v>
      </c>
      <c r="M77" s="50">
        <v>0</v>
      </c>
      <c r="N77" s="50">
        <v>0</v>
      </c>
      <c r="O77" s="15">
        <f t="shared" si="35"/>
        <v>13</v>
      </c>
      <c r="P77" s="15">
        <f t="shared" si="36"/>
        <v>13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0</v>
      </c>
      <c r="G78" s="50">
        <v>0</v>
      </c>
      <c r="H78" s="50">
        <v>3</v>
      </c>
      <c r="I78" s="50">
        <v>1</v>
      </c>
      <c r="J78" s="50">
        <v>0</v>
      </c>
      <c r="K78" s="50">
        <v>0</v>
      </c>
      <c r="L78" s="50">
        <f>SUM('[1]RD4 MCC'!R746:U746)</f>
        <v>0</v>
      </c>
      <c r="M78" s="50">
        <v>0</v>
      </c>
      <c r="N78" s="50">
        <v>0</v>
      </c>
      <c r="O78" s="15">
        <f t="shared" si="35"/>
        <v>5</v>
      </c>
      <c r="P78" s="15">
        <f t="shared" si="36"/>
        <v>5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0</v>
      </c>
      <c r="E79" s="50">
        <v>3</v>
      </c>
      <c r="F79" s="50">
        <v>0</v>
      </c>
      <c r="G79" s="50">
        <v>0</v>
      </c>
      <c r="H79" s="50">
        <v>3</v>
      </c>
      <c r="I79" s="50">
        <v>0</v>
      </c>
      <c r="J79" s="50">
        <v>0</v>
      </c>
      <c r="K79" s="50">
        <v>0</v>
      </c>
      <c r="L79" s="50">
        <f>SUM('[1]RD4 MCC'!R747:U747)</f>
        <v>0</v>
      </c>
      <c r="M79" s="50">
        <v>0</v>
      </c>
      <c r="N79" s="50">
        <v>0</v>
      </c>
      <c r="O79" s="15">
        <f t="shared" si="35"/>
        <v>8</v>
      </c>
      <c r="P79" s="15">
        <f t="shared" si="36"/>
        <v>8</v>
      </c>
      <c r="R79" s="8"/>
      <c r="T79"/>
    </row>
    <row r="80" spans="2:20" ht="23.1" customHeight="1" x14ac:dyDescent="0.25">
      <c r="B80" s="47" t="s">
        <v>120</v>
      </c>
      <c r="C80" s="50">
        <v>2</v>
      </c>
      <c r="D80" s="50">
        <v>0</v>
      </c>
      <c r="E80" s="50">
        <v>2</v>
      </c>
      <c r="F80" s="50">
        <v>0</v>
      </c>
      <c r="G80" s="50">
        <v>0</v>
      </c>
      <c r="H80" s="50">
        <v>5</v>
      </c>
      <c r="I80" s="50">
        <v>0</v>
      </c>
      <c r="J80" s="50">
        <v>0</v>
      </c>
      <c r="K80" s="50">
        <v>0</v>
      </c>
      <c r="L80" s="50">
        <f>SUM('[1]RD4 MCC'!R748:U748)</f>
        <v>0</v>
      </c>
      <c r="M80" s="50">
        <v>0</v>
      </c>
      <c r="N80" s="50">
        <v>0</v>
      </c>
      <c r="O80" s="15">
        <f t="shared" si="35"/>
        <v>9</v>
      </c>
      <c r="P80" s="15">
        <f t="shared" si="36"/>
        <v>9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1</v>
      </c>
      <c r="F81" s="50">
        <v>0</v>
      </c>
      <c r="G81" s="50">
        <v>0</v>
      </c>
      <c r="H81" s="50">
        <v>4</v>
      </c>
      <c r="I81" s="50">
        <v>0</v>
      </c>
      <c r="J81" s="50">
        <v>0</v>
      </c>
      <c r="K81" s="50">
        <v>0</v>
      </c>
      <c r="L81" s="50">
        <f>SUM('[1]RD4 MCC'!R749:U749)</f>
        <v>0</v>
      </c>
      <c r="M81" s="50">
        <v>0</v>
      </c>
      <c r="N81" s="50">
        <v>0</v>
      </c>
      <c r="O81" s="15">
        <f t="shared" si="35"/>
        <v>6</v>
      </c>
      <c r="P81" s="15">
        <f t="shared" si="36"/>
        <v>6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1</v>
      </c>
      <c r="I82" s="50">
        <v>0</v>
      </c>
      <c r="J82" s="50">
        <v>0</v>
      </c>
      <c r="K82" s="50">
        <v>0</v>
      </c>
      <c r="L82" s="50">
        <f>SUM('[1]RD4 MCC'!R750:U750)</f>
        <v>0</v>
      </c>
      <c r="M82" s="50">
        <v>0</v>
      </c>
      <c r="N82" s="50">
        <v>0</v>
      </c>
      <c r="O82" s="15">
        <f t="shared" si="35"/>
        <v>1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f>SUM('[1]RD4 MCC'!R751:U751)</f>
        <v>0</v>
      </c>
      <c r="M83" s="50">
        <v>0</v>
      </c>
      <c r="N83" s="50">
        <v>0</v>
      </c>
      <c r="O83" s="15">
        <f t="shared" si="35"/>
        <v>2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1</v>
      </c>
      <c r="I84" s="50">
        <v>0</v>
      </c>
      <c r="J84" s="50">
        <v>0</v>
      </c>
      <c r="K84" s="50">
        <v>0</v>
      </c>
      <c r="L84" s="50">
        <f>SUM('[1]RD4 MCC'!R752:U752)</f>
        <v>0</v>
      </c>
      <c r="M84" s="50">
        <v>0</v>
      </c>
      <c r="N84" s="50"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f>SUM('[1]RD4 MCC'!R753:U753)</f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f>SUM('[1]RD4 MCC'!R754:U754)</f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2</v>
      </c>
      <c r="I87" s="50">
        <v>0</v>
      </c>
      <c r="J87" s="50">
        <v>0</v>
      </c>
      <c r="K87" s="50">
        <v>0</v>
      </c>
      <c r="L87" s="50">
        <f>SUM('[1]RD4 MCC'!R755:U755)</f>
        <v>0</v>
      </c>
      <c r="M87" s="50">
        <v>0</v>
      </c>
      <c r="N87" s="50">
        <v>0</v>
      </c>
      <c r="O87" s="15">
        <f t="shared" si="35"/>
        <v>2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f>SUM('[1]RD4 MCC'!R756:U756)</f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1</v>
      </c>
      <c r="I89" s="50">
        <v>0</v>
      </c>
      <c r="J89" s="50">
        <v>0</v>
      </c>
      <c r="K89" s="50">
        <v>0</v>
      </c>
      <c r="L89" s="50">
        <f>SUM('[1]RD4 MCC'!R757:U757)</f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f>SUM('[1]RD4 MCC'!R758:U758)</f>
        <v>0</v>
      </c>
      <c r="M90" s="50">
        <v>0</v>
      </c>
      <c r="N90" s="50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1</v>
      </c>
      <c r="I91" s="50">
        <v>0</v>
      </c>
      <c r="J91" s="50">
        <v>0</v>
      </c>
      <c r="K91" s="50">
        <v>0</v>
      </c>
      <c r="L91" s="50">
        <f>SUM('[1]RD4 MCC'!R759:U759)</f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f>SUM('[1]RD4 MCC'!R760:U760)</f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1</v>
      </c>
      <c r="I93" s="50">
        <v>0</v>
      </c>
      <c r="J93" s="50">
        <v>0</v>
      </c>
      <c r="K93" s="50">
        <v>0</v>
      </c>
      <c r="L93" s="50">
        <f>SUM('[1]RD4 MCC'!R761:U761)</f>
        <v>0</v>
      </c>
      <c r="M93" s="50">
        <v>0</v>
      </c>
      <c r="N93" s="50"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f>SUM('[1]RD4 MCC'!R762:U762)</f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1</v>
      </c>
      <c r="F95" s="50">
        <v>0</v>
      </c>
      <c r="G95" s="50">
        <v>0</v>
      </c>
      <c r="H95" s="50">
        <v>5</v>
      </c>
      <c r="I95" s="50">
        <v>0</v>
      </c>
      <c r="J95" s="50">
        <v>0</v>
      </c>
      <c r="K95" s="50">
        <v>0</v>
      </c>
      <c r="L95" s="50">
        <f>SUM('[1]RD4 MCC'!R763:U763)</f>
        <v>0</v>
      </c>
      <c r="M95" s="50">
        <v>0</v>
      </c>
      <c r="N95" s="50">
        <v>0</v>
      </c>
      <c r="O95" s="15">
        <f t="shared" si="35"/>
        <v>6</v>
      </c>
      <c r="P95" s="15">
        <f t="shared" si="36"/>
        <v>6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1</v>
      </c>
      <c r="F96" s="50">
        <v>0</v>
      </c>
      <c r="G96" s="50">
        <v>0</v>
      </c>
      <c r="H96" s="50">
        <v>2</v>
      </c>
      <c r="I96" s="50">
        <v>0</v>
      </c>
      <c r="J96" s="50">
        <v>0</v>
      </c>
      <c r="K96" s="50">
        <v>0</v>
      </c>
      <c r="L96" s="50">
        <f>SUM('[1]RD4 MCC'!R764:U764)</f>
        <v>0</v>
      </c>
      <c r="M96" s="50">
        <v>0</v>
      </c>
      <c r="N96" s="50">
        <v>0</v>
      </c>
      <c r="O96" s="15">
        <f t="shared" si="35"/>
        <v>3</v>
      </c>
      <c r="P96" s="15">
        <f t="shared" si="36"/>
        <v>3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2</v>
      </c>
      <c r="F97" s="50">
        <v>0</v>
      </c>
      <c r="G97" s="50">
        <v>0</v>
      </c>
      <c r="H97" s="50">
        <v>1</v>
      </c>
      <c r="I97" s="50">
        <v>0</v>
      </c>
      <c r="J97" s="50">
        <v>0</v>
      </c>
      <c r="K97" s="50">
        <v>0</v>
      </c>
      <c r="L97" s="50">
        <f>SUM('[1]RD4 MCC'!R765:U765)</f>
        <v>0</v>
      </c>
      <c r="M97" s="50">
        <v>0</v>
      </c>
      <c r="N97" s="50">
        <v>0</v>
      </c>
      <c r="O97" s="15">
        <f t="shared" si="35"/>
        <v>3</v>
      </c>
      <c r="P97" s="15">
        <f t="shared" si="36"/>
        <v>3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3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f>SUM('[1]RD4 MCC'!R766:U766)</f>
        <v>0</v>
      </c>
      <c r="M98" s="50">
        <v>0</v>
      </c>
      <c r="N98" s="50">
        <v>0</v>
      </c>
      <c r="O98" s="15">
        <f t="shared" si="35"/>
        <v>5</v>
      </c>
      <c r="P98" s="15">
        <f t="shared" si="36"/>
        <v>5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1</v>
      </c>
      <c r="E99" s="50">
        <v>4</v>
      </c>
      <c r="F99" s="50">
        <v>0</v>
      </c>
      <c r="G99" s="50">
        <v>0</v>
      </c>
      <c r="H99" s="50">
        <v>4</v>
      </c>
      <c r="I99" s="50">
        <v>0</v>
      </c>
      <c r="J99" s="50">
        <v>0</v>
      </c>
      <c r="K99" s="50">
        <v>0</v>
      </c>
      <c r="L99" s="50">
        <f>SUM('[1]RD4 MCC'!R767:U767)</f>
        <v>0</v>
      </c>
      <c r="M99" s="50">
        <v>0</v>
      </c>
      <c r="N99" s="50">
        <v>1</v>
      </c>
      <c r="O99" s="15">
        <f t="shared" si="35"/>
        <v>10</v>
      </c>
      <c r="P99" s="15">
        <f t="shared" si="36"/>
        <v>10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1</v>
      </c>
      <c r="F100" s="50">
        <v>0</v>
      </c>
      <c r="G100" s="50">
        <v>0</v>
      </c>
      <c r="H100" s="50">
        <v>8</v>
      </c>
      <c r="I100" s="50">
        <v>0</v>
      </c>
      <c r="J100" s="50">
        <v>0</v>
      </c>
      <c r="K100" s="50">
        <v>0</v>
      </c>
      <c r="L100" s="50">
        <f>SUM('[1]RD4 MCC'!R768:U768)</f>
        <v>0</v>
      </c>
      <c r="M100" s="50">
        <v>0</v>
      </c>
      <c r="N100" s="50">
        <v>0</v>
      </c>
      <c r="O100" s="15">
        <f t="shared" si="35"/>
        <v>10</v>
      </c>
      <c r="P100" s="15">
        <f t="shared" si="36"/>
        <v>10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2</v>
      </c>
      <c r="G101" s="50">
        <v>0</v>
      </c>
      <c r="H101" s="50">
        <v>2</v>
      </c>
      <c r="I101" s="50">
        <v>0</v>
      </c>
      <c r="J101" s="50">
        <v>0</v>
      </c>
      <c r="K101" s="50">
        <v>0</v>
      </c>
      <c r="L101" s="50">
        <f>SUM('[1]RD4 MCC'!R769:U769)</f>
        <v>0</v>
      </c>
      <c r="M101" s="50">
        <v>0</v>
      </c>
      <c r="N101" s="50">
        <v>0</v>
      </c>
      <c r="O101" s="15">
        <f t="shared" si="35"/>
        <v>4</v>
      </c>
      <c r="P101" s="15">
        <f t="shared" si="36"/>
        <v>4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1</v>
      </c>
      <c r="F102" s="50">
        <v>0</v>
      </c>
      <c r="G102" s="50">
        <v>0</v>
      </c>
      <c r="H102" s="50">
        <v>3</v>
      </c>
      <c r="I102" s="50">
        <v>0</v>
      </c>
      <c r="J102" s="50">
        <v>0</v>
      </c>
      <c r="K102" s="50">
        <v>0</v>
      </c>
      <c r="L102" s="50">
        <f>SUM('[1]RD4 MCC'!R770:U770)</f>
        <v>0</v>
      </c>
      <c r="M102" s="50">
        <v>0</v>
      </c>
      <c r="N102" s="50">
        <v>0</v>
      </c>
      <c r="O102" s="15">
        <f t="shared" si="35"/>
        <v>5</v>
      </c>
      <c r="P102" s="15">
        <f t="shared" si="36"/>
        <v>5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2</v>
      </c>
      <c r="F103" s="50">
        <v>0</v>
      </c>
      <c r="G103" s="50">
        <v>0</v>
      </c>
      <c r="H103" s="50">
        <v>2</v>
      </c>
      <c r="I103" s="50">
        <v>0</v>
      </c>
      <c r="J103" s="50">
        <v>0</v>
      </c>
      <c r="K103" s="50">
        <v>0</v>
      </c>
      <c r="L103" s="50">
        <f>SUM('[1]RD4 MCC'!R771:U771)</f>
        <v>0</v>
      </c>
      <c r="M103" s="50">
        <v>0</v>
      </c>
      <c r="N103" s="50">
        <v>0</v>
      </c>
      <c r="O103" s="15">
        <f t="shared" si="35"/>
        <v>4</v>
      </c>
      <c r="P103" s="15">
        <f t="shared" si="36"/>
        <v>4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3</v>
      </c>
      <c r="F104" s="50">
        <v>1</v>
      </c>
      <c r="G104" s="50">
        <v>0</v>
      </c>
      <c r="H104" s="50">
        <v>15</v>
      </c>
      <c r="I104" s="50">
        <v>0</v>
      </c>
      <c r="J104" s="50">
        <v>0</v>
      </c>
      <c r="K104" s="50">
        <v>0</v>
      </c>
      <c r="L104" s="50">
        <f>SUM('[1]RD4 MCC'!R772:U772)</f>
        <v>0</v>
      </c>
      <c r="M104" s="50">
        <v>0</v>
      </c>
      <c r="N104" s="50">
        <v>2</v>
      </c>
      <c r="O104" s="15">
        <f t="shared" si="35"/>
        <v>21</v>
      </c>
      <c r="P104" s="15">
        <f t="shared" si="36"/>
        <v>21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1</v>
      </c>
      <c r="E105" s="50">
        <v>5</v>
      </c>
      <c r="F105" s="50">
        <v>0</v>
      </c>
      <c r="G105" s="50">
        <v>0</v>
      </c>
      <c r="H105" s="50">
        <v>22</v>
      </c>
      <c r="I105" s="50">
        <v>0</v>
      </c>
      <c r="J105" s="50">
        <v>0</v>
      </c>
      <c r="K105" s="50">
        <v>0</v>
      </c>
      <c r="L105" s="50">
        <f>SUM('[1]RD4 MCC'!R773:U773)</f>
        <v>0</v>
      </c>
      <c r="M105" s="50">
        <v>0</v>
      </c>
      <c r="N105" s="50">
        <v>2</v>
      </c>
      <c r="O105" s="15">
        <f t="shared" si="35"/>
        <v>30</v>
      </c>
      <c r="P105" s="15">
        <f t="shared" si="36"/>
        <v>30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409</v>
      </c>
      <c r="D106" s="16">
        <f t="shared" ref="D106:P106" si="37">SUM(D10:D105)</f>
        <v>71</v>
      </c>
      <c r="E106" s="16">
        <f t="shared" si="37"/>
        <v>294</v>
      </c>
      <c r="F106" s="16">
        <f t="shared" si="37"/>
        <v>524</v>
      </c>
      <c r="G106" s="16">
        <f t="shared" si="37"/>
        <v>70</v>
      </c>
      <c r="H106" s="16">
        <f t="shared" si="37"/>
        <v>458</v>
      </c>
      <c r="I106" s="16">
        <f t="shared" si="37"/>
        <v>182</v>
      </c>
      <c r="J106" s="16">
        <f t="shared" si="37"/>
        <v>16</v>
      </c>
      <c r="K106" s="16">
        <f t="shared" si="37"/>
        <v>5</v>
      </c>
      <c r="L106" s="16">
        <f t="shared" si="37"/>
        <v>0</v>
      </c>
      <c r="M106" s="16">
        <f t="shared" si="37"/>
        <v>1937</v>
      </c>
      <c r="N106" s="16">
        <f t="shared" si="37"/>
        <v>17</v>
      </c>
      <c r="O106" s="16">
        <f t="shared" si="37"/>
        <v>2046</v>
      </c>
      <c r="P106" s="16">
        <f t="shared" si="37"/>
        <v>3983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0.102686417273412</v>
      </c>
      <c r="D107" s="43">
        <f t="shared" si="38"/>
        <v>1.7825759477780569E-2</v>
      </c>
      <c r="E107" s="43">
        <f t="shared" si="38"/>
        <v>7.3813708260105443E-2</v>
      </c>
      <c r="F107" s="43">
        <f t="shared" si="38"/>
        <v>0.13155912628671856</v>
      </c>
      <c r="G107" s="43">
        <f t="shared" si="38"/>
        <v>1.7574692442882251E-2</v>
      </c>
      <c r="H107" s="43">
        <f t="shared" si="38"/>
        <v>0.11498870198342957</v>
      </c>
      <c r="I107" s="43">
        <f t="shared" si="38"/>
        <v>4.5694200351493852E-2</v>
      </c>
      <c r="J107" s="43">
        <f t="shared" si="38"/>
        <v>4.0170725583730856E-3</v>
      </c>
      <c r="K107" s="43">
        <f t="shared" si="38"/>
        <v>1.2553351744915891E-3</v>
      </c>
      <c r="L107" s="43">
        <f t="shared" si="38"/>
        <v>0</v>
      </c>
      <c r="M107" s="43">
        <f t="shared" si="38"/>
        <v>0.4863168465980417</v>
      </c>
      <c r="N107" s="43">
        <f t="shared" si="38"/>
        <v>4.2681395932714031E-3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0.19990224828934505</v>
      </c>
      <c r="D108" s="44">
        <f t="shared" ref="D108:N108" si="39">D106/$O$106</f>
        <v>3.4701857282502441E-2</v>
      </c>
      <c r="E108" s="44">
        <f t="shared" si="39"/>
        <v>0.14369501466275661</v>
      </c>
      <c r="F108" s="44">
        <f t="shared" si="39"/>
        <v>0.25610948191593352</v>
      </c>
      <c r="G108" s="44">
        <f t="shared" si="39"/>
        <v>3.4213098729227759E-2</v>
      </c>
      <c r="H108" s="44">
        <f t="shared" si="39"/>
        <v>0.22385141739980449</v>
      </c>
      <c r="I108" s="44">
        <f t="shared" si="39"/>
        <v>8.8954056695992184E-2</v>
      </c>
      <c r="J108" s="44">
        <f t="shared" si="39"/>
        <v>7.8201368523949169E-3</v>
      </c>
      <c r="K108" s="44">
        <f t="shared" si="39"/>
        <v>2.4437927663734115E-3</v>
      </c>
      <c r="L108" s="44">
        <f t="shared" si="39"/>
        <v>0</v>
      </c>
      <c r="M108" s="44"/>
      <c r="N108" s="44">
        <f t="shared" si="39"/>
        <v>8.3088954056695988E-3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E88" sqref="E8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Buwenge-Jinja'!C3:G3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'17.08 Buwenge-Jinja-24h'!D5</f>
        <v>17.08.19</v>
      </c>
      <c r="E5" s="3"/>
      <c r="F5" s="41" t="s">
        <v>1</v>
      </c>
      <c r="G5" s="63" t="str">
        <f>'17.08 Buwenge-Jinja-24h'!G5:H5</f>
        <v>xxx</v>
      </c>
      <c r="H5" s="64"/>
      <c r="I5" s="14"/>
      <c r="J5" s="2" t="s">
        <v>5</v>
      </c>
      <c r="K5" s="63" t="str">
        <f>'17.08 Buwenge-Jinja-24h'!K5:L5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Jinja-Buwenge'!D6:E6</f>
        <v>Jinja</v>
      </c>
      <c r="E6" s="64"/>
      <c r="F6" s="2" t="s">
        <v>2</v>
      </c>
      <c r="G6" s="63" t="str">
        <f>'12.08 Jinja-Buwenge'!G6:H6</f>
        <v>Buwenge</v>
      </c>
      <c r="H6" s="64"/>
      <c r="J6" s="2" t="s">
        <v>21</v>
      </c>
      <c r="K6" s="63" t="str">
        <f>'17.08 Buwenge-Jinja-24h'!K6:L6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0</v>
      </c>
      <c r="E10" s="50">
        <v>3</v>
      </c>
      <c r="F10" s="50">
        <v>8</v>
      </c>
      <c r="G10" s="50">
        <v>3</v>
      </c>
      <c r="H10" s="50">
        <v>0</v>
      </c>
      <c r="I10" s="50">
        <v>3</v>
      </c>
      <c r="J10" s="50">
        <v>2</v>
      </c>
      <c r="K10" s="50">
        <v>0</v>
      </c>
      <c r="L10" s="50">
        <f>SUM('[1]RD4 MCC'!R582:U582)</f>
        <v>0</v>
      </c>
      <c r="M10" s="50">
        <v>14</v>
      </c>
      <c r="N10" s="50">
        <v>0</v>
      </c>
      <c r="O10" s="15">
        <f t="shared" ref="O10:O73" si="0">SUM(C10:L10,N10)</f>
        <v>21</v>
      </c>
      <c r="P10" s="15">
        <f t="shared" ref="P10:P73" si="1">SUM(C10:N10)</f>
        <v>35</v>
      </c>
      <c r="R10" s="1" t="s">
        <v>6</v>
      </c>
      <c r="S10" s="17">
        <f t="shared" ref="S10:AF10" si="2">SUM(C10:C13)</f>
        <v>15</v>
      </c>
      <c r="T10" s="17">
        <f t="shared" si="2"/>
        <v>4</v>
      </c>
      <c r="U10" s="17">
        <f t="shared" si="2"/>
        <v>14</v>
      </c>
      <c r="V10" s="17">
        <f t="shared" si="2"/>
        <v>26</v>
      </c>
      <c r="W10" s="17">
        <f t="shared" si="2"/>
        <v>9</v>
      </c>
      <c r="X10" s="17">
        <f t="shared" si="2"/>
        <v>0</v>
      </c>
      <c r="Y10" s="17">
        <f t="shared" si="2"/>
        <v>6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64</v>
      </c>
      <c r="AD10" s="17">
        <f t="shared" si="2"/>
        <v>0</v>
      </c>
      <c r="AE10" s="31">
        <f t="shared" si="2"/>
        <v>76</v>
      </c>
      <c r="AF10" s="31">
        <f t="shared" si="2"/>
        <v>140</v>
      </c>
    </row>
    <row r="11" spans="2:32" s="6" customFormat="1" ht="23.1" customHeight="1" x14ac:dyDescent="0.25">
      <c r="B11" s="45" t="s">
        <v>38</v>
      </c>
      <c r="C11" s="50">
        <v>2</v>
      </c>
      <c r="D11" s="50">
        <v>0</v>
      </c>
      <c r="E11" s="50">
        <v>1</v>
      </c>
      <c r="F11" s="50">
        <v>5</v>
      </c>
      <c r="G11" s="50">
        <v>1</v>
      </c>
      <c r="H11" s="50">
        <v>0</v>
      </c>
      <c r="I11" s="50">
        <v>0</v>
      </c>
      <c r="J11" s="50">
        <v>0</v>
      </c>
      <c r="K11" s="50">
        <v>0</v>
      </c>
      <c r="L11" s="50">
        <f>SUM('[1]RD4 MCC'!R583:U583)</f>
        <v>0</v>
      </c>
      <c r="M11" s="50">
        <v>14</v>
      </c>
      <c r="N11" s="50">
        <v>0</v>
      </c>
      <c r="O11" s="15">
        <f t="shared" si="0"/>
        <v>9</v>
      </c>
      <c r="P11" s="15">
        <f t="shared" si="1"/>
        <v>23</v>
      </c>
      <c r="R11" s="1" t="s">
        <v>7</v>
      </c>
      <c r="S11" s="17">
        <f t="shared" ref="S11:AF11" si="3">SUM(C14:C17)</f>
        <v>26</v>
      </c>
      <c r="T11" s="17">
        <f t="shared" si="3"/>
        <v>1</v>
      </c>
      <c r="U11" s="17">
        <f t="shared" si="3"/>
        <v>9</v>
      </c>
      <c r="V11" s="17">
        <f t="shared" si="3"/>
        <v>31</v>
      </c>
      <c r="W11" s="17">
        <f t="shared" si="3"/>
        <v>13</v>
      </c>
      <c r="X11" s="17">
        <f t="shared" si="3"/>
        <v>0</v>
      </c>
      <c r="Y11" s="17">
        <f t="shared" si="3"/>
        <v>4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101</v>
      </c>
      <c r="AD11" s="17">
        <f t="shared" si="3"/>
        <v>0</v>
      </c>
      <c r="AE11" s="31">
        <f t="shared" si="3"/>
        <v>86</v>
      </c>
      <c r="AF11" s="31">
        <f t="shared" si="3"/>
        <v>187</v>
      </c>
    </row>
    <row r="12" spans="2:32" ht="23.1" customHeight="1" x14ac:dyDescent="0.25">
      <c r="B12" s="45" t="s">
        <v>39</v>
      </c>
      <c r="C12" s="50">
        <v>2</v>
      </c>
      <c r="D12" s="50">
        <v>1</v>
      </c>
      <c r="E12" s="50">
        <v>3</v>
      </c>
      <c r="F12" s="50">
        <v>8</v>
      </c>
      <c r="G12" s="50">
        <v>2</v>
      </c>
      <c r="H12" s="50">
        <v>0</v>
      </c>
      <c r="I12" s="50">
        <v>1</v>
      </c>
      <c r="J12" s="50">
        <v>0</v>
      </c>
      <c r="K12" s="50">
        <v>0</v>
      </c>
      <c r="L12" s="50">
        <f>SUM('[1]RD4 MCC'!R584:U584)</f>
        <v>0</v>
      </c>
      <c r="M12" s="50">
        <v>13</v>
      </c>
      <c r="N12" s="50">
        <v>0</v>
      </c>
      <c r="O12" s="15">
        <f t="shared" si="0"/>
        <v>17</v>
      </c>
      <c r="P12" s="15">
        <f t="shared" si="1"/>
        <v>30</v>
      </c>
      <c r="R12" s="1" t="s">
        <v>8</v>
      </c>
      <c r="S12" s="17">
        <f t="shared" ref="S12:AF12" si="4">SUM(C18:C21)</f>
        <v>36</v>
      </c>
      <c r="T12" s="17">
        <f t="shared" si="4"/>
        <v>9</v>
      </c>
      <c r="U12" s="17">
        <f t="shared" si="4"/>
        <v>29</v>
      </c>
      <c r="V12" s="17">
        <f t="shared" si="4"/>
        <v>43</v>
      </c>
      <c r="W12" s="17">
        <f t="shared" si="4"/>
        <v>5</v>
      </c>
      <c r="X12" s="17">
        <f t="shared" si="4"/>
        <v>0</v>
      </c>
      <c r="Y12" s="17">
        <f t="shared" si="4"/>
        <v>16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146</v>
      </c>
      <c r="AD12" s="17">
        <f t="shared" si="4"/>
        <v>0</v>
      </c>
      <c r="AE12" s="31">
        <f t="shared" si="4"/>
        <v>138</v>
      </c>
      <c r="AF12" s="31">
        <f t="shared" si="4"/>
        <v>284</v>
      </c>
    </row>
    <row r="13" spans="2:32" ht="23.1" customHeight="1" x14ac:dyDescent="0.25">
      <c r="B13" s="45" t="s">
        <v>40</v>
      </c>
      <c r="C13" s="50">
        <v>9</v>
      </c>
      <c r="D13" s="50">
        <v>3</v>
      </c>
      <c r="E13" s="50">
        <v>7</v>
      </c>
      <c r="F13" s="50">
        <v>5</v>
      </c>
      <c r="G13" s="50">
        <v>3</v>
      </c>
      <c r="H13" s="50">
        <v>0</v>
      </c>
      <c r="I13" s="50">
        <v>2</v>
      </c>
      <c r="J13" s="50">
        <v>0</v>
      </c>
      <c r="K13" s="50">
        <v>0</v>
      </c>
      <c r="L13" s="50">
        <f>SUM('[1]RD4 MCC'!R585:U585)</f>
        <v>0</v>
      </c>
      <c r="M13" s="50">
        <v>23</v>
      </c>
      <c r="N13" s="50">
        <v>0</v>
      </c>
      <c r="O13" s="15">
        <f t="shared" si="0"/>
        <v>29</v>
      </c>
      <c r="P13" s="15">
        <f t="shared" si="1"/>
        <v>52</v>
      </c>
      <c r="R13" s="1" t="s">
        <v>9</v>
      </c>
      <c r="S13" s="17">
        <f t="shared" ref="S13:AF13" si="5">SUM(C22:C25)</f>
        <v>36</v>
      </c>
      <c r="T13" s="17">
        <f t="shared" si="5"/>
        <v>9</v>
      </c>
      <c r="U13" s="17">
        <f t="shared" si="5"/>
        <v>29</v>
      </c>
      <c r="V13" s="17">
        <f t="shared" si="5"/>
        <v>39</v>
      </c>
      <c r="W13" s="17">
        <f t="shared" si="5"/>
        <v>2</v>
      </c>
      <c r="X13" s="17">
        <f t="shared" si="5"/>
        <v>0</v>
      </c>
      <c r="Y13" s="17">
        <f t="shared" si="5"/>
        <v>8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217</v>
      </c>
      <c r="AD13" s="17">
        <f t="shared" si="5"/>
        <v>0</v>
      </c>
      <c r="AE13" s="31">
        <f t="shared" si="5"/>
        <v>124</v>
      </c>
      <c r="AF13" s="31">
        <f t="shared" si="5"/>
        <v>341</v>
      </c>
    </row>
    <row r="14" spans="2:32" ht="23.1" customHeight="1" x14ac:dyDescent="0.25">
      <c r="B14" s="45" t="s">
        <v>41</v>
      </c>
      <c r="C14" s="50">
        <v>4</v>
      </c>
      <c r="D14" s="50">
        <v>1</v>
      </c>
      <c r="E14" s="50">
        <v>3</v>
      </c>
      <c r="F14" s="50">
        <v>7</v>
      </c>
      <c r="G14" s="50">
        <v>4</v>
      </c>
      <c r="H14" s="50">
        <v>0</v>
      </c>
      <c r="I14" s="50">
        <v>1</v>
      </c>
      <c r="J14" s="50">
        <v>1</v>
      </c>
      <c r="K14" s="50">
        <v>0</v>
      </c>
      <c r="L14" s="50">
        <f>SUM('[1]RD4 MCC'!R586:U586)</f>
        <v>0</v>
      </c>
      <c r="M14" s="50">
        <v>30</v>
      </c>
      <c r="N14" s="50">
        <v>0</v>
      </c>
      <c r="O14" s="15">
        <f t="shared" si="0"/>
        <v>21</v>
      </c>
      <c r="P14" s="15">
        <f t="shared" si="1"/>
        <v>51</v>
      </c>
      <c r="R14" s="1" t="s">
        <v>10</v>
      </c>
      <c r="S14" s="17">
        <f t="shared" ref="S14:AF14" si="6">SUM(C26:C29)</f>
        <v>63</v>
      </c>
      <c r="T14" s="17">
        <f t="shared" si="6"/>
        <v>7</v>
      </c>
      <c r="U14" s="17">
        <f t="shared" si="6"/>
        <v>24</v>
      </c>
      <c r="V14" s="17">
        <f t="shared" si="6"/>
        <v>51</v>
      </c>
      <c r="W14" s="17">
        <f t="shared" si="6"/>
        <v>2</v>
      </c>
      <c r="X14" s="17">
        <f t="shared" si="6"/>
        <v>0</v>
      </c>
      <c r="Y14" s="17">
        <f t="shared" si="6"/>
        <v>17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201</v>
      </c>
      <c r="AD14" s="17">
        <f t="shared" si="6"/>
        <v>0</v>
      </c>
      <c r="AE14" s="31">
        <f t="shared" si="6"/>
        <v>165</v>
      </c>
      <c r="AF14" s="31">
        <f t="shared" si="6"/>
        <v>366</v>
      </c>
    </row>
    <row r="15" spans="2:32" ht="23.1" customHeight="1" x14ac:dyDescent="0.25">
      <c r="B15" s="45" t="s">
        <v>42</v>
      </c>
      <c r="C15" s="50">
        <v>9</v>
      </c>
      <c r="D15" s="50">
        <v>0</v>
      </c>
      <c r="E15" s="50">
        <v>1</v>
      </c>
      <c r="F15" s="50">
        <v>9</v>
      </c>
      <c r="G15" s="50">
        <v>3</v>
      </c>
      <c r="H15" s="50">
        <v>0</v>
      </c>
      <c r="I15" s="50">
        <v>2</v>
      </c>
      <c r="J15" s="50">
        <v>1</v>
      </c>
      <c r="K15" s="50">
        <v>0</v>
      </c>
      <c r="L15" s="50">
        <f>SUM('[1]RD4 MCC'!R587:U587)</f>
        <v>0</v>
      </c>
      <c r="M15" s="50">
        <v>25</v>
      </c>
      <c r="N15" s="50">
        <v>0</v>
      </c>
      <c r="O15" s="15">
        <f t="shared" si="0"/>
        <v>25</v>
      </c>
      <c r="P15" s="15">
        <f t="shared" si="1"/>
        <v>50</v>
      </c>
      <c r="R15" s="1" t="s">
        <v>11</v>
      </c>
      <c r="S15" s="17">
        <f t="shared" ref="S15:AF15" si="7">SUM(C30:C33)</f>
        <v>39</v>
      </c>
      <c r="T15" s="17">
        <f t="shared" si="7"/>
        <v>8</v>
      </c>
      <c r="U15" s="17">
        <f t="shared" si="7"/>
        <v>26</v>
      </c>
      <c r="V15" s="17">
        <f t="shared" si="7"/>
        <v>53</v>
      </c>
      <c r="W15" s="17">
        <f t="shared" si="7"/>
        <v>5</v>
      </c>
      <c r="X15" s="17">
        <f t="shared" si="7"/>
        <v>1</v>
      </c>
      <c r="Y15" s="17">
        <f t="shared" si="7"/>
        <v>12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186</v>
      </c>
      <c r="AD15" s="17">
        <f t="shared" si="7"/>
        <v>0</v>
      </c>
      <c r="AE15" s="31">
        <f t="shared" si="7"/>
        <v>144</v>
      </c>
      <c r="AF15" s="31">
        <f t="shared" si="7"/>
        <v>330</v>
      </c>
    </row>
    <row r="16" spans="2:32" ht="23.1" customHeight="1" x14ac:dyDescent="0.25">
      <c r="B16" s="45" t="s">
        <v>43</v>
      </c>
      <c r="C16" s="50">
        <v>2</v>
      </c>
      <c r="D16" s="50">
        <v>0</v>
      </c>
      <c r="E16" s="50">
        <v>3</v>
      </c>
      <c r="F16" s="50">
        <v>4</v>
      </c>
      <c r="G16" s="50">
        <v>2</v>
      </c>
      <c r="H16" s="50">
        <v>0</v>
      </c>
      <c r="I16" s="50">
        <v>0</v>
      </c>
      <c r="J16" s="50">
        <v>0</v>
      </c>
      <c r="K16" s="50">
        <v>0</v>
      </c>
      <c r="L16" s="50">
        <f>SUM('[1]RD4 MCC'!R588:U588)</f>
        <v>0</v>
      </c>
      <c r="M16" s="50">
        <v>13</v>
      </c>
      <c r="N16" s="50">
        <v>0</v>
      </c>
      <c r="O16" s="15">
        <f t="shared" si="0"/>
        <v>11</v>
      </c>
      <c r="P16" s="15">
        <f t="shared" si="1"/>
        <v>24</v>
      </c>
      <c r="R16" s="1" t="s">
        <v>12</v>
      </c>
      <c r="S16" s="17">
        <f t="shared" ref="S16:AF16" si="8">SUM(C34:C37)</f>
        <v>69</v>
      </c>
      <c r="T16" s="17">
        <f t="shared" si="8"/>
        <v>9</v>
      </c>
      <c r="U16" s="17">
        <f t="shared" si="8"/>
        <v>24</v>
      </c>
      <c r="V16" s="17">
        <f t="shared" si="8"/>
        <v>57</v>
      </c>
      <c r="W16" s="17">
        <f t="shared" si="8"/>
        <v>4</v>
      </c>
      <c r="X16" s="17">
        <f t="shared" si="8"/>
        <v>1</v>
      </c>
      <c r="Y16" s="17">
        <f t="shared" si="8"/>
        <v>21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198</v>
      </c>
      <c r="AD16" s="17">
        <f t="shared" si="8"/>
        <v>0</v>
      </c>
      <c r="AE16" s="31">
        <f t="shared" si="8"/>
        <v>187</v>
      </c>
      <c r="AF16" s="31">
        <f t="shared" si="8"/>
        <v>385</v>
      </c>
    </row>
    <row r="17" spans="2:32" ht="23.1" customHeight="1" x14ac:dyDescent="0.25">
      <c r="B17" s="45" t="s">
        <v>44</v>
      </c>
      <c r="C17" s="50">
        <v>11</v>
      </c>
      <c r="D17" s="50">
        <v>0</v>
      </c>
      <c r="E17" s="50">
        <v>2</v>
      </c>
      <c r="F17" s="50">
        <v>11</v>
      </c>
      <c r="G17" s="50">
        <v>4</v>
      </c>
      <c r="H17" s="50">
        <v>0</v>
      </c>
      <c r="I17" s="50">
        <v>1</v>
      </c>
      <c r="J17" s="50">
        <v>0</v>
      </c>
      <c r="K17" s="50">
        <v>0</v>
      </c>
      <c r="L17" s="50">
        <f>SUM('[1]RD4 MCC'!R589:U589)</f>
        <v>0</v>
      </c>
      <c r="M17" s="50">
        <v>33</v>
      </c>
      <c r="N17" s="50">
        <v>0</v>
      </c>
      <c r="O17" s="15">
        <f t="shared" si="0"/>
        <v>29</v>
      </c>
      <c r="P17" s="15">
        <f t="shared" si="1"/>
        <v>62</v>
      </c>
      <c r="R17" s="1" t="s">
        <v>13</v>
      </c>
      <c r="S17" s="17">
        <f t="shared" ref="S17:AF17" si="9">SUM(C38:C41)</f>
        <v>53</v>
      </c>
      <c r="T17" s="17">
        <f t="shared" si="9"/>
        <v>8</v>
      </c>
      <c r="U17" s="17">
        <f t="shared" si="9"/>
        <v>24</v>
      </c>
      <c r="V17" s="17">
        <f t="shared" si="9"/>
        <v>48</v>
      </c>
      <c r="W17" s="17">
        <f t="shared" si="9"/>
        <v>6</v>
      </c>
      <c r="X17" s="17">
        <f t="shared" si="9"/>
        <v>0</v>
      </c>
      <c r="Y17" s="17">
        <f t="shared" si="9"/>
        <v>18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227</v>
      </c>
      <c r="AD17" s="17">
        <f t="shared" si="9"/>
        <v>0</v>
      </c>
      <c r="AE17" s="31">
        <f t="shared" si="9"/>
        <v>158</v>
      </c>
      <c r="AF17" s="31">
        <f t="shared" si="9"/>
        <v>385</v>
      </c>
    </row>
    <row r="18" spans="2:32" ht="23.1" customHeight="1" x14ac:dyDescent="0.25">
      <c r="B18" s="45" t="s">
        <v>45</v>
      </c>
      <c r="C18" s="50">
        <v>5</v>
      </c>
      <c r="D18" s="50">
        <v>1</v>
      </c>
      <c r="E18" s="50">
        <v>5</v>
      </c>
      <c r="F18" s="50">
        <v>9</v>
      </c>
      <c r="G18" s="50">
        <v>2</v>
      </c>
      <c r="H18" s="50">
        <v>0</v>
      </c>
      <c r="I18" s="50">
        <v>3</v>
      </c>
      <c r="J18" s="50">
        <v>0</v>
      </c>
      <c r="K18" s="50">
        <v>0</v>
      </c>
      <c r="L18" s="50">
        <f>SUM('[1]RD4 MCC'!R590:U590)</f>
        <v>0</v>
      </c>
      <c r="M18" s="50">
        <v>42</v>
      </c>
      <c r="N18" s="50">
        <v>0</v>
      </c>
      <c r="O18" s="15">
        <f t="shared" si="0"/>
        <v>25</v>
      </c>
      <c r="P18" s="15">
        <f t="shared" si="1"/>
        <v>67</v>
      </c>
      <c r="R18" s="1" t="s">
        <v>14</v>
      </c>
      <c r="S18" s="17">
        <f t="shared" ref="S18:AF18" si="10">SUM(C42:C45)</f>
        <v>40</v>
      </c>
      <c r="T18" s="17">
        <f t="shared" si="10"/>
        <v>7</v>
      </c>
      <c r="U18" s="17">
        <f t="shared" si="10"/>
        <v>21</v>
      </c>
      <c r="V18" s="17">
        <f t="shared" si="10"/>
        <v>49</v>
      </c>
      <c r="W18" s="17">
        <f t="shared" si="10"/>
        <v>3</v>
      </c>
      <c r="X18" s="17">
        <f t="shared" si="10"/>
        <v>2</v>
      </c>
      <c r="Y18" s="17">
        <f t="shared" si="10"/>
        <v>15</v>
      </c>
      <c r="Z18" s="17">
        <f t="shared" si="10"/>
        <v>3</v>
      </c>
      <c r="AA18" s="17">
        <f t="shared" si="10"/>
        <v>1</v>
      </c>
      <c r="AB18" s="17">
        <f t="shared" si="10"/>
        <v>0</v>
      </c>
      <c r="AC18" s="17">
        <f t="shared" si="10"/>
        <v>185</v>
      </c>
      <c r="AD18" s="17">
        <f t="shared" si="10"/>
        <v>0</v>
      </c>
      <c r="AE18" s="31">
        <f t="shared" si="10"/>
        <v>141</v>
      </c>
      <c r="AF18" s="31">
        <f t="shared" si="10"/>
        <v>326</v>
      </c>
    </row>
    <row r="19" spans="2:32" ht="23.1" customHeight="1" x14ac:dyDescent="0.25">
      <c r="B19" s="45" t="s">
        <v>46</v>
      </c>
      <c r="C19" s="50">
        <v>14</v>
      </c>
      <c r="D19" s="50">
        <v>3</v>
      </c>
      <c r="E19" s="50">
        <v>7</v>
      </c>
      <c r="F19" s="50">
        <v>9</v>
      </c>
      <c r="G19" s="50">
        <v>1</v>
      </c>
      <c r="H19" s="50">
        <v>0</v>
      </c>
      <c r="I19" s="50">
        <v>3</v>
      </c>
      <c r="J19" s="50">
        <v>0</v>
      </c>
      <c r="K19" s="50">
        <v>0</v>
      </c>
      <c r="L19" s="50">
        <f>SUM('[1]RD4 MCC'!R591:U591)</f>
        <v>0</v>
      </c>
      <c r="M19" s="50">
        <v>31</v>
      </c>
      <c r="N19" s="50">
        <v>0</v>
      </c>
      <c r="O19" s="15">
        <f t="shared" si="0"/>
        <v>37</v>
      </c>
      <c r="P19" s="15">
        <f t="shared" si="1"/>
        <v>68</v>
      </c>
      <c r="R19" s="1" t="s">
        <v>15</v>
      </c>
      <c r="S19" s="17">
        <f t="shared" ref="S19:AF19" si="11">SUM(C46:C49)</f>
        <v>38</v>
      </c>
      <c r="T19" s="17">
        <f t="shared" si="11"/>
        <v>5</v>
      </c>
      <c r="U19" s="17">
        <f t="shared" si="11"/>
        <v>21</v>
      </c>
      <c r="V19" s="17">
        <f t="shared" si="11"/>
        <v>51</v>
      </c>
      <c r="W19" s="17">
        <f t="shared" si="11"/>
        <v>3</v>
      </c>
      <c r="X19" s="17">
        <f t="shared" si="11"/>
        <v>0</v>
      </c>
      <c r="Y19" s="17">
        <f t="shared" si="11"/>
        <v>19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181</v>
      </c>
      <c r="AD19" s="17">
        <f t="shared" si="11"/>
        <v>0</v>
      </c>
      <c r="AE19" s="31">
        <f t="shared" si="11"/>
        <v>138</v>
      </c>
      <c r="AF19" s="31">
        <f t="shared" si="11"/>
        <v>319</v>
      </c>
    </row>
    <row r="20" spans="2:32" ht="23.1" customHeight="1" x14ac:dyDescent="0.25">
      <c r="B20" s="45" t="s">
        <v>47</v>
      </c>
      <c r="C20" s="50">
        <v>8</v>
      </c>
      <c r="D20" s="50">
        <v>2</v>
      </c>
      <c r="E20" s="50">
        <v>7</v>
      </c>
      <c r="F20" s="50">
        <v>14</v>
      </c>
      <c r="G20" s="50">
        <v>1</v>
      </c>
      <c r="H20" s="50">
        <v>0</v>
      </c>
      <c r="I20" s="50">
        <v>6</v>
      </c>
      <c r="J20" s="50">
        <v>0</v>
      </c>
      <c r="K20" s="50">
        <v>0</v>
      </c>
      <c r="L20" s="50">
        <f>SUM('[1]RD4 MCC'!R592:U592)</f>
        <v>0</v>
      </c>
      <c r="M20" s="50">
        <v>36</v>
      </c>
      <c r="N20" s="50">
        <v>0</v>
      </c>
      <c r="O20" s="15">
        <f t="shared" si="0"/>
        <v>38</v>
      </c>
      <c r="P20" s="15">
        <f t="shared" si="1"/>
        <v>74</v>
      </c>
      <c r="R20" s="1" t="s">
        <v>16</v>
      </c>
      <c r="S20" s="17">
        <f t="shared" ref="S20:AF20" si="12">SUM(C50:C53)</f>
        <v>21</v>
      </c>
      <c r="T20" s="17">
        <f t="shared" si="12"/>
        <v>2</v>
      </c>
      <c r="U20" s="17">
        <f t="shared" si="12"/>
        <v>13</v>
      </c>
      <c r="V20" s="17">
        <f t="shared" si="12"/>
        <v>42</v>
      </c>
      <c r="W20" s="17">
        <f t="shared" si="12"/>
        <v>2</v>
      </c>
      <c r="X20" s="17">
        <f t="shared" si="12"/>
        <v>0</v>
      </c>
      <c r="Y20" s="17">
        <f t="shared" si="12"/>
        <v>18</v>
      </c>
      <c r="Z20" s="17">
        <f t="shared" si="12"/>
        <v>2</v>
      </c>
      <c r="AA20" s="17">
        <f t="shared" si="12"/>
        <v>1</v>
      </c>
      <c r="AB20" s="17">
        <f t="shared" si="12"/>
        <v>0</v>
      </c>
      <c r="AC20" s="17">
        <f t="shared" si="12"/>
        <v>171</v>
      </c>
      <c r="AD20" s="17">
        <f t="shared" si="12"/>
        <v>0</v>
      </c>
      <c r="AE20" s="31">
        <f t="shared" si="12"/>
        <v>101</v>
      </c>
      <c r="AF20" s="31">
        <f t="shared" si="12"/>
        <v>272</v>
      </c>
    </row>
    <row r="21" spans="2:32" ht="23.1" customHeight="1" x14ac:dyDescent="0.25">
      <c r="B21" s="45" t="s">
        <v>48</v>
      </c>
      <c r="C21" s="50">
        <v>9</v>
      </c>
      <c r="D21" s="50">
        <v>3</v>
      </c>
      <c r="E21" s="50">
        <v>10</v>
      </c>
      <c r="F21" s="50">
        <v>11</v>
      </c>
      <c r="G21" s="50">
        <v>1</v>
      </c>
      <c r="H21" s="50">
        <v>0</v>
      </c>
      <c r="I21" s="50">
        <v>4</v>
      </c>
      <c r="J21" s="50">
        <v>0</v>
      </c>
      <c r="K21" s="50">
        <v>0</v>
      </c>
      <c r="L21" s="50">
        <f>SUM('[1]RD4 MCC'!R593:U593)</f>
        <v>0</v>
      </c>
      <c r="M21" s="50">
        <v>37</v>
      </c>
      <c r="N21" s="50">
        <v>0</v>
      </c>
      <c r="O21" s="15">
        <f t="shared" si="0"/>
        <v>38</v>
      </c>
      <c r="P21" s="15">
        <f t="shared" si="1"/>
        <v>75</v>
      </c>
      <c r="R21" s="36" t="s">
        <v>20</v>
      </c>
      <c r="S21" s="34">
        <f t="shared" ref="S21:AF21" si="13">SUM(C54:C57)</f>
        <v>27</v>
      </c>
      <c r="T21" s="17">
        <f t="shared" si="13"/>
        <v>4</v>
      </c>
      <c r="U21" s="17">
        <f t="shared" si="13"/>
        <v>18</v>
      </c>
      <c r="V21" s="17">
        <f t="shared" si="13"/>
        <v>41</v>
      </c>
      <c r="W21" s="17">
        <f t="shared" si="13"/>
        <v>9</v>
      </c>
      <c r="X21" s="17">
        <f t="shared" si="13"/>
        <v>0</v>
      </c>
      <c r="Y21" s="17">
        <f t="shared" si="13"/>
        <v>10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107</v>
      </c>
      <c r="AD21" s="17">
        <f t="shared" si="13"/>
        <v>0</v>
      </c>
      <c r="AE21" s="31">
        <f t="shared" si="13"/>
        <v>109</v>
      </c>
      <c r="AF21" s="31">
        <f t="shared" si="13"/>
        <v>216</v>
      </c>
    </row>
    <row r="22" spans="2:32" ht="23.1" customHeight="1" x14ac:dyDescent="0.25">
      <c r="B22" s="45" t="s">
        <v>49</v>
      </c>
      <c r="C22" s="50">
        <v>11</v>
      </c>
      <c r="D22" s="50">
        <v>1</v>
      </c>
      <c r="E22" s="50">
        <v>5</v>
      </c>
      <c r="F22" s="50">
        <v>9</v>
      </c>
      <c r="G22" s="50">
        <v>1</v>
      </c>
      <c r="H22" s="50">
        <v>0</v>
      </c>
      <c r="I22" s="50">
        <v>2</v>
      </c>
      <c r="J22" s="50">
        <v>0</v>
      </c>
      <c r="K22" s="50">
        <v>0</v>
      </c>
      <c r="L22" s="50">
        <f>SUM('[1]RD4 MCC'!R594:U594)</f>
        <v>0</v>
      </c>
      <c r="M22" s="50">
        <v>62</v>
      </c>
      <c r="N22" s="50">
        <v>0</v>
      </c>
      <c r="O22" s="15">
        <f t="shared" si="0"/>
        <v>29</v>
      </c>
      <c r="P22" s="15">
        <f t="shared" si="1"/>
        <v>91</v>
      </c>
      <c r="R22" s="36" t="s">
        <v>146</v>
      </c>
      <c r="S22" s="34">
        <f>SUM(C58:C61)</f>
        <v>41</v>
      </c>
      <c r="T22" s="34">
        <f t="shared" ref="T22:AF22" si="14">SUM(D58:D61)</f>
        <v>5</v>
      </c>
      <c r="U22" s="34">
        <f t="shared" si="14"/>
        <v>19</v>
      </c>
      <c r="V22" s="34">
        <f t="shared" si="14"/>
        <v>41</v>
      </c>
      <c r="W22" s="34">
        <f t="shared" si="14"/>
        <v>19</v>
      </c>
      <c r="X22" s="34">
        <f t="shared" si="14"/>
        <v>0</v>
      </c>
      <c r="Y22" s="34">
        <f t="shared" si="14"/>
        <v>12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197</v>
      </c>
      <c r="AD22" s="34">
        <f t="shared" si="14"/>
        <v>0</v>
      </c>
      <c r="AE22" s="31">
        <f t="shared" si="14"/>
        <v>139</v>
      </c>
      <c r="AF22" s="31">
        <f t="shared" si="14"/>
        <v>336</v>
      </c>
    </row>
    <row r="23" spans="2:32" ht="23.1" customHeight="1" x14ac:dyDescent="0.25">
      <c r="B23" s="45" t="s">
        <v>50</v>
      </c>
      <c r="C23" s="50">
        <v>8</v>
      </c>
      <c r="D23" s="50">
        <v>2</v>
      </c>
      <c r="E23" s="50">
        <v>7</v>
      </c>
      <c r="F23" s="50">
        <v>9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f>SUM('[1]RD4 MCC'!R595:U595)</f>
        <v>0</v>
      </c>
      <c r="M23" s="50">
        <v>46</v>
      </c>
      <c r="N23" s="50">
        <v>0</v>
      </c>
      <c r="O23" s="15">
        <f t="shared" si="0"/>
        <v>27</v>
      </c>
      <c r="P23" s="15">
        <f t="shared" si="1"/>
        <v>73</v>
      </c>
      <c r="R23" s="36" t="s">
        <v>147</v>
      </c>
      <c r="S23" s="34">
        <f>SUM(C62:C65)</f>
        <v>27</v>
      </c>
      <c r="T23" s="34">
        <f t="shared" ref="T23:AF23" si="15">SUM(D62:D65)</f>
        <v>1</v>
      </c>
      <c r="U23" s="34">
        <f t="shared" si="15"/>
        <v>11</v>
      </c>
      <c r="V23" s="34">
        <f t="shared" si="15"/>
        <v>31</v>
      </c>
      <c r="W23" s="34">
        <f t="shared" si="15"/>
        <v>15</v>
      </c>
      <c r="X23" s="34">
        <f t="shared" si="15"/>
        <v>0</v>
      </c>
      <c r="Y23" s="34">
        <f t="shared" si="15"/>
        <v>5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96</v>
      </c>
      <c r="AD23" s="34">
        <f t="shared" si="15"/>
        <v>0</v>
      </c>
      <c r="AE23" s="31">
        <f t="shared" si="15"/>
        <v>90</v>
      </c>
      <c r="AF23" s="31">
        <f t="shared" si="15"/>
        <v>186</v>
      </c>
    </row>
    <row r="24" spans="2:32" ht="23.1" customHeight="1" x14ac:dyDescent="0.25">
      <c r="B24" s="45" t="s">
        <v>51</v>
      </c>
      <c r="C24" s="50">
        <v>9</v>
      </c>
      <c r="D24" s="50">
        <v>4</v>
      </c>
      <c r="E24" s="50">
        <v>11</v>
      </c>
      <c r="F24" s="50">
        <v>13</v>
      </c>
      <c r="G24" s="50">
        <v>0</v>
      </c>
      <c r="H24" s="50">
        <v>0</v>
      </c>
      <c r="I24" s="50">
        <v>4</v>
      </c>
      <c r="J24" s="50">
        <v>0</v>
      </c>
      <c r="K24" s="50">
        <v>1</v>
      </c>
      <c r="L24" s="50">
        <f>SUM('[1]RD4 MCC'!R596:U596)</f>
        <v>0</v>
      </c>
      <c r="M24" s="50">
        <v>53</v>
      </c>
      <c r="N24" s="50">
        <v>0</v>
      </c>
      <c r="O24" s="15">
        <f t="shared" si="0"/>
        <v>42</v>
      </c>
      <c r="P24" s="15">
        <f t="shared" si="1"/>
        <v>95</v>
      </c>
      <c r="R24" s="36" t="s">
        <v>148</v>
      </c>
      <c r="S24" s="34">
        <f>SUM(C66:C69)</f>
        <v>14</v>
      </c>
      <c r="T24" s="34">
        <f t="shared" ref="T24:AF24" si="16">SUM(D66:D69)</f>
        <v>3</v>
      </c>
      <c r="U24" s="34">
        <f t="shared" si="16"/>
        <v>14</v>
      </c>
      <c r="V24" s="34">
        <f t="shared" si="16"/>
        <v>21</v>
      </c>
      <c r="W24" s="34">
        <f t="shared" si="16"/>
        <v>10</v>
      </c>
      <c r="X24" s="34">
        <f t="shared" si="16"/>
        <v>0</v>
      </c>
      <c r="Y24" s="34">
        <f t="shared" si="16"/>
        <v>5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79</v>
      </c>
      <c r="AD24" s="34">
        <f t="shared" si="16"/>
        <v>0</v>
      </c>
      <c r="AE24" s="31">
        <f t="shared" si="16"/>
        <v>68</v>
      </c>
      <c r="AF24" s="31">
        <f t="shared" si="16"/>
        <v>147</v>
      </c>
    </row>
    <row r="25" spans="2:32" ht="23.1" customHeight="1" x14ac:dyDescent="0.25">
      <c r="B25" s="45" t="s">
        <v>52</v>
      </c>
      <c r="C25" s="50">
        <v>8</v>
      </c>
      <c r="D25" s="50">
        <v>2</v>
      </c>
      <c r="E25" s="50">
        <v>6</v>
      </c>
      <c r="F25" s="50">
        <v>8</v>
      </c>
      <c r="G25" s="50">
        <v>1</v>
      </c>
      <c r="H25" s="50">
        <v>0</v>
      </c>
      <c r="I25" s="50">
        <v>1</v>
      </c>
      <c r="J25" s="50">
        <v>0</v>
      </c>
      <c r="K25" s="50">
        <v>0</v>
      </c>
      <c r="L25" s="50">
        <f>SUM('[1]RD4 MCC'!R597:U597)</f>
        <v>0</v>
      </c>
      <c r="M25" s="50">
        <v>56</v>
      </c>
      <c r="N25" s="50">
        <v>0</v>
      </c>
      <c r="O25" s="15">
        <f t="shared" si="0"/>
        <v>26</v>
      </c>
      <c r="P25" s="15">
        <f t="shared" si="1"/>
        <v>82</v>
      </c>
      <c r="R25" s="36" t="s">
        <v>149</v>
      </c>
      <c r="S25" s="34">
        <f>SUM(C70:C73)</f>
        <v>24</v>
      </c>
      <c r="T25" s="34">
        <f t="shared" ref="T25:AF25" si="17">SUM(D70:D73)</f>
        <v>1</v>
      </c>
      <c r="U25" s="34">
        <f t="shared" si="17"/>
        <v>8</v>
      </c>
      <c r="V25" s="34">
        <f t="shared" si="17"/>
        <v>11</v>
      </c>
      <c r="W25" s="34">
        <f t="shared" si="17"/>
        <v>2</v>
      </c>
      <c r="X25" s="34">
        <f t="shared" si="17"/>
        <v>0</v>
      </c>
      <c r="Y25" s="34">
        <f t="shared" si="17"/>
        <v>6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41</v>
      </c>
      <c r="AD25" s="34">
        <f t="shared" si="17"/>
        <v>0</v>
      </c>
      <c r="AE25" s="31">
        <f t="shared" si="17"/>
        <v>52</v>
      </c>
      <c r="AF25" s="31">
        <f t="shared" si="17"/>
        <v>93</v>
      </c>
    </row>
    <row r="26" spans="2:32" ht="23.1" customHeight="1" x14ac:dyDescent="0.25">
      <c r="B26" s="45" t="s">
        <v>53</v>
      </c>
      <c r="C26" s="50">
        <v>14</v>
      </c>
      <c r="D26" s="50">
        <v>1</v>
      </c>
      <c r="E26" s="50">
        <v>3</v>
      </c>
      <c r="F26" s="50">
        <v>11</v>
      </c>
      <c r="G26" s="50">
        <v>0</v>
      </c>
      <c r="H26" s="50">
        <v>0</v>
      </c>
      <c r="I26" s="50">
        <v>4</v>
      </c>
      <c r="J26" s="50">
        <v>1</v>
      </c>
      <c r="K26" s="50">
        <v>0</v>
      </c>
      <c r="L26" s="50">
        <f>SUM('[1]RD4 MCC'!R598:U598)</f>
        <v>0</v>
      </c>
      <c r="M26" s="50">
        <v>51</v>
      </c>
      <c r="N26" s="50">
        <v>0</v>
      </c>
      <c r="O26" s="15">
        <f t="shared" si="0"/>
        <v>34</v>
      </c>
      <c r="P26" s="15">
        <f t="shared" si="1"/>
        <v>85</v>
      </c>
      <c r="R26" s="36" t="s">
        <v>150</v>
      </c>
      <c r="S26" s="34">
        <f>SUM(C74:C77)</f>
        <v>7</v>
      </c>
      <c r="T26" s="34">
        <f t="shared" ref="T26:AF26" si="18">SUM(D74:D77)</f>
        <v>0</v>
      </c>
      <c r="U26" s="34">
        <f t="shared" si="18"/>
        <v>4</v>
      </c>
      <c r="V26" s="34">
        <f t="shared" si="18"/>
        <v>8</v>
      </c>
      <c r="W26" s="34">
        <f t="shared" si="18"/>
        <v>4</v>
      </c>
      <c r="X26" s="34">
        <f t="shared" si="18"/>
        <v>1</v>
      </c>
      <c r="Y26" s="34">
        <f t="shared" si="18"/>
        <v>4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39</v>
      </c>
      <c r="AD26" s="34">
        <f t="shared" si="18"/>
        <v>0</v>
      </c>
      <c r="AE26" s="31">
        <f t="shared" si="18"/>
        <v>28</v>
      </c>
      <c r="AF26" s="31">
        <f t="shared" si="18"/>
        <v>67</v>
      </c>
    </row>
    <row r="27" spans="2:32" ht="23.1" customHeight="1" x14ac:dyDescent="0.25">
      <c r="B27" s="45" t="s">
        <v>54</v>
      </c>
      <c r="C27" s="50">
        <v>22</v>
      </c>
      <c r="D27" s="50">
        <v>3</v>
      </c>
      <c r="E27" s="50">
        <v>9</v>
      </c>
      <c r="F27" s="50">
        <v>14</v>
      </c>
      <c r="G27" s="50">
        <v>0</v>
      </c>
      <c r="H27" s="50">
        <v>0</v>
      </c>
      <c r="I27" s="50">
        <v>5</v>
      </c>
      <c r="J27" s="50">
        <v>0</v>
      </c>
      <c r="K27" s="50">
        <v>0</v>
      </c>
      <c r="L27" s="50">
        <f>SUM('[1]RD4 MCC'!R599:U599)</f>
        <v>0</v>
      </c>
      <c r="M27" s="50">
        <v>43</v>
      </c>
      <c r="N27" s="50">
        <v>0</v>
      </c>
      <c r="O27" s="15">
        <f t="shared" si="0"/>
        <v>53</v>
      </c>
      <c r="P27" s="15">
        <f t="shared" si="1"/>
        <v>96</v>
      </c>
      <c r="R27" s="36" t="s">
        <v>151</v>
      </c>
      <c r="S27" s="34">
        <f>SUM(C78:C81)</f>
        <v>4</v>
      </c>
      <c r="T27" s="34">
        <f t="shared" ref="T27:AF27" si="19">SUM(D78:D81)</f>
        <v>0</v>
      </c>
      <c r="U27" s="34">
        <f t="shared" si="19"/>
        <v>3</v>
      </c>
      <c r="V27" s="34">
        <f t="shared" si="19"/>
        <v>5</v>
      </c>
      <c r="W27" s="34">
        <f t="shared" si="19"/>
        <v>1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25</v>
      </c>
      <c r="AD27" s="34">
        <f t="shared" si="19"/>
        <v>0</v>
      </c>
      <c r="AE27" s="31">
        <f t="shared" si="19"/>
        <v>15</v>
      </c>
      <c r="AF27" s="31">
        <f t="shared" si="19"/>
        <v>40</v>
      </c>
    </row>
    <row r="28" spans="2:32" ht="23.1" customHeight="1" x14ac:dyDescent="0.25">
      <c r="B28" s="45" t="s">
        <v>55</v>
      </c>
      <c r="C28" s="50">
        <v>11</v>
      </c>
      <c r="D28" s="50">
        <v>2</v>
      </c>
      <c r="E28" s="50">
        <v>7</v>
      </c>
      <c r="F28" s="50">
        <v>13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f>SUM('[1]RD4 MCC'!R600:U600)</f>
        <v>0</v>
      </c>
      <c r="M28" s="50">
        <v>48</v>
      </c>
      <c r="N28" s="50">
        <v>0</v>
      </c>
      <c r="O28" s="15">
        <f t="shared" si="0"/>
        <v>36</v>
      </c>
      <c r="P28" s="15">
        <f t="shared" si="1"/>
        <v>84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4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8</v>
      </c>
      <c r="AD28" s="34">
        <f t="shared" si="20"/>
        <v>0</v>
      </c>
      <c r="AE28" s="31">
        <f t="shared" si="20"/>
        <v>7</v>
      </c>
      <c r="AF28" s="31">
        <f t="shared" si="20"/>
        <v>15</v>
      </c>
    </row>
    <row r="29" spans="2:32" ht="23.1" customHeight="1" x14ac:dyDescent="0.25">
      <c r="B29" s="45" t="s">
        <v>56</v>
      </c>
      <c r="C29" s="50">
        <v>16</v>
      </c>
      <c r="D29" s="50">
        <v>1</v>
      </c>
      <c r="E29" s="50">
        <v>5</v>
      </c>
      <c r="F29" s="50">
        <v>13</v>
      </c>
      <c r="G29" s="50">
        <v>2</v>
      </c>
      <c r="H29" s="50">
        <v>0</v>
      </c>
      <c r="I29" s="50">
        <v>5</v>
      </c>
      <c r="J29" s="50">
        <v>0</v>
      </c>
      <c r="K29" s="50">
        <v>0</v>
      </c>
      <c r="L29" s="50">
        <f>SUM('[1]RD4 MCC'!R601:U601)</f>
        <v>0</v>
      </c>
      <c r="M29" s="50">
        <v>59</v>
      </c>
      <c r="N29" s="50">
        <v>0</v>
      </c>
      <c r="O29" s="15">
        <f t="shared" si="0"/>
        <v>42</v>
      </c>
      <c r="P29" s="15">
        <f t="shared" si="1"/>
        <v>101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</v>
      </c>
      <c r="AD29" s="34">
        <f t="shared" si="21"/>
        <v>0</v>
      </c>
      <c r="AE29" s="31">
        <f t="shared" si="21"/>
        <v>3</v>
      </c>
      <c r="AF29" s="31">
        <f t="shared" si="21"/>
        <v>5</v>
      </c>
    </row>
    <row r="30" spans="2:32" ht="23.1" customHeight="1" x14ac:dyDescent="0.25">
      <c r="B30" s="45" t="s">
        <v>57</v>
      </c>
      <c r="C30" s="50">
        <v>9</v>
      </c>
      <c r="D30" s="50">
        <v>2</v>
      </c>
      <c r="E30" s="50">
        <v>5</v>
      </c>
      <c r="F30" s="50">
        <v>14</v>
      </c>
      <c r="G30" s="50">
        <v>2</v>
      </c>
      <c r="H30" s="50">
        <v>0</v>
      </c>
      <c r="I30" s="50">
        <v>1</v>
      </c>
      <c r="J30" s="50">
        <v>0</v>
      </c>
      <c r="K30" s="50">
        <v>0</v>
      </c>
      <c r="L30" s="50">
        <f>SUM('[1]RD4 MCC'!R602:U602)</f>
        <v>0</v>
      </c>
      <c r="M30" s="50">
        <v>43</v>
      </c>
      <c r="N30" s="50">
        <v>0</v>
      </c>
      <c r="O30" s="15">
        <f t="shared" si="0"/>
        <v>33</v>
      </c>
      <c r="P30" s="15">
        <f t="shared" si="1"/>
        <v>76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1</v>
      </c>
      <c r="X30" s="34">
        <f t="shared" si="22"/>
        <v>0</v>
      </c>
      <c r="Y30" s="34">
        <f t="shared" si="22"/>
        <v>2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2</v>
      </c>
      <c r="AD30" s="34">
        <f t="shared" si="22"/>
        <v>0</v>
      </c>
      <c r="AE30" s="31">
        <f t="shared" si="22"/>
        <v>5</v>
      </c>
      <c r="AF30" s="31">
        <f t="shared" si="22"/>
        <v>7</v>
      </c>
    </row>
    <row r="31" spans="2:32" ht="23.1" customHeight="1" x14ac:dyDescent="0.25">
      <c r="B31" s="46" t="s">
        <v>58</v>
      </c>
      <c r="C31" s="50">
        <v>9</v>
      </c>
      <c r="D31" s="50">
        <v>2</v>
      </c>
      <c r="E31" s="50">
        <v>7</v>
      </c>
      <c r="F31" s="50">
        <v>17</v>
      </c>
      <c r="G31" s="50">
        <v>1</v>
      </c>
      <c r="H31" s="50">
        <v>0</v>
      </c>
      <c r="I31" s="50">
        <v>4</v>
      </c>
      <c r="J31" s="50">
        <v>0</v>
      </c>
      <c r="K31" s="50">
        <v>0</v>
      </c>
      <c r="L31" s="50">
        <f>SUM('[1]RD4 MCC'!R603:U603)</f>
        <v>0</v>
      </c>
      <c r="M31" s="50">
        <v>49</v>
      </c>
      <c r="N31" s="50">
        <v>0</v>
      </c>
      <c r="O31" s="15">
        <f t="shared" si="0"/>
        <v>40</v>
      </c>
      <c r="P31" s="15">
        <f t="shared" si="1"/>
        <v>89</v>
      </c>
      <c r="R31" s="36" t="s">
        <v>155</v>
      </c>
      <c r="S31" s="34">
        <f>SUM(C94:C97)</f>
        <v>4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3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2</v>
      </c>
      <c r="AA31" s="34">
        <f t="shared" si="23"/>
        <v>1</v>
      </c>
      <c r="AB31" s="34">
        <f t="shared" si="23"/>
        <v>0</v>
      </c>
      <c r="AC31" s="34">
        <f t="shared" si="23"/>
        <v>6</v>
      </c>
      <c r="AD31" s="34">
        <f t="shared" si="23"/>
        <v>0</v>
      </c>
      <c r="AE31" s="31">
        <f t="shared" si="23"/>
        <v>12</v>
      </c>
      <c r="AF31" s="31">
        <f t="shared" si="23"/>
        <v>18</v>
      </c>
    </row>
    <row r="32" spans="2:32" ht="23.1" customHeight="1" x14ac:dyDescent="0.25">
      <c r="B32" s="46" t="s">
        <v>59</v>
      </c>
      <c r="C32" s="50">
        <v>6</v>
      </c>
      <c r="D32" s="50">
        <v>2</v>
      </c>
      <c r="E32" s="50">
        <v>7</v>
      </c>
      <c r="F32" s="50">
        <v>9</v>
      </c>
      <c r="G32" s="50">
        <v>1</v>
      </c>
      <c r="H32" s="50">
        <v>1</v>
      </c>
      <c r="I32" s="50">
        <v>4</v>
      </c>
      <c r="J32" s="50">
        <v>0</v>
      </c>
      <c r="K32" s="50">
        <v>0</v>
      </c>
      <c r="L32" s="50">
        <f>SUM('[1]RD4 MCC'!R604:U604)</f>
        <v>0</v>
      </c>
      <c r="M32" s="50">
        <v>44</v>
      </c>
      <c r="N32" s="50">
        <v>0</v>
      </c>
      <c r="O32" s="15">
        <f t="shared" si="0"/>
        <v>30</v>
      </c>
      <c r="P32" s="15">
        <f t="shared" si="1"/>
        <v>74</v>
      </c>
      <c r="R32" s="33" t="s">
        <v>156</v>
      </c>
      <c r="S32" s="34">
        <f>SUM(C98:C101)</f>
        <v>3</v>
      </c>
      <c r="T32" s="34">
        <f t="shared" ref="T32:AF32" si="24">SUM(D98:D101)</f>
        <v>0</v>
      </c>
      <c r="U32" s="34">
        <f t="shared" si="24"/>
        <v>2</v>
      </c>
      <c r="V32" s="34">
        <f t="shared" si="24"/>
        <v>4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9</v>
      </c>
      <c r="AD32" s="34">
        <f t="shared" si="24"/>
        <v>0</v>
      </c>
      <c r="AE32" s="31">
        <f t="shared" si="24"/>
        <v>12</v>
      </c>
      <c r="AF32" s="31">
        <f t="shared" si="24"/>
        <v>21</v>
      </c>
    </row>
    <row r="33" spans="2:32" ht="23.1" customHeight="1" x14ac:dyDescent="0.25">
      <c r="B33" s="45" t="s">
        <v>60</v>
      </c>
      <c r="C33" s="50">
        <v>15</v>
      </c>
      <c r="D33" s="50">
        <v>2</v>
      </c>
      <c r="E33" s="50">
        <v>7</v>
      </c>
      <c r="F33" s="50">
        <v>13</v>
      </c>
      <c r="G33" s="50">
        <v>1</v>
      </c>
      <c r="H33" s="50">
        <v>0</v>
      </c>
      <c r="I33" s="50">
        <v>3</v>
      </c>
      <c r="J33" s="50">
        <v>0</v>
      </c>
      <c r="K33" s="50">
        <v>0</v>
      </c>
      <c r="L33" s="50">
        <f>SUM('[1]RD4 MCC'!R605:U605)</f>
        <v>0</v>
      </c>
      <c r="M33" s="50">
        <v>50</v>
      </c>
      <c r="N33" s="50">
        <v>0</v>
      </c>
      <c r="O33" s="15">
        <f t="shared" si="0"/>
        <v>41</v>
      </c>
      <c r="P33" s="15">
        <f t="shared" si="1"/>
        <v>91</v>
      </c>
      <c r="R33" s="33" t="s">
        <v>157</v>
      </c>
      <c r="S33" s="34">
        <f>SUM(C102:C105)</f>
        <v>2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8</v>
      </c>
      <c r="W33" s="34">
        <f t="shared" si="25"/>
        <v>0</v>
      </c>
      <c r="X33" s="34">
        <f t="shared" si="25"/>
        <v>0</v>
      </c>
      <c r="Y33" s="34">
        <f t="shared" si="25"/>
        <v>8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8</v>
      </c>
      <c r="AD33" s="34">
        <f t="shared" si="25"/>
        <v>0</v>
      </c>
      <c r="AE33" s="31">
        <f t="shared" si="25"/>
        <v>18</v>
      </c>
      <c r="AF33" s="31">
        <f t="shared" si="25"/>
        <v>26</v>
      </c>
    </row>
    <row r="34" spans="2:32" ht="23.1" customHeight="1" x14ac:dyDescent="0.25">
      <c r="B34" s="46" t="s">
        <v>61</v>
      </c>
      <c r="C34" s="50">
        <v>8</v>
      </c>
      <c r="D34" s="50">
        <v>3</v>
      </c>
      <c r="E34" s="50">
        <v>7</v>
      </c>
      <c r="F34" s="50">
        <v>14</v>
      </c>
      <c r="G34" s="50">
        <v>1</v>
      </c>
      <c r="H34" s="50">
        <v>0</v>
      </c>
      <c r="I34" s="50">
        <v>4</v>
      </c>
      <c r="J34" s="50">
        <v>0</v>
      </c>
      <c r="K34" s="50">
        <v>0</v>
      </c>
      <c r="L34" s="50">
        <f>SUM('[1]RD4 MCC'!R606:U606)</f>
        <v>0</v>
      </c>
      <c r="M34" s="50">
        <v>44</v>
      </c>
      <c r="N34" s="50">
        <v>0</v>
      </c>
      <c r="O34" s="15">
        <f t="shared" si="0"/>
        <v>37</v>
      </c>
      <c r="P34" s="15">
        <f t="shared" si="1"/>
        <v>81</v>
      </c>
      <c r="R34" s="38" t="s">
        <v>90</v>
      </c>
      <c r="S34" s="39">
        <f t="shared" ref="S34:AF34" si="26">MAX(S10:S12)</f>
        <v>36</v>
      </c>
      <c r="T34" s="39">
        <f t="shared" si="26"/>
        <v>9</v>
      </c>
      <c r="U34" s="39">
        <f t="shared" si="26"/>
        <v>29</v>
      </c>
      <c r="V34" s="39">
        <f t="shared" si="26"/>
        <v>43</v>
      </c>
      <c r="W34" s="39">
        <f t="shared" si="26"/>
        <v>13</v>
      </c>
      <c r="X34" s="39">
        <f t="shared" si="26"/>
        <v>0</v>
      </c>
      <c r="Y34" s="39">
        <f t="shared" si="26"/>
        <v>16</v>
      </c>
      <c r="Z34" s="39">
        <f t="shared" si="26"/>
        <v>2</v>
      </c>
      <c r="AA34" s="39">
        <f t="shared" si="26"/>
        <v>0</v>
      </c>
      <c r="AB34" s="39">
        <f t="shared" si="26"/>
        <v>0</v>
      </c>
      <c r="AC34" s="39">
        <f t="shared" si="26"/>
        <v>146</v>
      </c>
      <c r="AD34" s="39">
        <f t="shared" si="26"/>
        <v>0</v>
      </c>
      <c r="AE34" s="40">
        <f t="shared" si="26"/>
        <v>138</v>
      </c>
      <c r="AF34" s="40">
        <f t="shared" si="26"/>
        <v>284</v>
      </c>
    </row>
    <row r="35" spans="2:32" ht="23.1" customHeight="1" x14ac:dyDescent="0.25">
      <c r="B35" s="46" t="s">
        <v>62</v>
      </c>
      <c r="C35" s="50">
        <v>32</v>
      </c>
      <c r="D35" s="50">
        <v>2</v>
      </c>
      <c r="E35" s="50">
        <v>6</v>
      </c>
      <c r="F35" s="50">
        <v>20</v>
      </c>
      <c r="G35" s="50">
        <v>1</v>
      </c>
      <c r="H35" s="50">
        <v>1</v>
      </c>
      <c r="I35" s="50">
        <v>6</v>
      </c>
      <c r="J35" s="50">
        <v>1</v>
      </c>
      <c r="K35" s="50">
        <v>0</v>
      </c>
      <c r="L35" s="50">
        <f>SUM('[1]RD4 MCC'!R607:U607)</f>
        <v>0</v>
      </c>
      <c r="M35" s="50">
        <v>49</v>
      </c>
      <c r="N35" s="50">
        <v>0</v>
      </c>
      <c r="O35" s="15">
        <f t="shared" si="0"/>
        <v>69</v>
      </c>
      <c r="P35" s="15">
        <f t="shared" si="1"/>
        <v>118</v>
      </c>
      <c r="R35" s="38" t="s">
        <v>91</v>
      </c>
      <c r="S35" s="39">
        <f t="shared" ref="S35:AF35" si="27">MAX(S13:S18)</f>
        <v>69</v>
      </c>
      <c r="T35" s="39">
        <f t="shared" si="27"/>
        <v>9</v>
      </c>
      <c r="U35" s="39">
        <f t="shared" si="27"/>
        <v>29</v>
      </c>
      <c r="V35" s="39">
        <f t="shared" si="27"/>
        <v>57</v>
      </c>
      <c r="W35" s="39">
        <f t="shared" si="27"/>
        <v>6</v>
      </c>
      <c r="X35" s="39">
        <f t="shared" si="27"/>
        <v>2</v>
      </c>
      <c r="Y35" s="39">
        <f t="shared" si="27"/>
        <v>21</v>
      </c>
      <c r="Z35" s="39">
        <f t="shared" si="27"/>
        <v>3</v>
      </c>
      <c r="AA35" s="39">
        <f t="shared" si="27"/>
        <v>1</v>
      </c>
      <c r="AB35" s="39">
        <f t="shared" si="27"/>
        <v>0</v>
      </c>
      <c r="AC35" s="39">
        <f t="shared" si="27"/>
        <v>227</v>
      </c>
      <c r="AD35" s="39">
        <f t="shared" si="27"/>
        <v>0</v>
      </c>
      <c r="AE35" s="40">
        <f t="shared" si="27"/>
        <v>187</v>
      </c>
      <c r="AF35" s="40">
        <f t="shared" si="27"/>
        <v>385</v>
      </c>
    </row>
    <row r="36" spans="2:32" ht="23.1" customHeight="1" x14ac:dyDescent="0.25">
      <c r="B36" s="46" t="s">
        <v>63</v>
      </c>
      <c r="C36" s="50">
        <v>18</v>
      </c>
      <c r="D36" s="50">
        <v>2</v>
      </c>
      <c r="E36" s="50">
        <v>6</v>
      </c>
      <c r="F36" s="50">
        <v>9</v>
      </c>
      <c r="G36" s="50">
        <v>0</v>
      </c>
      <c r="H36" s="50">
        <v>0</v>
      </c>
      <c r="I36" s="50">
        <v>7</v>
      </c>
      <c r="J36" s="50">
        <v>1</v>
      </c>
      <c r="K36" s="50">
        <v>0</v>
      </c>
      <c r="L36" s="50">
        <f>SUM('[1]RD4 MCC'!R608:U608)</f>
        <v>0</v>
      </c>
      <c r="M36" s="50">
        <v>55</v>
      </c>
      <c r="N36" s="50">
        <v>0</v>
      </c>
      <c r="O36" s="15">
        <f t="shared" si="0"/>
        <v>43</v>
      </c>
      <c r="P36" s="15">
        <f t="shared" si="1"/>
        <v>98</v>
      </c>
      <c r="R36" s="38" t="s">
        <v>92</v>
      </c>
      <c r="S36" s="39">
        <f t="shared" ref="S36:AF36" si="28">MAX(S19:S21)</f>
        <v>38</v>
      </c>
      <c r="T36" s="39">
        <f t="shared" si="28"/>
        <v>5</v>
      </c>
      <c r="U36" s="39">
        <f t="shared" si="28"/>
        <v>21</v>
      </c>
      <c r="V36" s="39">
        <f t="shared" si="28"/>
        <v>51</v>
      </c>
      <c r="W36" s="39">
        <f t="shared" si="28"/>
        <v>9</v>
      </c>
      <c r="X36" s="39">
        <f t="shared" si="28"/>
        <v>0</v>
      </c>
      <c r="Y36" s="39">
        <f t="shared" si="28"/>
        <v>19</v>
      </c>
      <c r="Z36" s="39">
        <f t="shared" si="28"/>
        <v>2</v>
      </c>
      <c r="AA36" s="39">
        <f t="shared" si="28"/>
        <v>1</v>
      </c>
      <c r="AB36" s="39">
        <f t="shared" si="28"/>
        <v>0</v>
      </c>
      <c r="AC36" s="39">
        <f t="shared" si="28"/>
        <v>181</v>
      </c>
      <c r="AD36" s="39">
        <f t="shared" si="28"/>
        <v>0</v>
      </c>
      <c r="AE36" s="40">
        <f t="shared" si="28"/>
        <v>138</v>
      </c>
      <c r="AF36" s="40">
        <f t="shared" si="28"/>
        <v>319</v>
      </c>
    </row>
    <row r="37" spans="2:32" ht="23.1" customHeight="1" x14ac:dyDescent="0.25">
      <c r="B37" s="45" t="s">
        <v>64</v>
      </c>
      <c r="C37" s="50">
        <v>11</v>
      </c>
      <c r="D37" s="50">
        <v>2</v>
      </c>
      <c r="E37" s="50">
        <v>5</v>
      </c>
      <c r="F37" s="50">
        <v>14</v>
      </c>
      <c r="G37" s="50">
        <v>2</v>
      </c>
      <c r="H37" s="50">
        <v>0</v>
      </c>
      <c r="I37" s="50">
        <v>4</v>
      </c>
      <c r="J37" s="50">
        <v>0</v>
      </c>
      <c r="K37" s="50">
        <v>0</v>
      </c>
      <c r="L37" s="50">
        <f>SUM('[1]RD4 MCC'!R609:U609)</f>
        <v>0</v>
      </c>
      <c r="M37" s="50">
        <v>50</v>
      </c>
      <c r="N37" s="50">
        <v>0</v>
      </c>
      <c r="O37" s="15">
        <f t="shared" si="0"/>
        <v>38</v>
      </c>
      <c r="P37" s="15">
        <f t="shared" si="1"/>
        <v>88</v>
      </c>
      <c r="R37" s="37" t="s">
        <v>85</v>
      </c>
      <c r="S37" s="35">
        <f t="shared" ref="S37:AF37" si="29">SUM(S10:S12)</f>
        <v>77</v>
      </c>
      <c r="T37" s="16">
        <f t="shared" si="29"/>
        <v>14</v>
      </c>
      <c r="U37" s="16">
        <f t="shared" si="29"/>
        <v>52</v>
      </c>
      <c r="V37" s="16">
        <f t="shared" si="29"/>
        <v>100</v>
      </c>
      <c r="W37" s="16">
        <f t="shared" si="29"/>
        <v>27</v>
      </c>
      <c r="X37" s="16">
        <f t="shared" si="29"/>
        <v>0</v>
      </c>
      <c r="Y37" s="16">
        <f t="shared" si="29"/>
        <v>26</v>
      </c>
      <c r="Z37" s="16">
        <f t="shared" si="29"/>
        <v>4</v>
      </c>
      <c r="AA37" s="16">
        <f t="shared" si="29"/>
        <v>0</v>
      </c>
      <c r="AB37" s="16">
        <f t="shared" si="29"/>
        <v>0</v>
      </c>
      <c r="AC37" s="16">
        <f t="shared" si="29"/>
        <v>311</v>
      </c>
      <c r="AD37" s="16">
        <f t="shared" si="29"/>
        <v>0</v>
      </c>
      <c r="AE37" s="32">
        <f t="shared" si="29"/>
        <v>300</v>
      </c>
      <c r="AF37" s="32">
        <f t="shared" si="29"/>
        <v>611</v>
      </c>
    </row>
    <row r="38" spans="2:32" ht="23.1" customHeight="1" x14ac:dyDescent="0.25">
      <c r="B38" s="46" t="s">
        <v>65</v>
      </c>
      <c r="C38" s="50">
        <v>15</v>
      </c>
      <c r="D38" s="50">
        <v>1</v>
      </c>
      <c r="E38" s="50">
        <v>4</v>
      </c>
      <c r="F38" s="50">
        <v>10</v>
      </c>
      <c r="G38" s="50">
        <v>2</v>
      </c>
      <c r="H38" s="50">
        <v>0</v>
      </c>
      <c r="I38" s="50">
        <v>4</v>
      </c>
      <c r="J38" s="50">
        <v>0</v>
      </c>
      <c r="K38" s="50">
        <v>1</v>
      </c>
      <c r="L38" s="50">
        <f>SUM('[1]RD4 MCC'!R610:U610)</f>
        <v>0</v>
      </c>
      <c r="M38" s="50">
        <v>52</v>
      </c>
      <c r="N38" s="50">
        <v>0</v>
      </c>
      <c r="O38" s="15">
        <f t="shared" si="0"/>
        <v>37</v>
      </c>
      <c r="P38" s="15">
        <f t="shared" si="1"/>
        <v>89</v>
      </c>
      <c r="R38" s="28" t="s">
        <v>86</v>
      </c>
      <c r="S38" s="16">
        <f t="shared" ref="S38:AF38" si="30">SUM(S13:S18)</f>
        <v>300</v>
      </c>
      <c r="T38" s="16">
        <f t="shared" si="30"/>
        <v>48</v>
      </c>
      <c r="U38" s="16">
        <f t="shared" si="30"/>
        <v>148</v>
      </c>
      <c r="V38" s="16">
        <f t="shared" si="30"/>
        <v>297</v>
      </c>
      <c r="W38" s="16">
        <f t="shared" si="30"/>
        <v>22</v>
      </c>
      <c r="X38" s="16">
        <f t="shared" si="30"/>
        <v>4</v>
      </c>
      <c r="Y38" s="16">
        <f t="shared" si="30"/>
        <v>91</v>
      </c>
      <c r="Z38" s="16">
        <f t="shared" si="30"/>
        <v>6</v>
      </c>
      <c r="AA38" s="16">
        <f t="shared" si="30"/>
        <v>3</v>
      </c>
      <c r="AB38" s="16">
        <f t="shared" si="30"/>
        <v>0</v>
      </c>
      <c r="AC38" s="16">
        <f t="shared" si="30"/>
        <v>1214</v>
      </c>
      <c r="AD38" s="16">
        <f t="shared" si="30"/>
        <v>0</v>
      </c>
      <c r="AE38" s="32">
        <f t="shared" si="30"/>
        <v>919</v>
      </c>
      <c r="AF38" s="32">
        <f t="shared" si="30"/>
        <v>2133</v>
      </c>
    </row>
    <row r="39" spans="2:32" ht="23.1" customHeight="1" x14ac:dyDescent="0.25">
      <c r="B39" s="46" t="s">
        <v>66</v>
      </c>
      <c r="C39" s="50">
        <v>14</v>
      </c>
      <c r="D39" s="50">
        <v>2</v>
      </c>
      <c r="E39" s="50">
        <v>6</v>
      </c>
      <c r="F39" s="50">
        <v>10</v>
      </c>
      <c r="G39" s="50">
        <v>0</v>
      </c>
      <c r="H39" s="50">
        <v>0</v>
      </c>
      <c r="I39" s="50">
        <v>5</v>
      </c>
      <c r="J39" s="50">
        <v>0</v>
      </c>
      <c r="K39" s="50">
        <v>0</v>
      </c>
      <c r="L39" s="50">
        <f>SUM('[1]RD4 MCC'!R611:U611)</f>
        <v>0</v>
      </c>
      <c r="M39" s="50">
        <v>63</v>
      </c>
      <c r="N39" s="50">
        <v>0</v>
      </c>
      <c r="O39" s="15">
        <f t="shared" si="0"/>
        <v>37</v>
      </c>
      <c r="P39" s="15">
        <f t="shared" si="1"/>
        <v>100</v>
      </c>
      <c r="R39" s="29" t="s">
        <v>87</v>
      </c>
      <c r="S39" s="16">
        <f t="shared" ref="S39:AF39" si="31">SUM(S19:S21)</f>
        <v>86</v>
      </c>
      <c r="T39" s="16">
        <f t="shared" si="31"/>
        <v>11</v>
      </c>
      <c r="U39" s="16">
        <f t="shared" si="31"/>
        <v>52</v>
      </c>
      <c r="V39" s="16">
        <f t="shared" si="31"/>
        <v>134</v>
      </c>
      <c r="W39" s="16">
        <f t="shared" si="31"/>
        <v>14</v>
      </c>
      <c r="X39" s="16">
        <f t="shared" si="31"/>
        <v>0</v>
      </c>
      <c r="Y39" s="16">
        <f t="shared" si="31"/>
        <v>47</v>
      </c>
      <c r="Z39" s="16">
        <f t="shared" si="31"/>
        <v>3</v>
      </c>
      <c r="AA39" s="16">
        <f t="shared" si="31"/>
        <v>1</v>
      </c>
      <c r="AB39" s="16">
        <f t="shared" si="31"/>
        <v>0</v>
      </c>
      <c r="AC39" s="16">
        <f t="shared" si="31"/>
        <v>459</v>
      </c>
      <c r="AD39" s="16">
        <f t="shared" si="31"/>
        <v>0</v>
      </c>
      <c r="AE39" s="32">
        <f t="shared" si="31"/>
        <v>348</v>
      </c>
      <c r="AF39" s="32">
        <f t="shared" si="31"/>
        <v>807</v>
      </c>
    </row>
    <row r="40" spans="2:32" ht="23.1" customHeight="1" x14ac:dyDescent="0.25">
      <c r="B40" s="46" t="s">
        <v>67</v>
      </c>
      <c r="C40" s="50">
        <v>8</v>
      </c>
      <c r="D40" s="50">
        <v>3</v>
      </c>
      <c r="E40" s="50">
        <v>7</v>
      </c>
      <c r="F40" s="50">
        <v>13</v>
      </c>
      <c r="G40" s="50">
        <v>1</v>
      </c>
      <c r="H40" s="50">
        <v>0</v>
      </c>
      <c r="I40" s="50">
        <v>5</v>
      </c>
      <c r="J40" s="50">
        <v>0</v>
      </c>
      <c r="K40" s="50">
        <v>0</v>
      </c>
      <c r="L40" s="50">
        <f>SUM('[1]RD4 MCC'!R612:U612)</f>
        <v>0</v>
      </c>
      <c r="M40" s="50">
        <v>60</v>
      </c>
      <c r="N40" s="50">
        <v>0</v>
      </c>
      <c r="O40" s="15">
        <f t="shared" si="0"/>
        <v>37</v>
      </c>
      <c r="P40" s="15">
        <f t="shared" si="1"/>
        <v>97</v>
      </c>
      <c r="R40" s="5" t="s">
        <v>17</v>
      </c>
      <c r="S40" s="16">
        <f t="shared" ref="S40:AF40" si="32">SUM(S10:S21)</f>
        <v>463</v>
      </c>
      <c r="T40" s="16">
        <f t="shared" si="32"/>
        <v>73</v>
      </c>
      <c r="U40" s="16">
        <f t="shared" si="32"/>
        <v>252</v>
      </c>
      <c r="V40" s="16">
        <f t="shared" si="32"/>
        <v>531</v>
      </c>
      <c r="W40" s="16">
        <f t="shared" si="32"/>
        <v>63</v>
      </c>
      <c r="X40" s="16">
        <f t="shared" si="32"/>
        <v>4</v>
      </c>
      <c r="Y40" s="16">
        <f t="shared" si="32"/>
        <v>164</v>
      </c>
      <c r="Z40" s="16">
        <f t="shared" si="32"/>
        <v>13</v>
      </c>
      <c r="AA40" s="16">
        <f t="shared" si="32"/>
        <v>4</v>
      </c>
      <c r="AB40" s="16">
        <f t="shared" si="32"/>
        <v>0</v>
      </c>
      <c r="AC40" s="16">
        <f t="shared" si="32"/>
        <v>1984</v>
      </c>
      <c r="AD40" s="16">
        <f t="shared" si="32"/>
        <v>0</v>
      </c>
      <c r="AE40" s="32">
        <f t="shared" si="32"/>
        <v>1567</v>
      </c>
      <c r="AF40" s="32">
        <f t="shared" si="32"/>
        <v>3551</v>
      </c>
    </row>
    <row r="41" spans="2:32" ht="23.1" customHeight="1" x14ac:dyDescent="0.25">
      <c r="B41" s="45" t="s">
        <v>68</v>
      </c>
      <c r="C41" s="50">
        <v>16</v>
      </c>
      <c r="D41" s="50">
        <v>2</v>
      </c>
      <c r="E41" s="50">
        <v>7</v>
      </c>
      <c r="F41" s="50">
        <v>15</v>
      </c>
      <c r="G41" s="50">
        <v>3</v>
      </c>
      <c r="H41" s="50">
        <v>0</v>
      </c>
      <c r="I41" s="50">
        <v>4</v>
      </c>
      <c r="J41" s="50">
        <v>0</v>
      </c>
      <c r="K41" s="50">
        <v>0</v>
      </c>
      <c r="L41" s="50">
        <f>SUM('[1]RD4 MCC'!R613:U613)</f>
        <v>0</v>
      </c>
      <c r="M41" s="50">
        <v>52</v>
      </c>
      <c r="N41" s="50">
        <v>0</v>
      </c>
      <c r="O41" s="15">
        <f t="shared" si="0"/>
        <v>47</v>
      </c>
      <c r="P41" s="15">
        <f t="shared" si="1"/>
        <v>99</v>
      </c>
      <c r="R41" s="5" t="s">
        <v>159</v>
      </c>
      <c r="S41" s="16">
        <f>SUM(S10:S33)</f>
        <v>593</v>
      </c>
      <c r="T41" s="16">
        <f t="shared" ref="T41:AF41" si="33">SUM(T10:T33)</f>
        <v>83</v>
      </c>
      <c r="U41" s="16">
        <f t="shared" si="33"/>
        <v>314</v>
      </c>
      <c r="V41" s="16">
        <f t="shared" si="33"/>
        <v>667</v>
      </c>
      <c r="W41" s="16">
        <f t="shared" si="33"/>
        <v>115</v>
      </c>
      <c r="X41" s="16">
        <f t="shared" si="33"/>
        <v>5</v>
      </c>
      <c r="Y41" s="16">
        <f t="shared" si="33"/>
        <v>213</v>
      </c>
      <c r="Z41" s="16">
        <f t="shared" si="33"/>
        <v>21</v>
      </c>
      <c r="AA41" s="16">
        <f t="shared" si="33"/>
        <v>5</v>
      </c>
      <c r="AB41" s="16">
        <f t="shared" si="33"/>
        <v>0</v>
      </c>
      <c r="AC41" s="16">
        <f t="shared" si="33"/>
        <v>2496</v>
      </c>
      <c r="AD41" s="16">
        <f t="shared" si="33"/>
        <v>0</v>
      </c>
      <c r="AE41" s="32">
        <f t="shared" si="33"/>
        <v>2016</v>
      </c>
      <c r="AF41" s="32">
        <f t="shared" si="33"/>
        <v>4512</v>
      </c>
    </row>
    <row r="42" spans="2:32" ht="23.1" customHeight="1" x14ac:dyDescent="0.25">
      <c r="B42" s="46" t="s">
        <v>69</v>
      </c>
      <c r="C42" s="50">
        <v>1</v>
      </c>
      <c r="D42" s="50">
        <v>2</v>
      </c>
      <c r="E42" s="50">
        <v>6</v>
      </c>
      <c r="F42" s="50">
        <v>9</v>
      </c>
      <c r="G42" s="50">
        <v>2</v>
      </c>
      <c r="H42" s="50">
        <v>1</v>
      </c>
      <c r="I42" s="50">
        <v>4</v>
      </c>
      <c r="J42" s="50">
        <v>1</v>
      </c>
      <c r="K42" s="50">
        <v>0</v>
      </c>
      <c r="L42" s="50">
        <f>SUM('[1]RD4 MCC'!R614:U614)</f>
        <v>0</v>
      </c>
      <c r="M42" s="50">
        <v>46</v>
      </c>
      <c r="N42" s="50">
        <v>0</v>
      </c>
      <c r="O42" s="15">
        <f t="shared" si="0"/>
        <v>26</v>
      </c>
      <c r="P42" s="15">
        <f t="shared" si="1"/>
        <v>72</v>
      </c>
      <c r="R42" s="5" t="s">
        <v>160</v>
      </c>
      <c r="S42" s="48">
        <f>S41/S40</f>
        <v>1.2807775377969763</v>
      </c>
      <c r="T42" s="48">
        <f t="shared" ref="T42:AF42" si="34">T41/T40</f>
        <v>1.1369863013698631</v>
      </c>
      <c r="U42" s="48">
        <f t="shared" si="34"/>
        <v>1.246031746031746</v>
      </c>
      <c r="V42" s="48">
        <f t="shared" si="34"/>
        <v>1.256120527306968</v>
      </c>
      <c r="W42" s="48">
        <f t="shared" si="34"/>
        <v>1.8253968253968254</v>
      </c>
      <c r="X42" s="48">
        <f t="shared" si="34"/>
        <v>1.25</v>
      </c>
      <c r="Y42" s="48">
        <f t="shared" si="34"/>
        <v>1.2987804878048781</v>
      </c>
      <c r="Z42" s="48">
        <f t="shared" si="34"/>
        <v>1.6153846153846154</v>
      </c>
      <c r="AA42" s="48">
        <f t="shared" si="34"/>
        <v>1.25</v>
      </c>
      <c r="AB42" s="48" t="e">
        <f t="shared" si="34"/>
        <v>#DIV/0!</v>
      </c>
      <c r="AC42" s="48">
        <f t="shared" si="34"/>
        <v>1.2580645161290323</v>
      </c>
      <c r="AD42" s="48" t="e">
        <f t="shared" si="34"/>
        <v>#DIV/0!</v>
      </c>
      <c r="AE42" s="48">
        <f t="shared" si="34"/>
        <v>1.2865347798340778</v>
      </c>
      <c r="AF42" s="48">
        <f t="shared" si="34"/>
        <v>1.2706279921148973</v>
      </c>
    </row>
    <row r="43" spans="2:32" ht="23.1" customHeight="1" x14ac:dyDescent="0.25">
      <c r="B43" s="45" t="s">
        <v>70</v>
      </c>
      <c r="C43" s="50">
        <v>14</v>
      </c>
      <c r="D43" s="50">
        <v>3</v>
      </c>
      <c r="E43" s="50">
        <v>9</v>
      </c>
      <c r="F43" s="50">
        <v>21</v>
      </c>
      <c r="G43" s="50">
        <v>0</v>
      </c>
      <c r="H43" s="50">
        <v>1</v>
      </c>
      <c r="I43" s="50">
        <v>4</v>
      </c>
      <c r="J43" s="50">
        <v>0</v>
      </c>
      <c r="K43" s="50">
        <v>0</v>
      </c>
      <c r="L43" s="50">
        <f>SUM('[1]RD4 MCC'!R615:U615)</f>
        <v>0</v>
      </c>
      <c r="M43" s="50">
        <v>53</v>
      </c>
      <c r="N43" s="50">
        <v>0</v>
      </c>
      <c r="O43" s="15">
        <f t="shared" si="0"/>
        <v>52</v>
      </c>
      <c r="P43" s="15">
        <f t="shared" si="1"/>
        <v>105</v>
      </c>
    </row>
    <row r="44" spans="2:32" ht="23.1" customHeight="1" x14ac:dyDescent="0.25">
      <c r="B44" s="47" t="s">
        <v>71</v>
      </c>
      <c r="C44" s="50">
        <v>12</v>
      </c>
      <c r="D44" s="50">
        <v>2</v>
      </c>
      <c r="E44" s="50">
        <v>5</v>
      </c>
      <c r="F44" s="50">
        <v>12</v>
      </c>
      <c r="G44" s="50">
        <v>0</v>
      </c>
      <c r="H44" s="50">
        <v>0</v>
      </c>
      <c r="I44" s="50">
        <v>1</v>
      </c>
      <c r="J44" s="50">
        <v>0</v>
      </c>
      <c r="K44" s="50">
        <v>1</v>
      </c>
      <c r="L44" s="50">
        <f>SUM('[1]RD4 MCC'!R616:U616)</f>
        <v>0</v>
      </c>
      <c r="M44" s="50">
        <v>37</v>
      </c>
      <c r="N44" s="50">
        <v>0</v>
      </c>
      <c r="O44" s="15">
        <f t="shared" si="0"/>
        <v>33</v>
      </c>
      <c r="P44" s="15">
        <f t="shared" si="1"/>
        <v>70</v>
      </c>
    </row>
    <row r="45" spans="2:32" ht="23.1" customHeight="1" x14ac:dyDescent="0.25">
      <c r="B45" s="45" t="s">
        <v>72</v>
      </c>
      <c r="C45" s="50">
        <v>13</v>
      </c>
      <c r="D45" s="50">
        <v>0</v>
      </c>
      <c r="E45" s="50">
        <v>1</v>
      </c>
      <c r="F45" s="50">
        <v>7</v>
      </c>
      <c r="G45" s="50">
        <v>1</v>
      </c>
      <c r="H45" s="50">
        <v>0</v>
      </c>
      <c r="I45" s="50">
        <v>6</v>
      </c>
      <c r="J45" s="50">
        <v>2</v>
      </c>
      <c r="K45" s="50">
        <v>0</v>
      </c>
      <c r="L45" s="50">
        <f>SUM('[1]RD4 MCC'!R617:U617)</f>
        <v>0</v>
      </c>
      <c r="M45" s="50">
        <v>49</v>
      </c>
      <c r="N45" s="50">
        <v>0</v>
      </c>
      <c r="O45" s="15">
        <f t="shared" si="0"/>
        <v>30</v>
      </c>
      <c r="P45" s="15">
        <f t="shared" si="1"/>
        <v>79</v>
      </c>
    </row>
    <row r="46" spans="2:32" ht="23.1" customHeight="1" x14ac:dyDescent="0.25">
      <c r="B46" s="46" t="s">
        <v>73</v>
      </c>
      <c r="C46" s="50">
        <v>11</v>
      </c>
      <c r="D46" s="50">
        <v>3</v>
      </c>
      <c r="E46" s="50">
        <v>8</v>
      </c>
      <c r="F46" s="50">
        <v>11</v>
      </c>
      <c r="G46" s="50">
        <v>1</v>
      </c>
      <c r="H46" s="50">
        <v>0</v>
      </c>
      <c r="I46" s="50">
        <v>2</v>
      </c>
      <c r="J46" s="50">
        <v>1</v>
      </c>
      <c r="K46" s="50">
        <v>0</v>
      </c>
      <c r="L46" s="50">
        <f>SUM('[1]RD4 MCC'!R618:U618)</f>
        <v>0</v>
      </c>
      <c r="M46" s="50">
        <v>50</v>
      </c>
      <c r="N46" s="50">
        <v>0</v>
      </c>
      <c r="O46" s="15">
        <f t="shared" si="0"/>
        <v>37</v>
      </c>
      <c r="P46" s="15">
        <f t="shared" si="1"/>
        <v>87</v>
      </c>
      <c r="R46" s="8"/>
      <c r="T46"/>
    </row>
    <row r="47" spans="2:32" ht="23.1" customHeight="1" x14ac:dyDescent="0.25">
      <c r="B47" s="46" t="s">
        <v>74</v>
      </c>
      <c r="C47" s="50">
        <v>9</v>
      </c>
      <c r="D47" s="50">
        <v>0</v>
      </c>
      <c r="E47" s="50">
        <v>3</v>
      </c>
      <c r="F47" s="50">
        <v>14</v>
      </c>
      <c r="G47" s="50">
        <v>1</v>
      </c>
      <c r="H47" s="50">
        <v>0</v>
      </c>
      <c r="I47" s="50">
        <v>4</v>
      </c>
      <c r="J47" s="50">
        <v>0</v>
      </c>
      <c r="K47" s="50">
        <v>0</v>
      </c>
      <c r="L47" s="50">
        <f>SUM('[1]RD4 MCC'!R619:U619)</f>
        <v>0</v>
      </c>
      <c r="M47" s="50">
        <v>50</v>
      </c>
      <c r="N47" s="50">
        <v>0</v>
      </c>
      <c r="O47" s="15">
        <f t="shared" si="0"/>
        <v>31</v>
      </c>
      <c r="P47" s="15">
        <f t="shared" si="1"/>
        <v>81</v>
      </c>
      <c r="R47" s="8"/>
      <c r="T47"/>
    </row>
    <row r="48" spans="2:32" ht="23.1" customHeight="1" x14ac:dyDescent="0.25">
      <c r="B48" s="46" t="s">
        <v>75</v>
      </c>
      <c r="C48" s="50">
        <v>12</v>
      </c>
      <c r="D48" s="50">
        <v>1</v>
      </c>
      <c r="E48" s="50">
        <v>5</v>
      </c>
      <c r="F48" s="50">
        <v>13</v>
      </c>
      <c r="G48" s="50">
        <v>1</v>
      </c>
      <c r="H48" s="50">
        <v>0</v>
      </c>
      <c r="I48" s="50">
        <v>5</v>
      </c>
      <c r="J48" s="50">
        <v>0</v>
      </c>
      <c r="K48" s="50">
        <v>0</v>
      </c>
      <c r="L48" s="50">
        <f>SUM('[1]RD4 MCC'!R620:U620)</f>
        <v>0</v>
      </c>
      <c r="M48" s="50">
        <v>46</v>
      </c>
      <c r="N48" s="50">
        <v>0</v>
      </c>
      <c r="O48" s="15">
        <f t="shared" si="0"/>
        <v>37</v>
      </c>
      <c r="P48" s="15">
        <f t="shared" si="1"/>
        <v>83</v>
      </c>
      <c r="R48" s="8"/>
      <c r="T48"/>
    </row>
    <row r="49" spans="2:20" ht="23.1" customHeight="1" x14ac:dyDescent="0.25">
      <c r="B49" s="45" t="s">
        <v>76</v>
      </c>
      <c r="C49" s="50">
        <v>6</v>
      </c>
      <c r="D49" s="50">
        <v>1</v>
      </c>
      <c r="E49" s="50">
        <v>5</v>
      </c>
      <c r="F49" s="50">
        <v>13</v>
      </c>
      <c r="G49" s="50">
        <v>0</v>
      </c>
      <c r="H49" s="50">
        <v>0</v>
      </c>
      <c r="I49" s="50">
        <v>8</v>
      </c>
      <c r="J49" s="50">
        <v>0</v>
      </c>
      <c r="K49" s="50">
        <v>0</v>
      </c>
      <c r="L49" s="50">
        <f>SUM('[1]RD4 MCC'!R621:U621)</f>
        <v>0</v>
      </c>
      <c r="M49" s="50">
        <v>35</v>
      </c>
      <c r="N49" s="50">
        <v>0</v>
      </c>
      <c r="O49" s="15">
        <f t="shared" si="0"/>
        <v>33</v>
      </c>
      <c r="P49" s="15">
        <f t="shared" si="1"/>
        <v>68</v>
      </c>
      <c r="R49" s="8"/>
      <c r="T49"/>
    </row>
    <row r="50" spans="2:20" ht="23.1" customHeight="1" x14ac:dyDescent="0.25">
      <c r="B50" s="46" t="s">
        <v>77</v>
      </c>
      <c r="C50" s="50">
        <v>4</v>
      </c>
      <c r="D50" s="50">
        <v>0</v>
      </c>
      <c r="E50" s="50">
        <v>3</v>
      </c>
      <c r="F50" s="50">
        <v>6</v>
      </c>
      <c r="G50" s="50">
        <v>1</v>
      </c>
      <c r="H50" s="50">
        <v>0</v>
      </c>
      <c r="I50" s="50">
        <v>3</v>
      </c>
      <c r="J50" s="50">
        <v>0</v>
      </c>
      <c r="K50" s="50">
        <v>1</v>
      </c>
      <c r="L50" s="50">
        <f>SUM('[1]RD4 MCC'!R622:U622)</f>
        <v>0</v>
      </c>
      <c r="M50" s="50">
        <v>36</v>
      </c>
      <c r="N50" s="50">
        <v>0</v>
      </c>
      <c r="O50" s="15">
        <f t="shared" si="0"/>
        <v>18</v>
      </c>
      <c r="P50" s="15">
        <f t="shared" si="1"/>
        <v>54</v>
      </c>
      <c r="R50" s="8"/>
      <c r="T50"/>
    </row>
    <row r="51" spans="2:20" ht="23.1" customHeight="1" x14ac:dyDescent="0.25">
      <c r="B51" s="46" t="s">
        <v>78</v>
      </c>
      <c r="C51" s="50">
        <v>7</v>
      </c>
      <c r="D51" s="50">
        <v>1</v>
      </c>
      <c r="E51" s="50">
        <v>3</v>
      </c>
      <c r="F51" s="50">
        <v>12</v>
      </c>
      <c r="G51" s="50">
        <v>0</v>
      </c>
      <c r="H51" s="50">
        <v>0</v>
      </c>
      <c r="I51" s="50">
        <v>5</v>
      </c>
      <c r="J51" s="50">
        <v>0</v>
      </c>
      <c r="K51" s="50">
        <v>0</v>
      </c>
      <c r="L51" s="50">
        <f>SUM('[1]RD4 MCC'!R623:U623)</f>
        <v>0</v>
      </c>
      <c r="M51" s="50">
        <v>57</v>
      </c>
      <c r="N51" s="50">
        <v>0</v>
      </c>
      <c r="O51" s="15">
        <f t="shared" si="0"/>
        <v>28</v>
      </c>
      <c r="P51" s="15">
        <f t="shared" si="1"/>
        <v>85</v>
      </c>
      <c r="R51" s="8"/>
      <c r="T51"/>
    </row>
    <row r="52" spans="2:20" ht="23.1" customHeight="1" x14ac:dyDescent="0.25">
      <c r="B52" s="46" t="s">
        <v>79</v>
      </c>
      <c r="C52" s="50">
        <v>4</v>
      </c>
      <c r="D52" s="50">
        <v>1</v>
      </c>
      <c r="E52" s="50">
        <v>4</v>
      </c>
      <c r="F52" s="50">
        <v>14</v>
      </c>
      <c r="G52" s="50">
        <v>0</v>
      </c>
      <c r="H52" s="50">
        <v>0</v>
      </c>
      <c r="I52" s="50">
        <v>4</v>
      </c>
      <c r="J52" s="50">
        <v>0</v>
      </c>
      <c r="K52" s="50">
        <v>0</v>
      </c>
      <c r="L52" s="50">
        <f>SUM('[1]RD4 MCC'!R624:U624)</f>
        <v>0</v>
      </c>
      <c r="M52" s="50">
        <v>54</v>
      </c>
      <c r="N52" s="50">
        <v>0</v>
      </c>
      <c r="O52" s="15">
        <f t="shared" si="0"/>
        <v>27</v>
      </c>
      <c r="P52" s="15">
        <f t="shared" si="1"/>
        <v>81</v>
      </c>
      <c r="R52" s="8"/>
      <c r="T52"/>
    </row>
    <row r="53" spans="2:20" ht="23.1" customHeight="1" x14ac:dyDescent="0.25">
      <c r="B53" s="45" t="s">
        <v>80</v>
      </c>
      <c r="C53" s="50">
        <v>6</v>
      </c>
      <c r="D53" s="50">
        <v>0</v>
      </c>
      <c r="E53" s="50">
        <v>3</v>
      </c>
      <c r="F53" s="50">
        <v>10</v>
      </c>
      <c r="G53" s="50">
        <v>1</v>
      </c>
      <c r="H53" s="50">
        <v>0</v>
      </c>
      <c r="I53" s="50">
        <v>6</v>
      </c>
      <c r="J53" s="50">
        <v>2</v>
      </c>
      <c r="K53" s="50">
        <v>0</v>
      </c>
      <c r="L53" s="50">
        <f>SUM('[1]RD4 MCC'!R625:U625)</f>
        <v>0</v>
      </c>
      <c r="M53" s="50">
        <v>24</v>
      </c>
      <c r="N53" s="50">
        <v>0</v>
      </c>
      <c r="O53" s="15">
        <f t="shared" si="0"/>
        <v>28</v>
      </c>
      <c r="P53" s="15">
        <f t="shared" si="1"/>
        <v>52</v>
      </c>
      <c r="R53" s="8"/>
      <c r="T53"/>
    </row>
    <row r="54" spans="2:20" ht="23.1" customHeight="1" x14ac:dyDescent="0.25">
      <c r="B54" s="45" t="s">
        <v>81</v>
      </c>
      <c r="C54" s="50">
        <v>9</v>
      </c>
      <c r="D54" s="50">
        <v>2</v>
      </c>
      <c r="E54" s="50">
        <v>6</v>
      </c>
      <c r="F54" s="50">
        <v>13</v>
      </c>
      <c r="G54" s="50">
        <v>1</v>
      </c>
      <c r="H54" s="50">
        <v>0</v>
      </c>
      <c r="I54" s="50">
        <v>3</v>
      </c>
      <c r="J54" s="50">
        <v>0</v>
      </c>
      <c r="K54" s="50">
        <v>0</v>
      </c>
      <c r="L54" s="50">
        <f>SUM('[1]RD4 MCC'!R626:U626)</f>
        <v>0</v>
      </c>
      <c r="M54" s="50">
        <v>8</v>
      </c>
      <c r="N54" s="50">
        <v>0</v>
      </c>
      <c r="O54" s="15">
        <f t="shared" si="0"/>
        <v>34</v>
      </c>
      <c r="P54" s="15">
        <f t="shared" si="1"/>
        <v>42</v>
      </c>
      <c r="R54" s="8"/>
      <c r="T54"/>
    </row>
    <row r="55" spans="2:20" ht="23.1" customHeight="1" x14ac:dyDescent="0.25">
      <c r="B55" s="45" t="s">
        <v>82</v>
      </c>
      <c r="C55" s="50">
        <v>3</v>
      </c>
      <c r="D55" s="50">
        <v>1</v>
      </c>
      <c r="E55" s="50">
        <v>5</v>
      </c>
      <c r="F55" s="50">
        <v>8</v>
      </c>
      <c r="G55" s="50">
        <v>2</v>
      </c>
      <c r="H55" s="50">
        <v>0</v>
      </c>
      <c r="I55" s="50">
        <v>5</v>
      </c>
      <c r="J55" s="50">
        <v>0</v>
      </c>
      <c r="K55" s="50">
        <v>0</v>
      </c>
      <c r="L55" s="50">
        <f>SUM('[1]RD4 MCC'!R627:U627)</f>
        <v>0</v>
      </c>
      <c r="M55" s="50">
        <v>11</v>
      </c>
      <c r="N55" s="50">
        <v>0</v>
      </c>
      <c r="O55" s="15">
        <f t="shared" si="0"/>
        <v>24</v>
      </c>
      <c r="P55" s="15">
        <f t="shared" si="1"/>
        <v>35</v>
      </c>
      <c r="R55" s="8"/>
      <c r="T55"/>
    </row>
    <row r="56" spans="2:20" ht="23.1" customHeight="1" x14ac:dyDescent="0.25">
      <c r="B56" s="45" t="s">
        <v>83</v>
      </c>
      <c r="C56" s="50">
        <v>9</v>
      </c>
      <c r="D56" s="50">
        <v>1</v>
      </c>
      <c r="E56" s="50">
        <v>5</v>
      </c>
      <c r="F56" s="50">
        <v>12</v>
      </c>
      <c r="G56" s="50">
        <v>3</v>
      </c>
      <c r="H56" s="50">
        <v>0</v>
      </c>
      <c r="I56" s="50">
        <v>1</v>
      </c>
      <c r="J56" s="50">
        <v>0</v>
      </c>
      <c r="K56" s="50">
        <v>0</v>
      </c>
      <c r="L56" s="50">
        <f>SUM('[1]RD4 MCC'!R628:U628)</f>
        <v>0</v>
      </c>
      <c r="M56" s="50">
        <v>27</v>
      </c>
      <c r="N56" s="50">
        <v>0</v>
      </c>
      <c r="O56" s="15">
        <f t="shared" si="0"/>
        <v>31</v>
      </c>
      <c r="P56" s="15">
        <f t="shared" si="1"/>
        <v>58</v>
      </c>
      <c r="R56" s="8"/>
      <c r="T56"/>
    </row>
    <row r="57" spans="2:20" ht="23.1" customHeight="1" x14ac:dyDescent="0.25">
      <c r="B57" s="45" t="s">
        <v>84</v>
      </c>
      <c r="C57" s="50">
        <v>6</v>
      </c>
      <c r="D57" s="50">
        <v>0</v>
      </c>
      <c r="E57" s="50">
        <v>2</v>
      </c>
      <c r="F57" s="50">
        <v>8</v>
      </c>
      <c r="G57" s="50">
        <v>3</v>
      </c>
      <c r="H57" s="50">
        <v>0</v>
      </c>
      <c r="I57" s="50">
        <v>1</v>
      </c>
      <c r="J57" s="50">
        <v>0</v>
      </c>
      <c r="K57" s="50">
        <v>0</v>
      </c>
      <c r="L57" s="50">
        <f>SUM('[1]RD4 MCC'!R629:U629)</f>
        <v>0</v>
      </c>
      <c r="M57" s="50">
        <v>61</v>
      </c>
      <c r="N57" s="50">
        <v>0</v>
      </c>
      <c r="O57" s="15">
        <f t="shared" si="0"/>
        <v>20</v>
      </c>
      <c r="P57" s="15">
        <f t="shared" si="1"/>
        <v>81</v>
      </c>
      <c r="R57" s="8"/>
      <c r="T57"/>
    </row>
    <row r="58" spans="2:20" ht="23.1" customHeight="1" x14ac:dyDescent="0.25">
      <c r="B58" s="45" t="s">
        <v>99</v>
      </c>
      <c r="C58" s="50">
        <v>12</v>
      </c>
      <c r="D58" s="50">
        <v>1</v>
      </c>
      <c r="E58" s="50">
        <v>5</v>
      </c>
      <c r="F58" s="50">
        <v>16</v>
      </c>
      <c r="G58" s="50">
        <v>4</v>
      </c>
      <c r="H58" s="50">
        <v>0</v>
      </c>
      <c r="I58" s="50">
        <v>0</v>
      </c>
      <c r="J58" s="50">
        <v>2</v>
      </c>
      <c r="K58" s="50">
        <v>0</v>
      </c>
      <c r="L58" s="50">
        <f>SUM('[1]RD4 MCC'!R630:U630)</f>
        <v>0</v>
      </c>
      <c r="M58" s="50">
        <v>32</v>
      </c>
      <c r="N58" s="50">
        <v>0</v>
      </c>
      <c r="O58" s="15">
        <f t="shared" si="0"/>
        <v>40</v>
      </c>
      <c r="P58" s="15">
        <f t="shared" si="1"/>
        <v>72</v>
      </c>
      <c r="R58" s="8"/>
      <c r="T58"/>
    </row>
    <row r="59" spans="2:20" ht="23.1" customHeight="1" x14ac:dyDescent="0.25">
      <c r="B59" s="45" t="s">
        <v>100</v>
      </c>
      <c r="C59" s="50">
        <v>12</v>
      </c>
      <c r="D59" s="50">
        <v>1</v>
      </c>
      <c r="E59" s="50">
        <v>4</v>
      </c>
      <c r="F59" s="50">
        <v>10</v>
      </c>
      <c r="G59" s="50">
        <v>3</v>
      </c>
      <c r="H59" s="50">
        <v>0</v>
      </c>
      <c r="I59" s="50">
        <v>4</v>
      </c>
      <c r="J59" s="50">
        <v>0</v>
      </c>
      <c r="K59" s="50">
        <v>0</v>
      </c>
      <c r="L59" s="50">
        <f>SUM('[1]RD4 MCC'!R631:U631)</f>
        <v>0</v>
      </c>
      <c r="M59" s="50">
        <v>62</v>
      </c>
      <c r="N59" s="50">
        <v>0</v>
      </c>
      <c r="O59" s="15">
        <f t="shared" si="0"/>
        <v>34</v>
      </c>
      <c r="P59" s="15">
        <f t="shared" si="1"/>
        <v>96</v>
      </c>
      <c r="R59" s="8"/>
      <c r="T59"/>
    </row>
    <row r="60" spans="2:20" ht="23.1" customHeight="1" x14ac:dyDescent="0.25">
      <c r="B60" s="45" t="s">
        <v>101</v>
      </c>
      <c r="C60" s="50">
        <v>10</v>
      </c>
      <c r="D60" s="50">
        <v>3</v>
      </c>
      <c r="E60" s="50">
        <v>8</v>
      </c>
      <c r="F60" s="50">
        <v>8</v>
      </c>
      <c r="G60" s="50">
        <v>10</v>
      </c>
      <c r="H60" s="50">
        <v>0</v>
      </c>
      <c r="I60" s="50">
        <v>2</v>
      </c>
      <c r="J60" s="50">
        <v>0</v>
      </c>
      <c r="K60" s="50">
        <v>0</v>
      </c>
      <c r="L60" s="50">
        <f>SUM('[1]RD4 MCC'!R632:U632)</f>
        <v>0</v>
      </c>
      <c r="M60" s="50">
        <v>45</v>
      </c>
      <c r="N60" s="50">
        <v>0</v>
      </c>
      <c r="O60" s="15">
        <f t="shared" si="0"/>
        <v>41</v>
      </c>
      <c r="P60" s="15">
        <f t="shared" si="1"/>
        <v>86</v>
      </c>
      <c r="R60" s="8"/>
      <c r="T60"/>
    </row>
    <row r="61" spans="2:20" ht="23.1" customHeight="1" x14ac:dyDescent="0.25">
      <c r="B61" s="45" t="s">
        <v>102</v>
      </c>
      <c r="C61" s="50">
        <v>7</v>
      </c>
      <c r="D61" s="50">
        <v>0</v>
      </c>
      <c r="E61" s="50">
        <v>2</v>
      </c>
      <c r="F61" s="50">
        <v>7</v>
      </c>
      <c r="G61" s="50">
        <v>2</v>
      </c>
      <c r="H61" s="50">
        <v>0</v>
      </c>
      <c r="I61" s="50">
        <v>6</v>
      </c>
      <c r="J61" s="50">
        <v>0</v>
      </c>
      <c r="K61" s="50">
        <v>0</v>
      </c>
      <c r="L61" s="50">
        <f>SUM('[1]RD4 MCC'!R633:U633)</f>
        <v>0</v>
      </c>
      <c r="M61" s="50">
        <v>58</v>
      </c>
      <c r="N61" s="50">
        <v>0</v>
      </c>
      <c r="O61" s="15">
        <f t="shared" si="0"/>
        <v>24</v>
      </c>
      <c r="P61" s="15">
        <f t="shared" si="1"/>
        <v>82</v>
      </c>
      <c r="R61" s="8"/>
      <c r="T61"/>
    </row>
    <row r="62" spans="2:20" ht="23.1" customHeight="1" x14ac:dyDescent="0.25">
      <c r="B62" s="45" t="s">
        <v>107</v>
      </c>
      <c r="C62" s="50">
        <v>9</v>
      </c>
      <c r="D62" s="50">
        <v>0</v>
      </c>
      <c r="E62" s="50">
        <v>2</v>
      </c>
      <c r="F62" s="50">
        <v>8</v>
      </c>
      <c r="G62" s="50">
        <v>7</v>
      </c>
      <c r="H62" s="50">
        <v>0</v>
      </c>
      <c r="I62" s="50">
        <v>1</v>
      </c>
      <c r="J62" s="50">
        <v>0</v>
      </c>
      <c r="K62" s="50">
        <v>0</v>
      </c>
      <c r="L62" s="50">
        <f>SUM('[1]RD4 MCC'!R634:U634)</f>
        <v>0</v>
      </c>
      <c r="M62" s="50">
        <v>35</v>
      </c>
      <c r="N62" s="50">
        <v>0</v>
      </c>
      <c r="O62" s="15">
        <f t="shared" si="0"/>
        <v>27</v>
      </c>
      <c r="P62" s="15">
        <f t="shared" si="1"/>
        <v>62</v>
      </c>
      <c r="R62" s="8"/>
      <c r="T62"/>
    </row>
    <row r="63" spans="2:20" ht="23.1" customHeight="1" x14ac:dyDescent="0.25">
      <c r="B63" s="45" t="s">
        <v>108</v>
      </c>
      <c r="C63" s="50">
        <v>10</v>
      </c>
      <c r="D63" s="50">
        <v>0</v>
      </c>
      <c r="E63" s="50">
        <v>3</v>
      </c>
      <c r="F63" s="50">
        <v>17</v>
      </c>
      <c r="G63" s="50">
        <v>2</v>
      </c>
      <c r="H63" s="50">
        <v>0</v>
      </c>
      <c r="I63" s="50">
        <v>2</v>
      </c>
      <c r="J63" s="50">
        <v>0</v>
      </c>
      <c r="K63" s="50">
        <v>0</v>
      </c>
      <c r="L63" s="50">
        <f>SUM('[1]RD4 MCC'!R635:U635)</f>
        <v>0</v>
      </c>
      <c r="M63" s="50">
        <v>30</v>
      </c>
      <c r="N63" s="50">
        <v>0</v>
      </c>
      <c r="O63" s="15">
        <f t="shared" si="0"/>
        <v>34</v>
      </c>
      <c r="P63" s="15">
        <f t="shared" si="1"/>
        <v>64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1</v>
      </c>
      <c r="F64" s="50">
        <v>2</v>
      </c>
      <c r="G64" s="50">
        <v>3</v>
      </c>
      <c r="H64" s="50">
        <v>0</v>
      </c>
      <c r="I64" s="50">
        <v>1</v>
      </c>
      <c r="J64" s="50">
        <v>0</v>
      </c>
      <c r="K64" s="50">
        <v>0</v>
      </c>
      <c r="L64" s="50">
        <f>SUM('[1]RD4 MCC'!R636:U636)</f>
        <v>0</v>
      </c>
      <c r="M64" s="50">
        <v>7</v>
      </c>
      <c r="N64" s="50">
        <v>0</v>
      </c>
      <c r="O64" s="15">
        <f t="shared" si="0"/>
        <v>8</v>
      </c>
      <c r="P64" s="15">
        <f t="shared" si="1"/>
        <v>15</v>
      </c>
      <c r="R64" s="8"/>
      <c r="T64"/>
    </row>
    <row r="65" spans="2:20" ht="23.1" customHeight="1" x14ac:dyDescent="0.25">
      <c r="B65" s="45" t="s">
        <v>158</v>
      </c>
      <c r="C65" s="50">
        <v>7</v>
      </c>
      <c r="D65" s="50">
        <v>1</v>
      </c>
      <c r="E65" s="50">
        <v>5</v>
      </c>
      <c r="F65" s="50">
        <v>4</v>
      </c>
      <c r="G65" s="50">
        <v>3</v>
      </c>
      <c r="H65" s="50">
        <v>0</v>
      </c>
      <c r="I65" s="50">
        <v>1</v>
      </c>
      <c r="J65" s="50">
        <v>0</v>
      </c>
      <c r="K65" s="50">
        <v>0</v>
      </c>
      <c r="L65" s="50">
        <f>SUM('[1]RD4 MCC'!R637:U637)</f>
        <v>0</v>
      </c>
      <c r="M65" s="50">
        <v>24</v>
      </c>
      <c r="N65" s="50">
        <v>0</v>
      </c>
      <c r="O65" s="15">
        <f t="shared" si="0"/>
        <v>21</v>
      </c>
      <c r="P65" s="15">
        <f t="shared" si="1"/>
        <v>45</v>
      </c>
      <c r="R65" s="8"/>
      <c r="T65"/>
    </row>
    <row r="66" spans="2:20" ht="23.1" customHeight="1" x14ac:dyDescent="0.25">
      <c r="B66" s="45" t="s">
        <v>103</v>
      </c>
      <c r="C66" s="50">
        <v>4</v>
      </c>
      <c r="D66" s="50">
        <v>2</v>
      </c>
      <c r="E66" s="50">
        <v>5</v>
      </c>
      <c r="F66" s="50">
        <v>5</v>
      </c>
      <c r="G66" s="50">
        <v>6</v>
      </c>
      <c r="H66" s="50">
        <v>0</v>
      </c>
      <c r="I66" s="50">
        <v>2</v>
      </c>
      <c r="J66" s="50">
        <v>0</v>
      </c>
      <c r="K66" s="50">
        <v>0</v>
      </c>
      <c r="L66" s="50">
        <f>SUM('[1]RD4 MCC'!R638:U638)</f>
        <v>0</v>
      </c>
      <c r="M66" s="50">
        <v>31</v>
      </c>
      <c r="N66" s="50">
        <v>0</v>
      </c>
      <c r="O66" s="15">
        <f t="shared" si="0"/>
        <v>24</v>
      </c>
      <c r="P66" s="15">
        <f t="shared" si="1"/>
        <v>55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1</v>
      </c>
      <c r="F67" s="50">
        <v>5</v>
      </c>
      <c r="G67" s="50">
        <v>2</v>
      </c>
      <c r="H67" s="50">
        <v>0</v>
      </c>
      <c r="I67" s="50">
        <v>0</v>
      </c>
      <c r="J67" s="50">
        <v>0</v>
      </c>
      <c r="K67" s="50">
        <v>0</v>
      </c>
      <c r="L67" s="50">
        <f>SUM('[1]RD4 MCC'!R639:U639)</f>
        <v>0</v>
      </c>
      <c r="M67" s="50">
        <v>7</v>
      </c>
      <c r="N67" s="50">
        <v>0</v>
      </c>
      <c r="O67" s="15">
        <f t="shared" si="0"/>
        <v>9</v>
      </c>
      <c r="P67" s="15">
        <f t="shared" si="1"/>
        <v>16</v>
      </c>
      <c r="R67" s="8"/>
      <c r="T67"/>
    </row>
    <row r="68" spans="2:20" ht="23.1" customHeight="1" x14ac:dyDescent="0.25">
      <c r="B68" s="45" t="s">
        <v>105</v>
      </c>
      <c r="C68" s="50">
        <v>4</v>
      </c>
      <c r="D68" s="50">
        <v>1</v>
      </c>
      <c r="E68" s="50">
        <v>5</v>
      </c>
      <c r="F68" s="50">
        <v>5</v>
      </c>
      <c r="G68" s="50">
        <v>2</v>
      </c>
      <c r="H68" s="50">
        <v>0</v>
      </c>
      <c r="I68" s="50">
        <v>1</v>
      </c>
      <c r="J68" s="50">
        <v>1</v>
      </c>
      <c r="K68" s="50">
        <v>0</v>
      </c>
      <c r="L68" s="50">
        <f>SUM('[1]RD4 MCC'!R640:U640)</f>
        <v>0</v>
      </c>
      <c r="M68" s="50">
        <v>14</v>
      </c>
      <c r="N68" s="50">
        <v>0</v>
      </c>
      <c r="O68" s="15">
        <f t="shared" si="0"/>
        <v>19</v>
      </c>
      <c r="P68" s="15">
        <f t="shared" si="1"/>
        <v>33</v>
      </c>
      <c r="R68" s="8"/>
      <c r="T68"/>
    </row>
    <row r="69" spans="2:20" ht="23.1" customHeight="1" x14ac:dyDescent="0.25">
      <c r="B69" s="45" t="s">
        <v>106</v>
      </c>
      <c r="C69" s="50">
        <v>5</v>
      </c>
      <c r="D69" s="50">
        <v>0</v>
      </c>
      <c r="E69" s="50">
        <v>3</v>
      </c>
      <c r="F69" s="50">
        <v>6</v>
      </c>
      <c r="G69" s="50">
        <v>0</v>
      </c>
      <c r="H69" s="50">
        <v>0</v>
      </c>
      <c r="I69" s="50">
        <v>2</v>
      </c>
      <c r="J69" s="50">
        <v>0</v>
      </c>
      <c r="K69" s="50">
        <v>0</v>
      </c>
      <c r="L69" s="50">
        <f>SUM('[1]RD4 MCC'!R641:U641)</f>
        <v>0</v>
      </c>
      <c r="M69" s="50">
        <v>27</v>
      </c>
      <c r="N69" s="50">
        <v>0</v>
      </c>
      <c r="O69" s="15">
        <f t="shared" si="0"/>
        <v>16</v>
      </c>
      <c r="P69" s="15">
        <f t="shared" si="1"/>
        <v>43</v>
      </c>
      <c r="R69" s="8"/>
      <c r="T69"/>
    </row>
    <row r="70" spans="2:20" ht="23.1" customHeight="1" x14ac:dyDescent="0.25">
      <c r="B70" s="45" t="s">
        <v>110</v>
      </c>
      <c r="C70" s="50">
        <v>6</v>
      </c>
      <c r="D70" s="50">
        <v>1</v>
      </c>
      <c r="E70" s="50">
        <v>3</v>
      </c>
      <c r="F70" s="50">
        <v>3</v>
      </c>
      <c r="G70" s="50">
        <v>0</v>
      </c>
      <c r="H70" s="50">
        <v>0</v>
      </c>
      <c r="I70" s="50">
        <v>4</v>
      </c>
      <c r="J70" s="50">
        <v>0</v>
      </c>
      <c r="K70" s="50">
        <v>0</v>
      </c>
      <c r="L70" s="50">
        <f>SUM('[1]RD4 MCC'!R642:U642)</f>
        <v>0</v>
      </c>
      <c r="M70" s="50">
        <v>6</v>
      </c>
      <c r="N70" s="50">
        <v>0</v>
      </c>
      <c r="O70" s="15">
        <f t="shared" si="0"/>
        <v>17</v>
      </c>
      <c r="P70" s="15">
        <f t="shared" si="1"/>
        <v>23</v>
      </c>
      <c r="R70" s="8"/>
      <c r="T70"/>
    </row>
    <row r="71" spans="2:20" ht="23.1" customHeight="1" x14ac:dyDescent="0.25">
      <c r="B71" s="45" t="s">
        <v>111</v>
      </c>
      <c r="C71" s="50">
        <v>4</v>
      </c>
      <c r="D71" s="50">
        <v>0</v>
      </c>
      <c r="E71" s="50">
        <v>2</v>
      </c>
      <c r="F71" s="50">
        <v>2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f>SUM('[1]RD4 MCC'!R643:U643)</f>
        <v>0</v>
      </c>
      <c r="M71" s="50">
        <v>13</v>
      </c>
      <c r="N71" s="50">
        <v>0</v>
      </c>
      <c r="O71" s="15">
        <f t="shared" si="0"/>
        <v>9</v>
      </c>
      <c r="P71" s="15">
        <f t="shared" si="1"/>
        <v>22</v>
      </c>
      <c r="R71" s="8"/>
      <c r="T71"/>
    </row>
    <row r="72" spans="2:20" ht="23.1" customHeight="1" x14ac:dyDescent="0.25">
      <c r="B72" s="45" t="s">
        <v>112</v>
      </c>
      <c r="C72" s="50">
        <v>8</v>
      </c>
      <c r="D72" s="50">
        <v>0</v>
      </c>
      <c r="E72" s="50">
        <v>0</v>
      </c>
      <c r="F72" s="50">
        <v>3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f>SUM('[1]RD4 MCC'!R644:U644)</f>
        <v>0</v>
      </c>
      <c r="M72" s="50">
        <v>9</v>
      </c>
      <c r="N72" s="50">
        <v>0</v>
      </c>
      <c r="O72" s="15">
        <f t="shared" si="0"/>
        <v>11</v>
      </c>
      <c r="P72" s="15">
        <f t="shared" si="1"/>
        <v>20</v>
      </c>
      <c r="R72" s="8"/>
      <c r="T72"/>
    </row>
    <row r="73" spans="2:20" ht="23.1" customHeight="1" x14ac:dyDescent="0.25">
      <c r="B73" s="45" t="s">
        <v>113</v>
      </c>
      <c r="C73" s="50">
        <v>6</v>
      </c>
      <c r="D73" s="50">
        <v>0</v>
      </c>
      <c r="E73" s="50">
        <v>3</v>
      </c>
      <c r="F73" s="50">
        <v>3</v>
      </c>
      <c r="G73" s="50">
        <v>2</v>
      </c>
      <c r="H73" s="50">
        <v>0</v>
      </c>
      <c r="I73" s="50">
        <v>1</v>
      </c>
      <c r="J73" s="50">
        <v>0</v>
      </c>
      <c r="K73" s="50">
        <v>0</v>
      </c>
      <c r="L73" s="50">
        <f>SUM('[1]RD4 MCC'!R645:U645)</f>
        <v>0</v>
      </c>
      <c r="M73" s="50">
        <v>13</v>
      </c>
      <c r="N73" s="50">
        <v>0</v>
      </c>
      <c r="O73" s="15">
        <f t="shared" si="0"/>
        <v>15</v>
      </c>
      <c r="P73" s="15">
        <f t="shared" si="1"/>
        <v>28</v>
      </c>
      <c r="R73" s="8"/>
      <c r="T73"/>
    </row>
    <row r="74" spans="2:20" ht="23.1" customHeight="1" x14ac:dyDescent="0.25">
      <c r="B74" s="45" t="s">
        <v>114</v>
      </c>
      <c r="C74" s="50">
        <v>2</v>
      </c>
      <c r="D74" s="50">
        <v>0</v>
      </c>
      <c r="E74" s="50">
        <v>2</v>
      </c>
      <c r="F74" s="50">
        <v>1</v>
      </c>
      <c r="G74" s="50">
        <v>0</v>
      </c>
      <c r="H74" s="50">
        <v>1</v>
      </c>
      <c r="I74" s="50">
        <v>1</v>
      </c>
      <c r="J74" s="50">
        <v>0</v>
      </c>
      <c r="K74" s="50">
        <v>0</v>
      </c>
      <c r="L74" s="50">
        <f>SUM('[1]RD4 MCC'!R646:U646)</f>
        <v>0</v>
      </c>
      <c r="M74" s="50">
        <v>9</v>
      </c>
      <c r="N74" s="50">
        <v>0</v>
      </c>
      <c r="O74" s="15">
        <f t="shared" ref="O74:O105" si="35">SUM(C74:L74,N74)</f>
        <v>7</v>
      </c>
      <c r="P74" s="15">
        <f t="shared" ref="P74:P105" si="36">SUM(C74:N74)</f>
        <v>16</v>
      </c>
      <c r="R74" s="8"/>
      <c r="T74"/>
    </row>
    <row r="75" spans="2:20" ht="23.1" customHeight="1" x14ac:dyDescent="0.25">
      <c r="B75" s="45" t="s">
        <v>115</v>
      </c>
      <c r="C75" s="50">
        <v>4</v>
      </c>
      <c r="D75" s="50">
        <v>0</v>
      </c>
      <c r="E75" s="50">
        <v>0</v>
      </c>
      <c r="F75" s="50">
        <v>1</v>
      </c>
      <c r="G75" s="50">
        <v>3</v>
      </c>
      <c r="H75" s="50">
        <v>0</v>
      </c>
      <c r="I75" s="50">
        <v>0</v>
      </c>
      <c r="J75" s="50">
        <v>0</v>
      </c>
      <c r="K75" s="50">
        <v>0</v>
      </c>
      <c r="L75" s="50">
        <f>SUM('[1]RD4 MCC'!R647:U647)</f>
        <v>0</v>
      </c>
      <c r="M75" s="50">
        <v>11</v>
      </c>
      <c r="N75" s="50">
        <v>0</v>
      </c>
      <c r="O75" s="15">
        <f t="shared" si="35"/>
        <v>8</v>
      </c>
      <c r="P75" s="15">
        <f t="shared" si="36"/>
        <v>19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3</v>
      </c>
      <c r="G76" s="50">
        <v>1</v>
      </c>
      <c r="H76" s="50">
        <v>0</v>
      </c>
      <c r="I76" s="50">
        <v>2</v>
      </c>
      <c r="J76" s="50">
        <v>0</v>
      </c>
      <c r="K76" s="50">
        <v>0</v>
      </c>
      <c r="L76" s="50">
        <f>SUM('[1]RD4 MCC'!R648:U648)</f>
        <v>0</v>
      </c>
      <c r="M76" s="50">
        <v>8</v>
      </c>
      <c r="N76" s="50">
        <v>0</v>
      </c>
      <c r="O76" s="15">
        <f t="shared" si="35"/>
        <v>6</v>
      </c>
      <c r="P76" s="15">
        <f t="shared" si="36"/>
        <v>14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2</v>
      </c>
      <c r="F77" s="50">
        <v>3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f>SUM('[1]RD4 MCC'!R649:U649)</f>
        <v>0</v>
      </c>
      <c r="M77" s="50">
        <v>11</v>
      </c>
      <c r="N77" s="50">
        <v>0</v>
      </c>
      <c r="O77" s="15">
        <f t="shared" si="35"/>
        <v>7</v>
      </c>
      <c r="P77" s="15">
        <f t="shared" si="36"/>
        <v>18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1</v>
      </c>
      <c r="G78" s="50">
        <v>1</v>
      </c>
      <c r="H78" s="50">
        <v>0</v>
      </c>
      <c r="I78" s="50">
        <v>1</v>
      </c>
      <c r="J78" s="50">
        <v>0</v>
      </c>
      <c r="K78" s="50">
        <v>0</v>
      </c>
      <c r="L78" s="50">
        <f>SUM('[1]RD4 MCC'!R650:U650)</f>
        <v>0</v>
      </c>
      <c r="M78" s="50">
        <v>9</v>
      </c>
      <c r="N78" s="50">
        <v>0</v>
      </c>
      <c r="O78" s="15">
        <f t="shared" si="35"/>
        <v>4</v>
      </c>
      <c r="P78" s="15">
        <f t="shared" si="36"/>
        <v>13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2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f>SUM('[1]RD4 MCC'!R651:U651)</f>
        <v>0</v>
      </c>
      <c r="M79" s="50">
        <v>4</v>
      </c>
      <c r="N79" s="50">
        <v>0</v>
      </c>
      <c r="O79" s="15">
        <f t="shared" si="35"/>
        <v>2</v>
      </c>
      <c r="P79" s="15">
        <f t="shared" si="36"/>
        <v>6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3</v>
      </c>
      <c r="F80" s="50">
        <v>0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f>SUM('[1]RD4 MCC'!R652:U652)</f>
        <v>0</v>
      </c>
      <c r="M80" s="50">
        <v>8</v>
      </c>
      <c r="N80" s="50">
        <v>0</v>
      </c>
      <c r="O80" s="15">
        <f t="shared" si="35"/>
        <v>5</v>
      </c>
      <c r="P80" s="15">
        <f t="shared" si="36"/>
        <v>13</v>
      </c>
      <c r="R80" s="8"/>
      <c r="T80"/>
    </row>
    <row r="81" spans="2:20" ht="23.1" customHeight="1" x14ac:dyDescent="0.25">
      <c r="B81" s="45" t="s">
        <v>121</v>
      </c>
      <c r="C81" s="50">
        <v>2</v>
      </c>
      <c r="D81" s="50">
        <v>0</v>
      </c>
      <c r="E81" s="50">
        <v>0</v>
      </c>
      <c r="F81" s="50">
        <v>2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f>SUM('[1]RD4 MCC'!R653:U653)</f>
        <v>0</v>
      </c>
      <c r="M81" s="50">
        <v>4</v>
      </c>
      <c r="N81" s="50">
        <v>0</v>
      </c>
      <c r="O81" s="15">
        <f t="shared" si="35"/>
        <v>4</v>
      </c>
      <c r="P81" s="15">
        <f t="shared" si="36"/>
        <v>8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0</v>
      </c>
      <c r="F82" s="50">
        <v>2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f>SUM('[1]RD4 MCC'!R654:U654)</f>
        <v>0</v>
      </c>
      <c r="M82" s="50">
        <v>1</v>
      </c>
      <c r="N82" s="50">
        <v>0</v>
      </c>
      <c r="O82" s="15">
        <f t="shared" si="35"/>
        <v>3</v>
      </c>
      <c r="P82" s="15">
        <f t="shared" si="36"/>
        <v>4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1</v>
      </c>
      <c r="K83" s="50">
        <v>0</v>
      </c>
      <c r="L83" s="50">
        <f>SUM('[1]RD4 MCC'!R655:U655)</f>
        <v>0</v>
      </c>
      <c r="M83" s="50">
        <v>4</v>
      </c>
      <c r="N83" s="50">
        <v>0</v>
      </c>
      <c r="O83" s="15">
        <f t="shared" si="35"/>
        <v>2</v>
      </c>
      <c r="P83" s="15">
        <f t="shared" si="36"/>
        <v>6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2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f>SUM('[1]RD4 MCC'!R656:U656)</f>
        <v>0</v>
      </c>
      <c r="M84" s="50">
        <v>2</v>
      </c>
      <c r="N84" s="50">
        <v>0</v>
      </c>
      <c r="O84" s="15">
        <f t="shared" si="35"/>
        <v>2</v>
      </c>
      <c r="P84" s="15">
        <f t="shared" si="36"/>
        <v>4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f>SUM('[1]RD4 MCC'!R657:U657)</f>
        <v>0</v>
      </c>
      <c r="M85" s="50">
        <v>1</v>
      </c>
      <c r="N85" s="50">
        <v>0</v>
      </c>
      <c r="O85" s="15">
        <f t="shared" si="35"/>
        <v>0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f>SUM('[1]RD4 MCC'!R658:U658)</f>
        <v>0</v>
      </c>
      <c r="M86" s="50">
        <v>0</v>
      </c>
      <c r="N86" s="50"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f>SUM('[1]RD4 MCC'!R659:U659)</f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f>SUM('[1]RD4 MCC'!R660:U660)</f>
        <v>0</v>
      </c>
      <c r="M88" s="50">
        <v>2</v>
      </c>
      <c r="N88" s="50">
        <v>0</v>
      </c>
      <c r="O88" s="15">
        <f t="shared" si="35"/>
        <v>0</v>
      </c>
      <c r="P88" s="15">
        <f t="shared" si="36"/>
        <v>2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f>SUM('[1]RD4 MCC'!R661:U661)</f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f>SUM('[1]RD4 MCC'!R662:U662)</f>
        <v>0</v>
      </c>
      <c r="M90" s="50">
        <v>1</v>
      </c>
      <c r="N90" s="50">
        <v>0</v>
      </c>
      <c r="O90" s="15">
        <f t="shared" si="35"/>
        <v>1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f>SUM('[1]RD4 MCC'!R663:U663)</f>
        <v>0</v>
      </c>
      <c r="M91" s="50">
        <v>1</v>
      </c>
      <c r="N91" s="50">
        <v>0</v>
      </c>
      <c r="O91" s="15">
        <f t="shared" si="35"/>
        <v>1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1</v>
      </c>
      <c r="H92" s="50">
        <v>0</v>
      </c>
      <c r="I92" s="50">
        <v>0</v>
      </c>
      <c r="J92" s="50">
        <v>1</v>
      </c>
      <c r="K92" s="50">
        <v>0</v>
      </c>
      <c r="L92" s="50">
        <f>SUM('[1]RD4 MCC'!R664:U664)</f>
        <v>0</v>
      </c>
      <c r="M92" s="50">
        <v>0</v>
      </c>
      <c r="N92" s="50">
        <v>0</v>
      </c>
      <c r="O92" s="15">
        <f t="shared" si="35"/>
        <v>2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f>SUM('[1]RD4 MCC'!R665:U665)</f>
        <v>0</v>
      </c>
      <c r="M93" s="50">
        <v>0</v>
      </c>
      <c r="N93" s="50"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f>SUM('[1]RD4 MCC'!R666:U666)</f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3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1</v>
      </c>
      <c r="K95" s="50">
        <v>1</v>
      </c>
      <c r="L95" s="50">
        <f>SUM('[1]RD4 MCC'!R667:U667)</f>
        <v>0</v>
      </c>
      <c r="M95" s="50">
        <v>6</v>
      </c>
      <c r="N95" s="50">
        <v>0</v>
      </c>
      <c r="O95" s="15">
        <f t="shared" si="35"/>
        <v>6</v>
      </c>
      <c r="P95" s="15">
        <f t="shared" si="36"/>
        <v>12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1</v>
      </c>
      <c r="G96" s="50">
        <v>0</v>
      </c>
      <c r="H96" s="50">
        <v>0</v>
      </c>
      <c r="I96" s="50">
        <v>1</v>
      </c>
      <c r="J96" s="50">
        <v>1</v>
      </c>
      <c r="K96" s="50">
        <v>0</v>
      </c>
      <c r="L96" s="50">
        <f>SUM('[1]RD4 MCC'!R668:U668)</f>
        <v>0</v>
      </c>
      <c r="M96" s="50">
        <v>0</v>
      </c>
      <c r="N96" s="50">
        <v>0</v>
      </c>
      <c r="O96" s="15">
        <f t="shared" si="35"/>
        <v>4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1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f>SUM('[1]RD4 MCC'!R669:U669)</f>
        <v>0</v>
      </c>
      <c r="M97" s="50">
        <v>0</v>
      </c>
      <c r="N97" s="50">
        <v>0</v>
      </c>
      <c r="O97" s="15">
        <f t="shared" si="35"/>
        <v>2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1</v>
      </c>
      <c r="K98" s="50">
        <v>0</v>
      </c>
      <c r="L98" s="50">
        <f>SUM('[1]RD4 MCC'!R670:U670)</f>
        <v>0</v>
      </c>
      <c r="M98" s="50">
        <v>1</v>
      </c>
      <c r="N98" s="50">
        <v>0</v>
      </c>
      <c r="O98" s="15">
        <f t="shared" si="35"/>
        <v>2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1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f>SUM('[1]RD4 MCC'!R671:U671)</f>
        <v>0</v>
      </c>
      <c r="M99" s="50">
        <v>2</v>
      </c>
      <c r="N99" s="50">
        <v>0</v>
      </c>
      <c r="O99" s="15">
        <f t="shared" si="35"/>
        <v>3</v>
      </c>
      <c r="P99" s="15">
        <f t="shared" si="36"/>
        <v>5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f>SUM('[1]RD4 MCC'!R672:U672)</f>
        <v>0</v>
      </c>
      <c r="M100" s="50">
        <v>4</v>
      </c>
      <c r="N100" s="50">
        <v>0</v>
      </c>
      <c r="O100" s="15">
        <f t="shared" si="35"/>
        <v>1</v>
      </c>
      <c r="P100" s="15">
        <f t="shared" si="36"/>
        <v>5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1</v>
      </c>
      <c r="F101" s="50">
        <v>2</v>
      </c>
      <c r="G101" s="50">
        <v>0</v>
      </c>
      <c r="H101" s="50">
        <v>0</v>
      </c>
      <c r="I101" s="50">
        <v>2</v>
      </c>
      <c r="J101" s="50">
        <v>0</v>
      </c>
      <c r="K101" s="50">
        <v>0</v>
      </c>
      <c r="L101" s="50">
        <f>SUM('[1]RD4 MCC'!R673:U673)</f>
        <v>0</v>
      </c>
      <c r="M101" s="50">
        <v>2</v>
      </c>
      <c r="N101" s="50">
        <v>0</v>
      </c>
      <c r="O101" s="15">
        <f t="shared" si="35"/>
        <v>6</v>
      </c>
      <c r="P101" s="15">
        <f t="shared" si="36"/>
        <v>8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1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f>SUM('[1]RD4 MCC'!R674:U674)</f>
        <v>0</v>
      </c>
      <c r="M102" s="50">
        <v>0</v>
      </c>
      <c r="N102" s="50">
        <v>0</v>
      </c>
      <c r="O102" s="15">
        <f t="shared" si="35"/>
        <v>3</v>
      </c>
      <c r="P102" s="15">
        <f t="shared" si="36"/>
        <v>3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2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f>SUM('[1]RD4 MCC'!R675:U675)</f>
        <v>0</v>
      </c>
      <c r="M103" s="50">
        <v>2</v>
      </c>
      <c r="N103" s="50">
        <v>0</v>
      </c>
      <c r="O103" s="15">
        <f t="shared" si="35"/>
        <v>2</v>
      </c>
      <c r="P103" s="15">
        <f t="shared" si="36"/>
        <v>4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1</v>
      </c>
      <c r="G104" s="50">
        <v>0</v>
      </c>
      <c r="H104" s="50">
        <v>0</v>
      </c>
      <c r="I104" s="50">
        <v>3</v>
      </c>
      <c r="J104" s="50">
        <v>0</v>
      </c>
      <c r="K104" s="50">
        <v>0</v>
      </c>
      <c r="L104" s="50">
        <f>SUM('[1]RD4 MCC'!R676:U676)</f>
        <v>0</v>
      </c>
      <c r="M104" s="50">
        <v>3</v>
      </c>
      <c r="N104" s="50">
        <v>0</v>
      </c>
      <c r="O104" s="15">
        <f t="shared" si="35"/>
        <v>4</v>
      </c>
      <c r="P104" s="15">
        <f t="shared" si="36"/>
        <v>7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0</v>
      </c>
      <c r="F105" s="50">
        <v>4</v>
      </c>
      <c r="G105" s="50">
        <v>0</v>
      </c>
      <c r="H105" s="50">
        <v>0</v>
      </c>
      <c r="I105" s="50">
        <v>4</v>
      </c>
      <c r="J105" s="50">
        <v>0</v>
      </c>
      <c r="K105" s="50">
        <v>0</v>
      </c>
      <c r="L105" s="50">
        <f>SUM('[1]RD4 MCC'!R677:U677)</f>
        <v>0</v>
      </c>
      <c r="M105" s="50">
        <v>3</v>
      </c>
      <c r="N105" s="50">
        <v>0</v>
      </c>
      <c r="O105" s="15">
        <f t="shared" si="35"/>
        <v>9</v>
      </c>
      <c r="P105" s="15">
        <f t="shared" si="36"/>
        <v>12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593</v>
      </c>
      <c r="D106" s="16">
        <f t="shared" ref="D106:P106" si="37">SUM(D10:D105)</f>
        <v>83</v>
      </c>
      <c r="E106" s="16">
        <f t="shared" si="37"/>
        <v>314</v>
      </c>
      <c r="F106" s="16">
        <f t="shared" si="37"/>
        <v>667</v>
      </c>
      <c r="G106" s="16">
        <f t="shared" si="37"/>
        <v>115</v>
      </c>
      <c r="H106" s="16">
        <f t="shared" si="37"/>
        <v>5</v>
      </c>
      <c r="I106" s="16">
        <f t="shared" si="37"/>
        <v>213</v>
      </c>
      <c r="J106" s="16">
        <f t="shared" si="37"/>
        <v>21</v>
      </c>
      <c r="K106" s="16">
        <f t="shared" si="37"/>
        <v>5</v>
      </c>
      <c r="L106" s="16">
        <f t="shared" si="37"/>
        <v>0</v>
      </c>
      <c r="M106" s="16">
        <f t="shared" si="37"/>
        <v>2496</v>
      </c>
      <c r="N106" s="16">
        <f t="shared" si="37"/>
        <v>0</v>
      </c>
      <c r="O106" s="16">
        <f t="shared" si="37"/>
        <v>2016</v>
      </c>
      <c r="P106" s="16">
        <f t="shared" si="37"/>
        <v>4512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0.131427304964539</v>
      </c>
      <c r="D107" s="43">
        <f t="shared" si="38"/>
        <v>1.8395390070921985E-2</v>
      </c>
      <c r="E107" s="43">
        <f t="shared" si="38"/>
        <v>6.959219858156028E-2</v>
      </c>
      <c r="F107" s="43">
        <f t="shared" si="38"/>
        <v>0.14782801418439717</v>
      </c>
      <c r="G107" s="43">
        <f t="shared" si="38"/>
        <v>2.5487588652482268E-2</v>
      </c>
      <c r="H107" s="43">
        <f t="shared" si="38"/>
        <v>1.1081560283687944E-3</v>
      </c>
      <c r="I107" s="43">
        <f t="shared" si="38"/>
        <v>4.7207446808510641E-2</v>
      </c>
      <c r="J107" s="43">
        <f t="shared" si="38"/>
        <v>4.6542553191489359E-3</v>
      </c>
      <c r="K107" s="43">
        <f t="shared" si="38"/>
        <v>1.1081560283687944E-3</v>
      </c>
      <c r="L107" s="43">
        <f t="shared" si="38"/>
        <v>0</v>
      </c>
      <c r="M107" s="43">
        <f t="shared" si="38"/>
        <v>0.55319148936170215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0.29414682539682541</v>
      </c>
      <c r="D108" s="44">
        <f t="shared" ref="D108:N108" si="39">D106/$O$106</f>
        <v>4.117063492063492E-2</v>
      </c>
      <c r="E108" s="44">
        <f t="shared" si="39"/>
        <v>0.15575396825396826</v>
      </c>
      <c r="F108" s="44">
        <f t="shared" si="39"/>
        <v>0.33085317460317459</v>
      </c>
      <c r="G108" s="44">
        <f t="shared" si="39"/>
        <v>5.7043650793650792E-2</v>
      </c>
      <c r="H108" s="44">
        <f t="shared" si="39"/>
        <v>2.48015873015873E-3</v>
      </c>
      <c r="I108" s="44">
        <f t="shared" si="39"/>
        <v>0.1056547619047619</v>
      </c>
      <c r="J108" s="44">
        <f t="shared" si="39"/>
        <v>1.0416666666666666E-2</v>
      </c>
      <c r="K108" s="44">
        <f t="shared" si="39"/>
        <v>2.48015873015873E-3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10" sqref="D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Buwenge-Jinja'!C3:G3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'17.08 Jinja-Buwenge-24h'!G5:H5</f>
        <v>xxx</v>
      </c>
      <c r="H5" s="64"/>
      <c r="I5" s="14"/>
      <c r="J5" s="2" t="s">
        <v>5</v>
      </c>
      <c r="K5" s="63" t="str">
        <f>'17.08 Jinja-Buwenge-24h'!K5:L5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Buwenge-Jinja'!D6:E6</f>
        <v>Buwenge</v>
      </c>
      <c r="E6" s="64"/>
      <c r="F6" s="2" t="s">
        <v>2</v>
      </c>
      <c r="G6" s="63" t="str">
        <f>'12.08 Buwenge-Jinja'!G6:H6</f>
        <v>Jinja</v>
      </c>
      <c r="H6" s="64"/>
      <c r="J6" s="2" t="s">
        <v>21</v>
      </c>
      <c r="K6" s="63" t="str">
        <f>'17.08 Jinja-Buwenge-24h'!K6:L6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3</v>
      </c>
      <c r="F10" s="50">
        <v>8</v>
      </c>
      <c r="G10" s="50">
        <v>1</v>
      </c>
      <c r="H10" s="50">
        <v>0</v>
      </c>
      <c r="I10" s="50">
        <v>1</v>
      </c>
      <c r="J10" s="50">
        <v>0</v>
      </c>
      <c r="K10" s="50">
        <v>0</v>
      </c>
      <c r="L10" s="50">
        <f>SUM('[1]RD4 MCC'!R822:U822)</f>
        <v>0</v>
      </c>
      <c r="M10" s="50">
        <v>6</v>
      </c>
      <c r="N10" s="50">
        <v>0</v>
      </c>
      <c r="O10" s="15">
        <f t="shared" ref="O10:O57" si="0">SUM(C10:L10,N10)</f>
        <v>14</v>
      </c>
      <c r="P10" s="15">
        <f t="shared" ref="P10:P57" si="1">SUM(C10:N10)</f>
        <v>20</v>
      </c>
      <c r="R10" s="1" t="s">
        <v>6</v>
      </c>
      <c r="S10" s="17">
        <f t="shared" ref="S10:AF10" si="2">SUM(C10:C13)</f>
        <v>6</v>
      </c>
      <c r="T10" s="17">
        <f t="shared" si="2"/>
        <v>0</v>
      </c>
      <c r="U10" s="17">
        <f t="shared" si="2"/>
        <v>5</v>
      </c>
      <c r="V10" s="17">
        <f t="shared" si="2"/>
        <v>36</v>
      </c>
      <c r="W10" s="17">
        <f t="shared" si="2"/>
        <v>4</v>
      </c>
      <c r="X10" s="17">
        <f t="shared" si="2"/>
        <v>0</v>
      </c>
      <c r="Y10" s="17">
        <f t="shared" si="2"/>
        <v>6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94</v>
      </c>
      <c r="AD10" s="17">
        <f t="shared" si="2"/>
        <v>0</v>
      </c>
      <c r="AE10" s="31">
        <f t="shared" si="2"/>
        <v>57</v>
      </c>
      <c r="AF10" s="31">
        <f t="shared" si="2"/>
        <v>151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6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f>SUM('[1]RD4 MCC'!R823:U823)</f>
        <v>0</v>
      </c>
      <c r="M11" s="50">
        <v>22</v>
      </c>
      <c r="N11" s="50">
        <v>0</v>
      </c>
      <c r="O11" s="15">
        <f t="shared" si="0"/>
        <v>9</v>
      </c>
      <c r="P11" s="15">
        <f t="shared" si="1"/>
        <v>31</v>
      </c>
      <c r="R11" s="1" t="s">
        <v>7</v>
      </c>
      <c r="S11" s="17">
        <f t="shared" ref="S11:AF11" si="3">SUM(C14:C17)</f>
        <v>17</v>
      </c>
      <c r="T11" s="17">
        <f t="shared" si="3"/>
        <v>1</v>
      </c>
      <c r="U11" s="17">
        <f t="shared" si="3"/>
        <v>7</v>
      </c>
      <c r="V11" s="17">
        <f t="shared" si="3"/>
        <v>47</v>
      </c>
      <c r="W11" s="17">
        <f t="shared" si="3"/>
        <v>7</v>
      </c>
      <c r="X11" s="17">
        <f t="shared" si="3"/>
        <v>0</v>
      </c>
      <c r="Y11" s="17">
        <f t="shared" si="3"/>
        <v>5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142</v>
      </c>
      <c r="AD11" s="17">
        <f t="shared" si="3"/>
        <v>0</v>
      </c>
      <c r="AE11" s="31">
        <f t="shared" si="3"/>
        <v>85</v>
      </c>
      <c r="AF11" s="31">
        <f t="shared" si="3"/>
        <v>227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7</v>
      </c>
      <c r="G12" s="50">
        <v>2</v>
      </c>
      <c r="H12" s="50">
        <v>0</v>
      </c>
      <c r="I12" s="50">
        <v>1</v>
      </c>
      <c r="J12" s="50">
        <v>0</v>
      </c>
      <c r="K12" s="50">
        <v>0</v>
      </c>
      <c r="L12" s="50">
        <f>SUM('[1]RD4 MCC'!R824:U824)</f>
        <v>0</v>
      </c>
      <c r="M12" s="50">
        <v>30</v>
      </c>
      <c r="N12" s="50">
        <v>0</v>
      </c>
      <c r="O12" s="15">
        <f t="shared" si="0"/>
        <v>12</v>
      </c>
      <c r="P12" s="15">
        <f t="shared" si="1"/>
        <v>42</v>
      </c>
      <c r="R12" s="1" t="s">
        <v>8</v>
      </c>
      <c r="S12" s="17">
        <f t="shared" ref="S12:AF12" si="4">SUM(C18:C21)</f>
        <v>18</v>
      </c>
      <c r="T12" s="17">
        <f t="shared" si="4"/>
        <v>1</v>
      </c>
      <c r="U12" s="17">
        <f t="shared" si="4"/>
        <v>9</v>
      </c>
      <c r="V12" s="17">
        <f t="shared" si="4"/>
        <v>45</v>
      </c>
      <c r="W12" s="17">
        <f t="shared" si="4"/>
        <v>3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171</v>
      </c>
      <c r="AD12" s="17">
        <f t="shared" si="4"/>
        <v>0</v>
      </c>
      <c r="AE12" s="31">
        <f t="shared" si="4"/>
        <v>77</v>
      </c>
      <c r="AF12" s="31">
        <f t="shared" si="4"/>
        <v>248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1</v>
      </c>
      <c r="F13" s="50">
        <v>15</v>
      </c>
      <c r="G13" s="50">
        <v>1</v>
      </c>
      <c r="H13" s="50">
        <v>0</v>
      </c>
      <c r="I13" s="50">
        <v>2</v>
      </c>
      <c r="J13" s="50">
        <v>0</v>
      </c>
      <c r="K13" s="50">
        <v>0</v>
      </c>
      <c r="L13" s="50">
        <f>SUM('[1]RD4 MCC'!R825:U825)</f>
        <v>0</v>
      </c>
      <c r="M13" s="50">
        <v>36</v>
      </c>
      <c r="N13" s="50">
        <v>0</v>
      </c>
      <c r="O13" s="15">
        <f t="shared" si="0"/>
        <v>22</v>
      </c>
      <c r="P13" s="15">
        <f t="shared" si="1"/>
        <v>58</v>
      </c>
      <c r="R13" s="1" t="s">
        <v>9</v>
      </c>
      <c r="S13" s="17">
        <f t="shared" ref="S13:AF13" si="5">SUM(C22:C25)</f>
        <v>27</v>
      </c>
      <c r="T13" s="17">
        <f t="shared" si="5"/>
        <v>4</v>
      </c>
      <c r="U13" s="17">
        <f t="shared" si="5"/>
        <v>18</v>
      </c>
      <c r="V13" s="17">
        <f t="shared" si="5"/>
        <v>41</v>
      </c>
      <c r="W13" s="17">
        <f t="shared" si="5"/>
        <v>2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219</v>
      </c>
      <c r="AD13" s="17">
        <f t="shared" si="5"/>
        <v>0</v>
      </c>
      <c r="AE13" s="31">
        <f t="shared" si="5"/>
        <v>94</v>
      </c>
      <c r="AF13" s="31">
        <f t="shared" si="5"/>
        <v>313</v>
      </c>
    </row>
    <row r="14" spans="2:32" ht="23.1" customHeight="1" x14ac:dyDescent="0.25">
      <c r="B14" s="23" t="s">
        <v>41</v>
      </c>
      <c r="C14" s="50">
        <v>4</v>
      </c>
      <c r="D14" s="50">
        <v>0</v>
      </c>
      <c r="E14" s="50">
        <v>1</v>
      </c>
      <c r="F14" s="50">
        <v>9</v>
      </c>
      <c r="G14" s="50">
        <v>1</v>
      </c>
      <c r="H14" s="50">
        <v>0</v>
      </c>
      <c r="I14" s="50">
        <v>2</v>
      </c>
      <c r="J14" s="50">
        <v>1</v>
      </c>
      <c r="K14" s="50">
        <v>0</v>
      </c>
      <c r="L14" s="50">
        <f>SUM('[1]RD4 MCC'!R826:U826)</f>
        <v>0</v>
      </c>
      <c r="M14" s="50">
        <v>33</v>
      </c>
      <c r="N14" s="50">
        <v>0</v>
      </c>
      <c r="O14" s="15">
        <f t="shared" si="0"/>
        <v>18</v>
      </c>
      <c r="P14" s="15">
        <f t="shared" si="1"/>
        <v>51</v>
      </c>
      <c r="R14" s="1" t="s">
        <v>10</v>
      </c>
      <c r="S14" s="17">
        <f t="shared" ref="S14:AF14" si="6">SUM(C26:C29)</f>
        <v>22</v>
      </c>
      <c r="T14" s="17">
        <f t="shared" si="6"/>
        <v>2</v>
      </c>
      <c r="U14" s="17">
        <f t="shared" si="6"/>
        <v>8</v>
      </c>
      <c r="V14" s="17">
        <f t="shared" si="6"/>
        <v>27</v>
      </c>
      <c r="W14" s="17">
        <f t="shared" si="6"/>
        <v>0</v>
      </c>
      <c r="X14" s="17">
        <f t="shared" si="6"/>
        <v>1</v>
      </c>
      <c r="Y14" s="17">
        <f t="shared" si="6"/>
        <v>9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143</v>
      </c>
      <c r="AD14" s="17">
        <f t="shared" si="6"/>
        <v>0</v>
      </c>
      <c r="AE14" s="31">
        <f t="shared" si="6"/>
        <v>69</v>
      </c>
      <c r="AF14" s="31">
        <f t="shared" si="6"/>
        <v>212</v>
      </c>
    </row>
    <row r="15" spans="2:32" ht="23.1" customHeight="1" x14ac:dyDescent="0.25">
      <c r="B15" s="23" t="s">
        <v>42</v>
      </c>
      <c r="C15" s="50">
        <v>4</v>
      </c>
      <c r="D15" s="50">
        <v>1</v>
      </c>
      <c r="E15" s="50">
        <v>3</v>
      </c>
      <c r="F15" s="50">
        <v>13</v>
      </c>
      <c r="G15" s="50">
        <v>1</v>
      </c>
      <c r="H15" s="50">
        <v>0</v>
      </c>
      <c r="I15" s="50">
        <v>3</v>
      </c>
      <c r="J15" s="50">
        <v>0</v>
      </c>
      <c r="K15" s="50">
        <v>0</v>
      </c>
      <c r="L15" s="50">
        <f>SUM('[1]RD4 MCC'!R827:U827)</f>
        <v>0</v>
      </c>
      <c r="M15" s="50">
        <v>25</v>
      </c>
      <c r="N15" s="50">
        <v>0</v>
      </c>
      <c r="O15" s="15">
        <f t="shared" si="0"/>
        <v>25</v>
      </c>
      <c r="P15" s="15">
        <f t="shared" si="1"/>
        <v>50</v>
      </c>
      <c r="R15" s="1" t="s">
        <v>11</v>
      </c>
      <c r="S15" s="17">
        <f t="shared" ref="S15:AF15" si="7">SUM(C30:C33)</f>
        <v>41</v>
      </c>
      <c r="T15" s="17">
        <f t="shared" si="7"/>
        <v>6</v>
      </c>
      <c r="U15" s="17">
        <f t="shared" si="7"/>
        <v>20</v>
      </c>
      <c r="V15" s="17">
        <f t="shared" si="7"/>
        <v>74</v>
      </c>
      <c r="W15" s="17">
        <f t="shared" si="7"/>
        <v>4</v>
      </c>
      <c r="X15" s="17">
        <f t="shared" si="7"/>
        <v>0</v>
      </c>
      <c r="Y15" s="17">
        <f t="shared" si="7"/>
        <v>14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191</v>
      </c>
      <c r="AD15" s="17">
        <f t="shared" si="7"/>
        <v>0</v>
      </c>
      <c r="AE15" s="31">
        <f t="shared" si="7"/>
        <v>159</v>
      </c>
      <c r="AF15" s="31">
        <f t="shared" si="7"/>
        <v>350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1</v>
      </c>
      <c r="F16" s="50">
        <v>15</v>
      </c>
      <c r="G16" s="50">
        <v>2</v>
      </c>
      <c r="H16" s="50">
        <v>0</v>
      </c>
      <c r="I16" s="50">
        <v>0</v>
      </c>
      <c r="J16" s="50">
        <v>0</v>
      </c>
      <c r="K16" s="50">
        <v>0</v>
      </c>
      <c r="L16" s="50">
        <f>SUM('[1]RD4 MCC'!R828:U828)</f>
        <v>0</v>
      </c>
      <c r="M16" s="50">
        <v>40</v>
      </c>
      <c r="N16" s="50">
        <v>0</v>
      </c>
      <c r="O16" s="15">
        <f t="shared" si="0"/>
        <v>23</v>
      </c>
      <c r="P16" s="15">
        <f t="shared" si="1"/>
        <v>63</v>
      </c>
      <c r="R16" s="1" t="s">
        <v>12</v>
      </c>
      <c r="S16" s="17">
        <f t="shared" ref="S16:AF16" si="8">SUM(C34:C37)</f>
        <v>30</v>
      </c>
      <c r="T16" s="17">
        <f t="shared" si="8"/>
        <v>0</v>
      </c>
      <c r="U16" s="17">
        <f t="shared" si="8"/>
        <v>9</v>
      </c>
      <c r="V16" s="17">
        <f t="shared" si="8"/>
        <v>59</v>
      </c>
      <c r="W16" s="17">
        <f t="shared" si="8"/>
        <v>1</v>
      </c>
      <c r="X16" s="17">
        <f t="shared" si="8"/>
        <v>0</v>
      </c>
      <c r="Y16" s="17">
        <f t="shared" si="8"/>
        <v>6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198</v>
      </c>
      <c r="AD16" s="17">
        <f t="shared" si="8"/>
        <v>0</v>
      </c>
      <c r="AE16" s="31">
        <f t="shared" si="8"/>
        <v>105</v>
      </c>
      <c r="AF16" s="31">
        <f t="shared" si="8"/>
        <v>303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2</v>
      </c>
      <c r="F17" s="50">
        <v>10</v>
      </c>
      <c r="G17" s="50">
        <v>3</v>
      </c>
      <c r="H17" s="50">
        <v>0</v>
      </c>
      <c r="I17" s="50">
        <v>0</v>
      </c>
      <c r="J17" s="50">
        <v>0</v>
      </c>
      <c r="K17" s="50">
        <v>0</v>
      </c>
      <c r="L17" s="50">
        <f>SUM('[1]RD4 MCC'!R829:U829)</f>
        <v>0</v>
      </c>
      <c r="M17" s="50">
        <v>44</v>
      </c>
      <c r="N17" s="50">
        <v>0</v>
      </c>
      <c r="O17" s="15">
        <f t="shared" si="0"/>
        <v>19</v>
      </c>
      <c r="P17" s="15">
        <f t="shared" si="1"/>
        <v>63</v>
      </c>
      <c r="R17" s="1" t="s">
        <v>13</v>
      </c>
      <c r="S17" s="17">
        <f t="shared" ref="S17:AF17" si="9">SUM(C38:C41)</f>
        <v>25</v>
      </c>
      <c r="T17" s="17">
        <f t="shared" si="9"/>
        <v>2</v>
      </c>
      <c r="U17" s="17">
        <f t="shared" si="9"/>
        <v>13</v>
      </c>
      <c r="V17" s="17">
        <f t="shared" si="9"/>
        <v>61</v>
      </c>
      <c r="W17" s="17">
        <f t="shared" si="9"/>
        <v>5</v>
      </c>
      <c r="X17" s="17">
        <f t="shared" si="9"/>
        <v>0</v>
      </c>
      <c r="Y17" s="17">
        <f t="shared" si="9"/>
        <v>10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124</v>
      </c>
      <c r="AD17" s="17">
        <f t="shared" si="9"/>
        <v>0</v>
      </c>
      <c r="AE17" s="31">
        <f t="shared" si="9"/>
        <v>116</v>
      </c>
      <c r="AF17" s="31">
        <f t="shared" si="9"/>
        <v>240</v>
      </c>
    </row>
    <row r="18" spans="2:32" ht="23.1" customHeight="1" x14ac:dyDescent="0.25">
      <c r="B18" s="23" t="s">
        <v>45</v>
      </c>
      <c r="C18" s="50">
        <v>4</v>
      </c>
      <c r="D18" s="50">
        <v>0</v>
      </c>
      <c r="E18" s="50">
        <v>3</v>
      </c>
      <c r="F18" s="50">
        <v>13</v>
      </c>
      <c r="G18" s="50">
        <v>1</v>
      </c>
      <c r="H18" s="50">
        <v>0</v>
      </c>
      <c r="I18" s="50">
        <v>0</v>
      </c>
      <c r="J18" s="50">
        <v>0</v>
      </c>
      <c r="K18" s="50">
        <v>0</v>
      </c>
      <c r="L18" s="50">
        <f>SUM('[1]RD4 MCC'!R830:U830)</f>
        <v>0</v>
      </c>
      <c r="M18" s="50">
        <v>40</v>
      </c>
      <c r="N18" s="50">
        <v>0</v>
      </c>
      <c r="O18" s="15">
        <f t="shared" si="0"/>
        <v>21</v>
      </c>
      <c r="P18" s="15">
        <f t="shared" si="1"/>
        <v>61</v>
      </c>
      <c r="R18" s="1" t="s">
        <v>14</v>
      </c>
      <c r="S18" s="17">
        <f t="shared" ref="S18:AF18" si="10">SUM(C42:C45)</f>
        <v>35</v>
      </c>
      <c r="T18" s="17">
        <f t="shared" si="10"/>
        <v>7</v>
      </c>
      <c r="U18" s="17">
        <f t="shared" si="10"/>
        <v>22</v>
      </c>
      <c r="V18" s="17">
        <f t="shared" si="10"/>
        <v>84</v>
      </c>
      <c r="W18" s="17">
        <f t="shared" si="10"/>
        <v>5</v>
      </c>
      <c r="X18" s="17">
        <f t="shared" si="10"/>
        <v>0</v>
      </c>
      <c r="Y18" s="17">
        <f t="shared" si="10"/>
        <v>8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54</v>
      </c>
      <c r="AD18" s="17">
        <f t="shared" si="10"/>
        <v>0</v>
      </c>
      <c r="AE18" s="31">
        <f t="shared" si="10"/>
        <v>162</v>
      </c>
      <c r="AF18" s="31">
        <f t="shared" si="10"/>
        <v>216</v>
      </c>
    </row>
    <row r="19" spans="2:32" ht="23.1" customHeight="1" x14ac:dyDescent="0.25">
      <c r="B19" s="23" t="s">
        <v>46</v>
      </c>
      <c r="C19" s="50">
        <v>5</v>
      </c>
      <c r="D19" s="50">
        <v>0</v>
      </c>
      <c r="E19" s="50">
        <v>1</v>
      </c>
      <c r="F19" s="50">
        <v>10</v>
      </c>
      <c r="G19" s="50">
        <v>2</v>
      </c>
      <c r="H19" s="50">
        <v>0</v>
      </c>
      <c r="I19" s="50">
        <v>0</v>
      </c>
      <c r="J19" s="50">
        <v>0</v>
      </c>
      <c r="K19" s="50">
        <v>0</v>
      </c>
      <c r="L19" s="50">
        <f>SUM('[1]RD4 MCC'!R831:U831)</f>
        <v>0</v>
      </c>
      <c r="M19" s="50">
        <v>57</v>
      </c>
      <c r="N19" s="50">
        <v>0</v>
      </c>
      <c r="O19" s="15">
        <f t="shared" si="0"/>
        <v>18</v>
      </c>
      <c r="P19" s="15">
        <f t="shared" si="1"/>
        <v>75</v>
      </c>
      <c r="R19" s="1" t="s">
        <v>15</v>
      </c>
      <c r="S19" s="17">
        <f t="shared" ref="S19:AF19" si="11">SUM(C46:C49)</f>
        <v>33</v>
      </c>
      <c r="T19" s="17">
        <f t="shared" si="11"/>
        <v>6</v>
      </c>
      <c r="U19" s="17">
        <f t="shared" si="11"/>
        <v>19</v>
      </c>
      <c r="V19" s="17">
        <f t="shared" si="11"/>
        <v>48</v>
      </c>
      <c r="W19" s="17">
        <f t="shared" si="11"/>
        <v>6</v>
      </c>
      <c r="X19" s="17">
        <f t="shared" si="11"/>
        <v>0</v>
      </c>
      <c r="Y19" s="17">
        <f t="shared" si="11"/>
        <v>6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124</v>
      </c>
      <c r="AD19" s="17">
        <f t="shared" si="11"/>
        <v>0</v>
      </c>
      <c r="AE19" s="31">
        <f t="shared" si="11"/>
        <v>118</v>
      </c>
      <c r="AF19" s="31">
        <f t="shared" si="11"/>
        <v>242</v>
      </c>
    </row>
    <row r="20" spans="2:32" ht="23.1" customHeight="1" x14ac:dyDescent="0.25">
      <c r="B20" s="23" t="s">
        <v>47</v>
      </c>
      <c r="C20" s="50">
        <v>3</v>
      </c>
      <c r="D20" s="50">
        <v>1</v>
      </c>
      <c r="E20" s="50">
        <v>5</v>
      </c>
      <c r="F20" s="50">
        <v>22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f>SUM('[1]RD4 MCC'!R832:U832)</f>
        <v>0</v>
      </c>
      <c r="M20" s="50">
        <v>35</v>
      </c>
      <c r="N20" s="50">
        <v>0</v>
      </c>
      <c r="O20" s="15">
        <f t="shared" si="0"/>
        <v>31</v>
      </c>
      <c r="P20" s="15">
        <f t="shared" si="1"/>
        <v>66</v>
      </c>
      <c r="R20" s="1" t="s">
        <v>16</v>
      </c>
      <c r="S20" s="17">
        <f t="shared" ref="S20:AF20" si="12">SUM(C50:C53)</f>
        <v>34</v>
      </c>
      <c r="T20" s="17">
        <f t="shared" si="12"/>
        <v>15</v>
      </c>
      <c r="U20" s="17">
        <f t="shared" si="12"/>
        <v>40</v>
      </c>
      <c r="V20" s="17">
        <f t="shared" si="12"/>
        <v>96</v>
      </c>
      <c r="W20" s="17">
        <f t="shared" si="12"/>
        <v>5</v>
      </c>
      <c r="X20" s="17">
        <f t="shared" si="12"/>
        <v>1</v>
      </c>
      <c r="Y20" s="17">
        <f t="shared" si="12"/>
        <v>9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209</v>
      </c>
      <c r="AD20" s="17">
        <f t="shared" si="12"/>
        <v>0</v>
      </c>
      <c r="AE20" s="31">
        <f t="shared" si="12"/>
        <v>201</v>
      </c>
      <c r="AF20" s="31">
        <f t="shared" si="12"/>
        <v>410</v>
      </c>
    </row>
    <row r="21" spans="2:32" ht="23.1" customHeight="1" x14ac:dyDescent="0.25">
      <c r="B21" s="23" t="s">
        <v>48</v>
      </c>
      <c r="C21" s="50">
        <v>6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f>SUM('[1]RD4 MCC'!R833:U833)</f>
        <v>0</v>
      </c>
      <c r="M21" s="50">
        <v>39</v>
      </c>
      <c r="N21" s="50">
        <v>0</v>
      </c>
      <c r="O21" s="15">
        <f t="shared" si="0"/>
        <v>7</v>
      </c>
      <c r="P21" s="15">
        <f t="shared" si="1"/>
        <v>46</v>
      </c>
      <c r="R21" s="36" t="s">
        <v>20</v>
      </c>
      <c r="S21" s="34">
        <f t="shared" ref="S21:AF21" si="13">SUM(C54:C57)</f>
        <v>43</v>
      </c>
      <c r="T21" s="17">
        <f t="shared" si="13"/>
        <v>15</v>
      </c>
      <c r="U21" s="17">
        <f t="shared" si="13"/>
        <v>43</v>
      </c>
      <c r="V21" s="17">
        <f t="shared" si="13"/>
        <v>50</v>
      </c>
      <c r="W21" s="17">
        <f t="shared" si="13"/>
        <v>14</v>
      </c>
      <c r="X21" s="17">
        <f t="shared" si="13"/>
        <v>1</v>
      </c>
      <c r="Y21" s="17">
        <f t="shared" si="13"/>
        <v>4</v>
      </c>
      <c r="Z21" s="17">
        <f t="shared" si="13"/>
        <v>4</v>
      </c>
      <c r="AA21" s="17">
        <f t="shared" si="13"/>
        <v>1</v>
      </c>
      <c r="AB21" s="17">
        <f t="shared" si="13"/>
        <v>0</v>
      </c>
      <c r="AC21" s="17">
        <f t="shared" si="13"/>
        <v>128</v>
      </c>
      <c r="AD21" s="17">
        <f t="shared" si="13"/>
        <v>0</v>
      </c>
      <c r="AE21" s="31">
        <f t="shared" si="13"/>
        <v>175</v>
      </c>
      <c r="AF21" s="31">
        <f t="shared" si="13"/>
        <v>303</v>
      </c>
    </row>
    <row r="22" spans="2:32" ht="23.1" customHeight="1" x14ac:dyDescent="0.25">
      <c r="B22" s="23" t="s">
        <v>49</v>
      </c>
      <c r="C22" s="50">
        <v>6</v>
      </c>
      <c r="D22" s="50">
        <v>1</v>
      </c>
      <c r="E22" s="50">
        <v>3</v>
      </c>
      <c r="F22" s="50">
        <v>2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f>SUM('[1]RD4 MCC'!R834:U834)</f>
        <v>0</v>
      </c>
      <c r="M22" s="50">
        <v>65</v>
      </c>
      <c r="N22" s="50">
        <v>0</v>
      </c>
      <c r="O22" s="15">
        <f t="shared" si="0"/>
        <v>13</v>
      </c>
      <c r="P22" s="15">
        <f t="shared" si="1"/>
        <v>78</v>
      </c>
      <c r="R22" s="38" t="s">
        <v>90</v>
      </c>
      <c r="S22" s="39">
        <f>MAX(S10:S12)</f>
        <v>18</v>
      </c>
      <c r="T22" s="39">
        <f t="shared" ref="T22:AF22" si="14">MAX(T10:T12)</f>
        <v>1</v>
      </c>
      <c r="U22" s="39">
        <f t="shared" si="14"/>
        <v>9</v>
      </c>
      <c r="V22" s="39">
        <f t="shared" si="14"/>
        <v>47</v>
      </c>
      <c r="W22" s="39">
        <f t="shared" si="14"/>
        <v>7</v>
      </c>
      <c r="X22" s="39">
        <f t="shared" si="14"/>
        <v>0</v>
      </c>
      <c r="Y22" s="39">
        <f t="shared" si="14"/>
        <v>6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171</v>
      </c>
      <c r="AD22" s="39">
        <f t="shared" si="14"/>
        <v>0</v>
      </c>
      <c r="AE22" s="40">
        <f t="shared" si="14"/>
        <v>85</v>
      </c>
      <c r="AF22" s="40">
        <f t="shared" si="14"/>
        <v>248</v>
      </c>
    </row>
    <row r="23" spans="2:32" ht="23.1" customHeight="1" x14ac:dyDescent="0.25">
      <c r="B23" s="23" t="s">
        <v>50</v>
      </c>
      <c r="C23" s="50">
        <v>8</v>
      </c>
      <c r="D23" s="50">
        <v>1</v>
      </c>
      <c r="E23" s="50">
        <v>5</v>
      </c>
      <c r="F23" s="50">
        <v>8</v>
      </c>
      <c r="G23" s="50">
        <v>2</v>
      </c>
      <c r="H23" s="50">
        <v>0</v>
      </c>
      <c r="I23" s="50">
        <v>0</v>
      </c>
      <c r="J23" s="50">
        <v>0</v>
      </c>
      <c r="K23" s="50">
        <v>0</v>
      </c>
      <c r="L23" s="50">
        <f>SUM('[1]RD4 MCC'!R835:U835)</f>
        <v>0</v>
      </c>
      <c r="M23" s="50">
        <v>55</v>
      </c>
      <c r="N23" s="50">
        <v>0</v>
      </c>
      <c r="O23" s="15">
        <f t="shared" si="0"/>
        <v>24</v>
      </c>
      <c r="P23" s="15">
        <f t="shared" si="1"/>
        <v>79</v>
      </c>
      <c r="R23" s="38" t="s">
        <v>91</v>
      </c>
      <c r="S23" s="39">
        <f>MAX(S13:S18)</f>
        <v>41</v>
      </c>
      <c r="T23" s="39">
        <f t="shared" ref="T23:AF23" si="15">MAX(T13:T18)</f>
        <v>7</v>
      </c>
      <c r="U23" s="39">
        <f t="shared" si="15"/>
        <v>22</v>
      </c>
      <c r="V23" s="39">
        <f t="shared" si="15"/>
        <v>84</v>
      </c>
      <c r="W23" s="39">
        <f t="shared" si="15"/>
        <v>5</v>
      </c>
      <c r="X23" s="39">
        <f t="shared" si="15"/>
        <v>1</v>
      </c>
      <c r="Y23" s="39">
        <f t="shared" si="15"/>
        <v>14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219</v>
      </c>
      <c r="AD23" s="39">
        <f t="shared" si="15"/>
        <v>0</v>
      </c>
      <c r="AE23" s="40">
        <f t="shared" si="15"/>
        <v>162</v>
      </c>
      <c r="AF23" s="40">
        <f t="shared" si="15"/>
        <v>350</v>
      </c>
    </row>
    <row r="24" spans="2:32" ht="23.1" customHeight="1" x14ac:dyDescent="0.25">
      <c r="B24" s="23" t="s">
        <v>51</v>
      </c>
      <c r="C24" s="50">
        <v>7</v>
      </c>
      <c r="D24" s="50">
        <v>0</v>
      </c>
      <c r="E24" s="50">
        <v>3</v>
      </c>
      <c r="F24" s="50">
        <v>15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f>SUM('[1]RD4 MCC'!R836:U836)</f>
        <v>0</v>
      </c>
      <c r="M24" s="50">
        <v>50</v>
      </c>
      <c r="N24" s="50">
        <v>0</v>
      </c>
      <c r="O24" s="15">
        <f t="shared" si="0"/>
        <v>25</v>
      </c>
      <c r="P24" s="15">
        <f t="shared" si="1"/>
        <v>75</v>
      </c>
      <c r="R24" s="38" t="s">
        <v>92</v>
      </c>
      <c r="S24" s="39">
        <f>MAX(S19:S21)</f>
        <v>43</v>
      </c>
      <c r="T24" s="39">
        <f t="shared" ref="T24:AF24" si="16">MAX(T19:T21)</f>
        <v>15</v>
      </c>
      <c r="U24" s="39">
        <f t="shared" si="16"/>
        <v>43</v>
      </c>
      <c r="V24" s="39">
        <f t="shared" si="16"/>
        <v>96</v>
      </c>
      <c r="W24" s="39">
        <f t="shared" si="16"/>
        <v>14</v>
      </c>
      <c r="X24" s="39">
        <f t="shared" si="16"/>
        <v>1</v>
      </c>
      <c r="Y24" s="39">
        <f t="shared" si="16"/>
        <v>9</v>
      </c>
      <c r="Z24" s="39">
        <f t="shared" si="16"/>
        <v>4</v>
      </c>
      <c r="AA24" s="39">
        <f t="shared" si="16"/>
        <v>1</v>
      </c>
      <c r="AB24" s="39">
        <f t="shared" si="16"/>
        <v>0</v>
      </c>
      <c r="AC24" s="39">
        <f t="shared" si="16"/>
        <v>209</v>
      </c>
      <c r="AD24" s="39">
        <f t="shared" si="16"/>
        <v>0</v>
      </c>
      <c r="AE24" s="40">
        <f t="shared" si="16"/>
        <v>201</v>
      </c>
      <c r="AF24" s="40">
        <f t="shared" si="16"/>
        <v>410</v>
      </c>
    </row>
    <row r="25" spans="2:32" ht="23.1" customHeight="1" x14ac:dyDescent="0.25">
      <c r="B25" s="23" t="s">
        <v>52</v>
      </c>
      <c r="C25" s="50">
        <v>6</v>
      </c>
      <c r="D25" s="50">
        <v>2</v>
      </c>
      <c r="E25" s="50">
        <v>7</v>
      </c>
      <c r="F25" s="50">
        <v>16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f>SUM('[1]RD4 MCC'!R837:U837)</f>
        <v>0</v>
      </c>
      <c r="M25" s="50">
        <v>49</v>
      </c>
      <c r="N25" s="50">
        <v>0</v>
      </c>
      <c r="O25" s="15">
        <f t="shared" si="0"/>
        <v>32</v>
      </c>
      <c r="P25" s="15">
        <f t="shared" si="1"/>
        <v>81</v>
      </c>
      <c r="R25" s="37" t="s">
        <v>85</v>
      </c>
      <c r="S25" s="35">
        <f t="shared" ref="S25:AF25" si="17">SUM(S10:S12)</f>
        <v>41</v>
      </c>
      <c r="T25" s="16">
        <f t="shared" si="17"/>
        <v>2</v>
      </c>
      <c r="U25" s="16">
        <f t="shared" si="17"/>
        <v>21</v>
      </c>
      <c r="V25" s="16">
        <f t="shared" si="17"/>
        <v>128</v>
      </c>
      <c r="W25" s="16">
        <f t="shared" si="17"/>
        <v>14</v>
      </c>
      <c r="X25" s="16">
        <f t="shared" si="17"/>
        <v>0</v>
      </c>
      <c r="Y25" s="16">
        <f t="shared" si="17"/>
        <v>12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407</v>
      </c>
      <c r="AD25" s="16">
        <f t="shared" si="17"/>
        <v>0</v>
      </c>
      <c r="AE25" s="32">
        <f t="shared" si="17"/>
        <v>219</v>
      </c>
      <c r="AF25" s="32">
        <f t="shared" si="17"/>
        <v>626</v>
      </c>
    </row>
    <row r="26" spans="2:32" ht="23.1" customHeight="1" x14ac:dyDescent="0.25">
      <c r="B26" s="23" t="s">
        <v>53</v>
      </c>
      <c r="C26" s="50">
        <v>8</v>
      </c>
      <c r="D26" s="50">
        <v>0</v>
      </c>
      <c r="E26" s="50">
        <v>1</v>
      </c>
      <c r="F26" s="50">
        <v>10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f>SUM('[1]RD4 MCC'!R838:U838)</f>
        <v>0</v>
      </c>
      <c r="M26" s="50">
        <v>48</v>
      </c>
      <c r="N26" s="50">
        <v>0</v>
      </c>
      <c r="O26" s="15">
        <f t="shared" si="0"/>
        <v>20</v>
      </c>
      <c r="P26" s="15">
        <f t="shared" si="1"/>
        <v>68</v>
      </c>
      <c r="R26" s="28" t="s">
        <v>86</v>
      </c>
      <c r="S26" s="16">
        <f t="shared" ref="S26:AF26" si="18">SUM(S13:S18)</f>
        <v>180</v>
      </c>
      <c r="T26" s="16">
        <f t="shared" si="18"/>
        <v>21</v>
      </c>
      <c r="U26" s="16">
        <f t="shared" si="18"/>
        <v>90</v>
      </c>
      <c r="V26" s="16">
        <f t="shared" si="18"/>
        <v>346</v>
      </c>
      <c r="W26" s="16">
        <f t="shared" si="18"/>
        <v>17</v>
      </c>
      <c r="X26" s="16">
        <f t="shared" si="18"/>
        <v>1</v>
      </c>
      <c r="Y26" s="16">
        <f t="shared" si="18"/>
        <v>49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929</v>
      </c>
      <c r="AD26" s="16">
        <f t="shared" si="18"/>
        <v>0</v>
      </c>
      <c r="AE26" s="32">
        <f t="shared" si="18"/>
        <v>705</v>
      </c>
      <c r="AF26" s="32">
        <f t="shared" si="18"/>
        <v>1634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1</v>
      </c>
      <c r="F27" s="50">
        <v>7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f>SUM('[1]RD4 MCC'!R839:U839)</f>
        <v>0</v>
      </c>
      <c r="M27" s="50">
        <v>49</v>
      </c>
      <c r="N27" s="50">
        <v>0</v>
      </c>
      <c r="O27" s="15">
        <f t="shared" si="0"/>
        <v>13</v>
      </c>
      <c r="P27" s="15">
        <f t="shared" si="1"/>
        <v>62</v>
      </c>
      <c r="R27" s="29" t="s">
        <v>87</v>
      </c>
      <c r="S27" s="16">
        <f t="shared" ref="S27:AF27" si="19">SUM(S19:S21)</f>
        <v>110</v>
      </c>
      <c r="T27" s="16">
        <f t="shared" si="19"/>
        <v>36</v>
      </c>
      <c r="U27" s="16">
        <f t="shared" si="19"/>
        <v>102</v>
      </c>
      <c r="V27" s="16">
        <f t="shared" si="19"/>
        <v>194</v>
      </c>
      <c r="W27" s="16">
        <f t="shared" si="19"/>
        <v>25</v>
      </c>
      <c r="X27" s="16">
        <f t="shared" si="19"/>
        <v>2</v>
      </c>
      <c r="Y27" s="16">
        <f t="shared" si="19"/>
        <v>19</v>
      </c>
      <c r="Z27" s="16">
        <f t="shared" si="19"/>
        <v>5</v>
      </c>
      <c r="AA27" s="16">
        <f t="shared" si="19"/>
        <v>1</v>
      </c>
      <c r="AB27" s="16">
        <f t="shared" si="19"/>
        <v>0</v>
      </c>
      <c r="AC27" s="16">
        <f t="shared" si="19"/>
        <v>461</v>
      </c>
      <c r="AD27" s="16">
        <f t="shared" si="19"/>
        <v>0</v>
      </c>
      <c r="AE27" s="32">
        <f t="shared" si="19"/>
        <v>494</v>
      </c>
      <c r="AF27" s="32">
        <f t="shared" si="19"/>
        <v>955</v>
      </c>
    </row>
    <row r="28" spans="2:32" ht="23.1" customHeight="1" x14ac:dyDescent="0.25">
      <c r="B28" s="23" t="s">
        <v>55</v>
      </c>
      <c r="C28" s="50">
        <v>5</v>
      </c>
      <c r="D28" s="50">
        <v>1</v>
      </c>
      <c r="E28" s="50">
        <v>3</v>
      </c>
      <c r="F28" s="50">
        <v>5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f>SUM('[1]RD4 MCC'!R840:U840)</f>
        <v>0</v>
      </c>
      <c r="M28" s="50">
        <v>22</v>
      </c>
      <c r="N28" s="50">
        <v>0</v>
      </c>
      <c r="O28" s="15">
        <f t="shared" si="0"/>
        <v>16</v>
      </c>
      <c r="P28" s="15">
        <f t="shared" si="1"/>
        <v>38</v>
      </c>
      <c r="R28" s="5" t="s">
        <v>17</v>
      </c>
      <c r="S28" s="16">
        <f t="shared" ref="S28:AF28" si="20">SUM(S10:S21)</f>
        <v>331</v>
      </c>
      <c r="T28" s="16">
        <f t="shared" si="20"/>
        <v>59</v>
      </c>
      <c r="U28" s="16">
        <f t="shared" si="20"/>
        <v>213</v>
      </c>
      <c r="V28" s="16">
        <f t="shared" si="20"/>
        <v>668</v>
      </c>
      <c r="W28" s="16">
        <f t="shared" si="20"/>
        <v>56</v>
      </c>
      <c r="X28" s="16">
        <f t="shared" si="20"/>
        <v>3</v>
      </c>
      <c r="Y28" s="16">
        <f t="shared" si="20"/>
        <v>80</v>
      </c>
      <c r="Z28" s="16">
        <f t="shared" si="20"/>
        <v>7</v>
      </c>
      <c r="AA28" s="16">
        <f t="shared" si="20"/>
        <v>1</v>
      </c>
      <c r="AB28" s="16">
        <f t="shared" si="20"/>
        <v>0</v>
      </c>
      <c r="AC28" s="16">
        <f t="shared" si="20"/>
        <v>1797</v>
      </c>
      <c r="AD28" s="16">
        <f t="shared" si="20"/>
        <v>0</v>
      </c>
      <c r="AE28" s="32">
        <f t="shared" si="20"/>
        <v>1418</v>
      </c>
      <c r="AF28" s="32">
        <f t="shared" si="20"/>
        <v>3215</v>
      </c>
    </row>
    <row r="29" spans="2:32" ht="23.1" customHeight="1" x14ac:dyDescent="0.25">
      <c r="B29" s="23" t="s">
        <v>56</v>
      </c>
      <c r="C29" s="50">
        <v>7</v>
      </c>
      <c r="D29" s="50">
        <v>1</v>
      </c>
      <c r="E29" s="50">
        <v>3</v>
      </c>
      <c r="F29" s="50">
        <v>5</v>
      </c>
      <c r="G29" s="50">
        <v>0</v>
      </c>
      <c r="H29" s="50">
        <v>1</v>
      </c>
      <c r="I29" s="50">
        <v>3</v>
      </c>
      <c r="J29" s="50">
        <v>0</v>
      </c>
      <c r="K29" s="50">
        <v>0</v>
      </c>
      <c r="L29" s="50">
        <f>SUM('[1]RD4 MCC'!R841:U841)</f>
        <v>0</v>
      </c>
      <c r="M29" s="50">
        <v>24</v>
      </c>
      <c r="N29" s="50">
        <v>0</v>
      </c>
      <c r="O29" s="15">
        <f t="shared" si="0"/>
        <v>20</v>
      </c>
      <c r="P29" s="15">
        <f t="shared" si="1"/>
        <v>44</v>
      </c>
      <c r="R29"/>
      <c r="S29" s="20"/>
      <c r="T29" s="19"/>
    </row>
    <row r="30" spans="2:32" ht="23.1" customHeight="1" x14ac:dyDescent="0.25">
      <c r="B30" s="23" t="s">
        <v>57</v>
      </c>
      <c r="C30" s="50">
        <v>8</v>
      </c>
      <c r="D30" s="50">
        <v>2</v>
      </c>
      <c r="E30" s="50">
        <v>6</v>
      </c>
      <c r="F30" s="50">
        <v>27</v>
      </c>
      <c r="G30" s="50">
        <v>1</v>
      </c>
      <c r="H30" s="50">
        <v>0</v>
      </c>
      <c r="I30" s="50">
        <v>2</v>
      </c>
      <c r="J30" s="50">
        <v>0</v>
      </c>
      <c r="K30" s="50">
        <v>0</v>
      </c>
      <c r="L30" s="50">
        <f>SUM('[1]RD4 MCC'!R842:U842)</f>
        <v>0</v>
      </c>
      <c r="M30" s="50">
        <v>35</v>
      </c>
      <c r="N30" s="50">
        <v>0</v>
      </c>
      <c r="O30" s="15">
        <f t="shared" si="0"/>
        <v>46</v>
      </c>
      <c r="P30" s="15">
        <f t="shared" si="1"/>
        <v>81</v>
      </c>
    </row>
    <row r="31" spans="2:32" ht="23.1" customHeight="1" x14ac:dyDescent="0.25">
      <c r="B31" s="24" t="s">
        <v>58</v>
      </c>
      <c r="C31" s="50">
        <v>8</v>
      </c>
      <c r="D31" s="50">
        <v>2</v>
      </c>
      <c r="E31" s="50">
        <v>6</v>
      </c>
      <c r="F31" s="50">
        <v>20</v>
      </c>
      <c r="G31" s="50">
        <v>2</v>
      </c>
      <c r="H31" s="50">
        <v>0</v>
      </c>
      <c r="I31" s="50">
        <v>6</v>
      </c>
      <c r="J31" s="50">
        <v>0</v>
      </c>
      <c r="K31" s="50">
        <v>0</v>
      </c>
      <c r="L31" s="50">
        <f>SUM('[1]RD4 MCC'!R843:U843)</f>
        <v>0</v>
      </c>
      <c r="M31" s="50">
        <v>57</v>
      </c>
      <c r="N31" s="50">
        <v>0</v>
      </c>
      <c r="O31" s="15">
        <f t="shared" si="0"/>
        <v>44</v>
      </c>
      <c r="P31" s="15">
        <f t="shared" si="1"/>
        <v>101</v>
      </c>
    </row>
    <row r="32" spans="2:32" ht="23.1" customHeight="1" x14ac:dyDescent="0.25">
      <c r="B32" s="24" t="s">
        <v>59</v>
      </c>
      <c r="C32" s="50">
        <v>15</v>
      </c>
      <c r="D32" s="50">
        <v>2</v>
      </c>
      <c r="E32" s="50">
        <v>6</v>
      </c>
      <c r="F32" s="50">
        <v>17</v>
      </c>
      <c r="G32" s="50">
        <v>1</v>
      </c>
      <c r="H32" s="50">
        <v>0</v>
      </c>
      <c r="I32" s="50">
        <v>2</v>
      </c>
      <c r="J32" s="50">
        <v>0</v>
      </c>
      <c r="K32" s="50">
        <v>0</v>
      </c>
      <c r="L32" s="50">
        <f>SUM('[1]RD4 MCC'!R844:U844)</f>
        <v>0</v>
      </c>
      <c r="M32" s="50">
        <v>49</v>
      </c>
      <c r="N32" s="50">
        <v>0</v>
      </c>
      <c r="O32" s="15">
        <f t="shared" si="0"/>
        <v>43</v>
      </c>
      <c r="P32" s="15">
        <f t="shared" si="1"/>
        <v>92</v>
      </c>
    </row>
    <row r="33" spans="2:20" ht="23.1" customHeight="1" x14ac:dyDescent="0.25">
      <c r="B33" s="23" t="s">
        <v>60</v>
      </c>
      <c r="C33" s="50">
        <v>10</v>
      </c>
      <c r="D33" s="50">
        <v>0</v>
      </c>
      <c r="E33" s="50">
        <v>2</v>
      </c>
      <c r="F33" s="50">
        <v>10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f>SUM('[1]RD4 MCC'!R845:U845)</f>
        <v>0</v>
      </c>
      <c r="M33" s="50">
        <v>50</v>
      </c>
      <c r="N33" s="50">
        <v>0</v>
      </c>
      <c r="O33" s="15">
        <f t="shared" si="0"/>
        <v>26</v>
      </c>
      <c r="P33" s="15">
        <f t="shared" si="1"/>
        <v>76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3</v>
      </c>
      <c r="F34" s="50">
        <v>3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f>SUM('[1]RD4 MCC'!R846:U846)</f>
        <v>0</v>
      </c>
      <c r="M34" s="50">
        <v>50</v>
      </c>
      <c r="N34" s="50">
        <v>0</v>
      </c>
      <c r="O34" s="15">
        <f t="shared" si="0"/>
        <v>8</v>
      </c>
      <c r="P34" s="15">
        <f t="shared" si="1"/>
        <v>58</v>
      </c>
    </row>
    <row r="35" spans="2:20" ht="23.1" customHeight="1" x14ac:dyDescent="0.25">
      <c r="B35" s="24" t="s">
        <v>62</v>
      </c>
      <c r="C35" s="50">
        <v>16</v>
      </c>
      <c r="D35" s="50">
        <v>0</v>
      </c>
      <c r="E35" s="50">
        <v>2</v>
      </c>
      <c r="F35" s="50">
        <v>18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f>SUM('[1]RD4 MCC'!R847:U847)</f>
        <v>0</v>
      </c>
      <c r="M35" s="50">
        <v>53</v>
      </c>
      <c r="N35" s="50">
        <v>0</v>
      </c>
      <c r="O35" s="15">
        <f t="shared" si="0"/>
        <v>37</v>
      </c>
      <c r="P35" s="15">
        <f t="shared" si="1"/>
        <v>90</v>
      </c>
    </row>
    <row r="36" spans="2:20" ht="23.1" customHeight="1" x14ac:dyDescent="0.25">
      <c r="B36" s="24" t="s">
        <v>63</v>
      </c>
      <c r="C36" s="50">
        <v>11</v>
      </c>
      <c r="D36" s="50">
        <v>0</v>
      </c>
      <c r="E36" s="50">
        <v>2</v>
      </c>
      <c r="F36" s="50">
        <v>30</v>
      </c>
      <c r="G36" s="50">
        <v>1</v>
      </c>
      <c r="H36" s="50">
        <v>0</v>
      </c>
      <c r="I36" s="50">
        <v>0</v>
      </c>
      <c r="J36" s="50">
        <v>0</v>
      </c>
      <c r="K36" s="50">
        <v>0</v>
      </c>
      <c r="L36" s="50">
        <f>SUM('[1]RD4 MCC'!R848:U848)</f>
        <v>0</v>
      </c>
      <c r="M36" s="50">
        <v>35</v>
      </c>
      <c r="N36" s="50">
        <v>0</v>
      </c>
      <c r="O36" s="15">
        <f t="shared" si="0"/>
        <v>44</v>
      </c>
      <c r="P36" s="15">
        <f t="shared" si="1"/>
        <v>79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2</v>
      </c>
      <c r="F37" s="50">
        <v>8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f>SUM('[1]RD4 MCC'!R849:U849)</f>
        <v>0</v>
      </c>
      <c r="M37" s="50">
        <v>60</v>
      </c>
      <c r="N37" s="50">
        <v>0</v>
      </c>
      <c r="O37" s="15">
        <f t="shared" si="0"/>
        <v>16</v>
      </c>
      <c r="P37" s="15">
        <f t="shared" si="1"/>
        <v>76</v>
      </c>
    </row>
    <row r="38" spans="2:20" ht="23.1" customHeight="1" x14ac:dyDescent="0.25">
      <c r="B38" s="24" t="s">
        <v>65</v>
      </c>
      <c r="C38" s="50">
        <v>5</v>
      </c>
      <c r="D38" s="50">
        <v>0</v>
      </c>
      <c r="E38" s="50">
        <v>3</v>
      </c>
      <c r="F38" s="50">
        <v>5</v>
      </c>
      <c r="G38" s="50">
        <v>2</v>
      </c>
      <c r="H38" s="50">
        <v>0</v>
      </c>
      <c r="I38" s="50">
        <v>4</v>
      </c>
      <c r="J38" s="50">
        <v>0</v>
      </c>
      <c r="K38" s="50">
        <v>0</v>
      </c>
      <c r="L38" s="50">
        <f>SUM('[1]RD4 MCC'!R850:U850)</f>
        <v>0</v>
      </c>
      <c r="M38" s="50">
        <v>31</v>
      </c>
      <c r="N38" s="50">
        <v>0</v>
      </c>
      <c r="O38" s="15">
        <f t="shared" si="0"/>
        <v>19</v>
      </c>
      <c r="P38" s="15">
        <f t="shared" si="1"/>
        <v>50</v>
      </c>
    </row>
    <row r="39" spans="2:20" ht="23.1" customHeight="1" x14ac:dyDescent="0.25">
      <c r="B39" s="24" t="s">
        <v>66</v>
      </c>
      <c r="C39" s="50">
        <v>12</v>
      </c>
      <c r="D39" s="50">
        <v>1</v>
      </c>
      <c r="E39" s="50">
        <v>4</v>
      </c>
      <c r="F39" s="50">
        <v>25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f>SUM('[1]RD4 MCC'!R851:U851)</f>
        <v>0</v>
      </c>
      <c r="M39" s="50">
        <v>32</v>
      </c>
      <c r="N39" s="50">
        <v>0</v>
      </c>
      <c r="O39" s="15">
        <f t="shared" si="0"/>
        <v>42</v>
      </c>
      <c r="P39" s="15">
        <f t="shared" si="1"/>
        <v>74</v>
      </c>
    </row>
    <row r="40" spans="2:20" ht="23.1" customHeight="1" x14ac:dyDescent="0.25">
      <c r="B40" s="24" t="s">
        <v>67</v>
      </c>
      <c r="C40" s="50">
        <v>6</v>
      </c>
      <c r="D40" s="50">
        <v>1</v>
      </c>
      <c r="E40" s="50">
        <v>5</v>
      </c>
      <c r="F40" s="50">
        <v>10</v>
      </c>
      <c r="G40" s="50">
        <v>1</v>
      </c>
      <c r="H40" s="50">
        <v>0</v>
      </c>
      <c r="I40" s="50">
        <v>5</v>
      </c>
      <c r="J40" s="50">
        <v>0</v>
      </c>
      <c r="K40" s="50">
        <v>0</v>
      </c>
      <c r="L40" s="50">
        <f>SUM('[1]RD4 MCC'!R852:U852)</f>
        <v>0</v>
      </c>
      <c r="M40" s="50">
        <v>38</v>
      </c>
      <c r="N40" s="50">
        <v>0</v>
      </c>
      <c r="O40" s="15">
        <f t="shared" si="0"/>
        <v>28</v>
      </c>
      <c r="P40" s="15">
        <f t="shared" si="1"/>
        <v>66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1</v>
      </c>
      <c r="F41" s="50">
        <v>21</v>
      </c>
      <c r="G41" s="50">
        <v>2</v>
      </c>
      <c r="H41" s="50">
        <v>0</v>
      </c>
      <c r="I41" s="50">
        <v>1</v>
      </c>
      <c r="J41" s="50">
        <v>0</v>
      </c>
      <c r="K41" s="50">
        <v>0</v>
      </c>
      <c r="L41" s="50">
        <f>SUM('[1]RD4 MCC'!R853:U853)</f>
        <v>0</v>
      </c>
      <c r="M41" s="50">
        <v>23</v>
      </c>
      <c r="N41" s="50">
        <v>0</v>
      </c>
      <c r="O41" s="15">
        <f t="shared" si="0"/>
        <v>27</v>
      </c>
      <c r="P41" s="15">
        <f t="shared" si="1"/>
        <v>50</v>
      </c>
    </row>
    <row r="42" spans="2:20" ht="23.1" customHeight="1" x14ac:dyDescent="0.25">
      <c r="B42" s="24" t="s">
        <v>69</v>
      </c>
      <c r="C42" s="50">
        <v>12</v>
      </c>
      <c r="D42" s="50">
        <v>2</v>
      </c>
      <c r="E42" s="50">
        <v>7</v>
      </c>
      <c r="F42" s="50">
        <v>15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f>SUM('[1]RD4 MCC'!R854:U854)</f>
        <v>0</v>
      </c>
      <c r="M42" s="50">
        <v>7</v>
      </c>
      <c r="N42" s="50">
        <v>0</v>
      </c>
      <c r="O42" s="15">
        <f t="shared" si="0"/>
        <v>36</v>
      </c>
      <c r="P42" s="15">
        <f t="shared" si="1"/>
        <v>43</v>
      </c>
    </row>
    <row r="43" spans="2:20" ht="23.1" customHeight="1" x14ac:dyDescent="0.25">
      <c r="B43" s="23" t="s">
        <v>70</v>
      </c>
      <c r="C43" s="50">
        <v>7</v>
      </c>
      <c r="D43" s="50">
        <v>3</v>
      </c>
      <c r="E43" s="50">
        <v>7</v>
      </c>
      <c r="F43" s="50">
        <v>30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f>SUM('[1]RD4 MCC'!R855:U855)</f>
        <v>0</v>
      </c>
      <c r="M43" s="50">
        <v>1</v>
      </c>
      <c r="N43" s="50">
        <v>0</v>
      </c>
      <c r="O43" s="15">
        <f t="shared" si="0"/>
        <v>47</v>
      </c>
      <c r="P43" s="15">
        <f t="shared" si="1"/>
        <v>48</v>
      </c>
    </row>
    <row r="44" spans="2:20" ht="23.1" customHeight="1" x14ac:dyDescent="0.25">
      <c r="B44" s="25" t="s">
        <v>71</v>
      </c>
      <c r="C44" s="50">
        <v>7</v>
      </c>
      <c r="D44" s="50">
        <v>1</v>
      </c>
      <c r="E44" s="50">
        <v>3</v>
      </c>
      <c r="F44" s="50">
        <v>30</v>
      </c>
      <c r="G44" s="50">
        <v>3</v>
      </c>
      <c r="H44" s="50">
        <v>0</v>
      </c>
      <c r="I44" s="50">
        <v>3</v>
      </c>
      <c r="J44" s="50">
        <v>1</v>
      </c>
      <c r="K44" s="50">
        <v>0</v>
      </c>
      <c r="L44" s="50">
        <f>SUM('[1]RD4 MCC'!R856:U856)</f>
        <v>0</v>
      </c>
      <c r="M44" s="50">
        <v>7</v>
      </c>
      <c r="N44" s="50">
        <v>0</v>
      </c>
      <c r="O44" s="15">
        <f t="shared" si="0"/>
        <v>48</v>
      </c>
      <c r="P44" s="15">
        <f t="shared" si="1"/>
        <v>55</v>
      </c>
    </row>
    <row r="45" spans="2:20" ht="23.1" customHeight="1" x14ac:dyDescent="0.25">
      <c r="B45" s="23" t="s">
        <v>72</v>
      </c>
      <c r="C45" s="50">
        <v>9</v>
      </c>
      <c r="D45" s="50">
        <v>1</v>
      </c>
      <c r="E45" s="50">
        <v>5</v>
      </c>
      <c r="F45" s="50">
        <v>9</v>
      </c>
      <c r="G45" s="50">
        <v>2</v>
      </c>
      <c r="H45" s="50">
        <v>0</v>
      </c>
      <c r="I45" s="50">
        <v>5</v>
      </c>
      <c r="J45" s="50">
        <v>0</v>
      </c>
      <c r="K45" s="50">
        <v>0</v>
      </c>
      <c r="L45" s="50">
        <f>SUM('[1]RD4 MCC'!R857:U857)</f>
        <v>0</v>
      </c>
      <c r="M45" s="50">
        <v>39</v>
      </c>
      <c r="N45" s="50">
        <v>0</v>
      </c>
      <c r="O45" s="15">
        <f t="shared" si="0"/>
        <v>31</v>
      </c>
      <c r="P45" s="15">
        <f t="shared" si="1"/>
        <v>70</v>
      </c>
    </row>
    <row r="46" spans="2:20" ht="23.1" customHeight="1" x14ac:dyDescent="0.25">
      <c r="B46" s="24" t="s">
        <v>73</v>
      </c>
      <c r="C46" s="50">
        <v>6</v>
      </c>
      <c r="D46" s="50">
        <v>0</v>
      </c>
      <c r="E46" s="50">
        <v>0</v>
      </c>
      <c r="F46" s="50">
        <v>15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f>SUM('[1]RD4 MCC'!R858:U858)</f>
        <v>0</v>
      </c>
      <c r="M46" s="50">
        <v>35</v>
      </c>
      <c r="N46" s="50">
        <v>0</v>
      </c>
      <c r="O46" s="15">
        <f t="shared" si="0"/>
        <v>22</v>
      </c>
      <c r="P46" s="15">
        <f t="shared" si="1"/>
        <v>57</v>
      </c>
      <c r="R46" s="8"/>
      <c r="T46"/>
    </row>
    <row r="47" spans="2:20" ht="23.1" customHeight="1" x14ac:dyDescent="0.25">
      <c r="B47" s="24" t="s">
        <v>74</v>
      </c>
      <c r="C47" s="50">
        <v>10</v>
      </c>
      <c r="D47" s="50">
        <v>3</v>
      </c>
      <c r="E47" s="50">
        <v>8</v>
      </c>
      <c r="F47" s="50">
        <v>15</v>
      </c>
      <c r="G47" s="50">
        <v>1</v>
      </c>
      <c r="H47" s="50">
        <v>0</v>
      </c>
      <c r="I47" s="50">
        <v>0</v>
      </c>
      <c r="J47" s="50">
        <v>0</v>
      </c>
      <c r="K47" s="50">
        <v>0</v>
      </c>
      <c r="L47" s="50">
        <f>SUM('[1]RD4 MCC'!R859:U859)</f>
        <v>0</v>
      </c>
      <c r="M47" s="50">
        <v>29</v>
      </c>
      <c r="N47" s="50">
        <v>0</v>
      </c>
      <c r="O47" s="15">
        <f t="shared" si="0"/>
        <v>37</v>
      </c>
      <c r="P47" s="15">
        <f t="shared" si="1"/>
        <v>66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2</v>
      </c>
      <c r="E48" s="50">
        <v>8</v>
      </c>
      <c r="F48" s="50">
        <v>8</v>
      </c>
      <c r="G48" s="50">
        <v>3</v>
      </c>
      <c r="H48" s="50">
        <v>0</v>
      </c>
      <c r="I48" s="50">
        <v>1</v>
      </c>
      <c r="J48" s="50">
        <v>0</v>
      </c>
      <c r="K48" s="50">
        <v>0</v>
      </c>
      <c r="L48" s="50">
        <f>SUM('[1]RD4 MCC'!R860:U860)</f>
        <v>0</v>
      </c>
      <c r="M48" s="50">
        <v>20</v>
      </c>
      <c r="N48" s="50">
        <v>0</v>
      </c>
      <c r="O48" s="15">
        <f t="shared" si="0"/>
        <v>28</v>
      </c>
      <c r="P48" s="15">
        <f t="shared" si="1"/>
        <v>48</v>
      </c>
      <c r="R48" s="8"/>
      <c r="T48"/>
    </row>
    <row r="49" spans="2:20" ht="23.1" customHeight="1" x14ac:dyDescent="0.25">
      <c r="B49" s="23" t="s">
        <v>76</v>
      </c>
      <c r="C49" s="50">
        <v>11</v>
      </c>
      <c r="D49" s="50">
        <v>1</v>
      </c>
      <c r="E49" s="50">
        <v>3</v>
      </c>
      <c r="F49" s="50">
        <v>10</v>
      </c>
      <c r="G49" s="50">
        <v>2</v>
      </c>
      <c r="H49" s="50">
        <v>0</v>
      </c>
      <c r="I49" s="50">
        <v>4</v>
      </c>
      <c r="J49" s="50">
        <v>0</v>
      </c>
      <c r="K49" s="50">
        <v>0</v>
      </c>
      <c r="L49" s="50">
        <f>SUM('[1]RD4 MCC'!R861:U861)</f>
        <v>0</v>
      </c>
      <c r="M49" s="50">
        <v>40</v>
      </c>
      <c r="N49" s="50">
        <v>0</v>
      </c>
      <c r="O49" s="15">
        <f t="shared" si="0"/>
        <v>31</v>
      </c>
      <c r="P49" s="15">
        <f t="shared" si="1"/>
        <v>71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7</v>
      </c>
      <c r="E50" s="50">
        <v>18</v>
      </c>
      <c r="F50" s="50">
        <v>15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f>SUM('[1]RD4 MCC'!R862:U862)</f>
        <v>0</v>
      </c>
      <c r="M50" s="50">
        <v>60</v>
      </c>
      <c r="N50" s="50">
        <v>0</v>
      </c>
      <c r="O50" s="15">
        <f t="shared" si="0"/>
        <v>52</v>
      </c>
      <c r="P50" s="15">
        <f t="shared" si="1"/>
        <v>112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3</v>
      </c>
      <c r="E51" s="50">
        <v>8</v>
      </c>
      <c r="F51" s="50">
        <v>26</v>
      </c>
      <c r="G51" s="50">
        <v>1</v>
      </c>
      <c r="H51" s="50">
        <v>0</v>
      </c>
      <c r="I51" s="50">
        <v>1</v>
      </c>
      <c r="J51" s="50">
        <v>0</v>
      </c>
      <c r="K51" s="50">
        <v>0</v>
      </c>
      <c r="L51" s="50">
        <f>SUM('[1]RD4 MCC'!R863:U863)</f>
        <v>0</v>
      </c>
      <c r="M51" s="50">
        <v>67</v>
      </c>
      <c r="N51" s="50">
        <v>0</v>
      </c>
      <c r="O51" s="15">
        <f t="shared" si="0"/>
        <v>45</v>
      </c>
      <c r="P51" s="15">
        <f t="shared" si="1"/>
        <v>112</v>
      </c>
      <c r="R51" s="8"/>
      <c r="T51"/>
    </row>
    <row r="52" spans="2:20" ht="23.1" customHeight="1" x14ac:dyDescent="0.25">
      <c r="B52" s="24" t="s">
        <v>79</v>
      </c>
      <c r="C52" s="50">
        <v>10</v>
      </c>
      <c r="D52" s="50">
        <v>2</v>
      </c>
      <c r="E52" s="50">
        <v>7</v>
      </c>
      <c r="F52" s="50">
        <v>32</v>
      </c>
      <c r="G52" s="50">
        <v>2</v>
      </c>
      <c r="H52" s="50">
        <v>1</v>
      </c>
      <c r="I52" s="50">
        <v>2</v>
      </c>
      <c r="J52" s="50">
        <v>1</v>
      </c>
      <c r="K52" s="50">
        <v>0</v>
      </c>
      <c r="L52" s="50">
        <f>SUM('[1]RD4 MCC'!R864:U864)</f>
        <v>0</v>
      </c>
      <c r="M52" s="50">
        <v>45</v>
      </c>
      <c r="N52" s="50">
        <v>0</v>
      </c>
      <c r="O52" s="15">
        <f t="shared" si="0"/>
        <v>57</v>
      </c>
      <c r="P52" s="15">
        <f t="shared" si="1"/>
        <v>102</v>
      </c>
      <c r="R52" s="8"/>
      <c r="T52"/>
    </row>
    <row r="53" spans="2:20" ht="23.1" customHeight="1" x14ac:dyDescent="0.25">
      <c r="B53" s="23" t="s">
        <v>80</v>
      </c>
      <c r="C53" s="50">
        <v>9</v>
      </c>
      <c r="D53" s="50">
        <v>3</v>
      </c>
      <c r="E53" s="50">
        <v>7</v>
      </c>
      <c r="F53" s="50">
        <v>23</v>
      </c>
      <c r="G53" s="50">
        <v>2</v>
      </c>
      <c r="H53" s="50">
        <v>0</v>
      </c>
      <c r="I53" s="50">
        <v>3</v>
      </c>
      <c r="J53" s="50">
        <v>0</v>
      </c>
      <c r="K53" s="50">
        <v>0</v>
      </c>
      <c r="L53" s="50">
        <f>SUM('[1]RD4 MCC'!R865:U865)</f>
        <v>0</v>
      </c>
      <c r="M53" s="50">
        <v>37</v>
      </c>
      <c r="N53" s="50">
        <v>0</v>
      </c>
      <c r="O53" s="15">
        <f t="shared" si="0"/>
        <v>47</v>
      </c>
      <c r="P53" s="15">
        <f t="shared" si="1"/>
        <v>84</v>
      </c>
      <c r="R53" s="8"/>
      <c r="T53"/>
    </row>
    <row r="54" spans="2:20" ht="23.1" customHeight="1" x14ac:dyDescent="0.25">
      <c r="B54" s="23" t="s">
        <v>81</v>
      </c>
      <c r="C54" s="50">
        <v>19</v>
      </c>
      <c r="D54" s="50">
        <v>10</v>
      </c>
      <c r="E54" s="50">
        <v>25</v>
      </c>
      <c r="F54" s="50">
        <v>12</v>
      </c>
      <c r="G54" s="50">
        <v>7</v>
      </c>
      <c r="H54" s="50">
        <v>1</v>
      </c>
      <c r="I54" s="50">
        <v>2</v>
      </c>
      <c r="J54" s="50">
        <v>3</v>
      </c>
      <c r="K54" s="50">
        <v>0</v>
      </c>
      <c r="L54" s="50">
        <f>SUM('[1]RD4 MCC'!R866:U866)</f>
        <v>0</v>
      </c>
      <c r="M54" s="50">
        <v>25</v>
      </c>
      <c r="N54" s="50">
        <v>0</v>
      </c>
      <c r="O54" s="15">
        <f t="shared" si="0"/>
        <v>79</v>
      </c>
      <c r="P54" s="15">
        <f t="shared" si="1"/>
        <v>104</v>
      </c>
      <c r="R54" s="8"/>
      <c r="T54"/>
    </row>
    <row r="55" spans="2:20" ht="23.1" customHeight="1" x14ac:dyDescent="0.25">
      <c r="B55" s="23" t="s">
        <v>82</v>
      </c>
      <c r="C55" s="50">
        <v>9</v>
      </c>
      <c r="D55" s="50">
        <v>2</v>
      </c>
      <c r="E55" s="50">
        <v>7</v>
      </c>
      <c r="F55" s="50">
        <v>22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f>SUM('[1]RD4 MCC'!R867:U867)</f>
        <v>0</v>
      </c>
      <c r="M55" s="50">
        <v>35</v>
      </c>
      <c r="N55" s="50">
        <v>0</v>
      </c>
      <c r="O55" s="15">
        <f t="shared" si="0"/>
        <v>40</v>
      </c>
      <c r="P55" s="15">
        <f t="shared" si="1"/>
        <v>75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2</v>
      </c>
      <c r="E56" s="50">
        <v>6</v>
      </c>
      <c r="F56" s="50">
        <v>9</v>
      </c>
      <c r="G56" s="50">
        <v>3</v>
      </c>
      <c r="H56" s="50">
        <v>0</v>
      </c>
      <c r="I56" s="50">
        <v>2</v>
      </c>
      <c r="J56" s="50">
        <v>1</v>
      </c>
      <c r="K56" s="50">
        <v>0</v>
      </c>
      <c r="L56" s="50">
        <f>SUM('[1]RD4 MCC'!R868:U868)</f>
        <v>0</v>
      </c>
      <c r="M56" s="50">
        <v>40</v>
      </c>
      <c r="N56" s="50">
        <v>0</v>
      </c>
      <c r="O56" s="15">
        <f t="shared" si="0"/>
        <v>31</v>
      </c>
      <c r="P56" s="15">
        <f t="shared" si="1"/>
        <v>71</v>
      </c>
      <c r="R56" s="8"/>
      <c r="T56"/>
    </row>
    <row r="57" spans="2:20" ht="23.1" customHeight="1" x14ac:dyDescent="0.25">
      <c r="B57" s="23" t="s">
        <v>84</v>
      </c>
      <c r="C57" s="50">
        <v>7</v>
      </c>
      <c r="D57" s="50">
        <v>1</v>
      </c>
      <c r="E57" s="50">
        <v>5</v>
      </c>
      <c r="F57" s="50">
        <v>7</v>
      </c>
      <c r="G57" s="50">
        <v>4</v>
      </c>
      <c r="H57" s="50">
        <v>0</v>
      </c>
      <c r="I57" s="50">
        <v>0</v>
      </c>
      <c r="J57" s="50">
        <v>0</v>
      </c>
      <c r="K57" s="50">
        <v>1</v>
      </c>
      <c r="L57" s="50">
        <f>SUM('[1]RD4 MCC'!R869:U869)</f>
        <v>0</v>
      </c>
      <c r="M57" s="50">
        <v>28</v>
      </c>
      <c r="N57" s="50">
        <v>0</v>
      </c>
      <c r="O57" s="15">
        <f t="shared" si="0"/>
        <v>25</v>
      </c>
      <c r="P57" s="15">
        <f t="shared" si="1"/>
        <v>53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331</v>
      </c>
      <c r="D58" s="16">
        <f t="shared" si="21"/>
        <v>59</v>
      </c>
      <c r="E58" s="16">
        <f t="shared" si="21"/>
        <v>213</v>
      </c>
      <c r="F58" s="16">
        <f t="shared" si="21"/>
        <v>668</v>
      </c>
      <c r="G58" s="16">
        <f t="shared" si="21"/>
        <v>56</v>
      </c>
      <c r="H58" s="16">
        <f t="shared" si="21"/>
        <v>3</v>
      </c>
      <c r="I58" s="16">
        <f t="shared" si="21"/>
        <v>80</v>
      </c>
      <c r="J58" s="16">
        <f t="shared" si="21"/>
        <v>7</v>
      </c>
      <c r="K58" s="16">
        <f t="shared" si="21"/>
        <v>1</v>
      </c>
      <c r="L58" s="16">
        <f t="shared" si="21"/>
        <v>0</v>
      </c>
      <c r="M58" s="16">
        <f t="shared" si="21"/>
        <v>1797</v>
      </c>
      <c r="N58" s="16">
        <f t="shared" si="21"/>
        <v>0</v>
      </c>
      <c r="O58" s="16">
        <f t="shared" si="21"/>
        <v>1418</v>
      </c>
      <c r="P58" s="16">
        <f t="shared" si="21"/>
        <v>3215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0.10295489891135304</v>
      </c>
      <c r="D59" s="43">
        <f t="shared" si="22"/>
        <v>1.8351477449455676E-2</v>
      </c>
      <c r="E59" s="43">
        <f t="shared" si="22"/>
        <v>6.625194401244168E-2</v>
      </c>
      <c r="F59" s="43">
        <f t="shared" si="22"/>
        <v>0.20777604976671851</v>
      </c>
      <c r="G59" s="43">
        <f t="shared" si="22"/>
        <v>1.7418351477449457E-2</v>
      </c>
      <c r="H59" s="43">
        <f t="shared" si="22"/>
        <v>9.3312597200622088E-4</v>
      </c>
      <c r="I59" s="43">
        <f t="shared" si="22"/>
        <v>2.4883359253499222E-2</v>
      </c>
      <c r="J59" s="43">
        <f t="shared" si="22"/>
        <v>2.1772939346811821E-3</v>
      </c>
      <c r="K59" s="43">
        <f t="shared" si="22"/>
        <v>3.1104199066874026E-4</v>
      </c>
      <c r="L59" s="43">
        <f t="shared" si="22"/>
        <v>0</v>
      </c>
      <c r="M59" s="43">
        <f t="shared" si="22"/>
        <v>0.55894245723172631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0.23342736248236953</v>
      </c>
      <c r="D60" s="44">
        <f t="shared" ref="D60:N60" si="23">D58/$O$58</f>
        <v>4.1607898448519039E-2</v>
      </c>
      <c r="E60" s="44">
        <f t="shared" si="23"/>
        <v>0.15021156558533144</v>
      </c>
      <c r="F60" s="44">
        <f t="shared" si="23"/>
        <v>0.47108603667136811</v>
      </c>
      <c r="G60" s="44">
        <f t="shared" si="23"/>
        <v>3.9492242595204514E-2</v>
      </c>
      <c r="H60" s="44">
        <f t="shared" si="23"/>
        <v>2.1156558533145277E-3</v>
      </c>
      <c r="I60" s="44">
        <f t="shared" si="23"/>
        <v>5.6417489421720736E-2</v>
      </c>
      <c r="J60" s="44">
        <f t="shared" si="23"/>
        <v>4.9365303244005643E-3</v>
      </c>
      <c r="K60" s="44">
        <f t="shared" si="23"/>
        <v>7.0521861777150916E-4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10" sqref="D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Jinja-Buwenge'!C3:G3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'18.08 Buwenge-Jinja'!D5</f>
        <v>18.08.19</v>
      </c>
      <c r="E5" s="3"/>
      <c r="F5" s="41" t="s">
        <v>1</v>
      </c>
      <c r="G5" s="63" t="str">
        <f>'18.08 Buwenge-Jinja'!G5:H5</f>
        <v>xxx</v>
      </c>
      <c r="H5" s="64"/>
      <c r="I5" s="14"/>
      <c r="J5" s="2" t="s">
        <v>5</v>
      </c>
      <c r="K5" s="63" t="str">
        <f>'18.08 Buwenge-Jinja'!K5:L5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Jinja-Buwenge'!D6:E6</f>
        <v>Jinja</v>
      </c>
      <c r="E6" s="64"/>
      <c r="F6" s="2" t="s">
        <v>2</v>
      </c>
      <c r="G6" s="63" t="str">
        <f>'12.08 Jinja-Buwenge'!G6:H6</f>
        <v>Buwenge</v>
      </c>
      <c r="H6" s="64"/>
      <c r="J6" s="2" t="s">
        <v>21</v>
      </c>
      <c r="K6" s="63" t="str">
        <f>'18.08 Buwenge-Jinja'!K6:L6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1</v>
      </c>
      <c r="E10" s="50">
        <v>3</v>
      </c>
      <c r="F10" s="50">
        <v>2</v>
      </c>
      <c r="G10" s="50">
        <v>2</v>
      </c>
      <c r="H10" s="50">
        <v>0</v>
      </c>
      <c r="I10" s="50">
        <v>3</v>
      </c>
      <c r="J10" s="50">
        <v>1</v>
      </c>
      <c r="K10" s="50">
        <v>0</v>
      </c>
      <c r="L10" s="50">
        <f>SUM('[1]RD4 MCC'!R774:U774)</f>
        <v>0</v>
      </c>
      <c r="M10" s="50">
        <v>2</v>
      </c>
      <c r="N10" s="50">
        <v>0</v>
      </c>
      <c r="O10" s="15">
        <f t="shared" ref="O10:O57" si="0">SUM(C10:L10,N10)</f>
        <v>12</v>
      </c>
      <c r="P10" s="15">
        <f t="shared" ref="P10:P57" si="1">SUM(C10:N10)</f>
        <v>14</v>
      </c>
      <c r="R10" s="1" t="s">
        <v>6</v>
      </c>
      <c r="S10" s="17">
        <f t="shared" ref="S10:AF10" si="2">SUM(C10:C13)</f>
        <v>9</v>
      </c>
      <c r="T10" s="17">
        <f t="shared" si="2"/>
        <v>1</v>
      </c>
      <c r="U10" s="17">
        <f t="shared" si="2"/>
        <v>8</v>
      </c>
      <c r="V10" s="17">
        <f t="shared" si="2"/>
        <v>21</v>
      </c>
      <c r="W10" s="17">
        <f t="shared" si="2"/>
        <v>5</v>
      </c>
      <c r="X10" s="17">
        <f t="shared" si="2"/>
        <v>0</v>
      </c>
      <c r="Y10" s="17">
        <f t="shared" si="2"/>
        <v>7</v>
      </c>
      <c r="Z10" s="17">
        <f t="shared" si="2"/>
        <v>1</v>
      </c>
      <c r="AA10" s="17">
        <f t="shared" si="2"/>
        <v>0</v>
      </c>
      <c r="AB10" s="17">
        <f t="shared" si="2"/>
        <v>1</v>
      </c>
      <c r="AC10" s="17">
        <f t="shared" si="2"/>
        <v>26</v>
      </c>
      <c r="AD10" s="17">
        <f t="shared" si="2"/>
        <v>0</v>
      </c>
      <c r="AE10" s="31">
        <f t="shared" si="2"/>
        <v>53</v>
      </c>
      <c r="AF10" s="31">
        <f t="shared" si="2"/>
        <v>79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2</v>
      </c>
      <c r="F11" s="50">
        <v>7</v>
      </c>
      <c r="G11" s="50">
        <v>1</v>
      </c>
      <c r="H11" s="50">
        <v>0</v>
      </c>
      <c r="I11" s="50">
        <v>1</v>
      </c>
      <c r="J11" s="50">
        <v>0</v>
      </c>
      <c r="K11" s="50">
        <v>0</v>
      </c>
      <c r="L11" s="50">
        <f>SUM('[1]RD4 MCC'!R775:U775)</f>
        <v>1</v>
      </c>
      <c r="M11" s="50">
        <v>7</v>
      </c>
      <c r="N11" s="50">
        <v>0</v>
      </c>
      <c r="O11" s="15">
        <f t="shared" si="0"/>
        <v>15</v>
      </c>
      <c r="P11" s="15">
        <f t="shared" si="1"/>
        <v>22</v>
      </c>
      <c r="R11" s="1" t="s">
        <v>7</v>
      </c>
      <c r="S11" s="17">
        <f t="shared" ref="S11:AF11" si="3">SUM(C14:C17)</f>
        <v>23</v>
      </c>
      <c r="T11" s="17">
        <f t="shared" si="3"/>
        <v>1</v>
      </c>
      <c r="U11" s="17">
        <f t="shared" si="3"/>
        <v>10</v>
      </c>
      <c r="V11" s="17">
        <f t="shared" si="3"/>
        <v>36</v>
      </c>
      <c r="W11" s="17">
        <f t="shared" si="3"/>
        <v>4</v>
      </c>
      <c r="X11" s="17">
        <f t="shared" si="3"/>
        <v>0</v>
      </c>
      <c r="Y11" s="17">
        <f t="shared" si="3"/>
        <v>7</v>
      </c>
      <c r="Z11" s="17">
        <f t="shared" si="3"/>
        <v>0</v>
      </c>
      <c r="AA11" s="17">
        <f t="shared" si="3"/>
        <v>0</v>
      </c>
      <c r="AB11" s="17">
        <f t="shared" si="3"/>
        <v>1</v>
      </c>
      <c r="AC11" s="17">
        <f t="shared" si="3"/>
        <v>71</v>
      </c>
      <c r="AD11" s="17">
        <f t="shared" si="3"/>
        <v>0</v>
      </c>
      <c r="AE11" s="31">
        <f t="shared" si="3"/>
        <v>82</v>
      </c>
      <c r="AF11" s="31">
        <f t="shared" si="3"/>
        <v>153</v>
      </c>
    </row>
    <row r="12" spans="2:32" ht="23.1" customHeight="1" x14ac:dyDescent="0.25">
      <c r="B12" s="23" t="s">
        <v>39</v>
      </c>
      <c r="C12" s="50">
        <v>5</v>
      </c>
      <c r="D12" s="50">
        <v>0</v>
      </c>
      <c r="E12" s="50">
        <v>1</v>
      </c>
      <c r="F12" s="50">
        <v>5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f>SUM('[1]RD4 MCC'!R776:U776)</f>
        <v>0</v>
      </c>
      <c r="M12" s="50">
        <v>9</v>
      </c>
      <c r="N12" s="50">
        <v>0</v>
      </c>
      <c r="O12" s="15">
        <f t="shared" si="0"/>
        <v>13</v>
      </c>
      <c r="P12" s="15">
        <f t="shared" si="1"/>
        <v>22</v>
      </c>
      <c r="R12" s="1" t="s">
        <v>8</v>
      </c>
      <c r="S12" s="17">
        <f t="shared" ref="S12:AF12" si="4">SUM(C18:C21)</f>
        <v>34</v>
      </c>
      <c r="T12" s="17">
        <f t="shared" si="4"/>
        <v>5</v>
      </c>
      <c r="U12" s="17">
        <f t="shared" si="4"/>
        <v>19</v>
      </c>
      <c r="V12" s="17">
        <f t="shared" si="4"/>
        <v>45</v>
      </c>
      <c r="W12" s="17">
        <f t="shared" si="4"/>
        <v>4</v>
      </c>
      <c r="X12" s="17">
        <f t="shared" si="4"/>
        <v>0</v>
      </c>
      <c r="Y12" s="17">
        <f t="shared" si="4"/>
        <v>10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111</v>
      </c>
      <c r="AD12" s="17">
        <f t="shared" si="4"/>
        <v>0</v>
      </c>
      <c r="AE12" s="31">
        <f t="shared" si="4"/>
        <v>119</v>
      </c>
      <c r="AF12" s="31">
        <f t="shared" si="4"/>
        <v>230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2</v>
      </c>
      <c r="F13" s="50">
        <v>7</v>
      </c>
      <c r="G13" s="50">
        <v>2</v>
      </c>
      <c r="H13" s="50">
        <v>0</v>
      </c>
      <c r="I13" s="50">
        <v>1</v>
      </c>
      <c r="J13" s="50">
        <v>0</v>
      </c>
      <c r="K13" s="50">
        <v>0</v>
      </c>
      <c r="L13" s="50">
        <f>SUM('[1]RD4 MCC'!R777:U777)</f>
        <v>0</v>
      </c>
      <c r="M13" s="50">
        <v>8</v>
      </c>
      <c r="N13" s="50">
        <v>0</v>
      </c>
      <c r="O13" s="15">
        <f t="shared" si="0"/>
        <v>13</v>
      </c>
      <c r="P13" s="15">
        <f t="shared" si="1"/>
        <v>21</v>
      </c>
      <c r="R13" s="1" t="s">
        <v>9</v>
      </c>
      <c r="S13" s="17">
        <f t="shared" ref="S13:AF13" si="5">SUM(C22:C25)</f>
        <v>31</v>
      </c>
      <c r="T13" s="17">
        <f t="shared" si="5"/>
        <v>6</v>
      </c>
      <c r="U13" s="17">
        <f t="shared" si="5"/>
        <v>21</v>
      </c>
      <c r="V13" s="17">
        <f t="shared" si="5"/>
        <v>44</v>
      </c>
      <c r="W13" s="17">
        <f t="shared" si="5"/>
        <v>4</v>
      </c>
      <c r="X13" s="17">
        <f t="shared" si="5"/>
        <v>0</v>
      </c>
      <c r="Y13" s="17">
        <f t="shared" si="5"/>
        <v>7</v>
      </c>
      <c r="Z13" s="17">
        <f t="shared" si="5"/>
        <v>0</v>
      </c>
      <c r="AA13" s="17">
        <f t="shared" si="5"/>
        <v>1</v>
      </c>
      <c r="AB13" s="17">
        <f t="shared" si="5"/>
        <v>1</v>
      </c>
      <c r="AC13" s="17">
        <f t="shared" si="5"/>
        <v>161</v>
      </c>
      <c r="AD13" s="17">
        <f t="shared" si="5"/>
        <v>0</v>
      </c>
      <c r="AE13" s="31">
        <f t="shared" si="5"/>
        <v>115</v>
      </c>
      <c r="AF13" s="31">
        <f t="shared" si="5"/>
        <v>276</v>
      </c>
    </row>
    <row r="14" spans="2:32" ht="23.1" customHeight="1" x14ac:dyDescent="0.25">
      <c r="B14" s="23" t="s">
        <v>41</v>
      </c>
      <c r="C14" s="50">
        <v>5</v>
      </c>
      <c r="D14" s="50">
        <v>0</v>
      </c>
      <c r="E14" s="50">
        <v>2</v>
      </c>
      <c r="F14" s="50">
        <v>9</v>
      </c>
      <c r="G14" s="50">
        <v>1</v>
      </c>
      <c r="H14" s="50">
        <v>0</v>
      </c>
      <c r="I14" s="50">
        <v>2</v>
      </c>
      <c r="J14" s="50">
        <v>0</v>
      </c>
      <c r="K14" s="50">
        <v>0</v>
      </c>
      <c r="L14" s="50">
        <f>SUM('[1]RD4 MCC'!R778:U778)</f>
        <v>0</v>
      </c>
      <c r="M14" s="50">
        <v>16</v>
      </c>
      <c r="N14" s="50">
        <v>0</v>
      </c>
      <c r="O14" s="15">
        <f t="shared" si="0"/>
        <v>19</v>
      </c>
      <c r="P14" s="15">
        <f t="shared" si="1"/>
        <v>35</v>
      </c>
      <c r="R14" s="1" t="s">
        <v>10</v>
      </c>
      <c r="S14" s="17">
        <f t="shared" ref="S14:AF14" si="6">SUM(C26:C29)</f>
        <v>45</v>
      </c>
      <c r="T14" s="17">
        <f t="shared" si="6"/>
        <v>2</v>
      </c>
      <c r="U14" s="17">
        <f t="shared" si="6"/>
        <v>13</v>
      </c>
      <c r="V14" s="17">
        <f t="shared" si="6"/>
        <v>43</v>
      </c>
      <c r="W14" s="17">
        <f t="shared" si="6"/>
        <v>3</v>
      </c>
      <c r="X14" s="17">
        <f t="shared" si="6"/>
        <v>0</v>
      </c>
      <c r="Y14" s="17">
        <f t="shared" si="6"/>
        <v>13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177</v>
      </c>
      <c r="AD14" s="17">
        <f t="shared" si="6"/>
        <v>0</v>
      </c>
      <c r="AE14" s="31">
        <f t="shared" si="6"/>
        <v>120</v>
      </c>
      <c r="AF14" s="31">
        <f t="shared" si="6"/>
        <v>297</v>
      </c>
    </row>
    <row r="15" spans="2:32" ht="23.1" customHeight="1" x14ac:dyDescent="0.25">
      <c r="B15" s="23" t="s">
        <v>42</v>
      </c>
      <c r="C15" s="50">
        <v>6</v>
      </c>
      <c r="D15" s="50">
        <v>0</v>
      </c>
      <c r="E15" s="50">
        <v>2</v>
      </c>
      <c r="F15" s="50">
        <v>9</v>
      </c>
      <c r="G15" s="50">
        <v>1</v>
      </c>
      <c r="H15" s="50">
        <v>0</v>
      </c>
      <c r="I15" s="50">
        <v>2</v>
      </c>
      <c r="J15" s="50">
        <v>0</v>
      </c>
      <c r="K15" s="50">
        <v>0</v>
      </c>
      <c r="L15" s="50">
        <f>SUM('[1]RD4 MCC'!R779:U779)</f>
        <v>0</v>
      </c>
      <c r="M15" s="50">
        <v>22</v>
      </c>
      <c r="N15" s="50">
        <v>0</v>
      </c>
      <c r="O15" s="15">
        <f t="shared" si="0"/>
        <v>20</v>
      </c>
      <c r="P15" s="15">
        <f t="shared" si="1"/>
        <v>42</v>
      </c>
      <c r="R15" s="1" t="s">
        <v>11</v>
      </c>
      <c r="S15" s="17">
        <f t="shared" ref="S15:AF15" si="7">SUM(C30:C33)</f>
        <v>46</v>
      </c>
      <c r="T15" s="17">
        <f t="shared" si="7"/>
        <v>11</v>
      </c>
      <c r="U15" s="17">
        <f t="shared" si="7"/>
        <v>27</v>
      </c>
      <c r="V15" s="17">
        <f t="shared" si="7"/>
        <v>70</v>
      </c>
      <c r="W15" s="17">
        <f t="shared" si="7"/>
        <v>2</v>
      </c>
      <c r="X15" s="17">
        <f t="shared" si="7"/>
        <v>0</v>
      </c>
      <c r="Y15" s="17">
        <f t="shared" si="7"/>
        <v>10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152</v>
      </c>
      <c r="AD15" s="17">
        <f t="shared" si="7"/>
        <v>0</v>
      </c>
      <c r="AE15" s="31">
        <f t="shared" si="7"/>
        <v>168</v>
      </c>
      <c r="AF15" s="31">
        <f t="shared" si="7"/>
        <v>320</v>
      </c>
    </row>
    <row r="16" spans="2:32" ht="23.1" customHeight="1" x14ac:dyDescent="0.25">
      <c r="B16" s="23" t="s">
        <v>43</v>
      </c>
      <c r="C16" s="50">
        <v>8</v>
      </c>
      <c r="D16" s="50">
        <v>1</v>
      </c>
      <c r="E16" s="50">
        <v>3</v>
      </c>
      <c r="F16" s="50">
        <v>11</v>
      </c>
      <c r="G16" s="50">
        <v>1</v>
      </c>
      <c r="H16" s="50">
        <v>0</v>
      </c>
      <c r="I16" s="50">
        <v>2</v>
      </c>
      <c r="J16" s="50">
        <v>0</v>
      </c>
      <c r="K16" s="50">
        <v>0</v>
      </c>
      <c r="L16" s="50">
        <f>SUM('[1]RD4 MCC'!R780:U780)</f>
        <v>1</v>
      </c>
      <c r="M16" s="50">
        <v>20</v>
      </c>
      <c r="N16" s="50">
        <v>0</v>
      </c>
      <c r="O16" s="15">
        <f t="shared" si="0"/>
        <v>27</v>
      </c>
      <c r="P16" s="15">
        <f t="shared" si="1"/>
        <v>47</v>
      </c>
      <c r="R16" s="1" t="s">
        <v>12</v>
      </c>
      <c r="S16" s="17">
        <f t="shared" ref="S16:AF16" si="8">SUM(C34:C37)</f>
        <v>46</v>
      </c>
      <c r="T16" s="17">
        <f t="shared" si="8"/>
        <v>5</v>
      </c>
      <c r="U16" s="17">
        <f t="shared" si="8"/>
        <v>16</v>
      </c>
      <c r="V16" s="17">
        <f t="shared" si="8"/>
        <v>44</v>
      </c>
      <c r="W16" s="17">
        <f t="shared" si="8"/>
        <v>5</v>
      </c>
      <c r="X16" s="17">
        <f t="shared" si="8"/>
        <v>0</v>
      </c>
      <c r="Y16" s="17">
        <f t="shared" si="8"/>
        <v>9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144</v>
      </c>
      <c r="AD16" s="17">
        <f t="shared" si="8"/>
        <v>0</v>
      </c>
      <c r="AE16" s="31">
        <f t="shared" si="8"/>
        <v>125</v>
      </c>
      <c r="AF16" s="31">
        <f t="shared" si="8"/>
        <v>269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3</v>
      </c>
      <c r="F17" s="50">
        <v>7</v>
      </c>
      <c r="G17" s="50">
        <v>1</v>
      </c>
      <c r="H17" s="50">
        <v>0</v>
      </c>
      <c r="I17" s="50">
        <v>1</v>
      </c>
      <c r="J17" s="50">
        <v>0</v>
      </c>
      <c r="K17" s="50">
        <v>0</v>
      </c>
      <c r="L17" s="50">
        <f>SUM('[1]RD4 MCC'!R781:U781)</f>
        <v>0</v>
      </c>
      <c r="M17" s="50">
        <v>13</v>
      </c>
      <c r="N17" s="50">
        <v>0</v>
      </c>
      <c r="O17" s="15">
        <f t="shared" si="0"/>
        <v>16</v>
      </c>
      <c r="P17" s="15">
        <f t="shared" si="1"/>
        <v>29</v>
      </c>
      <c r="R17" s="1" t="s">
        <v>13</v>
      </c>
      <c r="S17" s="17">
        <f t="shared" ref="S17:AF17" si="9">SUM(C38:C41)</f>
        <v>44</v>
      </c>
      <c r="T17" s="17">
        <f t="shared" si="9"/>
        <v>5</v>
      </c>
      <c r="U17" s="17">
        <f t="shared" si="9"/>
        <v>19</v>
      </c>
      <c r="V17" s="17">
        <f t="shared" si="9"/>
        <v>47</v>
      </c>
      <c r="W17" s="17">
        <f t="shared" si="9"/>
        <v>1</v>
      </c>
      <c r="X17" s="17">
        <f t="shared" si="9"/>
        <v>0</v>
      </c>
      <c r="Y17" s="17">
        <f t="shared" si="9"/>
        <v>9</v>
      </c>
      <c r="Z17" s="17">
        <f t="shared" si="9"/>
        <v>2</v>
      </c>
      <c r="AA17" s="17">
        <f t="shared" si="9"/>
        <v>1</v>
      </c>
      <c r="AB17" s="17">
        <f t="shared" si="9"/>
        <v>2</v>
      </c>
      <c r="AC17" s="17">
        <f t="shared" si="9"/>
        <v>177</v>
      </c>
      <c r="AD17" s="17">
        <f t="shared" si="9"/>
        <v>0</v>
      </c>
      <c r="AE17" s="31">
        <f t="shared" si="9"/>
        <v>130</v>
      </c>
      <c r="AF17" s="31">
        <f t="shared" si="9"/>
        <v>307</v>
      </c>
    </row>
    <row r="18" spans="2:32" ht="23.1" customHeight="1" x14ac:dyDescent="0.25">
      <c r="B18" s="23" t="s">
        <v>45</v>
      </c>
      <c r="C18" s="50">
        <v>8</v>
      </c>
      <c r="D18" s="50">
        <v>3</v>
      </c>
      <c r="E18" s="50">
        <v>8</v>
      </c>
      <c r="F18" s="50">
        <v>13</v>
      </c>
      <c r="G18" s="50">
        <v>3</v>
      </c>
      <c r="H18" s="50">
        <v>0</v>
      </c>
      <c r="I18" s="50">
        <v>1</v>
      </c>
      <c r="J18" s="50">
        <v>0</v>
      </c>
      <c r="K18" s="50">
        <v>0</v>
      </c>
      <c r="L18" s="50">
        <f>SUM('[1]RD4 MCC'!R782:U782)</f>
        <v>0</v>
      </c>
      <c r="M18" s="50">
        <v>30</v>
      </c>
      <c r="N18" s="50">
        <v>0</v>
      </c>
      <c r="O18" s="15">
        <f t="shared" si="0"/>
        <v>36</v>
      </c>
      <c r="P18" s="15">
        <f t="shared" si="1"/>
        <v>66</v>
      </c>
      <c r="R18" s="1" t="s">
        <v>14</v>
      </c>
      <c r="S18" s="17">
        <f t="shared" ref="S18:AF18" si="10">SUM(C42:C45)</f>
        <v>37</v>
      </c>
      <c r="T18" s="17">
        <f t="shared" si="10"/>
        <v>3</v>
      </c>
      <c r="U18" s="17">
        <f t="shared" si="10"/>
        <v>14</v>
      </c>
      <c r="V18" s="17">
        <f t="shared" si="10"/>
        <v>34</v>
      </c>
      <c r="W18" s="17">
        <f t="shared" si="10"/>
        <v>3</v>
      </c>
      <c r="X18" s="17">
        <f t="shared" si="10"/>
        <v>0</v>
      </c>
      <c r="Y18" s="17">
        <f t="shared" si="10"/>
        <v>10</v>
      </c>
      <c r="Z18" s="17">
        <f t="shared" si="10"/>
        <v>1</v>
      </c>
      <c r="AA18" s="17">
        <f t="shared" si="10"/>
        <v>0</v>
      </c>
      <c r="AB18" s="17">
        <f t="shared" si="10"/>
        <v>1</v>
      </c>
      <c r="AC18" s="17">
        <f t="shared" si="10"/>
        <v>28</v>
      </c>
      <c r="AD18" s="17">
        <f t="shared" si="10"/>
        <v>0</v>
      </c>
      <c r="AE18" s="31">
        <f t="shared" si="10"/>
        <v>103</v>
      </c>
      <c r="AF18" s="31">
        <f t="shared" si="10"/>
        <v>131</v>
      </c>
    </row>
    <row r="19" spans="2:32" ht="23.1" customHeight="1" x14ac:dyDescent="0.25">
      <c r="B19" s="23" t="s">
        <v>46</v>
      </c>
      <c r="C19" s="50">
        <v>6</v>
      </c>
      <c r="D19" s="50">
        <v>1</v>
      </c>
      <c r="E19" s="50">
        <v>4</v>
      </c>
      <c r="F19" s="50">
        <v>11</v>
      </c>
      <c r="G19" s="50">
        <v>0</v>
      </c>
      <c r="H19" s="50">
        <v>0</v>
      </c>
      <c r="I19" s="50">
        <v>4</v>
      </c>
      <c r="J19" s="50">
        <v>0</v>
      </c>
      <c r="K19" s="50">
        <v>0</v>
      </c>
      <c r="L19" s="50">
        <f>SUM('[1]RD4 MCC'!R783:U783)</f>
        <v>0</v>
      </c>
      <c r="M19" s="50">
        <v>39</v>
      </c>
      <c r="N19" s="50">
        <v>0</v>
      </c>
      <c r="O19" s="15">
        <f t="shared" si="0"/>
        <v>26</v>
      </c>
      <c r="P19" s="15">
        <f t="shared" si="1"/>
        <v>65</v>
      </c>
      <c r="R19" s="1" t="s">
        <v>15</v>
      </c>
      <c r="S19" s="17">
        <f t="shared" ref="S19:AF19" si="11">SUM(C46:C49)</f>
        <v>28</v>
      </c>
      <c r="T19" s="17">
        <f t="shared" si="11"/>
        <v>1</v>
      </c>
      <c r="U19" s="17">
        <f t="shared" si="11"/>
        <v>8</v>
      </c>
      <c r="V19" s="17">
        <f t="shared" si="11"/>
        <v>45</v>
      </c>
      <c r="W19" s="17">
        <f t="shared" si="11"/>
        <v>1</v>
      </c>
      <c r="X19" s="17">
        <f t="shared" si="11"/>
        <v>0</v>
      </c>
      <c r="Y19" s="17">
        <f t="shared" si="11"/>
        <v>8</v>
      </c>
      <c r="Z19" s="17">
        <f t="shared" si="11"/>
        <v>2</v>
      </c>
      <c r="AA19" s="17">
        <f t="shared" si="11"/>
        <v>0</v>
      </c>
      <c r="AB19" s="17">
        <f t="shared" si="11"/>
        <v>2</v>
      </c>
      <c r="AC19" s="17">
        <f t="shared" si="11"/>
        <v>167</v>
      </c>
      <c r="AD19" s="17">
        <f t="shared" si="11"/>
        <v>0</v>
      </c>
      <c r="AE19" s="31">
        <f t="shared" si="11"/>
        <v>95</v>
      </c>
      <c r="AF19" s="31">
        <f t="shared" si="11"/>
        <v>262</v>
      </c>
    </row>
    <row r="20" spans="2:32" ht="23.1" customHeight="1" x14ac:dyDescent="0.25">
      <c r="B20" s="23" t="s">
        <v>47</v>
      </c>
      <c r="C20" s="50">
        <v>10</v>
      </c>
      <c r="D20" s="50">
        <v>1</v>
      </c>
      <c r="E20" s="50">
        <v>4</v>
      </c>
      <c r="F20" s="50">
        <v>10</v>
      </c>
      <c r="G20" s="50">
        <v>1</v>
      </c>
      <c r="H20" s="50">
        <v>0</v>
      </c>
      <c r="I20" s="50">
        <v>4</v>
      </c>
      <c r="J20" s="50">
        <v>0</v>
      </c>
      <c r="K20" s="50">
        <v>0</v>
      </c>
      <c r="L20" s="50">
        <f>SUM('[1]RD4 MCC'!R784:U784)</f>
        <v>0</v>
      </c>
      <c r="M20" s="50">
        <v>12</v>
      </c>
      <c r="N20" s="50">
        <v>0</v>
      </c>
      <c r="O20" s="15">
        <f t="shared" si="0"/>
        <v>30</v>
      </c>
      <c r="P20" s="15">
        <f t="shared" si="1"/>
        <v>42</v>
      </c>
      <c r="R20" s="1" t="s">
        <v>16</v>
      </c>
      <c r="S20" s="17">
        <f t="shared" ref="S20:AF20" si="12">SUM(C50:C53)</f>
        <v>26</v>
      </c>
      <c r="T20" s="17">
        <f t="shared" si="12"/>
        <v>2</v>
      </c>
      <c r="U20" s="17">
        <f t="shared" si="12"/>
        <v>11</v>
      </c>
      <c r="V20" s="17">
        <f t="shared" si="12"/>
        <v>45</v>
      </c>
      <c r="W20" s="17">
        <f t="shared" si="12"/>
        <v>4</v>
      </c>
      <c r="X20" s="17">
        <f t="shared" si="12"/>
        <v>0</v>
      </c>
      <c r="Y20" s="17">
        <f t="shared" si="12"/>
        <v>10</v>
      </c>
      <c r="Z20" s="17">
        <f t="shared" si="12"/>
        <v>2</v>
      </c>
      <c r="AA20" s="17">
        <f t="shared" si="12"/>
        <v>0</v>
      </c>
      <c r="AB20" s="17">
        <f t="shared" si="12"/>
        <v>1</v>
      </c>
      <c r="AC20" s="17">
        <f t="shared" si="12"/>
        <v>183</v>
      </c>
      <c r="AD20" s="17">
        <f t="shared" si="12"/>
        <v>0</v>
      </c>
      <c r="AE20" s="31">
        <f t="shared" si="12"/>
        <v>101</v>
      </c>
      <c r="AF20" s="31">
        <f t="shared" si="12"/>
        <v>284</v>
      </c>
    </row>
    <row r="21" spans="2:32" ht="23.1" customHeight="1" x14ac:dyDescent="0.25">
      <c r="B21" s="23" t="s">
        <v>48</v>
      </c>
      <c r="C21" s="50">
        <v>10</v>
      </c>
      <c r="D21" s="50">
        <v>0</v>
      </c>
      <c r="E21" s="50">
        <v>3</v>
      </c>
      <c r="F21" s="50">
        <v>11</v>
      </c>
      <c r="G21" s="50">
        <v>0</v>
      </c>
      <c r="H21" s="50">
        <v>0</v>
      </c>
      <c r="I21" s="50">
        <v>1</v>
      </c>
      <c r="J21" s="50">
        <v>2</v>
      </c>
      <c r="K21" s="50">
        <v>0</v>
      </c>
      <c r="L21" s="50">
        <f>SUM('[1]RD4 MCC'!R785:U785)</f>
        <v>0</v>
      </c>
      <c r="M21" s="50">
        <v>30</v>
      </c>
      <c r="N21" s="50">
        <v>0</v>
      </c>
      <c r="O21" s="15">
        <f t="shared" si="0"/>
        <v>27</v>
      </c>
      <c r="P21" s="15">
        <f t="shared" si="1"/>
        <v>57</v>
      </c>
      <c r="R21" s="36" t="s">
        <v>20</v>
      </c>
      <c r="S21" s="34">
        <f t="shared" ref="S21:AF21" si="13">SUM(C54:C57)</f>
        <v>21</v>
      </c>
      <c r="T21" s="17">
        <f t="shared" si="13"/>
        <v>4</v>
      </c>
      <c r="U21" s="17">
        <f t="shared" si="13"/>
        <v>17</v>
      </c>
      <c r="V21" s="17">
        <f t="shared" si="13"/>
        <v>44</v>
      </c>
      <c r="W21" s="17">
        <f t="shared" si="13"/>
        <v>8</v>
      </c>
      <c r="X21" s="17">
        <f t="shared" si="13"/>
        <v>1</v>
      </c>
      <c r="Y21" s="17">
        <f t="shared" si="13"/>
        <v>9</v>
      </c>
      <c r="Z21" s="17">
        <f t="shared" si="13"/>
        <v>0</v>
      </c>
      <c r="AA21" s="17">
        <f t="shared" si="13"/>
        <v>0</v>
      </c>
      <c r="AB21" s="17">
        <f t="shared" si="13"/>
        <v>2</v>
      </c>
      <c r="AC21" s="17">
        <f t="shared" si="13"/>
        <v>194</v>
      </c>
      <c r="AD21" s="17">
        <f t="shared" si="13"/>
        <v>0</v>
      </c>
      <c r="AE21" s="31">
        <f t="shared" si="13"/>
        <v>106</v>
      </c>
      <c r="AF21" s="31">
        <f t="shared" si="13"/>
        <v>300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3</v>
      </c>
      <c r="F22" s="50">
        <v>15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f>SUM('[1]RD4 MCC'!R786:U786)</f>
        <v>1</v>
      </c>
      <c r="M22" s="50">
        <v>20</v>
      </c>
      <c r="N22" s="50">
        <v>0</v>
      </c>
      <c r="O22" s="15">
        <f t="shared" si="0"/>
        <v>25</v>
      </c>
      <c r="P22" s="15">
        <f t="shared" si="1"/>
        <v>45</v>
      </c>
      <c r="R22" s="38" t="s">
        <v>90</v>
      </c>
      <c r="S22" s="39">
        <f>MAX(S10:S12)</f>
        <v>34</v>
      </c>
      <c r="T22" s="39">
        <f t="shared" ref="T22:AF22" si="14">MAX(T10:T12)</f>
        <v>5</v>
      </c>
      <c r="U22" s="39">
        <f t="shared" si="14"/>
        <v>19</v>
      </c>
      <c r="V22" s="39">
        <f t="shared" si="14"/>
        <v>45</v>
      </c>
      <c r="W22" s="39">
        <f t="shared" si="14"/>
        <v>5</v>
      </c>
      <c r="X22" s="39">
        <f t="shared" si="14"/>
        <v>0</v>
      </c>
      <c r="Y22" s="39">
        <f t="shared" si="14"/>
        <v>10</v>
      </c>
      <c r="Z22" s="39">
        <f t="shared" si="14"/>
        <v>2</v>
      </c>
      <c r="AA22" s="39">
        <f t="shared" si="14"/>
        <v>0</v>
      </c>
      <c r="AB22" s="39">
        <f t="shared" si="14"/>
        <v>1</v>
      </c>
      <c r="AC22" s="39">
        <f t="shared" si="14"/>
        <v>111</v>
      </c>
      <c r="AD22" s="39">
        <f t="shared" si="14"/>
        <v>0</v>
      </c>
      <c r="AE22" s="40">
        <f t="shared" si="14"/>
        <v>119</v>
      </c>
      <c r="AF22" s="40">
        <f t="shared" si="14"/>
        <v>230</v>
      </c>
    </row>
    <row r="23" spans="2:32" ht="23.1" customHeight="1" x14ac:dyDescent="0.25">
      <c r="B23" s="23" t="s">
        <v>50</v>
      </c>
      <c r="C23" s="50">
        <v>9</v>
      </c>
      <c r="D23" s="50">
        <v>2</v>
      </c>
      <c r="E23" s="50">
        <v>6</v>
      </c>
      <c r="F23" s="50">
        <v>6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f>SUM('[1]RD4 MCC'!R787:U787)</f>
        <v>0</v>
      </c>
      <c r="M23" s="50">
        <v>62</v>
      </c>
      <c r="N23" s="50">
        <v>0</v>
      </c>
      <c r="O23" s="15">
        <f t="shared" si="0"/>
        <v>23</v>
      </c>
      <c r="P23" s="15">
        <f t="shared" si="1"/>
        <v>85</v>
      </c>
      <c r="R23" s="38" t="s">
        <v>91</v>
      </c>
      <c r="S23" s="39">
        <f>MAX(S13:S18)</f>
        <v>46</v>
      </c>
      <c r="T23" s="39">
        <f t="shared" ref="T23:AF23" si="15">MAX(T13:T18)</f>
        <v>11</v>
      </c>
      <c r="U23" s="39">
        <f t="shared" si="15"/>
        <v>27</v>
      </c>
      <c r="V23" s="39">
        <f t="shared" si="15"/>
        <v>70</v>
      </c>
      <c r="W23" s="39">
        <f t="shared" si="15"/>
        <v>5</v>
      </c>
      <c r="X23" s="39">
        <f t="shared" si="15"/>
        <v>0</v>
      </c>
      <c r="Y23" s="39">
        <f t="shared" si="15"/>
        <v>13</v>
      </c>
      <c r="Z23" s="39">
        <f t="shared" si="15"/>
        <v>2</v>
      </c>
      <c r="AA23" s="39">
        <f t="shared" si="15"/>
        <v>1</v>
      </c>
      <c r="AB23" s="39">
        <f t="shared" si="15"/>
        <v>2</v>
      </c>
      <c r="AC23" s="39">
        <f t="shared" si="15"/>
        <v>177</v>
      </c>
      <c r="AD23" s="39">
        <f t="shared" si="15"/>
        <v>0</v>
      </c>
      <c r="AE23" s="40">
        <f t="shared" si="15"/>
        <v>168</v>
      </c>
      <c r="AF23" s="40">
        <f t="shared" si="15"/>
        <v>320</v>
      </c>
    </row>
    <row r="24" spans="2:32" ht="23.1" customHeight="1" x14ac:dyDescent="0.25">
      <c r="B24" s="23" t="s">
        <v>51</v>
      </c>
      <c r="C24" s="50">
        <v>12</v>
      </c>
      <c r="D24" s="50">
        <v>2</v>
      </c>
      <c r="E24" s="50">
        <v>6</v>
      </c>
      <c r="F24" s="50">
        <v>16</v>
      </c>
      <c r="G24" s="50">
        <v>0</v>
      </c>
      <c r="H24" s="50">
        <v>0</v>
      </c>
      <c r="I24" s="50">
        <v>3</v>
      </c>
      <c r="J24" s="50">
        <v>0</v>
      </c>
      <c r="K24" s="50">
        <v>1</v>
      </c>
      <c r="L24" s="50">
        <f>SUM('[1]RD4 MCC'!R788:U788)</f>
        <v>0</v>
      </c>
      <c r="M24" s="50">
        <v>37</v>
      </c>
      <c r="N24" s="50">
        <v>0</v>
      </c>
      <c r="O24" s="15">
        <f t="shared" si="0"/>
        <v>40</v>
      </c>
      <c r="P24" s="15">
        <f t="shared" si="1"/>
        <v>77</v>
      </c>
      <c r="R24" s="38" t="s">
        <v>92</v>
      </c>
      <c r="S24" s="39">
        <f>MAX(S19:S21)</f>
        <v>28</v>
      </c>
      <c r="T24" s="39">
        <f t="shared" ref="T24:AF24" si="16">MAX(T19:T21)</f>
        <v>4</v>
      </c>
      <c r="U24" s="39">
        <f t="shared" si="16"/>
        <v>17</v>
      </c>
      <c r="V24" s="39">
        <f t="shared" si="16"/>
        <v>45</v>
      </c>
      <c r="W24" s="39">
        <f t="shared" si="16"/>
        <v>8</v>
      </c>
      <c r="X24" s="39">
        <f t="shared" si="16"/>
        <v>1</v>
      </c>
      <c r="Y24" s="39">
        <f t="shared" si="16"/>
        <v>10</v>
      </c>
      <c r="Z24" s="39">
        <f t="shared" si="16"/>
        <v>2</v>
      </c>
      <c r="AA24" s="39">
        <f t="shared" si="16"/>
        <v>0</v>
      </c>
      <c r="AB24" s="39">
        <f t="shared" si="16"/>
        <v>2</v>
      </c>
      <c r="AC24" s="39">
        <f t="shared" si="16"/>
        <v>194</v>
      </c>
      <c r="AD24" s="39">
        <f t="shared" si="16"/>
        <v>0</v>
      </c>
      <c r="AE24" s="40">
        <f t="shared" si="16"/>
        <v>106</v>
      </c>
      <c r="AF24" s="40">
        <f t="shared" si="16"/>
        <v>300</v>
      </c>
    </row>
    <row r="25" spans="2:32" ht="23.1" customHeight="1" x14ac:dyDescent="0.25">
      <c r="B25" s="23" t="s">
        <v>52</v>
      </c>
      <c r="C25" s="50">
        <v>7</v>
      </c>
      <c r="D25" s="50">
        <v>2</v>
      </c>
      <c r="E25" s="50">
        <v>6</v>
      </c>
      <c r="F25" s="50">
        <v>7</v>
      </c>
      <c r="G25" s="50">
        <v>4</v>
      </c>
      <c r="H25" s="50">
        <v>0</v>
      </c>
      <c r="I25" s="50">
        <v>1</v>
      </c>
      <c r="J25" s="50">
        <v>0</v>
      </c>
      <c r="K25" s="50">
        <v>0</v>
      </c>
      <c r="L25" s="50">
        <f>SUM('[1]RD4 MCC'!R789:U789)</f>
        <v>0</v>
      </c>
      <c r="M25" s="50">
        <v>42</v>
      </c>
      <c r="N25" s="50">
        <v>0</v>
      </c>
      <c r="O25" s="15">
        <f t="shared" si="0"/>
        <v>27</v>
      </c>
      <c r="P25" s="15">
        <f t="shared" si="1"/>
        <v>69</v>
      </c>
      <c r="R25" s="37" t="s">
        <v>85</v>
      </c>
      <c r="S25" s="35">
        <f t="shared" ref="S25:AF25" si="17">SUM(S10:S12)</f>
        <v>66</v>
      </c>
      <c r="T25" s="16">
        <f t="shared" si="17"/>
        <v>7</v>
      </c>
      <c r="U25" s="16">
        <f t="shared" si="17"/>
        <v>37</v>
      </c>
      <c r="V25" s="16">
        <f t="shared" si="17"/>
        <v>102</v>
      </c>
      <c r="W25" s="16">
        <f t="shared" si="17"/>
        <v>13</v>
      </c>
      <c r="X25" s="16">
        <f t="shared" si="17"/>
        <v>0</v>
      </c>
      <c r="Y25" s="16">
        <f t="shared" si="17"/>
        <v>24</v>
      </c>
      <c r="Z25" s="16">
        <f t="shared" si="17"/>
        <v>3</v>
      </c>
      <c r="AA25" s="16">
        <f t="shared" si="17"/>
        <v>0</v>
      </c>
      <c r="AB25" s="16">
        <f t="shared" si="17"/>
        <v>2</v>
      </c>
      <c r="AC25" s="16">
        <f t="shared" si="17"/>
        <v>208</v>
      </c>
      <c r="AD25" s="16">
        <f t="shared" si="17"/>
        <v>0</v>
      </c>
      <c r="AE25" s="32">
        <f t="shared" si="17"/>
        <v>254</v>
      </c>
      <c r="AF25" s="32">
        <f t="shared" si="17"/>
        <v>462</v>
      </c>
    </row>
    <row r="26" spans="2:32" ht="23.1" customHeight="1" x14ac:dyDescent="0.25">
      <c r="B26" s="23" t="s">
        <v>53</v>
      </c>
      <c r="C26" s="50">
        <v>12</v>
      </c>
      <c r="D26" s="50">
        <v>0</v>
      </c>
      <c r="E26" s="50">
        <v>3</v>
      </c>
      <c r="F26" s="50">
        <v>7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f>SUM('[1]RD4 MCC'!R790:U790)</f>
        <v>0</v>
      </c>
      <c r="M26" s="50">
        <v>42</v>
      </c>
      <c r="N26" s="50">
        <v>0</v>
      </c>
      <c r="O26" s="15">
        <f t="shared" si="0"/>
        <v>24</v>
      </c>
      <c r="P26" s="15">
        <f t="shared" si="1"/>
        <v>66</v>
      </c>
      <c r="R26" s="28" t="s">
        <v>86</v>
      </c>
      <c r="S26" s="16">
        <f t="shared" ref="S26:AF26" si="18">SUM(S13:S18)</f>
        <v>249</v>
      </c>
      <c r="T26" s="16">
        <f t="shared" si="18"/>
        <v>32</v>
      </c>
      <c r="U26" s="16">
        <f t="shared" si="18"/>
        <v>110</v>
      </c>
      <c r="V26" s="16">
        <f t="shared" si="18"/>
        <v>282</v>
      </c>
      <c r="W26" s="16">
        <f t="shared" si="18"/>
        <v>18</v>
      </c>
      <c r="X26" s="16">
        <f t="shared" si="18"/>
        <v>0</v>
      </c>
      <c r="Y26" s="16">
        <f t="shared" si="18"/>
        <v>58</v>
      </c>
      <c r="Z26" s="16">
        <f t="shared" si="18"/>
        <v>5</v>
      </c>
      <c r="AA26" s="16">
        <f t="shared" si="18"/>
        <v>3</v>
      </c>
      <c r="AB26" s="16">
        <f t="shared" si="18"/>
        <v>4</v>
      </c>
      <c r="AC26" s="16">
        <f t="shared" si="18"/>
        <v>839</v>
      </c>
      <c r="AD26" s="16">
        <f t="shared" si="18"/>
        <v>0</v>
      </c>
      <c r="AE26" s="32">
        <f t="shared" si="18"/>
        <v>761</v>
      </c>
      <c r="AF26" s="32">
        <f t="shared" si="18"/>
        <v>1600</v>
      </c>
    </row>
    <row r="27" spans="2:32" ht="23.1" customHeight="1" x14ac:dyDescent="0.25">
      <c r="B27" s="23" t="s">
        <v>54</v>
      </c>
      <c r="C27" s="50">
        <v>11</v>
      </c>
      <c r="D27" s="50">
        <v>0</v>
      </c>
      <c r="E27" s="50">
        <v>3</v>
      </c>
      <c r="F27" s="50">
        <v>19</v>
      </c>
      <c r="G27" s="50">
        <v>2</v>
      </c>
      <c r="H27" s="50">
        <v>0</v>
      </c>
      <c r="I27" s="50">
        <v>4</v>
      </c>
      <c r="J27" s="50">
        <v>0</v>
      </c>
      <c r="K27" s="50">
        <v>0</v>
      </c>
      <c r="L27" s="50">
        <f>SUM('[1]RD4 MCC'!R791:U791)</f>
        <v>0</v>
      </c>
      <c r="M27" s="50">
        <v>44</v>
      </c>
      <c r="N27" s="50">
        <v>0</v>
      </c>
      <c r="O27" s="15">
        <f t="shared" si="0"/>
        <v>39</v>
      </c>
      <c r="P27" s="15">
        <f t="shared" si="1"/>
        <v>83</v>
      </c>
      <c r="R27" s="29" t="s">
        <v>87</v>
      </c>
      <c r="S27" s="16">
        <f t="shared" ref="S27:AF27" si="19">SUM(S19:S21)</f>
        <v>75</v>
      </c>
      <c r="T27" s="16">
        <f t="shared" si="19"/>
        <v>7</v>
      </c>
      <c r="U27" s="16">
        <f t="shared" si="19"/>
        <v>36</v>
      </c>
      <c r="V27" s="16">
        <f t="shared" si="19"/>
        <v>134</v>
      </c>
      <c r="W27" s="16">
        <f t="shared" si="19"/>
        <v>13</v>
      </c>
      <c r="X27" s="16">
        <f t="shared" si="19"/>
        <v>1</v>
      </c>
      <c r="Y27" s="16">
        <f t="shared" si="19"/>
        <v>27</v>
      </c>
      <c r="Z27" s="16">
        <f t="shared" si="19"/>
        <v>4</v>
      </c>
      <c r="AA27" s="16">
        <f t="shared" si="19"/>
        <v>0</v>
      </c>
      <c r="AB27" s="16">
        <f t="shared" si="19"/>
        <v>5</v>
      </c>
      <c r="AC27" s="16">
        <f t="shared" si="19"/>
        <v>544</v>
      </c>
      <c r="AD27" s="16">
        <f t="shared" si="19"/>
        <v>0</v>
      </c>
      <c r="AE27" s="32">
        <f t="shared" si="19"/>
        <v>302</v>
      </c>
      <c r="AF27" s="32">
        <f t="shared" si="19"/>
        <v>846</v>
      </c>
    </row>
    <row r="28" spans="2:32" ht="23.1" customHeight="1" x14ac:dyDescent="0.25">
      <c r="B28" s="23" t="s">
        <v>55</v>
      </c>
      <c r="C28" s="50">
        <v>9</v>
      </c>
      <c r="D28" s="50">
        <v>1</v>
      </c>
      <c r="E28" s="50">
        <v>3</v>
      </c>
      <c r="F28" s="50">
        <v>11</v>
      </c>
      <c r="G28" s="50">
        <v>0</v>
      </c>
      <c r="H28" s="50">
        <v>0</v>
      </c>
      <c r="I28" s="50">
        <v>4</v>
      </c>
      <c r="J28" s="50">
        <v>0</v>
      </c>
      <c r="K28" s="50">
        <v>1</v>
      </c>
      <c r="L28" s="50">
        <f>SUM('[1]RD4 MCC'!R792:U792)</f>
        <v>0</v>
      </c>
      <c r="M28" s="50">
        <v>45</v>
      </c>
      <c r="N28" s="50">
        <v>0</v>
      </c>
      <c r="O28" s="15">
        <f t="shared" si="0"/>
        <v>29</v>
      </c>
      <c r="P28" s="15">
        <f t="shared" si="1"/>
        <v>74</v>
      </c>
      <c r="R28" s="5" t="s">
        <v>17</v>
      </c>
      <c r="S28" s="16">
        <f t="shared" ref="S28:AF28" si="20">SUM(S10:S21)</f>
        <v>390</v>
      </c>
      <c r="T28" s="16">
        <f t="shared" si="20"/>
        <v>46</v>
      </c>
      <c r="U28" s="16">
        <f t="shared" si="20"/>
        <v>183</v>
      </c>
      <c r="V28" s="16">
        <f t="shared" si="20"/>
        <v>518</v>
      </c>
      <c r="W28" s="16">
        <f t="shared" si="20"/>
        <v>44</v>
      </c>
      <c r="X28" s="16">
        <f t="shared" si="20"/>
        <v>1</v>
      </c>
      <c r="Y28" s="16">
        <f t="shared" si="20"/>
        <v>109</v>
      </c>
      <c r="Z28" s="16">
        <f t="shared" si="20"/>
        <v>12</v>
      </c>
      <c r="AA28" s="16">
        <f t="shared" si="20"/>
        <v>3</v>
      </c>
      <c r="AB28" s="16">
        <f t="shared" si="20"/>
        <v>11</v>
      </c>
      <c r="AC28" s="16">
        <f t="shared" si="20"/>
        <v>1591</v>
      </c>
      <c r="AD28" s="16">
        <f t="shared" si="20"/>
        <v>0</v>
      </c>
      <c r="AE28" s="32">
        <f t="shared" si="20"/>
        <v>1317</v>
      </c>
      <c r="AF28" s="32">
        <f t="shared" si="20"/>
        <v>2908</v>
      </c>
    </row>
    <row r="29" spans="2:32" ht="23.1" customHeight="1" x14ac:dyDescent="0.25">
      <c r="B29" s="23" t="s">
        <v>56</v>
      </c>
      <c r="C29" s="50">
        <v>13</v>
      </c>
      <c r="D29" s="50">
        <v>1</v>
      </c>
      <c r="E29" s="50">
        <v>4</v>
      </c>
      <c r="F29" s="50">
        <v>6</v>
      </c>
      <c r="G29" s="50">
        <v>1</v>
      </c>
      <c r="H29" s="50">
        <v>0</v>
      </c>
      <c r="I29" s="50">
        <v>3</v>
      </c>
      <c r="J29" s="50">
        <v>0</v>
      </c>
      <c r="K29" s="50">
        <v>0</v>
      </c>
      <c r="L29" s="50">
        <f>SUM('[1]RD4 MCC'!R793:U793)</f>
        <v>0</v>
      </c>
      <c r="M29" s="50">
        <v>46</v>
      </c>
      <c r="N29" s="50">
        <v>0</v>
      </c>
      <c r="O29" s="15">
        <f t="shared" si="0"/>
        <v>28</v>
      </c>
      <c r="P29" s="15">
        <f t="shared" si="1"/>
        <v>74</v>
      </c>
      <c r="R29"/>
      <c r="S29" s="20"/>
      <c r="T29" s="19"/>
    </row>
    <row r="30" spans="2:32" ht="23.1" customHeight="1" x14ac:dyDescent="0.25">
      <c r="B30" s="23" t="s">
        <v>57</v>
      </c>
      <c r="C30" s="50">
        <v>15</v>
      </c>
      <c r="D30" s="50">
        <v>3</v>
      </c>
      <c r="E30" s="50">
        <v>7</v>
      </c>
      <c r="F30" s="50">
        <v>17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f>SUM('[1]RD4 MCC'!R794:U794)</f>
        <v>0</v>
      </c>
      <c r="M30" s="50">
        <v>48</v>
      </c>
      <c r="N30" s="50">
        <v>0</v>
      </c>
      <c r="O30" s="15">
        <f t="shared" si="0"/>
        <v>46</v>
      </c>
      <c r="P30" s="15">
        <f t="shared" si="1"/>
        <v>94</v>
      </c>
    </row>
    <row r="31" spans="2:32" ht="23.1" customHeight="1" x14ac:dyDescent="0.25">
      <c r="B31" s="24" t="s">
        <v>58</v>
      </c>
      <c r="C31" s="50">
        <v>13</v>
      </c>
      <c r="D31" s="50">
        <v>6</v>
      </c>
      <c r="E31" s="50">
        <v>14</v>
      </c>
      <c r="F31" s="50">
        <v>25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f>SUM('[1]RD4 MCC'!R795:U795)</f>
        <v>0</v>
      </c>
      <c r="M31" s="50">
        <v>48</v>
      </c>
      <c r="N31" s="50">
        <v>0</v>
      </c>
      <c r="O31" s="15">
        <f t="shared" si="0"/>
        <v>63</v>
      </c>
      <c r="P31" s="15">
        <f t="shared" si="1"/>
        <v>111</v>
      </c>
    </row>
    <row r="32" spans="2:32" ht="23.1" customHeight="1" x14ac:dyDescent="0.25">
      <c r="B32" s="24" t="s">
        <v>59</v>
      </c>
      <c r="C32" s="50">
        <v>10</v>
      </c>
      <c r="D32" s="50">
        <v>1</v>
      </c>
      <c r="E32" s="50">
        <v>3</v>
      </c>
      <c r="F32" s="50">
        <v>15</v>
      </c>
      <c r="G32" s="50">
        <v>2</v>
      </c>
      <c r="H32" s="50">
        <v>0</v>
      </c>
      <c r="I32" s="50">
        <v>0</v>
      </c>
      <c r="J32" s="50">
        <v>1</v>
      </c>
      <c r="K32" s="50">
        <v>0</v>
      </c>
      <c r="L32" s="50">
        <f>SUM('[1]RD4 MCC'!R796:U796)</f>
        <v>0</v>
      </c>
      <c r="M32" s="50">
        <v>27</v>
      </c>
      <c r="N32" s="50">
        <v>0</v>
      </c>
      <c r="O32" s="15">
        <f t="shared" si="0"/>
        <v>32</v>
      </c>
      <c r="P32" s="15">
        <f t="shared" si="1"/>
        <v>59</v>
      </c>
    </row>
    <row r="33" spans="2:20" ht="23.1" customHeight="1" x14ac:dyDescent="0.25">
      <c r="B33" s="23" t="s">
        <v>60</v>
      </c>
      <c r="C33" s="50">
        <v>8</v>
      </c>
      <c r="D33" s="50">
        <v>1</v>
      </c>
      <c r="E33" s="50">
        <v>3</v>
      </c>
      <c r="F33" s="50">
        <v>13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f>SUM('[1]RD4 MCC'!R797:U797)</f>
        <v>0</v>
      </c>
      <c r="M33" s="50">
        <v>29</v>
      </c>
      <c r="N33" s="50">
        <v>0</v>
      </c>
      <c r="O33" s="15">
        <f t="shared" si="0"/>
        <v>27</v>
      </c>
      <c r="P33" s="15">
        <f t="shared" si="1"/>
        <v>56</v>
      </c>
    </row>
    <row r="34" spans="2:20" ht="23.1" customHeight="1" x14ac:dyDescent="0.25">
      <c r="B34" s="24" t="s">
        <v>61</v>
      </c>
      <c r="C34" s="50">
        <v>9</v>
      </c>
      <c r="D34" s="50">
        <v>2</v>
      </c>
      <c r="E34" s="50">
        <v>5</v>
      </c>
      <c r="F34" s="50">
        <v>10</v>
      </c>
      <c r="G34" s="50">
        <v>1</v>
      </c>
      <c r="H34" s="50">
        <v>0</v>
      </c>
      <c r="I34" s="50">
        <v>4</v>
      </c>
      <c r="J34" s="50">
        <v>0</v>
      </c>
      <c r="K34" s="50">
        <v>0</v>
      </c>
      <c r="L34" s="50">
        <f>SUM('[1]RD4 MCC'!R798:U798)</f>
        <v>0</v>
      </c>
      <c r="M34" s="50">
        <v>31</v>
      </c>
      <c r="N34" s="50">
        <v>0</v>
      </c>
      <c r="O34" s="15">
        <f t="shared" si="0"/>
        <v>31</v>
      </c>
      <c r="P34" s="15">
        <f t="shared" si="1"/>
        <v>62</v>
      </c>
    </row>
    <row r="35" spans="2:20" ht="23.1" customHeight="1" x14ac:dyDescent="0.25">
      <c r="B35" s="24" t="s">
        <v>62</v>
      </c>
      <c r="C35" s="50">
        <v>11</v>
      </c>
      <c r="D35" s="50">
        <v>2</v>
      </c>
      <c r="E35" s="50">
        <v>5</v>
      </c>
      <c r="F35" s="50">
        <v>9</v>
      </c>
      <c r="G35" s="50">
        <v>1</v>
      </c>
      <c r="H35" s="50">
        <v>0</v>
      </c>
      <c r="I35" s="50">
        <v>0</v>
      </c>
      <c r="J35" s="50">
        <v>0</v>
      </c>
      <c r="K35" s="50">
        <v>0</v>
      </c>
      <c r="L35" s="50">
        <f>SUM('[1]RD4 MCC'!R799:U799)</f>
        <v>0</v>
      </c>
      <c r="M35" s="50">
        <v>32</v>
      </c>
      <c r="N35" s="50">
        <v>0</v>
      </c>
      <c r="O35" s="15">
        <f t="shared" si="0"/>
        <v>28</v>
      </c>
      <c r="P35" s="15">
        <f t="shared" si="1"/>
        <v>60</v>
      </c>
    </row>
    <row r="36" spans="2:20" ht="23.1" customHeight="1" x14ac:dyDescent="0.25">
      <c r="B36" s="24" t="s">
        <v>63</v>
      </c>
      <c r="C36" s="50">
        <v>14</v>
      </c>
      <c r="D36" s="50">
        <v>0</v>
      </c>
      <c r="E36" s="50">
        <v>3</v>
      </c>
      <c r="F36" s="50">
        <v>13</v>
      </c>
      <c r="G36" s="50">
        <v>2</v>
      </c>
      <c r="H36" s="50">
        <v>0</v>
      </c>
      <c r="I36" s="50">
        <v>2</v>
      </c>
      <c r="J36" s="50">
        <v>0</v>
      </c>
      <c r="K36" s="50">
        <v>0</v>
      </c>
      <c r="L36" s="50">
        <f>SUM('[1]RD4 MCC'!R800:U800)</f>
        <v>0</v>
      </c>
      <c r="M36" s="50">
        <v>36</v>
      </c>
      <c r="N36" s="50">
        <v>0</v>
      </c>
      <c r="O36" s="15">
        <f t="shared" si="0"/>
        <v>34</v>
      </c>
      <c r="P36" s="15">
        <f t="shared" si="1"/>
        <v>70</v>
      </c>
    </row>
    <row r="37" spans="2:20" ht="23.1" customHeight="1" x14ac:dyDescent="0.25">
      <c r="B37" s="23" t="s">
        <v>64</v>
      </c>
      <c r="C37" s="50">
        <v>12</v>
      </c>
      <c r="D37" s="50">
        <v>1</v>
      </c>
      <c r="E37" s="50">
        <v>3</v>
      </c>
      <c r="F37" s="50">
        <v>12</v>
      </c>
      <c r="G37" s="50">
        <v>1</v>
      </c>
      <c r="H37" s="50">
        <v>0</v>
      </c>
      <c r="I37" s="50">
        <v>3</v>
      </c>
      <c r="J37" s="50">
        <v>0</v>
      </c>
      <c r="K37" s="50">
        <v>0</v>
      </c>
      <c r="L37" s="50">
        <f>SUM('[1]RD4 MCC'!R801:U801)</f>
        <v>0</v>
      </c>
      <c r="M37" s="50">
        <v>45</v>
      </c>
      <c r="N37" s="50">
        <v>0</v>
      </c>
      <c r="O37" s="15">
        <f t="shared" si="0"/>
        <v>32</v>
      </c>
      <c r="P37" s="15">
        <f t="shared" si="1"/>
        <v>77</v>
      </c>
    </row>
    <row r="38" spans="2:20" ht="23.1" customHeight="1" x14ac:dyDescent="0.25">
      <c r="B38" s="24" t="s">
        <v>65</v>
      </c>
      <c r="C38" s="50">
        <v>8</v>
      </c>
      <c r="D38" s="50">
        <v>1</v>
      </c>
      <c r="E38" s="50">
        <v>3</v>
      </c>
      <c r="F38" s="50">
        <v>13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f>SUM('[1]RD4 MCC'!R802:U802)</f>
        <v>1</v>
      </c>
      <c r="M38" s="50">
        <v>42</v>
      </c>
      <c r="N38" s="50">
        <v>0</v>
      </c>
      <c r="O38" s="15">
        <f t="shared" si="0"/>
        <v>29</v>
      </c>
      <c r="P38" s="15">
        <f t="shared" si="1"/>
        <v>71</v>
      </c>
    </row>
    <row r="39" spans="2:20" ht="23.1" customHeight="1" x14ac:dyDescent="0.25">
      <c r="B39" s="24" t="s">
        <v>66</v>
      </c>
      <c r="C39" s="50">
        <v>10</v>
      </c>
      <c r="D39" s="50">
        <v>2</v>
      </c>
      <c r="E39" s="50">
        <v>6</v>
      </c>
      <c r="F39" s="50">
        <v>14</v>
      </c>
      <c r="G39" s="50">
        <v>1</v>
      </c>
      <c r="H39" s="50">
        <v>0</v>
      </c>
      <c r="I39" s="50">
        <v>1</v>
      </c>
      <c r="J39" s="50">
        <v>2</v>
      </c>
      <c r="K39" s="50">
        <v>0</v>
      </c>
      <c r="L39" s="50">
        <f>SUM('[1]RD4 MCC'!R803:U803)</f>
        <v>0</v>
      </c>
      <c r="M39" s="50">
        <v>44</v>
      </c>
      <c r="N39" s="50">
        <v>0</v>
      </c>
      <c r="O39" s="15">
        <f t="shared" si="0"/>
        <v>36</v>
      </c>
      <c r="P39" s="15">
        <f t="shared" si="1"/>
        <v>80</v>
      </c>
    </row>
    <row r="40" spans="2:20" ht="23.1" customHeight="1" x14ac:dyDescent="0.25">
      <c r="B40" s="24" t="s">
        <v>67</v>
      </c>
      <c r="C40" s="50">
        <v>11</v>
      </c>
      <c r="D40" s="50">
        <v>1</v>
      </c>
      <c r="E40" s="50">
        <v>5</v>
      </c>
      <c r="F40" s="50">
        <v>10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f>SUM('[1]RD4 MCC'!R804:U804)</f>
        <v>1</v>
      </c>
      <c r="M40" s="50">
        <v>58</v>
      </c>
      <c r="N40" s="50">
        <v>0</v>
      </c>
      <c r="O40" s="15">
        <f t="shared" si="0"/>
        <v>31</v>
      </c>
      <c r="P40" s="15">
        <f t="shared" si="1"/>
        <v>89</v>
      </c>
    </row>
    <row r="41" spans="2:20" ht="23.1" customHeight="1" x14ac:dyDescent="0.25">
      <c r="B41" s="23" t="s">
        <v>68</v>
      </c>
      <c r="C41" s="50">
        <v>15</v>
      </c>
      <c r="D41" s="50">
        <v>1</v>
      </c>
      <c r="E41" s="50">
        <v>5</v>
      </c>
      <c r="F41" s="50">
        <v>10</v>
      </c>
      <c r="G41" s="50">
        <v>0</v>
      </c>
      <c r="H41" s="50">
        <v>0</v>
      </c>
      <c r="I41" s="50">
        <v>2</v>
      </c>
      <c r="J41" s="50">
        <v>0</v>
      </c>
      <c r="K41" s="50">
        <v>1</v>
      </c>
      <c r="L41" s="50">
        <f>SUM('[1]RD4 MCC'!R805:U805)</f>
        <v>0</v>
      </c>
      <c r="M41" s="50">
        <v>33</v>
      </c>
      <c r="N41" s="50">
        <v>0</v>
      </c>
      <c r="O41" s="15">
        <f t="shared" si="0"/>
        <v>34</v>
      </c>
      <c r="P41" s="15">
        <f t="shared" si="1"/>
        <v>67</v>
      </c>
    </row>
    <row r="42" spans="2:20" ht="23.1" customHeight="1" x14ac:dyDescent="0.25">
      <c r="B42" s="24" t="s">
        <v>69</v>
      </c>
      <c r="C42" s="50">
        <v>10</v>
      </c>
      <c r="D42" s="50">
        <v>0</v>
      </c>
      <c r="E42" s="50">
        <v>2</v>
      </c>
      <c r="F42" s="50">
        <v>7</v>
      </c>
      <c r="G42" s="50">
        <v>1</v>
      </c>
      <c r="H42" s="50">
        <v>0</v>
      </c>
      <c r="I42" s="50">
        <v>4</v>
      </c>
      <c r="J42" s="50">
        <v>1</v>
      </c>
      <c r="K42" s="50">
        <v>0</v>
      </c>
      <c r="L42" s="50">
        <f>SUM('[1]RD4 MCC'!R806:U806)</f>
        <v>0</v>
      </c>
      <c r="M42" s="50">
        <v>2</v>
      </c>
      <c r="N42" s="50">
        <v>0</v>
      </c>
      <c r="O42" s="15">
        <f t="shared" si="0"/>
        <v>25</v>
      </c>
      <c r="P42" s="15">
        <f t="shared" si="1"/>
        <v>27</v>
      </c>
    </row>
    <row r="43" spans="2:20" ht="23.1" customHeight="1" x14ac:dyDescent="0.25">
      <c r="B43" s="23" t="s">
        <v>70</v>
      </c>
      <c r="C43" s="50">
        <v>13</v>
      </c>
      <c r="D43" s="50">
        <v>1</v>
      </c>
      <c r="E43" s="50">
        <v>4</v>
      </c>
      <c r="F43" s="50">
        <v>10</v>
      </c>
      <c r="G43" s="50">
        <v>1</v>
      </c>
      <c r="H43" s="50">
        <v>0</v>
      </c>
      <c r="I43" s="50">
        <v>2</v>
      </c>
      <c r="J43" s="50">
        <v>0</v>
      </c>
      <c r="K43" s="50">
        <v>0</v>
      </c>
      <c r="L43" s="50">
        <f>SUM('[1]RD4 MCC'!R807:U807)</f>
        <v>1</v>
      </c>
      <c r="M43" s="50">
        <v>1</v>
      </c>
      <c r="N43" s="50">
        <v>0</v>
      </c>
      <c r="O43" s="15">
        <f t="shared" si="0"/>
        <v>32</v>
      </c>
      <c r="P43" s="15">
        <f t="shared" si="1"/>
        <v>33</v>
      </c>
    </row>
    <row r="44" spans="2:20" ht="23.1" customHeight="1" x14ac:dyDescent="0.25">
      <c r="B44" s="25" t="s">
        <v>71</v>
      </c>
      <c r="C44" s="50">
        <v>6</v>
      </c>
      <c r="D44" s="50">
        <v>2</v>
      </c>
      <c r="E44" s="50">
        <v>5</v>
      </c>
      <c r="F44" s="50">
        <v>8</v>
      </c>
      <c r="G44" s="50">
        <v>1</v>
      </c>
      <c r="H44" s="50">
        <v>0</v>
      </c>
      <c r="I44" s="50">
        <v>1</v>
      </c>
      <c r="J44" s="50">
        <v>0</v>
      </c>
      <c r="K44" s="50">
        <v>0</v>
      </c>
      <c r="L44" s="50">
        <f>SUM('[1]RD4 MCC'!R808:U808)</f>
        <v>0</v>
      </c>
      <c r="M44" s="50">
        <v>11</v>
      </c>
      <c r="N44" s="50">
        <v>0</v>
      </c>
      <c r="O44" s="15">
        <f t="shared" si="0"/>
        <v>23</v>
      </c>
      <c r="P44" s="15">
        <f t="shared" si="1"/>
        <v>34</v>
      </c>
    </row>
    <row r="45" spans="2:20" ht="23.1" customHeight="1" x14ac:dyDescent="0.25">
      <c r="B45" s="23" t="s">
        <v>72</v>
      </c>
      <c r="C45" s="50">
        <v>8</v>
      </c>
      <c r="D45" s="50">
        <v>0</v>
      </c>
      <c r="E45" s="50">
        <v>3</v>
      </c>
      <c r="F45" s="50">
        <v>9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f>SUM('[1]RD4 MCC'!R809:U809)</f>
        <v>0</v>
      </c>
      <c r="M45" s="50">
        <v>14</v>
      </c>
      <c r="N45" s="50">
        <v>0</v>
      </c>
      <c r="O45" s="15">
        <f t="shared" si="0"/>
        <v>23</v>
      </c>
      <c r="P45" s="15">
        <f t="shared" si="1"/>
        <v>37</v>
      </c>
    </row>
    <row r="46" spans="2:20" ht="23.1" customHeight="1" x14ac:dyDescent="0.25">
      <c r="B46" s="24" t="s">
        <v>73</v>
      </c>
      <c r="C46" s="50">
        <v>7</v>
      </c>
      <c r="D46" s="50">
        <v>0</v>
      </c>
      <c r="E46" s="50">
        <v>1</v>
      </c>
      <c r="F46" s="50">
        <v>5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f>SUM('[1]RD4 MCC'!R810:U810)</f>
        <v>0</v>
      </c>
      <c r="M46" s="50">
        <v>18</v>
      </c>
      <c r="N46" s="50">
        <v>0</v>
      </c>
      <c r="O46" s="15">
        <f t="shared" si="0"/>
        <v>15</v>
      </c>
      <c r="P46" s="15">
        <f t="shared" si="1"/>
        <v>33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0</v>
      </c>
      <c r="E47" s="50">
        <v>3</v>
      </c>
      <c r="F47" s="50">
        <v>11</v>
      </c>
      <c r="G47" s="50">
        <v>1</v>
      </c>
      <c r="H47" s="50">
        <v>0</v>
      </c>
      <c r="I47" s="50">
        <v>2</v>
      </c>
      <c r="J47" s="50">
        <v>0</v>
      </c>
      <c r="K47" s="50">
        <v>0</v>
      </c>
      <c r="L47" s="50">
        <f>SUM('[1]RD4 MCC'!R811:U811)</f>
        <v>1</v>
      </c>
      <c r="M47" s="50">
        <v>42</v>
      </c>
      <c r="N47" s="50">
        <v>0</v>
      </c>
      <c r="O47" s="15">
        <f t="shared" si="0"/>
        <v>23</v>
      </c>
      <c r="P47" s="15">
        <f t="shared" si="1"/>
        <v>65</v>
      </c>
      <c r="R47" s="8"/>
      <c r="T47"/>
    </row>
    <row r="48" spans="2:20" ht="23.1" customHeight="1" x14ac:dyDescent="0.25">
      <c r="B48" s="24" t="s">
        <v>75</v>
      </c>
      <c r="C48" s="50">
        <v>8</v>
      </c>
      <c r="D48" s="50">
        <v>0</v>
      </c>
      <c r="E48" s="50">
        <v>1</v>
      </c>
      <c r="F48" s="50">
        <v>12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f>SUM('[1]RD4 MCC'!R812:U812)</f>
        <v>1</v>
      </c>
      <c r="M48" s="50">
        <v>40</v>
      </c>
      <c r="N48" s="50">
        <v>0</v>
      </c>
      <c r="O48" s="15">
        <f t="shared" si="0"/>
        <v>25</v>
      </c>
      <c r="P48" s="15">
        <f t="shared" si="1"/>
        <v>65</v>
      </c>
      <c r="R48" s="8"/>
      <c r="T48"/>
    </row>
    <row r="49" spans="2:20" ht="23.1" customHeight="1" x14ac:dyDescent="0.25">
      <c r="B49" s="23" t="s">
        <v>76</v>
      </c>
      <c r="C49" s="50">
        <v>8</v>
      </c>
      <c r="D49" s="50">
        <v>1</v>
      </c>
      <c r="E49" s="50">
        <v>3</v>
      </c>
      <c r="F49" s="50">
        <v>17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f>SUM('[1]RD4 MCC'!R813:U813)</f>
        <v>0</v>
      </c>
      <c r="M49" s="50">
        <v>67</v>
      </c>
      <c r="N49" s="50">
        <v>0</v>
      </c>
      <c r="O49" s="15">
        <f t="shared" si="0"/>
        <v>32</v>
      </c>
      <c r="P49" s="15">
        <f t="shared" si="1"/>
        <v>99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1</v>
      </c>
      <c r="E50" s="50">
        <v>4</v>
      </c>
      <c r="F50" s="50">
        <v>9</v>
      </c>
      <c r="G50" s="50">
        <v>2</v>
      </c>
      <c r="H50" s="50">
        <v>0</v>
      </c>
      <c r="I50" s="50">
        <v>4</v>
      </c>
      <c r="J50" s="50">
        <v>0</v>
      </c>
      <c r="K50" s="50">
        <v>0</v>
      </c>
      <c r="L50" s="50">
        <f>SUM('[1]RD4 MCC'!R814:U814)</f>
        <v>0</v>
      </c>
      <c r="M50" s="50">
        <v>42</v>
      </c>
      <c r="N50" s="50">
        <v>0</v>
      </c>
      <c r="O50" s="15">
        <f t="shared" si="0"/>
        <v>25</v>
      </c>
      <c r="P50" s="15">
        <f t="shared" si="1"/>
        <v>67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0</v>
      </c>
      <c r="E51" s="50">
        <v>1</v>
      </c>
      <c r="F51" s="50">
        <v>15</v>
      </c>
      <c r="G51" s="50">
        <v>0</v>
      </c>
      <c r="H51" s="50">
        <v>0</v>
      </c>
      <c r="I51" s="50">
        <v>2</v>
      </c>
      <c r="J51" s="50">
        <v>1</v>
      </c>
      <c r="K51" s="50">
        <v>0</v>
      </c>
      <c r="L51" s="50">
        <f>SUM('[1]RD4 MCC'!R815:U815)</f>
        <v>1</v>
      </c>
      <c r="M51" s="50">
        <v>43</v>
      </c>
      <c r="N51" s="50">
        <v>0</v>
      </c>
      <c r="O51" s="15">
        <f t="shared" si="0"/>
        <v>25</v>
      </c>
      <c r="P51" s="15">
        <f t="shared" si="1"/>
        <v>68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1</v>
      </c>
      <c r="E52" s="50">
        <v>3</v>
      </c>
      <c r="F52" s="50">
        <v>11</v>
      </c>
      <c r="G52" s="50">
        <v>1</v>
      </c>
      <c r="H52" s="50">
        <v>0</v>
      </c>
      <c r="I52" s="50">
        <v>2</v>
      </c>
      <c r="J52" s="50">
        <v>1</v>
      </c>
      <c r="K52" s="50">
        <v>0</v>
      </c>
      <c r="L52" s="50">
        <f>SUM('[1]RD4 MCC'!R816:U816)</f>
        <v>0</v>
      </c>
      <c r="M52" s="50">
        <v>47</v>
      </c>
      <c r="N52" s="50">
        <v>0</v>
      </c>
      <c r="O52" s="15">
        <f t="shared" si="0"/>
        <v>24</v>
      </c>
      <c r="P52" s="15">
        <f t="shared" si="1"/>
        <v>71</v>
      </c>
      <c r="R52" s="8"/>
      <c r="T52"/>
    </row>
    <row r="53" spans="2:20" ht="23.1" customHeight="1" x14ac:dyDescent="0.25">
      <c r="B53" s="23" t="s">
        <v>80</v>
      </c>
      <c r="C53" s="50">
        <v>11</v>
      </c>
      <c r="D53" s="50">
        <v>0</v>
      </c>
      <c r="E53" s="50">
        <v>3</v>
      </c>
      <c r="F53" s="50">
        <v>10</v>
      </c>
      <c r="G53" s="50">
        <v>1</v>
      </c>
      <c r="H53" s="50">
        <v>0</v>
      </c>
      <c r="I53" s="50">
        <v>2</v>
      </c>
      <c r="J53" s="50">
        <v>0</v>
      </c>
      <c r="K53" s="50">
        <v>0</v>
      </c>
      <c r="L53" s="50">
        <f>SUM('[1]RD4 MCC'!R817:U817)</f>
        <v>0</v>
      </c>
      <c r="M53" s="50">
        <v>51</v>
      </c>
      <c r="N53" s="50">
        <v>0</v>
      </c>
      <c r="O53" s="15">
        <f t="shared" si="0"/>
        <v>27</v>
      </c>
      <c r="P53" s="15">
        <f t="shared" si="1"/>
        <v>78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1</v>
      </c>
      <c r="E54" s="50">
        <v>4</v>
      </c>
      <c r="F54" s="50">
        <v>11</v>
      </c>
      <c r="G54" s="50">
        <v>2</v>
      </c>
      <c r="H54" s="50">
        <v>0</v>
      </c>
      <c r="I54" s="50">
        <v>3</v>
      </c>
      <c r="J54" s="50">
        <v>0</v>
      </c>
      <c r="K54" s="50">
        <v>0</v>
      </c>
      <c r="L54" s="50">
        <f>SUM('[1]RD4 MCC'!R818:U818)</f>
        <v>2</v>
      </c>
      <c r="M54" s="50">
        <v>65</v>
      </c>
      <c r="N54" s="50">
        <v>0</v>
      </c>
      <c r="O54" s="15">
        <f t="shared" si="0"/>
        <v>29</v>
      </c>
      <c r="P54" s="15">
        <f t="shared" si="1"/>
        <v>94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1</v>
      </c>
      <c r="E55" s="50">
        <v>4</v>
      </c>
      <c r="F55" s="50">
        <v>12</v>
      </c>
      <c r="G55" s="50">
        <v>3</v>
      </c>
      <c r="H55" s="50">
        <v>1</v>
      </c>
      <c r="I55" s="50">
        <v>3</v>
      </c>
      <c r="J55" s="50">
        <v>0</v>
      </c>
      <c r="K55" s="50">
        <v>0</v>
      </c>
      <c r="L55" s="50">
        <f>SUM('[1]RD4 MCC'!R819:U819)</f>
        <v>0</v>
      </c>
      <c r="M55" s="50">
        <v>40</v>
      </c>
      <c r="N55" s="50">
        <v>0</v>
      </c>
      <c r="O55" s="15">
        <f t="shared" si="0"/>
        <v>29</v>
      </c>
      <c r="P55" s="15">
        <f t="shared" si="1"/>
        <v>69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2</v>
      </c>
      <c r="E56" s="50">
        <v>6</v>
      </c>
      <c r="F56" s="50">
        <v>13</v>
      </c>
      <c r="G56" s="50">
        <v>2</v>
      </c>
      <c r="H56" s="50">
        <v>0</v>
      </c>
      <c r="I56" s="50">
        <v>0</v>
      </c>
      <c r="J56" s="50">
        <v>0</v>
      </c>
      <c r="K56" s="50">
        <v>0</v>
      </c>
      <c r="L56" s="50">
        <f>SUM('[1]RD4 MCC'!R820:U820)</f>
        <v>0</v>
      </c>
      <c r="M56" s="50">
        <v>45</v>
      </c>
      <c r="N56" s="50">
        <v>0</v>
      </c>
      <c r="O56" s="15">
        <f t="shared" si="0"/>
        <v>26</v>
      </c>
      <c r="P56" s="15">
        <f t="shared" si="1"/>
        <v>71</v>
      </c>
      <c r="R56" s="8"/>
      <c r="T56"/>
    </row>
    <row r="57" spans="2:20" ht="23.1" customHeight="1" x14ac:dyDescent="0.25">
      <c r="B57" s="23" t="s">
        <v>84</v>
      </c>
      <c r="C57" s="50">
        <v>7</v>
      </c>
      <c r="D57" s="50">
        <v>0</v>
      </c>
      <c r="E57" s="50">
        <v>3</v>
      </c>
      <c r="F57" s="50">
        <v>8</v>
      </c>
      <c r="G57" s="50">
        <v>1</v>
      </c>
      <c r="H57" s="50">
        <v>0</v>
      </c>
      <c r="I57" s="50">
        <v>3</v>
      </c>
      <c r="J57" s="50">
        <v>0</v>
      </c>
      <c r="K57" s="50">
        <v>0</v>
      </c>
      <c r="L57" s="50">
        <f>SUM('[1]RD4 MCC'!R821:U821)</f>
        <v>0</v>
      </c>
      <c r="M57" s="50">
        <v>44</v>
      </c>
      <c r="N57" s="50">
        <v>0</v>
      </c>
      <c r="O57" s="15">
        <f t="shared" si="0"/>
        <v>22</v>
      </c>
      <c r="P57" s="15">
        <f t="shared" si="1"/>
        <v>66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390</v>
      </c>
      <c r="D58" s="16">
        <f t="shared" si="21"/>
        <v>46</v>
      </c>
      <c r="E58" s="16">
        <f t="shared" si="21"/>
        <v>183</v>
      </c>
      <c r="F58" s="16">
        <f t="shared" si="21"/>
        <v>518</v>
      </c>
      <c r="G58" s="16">
        <f t="shared" si="21"/>
        <v>44</v>
      </c>
      <c r="H58" s="16">
        <f t="shared" si="21"/>
        <v>1</v>
      </c>
      <c r="I58" s="16">
        <f t="shared" si="21"/>
        <v>109</v>
      </c>
      <c r="J58" s="16">
        <f t="shared" si="21"/>
        <v>12</v>
      </c>
      <c r="K58" s="16">
        <f t="shared" si="21"/>
        <v>3</v>
      </c>
      <c r="L58" s="16">
        <f t="shared" si="21"/>
        <v>11</v>
      </c>
      <c r="M58" s="16">
        <f t="shared" si="21"/>
        <v>1591</v>
      </c>
      <c r="N58" s="16">
        <f t="shared" si="21"/>
        <v>0</v>
      </c>
      <c r="O58" s="16">
        <f t="shared" si="21"/>
        <v>1317</v>
      </c>
      <c r="P58" s="16">
        <f t="shared" si="21"/>
        <v>2908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0.13411279229711143</v>
      </c>
      <c r="D59" s="43">
        <f t="shared" si="22"/>
        <v>1.5818431911966989E-2</v>
      </c>
      <c r="E59" s="43">
        <f t="shared" si="22"/>
        <v>6.2929848693259974E-2</v>
      </c>
      <c r="F59" s="43">
        <f t="shared" si="22"/>
        <v>0.1781292984869326</v>
      </c>
      <c r="G59" s="43">
        <f t="shared" si="22"/>
        <v>1.5130674002751032E-2</v>
      </c>
      <c r="H59" s="43">
        <f t="shared" si="22"/>
        <v>3.43878954607978E-4</v>
      </c>
      <c r="I59" s="43">
        <f t="shared" si="22"/>
        <v>3.7482806052269599E-2</v>
      </c>
      <c r="J59" s="43">
        <f t="shared" si="22"/>
        <v>4.1265474552957355E-3</v>
      </c>
      <c r="K59" s="43">
        <f t="shared" si="22"/>
        <v>1.0316368638239339E-3</v>
      </c>
      <c r="L59" s="43">
        <f t="shared" si="22"/>
        <v>3.7826685006877581E-3</v>
      </c>
      <c r="M59" s="43">
        <f t="shared" si="22"/>
        <v>0.54711141678129294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0.296127562642369</v>
      </c>
      <c r="D60" s="44">
        <f t="shared" ref="D60:N60" si="23">D58/$O$58</f>
        <v>3.4927866362946092E-2</v>
      </c>
      <c r="E60" s="44">
        <f t="shared" si="23"/>
        <v>0.13895216400911162</v>
      </c>
      <c r="F60" s="44">
        <f t="shared" si="23"/>
        <v>0.39331814730447989</v>
      </c>
      <c r="G60" s="44">
        <f t="shared" si="23"/>
        <v>3.3409263477600606E-2</v>
      </c>
      <c r="H60" s="44">
        <f t="shared" si="23"/>
        <v>7.5930144267274111E-4</v>
      </c>
      <c r="I60" s="44">
        <f t="shared" si="23"/>
        <v>8.2763857251328773E-2</v>
      </c>
      <c r="J60" s="44">
        <f t="shared" si="23"/>
        <v>9.1116173120728925E-3</v>
      </c>
      <c r="K60" s="44">
        <f t="shared" si="23"/>
        <v>2.2779043280182231E-3</v>
      </c>
      <c r="L60" s="44">
        <f t="shared" si="23"/>
        <v>8.3523158694001516E-3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60" workbookViewId="0">
      <selection activeCell="S96" sqref="S9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'18.08 Jinja-Buwenge'!C3:G3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'18.08 Buwenge-Jinja'!G5:H5</f>
        <v>xxx</v>
      </c>
      <c r="H5" s="64"/>
      <c r="I5" s="14"/>
      <c r="J5" s="2" t="s">
        <v>5</v>
      </c>
      <c r="K5" s="63" t="str">
        <f>'18.08 Buwenge-Jinja'!K5:L5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'18.08 Buwenge-Jinja'!D6:E6</f>
        <v>Buwenge</v>
      </c>
      <c r="E6" s="64"/>
      <c r="F6" s="2" t="s">
        <v>2</v>
      </c>
      <c r="G6" s="63" t="str">
        <f>'18.08 Buwenge-Jinja'!G6:H6</f>
        <v>Jinja</v>
      </c>
      <c r="H6" s="64"/>
      <c r="J6" s="2" t="s">
        <v>21</v>
      </c>
      <c r="K6" s="63" t="str">
        <f>'18.08 Buwenge-Jinja'!K6:L6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AVERAGE('12.08 Buwenge-Jinja'!C10,'13.08 Buwenge-Jinja'!C10,'14.08 Buwenge-Jinja'!C10,'15.08 Buwenge-Jinja'!C10,'16.08 Buwenge-Jinja-24h'!C10,'17.08 Buwenge-Jinja-24h'!C10,'18.08 Buwenge-Jinja'!C10)</f>
        <v>3.1428571428571428</v>
      </c>
      <c r="D10" s="49">
        <f>AVERAGE('12.08 Buwenge-Jinja'!D10,'13.08 Buwenge-Jinja'!D10,'14.08 Buwenge-Jinja'!D10,'15.08 Buwenge-Jinja'!D10,'16.08 Buwenge-Jinja-24h'!D10,'17.08 Buwenge-Jinja-24h'!D10,'18.08 Buwenge-Jinja'!D10)</f>
        <v>0.2857142857142857</v>
      </c>
      <c r="E10" s="49">
        <f>AVERAGE('12.08 Buwenge-Jinja'!E10,'13.08 Buwenge-Jinja'!E10,'14.08 Buwenge-Jinja'!E10,'15.08 Buwenge-Jinja'!E10,'16.08 Buwenge-Jinja-24h'!E10,'17.08 Buwenge-Jinja-24h'!E10,'18.08 Buwenge-Jinja'!E10)</f>
        <v>1.8571428571428572</v>
      </c>
      <c r="F10" s="49">
        <f>AVERAGE('12.08 Buwenge-Jinja'!F10,'13.08 Buwenge-Jinja'!F10,'14.08 Buwenge-Jinja'!F10,'15.08 Buwenge-Jinja'!F10,'16.08 Buwenge-Jinja-24h'!F10,'17.08 Buwenge-Jinja-24h'!F10,'18.08 Buwenge-Jinja'!F10)</f>
        <v>7.7142857142857144</v>
      </c>
      <c r="G10" s="49">
        <f>AVERAGE('12.08 Buwenge-Jinja'!G10,'13.08 Buwenge-Jinja'!G10,'14.08 Buwenge-Jinja'!G10,'15.08 Buwenge-Jinja'!G10,'16.08 Buwenge-Jinja-24h'!G10,'17.08 Buwenge-Jinja-24h'!G10,'18.08 Buwenge-Jinja'!G10)</f>
        <v>4.4285714285714288</v>
      </c>
      <c r="H10" s="49">
        <f>AVERAGE('12.08 Buwenge-Jinja'!H10,'13.08 Buwenge-Jinja'!H10,'14.08 Buwenge-Jinja'!H10,'15.08 Buwenge-Jinja'!H10,'16.08 Buwenge-Jinja-24h'!H10,'17.08 Buwenge-Jinja-24h'!H10,'18.08 Buwenge-Jinja'!H10)</f>
        <v>0.5714285714285714</v>
      </c>
      <c r="I10" s="49">
        <f>AVERAGE('12.08 Buwenge-Jinja'!I10,'13.08 Buwenge-Jinja'!I10,'14.08 Buwenge-Jinja'!I10,'15.08 Buwenge-Jinja'!I10,'16.08 Buwenge-Jinja-24h'!I10,'17.08 Buwenge-Jinja-24h'!I10,'18.08 Buwenge-Jinja'!I10)</f>
        <v>2.2857142857142856</v>
      </c>
      <c r="J10" s="49">
        <f>AVERAGE('12.08 Buwenge-Jinja'!J10,'13.08 Buwenge-Jinja'!J10,'14.08 Buwenge-Jinja'!J10,'15.08 Buwenge-Jinja'!J10,'16.08 Buwenge-Jinja-24h'!J10,'17.08 Buwenge-Jinja-24h'!J10,'18.08 Buwenge-Jinja'!J10)</f>
        <v>0</v>
      </c>
      <c r="K10" s="49">
        <f>AVERAGE('12.08 Buwenge-Jinja'!K10,'13.08 Buwenge-Jinja'!K10,'14.08 Buwenge-Jinja'!K10,'15.08 Buwenge-Jinja'!K10,'16.08 Buwenge-Jinja-24h'!K10,'17.08 Buwenge-Jinja-24h'!K10,'18.08 Buwenge-Jinja'!K10)</f>
        <v>0</v>
      </c>
      <c r="L10" s="49">
        <f>AVERAGE('12.08 Buwenge-Jinja'!L10,'13.08 Buwenge-Jinja'!L10,'14.08 Buwenge-Jinja'!L10,'15.08 Buwenge-Jinja'!L10,'16.08 Buwenge-Jinja-24h'!L10,'17.08 Buwenge-Jinja-24h'!L10,'18.08 Buwenge-Jinja'!L10)</f>
        <v>0</v>
      </c>
      <c r="M10" s="49">
        <f>AVERAGE('12.08 Buwenge-Jinja'!M10,'13.08 Buwenge-Jinja'!M10,'14.08 Buwenge-Jinja'!M10,'15.08 Buwenge-Jinja'!M10,'16.08 Buwenge-Jinja-24h'!M10,'17.08 Buwenge-Jinja-24h'!M10,'18.08 Buwenge-Jinja'!M10)</f>
        <v>48</v>
      </c>
      <c r="N10" s="49">
        <f>AVERAGE('12.08 Buwenge-Jinja'!N10,'13.08 Buwenge-Jinja'!N10,'14.08 Buwenge-Jinja'!N10,'15.08 Buwenge-Jinja'!N10,'16.08 Buwenge-Jinja-24h'!N10,'17.08 Buwenge-Jinja-24h'!N10,'18.08 Buwenge-Jinja'!N10)</f>
        <v>0</v>
      </c>
      <c r="O10" s="15">
        <f t="shared" ref="O10:P73" si="0">SUM(C10:L10,N10)</f>
        <v>20.285714285714288</v>
      </c>
      <c r="P10" s="15">
        <f t="shared" ref="P10:P59" si="1">SUM(C10:N10)</f>
        <v>68.285714285714292</v>
      </c>
      <c r="R10" s="1" t="s">
        <v>6</v>
      </c>
      <c r="S10" s="17">
        <f t="shared" ref="S10:AF10" si="2">SUM(C10:C13)</f>
        <v>13.571428571428573</v>
      </c>
      <c r="T10" s="17">
        <f t="shared" si="2"/>
        <v>1.1428571428571428</v>
      </c>
      <c r="U10" s="17">
        <f t="shared" si="2"/>
        <v>6.7142857142857135</v>
      </c>
      <c r="V10" s="17">
        <f t="shared" si="2"/>
        <v>35.428571428571431</v>
      </c>
      <c r="W10" s="17">
        <f t="shared" si="2"/>
        <v>15.428571428571429</v>
      </c>
      <c r="X10" s="17">
        <f t="shared" si="2"/>
        <v>0.99999999999999978</v>
      </c>
      <c r="Y10" s="17">
        <f t="shared" si="2"/>
        <v>10.142857142857142</v>
      </c>
      <c r="Z10" s="17">
        <f t="shared" si="2"/>
        <v>0.2857142857142857</v>
      </c>
      <c r="AA10" s="17">
        <f t="shared" si="2"/>
        <v>0</v>
      </c>
      <c r="AB10" s="17">
        <f t="shared" si="2"/>
        <v>0</v>
      </c>
      <c r="AC10" s="17">
        <f t="shared" si="2"/>
        <v>201.14285714285717</v>
      </c>
      <c r="AD10" s="17">
        <f t="shared" si="2"/>
        <v>0</v>
      </c>
      <c r="AE10" s="31">
        <f t="shared" si="2"/>
        <v>83.714285714285708</v>
      </c>
      <c r="AF10" s="31">
        <f t="shared" si="2"/>
        <v>284.85714285714289</v>
      </c>
    </row>
    <row r="11" spans="2:32" s="6" customFormat="1" ht="23.1" customHeight="1" x14ac:dyDescent="0.25">
      <c r="B11" s="23" t="s">
        <v>38</v>
      </c>
      <c r="C11" s="49">
        <f>AVERAGE('12.08 Buwenge-Jinja'!C11,'13.08 Buwenge-Jinja'!C11,'14.08 Buwenge-Jinja'!C11,'15.08 Buwenge-Jinja'!C11,'16.08 Buwenge-Jinja-24h'!C11,'17.08 Buwenge-Jinja-24h'!C11,'18.08 Buwenge-Jinja'!C11)</f>
        <v>3.1428571428571428</v>
      </c>
      <c r="D11" s="49">
        <f>AVERAGE('12.08 Buwenge-Jinja'!D11,'13.08 Buwenge-Jinja'!D11,'14.08 Buwenge-Jinja'!D11,'15.08 Buwenge-Jinja'!D11,'16.08 Buwenge-Jinja-24h'!D11,'17.08 Buwenge-Jinja-24h'!D11,'18.08 Buwenge-Jinja'!D11)</f>
        <v>0.14285714285714285</v>
      </c>
      <c r="E11" s="49">
        <f>AVERAGE('12.08 Buwenge-Jinja'!E11,'13.08 Buwenge-Jinja'!E11,'14.08 Buwenge-Jinja'!E11,'15.08 Buwenge-Jinja'!E11,'16.08 Buwenge-Jinja-24h'!E11,'17.08 Buwenge-Jinja-24h'!E11,'18.08 Buwenge-Jinja'!E11)</f>
        <v>0.8571428571428571</v>
      </c>
      <c r="F11" s="49">
        <f>AVERAGE('12.08 Buwenge-Jinja'!F11,'13.08 Buwenge-Jinja'!F11,'14.08 Buwenge-Jinja'!F11,'15.08 Buwenge-Jinja'!F11,'16.08 Buwenge-Jinja-24h'!F11,'17.08 Buwenge-Jinja-24h'!F11,'18.08 Buwenge-Jinja'!F11)</f>
        <v>7.2857142857142856</v>
      </c>
      <c r="G11" s="49">
        <f>AVERAGE('12.08 Buwenge-Jinja'!G11,'13.08 Buwenge-Jinja'!G11,'14.08 Buwenge-Jinja'!G11,'15.08 Buwenge-Jinja'!G11,'16.08 Buwenge-Jinja-24h'!G11,'17.08 Buwenge-Jinja-24h'!G11,'18.08 Buwenge-Jinja'!G11)</f>
        <v>2.8571428571428572</v>
      </c>
      <c r="H11" s="49">
        <f>AVERAGE('12.08 Buwenge-Jinja'!H11,'13.08 Buwenge-Jinja'!H11,'14.08 Buwenge-Jinja'!H11,'15.08 Buwenge-Jinja'!H11,'16.08 Buwenge-Jinja-24h'!H11,'17.08 Buwenge-Jinja-24h'!H11,'18.08 Buwenge-Jinja'!H11)</f>
        <v>0.14285714285714285</v>
      </c>
      <c r="I11" s="49">
        <f>AVERAGE('12.08 Buwenge-Jinja'!I11,'13.08 Buwenge-Jinja'!I11,'14.08 Buwenge-Jinja'!I11,'15.08 Buwenge-Jinja'!I11,'16.08 Buwenge-Jinja-24h'!I11,'17.08 Buwenge-Jinja-24h'!I11,'18.08 Buwenge-Jinja'!I11)</f>
        <v>2.4285714285714284</v>
      </c>
      <c r="J11" s="49">
        <f>AVERAGE('12.08 Buwenge-Jinja'!J11,'13.08 Buwenge-Jinja'!J11,'14.08 Buwenge-Jinja'!J11,'15.08 Buwenge-Jinja'!J11,'16.08 Buwenge-Jinja-24h'!J11,'17.08 Buwenge-Jinja-24h'!J11,'18.08 Buwenge-Jinja'!J11)</f>
        <v>0</v>
      </c>
      <c r="K11" s="49">
        <f>AVERAGE('12.08 Buwenge-Jinja'!K11,'13.08 Buwenge-Jinja'!K11,'14.08 Buwenge-Jinja'!K11,'15.08 Buwenge-Jinja'!K11,'16.08 Buwenge-Jinja-24h'!K11,'17.08 Buwenge-Jinja-24h'!K11,'18.08 Buwenge-Jinja'!K11)</f>
        <v>0</v>
      </c>
      <c r="L11" s="49">
        <f>AVERAGE('12.08 Buwenge-Jinja'!L11,'13.08 Buwenge-Jinja'!L11,'14.08 Buwenge-Jinja'!L11,'15.08 Buwenge-Jinja'!L11,'16.08 Buwenge-Jinja-24h'!L11,'17.08 Buwenge-Jinja-24h'!L11,'18.08 Buwenge-Jinja'!L11)</f>
        <v>0</v>
      </c>
      <c r="M11" s="49">
        <f>AVERAGE('12.08 Buwenge-Jinja'!M11,'13.08 Buwenge-Jinja'!M11,'14.08 Buwenge-Jinja'!M11,'15.08 Buwenge-Jinja'!M11,'16.08 Buwenge-Jinja-24h'!M11,'17.08 Buwenge-Jinja-24h'!M11,'18.08 Buwenge-Jinja'!M11)</f>
        <v>47.285714285714285</v>
      </c>
      <c r="N11" s="49">
        <f>AVERAGE('12.08 Buwenge-Jinja'!N11,'13.08 Buwenge-Jinja'!N11,'14.08 Buwenge-Jinja'!N11,'15.08 Buwenge-Jinja'!N11,'16.08 Buwenge-Jinja-24h'!N11,'17.08 Buwenge-Jinja-24h'!N11,'18.08 Buwenge-Jinja'!N11)</f>
        <v>0</v>
      </c>
      <c r="O11" s="15">
        <f t="shared" si="0"/>
        <v>16.857142857142854</v>
      </c>
      <c r="P11" s="15">
        <f t="shared" si="1"/>
        <v>64.142857142857139</v>
      </c>
      <c r="R11" s="1" t="s">
        <v>7</v>
      </c>
      <c r="S11" s="17">
        <f t="shared" ref="S11:AF11" si="3">SUM(C14:C17)</f>
        <v>19.571428571428573</v>
      </c>
      <c r="T11" s="17">
        <f t="shared" si="3"/>
        <v>1.5714285714285712</v>
      </c>
      <c r="U11" s="17">
        <f t="shared" si="3"/>
        <v>8.2857142857142847</v>
      </c>
      <c r="V11" s="17">
        <f t="shared" si="3"/>
        <v>38.285714285714285</v>
      </c>
      <c r="W11" s="17">
        <f t="shared" si="3"/>
        <v>10.571428571428571</v>
      </c>
      <c r="X11" s="17">
        <f t="shared" si="3"/>
        <v>1.1428571428571428</v>
      </c>
      <c r="Y11" s="17">
        <f t="shared" si="3"/>
        <v>6.4285714285714288</v>
      </c>
      <c r="Z11" s="17">
        <f t="shared" si="3"/>
        <v>0.5714285714285714</v>
      </c>
      <c r="AA11" s="17">
        <f t="shared" si="3"/>
        <v>0.14285714285714285</v>
      </c>
      <c r="AB11" s="17">
        <f t="shared" si="3"/>
        <v>0</v>
      </c>
      <c r="AC11" s="17">
        <f t="shared" si="3"/>
        <v>195.57142857142856</v>
      </c>
      <c r="AD11" s="17">
        <f t="shared" si="3"/>
        <v>0.14285714285714285</v>
      </c>
      <c r="AE11" s="31">
        <f t="shared" si="3"/>
        <v>86.714285714285694</v>
      </c>
      <c r="AF11" s="31">
        <f t="shared" si="3"/>
        <v>282.28571428571433</v>
      </c>
    </row>
    <row r="12" spans="2:32" ht="23.1" customHeight="1" x14ac:dyDescent="0.25">
      <c r="B12" s="23" t="s">
        <v>39</v>
      </c>
      <c r="C12" s="49">
        <f>AVERAGE('12.08 Buwenge-Jinja'!C12,'13.08 Buwenge-Jinja'!C12,'14.08 Buwenge-Jinja'!C12,'15.08 Buwenge-Jinja'!C12,'16.08 Buwenge-Jinja-24h'!C12,'17.08 Buwenge-Jinja-24h'!C12,'18.08 Buwenge-Jinja'!C12)</f>
        <v>2.1428571428571428</v>
      </c>
      <c r="D12" s="49">
        <f>AVERAGE('12.08 Buwenge-Jinja'!D12,'13.08 Buwenge-Jinja'!D12,'14.08 Buwenge-Jinja'!D12,'15.08 Buwenge-Jinja'!D12,'16.08 Buwenge-Jinja-24h'!D12,'17.08 Buwenge-Jinja-24h'!D12,'18.08 Buwenge-Jinja'!D12)</f>
        <v>0.2857142857142857</v>
      </c>
      <c r="E12" s="49">
        <f>AVERAGE('12.08 Buwenge-Jinja'!E12,'13.08 Buwenge-Jinja'!E12,'14.08 Buwenge-Jinja'!E12,'15.08 Buwenge-Jinja'!E12,'16.08 Buwenge-Jinja-24h'!E12,'17.08 Buwenge-Jinja-24h'!E12,'18.08 Buwenge-Jinja'!E12)</f>
        <v>1.5714285714285714</v>
      </c>
      <c r="F12" s="49">
        <f>AVERAGE('12.08 Buwenge-Jinja'!F12,'13.08 Buwenge-Jinja'!F12,'14.08 Buwenge-Jinja'!F12,'15.08 Buwenge-Jinja'!F12,'16.08 Buwenge-Jinja-24h'!F12,'17.08 Buwenge-Jinja-24h'!F12,'18.08 Buwenge-Jinja'!F12)</f>
        <v>9.2857142857142865</v>
      </c>
      <c r="G12" s="49">
        <f>AVERAGE('12.08 Buwenge-Jinja'!G12,'13.08 Buwenge-Jinja'!G12,'14.08 Buwenge-Jinja'!G12,'15.08 Buwenge-Jinja'!G12,'16.08 Buwenge-Jinja-24h'!G12,'17.08 Buwenge-Jinja-24h'!G12,'18.08 Buwenge-Jinja'!G12)</f>
        <v>4.5714285714285712</v>
      </c>
      <c r="H12" s="49">
        <f>AVERAGE('12.08 Buwenge-Jinja'!H12,'13.08 Buwenge-Jinja'!H12,'14.08 Buwenge-Jinja'!H12,'15.08 Buwenge-Jinja'!H12,'16.08 Buwenge-Jinja-24h'!H12,'17.08 Buwenge-Jinja-24h'!H12,'18.08 Buwenge-Jinja'!H12)</f>
        <v>0.14285714285714285</v>
      </c>
      <c r="I12" s="49">
        <f>AVERAGE('12.08 Buwenge-Jinja'!I12,'13.08 Buwenge-Jinja'!I12,'14.08 Buwenge-Jinja'!I12,'15.08 Buwenge-Jinja'!I12,'16.08 Buwenge-Jinja-24h'!I12,'17.08 Buwenge-Jinja-24h'!I12,'18.08 Buwenge-Jinja'!I12)</f>
        <v>3</v>
      </c>
      <c r="J12" s="49">
        <f>AVERAGE('12.08 Buwenge-Jinja'!J12,'13.08 Buwenge-Jinja'!J12,'14.08 Buwenge-Jinja'!J12,'15.08 Buwenge-Jinja'!J12,'16.08 Buwenge-Jinja-24h'!J12,'17.08 Buwenge-Jinja-24h'!J12,'18.08 Buwenge-Jinja'!J12)</f>
        <v>0</v>
      </c>
      <c r="K12" s="49">
        <f>AVERAGE('12.08 Buwenge-Jinja'!K12,'13.08 Buwenge-Jinja'!K12,'14.08 Buwenge-Jinja'!K12,'15.08 Buwenge-Jinja'!K12,'16.08 Buwenge-Jinja-24h'!K12,'17.08 Buwenge-Jinja-24h'!K12,'18.08 Buwenge-Jinja'!K12)</f>
        <v>0</v>
      </c>
      <c r="L12" s="49">
        <f>AVERAGE('12.08 Buwenge-Jinja'!L12,'13.08 Buwenge-Jinja'!L12,'14.08 Buwenge-Jinja'!L12,'15.08 Buwenge-Jinja'!L12,'16.08 Buwenge-Jinja-24h'!L12,'17.08 Buwenge-Jinja-24h'!L12,'18.08 Buwenge-Jinja'!L12)</f>
        <v>0</v>
      </c>
      <c r="M12" s="49">
        <f>AVERAGE('12.08 Buwenge-Jinja'!M12,'13.08 Buwenge-Jinja'!M12,'14.08 Buwenge-Jinja'!M12,'15.08 Buwenge-Jinja'!M12,'16.08 Buwenge-Jinja-24h'!M12,'17.08 Buwenge-Jinja-24h'!M12,'18.08 Buwenge-Jinja'!M12)</f>
        <v>53.428571428571431</v>
      </c>
      <c r="N12" s="49">
        <f>AVERAGE('12.08 Buwenge-Jinja'!N12,'13.08 Buwenge-Jinja'!N12,'14.08 Buwenge-Jinja'!N12,'15.08 Buwenge-Jinja'!N12,'16.08 Buwenge-Jinja-24h'!N12,'17.08 Buwenge-Jinja-24h'!N12,'18.08 Buwenge-Jinja'!N12)</f>
        <v>0</v>
      </c>
      <c r="O12" s="15">
        <f t="shared" si="0"/>
        <v>21</v>
      </c>
      <c r="P12" s="15">
        <f t="shared" si="1"/>
        <v>74.428571428571431</v>
      </c>
      <c r="R12" s="1" t="s">
        <v>8</v>
      </c>
      <c r="S12" s="17">
        <f t="shared" ref="S12:AF12" si="4">SUM(C18:C21)</f>
        <v>15.571428571428573</v>
      </c>
      <c r="T12" s="17">
        <f t="shared" si="4"/>
        <v>1.9999999999999998</v>
      </c>
      <c r="U12" s="17">
        <f t="shared" si="4"/>
        <v>9.7142857142857153</v>
      </c>
      <c r="V12" s="17">
        <f t="shared" si="4"/>
        <v>45.285714285714292</v>
      </c>
      <c r="W12" s="17">
        <f t="shared" si="4"/>
        <v>4.5714285714285721</v>
      </c>
      <c r="X12" s="17">
        <f t="shared" si="4"/>
        <v>0.71428571428571419</v>
      </c>
      <c r="Y12" s="17">
        <f t="shared" si="4"/>
        <v>8.428571428571427</v>
      </c>
      <c r="Z12" s="17">
        <f t="shared" si="4"/>
        <v>1.1428571428571428</v>
      </c>
      <c r="AA12" s="17">
        <f t="shared" si="4"/>
        <v>0</v>
      </c>
      <c r="AB12" s="17">
        <f t="shared" si="4"/>
        <v>0</v>
      </c>
      <c r="AC12" s="17">
        <f t="shared" si="4"/>
        <v>182.28571428571428</v>
      </c>
      <c r="AD12" s="17">
        <f t="shared" si="4"/>
        <v>0</v>
      </c>
      <c r="AE12" s="31">
        <f t="shared" si="4"/>
        <v>87.428571428571445</v>
      </c>
      <c r="AF12" s="31">
        <f t="shared" si="4"/>
        <v>269.71428571428572</v>
      </c>
    </row>
    <row r="13" spans="2:32" ht="23.1" customHeight="1" x14ac:dyDescent="0.25">
      <c r="B13" s="23" t="s">
        <v>40</v>
      </c>
      <c r="C13" s="49">
        <f>AVERAGE('12.08 Buwenge-Jinja'!C13,'13.08 Buwenge-Jinja'!C13,'14.08 Buwenge-Jinja'!C13,'15.08 Buwenge-Jinja'!C13,'16.08 Buwenge-Jinja-24h'!C13,'17.08 Buwenge-Jinja-24h'!C13,'18.08 Buwenge-Jinja'!C13)</f>
        <v>5.1428571428571432</v>
      </c>
      <c r="D13" s="49">
        <f>AVERAGE('12.08 Buwenge-Jinja'!D13,'13.08 Buwenge-Jinja'!D13,'14.08 Buwenge-Jinja'!D13,'15.08 Buwenge-Jinja'!D13,'16.08 Buwenge-Jinja-24h'!D13,'17.08 Buwenge-Jinja-24h'!D13,'18.08 Buwenge-Jinja'!D13)</f>
        <v>0.42857142857142855</v>
      </c>
      <c r="E13" s="49">
        <f>AVERAGE('12.08 Buwenge-Jinja'!E13,'13.08 Buwenge-Jinja'!E13,'14.08 Buwenge-Jinja'!E13,'15.08 Buwenge-Jinja'!E13,'16.08 Buwenge-Jinja-24h'!E13,'17.08 Buwenge-Jinja-24h'!E13,'18.08 Buwenge-Jinja'!E13)</f>
        <v>2.4285714285714284</v>
      </c>
      <c r="F13" s="49">
        <f>AVERAGE('12.08 Buwenge-Jinja'!F13,'13.08 Buwenge-Jinja'!F13,'14.08 Buwenge-Jinja'!F13,'15.08 Buwenge-Jinja'!F13,'16.08 Buwenge-Jinja-24h'!F13,'17.08 Buwenge-Jinja-24h'!F13,'18.08 Buwenge-Jinja'!F13)</f>
        <v>11.142857142857142</v>
      </c>
      <c r="G13" s="49">
        <f>AVERAGE('12.08 Buwenge-Jinja'!G13,'13.08 Buwenge-Jinja'!G13,'14.08 Buwenge-Jinja'!G13,'15.08 Buwenge-Jinja'!G13,'16.08 Buwenge-Jinja-24h'!G13,'17.08 Buwenge-Jinja-24h'!G13,'18.08 Buwenge-Jinja'!G13)</f>
        <v>3.5714285714285716</v>
      </c>
      <c r="H13" s="49">
        <f>AVERAGE('12.08 Buwenge-Jinja'!H13,'13.08 Buwenge-Jinja'!H13,'14.08 Buwenge-Jinja'!H13,'15.08 Buwenge-Jinja'!H13,'16.08 Buwenge-Jinja-24h'!H13,'17.08 Buwenge-Jinja-24h'!H13,'18.08 Buwenge-Jinja'!H13)</f>
        <v>0.14285714285714285</v>
      </c>
      <c r="I13" s="49">
        <f>AVERAGE('12.08 Buwenge-Jinja'!I13,'13.08 Buwenge-Jinja'!I13,'14.08 Buwenge-Jinja'!I13,'15.08 Buwenge-Jinja'!I13,'16.08 Buwenge-Jinja-24h'!I13,'17.08 Buwenge-Jinja-24h'!I13,'18.08 Buwenge-Jinja'!I13)</f>
        <v>2.4285714285714284</v>
      </c>
      <c r="J13" s="49">
        <f>AVERAGE('12.08 Buwenge-Jinja'!J13,'13.08 Buwenge-Jinja'!J13,'14.08 Buwenge-Jinja'!J13,'15.08 Buwenge-Jinja'!J13,'16.08 Buwenge-Jinja-24h'!J13,'17.08 Buwenge-Jinja-24h'!J13,'18.08 Buwenge-Jinja'!J13)</f>
        <v>0.2857142857142857</v>
      </c>
      <c r="K13" s="49">
        <f>AVERAGE('12.08 Buwenge-Jinja'!K13,'13.08 Buwenge-Jinja'!K13,'14.08 Buwenge-Jinja'!K13,'15.08 Buwenge-Jinja'!K13,'16.08 Buwenge-Jinja-24h'!K13,'17.08 Buwenge-Jinja-24h'!K13,'18.08 Buwenge-Jinja'!K13)</f>
        <v>0</v>
      </c>
      <c r="L13" s="49">
        <f>AVERAGE('12.08 Buwenge-Jinja'!L13,'13.08 Buwenge-Jinja'!L13,'14.08 Buwenge-Jinja'!L13,'15.08 Buwenge-Jinja'!L13,'16.08 Buwenge-Jinja-24h'!L13,'17.08 Buwenge-Jinja-24h'!L13,'18.08 Buwenge-Jinja'!L13)</f>
        <v>0</v>
      </c>
      <c r="M13" s="49">
        <f>AVERAGE('12.08 Buwenge-Jinja'!M13,'13.08 Buwenge-Jinja'!M13,'14.08 Buwenge-Jinja'!M13,'15.08 Buwenge-Jinja'!M13,'16.08 Buwenge-Jinja-24h'!M13,'17.08 Buwenge-Jinja-24h'!M13,'18.08 Buwenge-Jinja'!M13)</f>
        <v>52.428571428571431</v>
      </c>
      <c r="N13" s="49">
        <f>AVERAGE('12.08 Buwenge-Jinja'!N13,'13.08 Buwenge-Jinja'!N13,'14.08 Buwenge-Jinja'!N13,'15.08 Buwenge-Jinja'!N13,'16.08 Buwenge-Jinja-24h'!N13,'17.08 Buwenge-Jinja-24h'!N13,'18.08 Buwenge-Jinja'!N13)</f>
        <v>0</v>
      </c>
      <c r="O13" s="15">
        <f t="shared" si="0"/>
        <v>25.571428571428569</v>
      </c>
      <c r="P13" s="15">
        <f t="shared" si="1"/>
        <v>78</v>
      </c>
      <c r="R13" s="1" t="s">
        <v>9</v>
      </c>
      <c r="S13" s="17">
        <f t="shared" ref="S13:AF13" si="5">SUM(C22:C25)</f>
        <v>18.428571428571431</v>
      </c>
      <c r="T13" s="17">
        <f t="shared" si="5"/>
        <v>1.8571428571428568</v>
      </c>
      <c r="U13" s="17">
        <f t="shared" si="5"/>
        <v>10</v>
      </c>
      <c r="V13" s="17">
        <f t="shared" si="5"/>
        <v>41</v>
      </c>
      <c r="W13" s="17">
        <f t="shared" si="5"/>
        <v>1.2857142857142856</v>
      </c>
      <c r="X13" s="17">
        <f t="shared" si="5"/>
        <v>0.14285714285714285</v>
      </c>
      <c r="Y13" s="17">
        <f t="shared" si="5"/>
        <v>8.1428571428571423</v>
      </c>
      <c r="Z13" s="17">
        <f t="shared" si="5"/>
        <v>0.5714285714285714</v>
      </c>
      <c r="AA13" s="17">
        <f t="shared" si="5"/>
        <v>0</v>
      </c>
      <c r="AB13" s="17">
        <f t="shared" si="5"/>
        <v>0</v>
      </c>
      <c r="AC13" s="17">
        <f t="shared" si="5"/>
        <v>166.71428571428569</v>
      </c>
      <c r="AD13" s="17">
        <f t="shared" si="5"/>
        <v>0.2857142857142857</v>
      </c>
      <c r="AE13" s="31">
        <f t="shared" si="5"/>
        <v>81.714285714285722</v>
      </c>
      <c r="AF13" s="31">
        <f t="shared" si="5"/>
        <v>248.42857142857142</v>
      </c>
    </row>
    <row r="14" spans="2:32" ht="23.1" customHeight="1" x14ac:dyDescent="0.25">
      <c r="B14" s="23" t="s">
        <v>41</v>
      </c>
      <c r="C14" s="49">
        <f>AVERAGE('12.08 Buwenge-Jinja'!C14,'13.08 Buwenge-Jinja'!C14,'14.08 Buwenge-Jinja'!C14,'15.08 Buwenge-Jinja'!C14,'16.08 Buwenge-Jinja-24h'!C14,'17.08 Buwenge-Jinja-24h'!C14,'18.08 Buwenge-Jinja'!C14)</f>
        <v>5.7142857142857144</v>
      </c>
      <c r="D14" s="49">
        <f>AVERAGE('12.08 Buwenge-Jinja'!D14,'13.08 Buwenge-Jinja'!D14,'14.08 Buwenge-Jinja'!D14,'15.08 Buwenge-Jinja'!D14,'16.08 Buwenge-Jinja-24h'!D14,'17.08 Buwenge-Jinja-24h'!D14,'18.08 Buwenge-Jinja'!D14)</f>
        <v>0.42857142857142855</v>
      </c>
      <c r="E14" s="49">
        <f>AVERAGE('12.08 Buwenge-Jinja'!E14,'13.08 Buwenge-Jinja'!E14,'14.08 Buwenge-Jinja'!E14,'15.08 Buwenge-Jinja'!E14,'16.08 Buwenge-Jinja-24h'!E14,'17.08 Buwenge-Jinja-24h'!E14,'18.08 Buwenge-Jinja'!E14)</f>
        <v>2.1428571428571428</v>
      </c>
      <c r="F14" s="49">
        <f>AVERAGE('12.08 Buwenge-Jinja'!F14,'13.08 Buwenge-Jinja'!F14,'14.08 Buwenge-Jinja'!F14,'15.08 Buwenge-Jinja'!F14,'16.08 Buwenge-Jinja-24h'!F14,'17.08 Buwenge-Jinja-24h'!F14,'18.08 Buwenge-Jinja'!F14)</f>
        <v>10</v>
      </c>
      <c r="G14" s="49">
        <f>AVERAGE('12.08 Buwenge-Jinja'!G14,'13.08 Buwenge-Jinja'!G14,'14.08 Buwenge-Jinja'!G14,'15.08 Buwenge-Jinja'!G14,'16.08 Buwenge-Jinja-24h'!G14,'17.08 Buwenge-Jinja-24h'!G14,'18.08 Buwenge-Jinja'!G14)</f>
        <v>3.4285714285714284</v>
      </c>
      <c r="H14" s="49">
        <f>AVERAGE('12.08 Buwenge-Jinja'!H14,'13.08 Buwenge-Jinja'!H14,'14.08 Buwenge-Jinja'!H14,'15.08 Buwenge-Jinja'!H14,'16.08 Buwenge-Jinja-24h'!H14,'17.08 Buwenge-Jinja-24h'!H14,'18.08 Buwenge-Jinja'!H14)</f>
        <v>0.14285714285714285</v>
      </c>
      <c r="I14" s="49">
        <f>AVERAGE('12.08 Buwenge-Jinja'!I14,'13.08 Buwenge-Jinja'!I14,'14.08 Buwenge-Jinja'!I14,'15.08 Buwenge-Jinja'!I14,'16.08 Buwenge-Jinja-24h'!I14,'17.08 Buwenge-Jinja-24h'!I14,'18.08 Buwenge-Jinja'!I14)</f>
        <v>2</v>
      </c>
      <c r="J14" s="49">
        <f>AVERAGE('12.08 Buwenge-Jinja'!J14,'13.08 Buwenge-Jinja'!J14,'14.08 Buwenge-Jinja'!J14,'15.08 Buwenge-Jinja'!J14,'16.08 Buwenge-Jinja-24h'!J14,'17.08 Buwenge-Jinja-24h'!J14,'18.08 Buwenge-Jinja'!J14)</f>
        <v>0.2857142857142857</v>
      </c>
      <c r="K14" s="49">
        <f>AVERAGE('12.08 Buwenge-Jinja'!K14,'13.08 Buwenge-Jinja'!K14,'14.08 Buwenge-Jinja'!K14,'15.08 Buwenge-Jinja'!K14,'16.08 Buwenge-Jinja-24h'!K14,'17.08 Buwenge-Jinja-24h'!K14,'18.08 Buwenge-Jinja'!K14)</f>
        <v>0.14285714285714285</v>
      </c>
      <c r="L14" s="49">
        <f>AVERAGE('12.08 Buwenge-Jinja'!L14,'13.08 Buwenge-Jinja'!L14,'14.08 Buwenge-Jinja'!L14,'15.08 Buwenge-Jinja'!L14,'16.08 Buwenge-Jinja-24h'!L14,'17.08 Buwenge-Jinja-24h'!L14,'18.08 Buwenge-Jinja'!L14)</f>
        <v>0</v>
      </c>
      <c r="M14" s="49">
        <f>AVERAGE('12.08 Buwenge-Jinja'!M14,'13.08 Buwenge-Jinja'!M14,'14.08 Buwenge-Jinja'!M14,'15.08 Buwenge-Jinja'!M14,'16.08 Buwenge-Jinja-24h'!M14,'17.08 Buwenge-Jinja-24h'!M14,'18.08 Buwenge-Jinja'!M14)</f>
        <v>54.142857142857146</v>
      </c>
      <c r="N14" s="49">
        <f>AVERAGE('12.08 Buwenge-Jinja'!N14,'13.08 Buwenge-Jinja'!N14,'14.08 Buwenge-Jinja'!N14,'15.08 Buwenge-Jinja'!N14,'16.08 Buwenge-Jinja-24h'!N14,'17.08 Buwenge-Jinja-24h'!N14,'18.08 Buwenge-Jinja'!N14)</f>
        <v>0</v>
      </c>
      <c r="O14" s="15">
        <f t="shared" si="0"/>
        <v>24.285714285714281</v>
      </c>
      <c r="P14" s="15">
        <f t="shared" si="1"/>
        <v>78.428571428571431</v>
      </c>
      <c r="R14" s="1" t="s">
        <v>10</v>
      </c>
      <c r="S14" s="17">
        <f t="shared" ref="S14:AF14" si="6">SUM(C26:C29)</f>
        <v>19.857142857142854</v>
      </c>
      <c r="T14" s="17">
        <f t="shared" si="6"/>
        <v>2.714285714285714</v>
      </c>
      <c r="U14" s="17">
        <f t="shared" si="6"/>
        <v>10.142857142857142</v>
      </c>
      <c r="V14" s="17">
        <f t="shared" si="6"/>
        <v>35.571428571428569</v>
      </c>
      <c r="W14" s="17">
        <f t="shared" si="6"/>
        <v>0.8571428571428571</v>
      </c>
      <c r="X14" s="17">
        <f t="shared" si="6"/>
        <v>0.71428571428571419</v>
      </c>
      <c r="Y14" s="17">
        <f t="shared" si="6"/>
        <v>9.4285714285714288</v>
      </c>
      <c r="Z14" s="17">
        <f t="shared" si="6"/>
        <v>1.7142857142857142</v>
      </c>
      <c r="AA14" s="17">
        <f t="shared" si="6"/>
        <v>0.14285714285714285</v>
      </c>
      <c r="AB14" s="17">
        <f t="shared" si="6"/>
        <v>0</v>
      </c>
      <c r="AC14" s="17">
        <f t="shared" si="6"/>
        <v>148.42857142857144</v>
      </c>
      <c r="AD14" s="17">
        <f t="shared" si="6"/>
        <v>0</v>
      </c>
      <c r="AE14" s="31">
        <f t="shared" si="6"/>
        <v>81.142857142857139</v>
      </c>
      <c r="AF14" s="31">
        <f t="shared" si="6"/>
        <v>229.57142857142856</v>
      </c>
    </row>
    <row r="15" spans="2:32" ht="23.1" customHeight="1" x14ac:dyDescent="0.25">
      <c r="B15" s="23" t="s">
        <v>42</v>
      </c>
      <c r="C15" s="49">
        <f>AVERAGE('12.08 Buwenge-Jinja'!C15,'13.08 Buwenge-Jinja'!C15,'14.08 Buwenge-Jinja'!C15,'15.08 Buwenge-Jinja'!C15,'16.08 Buwenge-Jinja-24h'!C15,'17.08 Buwenge-Jinja-24h'!C15,'18.08 Buwenge-Jinja'!C15)</f>
        <v>4.2857142857142856</v>
      </c>
      <c r="D15" s="49">
        <f>AVERAGE('12.08 Buwenge-Jinja'!D15,'13.08 Buwenge-Jinja'!D15,'14.08 Buwenge-Jinja'!D15,'15.08 Buwenge-Jinja'!D15,'16.08 Buwenge-Jinja-24h'!D15,'17.08 Buwenge-Jinja-24h'!D15,'18.08 Buwenge-Jinja'!D15)</f>
        <v>0.2857142857142857</v>
      </c>
      <c r="E15" s="49">
        <f>AVERAGE('12.08 Buwenge-Jinja'!E15,'13.08 Buwenge-Jinja'!E15,'14.08 Buwenge-Jinja'!E15,'15.08 Buwenge-Jinja'!E15,'16.08 Buwenge-Jinja-24h'!E15,'17.08 Buwenge-Jinja-24h'!E15,'18.08 Buwenge-Jinja'!E15)</f>
        <v>1.8571428571428572</v>
      </c>
      <c r="F15" s="49">
        <f>AVERAGE('12.08 Buwenge-Jinja'!F15,'13.08 Buwenge-Jinja'!F15,'14.08 Buwenge-Jinja'!F15,'15.08 Buwenge-Jinja'!F15,'16.08 Buwenge-Jinja-24h'!F15,'17.08 Buwenge-Jinja-24h'!F15,'18.08 Buwenge-Jinja'!F15)</f>
        <v>7.5714285714285712</v>
      </c>
      <c r="G15" s="49">
        <f>AVERAGE('12.08 Buwenge-Jinja'!G15,'13.08 Buwenge-Jinja'!G15,'14.08 Buwenge-Jinja'!G15,'15.08 Buwenge-Jinja'!G15,'16.08 Buwenge-Jinja-24h'!G15,'17.08 Buwenge-Jinja-24h'!G15,'18.08 Buwenge-Jinja'!G15)</f>
        <v>2.1428571428571428</v>
      </c>
      <c r="H15" s="49">
        <f>AVERAGE('12.08 Buwenge-Jinja'!H15,'13.08 Buwenge-Jinja'!H15,'14.08 Buwenge-Jinja'!H15,'15.08 Buwenge-Jinja'!H15,'16.08 Buwenge-Jinja-24h'!H15,'17.08 Buwenge-Jinja-24h'!H15,'18.08 Buwenge-Jinja'!H15)</f>
        <v>0.2857142857142857</v>
      </c>
      <c r="I15" s="49">
        <f>AVERAGE('12.08 Buwenge-Jinja'!I15,'13.08 Buwenge-Jinja'!I15,'14.08 Buwenge-Jinja'!I15,'15.08 Buwenge-Jinja'!I15,'16.08 Buwenge-Jinja-24h'!I15,'17.08 Buwenge-Jinja-24h'!I15,'18.08 Buwenge-Jinja'!I15)</f>
        <v>1.4285714285714286</v>
      </c>
      <c r="J15" s="49">
        <f>AVERAGE('12.08 Buwenge-Jinja'!J15,'13.08 Buwenge-Jinja'!J15,'14.08 Buwenge-Jinja'!J15,'15.08 Buwenge-Jinja'!J15,'16.08 Buwenge-Jinja-24h'!J15,'17.08 Buwenge-Jinja-24h'!J15,'18.08 Buwenge-Jinja'!J15)</f>
        <v>0</v>
      </c>
      <c r="K15" s="49">
        <f>AVERAGE('12.08 Buwenge-Jinja'!K15,'13.08 Buwenge-Jinja'!K15,'14.08 Buwenge-Jinja'!K15,'15.08 Buwenge-Jinja'!K15,'16.08 Buwenge-Jinja-24h'!K15,'17.08 Buwenge-Jinja-24h'!K15,'18.08 Buwenge-Jinja'!K15)</f>
        <v>0</v>
      </c>
      <c r="L15" s="49">
        <f>AVERAGE('12.08 Buwenge-Jinja'!L15,'13.08 Buwenge-Jinja'!L15,'14.08 Buwenge-Jinja'!L15,'15.08 Buwenge-Jinja'!L15,'16.08 Buwenge-Jinja-24h'!L15,'17.08 Buwenge-Jinja-24h'!L15,'18.08 Buwenge-Jinja'!L15)</f>
        <v>0</v>
      </c>
      <c r="M15" s="49">
        <f>AVERAGE('12.08 Buwenge-Jinja'!M15,'13.08 Buwenge-Jinja'!M15,'14.08 Buwenge-Jinja'!M15,'15.08 Buwenge-Jinja'!M15,'16.08 Buwenge-Jinja-24h'!M15,'17.08 Buwenge-Jinja-24h'!M15,'18.08 Buwenge-Jinja'!M15)</f>
        <v>43.285714285714285</v>
      </c>
      <c r="N15" s="49">
        <f>AVERAGE('12.08 Buwenge-Jinja'!N15,'13.08 Buwenge-Jinja'!N15,'14.08 Buwenge-Jinja'!N15,'15.08 Buwenge-Jinja'!N15,'16.08 Buwenge-Jinja-24h'!N15,'17.08 Buwenge-Jinja-24h'!N15,'18.08 Buwenge-Jinja'!N15)</f>
        <v>0.14285714285714285</v>
      </c>
      <c r="O15" s="15">
        <f t="shared" si="0"/>
        <v>17.999999999999996</v>
      </c>
      <c r="P15" s="15">
        <f t="shared" si="1"/>
        <v>61.285714285714285</v>
      </c>
      <c r="R15" s="1" t="s">
        <v>11</v>
      </c>
      <c r="S15" s="17">
        <f t="shared" ref="S15:AF15" si="7">SUM(C30:C33)</f>
        <v>21.285714285714285</v>
      </c>
      <c r="T15" s="17">
        <f t="shared" si="7"/>
        <v>3.4285714285714284</v>
      </c>
      <c r="U15" s="17">
        <f t="shared" si="7"/>
        <v>12.714285714285715</v>
      </c>
      <c r="V15" s="17">
        <f t="shared" si="7"/>
        <v>40</v>
      </c>
      <c r="W15" s="17">
        <f t="shared" si="7"/>
        <v>2.2857142857142856</v>
      </c>
      <c r="X15" s="17">
        <f t="shared" si="7"/>
        <v>0</v>
      </c>
      <c r="Y15" s="17">
        <f t="shared" si="7"/>
        <v>11.714285714285714</v>
      </c>
      <c r="Z15" s="17">
        <f t="shared" si="7"/>
        <v>0.5714285714285714</v>
      </c>
      <c r="AA15" s="17">
        <f t="shared" si="7"/>
        <v>0</v>
      </c>
      <c r="AB15" s="17">
        <f t="shared" si="7"/>
        <v>0</v>
      </c>
      <c r="AC15" s="17">
        <f t="shared" si="7"/>
        <v>154.57142857142858</v>
      </c>
      <c r="AD15" s="17">
        <f t="shared" si="7"/>
        <v>0.2857142857142857</v>
      </c>
      <c r="AE15" s="31">
        <f t="shared" si="7"/>
        <v>92.285714285714278</v>
      </c>
      <c r="AF15" s="31">
        <f t="shared" si="7"/>
        <v>246.85714285714286</v>
      </c>
    </row>
    <row r="16" spans="2:32" ht="23.1" customHeight="1" x14ac:dyDescent="0.25">
      <c r="B16" s="23" t="s">
        <v>43</v>
      </c>
      <c r="C16" s="49">
        <f>AVERAGE('12.08 Buwenge-Jinja'!C16,'13.08 Buwenge-Jinja'!C16,'14.08 Buwenge-Jinja'!C16,'15.08 Buwenge-Jinja'!C16,'16.08 Buwenge-Jinja-24h'!C16,'17.08 Buwenge-Jinja-24h'!C16,'18.08 Buwenge-Jinja'!C16)</f>
        <v>4.4285714285714288</v>
      </c>
      <c r="D16" s="49">
        <f>AVERAGE('12.08 Buwenge-Jinja'!D16,'13.08 Buwenge-Jinja'!D16,'14.08 Buwenge-Jinja'!D16,'15.08 Buwenge-Jinja'!D16,'16.08 Buwenge-Jinja-24h'!D16,'17.08 Buwenge-Jinja-24h'!D16,'18.08 Buwenge-Jinja'!D16)</f>
        <v>0.2857142857142857</v>
      </c>
      <c r="E16" s="49">
        <f>AVERAGE('12.08 Buwenge-Jinja'!E16,'13.08 Buwenge-Jinja'!E16,'14.08 Buwenge-Jinja'!E16,'15.08 Buwenge-Jinja'!E16,'16.08 Buwenge-Jinja-24h'!E16,'17.08 Buwenge-Jinja-24h'!E16,'18.08 Buwenge-Jinja'!E16)</f>
        <v>2</v>
      </c>
      <c r="F16" s="49">
        <f>AVERAGE('12.08 Buwenge-Jinja'!F16,'13.08 Buwenge-Jinja'!F16,'14.08 Buwenge-Jinja'!F16,'15.08 Buwenge-Jinja'!F16,'16.08 Buwenge-Jinja-24h'!F16,'17.08 Buwenge-Jinja-24h'!F16,'18.08 Buwenge-Jinja'!F16)</f>
        <v>11.285714285714286</v>
      </c>
      <c r="G16" s="49">
        <f>AVERAGE('12.08 Buwenge-Jinja'!G16,'13.08 Buwenge-Jinja'!G16,'14.08 Buwenge-Jinja'!G16,'15.08 Buwenge-Jinja'!G16,'16.08 Buwenge-Jinja-24h'!G16,'17.08 Buwenge-Jinja-24h'!G16,'18.08 Buwenge-Jinja'!G16)</f>
        <v>2.4285714285714284</v>
      </c>
      <c r="H16" s="49">
        <f>AVERAGE('12.08 Buwenge-Jinja'!H16,'13.08 Buwenge-Jinja'!H16,'14.08 Buwenge-Jinja'!H16,'15.08 Buwenge-Jinja'!H16,'16.08 Buwenge-Jinja-24h'!H16,'17.08 Buwenge-Jinja-24h'!H16,'18.08 Buwenge-Jinja'!H16)</f>
        <v>0.2857142857142857</v>
      </c>
      <c r="I16" s="49">
        <f>AVERAGE('12.08 Buwenge-Jinja'!I16,'13.08 Buwenge-Jinja'!I16,'14.08 Buwenge-Jinja'!I16,'15.08 Buwenge-Jinja'!I16,'16.08 Buwenge-Jinja-24h'!I16,'17.08 Buwenge-Jinja-24h'!I16,'18.08 Buwenge-Jinja'!I16)</f>
        <v>0.8571428571428571</v>
      </c>
      <c r="J16" s="49">
        <f>AVERAGE('12.08 Buwenge-Jinja'!J16,'13.08 Buwenge-Jinja'!J16,'14.08 Buwenge-Jinja'!J16,'15.08 Buwenge-Jinja'!J16,'16.08 Buwenge-Jinja-24h'!J16,'17.08 Buwenge-Jinja-24h'!J16,'18.08 Buwenge-Jinja'!J16)</f>
        <v>0.14285714285714285</v>
      </c>
      <c r="K16" s="49">
        <f>AVERAGE('12.08 Buwenge-Jinja'!K16,'13.08 Buwenge-Jinja'!K16,'14.08 Buwenge-Jinja'!K16,'15.08 Buwenge-Jinja'!K16,'16.08 Buwenge-Jinja-24h'!K16,'17.08 Buwenge-Jinja-24h'!K16,'18.08 Buwenge-Jinja'!K16)</f>
        <v>0</v>
      </c>
      <c r="L16" s="49">
        <f>AVERAGE('12.08 Buwenge-Jinja'!L16,'13.08 Buwenge-Jinja'!L16,'14.08 Buwenge-Jinja'!L16,'15.08 Buwenge-Jinja'!L16,'16.08 Buwenge-Jinja-24h'!L16,'17.08 Buwenge-Jinja-24h'!L16,'18.08 Buwenge-Jinja'!L16)</f>
        <v>0</v>
      </c>
      <c r="M16" s="49">
        <f>AVERAGE('12.08 Buwenge-Jinja'!M16,'13.08 Buwenge-Jinja'!M16,'14.08 Buwenge-Jinja'!M16,'15.08 Buwenge-Jinja'!M16,'16.08 Buwenge-Jinja-24h'!M16,'17.08 Buwenge-Jinja-24h'!M16,'18.08 Buwenge-Jinja'!M16)</f>
        <v>48.714285714285715</v>
      </c>
      <c r="N16" s="49">
        <f>AVERAGE('12.08 Buwenge-Jinja'!N16,'13.08 Buwenge-Jinja'!N16,'14.08 Buwenge-Jinja'!N16,'15.08 Buwenge-Jinja'!N16,'16.08 Buwenge-Jinja-24h'!N16,'17.08 Buwenge-Jinja-24h'!N16,'18.08 Buwenge-Jinja'!N16)</f>
        <v>0</v>
      </c>
      <c r="O16" s="15">
        <f t="shared" si="0"/>
        <v>21.714285714285712</v>
      </c>
      <c r="P16" s="15">
        <f t="shared" si="1"/>
        <v>70.428571428571431</v>
      </c>
      <c r="R16" s="1" t="s">
        <v>12</v>
      </c>
      <c r="S16" s="17">
        <f t="shared" ref="S16:AF16" si="8">SUM(C34:C37)</f>
        <v>17.714285714285715</v>
      </c>
      <c r="T16" s="17">
        <f t="shared" si="8"/>
        <v>3.8571428571428572</v>
      </c>
      <c r="U16" s="17">
        <f t="shared" si="8"/>
        <v>12.142857142857142</v>
      </c>
      <c r="V16" s="17">
        <f t="shared" si="8"/>
        <v>41.714285714285715</v>
      </c>
      <c r="W16" s="17">
        <f t="shared" si="8"/>
        <v>3.2857142857142856</v>
      </c>
      <c r="X16" s="17">
        <f t="shared" si="8"/>
        <v>0</v>
      </c>
      <c r="Y16" s="17">
        <f t="shared" si="8"/>
        <v>10.428571428571427</v>
      </c>
      <c r="Z16" s="17">
        <f t="shared" si="8"/>
        <v>1.4285714285714284</v>
      </c>
      <c r="AA16" s="17">
        <f t="shared" si="8"/>
        <v>0.14285714285714285</v>
      </c>
      <c r="AB16" s="17">
        <f t="shared" si="8"/>
        <v>0</v>
      </c>
      <c r="AC16" s="17">
        <f t="shared" si="8"/>
        <v>140.85714285714283</v>
      </c>
      <c r="AD16" s="17">
        <f t="shared" si="8"/>
        <v>0</v>
      </c>
      <c r="AE16" s="31">
        <f t="shared" si="8"/>
        <v>90.714285714285708</v>
      </c>
      <c r="AF16" s="31">
        <f t="shared" si="8"/>
        <v>231.57142857142858</v>
      </c>
    </row>
    <row r="17" spans="2:32" ht="23.1" customHeight="1" x14ac:dyDescent="0.25">
      <c r="B17" s="23" t="s">
        <v>44</v>
      </c>
      <c r="C17" s="49">
        <f>AVERAGE('12.08 Buwenge-Jinja'!C17,'13.08 Buwenge-Jinja'!C17,'14.08 Buwenge-Jinja'!C17,'15.08 Buwenge-Jinja'!C17,'16.08 Buwenge-Jinja-24h'!C17,'17.08 Buwenge-Jinja-24h'!C17,'18.08 Buwenge-Jinja'!C17)</f>
        <v>5.1428571428571432</v>
      </c>
      <c r="D17" s="49">
        <f>AVERAGE('12.08 Buwenge-Jinja'!D17,'13.08 Buwenge-Jinja'!D17,'14.08 Buwenge-Jinja'!D17,'15.08 Buwenge-Jinja'!D17,'16.08 Buwenge-Jinja-24h'!D17,'17.08 Buwenge-Jinja-24h'!D17,'18.08 Buwenge-Jinja'!D17)</f>
        <v>0.5714285714285714</v>
      </c>
      <c r="E17" s="49">
        <f>AVERAGE('12.08 Buwenge-Jinja'!E17,'13.08 Buwenge-Jinja'!E17,'14.08 Buwenge-Jinja'!E17,'15.08 Buwenge-Jinja'!E17,'16.08 Buwenge-Jinja-24h'!E17,'17.08 Buwenge-Jinja-24h'!E17,'18.08 Buwenge-Jinja'!E17)</f>
        <v>2.2857142857142856</v>
      </c>
      <c r="F17" s="49">
        <f>AVERAGE('12.08 Buwenge-Jinja'!F17,'13.08 Buwenge-Jinja'!F17,'14.08 Buwenge-Jinja'!F17,'15.08 Buwenge-Jinja'!F17,'16.08 Buwenge-Jinja-24h'!F17,'17.08 Buwenge-Jinja-24h'!F17,'18.08 Buwenge-Jinja'!F17)</f>
        <v>9.4285714285714288</v>
      </c>
      <c r="G17" s="49">
        <f>AVERAGE('12.08 Buwenge-Jinja'!G17,'13.08 Buwenge-Jinja'!G17,'14.08 Buwenge-Jinja'!G17,'15.08 Buwenge-Jinja'!G17,'16.08 Buwenge-Jinja-24h'!G17,'17.08 Buwenge-Jinja-24h'!G17,'18.08 Buwenge-Jinja'!G17)</f>
        <v>2.5714285714285716</v>
      </c>
      <c r="H17" s="49">
        <f>AVERAGE('12.08 Buwenge-Jinja'!H17,'13.08 Buwenge-Jinja'!H17,'14.08 Buwenge-Jinja'!H17,'15.08 Buwenge-Jinja'!H17,'16.08 Buwenge-Jinja-24h'!H17,'17.08 Buwenge-Jinja-24h'!H17,'18.08 Buwenge-Jinja'!H17)</f>
        <v>0.42857142857142855</v>
      </c>
      <c r="I17" s="49">
        <f>AVERAGE('12.08 Buwenge-Jinja'!I17,'13.08 Buwenge-Jinja'!I17,'14.08 Buwenge-Jinja'!I17,'15.08 Buwenge-Jinja'!I17,'16.08 Buwenge-Jinja-24h'!I17,'17.08 Buwenge-Jinja-24h'!I17,'18.08 Buwenge-Jinja'!I17)</f>
        <v>2.1428571428571428</v>
      </c>
      <c r="J17" s="49">
        <f>AVERAGE('12.08 Buwenge-Jinja'!J17,'13.08 Buwenge-Jinja'!J17,'14.08 Buwenge-Jinja'!J17,'15.08 Buwenge-Jinja'!J17,'16.08 Buwenge-Jinja-24h'!J17,'17.08 Buwenge-Jinja-24h'!J17,'18.08 Buwenge-Jinja'!J17)</f>
        <v>0.14285714285714285</v>
      </c>
      <c r="K17" s="49">
        <f>AVERAGE('12.08 Buwenge-Jinja'!K17,'13.08 Buwenge-Jinja'!K17,'14.08 Buwenge-Jinja'!K17,'15.08 Buwenge-Jinja'!K17,'16.08 Buwenge-Jinja-24h'!K17,'17.08 Buwenge-Jinja-24h'!K17,'18.08 Buwenge-Jinja'!K17)</f>
        <v>0</v>
      </c>
      <c r="L17" s="49">
        <f>AVERAGE('12.08 Buwenge-Jinja'!L17,'13.08 Buwenge-Jinja'!L17,'14.08 Buwenge-Jinja'!L17,'15.08 Buwenge-Jinja'!L17,'16.08 Buwenge-Jinja-24h'!L17,'17.08 Buwenge-Jinja-24h'!L17,'18.08 Buwenge-Jinja'!L17)</f>
        <v>0</v>
      </c>
      <c r="M17" s="49">
        <f>AVERAGE('12.08 Buwenge-Jinja'!M17,'13.08 Buwenge-Jinja'!M17,'14.08 Buwenge-Jinja'!M17,'15.08 Buwenge-Jinja'!M17,'16.08 Buwenge-Jinja-24h'!M17,'17.08 Buwenge-Jinja-24h'!M17,'18.08 Buwenge-Jinja'!M17)</f>
        <v>49.428571428571431</v>
      </c>
      <c r="N17" s="49">
        <f>AVERAGE('12.08 Buwenge-Jinja'!N17,'13.08 Buwenge-Jinja'!N17,'14.08 Buwenge-Jinja'!N17,'15.08 Buwenge-Jinja'!N17,'16.08 Buwenge-Jinja-24h'!N17,'17.08 Buwenge-Jinja-24h'!N17,'18.08 Buwenge-Jinja'!N17)</f>
        <v>0</v>
      </c>
      <c r="O17" s="15">
        <f t="shared" si="0"/>
        <v>22.714285714285715</v>
      </c>
      <c r="P17" s="15">
        <f t="shared" si="1"/>
        <v>72.142857142857139</v>
      </c>
      <c r="R17" s="1" t="s">
        <v>13</v>
      </c>
      <c r="S17" s="17">
        <f t="shared" ref="S17:AF17" si="9">SUM(C38:C41)</f>
        <v>17.571428571428573</v>
      </c>
      <c r="T17" s="17">
        <f t="shared" si="9"/>
        <v>4.2857142857142856</v>
      </c>
      <c r="U17" s="17">
        <f t="shared" si="9"/>
        <v>14.142857142857142</v>
      </c>
      <c r="V17" s="17">
        <f t="shared" si="9"/>
        <v>41.714285714285708</v>
      </c>
      <c r="W17" s="17">
        <f t="shared" si="9"/>
        <v>3</v>
      </c>
      <c r="X17" s="17">
        <f t="shared" si="9"/>
        <v>0</v>
      </c>
      <c r="Y17" s="17">
        <f t="shared" si="9"/>
        <v>11.714285714285714</v>
      </c>
      <c r="Z17" s="17">
        <f t="shared" si="9"/>
        <v>1.4285714285714284</v>
      </c>
      <c r="AA17" s="17">
        <f t="shared" si="9"/>
        <v>0</v>
      </c>
      <c r="AB17" s="17">
        <f t="shared" si="9"/>
        <v>0</v>
      </c>
      <c r="AC17" s="17">
        <f t="shared" si="9"/>
        <v>144.28571428571428</v>
      </c>
      <c r="AD17" s="17">
        <f t="shared" si="9"/>
        <v>0.14285714285714285</v>
      </c>
      <c r="AE17" s="31">
        <f t="shared" si="9"/>
        <v>94</v>
      </c>
      <c r="AF17" s="31">
        <f t="shared" si="9"/>
        <v>238.28571428571428</v>
      </c>
    </row>
    <row r="18" spans="2:32" ht="23.1" customHeight="1" x14ac:dyDescent="0.25">
      <c r="B18" s="23" t="s">
        <v>45</v>
      </c>
      <c r="C18" s="49">
        <f>AVERAGE('12.08 Buwenge-Jinja'!C18,'13.08 Buwenge-Jinja'!C18,'14.08 Buwenge-Jinja'!C18,'15.08 Buwenge-Jinja'!C18,'16.08 Buwenge-Jinja-24h'!C18,'17.08 Buwenge-Jinja-24h'!C18,'18.08 Buwenge-Jinja'!C18)</f>
        <v>3</v>
      </c>
      <c r="D18" s="49">
        <f>AVERAGE('12.08 Buwenge-Jinja'!D18,'13.08 Buwenge-Jinja'!D18,'14.08 Buwenge-Jinja'!D18,'15.08 Buwenge-Jinja'!D18,'16.08 Buwenge-Jinja-24h'!D18,'17.08 Buwenge-Jinja-24h'!D18,'18.08 Buwenge-Jinja'!D18)</f>
        <v>0.2857142857142857</v>
      </c>
      <c r="E18" s="49">
        <f>AVERAGE('12.08 Buwenge-Jinja'!E18,'13.08 Buwenge-Jinja'!E18,'14.08 Buwenge-Jinja'!E18,'15.08 Buwenge-Jinja'!E18,'16.08 Buwenge-Jinja-24h'!E18,'17.08 Buwenge-Jinja-24h'!E18,'18.08 Buwenge-Jinja'!E18)</f>
        <v>2.1428571428571428</v>
      </c>
      <c r="F18" s="49">
        <f>AVERAGE('12.08 Buwenge-Jinja'!F18,'13.08 Buwenge-Jinja'!F18,'14.08 Buwenge-Jinja'!F18,'15.08 Buwenge-Jinja'!F18,'16.08 Buwenge-Jinja-24h'!F18,'17.08 Buwenge-Jinja-24h'!F18,'18.08 Buwenge-Jinja'!F18)</f>
        <v>13</v>
      </c>
      <c r="G18" s="49">
        <f>AVERAGE('12.08 Buwenge-Jinja'!G18,'13.08 Buwenge-Jinja'!G18,'14.08 Buwenge-Jinja'!G18,'15.08 Buwenge-Jinja'!G18,'16.08 Buwenge-Jinja-24h'!G18,'17.08 Buwenge-Jinja-24h'!G18,'18.08 Buwenge-Jinja'!G18)</f>
        <v>2.5714285714285716</v>
      </c>
      <c r="H18" s="49">
        <f>AVERAGE('12.08 Buwenge-Jinja'!H18,'13.08 Buwenge-Jinja'!H18,'14.08 Buwenge-Jinja'!H18,'15.08 Buwenge-Jinja'!H18,'16.08 Buwenge-Jinja-24h'!H18,'17.08 Buwenge-Jinja-24h'!H18,'18.08 Buwenge-Jinja'!H18)</f>
        <v>0</v>
      </c>
      <c r="I18" s="49">
        <f>AVERAGE('12.08 Buwenge-Jinja'!I18,'13.08 Buwenge-Jinja'!I18,'14.08 Buwenge-Jinja'!I18,'15.08 Buwenge-Jinja'!I18,'16.08 Buwenge-Jinja-24h'!I18,'17.08 Buwenge-Jinja-24h'!I18,'18.08 Buwenge-Jinja'!I18)</f>
        <v>2.7142857142857144</v>
      </c>
      <c r="J18" s="49">
        <f>AVERAGE('12.08 Buwenge-Jinja'!J18,'13.08 Buwenge-Jinja'!J18,'14.08 Buwenge-Jinja'!J18,'15.08 Buwenge-Jinja'!J18,'16.08 Buwenge-Jinja-24h'!J18,'17.08 Buwenge-Jinja-24h'!J18,'18.08 Buwenge-Jinja'!J18)</f>
        <v>0.2857142857142857</v>
      </c>
      <c r="K18" s="49">
        <f>AVERAGE('12.08 Buwenge-Jinja'!K18,'13.08 Buwenge-Jinja'!K18,'14.08 Buwenge-Jinja'!K18,'15.08 Buwenge-Jinja'!K18,'16.08 Buwenge-Jinja-24h'!K18,'17.08 Buwenge-Jinja-24h'!K18,'18.08 Buwenge-Jinja'!K18)</f>
        <v>0</v>
      </c>
      <c r="L18" s="49">
        <f>AVERAGE('12.08 Buwenge-Jinja'!L18,'13.08 Buwenge-Jinja'!L18,'14.08 Buwenge-Jinja'!L18,'15.08 Buwenge-Jinja'!L18,'16.08 Buwenge-Jinja-24h'!L18,'17.08 Buwenge-Jinja-24h'!L18,'18.08 Buwenge-Jinja'!L18)</f>
        <v>0</v>
      </c>
      <c r="M18" s="49">
        <f>AVERAGE('12.08 Buwenge-Jinja'!M18,'13.08 Buwenge-Jinja'!M18,'14.08 Buwenge-Jinja'!M18,'15.08 Buwenge-Jinja'!M18,'16.08 Buwenge-Jinja-24h'!M18,'17.08 Buwenge-Jinja-24h'!M18,'18.08 Buwenge-Jinja'!M18)</f>
        <v>42.285714285714285</v>
      </c>
      <c r="N18" s="49">
        <f>AVERAGE('12.08 Buwenge-Jinja'!N18,'13.08 Buwenge-Jinja'!N18,'14.08 Buwenge-Jinja'!N18,'15.08 Buwenge-Jinja'!N18,'16.08 Buwenge-Jinja-24h'!N18,'17.08 Buwenge-Jinja-24h'!N18,'18.08 Buwenge-Jinja'!N18)</f>
        <v>0</v>
      </c>
      <c r="O18" s="15">
        <f t="shared" si="0"/>
        <v>24.000000000000004</v>
      </c>
      <c r="P18" s="15">
        <f t="shared" si="1"/>
        <v>66.285714285714292</v>
      </c>
      <c r="R18" s="1" t="s">
        <v>14</v>
      </c>
      <c r="S18" s="17">
        <f t="shared" ref="S18:AF18" si="10">SUM(C42:C45)</f>
        <v>20.857142857142858</v>
      </c>
      <c r="T18" s="17">
        <f t="shared" si="10"/>
        <v>9.2857142857142847</v>
      </c>
      <c r="U18" s="17">
        <f t="shared" si="10"/>
        <v>20.714285714285715</v>
      </c>
      <c r="V18" s="17">
        <f t="shared" si="10"/>
        <v>47.428571428571431</v>
      </c>
      <c r="W18" s="17">
        <f t="shared" si="10"/>
        <v>4.2857142857142856</v>
      </c>
      <c r="X18" s="17">
        <f t="shared" si="10"/>
        <v>0.14285714285714285</v>
      </c>
      <c r="Y18" s="17">
        <f t="shared" si="10"/>
        <v>16.142857142857142</v>
      </c>
      <c r="Z18" s="17">
        <f t="shared" si="10"/>
        <v>1.2857142857142856</v>
      </c>
      <c r="AA18" s="17">
        <f t="shared" si="10"/>
        <v>0.42857142857142855</v>
      </c>
      <c r="AB18" s="17">
        <f t="shared" si="10"/>
        <v>0</v>
      </c>
      <c r="AC18" s="17">
        <f t="shared" si="10"/>
        <v>104.85714285714286</v>
      </c>
      <c r="AD18" s="17">
        <f t="shared" si="10"/>
        <v>0</v>
      </c>
      <c r="AE18" s="31">
        <f t="shared" si="10"/>
        <v>120.57142857142857</v>
      </c>
      <c r="AF18" s="31">
        <f t="shared" si="10"/>
        <v>225.42857142857144</v>
      </c>
    </row>
    <row r="19" spans="2:32" ht="23.1" customHeight="1" x14ac:dyDescent="0.25">
      <c r="B19" s="23" t="s">
        <v>46</v>
      </c>
      <c r="C19" s="49">
        <f>AVERAGE('12.08 Buwenge-Jinja'!C19,'13.08 Buwenge-Jinja'!C19,'14.08 Buwenge-Jinja'!C19,'15.08 Buwenge-Jinja'!C19,'16.08 Buwenge-Jinja-24h'!C19,'17.08 Buwenge-Jinja-24h'!C19,'18.08 Buwenge-Jinja'!C19)</f>
        <v>3.8571428571428572</v>
      </c>
      <c r="D19" s="49">
        <f>AVERAGE('12.08 Buwenge-Jinja'!D19,'13.08 Buwenge-Jinja'!D19,'14.08 Buwenge-Jinja'!D19,'15.08 Buwenge-Jinja'!D19,'16.08 Buwenge-Jinja-24h'!D19,'17.08 Buwenge-Jinja-24h'!D19,'18.08 Buwenge-Jinja'!D19)</f>
        <v>0.42857142857142855</v>
      </c>
      <c r="E19" s="49">
        <f>AVERAGE('12.08 Buwenge-Jinja'!E19,'13.08 Buwenge-Jinja'!E19,'14.08 Buwenge-Jinja'!E19,'15.08 Buwenge-Jinja'!E19,'16.08 Buwenge-Jinja-24h'!E19,'17.08 Buwenge-Jinja-24h'!E19,'18.08 Buwenge-Jinja'!E19)</f>
        <v>2.2857142857142856</v>
      </c>
      <c r="F19" s="49">
        <f>AVERAGE('12.08 Buwenge-Jinja'!F19,'13.08 Buwenge-Jinja'!F19,'14.08 Buwenge-Jinja'!F19,'15.08 Buwenge-Jinja'!F19,'16.08 Buwenge-Jinja-24h'!F19,'17.08 Buwenge-Jinja-24h'!F19,'18.08 Buwenge-Jinja'!F19)</f>
        <v>10.857142857142858</v>
      </c>
      <c r="G19" s="49">
        <f>AVERAGE('12.08 Buwenge-Jinja'!G19,'13.08 Buwenge-Jinja'!G19,'14.08 Buwenge-Jinja'!G19,'15.08 Buwenge-Jinja'!G19,'16.08 Buwenge-Jinja-24h'!G19,'17.08 Buwenge-Jinja-24h'!G19,'18.08 Buwenge-Jinja'!G19)</f>
        <v>1</v>
      </c>
      <c r="H19" s="49">
        <f>AVERAGE('12.08 Buwenge-Jinja'!H19,'13.08 Buwenge-Jinja'!H19,'14.08 Buwenge-Jinja'!H19,'15.08 Buwenge-Jinja'!H19,'16.08 Buwenge-Jinja-24h'!H19,'17.08 Buwenge-Jinja-24h'!H19,'18.08 Buwenge-Jinja'!H19)</f>
        <v>0.42857142857142855</v>
      </c>
      <c r="I19" s="49">
        <f>AVERAGE('12.08 Buwenge-Jinja'!I19,'13.08 Buwenge-Jinja'!I19,'14.08 Buwenge-Jinja'!I19,'15.08 Buwenge-Jinja'!I19,'16.08 Buwenge-Jinja-24h'!I19,'17.08 Buwenge-Jinja-24h'!I19,'18.08 Buwenge-Jinja'!I19)</f>
        <v>2.4285714285714284</v>
      </c>
      <c r="J19" s="49">
        <f>AVERAGE('12.08 Buwenge-Jinja'!J19,'13.08 Buwenge-Jinja'!J19,'14.08 Buwenge-Jinja'!J19,'15.08 Buwenge-Jinja'!J19,'16.08 Buwenge-Jinja-24h'!J19,'17.08 Buwenge-Jinja-24h'!J19,'18.08 Buwenge-Jinja'!J19)</f>
        <v>0</v>
      </c>
      <c r="K19" s="49">
        <f>AVERAGE('12.08 Buwenge-Jinja'!K19,'13.08 Buwenge-Jinja'!K19,'14.08 Buwenge-Jinja'!K19,'15.08 Buwenge-Jinja'!K19,'16.08 Buwenge-Jinja-24h'!K19,'17.08 Buwenge-Jinja-24h'!K19,'18.08 Buwenge-Jinja'!K19)</f>
        <v>0</v>
      </c>
      <c r="L19" s="49">
        <f>AVERAGE('12.08 Buwenge-Jinja'!L19,'13.08 Buwenge-Jinja'!L19,'14.08 Buwenge-Jinja'!L19,'15.08 Buwenge-Jinja'!L19,'16.08 Buwenge-Jinja-24h'!L19,'17.08 Buwenge-Jinja-24h'!L19,'18.08 Buwenge-Jinja'!L19)</f>
        <v>0</v>
      </c>
      <c r="M19" s="49">
        <f>AVERAGE('12.08 Buwenge-Jinja'!M19,'13.08 Buwenge-Jinja'!M19,'14.08 Buwenge-Jinja'!M19,'15.08 Buwenge-Jinja'!M19,'16.08 Buwenge-Jinja-24h'!M19,'17.08 Buwenge-Jinja-24h'!M19,'18.08 Buwenge-Jinja'!M19)</f>
        <v>46.428571428571431</v>
      </c>
      <c r="N19" s="49">
        <f>AVERAGE('12.08 Buwenge-Jinja'!N19,'13.08 Buwenge-Jinja'!N19,'14.08 Buwenge-Jinja'!N19,'15.08 Buwenge-Jinja'!N19,'16.08 Buwenge-Jinja-24h'!N19,'17.08 Buwenge-Jinja-24h'!N19,'18.08 Buwenge-Jinja'!N19)</f>
        <v>0</v>
      </c>
      <c r="O19" s="15">
        <f t="shared" si="0"/>
        <v>21.285714285714285</v>
      </c>
      <c r="P19" s="15">
        <f t="shared" si="1"/>
        <v>67.714285714285722</v>
      </c>
      <c r="R19" s="1" t="s">
        <v>15</v>
      </c>
      <c r="S19" s="17">
        <f t="shared" ref="S19:AF19" si="11">SUM(C46:C49)</f>
        <v>30.142857142857142</v>
      </c>
      <c r="T19" s="17">
        <f t="shared" si="11"/>
        <v>10.571428571428571</v>
      </c>
      <c r="U19" s="17">
        <f t="shared" si="11"/>
        <v>21.428571428571431</v>
      </c>
      <c r="V19" s="17">
        <f t="shared" si="11"/>
        <v>42.428571428571423</v>
      </c>
      <c r="W19" s="17">
        <f t="shared" si="11"/>
        <v>5.4285714285714288</v>
      </c>
      <c r="X19" s="17">
        <f t="shared" si="11"/>
        <v>0.14285714285714285</v>
      </c>
      <c r="Y19" s="17">
        <f t="shared" si="11"/>
        <v>14.142857142857142</v>
      </c>
      <c r="Z19" s="17">
        <f t="shared" si="11"/>
        <v>1</v>
      </c>
      <c r="AA19" s="17">
        <f t="shared" si="11"/>
        <v>0.42857142857142855</v>
      </c>
      <c r="AB19" s="17">
        <f t="shared" si="11"/>
        <v>0</v>
      </c>
      <c r="AC19" s="17">
        <f t="shared" si="11"/>
        <v>134.85714285714286</v>
      </c>
      <c r="AD19" s="17">
        <f t="shared" si="11"/>
        <v>0.14285714285714285</v>
      </c>
      <c r="AE19" s="31">
        <f t="shared" si="11"/>
        <v>125.85714285714286</v>
      </c>
      <c r="AF19" s="31">
        <f t="shared" si="11"/>
        <v>260.71428571428572</v>
      </c>
    </row>
    <row r="20" spans="2:32" ht="23.1" customHeight="1" x14ac:dyDescent="0.25">
      <c r="B20" s="23" t="s">
        <v>47</v>
      </c>
      <c r="C20" s="49">
        <f>AVERAGE('12.08 Buwenge-Jinja'!C20,'13.08 Buwenge-Jinja'!C20,'14.08 Buwenge-Jinja'!C20,'15.08 Buwenge-Jinja'!C20,'16.08 Buwenge-Jinja-24h'!C20,'17.08 Buwenge-Jinja-24h'!C20,'18.08 Buwenge-Jinja'!C20)</f>
        <v>4</v>
      </c>
      <c r="D20" s="49">
        <f>AVERAGE('12.08 Buwenge-Jinja'!D20,'13.08 Buwenge-Jinja'!D20,'14.08 Buwenge-Jinja'!D20,'15.08 Buwenge-Jinja'!D20,'16.08 Buwenge-Jinja-24h'!D20,'17.08 Buwenge-Jinja-24h'!D20,'18.08 Buwenge-Jinja'!D20)</f>
        <v>0.7142857142857143</v>
      </c>
      <c r="E20" s="49">
        <f>AVERAGE('12.08 Buwenge-Jinja'!E20,'13.08 Buwenge-Jinja'!E20,'14.08 Buwenge-Jinja'!E20,'15.08 Buwenge-Jinja'!E20,'16.08 Buwenge-Jinja-24h'!E20,'17.08 Buwenge-Jinja-24h'!E20,'18.08 Buwenge-Jinja'!E20)</f>
        <v>2.8571428571428572</v>
      </c>
      <c r="F20" s="49">
        <f>AVERAGE('12.08 Buwenge-Jinja'!F20,'13.08 Buwenge-Jinja'!F20,'14.08 Buwenge-Jinja'!F20,'15.08 Buwenge-Jinja'!F20,'16.08 Buwenge-Jinja-24h'!F20,'17.08 Buwenge-Jinja-24h'!F20,'18.08 Buwenge-Jinja'!F20)</f>
        <v>12</v>
      </c>
      <c r="G20" s="49">
        <f>AVERAGE('12.08 Buwenge-Jinja'!G20,'13.08 Buwenge-Jinja'!G20,'14.08 Buwenge-Jinja'!G20,'15.08 Buwenge-Jinja'!G20,'16.08 Buwenge-Jinja-24h'!G20,'17.08 Buwenge-Jinja-24h'!G20,'18.08 Buwenge-Jinja'!G20)</f>
        <v>0.5714285714285714</v>
      </c>
      <c r="H20" s="49">
        <f>AVERAGE('12.08 Buwenge-Jinja'!H20,'13.08 Buwenge-Jinja'!H20,'14.08 Buwenge-Jinja'!H20,'15.08 Buwenge-Jinja'!H20,'16.08 Buwenge-Jinja-24h'!H20,'17.08 Buwenge-Jinja-24h'!H20,'18.08 Buwenge-Jinja'!H20)</f>
        <v>0.2857142857142857</v>
      </c>
      <c r="I20" s="49">
        <f>AVERAGE('12.08 Buwenge-Jinja'!I20,'13.08 Buwenge-Jinja'!I20,'14.08 Buwenge-Jinja'!I20,'15.08 Buwenge-Jinja'!I20,'16.08 Buwenge-Jinja-24h'!I20,'17.08 Buwenge-Jinja-24h'!I20,'18.08 Buwenge-Jinja'!I20)</f>
        <v>1.5714285714285714</v>
      </c>
      <c r="J20" s="49">
        <f>AVERAGE('12.08 Buwenge-Jinja'!J20,'13.08 Buwenge-Jinja'!J20,'14.08 Buwenge-Jinja'!J20,'15.08 Buwenge-Jinja'!J20,'16.08 Buwenge-Jinja-24h'!J20,'17.08 Buwenge-Jinja-24h'!J20,'18.08 Buwenge-Jinja'!J20)</f>
        <v>0.2857142857142857</v>
      </c>
      <c r="K20" s="49">
        <f>AVERAGE('12.08 Buwenge-Jinja'!K20,'13.08 Buwenge-Jinja'!K20,'14.08 Buwenge-Jinja'!K20,'15.08 Buwenge-Jinja'!K20,'16.08 Buwenge-Jinja-24h'!K20,'17.08 Buwenge-Jinja-24h'!K20,'18.08 Buwenge-Jinja'!K20)</f>
        <v>0</v>
      </c>
      <c r="L20" s="49">
        <f>AVERAGE('12.08 Buwenge-Jinja'!L20,'13.08 Buwenge-Jinja'!L20,'14.08 Buwenge-Jinja'!L20,'15.08 Buwenge-Jinja'!L20,'16.08 Buwenge-Jinja-24h'!L20,'17.08 Buwenge-Jinja-24h'!L20,'18.08 Buwenge-Jinja'!L20)</f>
        <v>0</v>
      </c>
      <c r="M20" s="49">
        <f>AVERAGE('12.08 Buwenge-Jinja'!M20,'13.08 Buwenge-Jinja'!M20,'14.08 Buwenge-Jinja'!M20,'15.08 Buwenge-Jinja'!M20,'16.08 Buwenge-Jinja-24h'!M20,'17.08 Buwenge-Jinja-24h'!M20,'18.08 Buwenge-Jinja'!M20)</f>
        <v>48</v>
      </c>
      <c r="N20" s="49">
        <f>AVERAGE('12.08 Buwenge-Jinja'!N20,'13.08 Buwenge-Jinja'!N20,'14.08 Buwenge-Jinja'!N20,'15.08 Buwenge-Jinja'!N20,'16.08 Buwenge-Jinja-24h'!N20,'17.08 Buwenge-Jinja-24h'!N20,'18.08 Buwenge-Jinja'!N20)</f>
        <v>0</v>
      </c>
      <c r="O20" s="15">
        <f t="shared" si="0"/>
        <v>22.285714285714285</v>
      </c>
      <c r="P20" s="15">
        <f t="shared" si="1"/>
        <v>70.285714285714278</v>
      </c>
      <c r="R20" s="1" t="s">
        <v>16</v>
      </c>
      <c r="S20" s="17">
        <f t="shared" ref="S20:AF20" si="12">SUM(C50:C53)</f>
        <v>38.428571428571431</v>
      </c>
      <c r="T20" s="17">
        <f t="shared" si="12"/>
        <v>10.857142857142856</v>
      </c>
      <c r="U20" s="17">
        <f t="shared" si="12"/>
        <v>26.142857142857146</v>
      </c>
      <c r="V20" s="17">
        <f t="shared" si="12"/>
        <v>55.714285714285715</v>
      </c>
      <c r="W20" s="17">
        <f t="shared" si="12"/>
        <v>8.5714285714285712</v>
      </c>
      <c r="X20" s="17">
        <f t="shared" si="12"/>
        <v>0.2857142857142857</v>
      </c>
      <c r="Y20" s="17">
        <f t="shared" si="12"/>
        <v>16.142857142857142</v>
      </c>
      <c r="Z20" s="17">
        <f t="shared" si="12"/>
        <v>0.5714285714285714</v>
      </c>
      <c r="AA20" s="17">
        <f t="shared" si="12"/>
        <v>0.5714285714285714</v>
      </c>
      <c r="AB20" s="17">
        <f t="shared" si="12"/>
        <v>0</v>
      </c>
      <c r="AC20" s="17">
        <f t="shared" si="12"/>
        <v>176.85714285714286</v>
      </c>
      <c r="AD20" s="17">
        <f t="shared" si="12"/>
        <v>0</v>
      </c>
      <c r="AE20" s="31">
        <f t="shared" si="12"/>
        <v>157.28571428571428</v>
      </c>
      <c r="AF20" s="31">
        <f t="shared" si="12"/>
        <v>334.14285714285711</v>
      </c>
    </row>
    <row r="21" spans="2:32" ht="23.1" customHeight="1" x14ac:dyDescent="0.25">
      <c r="B21" s="23" t="s">
        <v>48</v>
      </c>
      <c r="C21" s="49">
        <f>AVERAGE('12.08 Buwenge-Jinja'!C21,'13.08 Buwenge-Jinja'!C21,'14.08 Buwenge-Jinja'!C21,'15.08 Buwenge-Jinja'!C21,'16.08 Buwenge-Jinja-24h'!C21,'17.08 Buwenge-Jinja-24h'!C21,'18.08 Buwenge-Jinja'!C21)</f>
        <v>4.7142857142857144</v>
      </c>
      <c r="D21" s="49">
        <f>AVERAGE('12.08 Buwenge-Jinja'!D21,'13.08 Buwenge-Jinja'!D21,'14.08 Buwenge-Jinja'!D21,'15.08 Buwenge-Jinja'!D21,'16.08 Buwenge-Jinja-24h'!D21,'17.08 Buwenge-Jinja-24h'!D21,'18.08 Buwenge-Jinja'!D21)</f>
        <v>0.5714285714285714</v>
      </c>
      <c r="E21" s="49">
        <f>AVERAGE('12.08 Buwenge-Jinja'!E21,'13.08 Buwenge-Jinja'!E21,'14.08 Buwenge-Jinja'!E21,'15.08 Buwenge-Jinja'!E21,'16.08 Buwenge-Jinja-24h'!E21,'17.08 Buwenge-Jinja-24h'!E21,'18.08 Buwenge-Jinja'!E21)</f>
        <v>2.4285714285714284</v>
      </c>
      <c r="F21" s="49">
        <f>AVERAGE('12.08 Buwenge-Jinja'!F21,'13.08 Buwenge-Jinja'!F21,'14.08 Buwenge-Jinja'!F21,'15.08 Buwenge-Jinja'!F21,'16.08 Buwenge-Jinja-24h'!F21,'17.08 Buwenge-Jinja-24h'!F21,'18.08 Buwenge-Jinja'!F21)</f>
        <v>9.4285714285714288</v>
      </c>
      <c r="G21" s="49">
        <f>AVERAGE('12.08 Buwenge-Jinja'!G21,'13.08 Buwenge-Jinja'!G21,'14.08 Buwenge-Jinja'!G21,'15.08 Buwenge-Jinja'!G21,'16.08 Buwenge-Jinja-24h'!G21,'17.08 Buwenge-Jinja-24h'!G21,'18.08 Buwenge-Jinja'!G21)</f>
        <v>0.42857142857142855</v>
      </c>
      <c r="H21" s="49">
        <f>AVERAGE('12.08 Buwenge-Jinja'!H21,'13.08 Buwenge-Jinja'!H21,'14.08 Buwenge-Jinja'!H21,'15.08 Buwenge-Jinja'!H21,'16.08 Buwenge-Jinja-24h'!H21,'17.08 Buwenge-Jinja-24h'!H21,'18.08 Buwenge-Jinja'!H21)</f>
        <v>0</v>
      </c>
      <c r="I21" s="49">
        <f>AVERAGE('12.08 Buwenge-Jinja'!I21,'13.08 Buwenge-Jinja'!I21,'14.08 Buwenge-Jinja'!I21,'15.08 Buwenge-Jinja'!I21,'16.08 Buwenge-Jinja-24h'!I21,'17.08 Buwenge-Jinja-24h'!I21,'18.08 Buwenge-Jinja'!I21)</f>
        <v>1.7142857142857142</v>
      </c>
      <c r="J21" s="49">
        <f>AVERAGE('12.08 Buwenge-Jinja'!J21,'13.08 Buwenge-Jinja'!J21,'14.08 Buwenge-Jinja'!J21,'15.08 Buwenge-Jinja'!J21,'16.08 Buwenge-Jinja-24h'!J21,'17.08 Buwenge-Jinja-24h'!J21,'18.08 Buwenge-Jinja'!J21)</f>
        <v>0.5714285714285714</v>
      </c>
      <c r="K21" s="49">
        <f>AVERAGE('12.08 Buwenge-Jinja'!K21,'13.08 Buwenge-Jinja'!K21,'14.08 Buwenge-Jinja'!K21,'15.08 Buwenge-Jinja'!K21,'16.08 Buwenge-Jinja-24h'!K21,'17.08 Buwenge-Jinja-24h'!K21,'18.08 Buwenge-Jinja'!K21)</f>
        <v>0</v>
      </c>
      <c r="L21" s="49">
        <f>AVERAGE('12.08 Buwenge-Jinja'!L21,'13.08 Buwenge-Jinja'!L21,'14.08 Buwenge-Jinja'!L21,'15.08 Buwenge-Jinja'!L21,'16.08 Buwenge-Jinja-24h'!L21,'17.08 Buwenge-Jinja-24h'!L21,'18.08 Buwenge-Jinja'!L21)</f>
        <v>0</v>
      </c>
      <c r="M21" s="49">
        <f>AVERAGE('12.08 Buwenge-Jinja'!M21,'13.08 Buwenge-Jinja'!M21,'14.08 Buwenge-Jinja'!M21,'15.08 Buwenge-Jinja'!M21,'16.08 Buwenge-Jinja-24h'!M21,'17.08 Buwenge-Jinja-24h'!M21,'18.08 Buwenge-Jinja'!M21)</f>
        <v>45.571428571428569</v>
      </c>
      <c r="N21" s="49">
        <f>AVERAGE('12.08 Buwenge-Jinja'!N21,'13.08 Buwenge-Jinja'!N21,'14.08 Buwenge-Jinja'!N21,'15.08 Buwenge-Jinja'!N21,'16.08 Buwenge-Jinja-24h'!N21,'17.08 Buwenge-Jinja-24h'!N21,'18.08 Buwenge-Jinja'!N21)</f>
        <v>0</v>
      </c>
      <c r="O21" s="15">
        <f t="shared" si="0"/>
        <v>19.857142857142858</v>
      </c>
      <c r="P21" s="15">
        <f t="shared" si="1"/>
        <v>65.428571428571431</v>
      </c>
      <c r="R21" s="36" t="s">
        <v>20</v>
      </c>
      <c r="S21" s="34">
        <f t="shared" ref="S21:AF21" si="13">SUM(C54:C57)</f>
        <v>37.714285714285708</v>
      </c>
      <c r="T21" s="17">
        <f t="shared" si="13"/>
        <v>9.5714285714285712</v>
      </c>
      <c r="U21" s="17">
        <f t="shared" si="13"/>
        <v>24.714285714285715</v>
      </c>
      <c r="V21" s="17">
        <f t="shared" si="13"/>
        <v>48.142857142857139</v>
      </c>
      <c r="W21" s="17">
        <f t="shared" si="13"/>
        <v>14.428571428571429</v>
      </c>
      <c r="X21" s="17">
        <f t="shared" si="13"/>
        <v>0.2857142857142857</v>
      </c>
      <c r="Y21" s="17">
        <f t="shared" si="13"/>
        <v>15.142857142857142</v>
      </c>
      <c r="Z21" s="17">
        <f t="shared" si="13"/>
        <v>3</v>
      </c>
      <c r="AA21" s="17">
        <f t="shared" si="13"/>
        <v>0.42857142857142855</v>
      </c>
      <c r="AB21" s="17">
        <f t="shared" si="13"/>
        <v>0</v>
      </c>
      <c r="AC21" s="17">
        <f t="shared" si="13"/>
        <v>143.42857142857144</v>
      </c>
      <c r="AD21" s="17">
        <f t="shared" si="13"/>
        <v>0</v>
      </c>
      <c r="AE21" s="31">
        <f t="shared" si="13"/>
        <v>153.42857142857144</v>
      </c>
      <c r="AF21" s="31">
        <f t="shared" si="13"/>
        <v>296.85714285714289</v>
      </c>
    </row>
    <row r="22" spans="2:32" ht="23.1" customHeight="1" x14ac:dyDescent="0.25">
      <c r="B22" s="23" t="s">
        <v>49</v>
      </c>
      <c r="C22" s="49">
        <f>AVERAGE('12.08 Buwenge-Jinja'!C22,'13.08 Buwenge-Jinja'!C22,'14.08 Buwenge-Jinja'!C22,'15.08 Buwenge-Jinja'!C22,'16.08 Buwenge-Jinja-24h'!C22,'17.08 Buwenge-Jinja-24h'!C22,'18.08 Buwenge-Jinja'!C22)</f>
        <v>5.4285714285714288</v>
      </c>
      <c r="D22" s="49">
        <f>AVERAGE('12.08 Buwenge-Jinja'!D22,'13.08 Buwenge-Jinja'!D22,'14.08 Buwenge-Jinja'!D22,'15.08 Buwenge-Jinja'!D22,'16.08 Buwenge-Jinja-24h'!D22,'17.08 Buwenge-Jinja-24h'!D22,'18.08 Buwenge-Jinja'!D22)</f>
        <v>0.7142857142857143</v>
      </c>
      <c r="E22" s="49">
        <f>AVERAGE('12.08 Buwenge-Jinja'!E22,'13.08 Buwenge-Jinja'!E22,'14.08 Buwenge-Jinja'!E22,'15.08 Buwenge-Jinja'!E22,'16.08 Buwenge-Jinja-24h'!E22,'17.08 Buwenge-Jinja-24h'!E22,'18.08 Buwenge-Jinja'!E22)</f>
        <v>3.1428571428571428</v>
      </c>
      <c r="F22" s="49">
        <f>AVERAGE('12.08 Buwenge-Jinja'!F22,'13.08 Buwenge-Jinja'!F22,'14.08 Buwenge-Jinja'!F22,'15.08 Buwenge-Jinja'!F22,'16.08 Buwenge-Jinja-24h'!F22,'17.08 Buwenge-Jinja-24h'!F22,'18.08 Buwenge-Jinja'!F22)</f>
        <v>8.2857142857142865</v>
      </c>
      <c r="G22" s="49">
        <f>AVERAGE('12.08 Buwenge-Jinja'!G22,'13.08 Buwenge-Jinja'!G22,'14.08 Buwenge-Jinja'!G22,'15.08 Buwenge-Jinja'!G22,'16.08 Buwenge-Jinja-24h'!G22,'17.08 Buwenge-Jinja-24h'!G22,'18.08 Buwenge-Jinja'!G22)</f>
        <v>0.5714285714285714</v>
      </c>
      <c r="H22" s="49">
        <f>AVERAGE('12.08 Buwenge-Jinja'!H22,'13.08 Buwenge-Jinja'!H22,'14.08 Buwenge-Jinja'!H22,'15.08 Buwenge-Jinja'!H22,'16.08 Buwenge-Jinja-24h'!H22,'17.08 Buwenge-Jinja-24h'!H22,'18.08 Buwenge-Jinja'!H22)</f>
        <v>0</v>
      </c>
      <c r="I22" s="49">
        <f>AVERAGE('12.08 Buwenge-Jinja'!I22,'13.08 Buwenge-Jinja'!I22,'14.08 Buwenge-Jinja'!I22,'15.08 Buwenge-Jinja'!I22,'16.08 Buwenge-Jinja-24h'!I22,'17.08 Buwenge-Jinja-24h'!I22,'18.08 Buwenge-Jinja'!I22)</f>
        <v>2.5714285714285716</v>
      </c>
      <c r="J22" s="49">
        <f>AVERAGE('12.08 Buwenge-Jinja'!J22,'13.08 Buwenge-Jinja'!J22,'14.08 Buwenge-Jinja'!J22,'15.08 Buwenge-Jinja'!J22,'16.08 Buwenge-Jinja-24h'!J22,'17.08 Buwenge-Jinja-24h'!J22,'18.08 Buwenge-Jinja'!J22)</f>
        <v>0.14285714285714285</v>
      </c>
      <c r="K22" s="49">
        <f>AVERAGE('12.08 Buwenge-Jinja'!K22,'13.08 Buwenge-Jinja'!K22,'14.08 Buwenge-Jinja'!K22,'15.08 Buwenge-Jinja'!K22,'16.08 Buwenge-Jinja-24h'!K22,'17.08 Buwenge-Jinja-24h'!K22,'18.08 Buwenge-Jinja'!K22)</f>
        <v>0</v>
      </c>
      <c r="L22" s="49">
        <f>AVERAGE('12.08 Buwenge-Jinja'!L22,'13.08 Buwenge-Jinja'!L22,'14.08 Buwenge-Jinja'!L22,'15.08 Buwenge-Jinja'!L22,'16.08 Buwenge-Jinja-24h'!L22,'17.08 Buwenge-Jinja-24h'!L22,'18.08 Buwenge-Jinja'!L22)</f>
        <v>0</v>
      </c>
      <c r="M22" s="49">
        <f>AVERAGE('12.08 Buwenge-Jinja'!M22,'13.08 Buwenge-Jinja'!M22,'14.08 Buwenge-Jinja'!M22,'15.08 Buwenge-Jinja'!M22,'16.08 Buwenge-Jinja-24h'!M22,'17.08 Buwenge-Jinja-24h'!M22,'18.08 Buwenge-Jinja'!M22)</f>
        <v>45.571428571428569</v>
      </c>
      <c r="N22" s="49">
        <f>AVERAGE('12.08 Buwenge-Jinja'!N22,'13.08 Buwenge-Jinja'!N22,'14.08 Buwenge-Jinja'!N22,'15.08 Buwenge-Jinja'!N22,'16.08 Buwenge-Jinja-24h'!N22,'17.08 Buwenge-Jinja-24h'!N22,'18.08 Buwenge-Jinja'!N22)</f>
        <v>0.14285714285714285</v>
      </c>
      <c r="O22" s="15">
        <f t="shared" si="0"/>
        <v>21.000000000000004</v>
      </c>
      <c r="P22" s="15">
        <f t="shared" si="1"/>
        <v>66.571428571428569</v>
      </c>
      <c r="R22" s="1" t="s">
        <v>146</v>
      </c>
      <c r="S22" s="34">
        <f>SUM(C58:C61)</f>
        <v>23</v>
      </c>
      <c r="T22" s="34">
        <f t="shared" ref="T22:AF22" si="14">SUM(D58:D61)</f>
        <v>4</v>
      </c>
      <c r="U22" s="34">
        <f t="shared" si="14"/>
        <v>15</v>
      </c>
      <c r="V22" s="34">
        <f t="shared" si="14"/>
        <v>25</v>
      </c>
      <c r="W22" s="34">
        <f t="shared" si="14"/>
        <v>7.5</v>
      </c>
      <c r="X22" s="34">
        <f t="shared" si="14"/>
        <v>64.5</v>
      </c>
      <c r="Y22" s="34">
        <f t="shared" si="14"/>
        <v>8.5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78</v>
      </c>
      <c r="AD22" s="34">
        <f t="shared" si="14"/>
        <v>1.5</v>
      </c>
      <c r="AE22" s="31">
        <f t="shared" si="14"/>
        <v>151</v>
      </c>
      <c r="AF22" s="31">
        <f t="shared" si="14"/>
        <v>306</v>
      </c>
    </row>
    <row r="23" spans="2:32" ht="23.1" customHeight="1" x14ac:dyDescent="0.25">
      <c r="B23" s="23" t="s">
        <v>50</v>
      </c>
      <c r="C23" s="49">
        <f>AVERAGE('12.08 Buwenge-Jinja'!C23,'13.08 Buwenge-Jinja'!C23,'14.08 Buwenge-Jinja'!C23,'15.08 Buwenge-Jinja'!C23,'16.08 Buwenge-Jinja-24h'!C23,'17.08 Buwenge-Jinja-24h'!C23,'18.08 Buwenge-Jinja'!C23)</f>
        <v>4.5714285714285712</v>
      </c>
      <c r="D23" s="49">
        <f>AVERAGE('12.08 Buwenge-Jinja'!D23,'13.08 Buwenge-Jinja'!D23,'14.08 Buwenge-Jinja'!D23,'15.08 Buwenge-Jinja'!D23,'16.08 Buwenge-Jinja-24h'!D23,'17.08 Buwenge-Jinja-24h'!D23,'18.08 Buwenge-Jinja'!D23)</f>
        <v>0.5714285714285714</v>
      </c>
      <c r="E23" s="49">
        <f>AVERAGE('12.08 Buwenge-Jinja'!E23,'13.08 Buwenge-Jinja'!E23,'14.08 Buwenge-Jinja'!E23,'15.08 Buwenge-Jinja'!E23,'16.08 Buwenge-Jinja-24h'!E23,'17.08 Buwenge-Jinja-24h'!E23,'18.08 Buwenge-Jinja'!E23)</f>
        <v>2.7142857142857144</v>
      </c>
      <c r="F23" s="49">
        <f>AVERAGE('12.08 Buwenge-Jinja'!F23,'13.08 Buwenge-Jinja'!F23,'14.08 Buwenge-Jinja'!F23,'15.08 Buwenge-Jinja'!F23,'16.08 Buwenge-Jinja-24h'!F23,'17.08 Buwenge-Jinja-24h'!F23,'18.08 Buwenge-Jinja'!F23)</f>
        <v>9.4285714285714288</v>
      </c>
      <c r="G23" s="49">
        <f>AVERAGE('12.08 Buwenge-Jinja'!G23,'13.08 Buwenge-Jinja'!G23,'14.08 Buwenge-Jinja'!G23,'15.08 Buwenge-Jinja'!G23,'16.08 Buwenge-Jinja-24h'!G23,'17.08 Buwenge-Jinja-24h'!G23,'18.08 Buwenge-Jinja'!G23)</f>
        <v>0.2857142857142857</v>
      </c>
      <c r="H23" s="49">
        <f>AVERAGE('12.08 Buwenge-Jinja'!H23,'13.08 Buwenge-Jinja'!H23,'14.08 Buwenge-Jinja'!H23,'15.08 Buwenge-Jinja'!H23,'16.08 Buwenge-Jinja-24h'!H23,'17.08 Buwenge-Jinja-24h'!H23,'18.08 Buwenge-Jinja'!H23)</f>
        <v>0</v>
      </c>
      <c r="I23" s="49">
        <f>AVERAGE('12.08 Buwenge-Jinja'!I23,'13.08 Buwenge-Jinja'!I23,'14.08 Buwenge-Jinja'!I23,'15.08 Buwenge-Jinja'!I23,'16.08 Buwenge-Jinja-24h'!I23,'17.08 Buwenge-Jinja-24h'!I23,'18.08 Buwenge-Jinja'!I23)</f>
        <v>1.7142857142857142</v>
      </c>
      <c r="J23" s="49">
        <f>AVERAGE('12.08 Buwenge-Jinja'!J23,'13.08 Buwenge-Jinja'!J23,'14.08 Buwenge-Jinja'!J23,'15.08 Buwenge-Jinja'!J23,'16.08 Buwenge-Jinja-24h'!J23,'17.08 Buwenge-Jinja-24h'!J23,'18.08 Buwenge-Jinja'!J23)</f>
        <v>0.14285714285714285</v>
      </c>
      <c r="K23" s="49">
        <f>AVERAGE('12.08 Buwenge-Jinja'!K23,'13.08 Buwenge-Jinja'!K23,'14.08 Buwenge-Jinja'!K23,'15.08 Buwenge-Jinja'!K23,'16.08 Buwenge-Jinja-24h'!K23,'17.08 Buwenge-Jinja-24h'!K23,'18.08 Buwenge-Jinja'!K23)</f>
        <v>0</v>
      </c>
      <c r="L23" s="49">
        <f>AVERAGE('12.08 Buwenge-Jinja'!L23,'13.08 Buwenge-Jinja'!L23,'14.08 Buwenge-Jinja'!L23,'15.08 Buwenge-Jinja'!L23,'16.08 Buwenge-Jinja-24h'!L23,'17.08 Buwenge-Jinja-24h'!L23,'18.08 Buwenge-Jinja'!L23)</f>
        <v>0</v>
      </c>
      <c r="M23" s="49">
        <f>AVERAGE('12.08 Buwenge-Jinja'!M23,'13.08 Buwenge-Jinja'!M23,'14.08 Buwenge-Jinja'!M23,'15.08 Buwenge-Jinja'!M23,'16.08 Buwenge-Jinja-24h'!M23,'17.08 Buwenge-Jinja-24h'!M23,'18.08 Buwenge-Jinja'!M23)</f>
        <v>42.571428571428569</v>
      </c>
      <c r="N23" s="49">
        <f>AVERAGE('12.08 Buwenge-Jinja'!N23,'13.08 Buwenge-Jinja'!N23,'14.08 Buwenge-Jinja'!N23,'15.08 Buwenge-Jinja'!N23,'16.08 Buwenge-Jinja-24h'!N23,'17.08 Buwenge-Jinja-24h'!N23,'18.08 Buwenge-Jinja'!N23)</f>
        <v>0</v>
      </c>
      <c r="O23" s="15">
        <f t="shared" si="0"/>
        <v>19.428571428571427</v>
      </c>
      <c r="P23" s="15">
        <f t="shared" si="1"/>
        <v>62</v>
      </c>
      <c r="R23" s="1" t="s">
        <v>147</v>
      </c>
      <c r="S23" s="34">
        <f>SUM(C62:C65)</f>
        <v>28.5</v>
      </c>
      <c r="T23" s="34">
        <f t="shared" ref="T23:AF23" si="15">SUM(D62:D65)</f>
        <v>6.5</v>
      </c>
      <c r="U23" s="34">
        <f t="shared" si="15"/>
        <v>20</v>
      </c>
      <c r="V23" s="34">
        <f t="shared" si="15"/>
        <v>20.5</v>
      </c>
      <c r="W23" s="34">
        <f t="shared" si="15"/>
        <v>6</v>
      </c>
      <c r="X23" s="34">
        <f t="shared" si="15"/>
        <v>57</v>
      </c>
      <c r="Y23" s="34">
        <f t="shared" si="15"/>
        <v>7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56.5</v>
      </c>
      <c r="AD23" s="34">
        <f t="shared" si="15"/>
        <v>1.5</v>
      </c>
      <c r="AE23" s="31">
        <f t="shared" si="15"/>
        <v>147</v>
      </c>
      <c r="AF23" s="31">
        <f t="shared" si="15"/>
        <v>320.5</v>
      </c>
    </row>
    <row r="24" spans="2:32" ht="23.1" customHeight="1" x14ac:dyDescent="0.25">
      <c r="B24" s="23" t="s">
        <v>51</v>
      </c>
      <c r="C24" s="49">
        <f>AVERAGE('12.08 Buwenge-Jinja'!C24,'13.08 Buwenge-Jinja'!C24,'14.08 Buwenge-Jinja'!C24,'15.08 Buwenge-Jinja'!C24,'16.08 Buwenge-Jinja-24h'!C24,'17.08 Buwenge-Jinja-24h'!C24,'18.08 Buwenge-Jinja'!C24)</f>
        <v>3.8571428571428572</v>
      </c>
      <c r="D24" s="49">
        <f>AVERAGE('12.08 Buwenge-Jinja'!D24,'13.08 Buwenge-Jinja'!D24,'14.08 Buwenge-Jinja'!D24,'15.08 Buwenge-Jinja'!D24,'16.08 Buwenge-Jinja-24h'!D24,'17.08 Buwenge-Jinja-24h'!D24,'18.08 Buwenge-Jinja'!D24)</f>
        <v>0.2857142857142857</v>
      </c>
      <c r="E24" s="49">
        <f>AVERAGE('12.08 Buwenge-Jinja'!E24,'13.08 Buwenge-Jinja'!E24,'14.08 Buwenge-Jinja'!E24,'15.08 Buwenge-Jinja'!E24,'16.08 Buwenge-Jinja-24h'!E24,'17.08 Buwenge-Jinja-24h'!E24,'18.08 Buwenge-Jinja'!E24)</f>
        <v>1.5714285714285714</v>
      </c>
      <c r="F24" s="49">
        <f>AVERAGE('12.08 Buwenge-Jinja'!F24,'13.08 Buwenge-Jinja'!F24,'14.08 Buwenge-Jinja'!F24,'15.08 Buwenge-Jinja'!F24,'16.08 Buwenge-Jinja-24h'!F24,'17.08 Buwenge-Jinja-24h'!F24,'18.08 Buwenge-Jinja'!F24)</f>
        <v>12.142857142857142</v>
      </c>
      <c r="G24" s="49">
        <f>AVERAGE('12.08 Buwenge-Jinja'!G24,'13.08 Buwenge-Jinja'!G24,'14.08 Buwenge-Jinja'!G24,'15.08 Buwenge-Jinja'!G24,'16.08 Buwenge-Jinja-24h'!G24,'17.08 Buwenge-Jinja-24h'!G24,'18.08 Buwenge-Jinja'!G24)</f>
        <v>0.2857142857142857</v>
      </c>
      <c r="H24" s="49">
        <f>AVERAGE('12.08 Buwenge-Jinja'!H24,'13.08 Buwenge-Jinja'!H24,'14.08 Buwenge-Jinja'!H24,'15.08 Buwenge-Jinja'!H24,'16.08 Buwenge-Jinja-24h'!H24,'17.08 Buwenge-Jinja-24h'!H24,'18.08 Buwenge-Jinja'!H24)</f>
        <v>0</v>
      </c>
      <c r="I24" s="49">
        <f>AVERAGE('12.08 Buwenge-Jinja'!I24,'13.08 Buwenge-Jinja'!I24,'14.08 Buwenge-Jinja'!I24,'15.08 Buwenge-Jinja'!I24,'16.08 Buwenge-Jinja-24h'!I24,'17.08 Buwenge-Jinja-24h'!I24,'18.08 Buwenge-Jinja'!I24)</f>
        <v>1.5714285714285714</v>
      </c>
      <c r="J24" s="49">
        <f>AVERAGE('12.08 Buwenge-Jinja'!J24,'13.08 Buwenge-Jinja'!J24,'14.08 Buwenge-Jinja'!J24,'15.08 Buwenge-Jinja'!J24,'16.08 Buwenge-Jinja-24h'!J24,'17.08 Buwenge-Jinja-24h'!J24,'18.08 Buwenge-Jinja'!J24)</f>
        <v>0.14285714285714285</v>
      </c>
      <c r="K24" s="49">
        <f>AVERAGE('12.08 Buwenge-Jinja'!K24,'13.08 Buwenge-Jinja'!K24,'14.08 Buwenge-Jinja'!K24,'15.08 Buwenge-Jinja'!K24,'16.08 Buwenge-Jinja-24h'!K24,'17.08 Buwenge-Jinja-24h'!K24,'18.08 Buwenge-Jinja'!K24)</f>
        <v>0</v>
      </c>
      <c r="L24" s="49">
        <f>AVERAGE('12.08 Buwenge-Jinja'!L24,'13.08 Buwenge-Jinja'!L24,'14.08 Buwenge-Jinja'!L24,'15.08 Buwenge-Jinja'!L24,'16.08 Buwenge-Jinja-24h'!L24,'17.08 Buwenge-Jinja-24h'!L24,'18.08 Buwenge-Jinja'!L24)</f>
        <v>0</v>
      </c>
      <c r="M24" s="49">
        <f>AVERAGE('12.08 Buwenge-Jinja'!M24,'13.08 Buwenge-Jinja'!M24,'14.08 Buwenge-Jinja'!M24,'15.08 Buwenge-Jinja'!M24,'16.08 Buwenge-Jinja-24h'!M24,'17.08 Buwenge-Jinja-24h'!M24,'18.08 Buwenge-Jinja'!M24)</f>
        <v>38.285714285714285</v>
      </c>
      <c r="N24" s="49">
        <f>AVERAGE('12.08 Buwenge-Jinja'!N24,'13.08 Buwenge-Jinja'!N24,'14.08 Buwenge-Jinja'!N24,'15.08 Buwenge-Jinja'!N24,'16.08 Buwenge-Jinja-24h'!N24,'17.08 Buwenge-Jinja-24h'!N24,'18.08 Buwenge-Jinja'!N24)</f>
        <v>0</v>
      </c>
      <c r="O24" s="15">
        <f t="shared" si="0"/>
        <v>19.857142857142858</v>
      </c>
      <c r="P24" s="15">
        <f t="shared" si="1"/>
        <v>58.142857142857139</v>
      </c>
      <c r="R24" s="1" t="s">
        <v>148</v>
      </c>
      <c r="S24" s="34">
        <f>SUM(C66:C69)</f>
        <v>22</v>
      </c>
      <c r="T24" s="34">
        <f t="shared" ref="T24:AF24" si="16">SUM(D66:D69)</f>
        <v>2</v>
      </c>
      <c r="U24" s="34">
        <f t="shared" si="16"/>
        <v>12</v>
      </c>
      <c r="V24" s="34">
        <f t="shared" si="16"/>
        <v>10.5</v>
      </c>
      <c r="W24" s="34">
        <f t="shared" si="16"/>
        <v>1.5</v>
      </c>
      <c r="X24" s="34">
        <f t="shared" si="16"/>
        <v>37</v>
      </c>
      <c r="Y24" s="34">
        <f t="shared" si="16"/>
        <v>4.5</v>
      </c>
      <c r="Z24" s="34">
        <f t="shared" si="16"/>
        <v>0.5</v>
      </c>
      <c r="AA24" s="34">
        <f t="shared" si="16"/>
        <v>0</v>
      </c>
      <c r="AB24" s="34">
        <f t="shared" si="16"/>
        <v>0</v>
      </c>
      <c r="AC24" s="34">
        <f t="shared" si="16"/>
        <v>35</v>
      </c>
      <c r="AD24" s="34">
        <f t="shared" si="16"/>
        <v>2</v>
      </c>
      <c r="AE24" s="31">
        <f t="shared" si="16"/>
        <v>92</v>
      </c>
      <c r="AF24" s="31">
        <f t="shared" si="16"/>
        <v>195</v>
      </c>
    </row>
    <row r="25" spans="2:32" ht="23.1" customHeight="1" x14ac:dyDescent="0.25">
      <c r="B25" s="23" t="s">
        <v>52</v>
      </c>
      <c r="C25" s="49">
        <f>AVERAGE('12.08 Buwenge-Jinja'!C25,'13.08 Buwenge-Jinja'!C25,'14.08 Buwenge-Jinja'!C25,'15.08 Buwenge-Jinja'!C25,'16.08 Buwenge-Jinja-24h'!C25,'17.08 Buwenge-Jinja-24h'!C25,'18.08 Buwenge-Jinja'!C25)</f>
        <v>4.5714285714285712</v>
      </c>
      <c r="D25" s="49">
        <f>AVERAGE('12.08 Buwenge-Jinja'!D25,'13.08 Buwenge-Jinja'!D25,'14.08 Buwenge-Jinja'!D25,'15.08 Buwenge-Jinja'!D25,'16.08 Buwenge-Jinja-24h'!D25,'17.08 Buwenge-Jinja-24h'!D25,'18.08 Buwenge-Jinja'!D25)</f>
        <v>0.2857142857142857</v>
      </c>
      <c r="E25" s="49">
        <f>AVERAGE('12.08 Buwenge-Jinja'!E25,'13.08 Buwenge-Jinja'!E25,'14.08 Buwenge-Jinja'!E25,'15.08 Buwenge-Jinja'!E25,'16.08 Buwenge-Jinja-24h'!E25,'17.08 Buwenge-Jinja-24h'!E25,'18.08 Buwenge-Jinja'!E25)</f>
        <v>2.5714285714285716</v>
      </c>
      <c r="F25" s="49">
        <f>AVERAGE('12.08 Buwenge-Jinja'!F25,'13.08 Buwenge-Jinja'!F25,'14.08 Buwenge-Jinja'!F25,'15.08 Buwenge-Jinja'!F25,'16.08 Buwenge-Jinja-24h'!F25,'17.08 Buwenge-Jinja-24h'!F25,'18.08 Buwenge-Jinja'!F25)</f>
        <v>11.142857142857142</v>
      </c>
      <c r="G25" s="49">
        <f>AVERAGE('12.08 Buwenge-Jinja'!G25,'13.08 Buwenge-Jinja'!G25,'14.08 Buwenge-Jinja'!G25,'15.08 Buwenge-Jinja'!G25,'16.08 Buwenge-Jinja-24h'!G25,'17.08 Buwenge-Jinja-24h'!G25,'18.08 Buwenge-Jinja'!G25)</f>
        <v>0.14285714285714285</v>
      </c>
      <c r="H25" s="49">
        <f>AVERAGE('12.08 Buwenge-Jinja'!H25,'13.08 Buwenge-Jinja'!H25,'14.08 Buwenge-Jinja'!H25,'15.08 Buwenge-Jinja'!H25,'16.08 Buwenge-Jinja-24h'!H25,'17.08 Buwenge-Jinja-24h'!H25,'18.08 Buwenge-Jinja'!H25)</f>
        <v>0.14285714285714285</v>
      </c>
      <c r="I25" s="49">
        <f>AVERAGE('12.08 Buwenge-Jinja'!I25,'13.08 Buwenge-Jinja'!I25,'14.08 Buwenge-Jinja'!I25,'15.08 Buwenge-Jinja'!I25,'16.08 Buwenge-Jinja-24h'!I25,'17.08 Buwenge-Jinja-24h'!I25,'18.08 Buwenge-Jinja'!I25)</f>
        <v>2.2857142857142856</v>
      </c>
      <c r="J25" s="49">
        <f>AVERAGE('12.08 Buwenge-Jinja'!J25,'13.08 Buwenge-Jinja'!J25,'14.08 Buwenge-Jinja'!J25,'15.08 Buwenge-Jinja'!J25,'16.08 Buwenge-Jinja-24h'!J25,'17.08 Buwenge-Jinja-24h'!J25,'18.08 Buwenge-Jinja'!J25)</f>
        <v>0.14285714285714285</v>
      </c>
      <c r="K25" s="49">
        <f>AVERAGE('12.08 Buwenge-Jinja'!K25,'13.08 Buwenge-Jinja'!K25,'14.08 Buwenge-Jinja'!K25,'15.08 Buwenge-Jinja'!K25,'16.08 Buwenge-Jinja-24h'!K25,'17.08 Buwenge-Jinja-24h'!K25,'18.08 Buwenge-Jinja'!K25)</f>
        <v>0</v>
      </c>
      <c r="L25" s="49">
        <f>AVERAGE('12.08 Buwenge-Jinja'!L25,'13.08 Buwenge-Jinja'!L25,'14.08 Buwenge-Jinja'!L25,'15.08 Buwenge-Jinja'!L25,'16.08 Buwenge-Jinja-24h'!L25,'17.08 Buwenge-Jinja-24h'!L25,'18.08 Buwenge-Jinja'!L25)</f>
        <v>0</v>
      </c>
      <c r="M25" s="49">
        <f>AVERAGE('12.08 Buwenge-Jinja'!M25,'13.08 Buwenge-Jinja'!M25,'14.08 Buwenge-Jinja'!M25,'15.08 Buwenge-Jinja'!M25,'16.08 Buwenge-Jinja-24h'!M25,'17.08 Buwenge-Jinja-24h'!M25,'18.08 Buwenge-Jinja'!M25)</f>
        <v>40.285714285714285</v>
      </c>
      <c r="N25" s="49">
        <f>AVERAGE('12.08 Buwenge-Jinja'!N25,'13.08 Buwenge-Jinja'!N25,'14.08 Buwenge-Jinja'!N25,'15.08 Buwenge-Jinja'!N25,'16.08 Buwenge-Jinja-24h'!N25,'17.08 Buwenge-Jinja-24h'!N25,'18.08 Buwenge-Jinja'!N25)</f>
        <v>0.14285714285714285</v>
      </c>
      <c r="O25" s="15">
        <f t="shared" si="0"/>
        <v>21.428571428571423</v>
      </c>
      <c r="P25" s="15">
        <f t="shared" si="1"/>
        <v>61.714285714285715</v>
      </c>
      <c r="R25" s="1" t="s">
        <v>149</v>
      </c>
      <c r="S25" s="34">
        <f>SUM(C70:C73)</f>
        <v>9.5</v>
      </c>
      <c r="T25" s="34">
        <f t="shared" ref="T25:AF25" si="17">SUM(D70:D73)</f>
        <v>0.5</v>
      </c>
      <c r="U25" s="34">
        <f t="shared" si="17"/>
        <v>5.5</v>
      </c>
      <c r="V25" s="34">
        <f t="shared" si="17"/>
        <v>2.5</v>
      </c>
      <c r="W25" s="34">
        <f t="shared" si="17"/>
        <v>1</v>
      </c>
      <c r="X25" s="34">
        <f t="shared" si="17"/>
        <v>12</v>
      </c>
      <c r="Y25" s="34">
        <f t="shared" si="17"/>
        <v>5.5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25.5</v>
      </c>
      <c r="AD25" s="34">
        <f t="shared" si="17"/>
        <v>0</v>
      </c>
      <c r="AE25" s="31">
        <f t="shared" si="17"/>
        <v>37.5</v>
      </c>
      <c r="AF25" s="31">
        <f t="shared" si="17"/>
        <v>91</v>
      </c>
    </row>
    <row r="26" spans="2:32" ht="23.1" customHeight="1" x14ac:dyDescent="0.25">
      <c r="B26" s="23" t="s">
        <v>53</v>
      </c>
      <c r="C26" s="49">
        <f>AVERAGE('12.08 Buwenge-Jinja'!C26,'13.08 Buwenge-Jinja'!C26,'14.08 Buwenge-Jinja'!C26,'15.08 Buwenge-Jinja'!C26,'16.08 Buwenge-Jinja-24h'!C26,'17.08 Buwenge-Jinja-24h'!C26,'18.08 Buwenge-Jinja'!C26)</f>
        <v>5</v>
      </c>
      <c r="D26" s="49">
        <f>AVERAGE('12.08 Buwenge-Jinja'!D26,'13.08 Buwenge-Jinja'!D26,'14.08 Buwenge-Jinja'!D26,'15.08 Buwenge-Jinja'!D26,'16.08 Buwenge-Jinja-24h'!D26,'17.08 Buwenge-Jinja-24h'!D26,'18.08 Buwenge-Jinja'!D26)</f>
        <v>0.8571428571428571</v>
      </c>
      <c r="E26" s="49">
        <f>AVERAGE('12.08 Buwenge-Jinja'!E26,'13.08 Buwenge-Jinja'!E26,'14.08 Buwenge-Jinja'!E26,'15.08 Buwenge-Jinja'!E26,'16.08 Buwenge-Jinja-24h'!E26,'17.08 Buwenge-Jinja-24h'!E26,'18.08 Buwenge-Jinja'!E26)</f>
        <v>3.1428571428571428</v>
      </c>
      <c r="F26" s="49">
        <f>AVERAGE('12.08 Buwenge-Jinja'!F26,'13.08 Buwenge-Jinja'!F26,'14.08 Buwenge-Jinja'!F26,'15.08 Buwenge-Jinja'!F26,'16.08 Buwenge-Jinja-24h'!F26,'17.08 Buwenge-Jinja-24h'!F26,'18.08 Buwenge-Jinja'!F26)</f>
        <v>11.571428571428571</v>
      </c>
      <c r="G26" s="49">
        <f>AVERAGE('12.08 Buwenge-Jinja'!G26,'13.08 Buwenge-Jinja'!G26,'14.08 Buwenge-Jinja'!G26,'15.08 Buwenge-Jinja'!G26,'16.08 Buwenge-Jinja-24h'!G26,'17.08 Buwenge-Jinja-24h'!G26,'18.08 Buwenge-Jinja'!G26)</f>
        <v>0.14285714285714285</v>
      </c>
      <c r="H26" s="49">
        <f>AVERAGE('12.08 Buwenge-Jinja'!H26,'13.08 Buwenge-Jinja'!H26,'14.08 Buwenge-Jinja'!H26,'15.08 Buwenge-Jinja'!H26,'16.08 Buwenge-Jinja-24h'!H26,'17.08 Buwenge-Jinja-24h'!H26,'18.08 Buwenge-Jinja'!H26)</f>
        <v>0</v>
      </c>
      <c r="I26" s="49">
        <f>AVERAGE('12.08 Buwenge-Jinja'!I26,'13.08 Buwenge-Jinja'!I26,'14.08 Buwenge-Jinja'!I26,'15.08 Buwenge-Jinja'!I26,'16.08 Buwenge-Jinja-24h'!I26,'17.08 Buwenge-Jinja-24h'!I26,'18.08 Buwenge-Jinja'!I26)</f>
        <v>2</v>
      </c>
      <c r="J26" s="49">
        <f>AVERAGE('12.08 Buwenge-Jinja'!J26,'13.08 Buwenge-Jinja'!J26,'14.08 Buwenge-Jinja'!J26,'15.08 Buwenge-Jinja'!J26,'16.08 Buwenge-Jinja-24h'!J26,'17.08 Buwenge-Jinja-24h'!J26,'18.08 Buwenge-Jinja'!J26)</f>
        <v>0.42857142857142855</v>
      </c>
      <c r="K26" s="49">
        <f>AVERAGE('12.08 Buwenge-Jinja'!K26,'13.08 Buwenge-Jinja'!K26,'14.08 Buwenge-Jinja'!K26,'15.08 Buwenge-Jinja'!K26,'16.08 Buwenge-Jinja-24h'!K26,'17.08 Buwenge-Jinja-24h'!K26,'18.08 Buwenge-Jinja'!K26)</f>
        <v>0.14285714285714285</v>
      </c>
      <c r="L26" s="49">
        <f>AVERAGE('12.08 Buwenge-Jinja'!L26,'13.08 Buwenge-Jinja'!L26,'14.08 Buwenge-Jinja'!L26,'15.08 Buwenge-Jinja'!L26,'16.08 Buwenge-Jinja-24h'!L26,'17.08 Buwenge-Jinja-24h'!L26,'18.08 Buwenge-Jinja'!L26)</f>
        <v>0</v>
      </c>
      <c r="M26" s="49">
        <f>AVERAGE('12.08 Buwenge-Jinja'!M26,'13.08 Buwenge-Jinja'!M26,'14.08 Buwenge-Jinja'!M26,'15.08 Buwenge-Jinja'!M26,'16.08 Buwenge-Jinja-24h'!M26,'17.08 Buwenge-Jinja-24h'!M26,'18.08 Buwenge-Jinja'!M26)</f>
        <v>39.285714285714285</v>
      </c>
      <c r="N26" s="49">
        <f>AVERAGE('12.08 Buwenge-Jinja'!N26,'13.08 Buwenge-Jinja'!N26,'14.08 Buwenge-Jinja'!N26,'15.08 Buwenge-Jinja'!N26,'16.08 Buwenge-Jinja-24h'!N26,'17.08 Buwenge-Jinja-24h'!N26,'18.08 Buwenge-Jinja'!N26)</f>
        <v>0</v>
      </c>
      <c r="O26" s="15">
        <f t="shared" si="0"/>
        <v>23.285714285714281</v>
      </c>
      <c r="P26" s="15">
        <f t="shared" si="1"/>
        <v>62.571428571428569</v>
      </c>
      <c r="R26" s="1" t="s">
        <v>150</v>
      </c>
      <c r="S26" s="34">
        <f>SUM(C74:C77)</f>
        <v>5.5</v>
      </c>
      <c r="T26" s="34">
        <f t="shared" ref="T26:AF26" si="18">SUM(D74:D77)</f>
        <v>0</v>
      </c>
      <c r="U26" s="34">
        <f t="shared" si="18"/>
        <v>6.5</v>
      </c>
      <c r="V26" s="34">
        <f t="shared" si="18"/>
        <v>5.5</v>
      </c>
      <c r="W26" s="34">
        <f t="shared" si="18"/>
        <v>0</v>
      </c>
      <c r="X26" s="34">
        <f t="shared" si="18"/>
        <v>13.5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14.5</v>
      </c>
      <c r="AD26" s="34">
        <f t="shared" si="18"/>
        <v>0.5</v>
      </c>
      <c r="AE26" s="31">
        <f t="shared" si="18"/>
        <v>33.5</v>
      </c>
      <c r="AF26" s="31">
        <f t="shared" si="18"/>
        <v>75.5</v>
      </c>
    </row>
    <row r="27" spans="2:32" ht="23.1" customHeight="1" x14ac:dyDescent="0.25">
      <c r="B27" s="23" t="s">
        <v>54</v>
      </c>
      <c r="C27" s="49">
        <f>AVERAGE('12.08 Buwenge-Jinja'!C27,'13.08 Buwenge-Jinja'!C27,'14.08 Buwenge-Jinja'!C27,'15.08 Buwenge-Jinja'!C27,'16.08 Buwenge-Jinja-24h'!C27,'17.08 Buwenge-Jinja-24h'!C27,'18.08 Buwenge-Jinja'!C27)</f>
        <v>5.1428571428571432</v>
      </c>
      <c r="D27" s="49">
        <f>AVERAGE('12.08 Buwenge-Jinja'!D27,'13.08 Buwenge-Jinja'!D27,'14.08 Buwenge-Jinja'!D27,'15.08 Buwenge-Jinja'!D27,'16.08 Buwenge-Jinja-24h'!D27,'17.08 Buwenge-Jinja-24h'!D27,'18.08 Buwenge-Jinja'!D27)</f>
        <v>0.5714285714285714</v>
      </c>
      <c r="E27" s="49">
        <f>AVERAGE('12.08 Buwenge-Jinja'!E27,'13.08 Buwenge-Jinja'!E27,'14.08 Buwenge-Jinja'!E27,'15.08 Buwenge-Jinja'!E27,'16.08 Buwenge-Jinja-24h'!E27,'17.08 Buwenge-Jinja-24h'!E27,'18.08 Buwenge-Jinja'!E27)</f>
        <v>2.5714285714285716</v>
      </c>
      <c r="F27" s="49">
        <f>AVERAGE('12.08 Buwenge-Jinja'!F27,'13.08 Buwenge-Jinja'!F27,'14.08 Buwenge-Jinja'!F27,'15.08 Buwenge-Jinja'!F27,'16.08 Buwenge-Jinja-24h'!F27,'17.08 Buwenge-Jinja-24h'!F27,'18.08 Buwenge-Jinja'!F27)</f>
        <v>8</v>
      </c>
      <c r="G27" s="49">
        <f>AVERAGE('12.08 Buwenge-Jinja'!G27,'13.08 Buwenge-Jinja'!G27,'14.08 Buwenge-Jinja'!G27,'15.08 Buwenge-Jinja'!G27,'16.08 Buwenge-Jinja-24h'!G27,'17.08 Buwenge-Jinja-24h'!G27,'18.08 Buwenge-Jinja'!G27)</f>
        <v>0.2857142857142857</v>
      </c>
      <c r="H27" s="49">
        <f>AVERAGE('12.08 Buwenge-Jinja'!H27,'13.08 Buwenge-Jinja'!H27,'14.08 Buwenge-Jinja'!H27,'15.08 Buwenge-Jinja'!H27,'16.08 Buwenge-Jinja-24h'!H27,'17.08 Buwenge-Jinja-24h'!H27,'18.08 Buwenge-Jinja'!H27)</f>
        <v>0</v>
      </c>
      <c r="I27" s="49">
        <f>AVERAGE('12.08 Buwenge-Jinja'!I27,'13.08 Buwenge-Jinja'!I27,'14.08 Buwenge-Jinja'!I27,'15.08 Buwenge-Jinja'!I27,'16.08 Buwenge-Jinja-24h'!I27,'17.08 Buwenge-Jinja-24h'!I27,'18.08 Buwenge-Jinja'!I27)</f>
        <v>2.2857142857142856</v>
      </c>
      <c r="J27" s="49">
        <f>AVERAGE('12.08 Buwenge-Jinja'!J27,'13.08 Buwenge-Jinja'!J27,'14.08 Buwenge-Jinja'!J27,'15.08 Buwenge-Jinja'!J27,'16.08 Buwenge-Jinja-24h'!J27,'17.08 Buwenge-Jinja-24h'!J27,'18.08 Buwenge-Jinja'!J27)</f>
        <v>0.7142857142857143</v>
      </c>
      <c r="K27" s="49">
        <f>AVERAGE('12.08 Buwenge-Jinja'!K27,'13.08 Buwenge-Jinja'!K27,'14.08 Buwenge-Jinja'!K27,'15.08 Buwenge-Jinja'!K27,'16.08 Buwenge-Jinja-24h'!K27,'17.08 Buwenge-Jinja-24h'!K27,'18.08 Buwenge-Jinja'!K27)</f>
        <v>0</v>
      </c>
      <c r="L27" s="49">
        <f>AVERAGE('12.08 Buwenge-Jinja'!L27,'13.08 Buwenge-Jinja'!L27,'14.08 Buwenge-Jinja'!L27,'15.08 Buwenge-Jinja'!L27,'16.08 Buwenge-Jinja-24h'!L27,'17.08 Buwenge-Jinja-24h'!L27,'18.08 Buwenge-Jinja'!L27)</f>
        <v>0</v>
      </c>
      <c r="M27" s="49">
        <f>AVERAGE('12.08 Buwenge-Jinja'!M27,'13.08 Buwenge-Jinja'!M27,'14.08 Buwenge-Jinja'!M27,'15.08 Buwenge-Jinja'!M27,'16.08 Buwenge-Jinja-24h'!M27,'17.08 Buwenge-Jinja-24h'!M27,'18.08 Buwenge-Jinja'!M27)</f>
        <v>40.571428571428569</v>
      </c>
      <c r="N27" s="49">
        <f>AVERAGE('12.08 Buwenge-Jinja'!N27,'13.08 Buwenge-Jinja'!N27,'14.08 Buwenge-Jinja'!N27,'15.08 Buwenge-Jinja'!N27,'16.08 Buwenge-Jinja-24h'!N27,'17.08 Buwenge-Jinja-24h'!N27,'18.08 Buwenge-Jinja'!N27)</f>
        <v>0</v>
      </c>
      <c r="O27" s="15">
        <f t="shared" si="0"/>
        <v>19.571428571428569</v>
      </c>
      <c r="P27" s="15">
        <f t="shared" si="1"/>
        <v>60.142857142857139</v>
      </c>
      <c r="R27" s="1" t="s">
        <v>151</v>
      </c>
      <c r="S27" s="34">
        <f>SUM(C78:C81)</f>
        <v>6</v>
      </c>
      <c r="T27" s="34">
        <f t="shared" ref="T27:AF27" si="19">SUM(D78:D81)</f>
        <v>0</v>
      </c>
      <c r="U27" s="34">
        <f t="shared" si="19"/>
        <v>4.5</v>
      </c>
      <c r="V27" s="34">
        <f t="shared" si="19"/>
        <v>0.5</v>
      </c>
      <c r="W27" s="34">
        <f t="shared" si="19"/>
        <v>0</v>
      </c>
      <c r="X27" s="34">
        <f t="shared" si="19"/>
        <v>7.5</v>
      </c>
      <c r="Y27" s="34">
        <f t="shared" si="19"/>
        <v>3.5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6</v>
      </c>
      <c r="AD27" s="34">
        <f t="shared" si="19"/>
        <v>0</v>
      </c>
      <c r="AE27" s="31">
        <f t="shared" si="19"/>
        <v>22</v>
      </c>
      <c r="AF27" s="31">
        <f t="shared" si="19"/>
        <v>44</v>
      </c>
    </row>
    <row r="28" spans="2:32" ht="23.1" customHeight="1" x14ac:dyDescent="0.25">
      <c r="B28" s="23" t="s">
        <v>55</v>
      </c>
      <c r="C28" s="49">
        <f>AVERAGE('12.08 Buwenge-Jinja'!C28,'13.08 Buwenge-Jinja'!C28,'14.08 Buwenge-Jinja'!C28,'15.08 Buwenge-Jinja'!C28,'16.08 Buwenge-Jinja-24h'!C28,'17.08 Buwenge-Jinja-24h'!C28,'18.08 Buwenge-Jinja'!C28)</f>
        <v>4.2857142857142856</v>
      </c>
      <c r="D28" s="49">
        <f>AVERAGE('12.08 Buwenge-Jinja'!D28,'13.08 Buwenge-Jinja'!D28,'14.08 Buwenge-Jinja'!D28,'15.08 Buwenge-Jinja'!D28,'16.08 Buwenge-Jinja-24h'!D28,'17.08 Buwenge-Jinja-24h'!D28,'18.08 Buwenge-Jinja'!D28)</f>
        <v>0.5714285714285714</v>
      </c>
      <c r="E28" s="49">
        <f>AVERAGE('12.08 Buwenge-Jinja'!E28,'13.08 Buwenge-Jinja'!E28,'14.08 Buwenge-Jinja'!E28,'15.08 Buwenge-Jinja'!E28,'16.08 Buwenge-Jinja-24h'!E28,'17.08 Buwenge-Jinja-24h'!E28,'18.08 Buwenge-Jinja'!E28)</f>
        <v>1.2857142857142858</v>
      </c>
      <c r="F28" s="49">
        <f>AVERAGE('12.08 Buwenge-Jinja'!F28,'13.08 Buwenge-Jinja'!F28,'14.08 Buwenge-Jinja'!F28,'15.08 Buwenge-Jinja'!F28,'16.08 Buwenge-Jinja-24h'!F28,'17.08 Buwenge-Jinja-24h'!F28,'18.08 Buwenge-Jinja'!F28)</f>
        <v>7.7142857142857144</v>
      </c>
      <c r="G28" s="49">
        <f>AVERAGE('12.08 Buwenge-Jinja'!G28,'13.08 Buwenge-Jinja'!G28,'14.08 Buwenge-Jinja'!G28,'15.08 Buwenge-Jinja'!G28,'16.08 Buwenge-Jinja-24h'!G28,'17.08 Buwenge-Jinja-24h'!G28,'18.08 Buwenge-Jinja'!G28)</f>
        <v>0.42857142857142855</v>
      </c>
      <c r="H28" s="49">
        <f>AVERAGE('12.08 Buwenge-Jinja'!H28,'13.08 Buwenge-Jinja'!H28,'14.08 Buwenge-Jinja'!H28,'15.08 Buwenge-Jinja'!H28,'16.08 Buwenge-Jinja-24h'!H28,'17.08 Buwenge-Jinja-24h'!H28,'18.08 Buwenge-Jinja'!H28)</f>
        <v>0.2857142857142857</v>
      </c>
      <c r="I28" s="49">
        <f>AVERAGE('12.08 Buwenge-Jinja'!I28,'13.08 Buwenge-Jinja'!I28,'14.08 Buwenge-Jinja'!I28,'15.08 Buwenge-Jinja'!I28,'16.08 Buwenge-Jinja-24h'!I28,'17.08 Buwenge-Jinja-24h'!I28,'18.08 Buwenge-Jinja'!I28)</f>
        <v>2.5714285714285716</v>
      </c>
      <c r="J28" s="49">
        <f>AVERAGE('12.08 Buwenge-Jinja'!J28,'13.08 Buwenge-Jinja'!J28,'14.08 Buwenge-Jinja'!J28,'15.08 Buwenge-Jinja'!J28,'16.08 Buwenge-Jinja-24h'!J28,'17.08 Buwenge-Jinja-24h'!J28,'18.08 Buwenge-Jinja'!J28)</f>
        <v>0.42857142857142855</v>
      </c>
      <c r="K28" s="49">
        <f>AVERAGE('12.08 Buwenge-Jinja'!K28,'13.08 Buwenge-Jinja'!K28,'14.08 Buwenge-Jinja'!K28,'15.08 Buwenge-Jinja'!K28,'16.08 Buwenge-Jinja-24h'!K28,'17.08 Buwenge-Jinja-24h'!K28,'18.08 Buwenge-Jinja'!K28)</f>
        <v>0</v>
      </c>
      <c r="L28" s="49">
        <f>AVERAGE('12.08 Buwenge-Jinja'!L28,'13.08 Buwenge-Jinja'!L28,'14.08 Buwenge-Jinja'!L28,'15.08 Buwenge-Jinja'!L28,'16.08 Buwenge-Jinja-24h'!L28,'17.08 Buwenge-Jinja-24h'!L28,'18.08 Buwenge-Jinja'!L28)</f>
        <v>0</v>
      </c>
      <c r="M28" s="49">
        <f>AVERAGE('12.08 Buwenge-Jinja'!M28,'13.08 Buwenge-Jinja'!M28,'14.08 Buwenge-Jinja'!M28,'15.08 Buwenge-Jinja'!M28,'16.08 Buwenge-Jinja-24h'!M28,'17.08 Buwenge-Jinja-24h'!M28,'18.08 Buwenge-Jinja'!M28)</f>
        <v>37</v>
      </c>
      <c r="N28" s="49">
        <f>AVERAGE('12.08 Buwenge-Jinja'!N28,'13.08 Buwenge-Jinja'!N28,'14.08 Buwenge-Jinja'!N28,'15.08 Buwenge-Jinja'!N28,'16.08 Buwenge-Jinja-24h'!N28,'17.08 Buwenge-Jinja-24h'!N28,'18.08 Buwenge-Jinja'!N28)</f>
        <v>0</v>
      </c>
      <c r="O28" s="15">
        <f t="shared" si="0"/>
        <v>17.571428571428573</v>
      </c>
      <c r="P28" s="15">
        <f t="shared" si="1"/>
        <v>54.571428571428569</v>
      </c>
      <c r="R28" s="1" t="s">
        <v>152</v>
      </c>
      <c r="S28" s="34">
        <f>SUM(C82:C85)</f>
        <v>3</v>
      </c>
      <c r="T28" s="34">
        <f t="shared" ref="T28:AF28" si="20">SUM(D82:D85)</f>
        <v>0</v>
      </c>
      <c r="U28" s="34">
        <f t="shared" si="20"/>
        <v>0.5</v>
      </c>
      <c r="V28" s="34">
        <f t="shared" si="20"/>
        <v>0</v>
      </c>
      <c r="W28" s="34">
        <f t="shared" si="20"/>
        <v>0</v>
      </c>
      <c r="X28" s="34">
        <f t="shared" si="20"/>
        <v>1</v>
      </c>
      <c r="Y28" s="34">
        <f t="shared" si="20"/>
        <v>3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6</v>
      </c>
      <c r="AD28" s="34">
        <f t="shared" si="20"/>
        <v>0</v>
      </c>
      <c r="AE28" s="31">
        <f t="shared" si="20"/>
        <v>7.5</v>
      </c>
      <c r="AF28" s="31">
        <f t="shared" si="20"/>
        <v>18</v>
      </c>
    </row>
    <row r="29" spans="2:32" ht="23.1" customHeight="1" x14ac:dyDescent="0.25">
      <c r="B29" s="23" t="s">
        <v>56</v>
      </c>
      <c r="C29" s="49">
        <f>AVERAGE('12.08 Buwenge-Jinja'!C29,'13.08 Buwenge-Jinja'!C29,'14.08 Buwenge-Jinja'!C29,'15.08 Buwenge-Jinja'!C29,'16.08 Buwenge-Jinja-24h'!C29,'17.08 Buwenge-Jinja-24h'!C29,'18.08 Buwenge-Jinja'!C29)</f>
        <v>5.4285714285714288</v>
      </c>
      <c r="D29" s="49">
        <f>AVERAGE('12.08 Buwenge-Jinja'!D29,'13.08 Buwenge-Jinja'!D29,'14.08 Buwenge-Jinja'!D29,'15.08 Buwenge-Jinja'!D29,'16.08 Buwenge-Jinja-24h'!D29,'17.08 Buwenge-Jinja-24h'!D29,'18.08 Buwenge-Jinja'!D29)</f>
        <v>0.7142857142857143</v>
      </c>
      <c r="E29" s="49">
        <f>AVERAGE('12.08 Buwenge-Jinja'!E29,'13.08 Buwenge-Jinja'!E29,'14.08 Buwenge-Jinja'!E29,'15.08 Buwenge-Jinja'!E29,'16.08 Buwenge-Jinja-24h'!E29,'17.08 Buwenge-Jinja-24h'!E29,'18.08 Buwenge-Jinja'!E29)</f>
        <v>3.1428571428571428</v>
      </c>
      <c r="F29" s="49">
        <f>AVERAGE('12.08 Buwenge-Jinja'!F29,'13.08 Buwenge-Jinja'!F29,'14.08 Buwenge-Jinja'!F29,'15.08 Buwenge-Jinja'!F29,'16.08 Buwenge-Jinja-24h'!F29,'17.08 Buwenge-Jinja-24h'!F29,'18.08 Buwenge-Jinja'!F29)</f>
        <v>8.2857142857142865</v>
      </c>
      <c r="G29" s="49">
        <f>AVERAGE('12.08 Buwenge-Jinja'!G29,'13.08 Buwenge-Jinja'!G29,'14.08 Buwenge-Jinja'!G29,'15.08 Buwenge-Jinja'!G29,'16.08 Buwenge-Jinja-24h'!G29,'17.08 Buwenge-Jinja-24h'!G29,'18.08 Buwenge-Jinja'!G29)</f>
        <v>0</v>
      </c>
      <c r="H29" s="49">
        <f>AVERAGE('12.08 Buwenge-Jinja'!H29,'13.08 Buwenge-Jinja'!H29,'14.08 Buwenge-Jinja'!H29,'15.08 Buwenge-Jinja'!H29,'16.08 Buwenge-Jinja-24h'!H29,'17.08 Buwenge-Jinja-24h'!H29,'18.08 Buwenge-Jinja'!H29)</f>
        <v>0.42857142857142855</v>
      </c>
      <c r="I29" s="49">
        <f>AVERAGE('12.08 Buwenge-Jinja'!I29,'13.08 Buwenge-Jinja'!I29,'14.08 Buwenge-Jinja'!I29,'15.08 Buwenge-Jinja'!I29,'16.08 Buwenge-Jinja-24h'!I29,'17.08 Buwenge-Jinja-24h'!I29,'18.08 Buwenge-Jinja'!I29)</f>
        <v>2.5714285714285716</v>
      </c>
      <c r="J29" s="49">
        <f>AVERAGE('12.08 Buwenge-Jinja'!J29,'13.08 Buwenge-Jinja'!J29,'14.08 Buwenge-Jinja'!J29,'15.08 Buwenge-Jinja'!J29,'16.08 Buwenge-Jinja-24h'!J29,'17.08 Buwenge-Jinja-24h'!J29,'18.08 Buwenge-Jinja'!J29)</f>
        <v>0.14285714285714285</v>
      </c>
      <c r="K29" s="49">
        <f>AVERAGE('12.08 Buwenge-Jinja'!K29,'13.08 Buwenge-Jinja'!K29,'14.08 Buwenge-Jinja'!K29,'15.08 Buwenge-Jinja'!K29,'16.08 Buwenge-Jinja-24h'!K29,'17.08 Buwenge-Jinja-24h'!K29,'18.08 Buwenge-Jinja'!K29)</f>
        <v>0</v>
      </c>
      <c r="L29" s="49">
        <f>AVERAGE('12.08 Buwenge-Jinja'!L29,'13.08 Buwenge-Jinja'!L29,'14.08 Buwenge-Jinja'!L29,'15.08 Buwenge-Jinja'!L29,'16.08 Buwenge-Jinja-24h'!L29,'17.08 Buwenge-Jinja-24h'!L29,'18.08 Buwenge-Jinja'!L29)</f>
        <v>0</v>
      </c>
      <c r="M29" s="49">
        <f>AVERAGE('12.08 Buwenge-Jinja'!M29,'13.08 Buwenge-Jinja'!M29,'14.08 Buwenge-Jinja'!M29,'15.08 Buwenge-Jinja'!M29,'16.08 Buwenge-Jinja-24h'!M29,'17.08 Buwenge-Jinja-24h'!M29,'18.08 Buwenge-Jinja'!M29)</f>
        <v>31.571428571428573</v>
      </c>
      <c r="N29" s="49">
        <f>AVERAGE('12.08 Buwenge-Jinja'!N29,'13.08 Buwenge-Jinja'!N29,'14.08 Buwenge-Jinja'!N29,'15.08 Buwenge-Jinja'!N29,'16.08 Buwenge-Jinja-24h'!N29,'17.08 Buwenge-Jinja-24h'!N29,'18.08 Buwenge-Jinja'!N29)</f>
        <v>0</v>
      </c>
      <c r="O29" s="15">
        <f t="shared" si="0"/>
        <v>20.714285714285715</v>
      </c>
      <c r="P29" s="15">
        <f t="shared" si="1"/>
        <v>52.285714285714292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0.5</v>
      </c>
      <c r="W29" s="34">
        <f t="shared" si="21"/>
        <v>0</v>
      </c>
      <c r="X29" s="34">
        <f t="shared" si="21"/>
        <v>1.5</v>
      </c>
      <c r="Y29" s="34">
        <f t="shared" si="21"/>
        <v>2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0.5</v>
      </c>
      <c r="AD29" s="34">
        <f t="shared" si="21"/>
        <v>0</v>
      </c>
      <c r="AE29" s="31">
        <f t="shared" si="21"/>
        <v>5</v>
      </c>
      <c r="AF29" s="31">
        <f t="shared" si="21"/>
        <v>10.5</v>
      </c>
    </row>
    <row r="30" spans="2:32" ht="23.1" customHeight="1" x14ac:dyDescent="0.25">
      <c r="B30" s="23" t="s">
        <v>57</v>
      </c>
      <c r="C30" s="49">
        <f>AVERAGE('12.08 Buwenge-Jinja'!C30,'13.08 Buwenge-Jinja'!C30,'14.08 Buwenge-Jinja'!C30,'15.08 Buwenge-Jinja'!C30,'16.08 Buwenge-Jinja-24h'!C30,'17.08 Buwenge-Jinja-24h'!C30,'18.08 Buwenge-Jinja'!C30)</f>
        <v>4.8571428571428568</v>
      </c>
      <c r="D30" s="49">
        <f>AVERAGE('12.08 Buwenge-Jinja'!D30,'13.08 Buwenge-Jinja'!D30,'14.08 Buwenge-Jinja'!D30,'15.08 Buwenge-Jinja'!D30,'16.08 Buwenge-Jinja-24h'!D30,'17.08 Buwenge-Jinja-24h'!D30,'18.08 Buwenge-Jinja'!D30)</f>
        <v>1.2857142857142858</v>
      </c>
      <c r="E30" s="49">
        <f>AVERAGE('12.08 Buwenge-Jinja'!E30,'13.08 Buwenge-Jinja'!E30,'14.08 Buwenge-Jinja'!E30,'15.08 Buwenge-Jinja'!E30,'16.08 Buwenge-Jinja-24h'!E30,'17.08 Buwenge-Jinja-24h'!E30,'18.08 Buwenge-Jinja'!E30)</f>
        <v>4</v>
      </c>
      <c r="F30" s="49">
        <f>AVERAGE('12.08 Buwenge-Jinja'!F30,'13.08 Buwenge-Jinja'!F30,'14.08 Buwenge-Jinja'!F30,'15.08 Buwenge-Jinja'!F30,'16.08 Buwenge-Jinja-24h'!F30,'17.08 Buwenge-Jinja-24h'!F30,'18.08 Buwenge-Jinja'!F30)</f>
        <v>11.714285714285714</v>
      </c>
      <c r="G30" s="49">
        <f>AVERAGE('12.08 Buwenge-Jinja'!G30,'13.08 Buwenge-Jinja'!G30,'14.08 Buwenge-Jinja'!G30,'15.08 Buwenge-Jinja'!G30,'16.08 Buwenge-Jinja-24h'!G30,'17.08 Buwenge-Jinja-24h'!G30,'18.08 Buwenge-Jinja'!G30)</f>
        <v>0.42857142857142855</v>
      </c>
      <c r="H30" s="49">
        <f>AVERAGE('12.08 Buwenge-Jinja'!H30,'13.08 Buwenge-Jinja'!H30,'14.08 Buwenge-Jinja'!H30,'15.08 Buwenge-Jinja'!H30,'16.08 Buwenge-Jinja-24h'!H30,'17.08 Buwenge-Jinja-24h'!H30,'18.08 Buwenge-Jinja'!H30)</f>
        <v>0</v>
      </c>
      <c r="I30" s="49">
        <f>AVERAGE('12.08 Buwenge-Jinja'!I30,'13.08 Buwenge-Jinja'!I30,'14.08 Buwenge-Jinja'!I30,'15.08 Buwenge-Jinja'!I30,'16.08 Buwenge-Jinja-24h'!I30,'17.08 Buwenge-Jinja-24h'!I30,'18.08 Buwenge-Jinja'!I30)</f>
        <v>2</v>
      </c>
      <c r="J30" s="49">
        <f>AVERAGE('12.08 Buwenge-Jinja'!J30,'13.08 Buwenge-Jinja'!J30,'14.08 Buwenge-Jinja'!J30,'15.08 Buwenge-Jinja'!J30,'16.08 Buwenge-Jinja-24h'!J30,'17.08 Buwenge-Jinja-24h'!J30,'18.08 Buwenge-Jinja'!J30)</f>
        <v>0.2857142857142857</v>
      </c>
      <c r="K30" s="49">
        <f>AVERAGE('12.08 Buwenge-Jinja'!K30,'13.08 Buwenge-Jinja'!K30,'14.08 Buwenge-Jinja'!K30,'15.08 Buwenge-Jinja'!K30,'16.08 Buwenge-Jinja-24h'!K30,'17.08 Buwenge-Jinja-24h'!K30,'18.08 Buwenge-Jinja'!K30)</f>
        <v>0</v>
      </c>
      <c r="L30" s="49">
        <f>AVERAGE('12.08 Buwenge-Jinja'!L30,'13.08 Buwenge-Jinja'!L30,'14.08 Buwenge-Jinja'!L30,'15.08 Buwenge-Jinja'!L30,'16.08 Buwenge-Jinja-24h'!L30,'17.08 Buwenge-Jinja-24h'!L30,'18.08 Buwenge-Jinja'!L30)</f>
        <v>0</v>
      </c>
      <c r="M30" s="49">
        <f>AVERAGE('12.08 Buwenge-Jinja'!M30,'13.08 Buwenge-Jinja'!M30,'14.08 Buwenge-Jinja'!M30,'15.08 Buwenge-Jinja'!M30,'16.08 Buwenge-Jinja-24h'!M30,'17.08 Buwenge-Jinja-24h'!M30,'18.08 Buwenge-Jinja'!M30)</f>
        <v>37</v>
      </c>
      <c r="N30" s="49">
        <f>AVERAGE('12.08 Buwenge-Jinja'!N30,'13.08 Buwenge-Jinja'!N30,'14.08 Buwenge-Jinja'!N30,'15.08 Buwenge-Jinja'!N30,'16.08 Buwenge-Jinja-24h'!N30,'17.08 Buwenge-Jinja-24h'!N30,'18.08 Buwenge-Jinja'!N30)</f>
        <v>0</v>
      </c>
      <c r="O30" s="15">
        <f t="shared" si="0"/>
        <v>24.571428571428566</v>
      </c>
      <c r="P30" s="15">
        <f t="shared" si="1"/>
        <v>61.571428571428569</v>
      </c>
      <c r="R30" s="1" t="s">
        <v>154</v>
      </c>
      <c r="S30" s="34">
        <f>SUM(C90:C93)</f>
        <v>1.5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1</v>
      </c>
      <c r="Y30" s="34">
        <f t="shared" si="22"/>
        <v>1.5</v>
      </c>
      <c r="Z30" s="34">
        <f t="shared" si="22"/>
        <v>1</v>
      </c>
      <c r="AA30" s="34">
        <f t="shared" si="22"/>
        <v>0.5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7.5</v>
      </c>
      <c r="AF30" s="31">
        <f t="shared" si="22"/>
        <v>14.5</v>
      </c>
    </row>
    <row r="31" spans="2:32" ht="23.1" customHeight="1" x14ac:dyDescent="0.25">
      <c r="B31" s="24" t="s">
        <v>58</v>
      </c>
      <c r="C31" s="49">
        <f>AVERAGE('12.08 Buwenge-Jinja'!C31,'13.08 Buwenge-Jinja'!C31,'14.08 Buwenge-Jinja'!C31,'15.08 Buwenge-Jinja'!C31,'16.08 Buwenge-Jinja-24h'!C31,'17.08 Buwenge-Jinja-24h'!C31,'18.08 Buwenge-Jinja'!C31)</f>
        <v>5.4285714285714288</v>
      </c>
      <c r="D31" s="49">
        <f>AVERAGE('12.08 Buwenge-Jinja'!D31,'13.08 Buwenge-Jinja'!D31,'14.08 Buwenge-Jinja'!D31,'15.08 Buwenge-Jinja'!D31,'16.08 Buwenge-Jinja-24h'!D31,'17.08 Buwenge-Jinja-24h'!D31,'18.08 Buwenge-Jinja'!D31)</f>
        <v>0.7142857142857143</v>
      </c>
      <c r="E31" s="49">
        <f>AVERAGE('12.08 Buwenge-Jinja'!E31,'13.08 Buwenge-Jinja'!E31,'14.08 Buwenge-Jinja'!E31,'15.08 Buwenge-Jinja'!E31,'16.08 Buwenge-Jinja-24h'!E31,'17.08 Buwenge-Jinja-24h'!E31,'18.08 Buwenge-Jinja'!E31)</f>
        <v>2.8571428571428572</v>
      </c>
      <c r="F31" s="49">
        <f>AVERAGE('12.08 Buwenge-Jinja'!F31,'13.08 Buwenge-Jinja'!F31,'14.08 Buwenge-Jinja'!F31,'15.08 Buwenge-Jinja'!F31,'16.08 Buwenge-Jinja-24h'!F31,'17.08 Buwenge-Jinja-24h'!F31,'18.08 Buwenge-Jinja'!F31)</f>
        <v>11.142857142857142</v>
      </c>
      <c r="G31" s="49">
        <f>AVERAGE('12.08 Buwenge-Jinja'!G31,'13.08 Buwenge-Jinja'!G31,'14.08 Buwenge-Jinja'!G31,'15.08 Buwenge-Jinja'!G31,'16.08 Buwenge-Jinja-24h'!G31,'17.08 Buwenge-Jinja-24h'!G31,'18.08 Buwenge-Jinja'!G31)</f>
        <v>1.1428571428571428</v>
      </c>
      <c r="H31" s="49">
        <f>AVERAGE('12.08 Buwenge-Jinja'!H31,'13.08 Buwenge-Jinja'!H31,'14.08 Buwenge-Jinja'!H31,'15.08 Buwenge-Jinja'!H31,'16.08 Buwenge-Jinja-24h'!H31,'17.08 Buwenge-Jinja-24h'!H31,'18.08 Buwenge-Jinja'!H31)</f>
        <v>0</v>
      </c>
      <c r="I31" s="49">
        <f>AVERAGE('12.08 Buwenge-Jinja'!I31,'13.08 Buwenge-Jinja'!I31,'14.08 Buwenge-Jinja'!I31,'15.08 Buwenge-Jinja'!I31,'16.08 Buwenge-Jinja-24h'!I31,'17.08 Buwenge-Jinja-24h'!I31,'18.08 Buwenge-Jinja'!I31)</f>
        <v>4.2857142857142856</v>
      </c>
      <c r="J31" s="49">
        <f>AVERAGE('12.08 Buwenge-Jinja'!J31,'13.08 Buwenge-Jinja'!J31,'14.08 Buwenge-Jinja'!J31,'15.08 Buwenge-Jinja'!J31,'16.08 Buwenge-Jinja-24h'!J31,'17.08 Buwenge-Jinja-24h'!J31,'18.08 Buwenge-Jinja'!J31)</f>
        <v>0</v>
      </c>
      <c r="K31" s="49">
        <f>AVERAGE('12.08 Buwenge-Jinja'!K31,'13.08 Buwenge-Jinja'!K31,'14.08 Buwenge-Jinja'!K31,'15.08 Buwenge-Jinja'!K31,'16.08 Buwenge-Jinja-24h'!K31,'17.08 Buwenge-Jinja-24h'!K31,'18.08 Buwenge-Jinja'!K31)</f>
        <v>0</v>
      </c>
      <c r="L31" s="49">
        <f>AVERAGE('12.08 Buwenge-Jinja'!L31,'13.08 Buwenge-Jinja'!L31,'14.08 Buwenge-Jinja'!L31,'15.08 Buwenge-Jinja'!L31,'16.08 Buwenge-Jinja-24h'!L31,'17.08 Buwenge-Jinja-24h'!L31,'18.08 Buwenge-Jinja'!L31)</f>
        <v>0</v>
      </c>
      <c r="M31" s="49">
        <f>AVERAGE('12.08 Buwenge-Jinja'!M31,'13.08 Buwenge-Jinja'!M31,'14.08 Buwenge-Jinja'!M31,'15.08 Buwenge-Jinja'!M31,'16.08 Buwenge-Jinja-24h'!M31,'17.08 Buwenge-Jinja-24h'!M31,'18.08 Buwenge-Jinja'!M31)</f>
        <v>45.571428571428569</v>
      </c>
      <c r="N31" s="49">
        <f>AVERAGE('12.08 Buwenge-Jinja'!N31,'13.08 Buwenge-Jinja'!N31,'14.08 Buwenge-Jinja'!N31,'15.08 Buwenge-Jinja'!N31,'16.08 Buwenge-Jinja-24h'!N31,'17.08 Buwenge-Jinja-24h'!N31,'18.08 Buwenge-Jinja'!N31)</f>
        <v>0</v>
      </c>
      <c r="O31" s="15">
        <f t="shared" si="0"/>
        <v>25.571428571428569</v>
      </c>
      <c r="P31" s="15">
        <f t="shared" si="1"/>
        <v>71.142857142857139</v>
      </c>
      <c r="R31" s="1" t="s">
        <v>155</v>
      </c>
      <c r="S31" s="34">
        <f>SUM(C94:C97)</f>
        <v>3</v>
      </c>
      <c r="T31" s="34">
        <f t="shared" ref="T31:AF31" si="23">SUM(D94:D97)</f>
        <v>0.5</v>
      </c>
      <c r="U31" s="34">
        <f t="shared" si="23"/>
        <v>4</v>
      </c>
      <c r="V31" s="34">
        <f t="shared" si="23"/>
        <v>2</v>
      </c>
      <c r="W31" s="34">
        <f t="shared" si="23"/>
        <v>0</v>
      </c>
      <c r="X31" s="34">
        <f t="shared" si="23"/>
        <v>4</v>
      </c>
      <c r="Y31" s="34">
        <f t="shared" si="23"/>
        <v>0.5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3.5</v>
      </c>
      <c r="AD31" s="34">
        <f t="shared" si="23"/>
        <v>0</v>
      </c>
      <c r="AE31" s="31">
        <f t="shared" si="23"/>
        <v>14</v>
      </c>
      <c r="AF31" s="31">
        <f t="shared" si="23"/>
        <v>28.5</v>
      </c>
    </row>
    <row r="32" spans="2:32" ht="23.1" customHeight="1" x14ac:dyDescent="0.25">
      <c r="B32" s="24" t="s">
        <v>59</v>
      </c>
      <c r="C32" s="49">
        <f>AVERAGE('12.08 Buwenge-Jinja'!C32,'13.08 Buwenge-Jinja'!C32,'14.08 Buwenge-Jinja'!C32,'15.08 Buwenge-Jinja'!C32,'16.08 Buwenge-Jinja-24h'!C32,'17.08 Buwenge-Jinja-24h'!C32,'18.08 Buwenge-Jinja'!C32)</f>
        <v>5.5714285714285712</v>
      </c>
      <c r="D32" s="49">
        <f>AVERAGE('12.08 Buwenge-Jinja'!D32,'13.08 Buwenge-Jinja'!D32,'14.08 Buwenge-Jinja'!D32,'15.08 Buwenge-Jinja'!D32,'16.08 Buwenge-Jinja-24h'!D32,'17.08 Buwenge-Jinja-24h'!D32,'18.08 Buwenge-Jinja'!D32)</f>
        <v>1.2857142857142858</v>
      </c>
      <c r="E32" s="49">
        <f>AVERAGE('12.08 Buwenge-Jinja'!E32,'13.08 Buwenge-Jinja'!E32,'14.08 Buwenge-Jinja'!E32,'15.08 Buwenge-Jinja'!E32,'16.08 Buwenge-Jinja-24h'!E32,'17.08 Buwenge-Jinja-24h'!E32,'18.08 Buwenge-Jinja'!E32)</f>
        <v>3.7142857142857144</v>
      </c>
      <c r="F32" s="49">
        <f>AVERAGE('12.08 Buwenge-Jinja'!F32,'13.08 Buwenge-Jinja'!F32,'14.08 Buwenge-Jinja'!F32,'15.08 Buwenge-Jinja'!F32,'16.08 Buwenge-Jinja-24h'!F32,'17.08 Buwenge-Jinja-24h'!F32,'18.08 Buwenge-Jinja'!F32)</f>
        <v>9.4285714285714288</v>
      </c>
      <c r="G32" s="49">
        <f>AVERAGE('12.08 Buwenge-Jinja'!G32,'13.08 Buwenge-Jinja'!G32,'14.08 Buwenge-Jinja'!G32,'15.08 Buwenge-Jinja'!G32,'16.08 Buwenge-Jinja-24h'!G32,'17.08 Buwenge-Jinja-24h'!G32,'18.08 Buwenge-Jinja'!G32)</f>
        <v>0.42857142857142855</v>
      </c>
      <c r="H32" s="49">
        <f>AVERAGE('12.08 Buwenge-Jinja'!H32,'13.08 Buwenge-Jinja'!H32,'14.08 Buwenge-Jinja'!H32,'15.08 Buwenge-Jinja'!H32,'16.08 Buwenge-Jinja-24h'!H32,'17.08 Buwenge-Jinja-24h'!H32,'18.08 Buwenge-Jinja'!H32)</f>
        <v>0</v>
      </c>
      <c r="I32" s="49">
        <f>AVERAGE('12.08 Buwenge-Jinja'!I32,'13.08 Buwenge-Jinja'!I32,'14.08 Buwenge-Jinja'!I32,'15.08 Buwenge-Jinja'!I32,'16.08 Buwenge-Jinja-24h'!I32,'17.08 Buwenge-Jinja-24h'!I32,'18.08 Buwenge-Jinja'!I32)</f>
        <v>2.2857142857142856</v>
      </c>
      <c r="J32" s="49">
        <f>AVERAGE('12.08 Buwenge-Jinja'!J32,'13.08 Buwenge-Jinja'!J32,'14.08 Buwenge-Jinja'!J32,'15.08 Buwenge-Jinja'!J32,'16.08 Buwenge-Jinja-24h'!J32,'17.08 Buwenge-Jinja-24h'!J32,'18.08 Buwenge-Jinja'!J32)</f>
        <v>0.14285714285714285</v>
      </c>
      <c r="K32" s="49">
        <f>AVERAGE('12.08 Buwenge-Jinja'!K32,'13.08 Buwenge-Jinja'!K32,'14.08 Buwenge-Jinja'!K32,'15.08 Buwenge-Jinja'!K32,'16.08 Buwenge-Jinja-24h'!K32,'17.08 Buwenge-Jinja-24h'!K32,'18.08 Buwenge-Jinja'!K32)</f>
        <v>0</v>
      </c>
      <c r="L32" s="49">
        <f>AVERAGE('12.08 Buwenge-Jinja'!L32,'13.08 Buwenge-Jinja'!L32,'14.08 Buwenge-Jinja'!L32,'15.08 Buwenge-Jinja'!L32,'16.08 Buwenge-Jinja-24h'!L32,'17.08 Buwenge-Jinja-24h'!L32,'18.08 Buwenge-Jinja'!L32)</f>
        <v>0</v>
      </c>
      <c r="M32" s="49">
        <f>AVERAGE('12.08 Buwenge-Jinja'!M32,'13.08 Buwenge-Jinja'!M32,'14.08 Buwenge-Jinja'!M32,'15.08 Buwenge-Jinja'!M32,'16.08 Buwenge-Jinja-24h'!M32,'17.08 Buwenge-Jinja-24h'!M32,'18.08 Buwenge-Jinja'!M32)</f>
        <v>35.285714285714285</v>
      </c>
      <c r="N32" s="49">
        <f>AVERAGE('12.08 Buwenge-Jinja'!N32,'13.08 Buwenge-Jinja'!N32,'14.08 Buwenge-Jinja'!N32,'15.08 Buwenge-Jinja'!N32,'16.08 Buwenge-Jinja-24h'!N32,'17.08 Buwenge-Jinja-24h'!N32,'18.08 Buwenge-Jinja'!N32)</f>
        <v>0.2857142857142857</v>
      </c>
      <c r="O32" s="15">
        <f t="shared" si="0"/>
        <v>23.142857142857139</v>
      </c>
      <c r="P32" s="15">
        <f t="shared" si="1"/>
        <v>58.428571428571423</v>
      </c>
      <c r="R32" s="1" t="s">
        <v>156</v>
      </c>
      <c r="S32" s="34">
        <f>SUM(C98:C101)</f>
        <v>1.5</v>
      </c>
      <c r="T32" s="34">
        <f t="shared" ref="T32:AF32" si="24">SUM(D98:D101)</f>
        <v>0.5</v>
      </c>
      <c r="U32" s="34">
        <f t="shared" si="24"/>
        <v>6.5</v>
      </c>
      <c r="V32" s="34">
        <f t="shared" si="24"/>
        <v>5.5</v>
      </c>
      <c r="W32" s="34">
        <f t="shared" si="24"/>
        <v>1.5</v>
      </c>
      <c r="X32" s="34">
        <f t="shared" si="24"/>
        <v>7</v>
      </c>
      <c r="Y32" s="34">
        <f t="shared" si="24"/>
        <v>3.5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13</v>
      </c>
      <c r="AD32" s="34">
        <f t="shared" si="24"/>
        <v>0.5</v>
      </c>
      <c r="AE32" s="31">
        <f t="shared" si="24"/>
        <v>26.5</v>
      </c>
      <c r="AF32" s="31">
        <f t="shared" si="24"/>
        <v>64</v>
      </c>
    </row>
    <row r="33" spans="2:32" ht="23.1" customHeight="1" x14ac:dyDescent="0.25">
      <c r="B33" s="23" t="s">
        <v>60</v>
      </c>
      <c r="C33" s="49">
        <f>AVERAGE('12.08 Buwenge-Jinja'!C33,'13.08 Buwenge-Jinja'!C33,'14.08 Buwenge-Jinja'!C33,'15.08 Buwenge-Jinja'!C33,'16.08 Buwenge-Jinja-24h'!C33,'17.08 Buwenge-Jinja-24h'!C33,'18.08 Buwenge-Jinja'!C33)</f>
        <v>5.4285714285714288</v>
      </c>
      <c r="D33" s="49">
        <f>AVERAGE('12.08 Buwenge-Jinja'!D33,'13.08 Buwenge-Jinja'!D33,'14.08 Buwenge-Jinja'!D33,'15.08 Buwenge-Jinja'!D33,'16.08 Buwenge-Jinja-24h'!D33,'17.08 Buwenge-Jinja-24h'!D33,'18.08 Buwenge-Jinja'!D33)</f>
        <v>0.14285714285714285</v>
      </c>
      <c r="E33" s="49">
        <f>AVERAGE('12.08 Buwenge-Jinja'!E33,'13.08 Buwenge-Jinja'!E33,'14.08 Buwenge-Jinja'!E33,'15.08 Buwenge-Jinja'!E33,'16.08 Buwenge-Jinja-24h'!E33,'17.08 Buwenge-Jinja-24h'!E33,'18.08 Buwenge-Jinja'!E33)</f>
        <v>2.1428571428571428</v>
      </c>
      <c r="F33" s="49">
        <f>AVERAGE('12.08 Buwenge-Jinja'!F33,'13.08 Buwenge-Jinja'!F33,'14.08 Buwenge-Jinja'!F33,'15.08 Buwenge-Jinja'!F33,'16.08 Buwenge-Jinja-24h'!F33,'17.08 Buwenge-Jinja-24h'!F33,'18.08 Buwenge-Jinja'!F33)</f>
        <v>7.7142857142857144</v>
      </c>
      <c r="G33" s="49">
        <f>AVERAGE('12.08 Buwenge-Jinja'!G33,'13.08 Buwenge-Jinja'!G33,'14.08 Buwenge-Jinja'!G33,'15.08 Buwenge-Jinja'!G33,'16.08 Buwenge-Jinja-24h'!G33,'17.08 Buwenge-Jinja-24h'!G33,'18.08 Buwenge-Jinja'!G33)</f>
        <v>0.2857142857142857</v>
      </c>
      <c r="H33" s="49">
        <f>AVERAGE('12.08 Buwenge-Jinja'!H33,'13.08 Buwenge-Jinja'!H33,'14.08 Buwenge-Jinja'!H33,'15.08 Buwenge-Jinja'!H33,'16.08 Buwenge-Jinja-24h'!H33,'17.08 Buwenge-Jinja-24h'!H33,'18.08 Buwenge-Jinja'!H33)</f>
        <v>0</v>
      </c>
      <c r="I33" s="49">
        <f>AVERAGE('12.08 Buwenge-Jinja'!I33,'13.08 Buwenge-Jinja'!I33,'14.08 Buwenge-Jinja'!I33,'15.08 Buwenge-Jinja'!I33,'16.08 Buwenge-Jinja-24h'!I33,'17.08 Buwenge-Jinja-24h'!I33,'18.08 Buwenge-Jinja'!I33)</f>
        <v>3.1428571428571428</v>
      </c>
      <c r="J33" s="49">
        <f>AVERAGE('12.08 Buwenge-Jinja'!J33,'13.08 Buwenge-Jinja'!J33,'14.08 Buwenge-Jinja'!J33,'15.08 Buwenge-Jinja'!J33,'16.08 Buwenge-Jinja-24h'!J33,'17.08 Buwenge-Jinja-24h'!J33,'18.08 Buwenge-Jinja'!J33)</f>
        <v>0.14285714285714285</v>
      </c>
      <c r="K33" s="49">
        <f>AVERAGE('12.08 Buwenge-Jinja'!K33,'13.08 Buwenge-Jinja'!K33,'14.08 Buwenge-Jinja'!K33,'15.08 Buwenge-Jinja'!K33,'16.08 Buwenge-Jinja-24h'!K33,'17.08 Buwenge-Jinja-24h'!K33,'18.08 Buwenge-Jinja'!K33)</f>
        <v>0</v>
      </c>
      <c r="L33" s="49">
        <f>AVERAGE('12.08 Buwenge-Jinja'!L33,'13.08 Buwenge-Jinja'!L33,'14.08 Buwenge-Jinja'!L33,'15.08 Buwenge-Jinja'!L33,'16.08 Buwenge-Jinja-24h'!L33,'17.08 Buwenge-Jinja-24h'!L33,'18.08 Buwenge-Jinja'!L33)</f>
        <v>0</v>
      </c>
      <c r="M33" s="49">
        <f>AVERAGE('12.08 Buwenge-Jinja'!M33,'13.08 Buwenge-Jinja'!M33,'14.08 Buwenge-Jinja'!M33,'15.08 Buwenge-Jinja'!M33,'16.08 Buwenge-Jinja-24h'!M33,'17.08 Buwenge-Jinja-24h'!M33,'18.08 Buwenge-Jinja'!M33)</f>
        <v>36.714285714285715</v>
      </c>
      <c r="N33" s="49">
        <f>AVERAGE('12.08 Buwenge-Jinja'!N33,'13.08 Buwenge-Jinja'!N33,'14.08 Buwenge-Jinja'!N33,'15.08 Buwenge-Jinja'!N33,'16.08 Buwenge-Jinja-24h'!N33,'17.08 Buwenge-Jinja-24h'!N33,'18.08 Buwenge-Jinja'!N33)</f>
        <v>0</v>
      </c>
      <c r="O33" s="15">
        <f t="shared" si="0"/>
        <v>19.000000000000004</v>
      </c>
      <c r="P33" s="15">
        <f t="shared" si="1"/>
        <v>55.714285714285722</v>
      </c>
      <c r="R33" s="1" t="s">
        <v>157</v>
      </c>
      <c r="S33" s="34">
        <f>SUM(C102:C105)</f>
        <v>3.5</v>
      </c>
      <c r="T33" s="34">
        <f t="shared" ref="T33:AF33" si="25">SUM(D102:D105)</f>
        <v>0.5</v>
      </c>
      <c r="U33" s="34">
        <f t="shared" si="25"/>
        <v>7.5</v>
      </c>
      <c r="V33" s="34">
        <f t="shared" si="25"/>
        <v>14</v>
      </c>
      <c r="W33" s="34">
        <f t="shared" si="25"/>
        <v>7.5</v>
      </c>
      <c r="X33" s="34">
        <f t="shared" si="25"/>
        <v>21</v>
      </c>
      <c r="Y33" s="34">
        <f t="shared" si="25"/>
        <v>3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56</v>
      </c>
      <c r="AD33" s="34">
        <f t="shared" si="25"/>
        <v>2</v>
      </c>
      <c r="AE33" s="31">
        <f t="shared" si="25"/>
        <v>60</v>
      </c>
      <c r="AF33" s="31">
        <f t="shared" si="25"/>
        <v>170.5</v>
      </c>
    </row>
    <row r="34" spans="2:32" ht="23.1" customHeight="1" x14ac:dyDescent="0.25">
      <c r="B34" s="24" t="s">
        <v>61</v>
      </c>
      <c r="C34" s="49">
        <f>AVERAGE('12.08 Buwenge-Jinja'!C34,'13.08 Buwenge-Jinja'!C34,'14.08 Buwenge-Jinja'!C34,'15.08 Buwenge-Jinja'!C34,'16.08 Buwenge-Jinja-24h'!C34,'17.08 Buwenge-Jinja-24h'!C34,'18.08 Buwenge-Jinja'!C34)</f>
        <v>3.7142857142857144</v>
      </c>
      <c r="D34" s="49">
        <f>AVERAGE('12.08 Buwenge-Jinja'!D34,'13.08 Buwenge-Jinja'!D34,'14.08 Buwenge-Jinja'!D34,'15.08 Buwenge-Jinja'!D34,'16.08 Buwenge-Jinja-24h'!D34,'17.08 Buwenge-Jinja-24h'!D34,'18.08 Buwenge-Jinja'!D34)</f>
        <v>0.2857142857142857</v>
      </c>
      <c r="E34" s="49">
        <f>AVERAGE('12.08 Buwenge-Jinja'!E34,'13.08 Buwenge-Jinja'!E34,'14.08 Buwenge-Jinja'!E34,'15.08 Buwenge-Jinja'!E34,'16.08 Buwenge-Jinja-24h'!E34,'17.08 Buwenge-Jinja-24h'!E34,'18.08 Buwenge-Jinja'!E34)</f>
        <v>2.2857142857142856</v>
      </c>
      <c r="F34" s="49">
        <f>AVERAGE('12.08 Buwenge-Jinja'!F34,'13.08 Buwenge-Jinja'!F34,'14.08 Buwenge-Jinja'!F34,'15.08 Buwenge-Jinja'!F34,'16.08 Buwenge-Jinja-24h'!F34,'17.08 Buwenge-Jinja-24h'!F34,'18.08 Buwenge-Jinja'!F34)</f>
        <v>9.8571428571428577</v>
      </c>
      <c r="G34" s="49">
        <f>AVERAGE('12.08 Buwenge-Jinja'!G34,'13.08 Buwenge-Jinja'!G34,'14.08 Buwenge-Jinja'!G34,'15.08 Buwenge-Jinja'!G34,'16.08 Buwenge-Jinja-24h'!G34,'17.08 Buwenge-Jinja-24h'!G34,'18.08 Buwenge-Jinja'!G34)</f>
        <v>0.7142857142857143</v>
      </c>
      <c r="H34" s="49">
        <f>AVERAGE('12.08 Buwenge-Jinja'!H34,'13.08 Buwenge-Jinja'!H34,'14.08 Buwenge-Jinja'!H34,'15.08 Buwenge-Jinja'!H34,'16.08 Buwenge-Jinja-24h'!H34,'17.08 Buwenge-Jinja-24h'!H34,'18.08 Buwenge-Jinja'!H34)</f>
        <v>0</v>
      </c>
      <c r="I34" s="49">
        <f>AVERAGE('12.08 Buwenge-Jinja'!I34,'13.08 Buwenge-Jinja'!I34,'14.08 Buwenge-Jinja'!I34,'15.08 Buwenge-Jinja'!I34,'16.08 Buwenge-Jinja-24h'!I34,'17.08 Buwenge-Jinja-24h'!I34,'18.08 Buwenge-Jinja'!I34)</f>
        <v>2.2857142857142856</v>
      </c>
      <c r="J34" s="49">
        <f>AVERAGE('12.08 Buwenge-Jinja'!J34,'13.08 Buwenge-Jinja'!J34,'14.08 Buwenge-Jinja'!J34,'15.08 Buwenge-Jinja'!J34,'16.08 Buwenge-Jinja-24h'!J34,'17.08 Buwenge-Jinja-24h'!J34,'18.08 Buwenge-Jinja'!J34)</f>
        <v>0.2857142857142857</v>
      </c>
      <c r="K34" s="49">
        <f>AVERAGE('12.08 Buwenge-Jinja'!K34,'13.08 Buwenge-Jinja'!K34,'14.08 Buwenge-Jinja'!K34,'15.08 Buwenge-Jinja'!K34,'16.08 Buwenge-Jinja-24h'!K34,'17.08 Buwenge-Jinja-24h'!K34,'18.08 Buwenge-Jinja'!K34)</f>
        <v>0</v>
      </c>
      <c r="L34" s="49">
        <f>AVERAGE('12.08 Buwenge-Jinja'!L34,'13.08 Buwenge-Jinja'!L34,'14.08 Buwenge-Jinja'!L34,'15.08 Buwenge-Jinja'!L34,'16.08 Buwenge-Jinja-24h'!L34,'17.08 Buwenge-Jinja-24h'!L34,'18.08 Buwenge-Jinja'!L34)</f>
        <v>0</v>
      </c>
      <c r="M34" s="49">
        <f>AVERAGE('12.08 Buwenge-Jinja'!M34,'13.08 Buwenge-Jinja'!M34,'14.08 Buwenge-Jinja'!M34,'15.08 Buwenge-Jinja'!M34,'16.08 Buwenge-Jinja-24h'!M34,'17.08 Buwenge-Jinja-24h'!M34,'18.08 Buwenge-Jinja'!M34)</f>
        <v>35.428571428571431</v>
      </c>
      <c r="N34" s="49">
        <f>AVERAGE('12.08 Buwenge-Jinja'!N34,'13.08 Buwenge-Jinja'!N34,'14.08 Buwenge-Jinja'!N34,'15.08 Buwenge-Jinja'!N34,'16.08 Buwenge-Jinja-24h'!N34,'17.08 Buwenge-Jinja-24h'!N34,'18.08 Buwenge-Jinja'!N34)</f>
        <v>0</v>
      </c>
      <c r="O34" s="15">
        <f t="shared" si="0"/>
        <v>19.428571428571427</v>
      </c>
      <c r="P34" s="15">
        <f t="shared" si="1"/>
        <v>54.857142857142861</v>
      </c>
      <c r="R34" s="38" t="s">
        <v>90</v>
      </c>
      <c r="S34" s="39">
        <f t="shared" ref="S34:AF34" si="26">MAX(S10:S12)</f>
        <v>19.571428571428573</v>
      </c>
      <c r="T34" s="39">
        <f t="shared" si="26"/>
        <v>1.9999999999999998</v>
      </c>
      <c r="U34" s="39">
        <f t="shared" si="26"/>
        <v>9.7142857142857153</v>
      </c>
      <c r="V34" s="39">
        <f t="shared" si="26"/>
        <v>45.285714285714292</v>
      </c>
      <c r="W34" s="39">
        <f t="shared" si="26"/>
        <v>15.428571428571429</v>
      </c>
      <c r="X34" s="39">
        <f t="shared" si="26"/>
        <v>1.1428571428571428</v>
      </c>
      <c r="Y34" s="39">
        <f t="shared" si="26"/>
        <v>10.142857142857142</v>
      </c>
      <c r="Z34" s="39">
        <f t="shared" si="26"/>
        <v>1.1428571428571428</v>
      </c>
      <c r="AA34" s="39">
        <f t="shared" si="26"/>
        <v>0.14285714285714285</v>
      </c>
      <c r="AB34" s="39">
        <f t="shared" si="26"/>
        <v>0</v>
      </c>
      <c r="AC34" s="39">
        <f t="shared" si="26"/>
        <v>201.14285714285717</v>
      </c>
      <c r="AD34" s="39">
        <f t="shared" si="26"/>
        <v>0.14285714285714285</v>
      </c>
      <c r="AE34" s="31">
        <f t="shared" si="26"/>
        <v>87.428571428571445</v>
      </c>
      <c r="AF34" s="31">
        <f t="shared" si="26"/>
        <v>284.85714285714289</v>
      </c>
    </row>
    <row r="35" spans="2:32" ht="23.1" customHeight="1" x14ac:dyDescent="0.25">
      <c r="B35" s="24" t="s">
        <v>62</v>
      </c>
      <c r="C35" s="49">
        <f>AVERAGE('12.08 Buwenge-Jinja'!C35,'13.08 Buwenge-Jinja'!C35,'14.08 Buwenge-Jinja'!C35,'15.08 Buwenge-Jinja'!C35,'16.08 Buwenge-Jinja-24h'!C35,'17.08 Buwenge-Jinja-24h'!C35,'18.08 Buwenge-Jinja'!C35)</f>
        <v>4.4285714285714288</v>
      </c>
      <c r="D35" s="49">
        <f>AVERAGE('12.08 Buwenge-Jinja'!D35,'13.08 Buwenge-Jinja'!D35,'14.08 Buwenge-Jinja'!D35,'15.08 Buwenge-Jinja'!D35,'16.08 Buwenge-Jinja-24h'!D35,'17.08 Buwenge-Jinja-24h'!D35,'18.08 Buwenge-Jinja'!D35)</f>
        <v>1.1428571428571428</v>
      </c>
      <c r="E35" s="49">
        <f>AVERAGE('12.08 Buwenge-Jinja'!E35,'13.08 Buwenge-Jinja'!E35,'14.08 Buwenge-Jinja'!E35,'15.08 Buwenge-Jinja'!E35,'16.08 Buwenge-Jinja-24h'!E35,'17.08 Buwenge-Jinja-24h'!E35,'18.08 Buwenge-Jinja'!E35)</f>
        <v>3.4285714285714284</v>
      </c>
      <c r="F35" s="49">
        <f>AVERAGE('12.08 Buwenge-Jinja'!F35,'13.08 Buwenge-Jinja'!F35,'14.08 Buwenge-Jinja'!F35,'15.08 Buwenge-Jinja'!F35,'16.08 Buwenge-Jinja-24h'!F35,'17.08 Buwenge-Jinja-24h'!F35,'18.08 Buwenge-Jinja'!F35)</f>
        <v>8.8571428571428577</v>
      </c>
      <c r="G35" s="49">
        <f>AVERAGE('12.08 Buwenge-Jinja'!G35,'13.08 Buwenge-Jinja'!G35,'14.08 Buwenge-Jinja'!G35,'15.08 Buwenge-Jinja'!G35,'16.08 Buwenge-Jinja-24h'!G35,'17.08 Buwenge-Jinja-24h'!G35,'18.08 Buwenge-Jinja'!G35)</f>
        <v>0.7142857142857143</v>
      </c>
      <c r="H35" s="49">
        <f>AVERAGE('12.08 Buwenge-Jinja'!H35,'13.08 Buwenge-Jinja'!H35,'14.08 Buwenge-Jinja'!H35,'15.08 Buwenge-Jinja'!H35,'16.08 Buwenge-Jinja-24h'!H35,'17.08 Buwenge-Jinja-24h'!H35,'18.08 Buwenge-Jinja'!H35)</f>
        <v>0</v>
      </c>
      <c r="I35" s="49">
        <f>AVERAGE('12.08 Buwenge-Jinja'!I35,'13.08 Buwenge-Jinja'!I35,'14.08 Buwenge-Jinja'!I35,'15.08 Buwenge-Jinja'!I35,'16.08 Buwenge-Jinja-24h'!I35,'17.08 Buwenge-Jinja-24h'!I35,'18.08 Buwenge-Jinja'!I35)</f>
        <v>2.4285714285714284</v>
      </c>
      <c r="J35" s="49">
        <f>AVERAGE('12.08 Buwenge-Jinja'!J35,'13.08 Buwenge-Jinja'!J35,'14.08 Buwenge-Jinja'!J35,'15.08 Buwenge-Jinja'!J35,'16.08 Buwenge-Jinja-24h'!J35,'17.08 Buwenge-Jinja-24h'!J35,'18.08 Buwenge-Jinja'!J35)</f>
        <v>0.42857142857142855</v>
      </c>
      <c r="K35" s="49">
        <f>AVERAGE('12.08 Buwenge-Jinja'!K35,'13.08 Buwenge-Jinja'!K35,'14.08 Buwenge-Jinja'!K35,'15.08 Buwenge-Jinja'!K35,'16.08 Buwenge-Jinja-24h'!K35,'17.08 Buwenge-Jinja-24h'!K35,'18.08 Buwenge-Jinja'!K35)</f>
        <v>0</v>
      </c>
      <c r="L35" s="49">
        <f>AVERAGE('12.08 Buwenge-Jinja'!L35,'13.08 Buwenge-Jinja'!L35,'14.08 Buwenge-Jinja'!L35,'15.08 Buwenge-Jinja'!L35,'16.08 Buwenge-Jinja-24h'!L35,'17.08 Buwenge-Jinja-24h'!L35,'18.08 Buwenge-Jinja'!L35)</f>
        <v>0</v>
      </c>
      <c r="M35" s="49">
        <f>AVERAGE('12.08 Buwenge-Jinja'!M35,'13.08 Buwenge-Jinja'!M35,'14.08 Buwenge-Jinja'!M35,'15.08 Buwenge-Jinja'!M35,'16.08 Buwenge-Jinja-24h'!M35,'17.08 Buwenge-Jinja-24h'!M35,'18.08 Buwenge-Jinja'!M35)</f>
        <v>31.571428571428573</v>
      </c>
      <c r="N35" s="49">
        <f>AVERAGE('12.08 Buwenge-Jinja'!N35,'13.08 Buwenge-Jinja'!N35,'14.08 Buwenge-Jinja'!N35,'15.08 Buwenge-Jinja'!N35,'16.08 Buwenge-Jinja-24h'!N35,'17.08 Buwenge-Jinja-24h'!N35,'18.08 Buwenge-Jinja'!N35)</f>
        <v>0</v>
      </c>
      <c r="O35" s="15">
        <f t="shared" si="0"/>
        <v>21.428571428571427</v>
      </c>
      <c r="P35" s="15">
        <f t="shared" si="1"/>
        <v>53</v>
      </c>
      <c r="R35" s="38" t="s">
        <v>91</v>
      </c>
      <c r="S35" s="39">
        <f t="shared" ref="S35:AF35" si="27">MAX(S13:S18)</f>
        <v>21.285714285714285</v>
      </c>
      <c r="T35" s="39">
        <f t="shared" si="27"/>
        <v>9.2857142857142847</v>
      </c>
      <c r="U35" s="39">
        <f t="shared" si="27"/>
        <v>20.714285714285715</v>
      </c>
      <c r="V35" s="39">
        <f t="shared" si="27"/>
        <v>47.428571428571431</v>
      </c>
      <c r="W35" s="39">
        <f t="shared" si="27"/>
        <v>4.2857142857142856</v>
      </c>
      <c r="X35" s="39">
        <f t="shared" si="27"/>
        <v>0.71428571428571419</v>
      </c>
      <c r="Y35" s="39">
        <f t="shared" si="27"/>
        <v>16.142857142857142</v>
      </c>
      <c r="Z35" s="39">
        <f t="shared" si="27"/>
        <v>1.7142857142857142</v>
      </c>
      <c r="AA35" s="39">
        <f t="shared" si="27"/>
        <v>0.42857142857142855</v>
      </c>
      <c r="AB35" s="39">
        <f t="shared" si="27"/>
        <v>0</v>
      </c>
      <c r="AC35" s="39">
        <f t="shared" si="27"/>
        <v>166.71428571428569</v>
      </c>
      <c r="AD35" s="39">
        <f t="shared" si="27"/>
        <v>0.2857142857142857</v>
      </c>
      <c r="AE35" s="40">
        <f t="shared" si="27"/>
        <v>120.57142857142857</v>
      </c>
      <c r="AF35" s="40">
        <f t="shared" si="27"/>
        <v>248.42857142857142</v>
      </c>
    </row>
    <row r="36" spans="2:32" ht="23.1" customHeight="1" x14ac:dyDescent="0.25">
      <c r="B36" s="24" t="s">
        <v>63</v>
      </c>
      <c r="C36" s="49">
        <f>AVERAGE('12.08 Buwenge-Jinja'!C36,'13.08 Buwenge-Jinja'!C36,'14.08 Buwenge-Jinja'!C36,'15.08 Buwenge-Jinja'!C36,'16.08 Buwenge-Jinja-24h'!C36,'17.08 Buwenge-Jinja-24h'!C36,'18.08 Buwenge-Jinja'!C36)</f>
        <v>5</v>
      </c>
      <c r="D36" s="49">
        <f>AVERAGE('12.08 Buwenge-Jinja'!D36,'13.08 Buwenge-Jinja'!D36,'14.08 Buwenge-Jinja'!D36,'15.08 Buwenge-Jinja'!D36,'16.08 Buwenge-Jinja-24h'!D36,'17.08 Buwenge-Jinja-24h'!D36,'18.08 Buwenge-Jinja'!D36)</f>
        <v>1.2857142857142858</v>
      </c>
      <c r="E36" s="49">
        <f>AVERAGE('12.08 Buwenge-Jinja'!E36,'13.08 Buwenge-Jinja'!E36,'14.08 Buwenge-Jinja'!E36,'15.08 Buwenge-Jinja'!E36,'16.08 Buwenge-Jinja-24h'!E36,'17.08 Buwenge-Jinja-24h'!E36,'18.08 Buwenge-Jinja'!E36)</f>
        <v>3.4285714285714284</v>
      </c>
      <c r="F36" s="49">
        <f>AVERAGE('12.08 Buwenge-Jinja'!F36,'13.08 Buwenge-Jinja'!F36,'14.08 Buwenge-Jinja'!F36,'15.08 Buwenge-Jinja'!F36,'16.08 Buwenge-Jinja-24h'!F36,'17.08 Buwenge-Jinja-24h'!F36,'18.08 Buwenge-Jinja'!F36)</f>
        <v>14.714285714285714</v>
      </c>
      <c r="G36" s="49">
        <f>AVERAGE('12.08 Buwenge-Jinja'!G36,'13.08 Buwenge-Jinja'!G36,'14.08 Buwenge-Jinja'!G36,'15.08 Buwenge-Jinja'!G36,'16.08 Buwenge-Jinja-24h'!G36,'17.08 Buwenge-Jinja-24h'!G36,'18.08 Buwenge-Jinja'!G36)</f>
        <v>0.42857142857142855</v>
      </c>
      <c r="H36" s="49">
        <f>AVERAGE('12.08 Buwenge-Jinja'!H36,'13.08 Buwenge-Jinja'!H36,'14.08 Buwenge-Jinja'!H36,'15.08 Buwenge-Jinja'!H36,'16.08 Buwenge-Jinja-24h'!H36,'17.08 Buwenge-Jinja-24h'!H36,'18.08 Buwenge-Jinja'!H36)</f>
        <v>0</v>
      </c>
      <c r="I36" s="49">
        <f>AVERAGE('12.08 Buwenge-Jinja'!I36,'13.08 Buwenge-Jinja'!I36,'14.08 Buwenge-Jinja'!I36,'15.08 Buwenge-Jinja'!I36,'16.08 Buwenge-Jinja-24h'!I36,'17.08 Buwenge-Jinja-24h'!I36,'18.08 Buwenge-Jinja'!I36)</f>
        <v>2</v>
      </c>
      <c r="J36" s="49">
        <f>AVERAGE('12.08 Buwenge-Jinja'!J36,'13.08 Buwenge-Jinja'!J36,'14.08 Buwenge-Jinja'!J36,'15.08 Buwenge-Jinja'!J36,'16.08 Buwenge-Jinja-24h'!J36,'17.08 Buwenge-Jinja-24h'!J36,'18.08 Buwenge-Jinja'!J36)</f>
        <v>0.2857142857142857</v>
      </c>
      <c r="K36" s="49">
        <f>AVERAGE('12.08 Buwenge-Jinja'!K36,'13.08 Buwenge-Jinja'!K36,'14.08 Buwenge-Jinja'!K36,'15.08 Buwenge-Jinja'!K36,'16.08 Buwenge-Jinja-24h'!K36,'17.08 Buwenge-Jinja-24h'!K36,'18.08 Buwenge-Jinja'!K36)</f>
        <v>0.14285714285714285</v>
      </c>
      <c r="L36" s="49">
        <f>AVERAGE('12.08 Buwenge-Jinja'!L36,'13.08 Buwenge-Jinja'!L36,'14.08 Buwenge-Jinja'!L36,'15.08 Buwenge-Jinja'!L36,'16.08 Buwenge-Jinja-24h'!L36,'17.08 Buwenge-Jinja-24h'!L36,'18.08 Buwenge-Jinja'!L36)</f>
        <v>0</v>
      </c>
      <c r="M36" s="49">
        <f>AVERAGE('12.08 Buwenge-Jinja'!M36,'13.08 Buwenge-Jinja'!M36,'14.08 Buwenge-Jinja'!M36,'15.08 Buwenge-Jinja'!M36,'16.08 Buwenge-Jinja-24h'!M36,'17.08 Buwenge-Jinja-24h'!M36,'18.08 Buwenge-Jinja'!M36)</f>
        <v>35.285714285714285</v>
      </c>
      <c r="N36" s="49">
        <f>AVERAGE('12.08 Buwenge-Jinja'!N36,'13.08 Buwenge-Jinja'!N36,'14.08 Buwenge-Jinja'!N36,'15.08 Buwenge-Jinja'!N36,'16.08 Buwenge-Jinja-24h'!N36,'17.08 Buwenge-Jinja-24h'!N36,'18.08 Buwenge-Jinja'!N36)</f>
        <v>0</v>
      </c>
      <c r="O36" s="15">
        <f t="shared" si="0"/>
        <v>27.285714285714281</v>
      </c>
      <c r="P36" s="15">
        <f t="shared" si="1"/>
        <v>62.571428571428569</v>
      </c>
      <c r="R36" s="38" t="s">
        <v>92</v>
      </c>
      <c r="S36" s="39">
        <f t="shared" ref="S36:AF36" si="28">MAX(S19:S21)</f>
        <v>38.428571428571431</v>
      </c>
      <c r="T36" s="39">
        <f t="shared" si="28"/>
        <v>10.857142857142856</v>
      </c>
      <c r="U36" s="39">
        <f t="shared" si="28"/>
        <v>26.142857142857146</v>
      </c>
      <c r="V36" s="39">
        <f t="shared" si="28"/>
        <v>55.714285714285715</v>
      </c>
      <c r="W36" s="39">
        <f t="shared" si="28"/>
        <v>14.428571428571429</v>
      </c>
      <c r="X36" s="39">
        <f t="shared" si="28"/>
        <v>0.2857142857142857</v>
      </c>
      <c r="Y36" s="39">
        <f t="shared" si="28"/>
        <v>16.142857142857142</v>
      </c>
      <c r="Z36" s="39">
        <f t="shared" si="28"/>
        <v>3</v>
      </c>
      <c r="AA36" s="39">
        <f t="shared" si="28"/>
        <v>0.5714285714285714</v>
      </c>
      <c r="AB36" s="39">
        <f t="shared" si="28"/>
        <v>0</v>
      </c>
      <c r="AC36" s="39">
        <f t="shared" si="28"/>
        <v>176.85714285714286</v>
      </c>
      <c r="AD36" s="39">
        <f t="shared" si="28"/>
        <v>0.14285714285714285</v>
      </c>
      <c r="AE36" s="40">
        <f t="shared" si="28"/>
        <v>157.28571428571428</v>
      </c>
      <c r="AF36" s="40">
        <f t="shared" si="28"/>
        <v>334.14285714285711</v>
      </c>
    </row>
    <row r="37" spans="2:32" ht="23.1" customHeight="1" x14ac:dyDescent="0.25">
      <c r="B37" s="23" t="s">
        <v>64</v>
      </c>
      <c r="C37" s="49">
        <f>AVERAGE('12.08 Buwenge-Jinja'!C37,'13.08 Buwenge-Jinja'!C37,'14.08 Buwenge-Jinja'!C37,'15.08 Buwenge-Jinja'!C37,'16.08 Buwenge-Jinja-24h'!C37,'17.08 Buwenge-Jinja-24h'!C37,'18.08 Buwenge-Jinja'!C37)</f>
        <v>4.5714285714285712</v>
      </c>
      <c r="D37" s="49">
        <f>AVERAGE('12.08 Buwenge-Jinja'!D37,'13.08 Buwenge-Jinja'!D37,'14.08 Buwenge-Jinja'!D37,'15.08 Buwenge-Jinja'!D37,'16.08 Buwenge-Jinja-24h'!D37,'17.08 Buwenge-Jinja-24h'!D37,'18.08 Buwenge-Jinja'!D37)</f>
        <v>1.1428571428571428</v>
      </c>
      <c r="E37" s="49">
        <f>AVERAGE('12.08 Buwenge-Jinja'!E37,'13.08 Buwenge-Jinja'!E37,'14.08 Buwenge-Jinja'!E37,'15.08 Buwenge-Jinja'!E37,'16.08 Buwenge-Jinja-24h'!E37,'17.08 Buwenge-Jinja-24h'!E37,'18.08 Buwenge-Jinja'!E37)</f>
        <v>3</v>
      </c>
      <c r="F37" s="49">
        <f>AVERAGE('12.08 Buwenge-Jinja'!F37,'13.08 Buwenge-Jinja'!F37,'14.08 Buwenge-Jinja'!F37,'15.08 Buwenge-Jinja'!F37,'16.08 Buwenge-Jinja-24h'!F37,'17.08 Buwenge-Jinja-24h'!F37,'18.08 Buwenge-Jinja'!F37)</f>
        <v>8.2857142857142865</v>
      </c>
      <c r="G37" s="49">
        <f>AVERAGE('12.08 Buwenge-Jinja'!G37,'13.08 Buwenge-Jinja'!G37,'14.08 Buwenge-Jinja'!G37,'15.08 Buwenge-Jinja'!G37,'16.08 Buwenge-Jinja-24h'!G37,'17.08 Buwenge-Jinja-24h'!G37,'18.08 Buwenge-Jinja'!G37)</f>
        <v>1.4285714285714286</v>
      </c>
      <c r="H37" s="49">
        <f>AVERAGE('12.08 Buwenge-Jinja'!H37,'13.08 Buwenge-Jinja'!H37,'14.08 Buwenge-Jinja'!H37,'15.08 Buwenge-Jinja'!H37,'16.08 Buwenge-Jinja-24h'!H37,'17.08 Buwenge-Jinja-24h'!H37,'18.08 Buwenge-Jinja'!H37)</f>
        <v>0</v>
      </c>
      <c r="I37" s="49">
        <f>AVERAGE('12.08 Buwenge-Jinja'!I37,'13.08 Buwenge-Jinja'!I37,'14.08 Buwenge-Jinja'!I37,'15.08 Buwenge-Jinja'!I37,'16.08 Buwenge-Jinja-24h'!I37,'17.08 Buwenge-Jinja-24h'!I37,'18.08 Buwenge-Jinja'!I37)</f>
        <v>3.7142857142857144</v>
      </c>
      <c r="J37" s="49">
        <f>AVERAGE('12.08 Buwenge-Jinja'!J37,'13.08 Buwenge-Jinja'!J37,'14.08 Buwenge-Jinja'!J37,'15.08 Buwenge-Jinja'!J37,'16.08 Buwenge-Jinja-24h'!J37,'17.08 Buwenge-Jinja-24h'!J37,'18.08 Buwenge-Jinja'!J37)</f>
        <v>0.42857142857142855</v>
      </c>
      <c r="K37" s="49">
        <f>AVERAGE('12.08 Buwenge-Jinja'!K37,'13.08 Buwenge-Jinja'!K37,'14.08 Buwenge-Jinja'!K37,'15.08 Buwenge-Jinja'!K37,'16.08 Buwenge-Jinja-24h'!K37,'17.08 Buwenge-Jinja-24h'!K37,'18.08 Buwenge-Jinja'!K37)</f>
        <v>0</v>
      </c>
      <c r="L37" s="49">
        <f>AVERAGE('12.08 Buwenge-Jinja'!L37,'13.08 Buwenge-Jinja'!L37,'14.08 Buwenge-Jinja'!L37,'15.08 Buwenge-Jinja'!L37,'16.08 Buwenge-Jinja-24h'!L37,'17.08 Buwenge-Jinja-24h'!L37,'18.08 Buwenge-Jinja'!L37)</f>
        <v>0</v>
      </c>
      <c r="M37" s="49">
        <f>AVERAGE('12.08 Buwenge-Jinja'!M37,'13.08 Buwenge-Jinja'!M37,'14.08 Buwenge-Jinja'!M37,'15.08 Buwenge-Jinja'!M37,'16.08 Buwenge-Jinja-24h'!M37,'17.08 Buwenge-Jinja-24h'!M37,'18.08 Buwenge-Jinja'!M37)</f>
        <v>38.571428571428569</v>
      </c>
      <c r="N37" s="49">
        <f>AVERAGE('12.08 Buwenge-Jinja'!N37,'13.08 Buwenge-Jinja'!N37,'14.08 Buwenge-Jinja'!N37,'15.08 Buwenge-Jinja'!N37,'16.08 Buwenge-Jinja-24h'!N37,'17.08 Buwenge-Jinja-24h'!N37,'18.08 Buwenge-Jinja'!N37)</f>
        <v>0</v>
      </c>
      <c r="O37" s="15">
        <f t="shared" si="0"/>
        <v>22.571428571428569</v>
      </c>
      <c r="P37" s="15">
        <f t="shared" si="1"/>
        <v>61.142857142857139</v>
      </c>
      <c r="R37" s="37" t="s">
        <v>85</v>
      </c>
      <c r="S37" s="35">
        <f t="shared" ref="S37:AF37" si="29">SUM(S10:S12)</f>
        <v>48.714285714285722</v>
      </c>
      <c r="T37" s="16">
        <f t="shared" si="29"/>
        <v>4.7142857142857135</v>
      </c>
      <c r="U37" s="16">
        <f t="shared" si="29"/>
        <v>24.714285714285715</v>
      </c>
      <c r="V37" s="16">
        <f t="shared" si="29"/>
        <v>119.00000000000001</v>
      </c>
      <c r="W37" s="16">
        <f t="shared" si="29"/>
        <v>30.571428571428573</v>
      </c>
      <c r="X37" s="16">
        <f t="shared" si="29"/>
        <v>2.8571428571428568</v>
      </c>
      <c r="Y37" s="16">
        <f t="shared" si="29"/>
        <v>24.999999999999996</v>
      </c>
      <c r="Z37" s="16">
        <f t="shared" si="29"/>
        <v>2</v>
      </c>
      <c r="AA37" s="16">
        <f t="shared" si="29"/>
        <v>0.14285714285714285</v>
      </c>
      <c r="AB37" s="16">
        <f t="shared" si="29"/>
        <v>0</v>
      </c>
      <c r="AC37" s="16">
        <f t="shared" si="29"/>
        <v>579</v>
      </c>
      <c r="AD37" s="16">
        <f t="shared" si="29"/>
        <v>0.14285714285714285</v>
      </c>
      <c r="AE37" s="32">
        <f t="shared" si="29"/>
        <v>257.85714285714283</v>
      </c>
      <c r="AF37" s="32">
        <f t="shared" si="29"/>
        <v>836.85714285714289</v>
      </c>
    </row>
    <row r="38" spans="2:32" ht="23.1" customHeight="1" x14ac:dyDescent="0.25">
      <c r="B38" s="24" t="s">
        <v>65</v>
      </c>
      <c r="C38" s="49">
        <f>AVERAGE('12.08 Buwenge-Jinja'!C38,'13.08 Buwenge-Jinja'!C38,'14.08 Buwenge-Jinja'!C38,'15.08 Buwenge-Jinja'!C38,'16.08 Buwenge-Jinja-24h'!C38,'17.08 Buwenge-Jinja-24h'!C38,'18.08 Buwenge-Jinja'!C38)</f>
        <v>4.2857142857142856</v>
      </c>
      <c r="D38" s="49">
        <f>AVERAGE('12.08 Buwenge-Jinja'!D38,'13.08 Buwenge-Jinja'!D38,'14.08 Buwenge-Jinja'!D38,'15.08 Buwenge-Jinja'!D38,'16.08 Buwenge-Jinja-24h'!D38,'17.08 Buwenge-Jinja-24h'!D38,'18.08 Buwenge-Jinja'!D38)</f>
        <v>0.5714285714285714</v>
      </c>
      <c r="E38" s="49">
        <f>AVERAGE('12.08 Buwenge-Jinja'!E38,'13.08 Buwenge-Jinja'!E38,'14.08 Buwenge-Jinja'!E38,'15.08 Buwenge-Jinja'!E38,'16.08 Buwenge-Jinja-24h'!E38,'17.08 Buwenge-Jinja-24h'!E38,'18.08 Buwenge-Jinja'!E38)</f>
        <v>3</v>
      </c>
      <c r="F38" s="49">
        <f>AVERAGE('12.08 Buwenge-Jinja'!F38,'13.08 Buwenge-Jinja'!F38,'14.08 Buwenge-Jinja'!F38,'15.08 Buwenge-Jinja'!F38,'16.08 Buwenge-Jinja-24h'!F38,'17.08 Buwenge-Jinja-24h'!F38,'18.08 Buwenge-Jinja'!F38)</f>
        <v>8.7142857142857135</v>
      </c>
      <c r="G38" s="49">
        <f>AVERAGE('12.08 Buwenge-Jinja'!G38,'13.08 Buwenge-Jinja'!G38,'14.08 Buwenge-Jinja'!G38,'15.08 Buwenge-Jinja'!G38,'16.08 Buwenge-Jinja-24h'!G38,'17.08 Buwenge-Jinja-24h'!G38,'18.08 Buwenge-Jinja'!G38)</f>
        <v>1</v>
      </c>
      <c r="H38" s="49">
        <f>AVERAGE('12.08 Buwenge-Jinja'!H38,'13.08 Buwenge-Jinja'!H38,'14.08 Buwenge-Jinja'!H38,'15.08 Buwenge-Jinja'!H38,'16.08 Buwenge-Jinja-24h'!H38,'17.08 Buwenge-Jinja-24h'!H38,'18.08 Buwenge-Jinja'!H38)</f>
        <v>0</v>
      </c>
      <c r="I38" s="49">
        <f>AVERAGE('12.08 Buwenge-Jinja'!I38,'13.08 Buwenge-Jinja'!I38,'14.08 Buwenge-Jinja'!I38,'15.08 Buwenge-Jinja'!I38,'16.08 Buwenge-Jinja-24h'!I38,'17.08 Buwenge-Jinja-24h'!I38,'18.08 Buwenge-Jinja'!I38)</f>
        <v>3.4285714285714284</v>
      </c>
      <c r="J38" s="49">
        <f>AVERAGE('12.08 Buwenge-Jinja'!J38,'13.08 Buwenge-Jinja'!J38,'14.08 Buwenge-Jinja'!J38,'15.08 Buwenge-Jinja'!J38,'16.08 Buwenge-Jinja-24h'!J38,'17.08 Buwenge-Jinja-24h'!J38,'18.08 Buwenge-Jinja'!J38)</f>
        <v>0.7142857142857143</v>
      </c>
      <c r="K38" s="49">
        <f>AVERAGE('12.08 Buwenge-Jinja'!K38,'13.08 Buwenge-Jinja'!K38,'14.08 Buwenge-Jinja'!K38,'15.08 Buwenge-Jinja'!K38,'16.08 Buwenge-Jinja-24h'!K38,'17.08 Buwenge-Jinja-24h'!K38,'18.08 Buwenge-Jinja'!K38)</f>
        <v>0</v>
      </c>
      <c r="L38" s="49">
        <f>AVERAGE('12.08 Buwenge-Jinja'!L38,'13.08 Buwenge-Jinja'!L38,'14.08 Buwenge-Jinja'!L38,'15.08 Buwenge-Jinja'!L38,'16.08 Buwenge-Jinja-24h'!L38,'17.08 Buwenge-Jinja-24h'!L38,'18.08 Buwenge-Jinja'!L38)</f>
        <v>0</v>
      </c>
      <c r="M38" s="49">
        <f>AVERAGE('12.08 Buwenge-Jinja'!M38,'13.08 Buwenge-Jinja'!M38,'14.08 Buwenge-Jinja'!M38,'15.08 Buwenge-Jinja'!M38,'16.08 Buwenge-Jinja-24h'!M38,'17.08 Buwenge-Jinja-24h'!M38,'18.08 Buwenge-Jinja'!M38)</f>
        <v>37.714285714285715</v>
      </c>
      <c r="N38" s="49">
        <f>AVERAGE('12.08 Buwenge-Jinja'!N38,'13.08 Buwenge-Jinja'!N38,'14.08 Buwenge-Jinja'!N38,'15.08 Buwenge-Jinja'!N38,'16.08 Buwenge-Jinja-24h'!N38,'17.08 Buwenge-Jinja-24h'!N38,'18.08 Buwenge-Jinja'!N38)</f>
        <v>0.14285714285714285</v>
      </c>
      <c r="O38" s="15">
        <f t="shared" si="0"/>
        <v>21.857142857142854</v>
      </c>
      <c r="P38" s="15">
        <f t="shared" si="1"/>
        <v>59.571428571428577</v>
      </c>
      <c r="R38" s="28" t="s">
        <v>86</v>
      </c>
      <c r="S38" s="16">
        <f t="shared" ref="S38:AF38" si="30">SUM(S13:S18)</f>
        <v>115.71428571428571</v>
      </c>
      <c r="T38" s="16">
        <f t="shared" si="30"/>
        <v>25.428571428571427</v>
      </c>
      <c r="U38" s="16">
        <f t="shared" si="30"/>
        <v>79.857142857142861</v>
      </c>
      <c r="V38" s="16">
        <f t="shared" si="30"/>
        <v>247.42857142857144</v>
      </c>
      <c r="W38" s="16">
        <f t="shared" si="30"/>
        <v>15</v>
      </c>
      <c r="X38" s="16">
        <f t="shared" si="30"/>
        <v>0.99999999999999978</v>
      </c>
      <c r="Y38" s="16">
        <f t="shared" si="30"/>
        <v>67.571428571428569</v>
      </c>
      <c r="Z38" s="16">
        <f t="shared" si="30"/>
        <v>6.9999999999999991</v>
      </c>
      <c r="AA38" s="16">
        <f t="shared" si="30"/>
        <v>0.71428571428571419</v>
      </c>
      <c r="AB38" s="16">
        <f t="shared" si="30"/>
        <v>0</v>
      </c>
      <c r="AC38" s="16">
        <f t="shared" si="30"/>
        <v>859.71428571428555</v>
      </c>
      <c r="AD38" s="16">
        <f t="shared" si="30"/>
        <v>0.71428571428571419</v>
      </c>
      <c r="AE38" s="32">
        <f t="shared" si="30"/>
        <v>560.42857142857144</v>
      </c>
      <c r="AF38" s="32">
        <f t="shared" si="30"/>
        <v>1420.1428571428573</v>
      </c>
    </row>
    <row r="39" spans="2:32" ht="23.1" customHeight="1" x14ac:dyDescent="0.25">
      <c r="B39" s="24" t="s">
        <v>66</v>
      </c>
      <c r="C39" s="49">
        <f>AVERAGE('12.08 Buwenge-Jinja'!C39,'13.08 Buwenge-Jinja'!C39,'14.08 Buwenge-Jinja'!C39,'15.08 Buwenge-Jinja'!C39,'16.08 Buwenge-Jinja-24h'!C39,'17.08 Buwenge-Jinja-24h'!C39,'18.08 Buwenge-Jinja'!C39)</f>
        <v>5.4285714285714288</v>
      </c>
      <c r="D39" s="49">
        <f>AVERAGE('12.08 Buwenge-Jinja'!D39,'13.08 Buwenge-Jinja'!D39,'14.08 Buwenge-Jinja'!D39,'15.08 Buwenge-Jinja'!D39,'16.08 Buwenge-Jinja-24h'!D39,'17.08 Buwenge-Jinja-24h'!D39,'18.08 Buwenge-Jinja'!D39)</f>
        <v>1.5714285714285714</v>
      </c>
      <c r="E39" s="49">
        <f>AVERAGE('12.08 Buwenge-Jinja'!E39,'13.08 Buwenge-Jinja'!E39,'14.08 Buwenge-Jinja'!E39,'15.08 Buwenge-Jinja'!E39,'16.08 Buwenge-Jinja-24h'!E39,'17.08 Buwenge-Jinja-24h'!E39,'18.08 Buwenge-Jinja'!E39)</f>
        <v>3.5714285714285716</v>
      </c>
      <c r="F39" s="49">
        <f>AVERAGE('12.08 Buwenge-Jinja'!F39,'13.08 Buwenge-Jinja'!F39,'14.08 Buwenge-Jinja'!F39,'15.08 Buwenge-Jinja'!F39,'16.08 Buwenge-Jinja-24h'!F39,'17.08 Buwenge-Jinja-24h'!F39,'18.08 Buwenge-Jinja'!F39)</f>
        <v>11.428571428571429</v>
      </c>
      <c r="G39" s="49">
        <f>AVERAGE('12.08 Buwenge-Jinja'!G39,'13.08 Buwenge-Jinja'!G39,'14.08 Buwenge-Jinja'!G39,'15.08 Buwenge-Jinja'!G39,'16.08 Buwenge-Jinja-24h'!G39,'17.08 Buwenge-Jinja-24h'!G39,'18.08 Buwenge-Jinja'!G39)</f>
        <v>0.42857142857142855</v>
      </c>
      <c r="H39" s="49">
        <f>AVERAGE('12.08 Buwenge-Jinja'!H39,'13.08 Buwenge-Jinja'!H39,'14.08 Buwenge-Jinja'!H39,'15.08 Buwenge-Jinja'!H39,'16.08 Buwenge-Jinja-24h'!H39,'17.08 Buwenge-Jinja-24h'!H39,'18.08 Buwenge-Jinja'!H39)</f>
        <v>0</v>
      </c>
      <c r="I39" s="49">
        <f>AVERAGE('12.08 Buwenge-Jinja'!I39,'13.08 Buwenge-Jinja'!I39,'14.08 Buwenge-Jinja'!I39,'15.08 Buwenge-Jinja'!I39,'16.08 Buwenge-Jinja-24h'!I39,'17.08 Buwenge-Jinja-24h'!I39,'18.08 Buwenge-Jinja'!I39)</f>
        <v>2.4285714285714284</v>
      </c>
      <c r="J39" s="49">
        <f>AVERAGE('12.08 Buwenge-Jinja'!J39,'13.08 Buwenge-Jinja'!J39,'14.08 Buwenge-Jinja'!J39,'15.08 Buwenge-Jinja'!J39,'16.08 Buwenge-Jinja-24h'!J39,'17.08 Buwenge-Jinja-24h'!J39,'18.08 Buwenge-Jinja'!J39)</f>
        <v>0.2857142857142857</v>
      </c>
      <c r="K39" s="49">
        <f>AVERAGE('12.08 Buwenge-Jinja'!K39,'13.08 Buwenge-Jinja'!K39,'14.08 Buwenge-Jinja'!K39,'15.08 Buwenge-Jinja'!K39,'16.08 Buwenge-Jinja-24h'!K39,'17.08 Buwenge-Jinja-24h'!K39,'18.08 Buwenge-Jinja'!K39)</f>
        <v>0</v>
      </c>
      <c r="L39" s="49">
        <f>AVERAGE('12.08 Buwenge-Jinja'!L39,'13.08 Buwenge-Jinja'!L39,'14.08 Buwenge-Jinja'!L39,'15.08 Buwenge-Jinja'!L39,'16.08 Buwenge-Jinja-24h'!L39,'17.08 Buwenge-Jinja-24h'!L39,'18.08 Buwenge-Jinja'!L39)</f>
        <v>0</v>
      </c>
      <c r="M39" s="49">
        <f>AVERAGE('12.08 Buwenge-Jinja'!M39,'13.08 Buwenge-Jinja'!M39,'14.08 Buwenge-Jinja'!M39,'15.08 Buwenge-Jinja'!M39,'16.08 Buwenge-Jinja-24h'!M39,'17.08 Buwenge-Jinja-24h'!M39,'18.08 Buwenge-Jinja'!M39)</f>
        <v>36.428571428571431</v>
      </c>
      <c r="N39" s="49">
        <f>AVERAGE('12.08 Buwenge-Jinja'!N39,'13.08 Buwenge-Jinja'!N39,'14.08 Buwenge-Jinja'!N39,'15.08 Buwenge-Jinja'!N39,'16.08 Buwenge-Jinja-24h'!N39,'17.08 Buwenge-Jinja-24h'!N39,'18.08 Buwenge-Jinja'!N39)</f>
        <v>0</v>
      </c>
      <c r="O39" s="15">
        <f t="shared" si="0"/>
        <v>25.142857142857139</v>
      </c>
      <c r="P39" s="15">
        <f t="shared" si="1"/>
        <v>61.571428571428569</v>
      </c>
      <c r="R39" s="29" t="s">
        <v>87</v>
      </c>
      <c r="S39" s="16">
        <f t="shared" ref="S39:AF39" si="31">SUM(S19:S21)</f>
        <v>106.28571428571428</v>
      </c>
      <c r="T39" s="16">
        <f t="shared" si="31"/>
        <v>31</v>
      </c>
      <c r="U39" s="16">
        <f t="shared" si="31"/>
        <v>72.285714285714292</v>
      </c>
      <c r="V39" s="16">
        <f t="shared" si="31"/>
        <v>146.28571428571428</v>
      </c>
      <c r="W39" s="16">
        <f t="shared" si="31"/>
        <v>28.428571428571431</v>
      </c>
      <c r="X39" s="16">
        <f t="shared" si="31"/>
        <v>0.71428571428571419</v>
      </c>
      <c r="Y39" s="16">
        <f t="shared" si="31"/>
        <v>45.428571428571431</v>
      </c>
      <c r="Z39" s="16">
        <f t="shared" si="31"/>
        <v>4.5714285714285712</v>
      </c>
      <c r="AA39" s="16">
        <f t="shared" si="31"/>
        <v>1.4285714285714286</v>
      </c>
      <c r="AB39" s="16">
        <f t="shared" si="31"/>
        <v>0</v>
      </c>
      <c r="AC39" s="16">
        <f t="shared" si="31"/>
        <v>455.14285714285717</v>
      </c>
      <c r="AD39" s="16">
        <f t="shared" si="31"/>
        <v>0.14285714285714285</v>
      </c>
      <c r="AE39" s="32">
        <f t="shared" si="31"/>
        <v>436.57142857142856</v>
      </c>
      <c r="AF39" s="32">
        <f t="shared" si="31"/>
        <v>891.71428571428578</v>
      </c>
    </row>
    <row r="40" spans="2:32" ht="23.1" customHeight="1" x14ac:dyDescent="0.25">
      <c r="B40" s="24" t="s">
        <v>67</v>
      </c>
      <c r="C40" s="49">
        <f>AVERAGE('12.08 Buwenge-Jinja'!C40,'13.08 Buwenge-Jinja'!C40,'14.08 Buwenge-Jinja'!C40,'15.08 Buwenge-Jinja'!C40,'16.08 Buwenge-Jinja-24h'!C40,'17.08 Buwenge-Jinja-24h'!C40,'18.08 Buwenge-Jinja'!C40)</f>
        <v>4</v>
      </c>
      <c r="D40" s="49">
        <f>AVERAGE('12.08 Buwenge-Jinja'!D40,'13.08 Buwenge-Jinja'!D40,'14.08 Buwenge-Jinja'!D40,'15.08 Buwenge-Jinja'!D40,'16.08 Buwenge-Jinja-24h'!D40,'17.08 Buwenge-Jinja-24h'!D40,'18.08 Buwenge-Jinja'!D40)</f>
        <v>1.1428571428571428</v>
      </c>
      <c r="E40" s="49">
        <f>AVERAGE('12.08 Buwenge-Jinja'!E40,'13.08 Buwenge-Jinja'!E40,'14.08 Buwenge-Jinja'!E40,'15.08 Buwenge-Jinja'!E40,'16.08 Buwenge-Jinja-24h'!E40,'17.08 Buwenge-Jinja-24h'!E40,'18.08 Buwenge-Jinja'!E40)</f>
        <v>4</v>
      </c>
      <c r="F40" s="49">
        <f>AVERAGE('12.08 Buwenge-Jinja'!F40,'13.08 Buwenge-Jinja'!F40,'14.08 Buwenge-Jinja'!F40,'15.08 Buwenge-Jinja'!F40,'16.08 Buwenge-Jinja-24h'!F40,'17.08 Buwenge-Jinja-24h'!F40,'18.08 Buwenge-Jinja'!F40)</f>
        <v>10.714285714285714</v>
      </c>
      <c r="G40" s="49">
        <f>AVERAGE('12.08 Buwenge-Jinja'!G40,'13.08 Buwenge-Jinja'!G40,'14.08 Buwenge-Jinja'!G40,'15.08 Buwenge-Jinja'!G40,'16.08 Buwenge-Jinja-24h'!G40,'17.08 Buwenge-Jinja-24h'!G40,'18.08 Buwenge-Jinja'!G40)</f>
        <v>0.7142857142857143</v>
      </c>
      <c r="H40" s="49">
        <f>AVERAGE('12.08 Buwenge-Jinja'!H40,'13.08 Buwenge-Jinja'!H40,'14.08 Buwenge-Jinja'!H40,'15.08 Buwenge-Jinja'!H40,'16.08 Buwenge-Jinja-24h'!H40,'17.08 Buwenge-Jinja-24h'!H40,'18.08 Buwenge-Jinja'!H40)</f>
        <v>0</v>
      </c>
      <c r="I40" s="49">
        <f>AVERAGE('12.08 Buwenge-Jinja'!I40,'13.08 Buwenge-Jinja'!I40,'14.08 Buwenge-Jinja'!I40,'15.08 Buwenge-Jinja'!I40,'16.08 Buwenge-Jinja-24h'!I40,'17.08 Buwenge-Jinja-24h'!I40,'18.08 Buwenge-Jinja'!I40)</f>
        <v>2.8571428571428572</v>
      </c>
      <c r="J40" s="49">
        <f>AVERAGE('12.08 Buwenge-Jinja'!J40,'13.08 Buwenge-Jinja'!J40,'14.08 Buwenge-Jinja'!J40,'15.08 Buwenge-Jinja'!J40,'16.08 Buwenge-Jinja-24h'!J40,'17.08 Buwenge-Jinja-24h'!J40,'18.08 Buwenge-Jinja'!J40)</f>
        <v>0.2857142857142857</v>
      </c>
      <c r="K40" s="49">
        <f>AVERAGE('12.08 Buwenge-Jinja'!K40,'13.08 Buwenge-Jinja'!K40,'14.08 Buwenge-Jinja'!K40,'15.08 Buwenge-Jinja'!K40,'16.08 Buwenge-Jinja-24h'!K40,'17.08 Buwenge-Jinja-24h'!K40,'18.08 Buwenge-Jinja'!K40)</f>
        <v>0</v>
      </c>
      <c r="L40" s="49">
        <f>AVERAGE('12.08 Buwenge-Jinja'!L40,'13.08 Buwenge-Jinja'!L40,'14.08 Buwenge-Jinja'!L40,'15.08 Buwenge-Jinja'!L40,'16.08 Buwenge-Jinja-24h'!L40,'17.08 Buwenge-Jinja-24h'!L40,'18.08 Buwenge-Jinja'!L40)</f>
        <v>0</v>
      </c>
      <c r="M40" s="49">
        <f>AVERAGE('12.08 Buwenge-Jinja'!M40,'13.08 Buwenge-Jinja'!M40,'14.08 Buwenge-Jinja'!M40,'15.08 Buwenge-Jinja'!M40,'16.08 Buwenge-Jinja-24h'!M40,'17.08 Buwenge-Jinja-24h'!M40,'18.08 Buwenge-Jinja'!M40)</f>
        <v>38.428571428571431</v>
      </c>
      <c r="N40" s="49">
        <f>AVERAGE('12.08 Buwenge-Jinja'!N40,'13.08 Buwenge-Jinja'!N40,'14.08 Buwenge-Jinja'!N40,'15.08 Buwenge-Jinja'!N40,'16.08 Buwenge-Jinja-24h'!N40,'17.08 Buwenge-Jinja-24h'!N40,'18.08 Buwenge-Jinja'!N40)</f>
        <v>0</v>
      </c>
      <c r="O40" s="15">
        <f t="shared" si="0"/>
        <v>23.714285714285712</v>
      </c>
      <c r="P40" s="15">
        <f t="shared" si="1"/>
        <v>62.142857142857139</v>
      </c>
      <c r="R40" s="5" t="s">
        <v>17</v>
      </c>
      <c r="S40" s="16">
        <f t="shared" ref="S40:AF40" si="32">SUM(S10:S21)</f>
        <v>270.71428571428572</v>
      </c>
      <c r="T40" s="16">
        <f t="shared" si="32"/>
        <v>61.142857142857132</v>
      </c>
      <c r="U40" s="16">
        <f t="shared" si="32"/>
        <v>176.85714285714289</v>
      </c>
      <c r="V40" s="16">
        <f t="shared" si="32"/>
        <v>512.71428571428578</v>
      </c>
      <c r="W40" s="16">
        <f t="shared" si="32"/>
        <v>74</v>
      </c>
      <c r="X40" s="16">
        <f t="shared" si="32"/>
        <v>4.5714285714285703</v>
      </c>
      <c r="Y40" s="16">
        <f t="shared" si="32"/>
        <v>137.99999999999997</v>
      </c>
      <c r="Z40" s="16">
        <f t="shared" si="32"/>
        <v>13.571428571428571</v>
      </c>
      <c r="AA40" s="16">
        <f t="shared" si="32"/>
        <v>2.2857142857142856</v>
      </c>
      <c r="AB40" s="16">
        <f t="shared" si="32"/>
        <v>0</v>
      </c>
      <c r="AC40" s="16">
        <f t="shared" si="32"/>
        <v>1893.8571428571431</v>
      </c>
      <c r="AD40" s="16">
        <f t="shared" si="32"/>
        <v>0.99999999999999978</v>
      </c>
      <c r="AE40" s="32">
        <f t="shared" si="32"/>
        <v>1254.8571428571427</v>
      </c>
      <c r="AF40" s="32">
        <f t="shared" si="32"/>
        <v>3148.7142857142862</v>
      </c>
    </row>
    <row r="41" spans="2:32" ht="23.1" customHeight="1" x14ac:dyDescent="0.25">
      <c r="B41" s="23" t="s">
        <v>68</v>
      </c>
      <c r="C41" s="49">
        <f>AVERAGE('12.08 Buwenge-Jinja'!C41,'13.08 Buwenge-Jinja'!C41,'14.08 Buwenge-Jinja'!C41,'15.08 Buwenge-Jinja'!C41,'16.08 Buwenge-Jinja-24h'!C41,'17.08 Buwenge-Jinja-24h'!C41,'18.08 Buwenge-Jinja'!C41)</f>
        <v>3.8571428571428572</v>
      </c>
      <c r="D41" s="49">
        <f>AVERAGE('12.08 Buwenge-Jinja'!D41,'13.08 Buwenge-Jinja'!D41,'14.08 Buwenge-Jinja'!D41,'15.08 Buwenge-Jinja'!D41,'16.08 Buwenge-Jinja-24h'!D41,'17.08 Buwenge-Jinja-24h'!D41,'18.08 Buwenge-Jinja'!D41)</f>
        <v>1</v>
      </c>
      <c r="E41" s="49">
        <f>AVERAGE('12.08 Buwenge-Jinja'!E41,'13.08 Buwenge-Jinja'!E41,'14.08 Buwenge-Jinja'!E41,'15.08 Buwenge-Jinja'!E41,'16.08 Buwenge-Jinja-24h'!E41,'17.08 Buwenge-Jinja-24h'!E41,'18.08 Buwenge-Jinja'!E41)</f>
        <v>3.5714285714285716</v>
      </c>
      <c r="F41" s="49">
        <f>AVERAGE('12.08 Buwenge-Jinja'!F41,'13.08 Buwenge-Jinja'!F41,'14.08 Buwenge-Jinja'!F41,'15.08 Buwenge-Jinja'!F41,'16.08 Buwenge-Jinja-24h'!F41,'17.08 Buwenge-Jinja-24h'!F41,'18.08 Buwenge-Jinja'!F41)</f>
        <v>10.857142857142858</v>
      </c>
      <c r="G41" s="49">
        <f>AVERAGE('12.08 Buwenge-Jinja'!G41,'13.08 Buwenge-Jinja'!G41,'14.08 Buwenge-Jinja'!G41,'15.08 Buwenge-Jinja'!G41,'16.08 Buwenge-Jinja-24h'!G41,'17.08 Buwenge-Jinja-24h'!G41,'18.08 Buwenge-Jinja'!G41)</f>
        <v>0.8571428571428571</v>
      </c>
      <c r="H41" s="49">
        <f>AVERAGE('12.08 Buwenge-Jinja'!H41,'13.08 Buwenge-Jinja'!H41,'14.08 Buwenge-Jinja'!H41,'15.08 Buwenge-Jinja'!H41,'16.08 Buwenge-Jinja-24h'!H41,'17.08 Buwenge-Jinja-24h'!H41,'18.08 Buwenge-Jinja'!H41)</f>
        <v>0</v>
      </c>
      <c r="I41" s="49">
        <f>AVERAGE('12.08 Buwenge-Jinja'!I41,'13.08 Buwenge-Jinja'!I41,'14.08 Buwenge-Jinja'!I41,'15.08 Buwenge-Jinja'!I41,'16.08 Buwenge-Jinja-24h'!I41,'17.08 Buwenge-Jinja-24h'!I41,'18.08 Buwenge-Jinja'!I41)</f>
        <v>3</v>
      </c>
      <c r="J41" s="49">
        <f>AVERAGE('12.08 Buwenge-Jinja'!J41,'13.08 Buwenge-Jinja'!J41,'14.08 Buwenge-Jinja'!J41,'15.08 Buwenge-Jinja'!J41,'16.08 Buwenge-Jinja-24h'!J41,'17.08 Buwenge-Jinja-24h'!J41,'18.08 Buwenge-Jinja'!J41)</f>
        <v>0.14285714285714285</v>
      </c>
      <c r="K41" s="49">
        <f>AVERAGE('12.08 Buwenge-Jinja'!K41,'13.08 Buwenge-Jinja'!K41,'14.08 Buwenge-Jinja'!K41,'15.08 Buwenge-Jinja'!K41,'16.08 Buwenge-Jinja-24h'!K41,'17.08 Buwenge-Jinja-24h'!K41,'18.08 Buwenge-Jinja'!K41)</f>
        <v>0</v>
      </c>
      <c r="L41" s="49">
        <f>AVERAGE('12.08 Buwenge-Jinja'!L41,'13.08 Buwenge-Jinja'!L41,'14.08 Buwenge-Jinja'!L41,'15.08 Buwenge-Jinja'!L41,'16.08 Buwenge-Jinja-24h'!L41,'17.08 Buwenge-Jinja-24h'!L41,'18.08 Buwenge-Jinja'!L41)</f>
        <v>0</v>
      </c>
      <c r="M41" s="49">
        <f>AVERAGE('12.08 Buwenge-Jinja'!M41,'13.08 Buwenge-Jinja'!M41,'14.08 Buwenge-Jinja'!M41,'15.08 Buwenge-Jinja'!M41,'16.08 Buwenge-Jinja-24h'!M41,'17.08 Buwenge-Jinja-24h'!M41,'18.08 Buwenge-Jinja'!M41)</f>
        <v>31.714285714285715</v>
      </c>
      <c r="N41" s="49">
        <f>AVERAGE('12.08 Buwenge-Jinja'!N41,'13.08 Buwenge-Jinja'!N41,'14.08 Buwenge-Jinja'!N41,'15.08 Buwenge-Jinja'!N41,'16.08 Buwenge-Jinja-24h'!N41,'17.08 Buwenge-Jinja-24h'!N41,'18.08 Buwenge-Jinja'!N41)</f>
        <v>0</v>
      </c>
      <c r="O41" s="15">
        <f t="shared" si="0"/>
        <v>23.285714285714285</v>
      </c>
      <c r="P41" s="15">
        <f t="shared" si="1"/>
        <v>55</v>
      </c>
      <c r="R41" s="5" t="s">
        <v>174</v>
      </c>
      <c r="S41" s="16">
        <f>SUM(S10:S33)</f>
        <v>377.71428571428572</v>
      </c>
      <c r="T41" s="16">
        <f t="shared" ref="T41:AD41" si="33">SUM(T10:T33)</f>
        <v>75.642857142857139</v>
      </c>
      <c r="U41" s="16">
        <f t="shared" si="33"/>
        <v>260.85714285714289</v>
      </c>
      <c r="V41" s="16">
        <f t="shared" si="33"/>
        <v>600.21428571428578</v>
      </c>
      <c r="W41" s="16">
        <f t="shared" si="33"/>
        <v>99</v>
      </c>
      <c r="X41" s="16">
        <f t="shared" si="33"/>
        <v>231.57142857142856</v>
      </c>
      <c r="Y41" s="16">
        <f t="shared" si="33"/>
        <v>182.49999999999997</v>
      </c>
      <c r="Z41" s="16">
        <f t="shared" si="33"/>
        <v>19.071428571428569</v>
      </c>
      <c r="AA41" s="16">
        <f t="shared" si="33"/>
        <v>2.7857142857142856</v>
      </c>
      <c r="AB41" s="16">
        <f t="shared" si="33"/>
        <v>0</v>
      </c>
      <c r="AC41" s="16">
        <f t="shared" si="33"/>
        <v>2189.3571428571431</v>
      </c>
      <c r="AD41" s="16">
        <f t="shared" si="33"/>
        <v>9</v>
      </c>
      <c r="AE41" s="32">
        <f>SUM(AE10:AE33)</f>
        <v>1858.3571428571427</v>
      </c>
      <c r="AF41" s="32">
        <f>SUM(AF10:AF33)</f>
        <v>4486.7142857142862</v>
      </c>
    </row>
    <row r="42" spans="2:32" ht="23.1" customHeight="1" x14ac:dyDescent="0.25">
      <c r="B42" s="24" t="s">
        <v>69</v>
      </c>
      <c r="C42" s="49">
        <f>AVERAGE('12.08 Buwenge-Jinja'!C42,'13.08 Buwenge-Jinja'!C42,'14.08 Buwenge-Jinja'!C42,'15.08 Buwenge-Jinja'!C42,'16.08 Buwenge-Jinja-24h'!C42,'17.08 Buwenge-Jinja-24h'!C42,'18.08 Buwenge-Jinja'!C42)</f>
        <v>5.5714285714285712</v>
      </c>
      <c r="D42" s="49">
        <f>AVERAGE('12.08 Buwenge-Jinja'!D42,'13.08 Buwenge-Jinja'!D42,'14.08 Buwenge-Jinja'!D42,'15.08 Buwenge-Jinja'!D42,'16.08 Buwenge-Jinja-24h'!D42,'17.08 Buwenge-Jinja-24h'!D42,'18.08 Buwenge-Jinja'!D42)</f>
        <v>1.1428571428571428</v>
      </c>
      <c r="E42" s="49">
        <f>AVERAGE('12.08 Buwenge-Jinja'!E42,'13.08 Buwenge-Jinja'!E42,'14.08 Buwenge-Jinja'!E42,'15.08 Buwenge-Jinja'!E42,'16.08 Buwenge-Jinja-24h'!E42,'17.08 Buwenge-Jinja-24h'!E42,'18.08 Buwenge-Jinja'!E42)</f>
        <v>3.8571428571428572</v>
      </c>
      <c r="F42" s="49">
        <f>AVERAGE('12.08 Buwenge-Jinja'!F42,'13.08 Buwenge-Jinja'!F42,'14.08 Buwenge-Jinja'!F42,'15.08 Buwenge-Jinja'!F42,'16.08 Buwenge-Jinja-24h'!F42,'17.08 Buwenge-Jinja-24h'!F42,'18.08 Buwenge-Jinja'!F42)</f>
        <v>10.142857142857142</v>
      </c>
      <c r="G42" s="49">
        <f>AVERAGE('12.08 Buwenge-Jinja'!G42,'13.08 Buwenge-Jinja'!G42,'14.08 Buwenge-Jinja'!G42,'15.08 Buwenge-Jinja'!G42,'16.08 Buwenge-Jinja-24h'!G42,'17.08 Buwenge-Jinja-24h'!G42,'18.08 Buwenge-Jinja'!G42)</f>
        <v>0.7142857142857143</v>
      </c>
      <c r="H42" s="49">
        <f>AVERAGE('12.08 Buwenge-Jinja'!H42,'13.08 Buwenge-Jinja'!H42,'14.08 Buwenge-Jinja'!H42,'15.08 Buwenge-Jinja'!H42,'16.08 Buwenge-Jinja-24h'!H42,'17.08 Buwenge-Jinja-24h'!H42,'18.08 Buwenge-Jinja'!H42)</f>
        <v>0</v>
      </c>
      <c r="I42" s="49">
        <f>AVERAGE('12.08 Buwenge-Jinja'!I42,'13.08 Buwenge-Jinja'!I42,'14.08 Buwenge-Jinja'!I42,'15.08 Buwenge-Jinja'!I42,'16.08 Buwenge-Jinja-24h'!I42,'17.08 Buwenge-Jinja-24h'!I42,'18.08 Buwenge-Jinja'!I42)</f>
        <v>3.8571428571428572</v>
      </c>
      <c r="J42" s="49">
        <f>AVERAGE('12.08 Buwenge-Jinja'!J42,'13.08 Buwenge-Jinja'!J42,'14.08 Buwenge-Jinja'!J42,'15.08 Buwenge-Jinja'!J42,'16.08 Buwenge-Jinja-24h'!J42,'17.08 Buwenge-Jinja-24h'!J42,'18.08 Buwenge-Jinja'!J42)</f>
        <v>0.14285714285714285</v>
      </c>
      <c r="K42" s="49">
        <f>AVERAGE('12.08 Buwenge-Jinja'!K42,'13.08 Buwenge-Jinja'!K42,'14.08 Buwenge-Jinja'!K42,'15.08 Buwenge-Jinja'!K42,'16.08 Buwenge-Jinja-24h'!K42,'17.08 Buwenge-Jinja-24h'!K42,'18.08 Buwenge-Jinja'!K42)</f>
        <v>0</v>
      </c>
      <c r="L42" s="49">
        <f>AVERAGE('12.08 Buwenge-Jinja'!L42,'13.08 Buwenge-Jinja'!L42,'14.08 Buwenge-Jinja'!L42,'15.08 Buwenge-Jinja'!L42,'16.08 Buwenge-Jinja-24h'!L42,'17.08 Buwenge-Jinja-24h'!L42,'18.08 Buwenge-Jinja'!L42)</f>
        <v>0</v>
      </c>
      <c r="M42" s="49">
        <f>AVERAGE('12.08 Buwenge-Jinja'!M42,'13.08 Buwenge-Jinja'!M42,'14.08 Buwenge-Jinja'!M42,'15.08 Buwenge-Jinja'!M42,'16.08 Buwenge-Jinja-24h'!M42,'17.08 Buwenge-Jinja-24h'!M42,'18.08 Buwenge-Jinja'!M42)</f>
        <v>29.142857142857142</v>
      </c>
      <c r="N42" s="49">
        <f>AVERAGE('12.08 Buwenge-Jinja'!N42,'13.08 Buwenge-Jinja'!N42,'14.08 Buwenge-Jinja'!N42,'15.08 Buwenge-Jinja'!N42,'16.08 Buwenge-Jinja-24h'!N42,'17.08 Buwenge-Jinja-24h'!N42,'18.08 Buwenge-Jinja'!N42)</f>
        <v>0</v>
      </c>
      <c r="O42" s="15">
        <f t="shared" si="0"/>
        <v>25.428571428571431</v>
      </c>
      <c r="P42" s="15">
        <f t="shared" si="1"/>
        <v>54.571428571428569</v>
      </c>
      <c r="R42" s="5" t="s">
        <v>160</v>
      </c>
      <c r="S42" s="48">
        <f>S41/S40</f>
        <v>1.3952506596306069</v>
      </c>
      <c r="T42" s="48">
        <f t="shared" ref="T42:AF42" si="34">T41/T40</f>
        <v>1.2371495327102806</v>
      </c>
      <c r="U42" s="48">
        <f t="shared" si="34"/>
        <v>1.4749596122778674</v>
      </c>
      <c r="V42" s="48">
        <f t="shared" si="34"/>
        <v>1.1706603510727223</v>
      </c>
      <c r="W42" s="48">
        <f t="shared" si="34"/>
        <v>1.3378378378378379</v>
      </c>
      <c r="X42" s="48">
        <f t="shared" si="34"/>
        <v>50.656250000000007</v>
      </c>
      <c r="Y42" s="48">
        <f t="shared" si="34"/>
        <v>1.3224637681159421</v>
      </c>
      <c r="Z42" s="48">
        <f t="shared" si="34"/>
        <v>1.4052631578947368</v>
      </c>
      <c r="AA42" s="48">
        <f t="shared" si="34"/>
        <v>1.21875</v>
      </c>
      <c r="AB42" s="48" t="e">
        <f t="shared" si="34"/>
        <v>#DIV/0!</v>
      </c>
      <c r="AC42" s="48">
        <f t="shared" si="34"/>
        <v>1.156030776193709</v>
      </c>
      <c r="AD42" s="48">
        <f t="shared" si="34"/>
        <v>9.0000000000000018</v>
      </c>
      <c r="AE42" s="51">
        <f t="shared" si="34"/>
        <v>1.480931238615665</v>
      </c>
      <c r="AF42" s="51">
        <f t="shared" si="34"/>
        <v>1.4249353477609907</v>
      </c>
    </row>
    <row r="43" spans="2:32" ht="23.1" customHeight="1" x14ac:dyDescent="0.25">
      <c r="B43" s="23" t="s">
        <v>70</v>
      </c>
      <c r="C43" s="49">
        <f>AVERAGE('12.08 Buwenge-Jinja'!C43,'13.08 Buwenge-Jinja'!C43,'14.08 Buwenge-Jinja'!C43,'15.08 Buwenge-Jinja'!C43,'16.08 Buwenge-Jinja-24h'!C43,'17.08 Buwenge-Jinja-24h'!C43,'18.08 Buwenge-Jinja'!C43)</f>
        <v>5.1428571428571432</v>
      </c>
      <c r="D43" s="49">
        <f>AVERAGE('12.08 Buwenge-Jinja'!D43,'13.08 Buwenge-Jinja'!D43,'14.08 Buwenge-Jinja'!D43,'15.08 Buwenge-Jinja'!D43,'16.08 Buwenge-Jinja-24h'!D43,'17.08 Buwenge-Jinja-24h'!D43,'18.08 Buwenge-Jinja'!D43)</f>
        <v>1.4285714285714286</v>
      </c>
      <c r="E43" s="49">
        <f>AVERAGE('12.08 Buwenge-Jinja'!E43,'13.08 Buwenge-Jinja'!E43,'14.08 Buwenge-Jinja'!E43,'15.08 Buwenge-Jinja'!E43,'16.08 Buwenge-Jinja-24h'!E43,'17.08 Buwenge-Jinja-24h'!E43,'18.08 Buwenge-Jinja'!E43)</f>
        <v>4.1428571428571432</v>
      </c>
      <c r="F43" s="49">
        <f>AVERAGE('12.08 Buwenge-Jinja'!F43,'13.08 Buwenge-Jinja'!F43,'14.08 Buwenge-Jinja'!F43,'15.08 Buwenge-Jinja'!F43,'16.08 Buwenge-Jinja-24h'!F43,'17.08 Buwenge-Jinja-24h'!F43,'18.08 Buwenge-Jinja'!F43)</f>
        <v>14.714285714285714</v>
      </c>
      <c r="G43" s="49">
        <f>AVERAGE('12.08 Buwenge-Jinja'!G43,'13.08 Buwenge-Jinja'!G43,'14.08 Buwenge-Jinja'!G43,'15.08 Buwenge-Jinja'!G43,'16.08 Buwenge-Jinja-24h'!G43,'17.08 Buwenge-Jinja-24h'!G43,'18.08 Buwenge-Jinja'!G43)</f>
        <v>0.8571428571428571</v>
      </c>
      <c r="H43" s="49">
        <f>AVERAGE('12.08 Buwenge-Jinja'!H43,'13.08 Buwenge-Jinja'!H43,'14.08 Buwenge-Jinja'!H43,'15.08 Buwenge-Jinja'!H43,'16.08 Buwenge-Jinja-24h'!H43,'17.08 Buwenge-Jinja-24h'!H43,'18.08 Buwenge-Jinja'!H43)</f>
        <v>0</v>
      </c>
      <c r="I43" s="49">
        <f>AVERAGE('12.08 Buwenge-Jinja'!I43,'13.08 Buwenge-Jinja'!I43,'14.08 Buwenge-Jinja'!I43,'15.08 Buwenge-Jinja'!I43,'16.08 Buwenge-Jinja-24h'!I43,'17.08 Buwenge-Jinja-24h'!I43,'18.08 Buwenge-Jinja'!I43)</f>
        <v>3.4285714285714284</v>
      </c>
      <c r="J43" s="49">
        <f>AVERAGE('12.08 Buwenge-Jinja'!J43,'13.08 Buwenge-Jinja'!J43,'14.08 Buwenge-Jinja'!J43,'15.08 Buwenge-Jinja'!J43,'16.08 Buwenge-Jinja-24h'!J43,'17.08 Buwenge-Jinja-24h'!J43,'18.08 Buwenge-Jinja'!J43)</f>
        <v>0.2857142857142857</v>
      </c>
      <c r="K43" s="49">
        <f>AVERAGE('12.08 Buwenge-Jinja'!K43,'13.08 Buwenge-Jinja'!K43,'14.08 Buwenge-Jinja'!K43,'15.08 Buwenge-Jinja'!K43,'16.08 Buwenge-Jinja-24h'!K43,'17.08 Buwenge-Jinja-24h'!K43,'18.08 Buwenge-Jinja'!K43)</f>
        <v>0.14285714285714285</v>
      </c>
      <c r="L43" s="49">
        <f>AVERAGE('12.08 Buwenge-Jinja'!L43,'13.08 Buwenge-Jinja'!L43,'14.08 Buwenge-Jinja'!L43,'15.08 Buwenge-Jinja'!L43,'16.08 Buwenge-Jinja-24h'!L43,'17.08 Buwenge-Jinja-24h'!L43,'18.08 Buwenge-Jinja'!L43)</f>
        <v>0</v>
      </c>
      <c r="M43" s="49">
        <f>AVERAGE('12.08 Buwenge-Jinja'!M43,'13.08 Buwenge-Jinja'!M43,'14.08 Buwenge-Jinja'!M43,'15.08 Buwenge-Jinja'!M43,'16.08 Buwenge-Jinja-24h'!M43,'17.08 Buwenge-Jinja-24h'!M43,'18.08 Buwenge-Jinja'!M43)</f>
        <v>24.714285714285715</v>
      </c>
      <c r="N43" s="49">
        <f>AVERAGE('12.08 Buwenge-Jinja'!N43,'13.08 Buwenge-Jinja'!N43,'14.08 Buwenge-Jinja'!N43,'15.08 Buwenge-Jinja'!N43,'16.08 Buwenge-Jinja-24h'!N43,'17.08 Buwenge-Jinja-24h'!N43,'18.08 Buwenge-Jinja'!N43)</f>
        <v>0</v>
      </c>
      <c r="O43" s="15">
        <f t="shared" si="0"/>
        <v>30.142857142857142</v>
      </c>
      <c r="P43" s="15">
        <f t="shared" si="1"/>
        <v>54.857142857142861</v>
      </c>
    </row>
    <row r="44" spans="2:32" ht="23.1" customHeight="1" x14ac:dyDescent="0.25">
      <c r="B44" s="25" t="s">
        <v>71</v>
      </c>
      <c r="C44" s="49">
        <f>AVERAGE('12.08 Buwenge-Jinja'!C44,'13.08 Buwenge-Jinja'!C44,'14.08 Buwenge-Jinja'!C44,'15.08 Buwenge-Jinja'!C44,'16.08 Buwenge-Jinja-24h'!C44,'17.08 Buwenge-Jinja-24h'!C44,'18.08 Buwenge-Jinja'!C44)</f>
        <v>4.8571428571428568</v>
      </c>
      <c r="D44" s="49">
        <f>AVERAGE('12.08 Buwenge-Jinja'!D44,'13.08 Buwenge-Jinja'!D44,'14.08 Buwenge-Jinja'!D44,'15.08 Buwenge-Jinja'!D44,'16.08 Buwenge-Jinja-24h'!D44,'17.08 Buwenge-Jinja-24h'!D44,'18.08 Buwenge-Jinja'!D44)</f>
        <v>2.7142857142857144</v>
      </c>
      <c r="E44" s="49">
        <f>AVERAGE('12.08 Buwenge-Jinja'!E44,'13.08 Buwenge-Jinja'!E44,'14.08 Buwenge-Jinja'!E44,'15.08 Buwenge-Jinja'!E44,'16.08 Buwenge-Jinja-24h'!E44,'17.08 Buwenge-Jinja-24h'!E44,'18.08 Buwenge-Jinja'!E44)</f>
        <v>5.4285714285714288</v>
      </c>
      <c r="F44" s="49">
        <f>AVERAGE('12.08 Buwenge-Jinja'!F44,'13.08 Buwenge-Jinja'!F44,'14.08 Buwenge-Jinja'!F44,'15.08 Buwenge-Jinja'!F44,'16.08 Buwenge-Jinja-24h'!F44,'17.08 Buwenge-Jinja-24h'!F44,'18.08 Buwenge-Jinja'!F44)</f>
        <v>11.714285714285714</v>
      </c>
      <c r="G44" s="49">
        <f>AVERAGE('12.08 Buwenge-Jinja'!G44,'13.08 Buwenge-Jinja'!G44,'14.08 Buwenge-Jinja'!G44,'15.08 Buwenge-Jinja'!G44,'16.08 Buwenge-Jinja-24h'!G44,'17.08 Buwenge-Jinja-24h'!G44,'18.08 Buwenge-Jinja'!G44)</f>
        <v>1.4285714285714286</v>
      </c>
      <c r="H44" s="49">
        <f>AVERAGE('12.08 Buwenge-Jinja'!H44,'13.08 Buwenge-Jinja'!H44,'14.08 Buwenge-Jinja'!H44,'15.08 Buwenge-Jinja'!H44,'16.08 Buwenge-Jinja-24h'!H44,'17.08 Buwenge-Jinja-24h'!H44,'18.08 Buwenge-Jinja'!H44)</f>
        <v>0</v>
      </c>
      <c r="I44" s="49">
        <f>AVERAGE('12.08 Buwenge-Jinja'!I44,'13.08 Buwenge-Jinja'!I44,'14.08 Buwenge-Jinja'!I44,'15.08 Buwenge-Jinja'!I44,'16.08 Buwenge-Jinja-24h'!I44,'17.08 Buwenge-Jinja-24h'!I44,'18.08 Buwenge-Jinja'!I44)</f>
        <v>4.1428571428571432</v>
      </c>
      <c r="J44" s="49">
        <f>AVERAGE('12.08 Buwenge-Jinja'!J44,'13.08 Buwenge-Jinja'!J44,'14.08 Buwenge-Jinja'!J44,'15.08 Buwenge-Jinja'!J44,'16.08 Buwenge-Jinja-24h'!J44,'17.08 Buwenge-Jinja-24h'!J44,'18.08 Buwenge-Jinja'!J44)</f>
        <v>0.7142857142857143</v>
      </c>
      <c r="K44" s="49">
        <f>AVERAGE('12.08 Buwenge-Jinja'!K44,'13.08 Buwenge-Jinja'!K44,'14.08 Buwenge-Jinja'!K44,'15.08 Buwenge-Jinja'!K44,'16.08 Buwenge-Jinja-24h'!K44,'17.08 Buwenge-Jinja-24h'!K44,'18.08 Buwenge-Jinja'!K44)</f>
        <v>0.14285714285714285</v>
      </c>
      <c r="L44" s="49">
        <f>AVERAGE('12.08 Buwenge-Jinja'!L44,'13.08 Buwenge-Jinja'!L44,'14.08 Buwenge-Jinja'!L44,'15.08 Buwenge-Jinja'!L44,'16.08 Buwenge-Jinja-24h'!L44,'17.08 Buwenge-Jinja-24h'!L44,'18.08 Buwenge-Jinja'!L44)</f>
        <v>0</v>
      </c>
      <c r="M44" s="49">
        <f>AVERAGE('12.08 Buwenge-Jinja'!M44,'13.08 Buwenge-Jinja'!M44,'14.08 Buwenge-Jinja'!M44,'15.08 Buwenge-Jinja'!M44,'16.08 Buwenge-Jinja-24h'!M44,'17.08 Buwenge-Jinja-24h'!M44,'18.08 Buwenge-Jinja'!M44)</f>
        <v>24.142857142857142</v>
      </c>
      <c r="N44" s="49">
        <f>AVERAGE('12.08 Buwenge-Jinja'!N44,'13.08 Buwenge-Jinja'!N44,'14.08 Buwenge-Jinja'!N44,'15.08 Buwenge-Jinja'!N44,'16.08 Buwenge-Jinja-24h'!N44,'17.08 Buwenge-Jinja-24h'!N44,'18.08 Buwenge-Jinja'!N44)</f>
        <v>0</v>
      </c>
      <c r="O44" s="15">
        <f t="shared" si="0"/>
        <v>31.142857142857142</v>
      </c>
      <c r="P44" s="15">
        <f t="shared" si="1"/>
        <v>55.285714285714285</v>
      </c>
    </row>
    <row r="45" spans="2:32" ht="23.1" customHeight="1" x14ac:dyDescent="0.25">
      <c r="B45" s="23" t="s">
        <v>72</v>
      </c>
      <c r="C45" s="49">
        <f>AVERAGE('12.08 Buwenge-Jinja'!C45,'13.08 Buwenge-Jinja'!C45,'14.08 Buwenge-Jinja'!C45,'15.08 Buwenge-Jinja'!C45,'16.08 Buwenge-Jinja-24h'!C45,'17.08 Buwenge-Jinja-24h'!C45,'18.08 Buwenge-Jinja'!C45)</f>
        <v>5.2857142857142856</v>
      </c>
      <c r="D45" s="49">
        <f>AVERAGE('12.08 Buwenge-Jinja'!D45,'13.08 Buwenge-Jinja'!D45,'14.08 Buwenge-Jinja'!D45,'15.08 Buwenge-Jinja'!D45,'16.08 Buwenge-Jinja-24h'!D45,'17.08 Buwenge-Jinja-24h'!D45,'18.08 Buwenge-Jinja'!D45)</f>
        <v>4</v>
      </c>
      <c r="E45" s="49">
        <f>AVERAGE('12.08 Buwenge-Jinja'!E45,'13.08 Buwenge-Jinja'!E45,'14.08 Buwenge-Jinja'!E45,'15.08 Buwenge-Jinja'!E45,'16.08 Buwenge-Jinja-24h'!E45,'17.08 Buwenge-Jinja-24h'!E45,'18.08 Buwenge-Jinja'!E45)</f>
        <v>7.2857142857142856</v>
      </c>
      <c r="F45" s="49">
        <f>AVERAGE('12.08 Buwenge-Jinja'!F45,'13.08 Buwenge-Jinja'!F45,'14.08 Buwenge-Jinja'!F45,'15.08 Buwenge-Jinja'!F45,'16.08 Buwenge-Jinja-24h'!F45,'17.08 Buwenge-Jinja-24h'!F45,'18.08 Buwenge-Jinja'!F45)</f>
        <v>10.857142857142858</v>
      </c>
      <c r="G45" s="49">
        <f>AVERAGE('12.08 Buwenge-Jinja'!G45,'13.08 Buwenge-Jinja'!G45,'14.08 Buwenge-Jinja'!G45,'15.08 Buwenge-Jinja'!G45,'16.08 Buwenge-Jinja-24h'!G45,'17.08 Buwenge-Jinja-24h'!G45,'18.08 Buwenge-Jinja'!G45)</f>
        <v>1.2857142857142858</v>
      </c>
      <c r="H45" s="49">
        <f>AVERAGE('12.08 Buwenge-Jinja'!H45,'13.08 Buwenge-Jinja'!H45,'14.08 Buwenge-Jinja'!H45,'15.08 Buwenge-Jinja'!H45,'16.08 Buwenge-Jinja-24h'!H45,'17.08 Buwenge-Jinja-24h'!H45,'18.08 Buwenge-Jinja'!H45)</f>
        <v>0.14285714285714285</v>
      </c>
      <c r="I45" s="49">
        <f>AVERAGE('12.08 Buwenge-Jinja'!I45,'13.08 Buwenge-Jinja'!I45,'14.08 Buwenge-Jinja'!I45,'15.08 Buwenge-Jinja'!I45,'16.08 Buwenge-Jinja-24h'!I45,'17.08 Buwenge-Jinja-24h'!I45,'18.08 Buwenge-Jinja'!I45)</f>
        <v>4.7142857142857144</v>
      </c>
      <c r="J45" s="49">
        <f>AVERAGE('12.08 Buwenge-Jinja'!J45,'13.08 Buwenge-Jinja'!J45,'14.08 Buwenge-Jinja'!J45,'15.08 Buwenge-Jinja'!J45,'16.08 Buwenge-Jinja-24h'!J45,'17.08 Buwenge-Jinja-24h'!J45,'18.08 Buwenge-Jinja'!J45)</f>
        <v>0.14285714285714285</v>
      </c>
      <c r="K45" s="49">
        <f>AVERAGE('12.08 Buwenge-Jinja'!K45,'13.08 Buwenge-Jinja'!K45,'14.08 Buwenge-Jinja'!K45,'15.08 Buwenge-Jinja'!K45,'16.08 Buwenge-Jinja-24h'!K45,'17.08 Buwenge-Jinja-24h'!K45,'18.08 Buwenge-Jinja'!K45)</f>
        <v>0.14285714285714285</v>
      </c>
      <c r="L45" s="49">
        <f>AVERAGE('12.08 Buwenge-Jinja'!L45,'13.08 Buwenge-Jinja'!L45,'14.08 Buwenge-Jinja'!L45,'15.08 Buwenge-Jinja'!L45,'16.08 Buwenge-Jinja-24h'!L45,'17.08 Buwenge-Jinja-24h'!L45,'18.08 Buwenge-Jinja'!L45)</f>
        <v>0</v>
      </c>
      <c r="M45" s="49">
        <f>AVERAGE('12.08 Buwenge-Jinja'!M45,'13.08 Buwenge-Jinja'!M45,'14.08 Buwenge-Jinja'!M45,'15.08 Buwenge-Jinja'!M45,'16.08 Buwenge-Jinja-24h'!M45,'17.08 Buwenge-Jinja-24h'!M45,'18.08 Buwenge-Jinja'!M45)</f>
        <v>26.857142857142858</v>
      </c>
      <c r="N45" s="49">
        <f>AVERAGE('12.08 Buwenge-Jinja'!N45,'13.08 Buwenge-Jinja'!N45,'14.08 Buwenge-Jinja'!N45,'15.08 Buwenge-Jinja'!N45,'16.08 Buwenge-Jinja-24h'!N45,'17.08 Buwenge-Jinja-24h'!N45,'18.08 Buwenge-Jinja'!N45)</f>
        <v>0</v>
      </c>
      <c r="O45" s="15">
        <f t="shared" si="0"/>
        <v>33.857142857142861</v>
      </c>
      <c r="P45" s="15">
        <f t="shared" si="1"/>
        <v>60.714285714285722</v>
      </c>
    </row>
    <row r="46" spans="2:32" ht="23.1" customHeight="1" x14ac:dyDescent="0.25">
      <c r="B46" s="24" t="s">
        <v>73</v>
      </c>
      <c r="C46" s="49">
        <f>AVERAGE('12.08 Buwenge-Jinja'!C46,'13.08 Buwenge-Jinja'!C46,'14.08 Buwenge-Jinja'!C46,'15.08 Buwenge-Jinja'!C46,'16.08 Buwenge-Jinja-24h'!C46,'17.08 Buwenge-Jinja-24h'!C46,'18.08 Buwenge-Jinja'!C46)</f>
        <v>6</v>
      </c>
      <c r="D46" s="49">
        <f>AVERAGE('12.08 Buwenge-Jinja'!D46,'13.08 Buwenge-Jinja'!D46,'14.08 Buwenge-Jinja'!D46,'15.08 Buwenge-Jinja'!D46,'16.08 Buwenge-Jinja-24h'!D46,'17.08 Buwenge-Jinja-24h'!D46,'18.08 Buwenge-Jinja'!D46)</f>
        <v>4.2857142857142856</v>
      </c>
      <c r="E46" s="49">
        <f>AVERAGE('12.08 Buwenge-Jinja'!E46,'13.08 Buwenge-Jinja'!E46,'14.08 Buwenge-Jinja'!E46,'15.08 Buwenge-Jinja'!E46,'16.08 Buwenge-Jinja-24h'!E46,'17.08 Buwenge-Jinja-24h'!E46,'18.08 Buwenge-Jinja'!E46)</f>
        <v>6.2857142857142856</v>
      </c>
      <c r="F46" s="49">
        <f>AVERAGE('12.08 Buwenge-Jinja'!F46,'13.08 Buwenge-Jinja'!F46,'14.08 Buwenge-Jinja'!F46,'15.08 Buwenge-Jinja'!F46,'16.08 Buwenge-Jinja-24h'!F46,'17.08 Buwenge-Jinja-24h'!F46,'18.08 Buwenge-Jinja'!F46)</f>
        <v>11.714285714285714</v>
      </c>
      <c r="G46" s="49">
        <f>AVERAGE('12.08 Buwenge-Jinja'!G46,'13.08 Buwenge-Jinja'!G46,'14.08 Buwenge-Jinja'!G46,'15.08 Buwenge-Jinja'!G46,'16.08 Buwenge-Jinja-24h'!G46,'17.08 Buwenge-Jinja-24h'!G46,'18.08 Buwenge-Jinja'!G46)</f>
        <v>1</v>
      </c>
      <c r="H46" s="49">
        <f>AVERAGE('12.08 Buwenge-Jinja'!H46,'13.08 Buwenge-Jinja'!H46,'14.08 Buwenge-Jinja'!H46,'15.08 Buwenge-Jinja'!H46,'16.08 Buwenge-Jinja-24h'!H46,'17.08 Buwenge-Jinja-24h'!H46,'18.08 Buwenge-Jinja'!H46)</f>
        <v>0.14285714285714285</v>
      </c>
      <c r="I46" s="49">
        <f>AVERAGE('12.08 Buwenge-Jinja'!I46,'13.08 Buwenge-Jinja'!I46,'14.08 Buwenge-Jinja'!I46,'15.08 Buwenge-Jinja'!I46,'16.08 Buwenge-Jinja-24h'!I46,'17.08 Buwenge-Jinja-24h'!I46,'18.08 Buwenge-Jinja'!I46)</f>
        <v>3.8571428571428572</v>
      </c>
      <c r="J46" s="49">
        <f>AVERAGE('12.08 Buwenge-Jinja'!J46,'13.08 Buwenge-Jinja'!J46,'14.08 Buwenge-Jinja'!J46,'15.08 Buwenge-Jinja'!J46,'16.08 Buwenge-Jinja-24h'!J46,'17.08 Buwenge-Jinja-24h'!J46,'18.08 Buwenge-Jinja'!J46)</f>
        <v>0</v>
      </c>
      <c r="K46" s="49">
        <f>AVERAGE('12.08 Buwenge-Jinja'!K46,'13.08 Buwenge-Jinja'!K46,'14.08 Buwenge-Jinja'!K46,'15.08 Buwenge-Jinja'!K46,'16.08 Buwenge-Jinja-24h'!K46,'17.08 Buwenge-Jinja-24h'!K46,'18.08 Buwenge-Jinja'!K46)</f>
        <v>0.2857142857142857</v>
      </c>
      <c r="L46" s="49">
        <f>AVERAGE('12.08 Buwenge-Jinja'!L46,'13.08 Buwenge-Jinja'!L46,'14.08 Buwenge-Jinja'!L46,'15.08 Buwenge-Jinja'!L46,'16.08 Buwenge-Jinja-24h'!L46,'17.08 Buwenge-Jinja-24h'!L46,'18.08 Buwenge-Jinja'!L46)</f>
        <v>0</v>
      </c>
      <c r="M46" s="49">
        <f>AVERAGE('12.08 Buwenge-Jinja'!M46,'13.08 Buwenge-Jinja'!M46,'14.08 Buwenge-Jinja'!M46,'15.08 Buwenge-Jinja'!M46,'16.08 Buwenge-Jinja-24h'!M46,'17.08 Buwenge-Jinja-24h'!M46,'18.08 Buwenge-Jinja'!M46)</f>
        <v>31</v>
      </c>
      <c r="N46" s="49">
        <f>AVERAGE('12.08 Buwenge-Jinja'!N46,'13.08 Buwenge-Jinja'!N46,'14.08 Buwenge-Jinja'!N46,'15.08 Buwenge-Jinja'!N46,'16.08 Buwenge-Jinja-24h'!N46,'17.08 Buwenge-Jinja-24h'!N46,'18.08 Buwenge-Jinja'!N46)</f>
        <v>0.14285714285714285</v>
      </c>
      <c r="O46" s="15">
        <f t="shared" si="0"/>
        <v>33.714285714285715</v>
      </c>
      <c r="P46" s="15">
        <f t="shared" si="1"/>
        <v>64.714285714285708</v>
      </c>
      <c r="R46" s="8"/>
      <c r="T46"/>
    </row>
    <row r="47" spans="2:32" ht="23.1" customHeight="1" x14ac:dyDescent="0.25">
      <c r="B47" s="24" t="s">
        <v>74</v>
      </c>
      <c r="C47" s="49">
        <f>AVERAGE('12.08 Buwenge-Jinja'!C47,'13.08 Buwenge-Jinja'!C47,'14.08 Buwenge-Jinja'!C47,'15.08 Buwenge-Jinja'!C47,'16.08 Buwenge-Jinja-24h'!C47,'17.08 Buwenge-Jinja-24h'!C47,'18.08 Buwenge-Jinja'!C47)</f>
        <v>8</v>
      </c>
      <c r="D47" s="49">
        <f>AVERAGE('12.08 Buwenge-Jinja'!D47,'13.08 Buwenge-Jinja'!D47,'14.08 Buwenge-Jinja'!D47,'15.08 Buwenge-Jinja'!D47,'16.08 Buwenge-Jinja-24h'!D47,'17.08 Buwenge-Jinja-24h'!D47,'18.08 Buwenge-Jinja'!D47)</f>
        <v>2.1428571428571428</v>
      </c>
      <c r="E47" s="49">
        <f>AVERAGE('12.08 Buwenge-Jinja'!E47,'13.08 Buwenge-Jinja'!E47,'14.08 Buwenge-Jinja'!E47,'15.08 Buwenge-Jinja'!E47,'16.08 Buwenge-Jinja-24h'!E47,'17.08 Buwenge-Jinja-24h'!E47,'18.08 Buwenge-Jinja'!E47)</f>
        <v>5.1428571428571432</v>
      </c>
      <c r="F47" s="49">
        <f>AVERAGE('12.08 Buwenge-Jinja'!F47,'13.08 Buwenge-Jinja'!F47,'14.08 Buwenge-Jinja'!F47,'15.08 Buwenge-Jinja'!F47,'16.08 Buwenge-Jinja-24h'!F47,'17.08 Buwenge-Jinja-24h'!F47,'18.08 Buwenge-Jinja'!F47)</f>
        <v>10.142857142857142</v>
      </c>
      <c r="G47" s="49">
        <f>AVERAGE('12.08 Buwenge-Jinja'!G47,'13.08 Buwenge-Jinja'!G47,'14.08 Buwenge-Jinja'!G47,'15.08 Buwenge-Jinja'!G47,'16.08 Buwenge-Jinja-24h'!G47,'17.08 Buwenge-Jinja-24h'!G47,'18.08 Buwenge-Jinja'!G47)</f>
        <v>0.7142857142857143</v>
      </c>
      <c r="H47" s="49">
        <f>AVERAGE('12.08 Buwenge-Jinja'!H47,'13.08 Buwenge-Jinja'!H47,'14.08 Buwenge-Jinja'!H47,'15.08 Buwenge-Jinja'!H47,'16.08 Buwenge-Jinja-24h'!H47,'17.08 Buwenge-Jinja-24h'!H47,'18.08 Buwenge-Jinja'!H47)</f>
        <v>0</v>
      </c>
      <c r="I47" s="49">
        <f>AVERAGE('12.08 Buwenge-Jinja'!I47,'13.08 Buwenge-Jinja'!I47,'14.08 Buwenge-Jinja'!I47,'15.08 Buwenge-Jinja'!I47,'16.08 Buwenge-Jinja-24h'!I47,'17.08 Buwenge-Jinja-24h'!I47,'18.08 Buwenge-Jinja'!I47)</f>
        <v>3.2857142857142856</v>
      </c>
      <c r="J47" s="49">
        <f>AVERAGE('12.08 Buwenge-Jinja'!J47,'13.08 Buwenge-Jinja'!J47,'14.08 Buwenge-Jinja'!J47,'15.08 Buwenge-Jinja'!J47,'16.08 Buwenge-Jinja-24h'!J47,'17.08 Buwenge-Jinja-24h'!J47,'18.08 Buwenge-Jinja'!J47)</f>
        <v>0.42857142857142855</v>
      </c>
      <c r="K47" s="49">
        <f>AVERAGE('12.08 Buwenge-Jinja'!K47,'13.08 Buwenge-Jinja'!K47,'14.08 Buwenge-Jinja'!K47,'15.08 Buwenge-Jinja'!K47,'16.08 Buwenge-Jinja-24h'!K47,'17.08 Buwenge-Jinja-24h'!K47,'18.08 Buwenge-Jinja'!K47)</f>
        <v>0</v>
      </c>
      <c r="L47" s="49">
        <f>AVERAGE('12.08 Buwenge-Jinja'!L47,'13.08 Buwenge-Jinja'!L47,'14.08 Buwenge-Jinja'!L47,'15.08 Buwenge-Jinja'!L47,'16.08 Buwenge-Jinja-24h'!L47,'17.08 Buwenge-Jinja-24h'!L47,'18.08 Buwenge-Jinja'!L47)</f>
        <v>0</v>
      </c>
      <c r="M47" s="49">
        <f>AVERAGE('12.08 Buwenge-Jinja'!M47,'13.08 Buwenge-Jinja'!M47,'14.08 Buwenge-Jinja'!M47,'15.08 Buwenge-Jinja'!M47,'16.08 Buwenge-Jinja-24h'!M47,'17.08 Buwenge-Jinja-24h'!M47,'18.08 Buwenge-Jinja'!M47)</f>
        <v>27.714285714285715</v>
      </c>
      <c r="N47" s="49">
        <f>AVERAGE('12.08 Buwenge-Jinja'!N47,'13.08 Buwenge-Jinja'!N47,'14.08 Buwenge-Jinja'!N47,'15.08 Buwenge-Jinja'!N47,'16.08 Buwenge-Jinja-24h'!N47,'17.08 Buwenge-Jinja-24h'!N47,'18.08 Buwenge-Jinja'!N47)</f>
        <v>0</v>
      </c>
      <c r="O47" s="15">
        <f t="shared" si="0"/>
        <v>29.857142857142854</v>
      </c>
      <c r="P47" s="15">
        <f t="shared" si="1"/>
        <v>57.571428571428569</v>
      </c>
      <c r="R47" s="8"/>
      <c r="T47"/>
    </row>
    <row r="48" spans="2:32" ht="23.1" customHeight="1" x14ac:dyDescent="0.25">
      <c r="B48" s="24" t="s">
        <v>75</v>
      </c>
      <c r="C48" s="49">
        <f>AVERAGE('12.08 Buwenge-Jinja'!C48,'13.08 Buwenge-Jinja'!C48,'14.08 Buwenge-Jinja'!C48,'15.08 Buwenge-Jinja'!C48,'16.08 Buwenge-Jinja-24h'!C48,'17.08 Buwenge-Jinja-24h'!C48,'18.08 Buwenge-Jinja'!C48)</f>
        <v>7.1428571428571432</v>
      </c>
      <c r="D48" s="49">
        <f>AVERAGE('12.08 Buwenge-Jinja'!D48,'13.08 Buwenge-Jinja'!D48,'14.08 Buwenge-Jinja'!D48,'15.08 Buwenge-Jinja'!D48,'16.08 Buwenge-Jinja-24h'!D48,'17.08 Buwenge-Jinja-24h'!D48,'18.08 Buwenge-Jinja'!D48)</f>
        <v>2.1428571428571428</v>
      </c>
      <c r="E48" s="49">
        <f>AVERAGE('12.08 Buwenge-Jinja'!E48,'13.08 Buwenge-Jinja'!E48,'14.08 Buwenge-Jinja'!E48,'15.08 Buwenge-Jinja'!E48,'16.08 Buwenge-Jinja-24h'!E48,'17.08 Buwenge-Jinja-24h'!E48,'18.08 Buwenge-Jinja'!E48)</f>
        <v>5</v>
      </c>
      <c r="F48" s="49">
        <f>AVERAGE('12.08 Buwenge-Jinja'!F48,'13.08 Buwenge-Jinja'!F48,'14.08 Buwenge-Jinja'!F48,'15.08 Buwenge-Jinja'!F48,'16.08 Buwenge-Jinja-24h'!F48,'17.08 Buwenge-Jinja-24h'!F48,'18.08 Buwenge-Jinja'!F48)</f>
        <v>9.5714285714285712</v>
      </c>
      <c r="G48" s="49">
        <f>AVERAGE('12.08 Buwenge-Jinja'!G48,'13.08 Buwenge-Jinja'!G48,'14.08 Buwenge-Jinja'!G48,'15.08 Buwenge-Jinja'!G48,'16.08 Buwenge-Jinja-24h'!G48,'17.08 Buwenge-Jinja-24h'!G48,'18.08 Buwenge-Jinja'!G48)</f>
        <v>2.1428571428571428</v>
      </c>
      <c r="H48" s="49">
        <f>AVERAGE('12.08 Buwenge-Jinja'!H48,'13.08 Buwenge-Jinja'!H48,'14.08 Buwenge-Jinja'!H48,'15.08 Buwenge-Jinja'!H48,'16.08 Buwenge-Jinja-24h'!H48,'17.08 Buwenge-Jinja-24h'!H48,'18.08 Buwenge-Jinja'!H48)</f>
        <v>0</v>
      </c>
      <c r="I48" s="49">
        <f>AVERAGE('12.08 Buwenge-Jinja'!I48,'13.08 Buwenge-Jinja'!I48,'14.08 Buwenge-Jinja'!I48,'15.08 Buwenge-Jinja'!I48,'16.08 Buwenge-Jinja-24h'!I48,'17.08 Buwenge-Jinja-24h'!I48,'18.08 Buwenge-Jinja'!I48)</f>
        <v>3.2857142857142856</v>
      </c>
      <c r="J48" s="49">
        <f>AVERAGE('12.08 Buwenge-Jinja'!J48,'13.08 Buwenge-Jinja'!J48,'14.08 Buwenge-Jinja'!J48,'15.08 Buwenge-Jinja'!J48,'16.08 Buwenge-Jinja-24h'!J48,'17.08 Buwenge-Jinja-24h'!J48,'18.08 Buwenge-Jinja'!J48)</f>
        <v>0.42857142857142855</v>
      </c>
      <c r="K48" s="49">
        <f>AVERAGE('12.08 Buwenge-Jinja'!K48,'13.08 Buwenge-Jinja'!K48,'14.08 Buwenge-Jinja'!K48,'15.08 Buwenge-Jinja'!K48,'16.08 Buwenge-Jinja-24h'!K48,'17.08 Buwenge-Jinja-24h'!K48,'18.08 Buwenge-Jinja'!K48)</f>
        <v>0</v>
      </c>
      <c r="L48" s="49">
        <f>AVERAGE('12.08 Buwenge-Jinja'!L48,'13.08 Buwenge-Jinja'!L48,'14.08 Buwenge-Jinja'!L48,'15.08 Buwenge-Jinja'!L48,'16.08 Buwenge-Jinja-24h'!L48,'17.08 Buwenge-Jinja-24h'!L48,'18.08 Buwenge-Jinja'!L48)</f>
        <v>0</v>
      </c>
      <c r="M48" s="49">
        <f>AVERAGE('12.08 Buwenge-Jinja'!M48,'13.08 Buwenge-Jinja'!M48,'14.08 Buwenge-Jinja'!M48,'15.08 Buwenge-Jinja'!M48,'16.08 Buwenge-Jinja-24h'!M48,'17.08 Buwenge-Jinja-24h'!M48,'18.08 Buwenge-Jinja'!M48)</f>
        <v>36.428571428571431</v>
      </c>
      <c r="N48" s="49">
        <f>AVERAGE('12.08 Buwenge-Jinja'!N48,'13.08 Buwenge-Jinja'!N48,'14.08 Buwenge-Jinja'!N48,'15.08 Buwenge-Jinja'!N48,'16.08 Buwenge-Jinja-24h'!N48,'17.08 Buwenge-Jinja-24h'!N48,'18.08 Buwenge-Jinja'!N48)</f>
        <v>0</v>
      </c>
      <c r="O48" s="15">
        <f t="shared" si="0"/>
        <v>29.714285714285712</v>
      </c>
      <c r="P48" s="15">
        <f t="shared" si="1"/>
        <v>66.142857142857139</v>
      </c>
      <c r="R48" s="8"/>
      <c r="T48"/>
    </row>
    <row r="49" spans="2:20" ht="23.1" customHeight="1" x14ac:dyDescent="0.25">
      <c r="B49" s="23" t="s">
        <v>76</v>
      </c>
      <c r="C49" s="49">
        <f>AVERAGE('12.08 Buwenge-Jinja'!C49,'13.08 Buwenge-Jinja'!C49,'14.08 Buwenge-Jinja'!C49,'15.08 Buwenge-Jinja'!C49,'16.08 Buwenge-Jinja-24h'!C49,'17.08 Buwenge-Jinja-24h'!C49,'18.08 Buwenge-Jinja'!C49)</f>
        <v>9</v>
      </c>
      <c r="D49" s="49">
        <f>AVERAGE('12.08 Buwenge-Jinja'!D49,'13.08 Buwenge-Jinja'!D49,'14.08 Buwenge-Jinja'!D49,'15.08 Buwenge-Jinja'!D49,'16.08 Buwenge-Jinja-24h'!D49,'17.08 Buwenge-Jinja-24h'!D49,'18.08 Buwenge-Jinja'!D49)</f>
        <v>2</v>
      </c>
      <c r="E49" s="49">
        <f>AVERAGE('12.08 Buwenge-Jinja'!E49,'13.08 Buwenge-Jinja'!E49,'14.08 Buwenge-Jinja'!E49,'15.08 Buwenge-Jinja'!E49,'16.08 Buwenge-Jinja-24h'!E49,'17.08 Buwenge-Jinja-24h'!E49,'18.08 Buwenge-Jinja'!E49)</f>
        <v>5</v>
      </c>
      <c r="F49" s="49">
        <f>AVERAGE('12.08 Buwenge-Jinja'!F49,'13.08 Buwenge-Jinja'!F49,'14.08 Buwenge-Jinja'!F49,'15.08 Buwenge-Jinja'!F49,'16.08 Buwenge-Jinja-24h'!F49,'17.08 Buwenge-Jinja-24h'!F49,'18.08 Buwenge-Jinja'!F49)</f>
        <v>11</v>
      </c>
      <c r="G49" s="49">
        <f>AVERAGE('12.08 Buwenge-Jinja'!G49,'13.08 Buwenge-Jinja'!G49,'14.08 Buwenge-Jinja'!G49,'15.08 Buwenge-Jinja'!G49,'16.08 Buwenge-Jinja-24h'!G49,'17.08 Buwenge-Jinja-24h'!G49,'18.08 Buwenge-Jinja'!G49)</f>
        <v>1.5714285714285714</v>
      </c>
      <c r="H49" s="49">
        <f>AVERAGE('12.08 Buwenge-Jinja'!H49,'13.08 Buwenge-Jinja'!H49,'14.08 Buwenge-Jinja'!H49,'15.08 Buwenge-Jinja'!H49,'16.08 Buwenge-Jinja-24h'!H49,'17.08 Buwenge-Jinja-24h'!H49,'18.08 Buwenge-Jinja'!H49)</f>
        <v>0</v>
      </c>
      <c r="I49" s="49">
        <f>AVERAGE('12.08 Buwenge-Jinja'!I49,'13.08 Buwenge-Jinja'!I49,'14.08 Buwenge-Jinja'!I49,'15.08 Buwenge-Jinja'!I49,'16.08 Buwenge-Jinja-24h'!I49,'17.08 Buwenge-Jinja-24h'!I49,'18.08 Buwenge-Jinja'!I49)</f>
        <v>3.7142857142857144</v>
      </c>
      <c r="J49" s="49">
        <f>AVERAGE('12.08 Buwenge-Jinja'!J49,'13.08 Buwenge-Jinja'!J49,'14.08 Buwenge-Jinja'!J49,'15.08 Buwenge-Jinja'!J49,'16.08 Buwenge-Jinja-24h'!J49,'17.08 Buwenge-Jinja-24h'!J49,'18.08 Buwenge-Jinja'!J49)</f>
        <v>0.14285714285714285</v>
      </c>
      <c r="K49" s="49">
        <f>AVERAGE('12.08 Buwenge-Jinja'!K49,'13.08 Buwenge-Jinja'!K49,'14.08 Buwenge-Jinja'!K49,'15.08 Buwenge-Jinja'!K49,'16.08 Buwenge-Jinja-24h'!K49,'17.08 Buwenge-Jinja-24h'!K49,'18.08 Buwenge-Jinja'!K49)</f>
        <v>0.14285714285714285</v>
      </c>
      <c r="L49" s="49">
        <f>AVERAGE('12.08 Buwenge-Jinja'!L49,'13.08 Buwenge-Jinja'!L49,'14.08 Buwenge-Jinja'!L49,'15.08 Buwenge-Jinja'!L49,'16.08 Buwenge-Jinja-24h'!L49,'17.08 Buwenge-Jinja-24h'!L49,'18.08 Buwenge-Jinja'!L49)</f>
        <v>0</v>
      </c>
      <c r="M49" s="49">
        <f>AVERAGE('12.08 Buwenge-Jinja'!M49,'13.08 Buwenge-Jinja'!M49,'14.08 Buwenge-Jinja'!M49,'15.08 Buwenge-Jinja'!M49,'16.08 Buwenge-Jinja-24h'!M49,'17.08 Buwenge-Jinja-24h'!M49,'18.08 Buwenge-Jinja'!M49)</f>
        <v>39.714285714285715</v>
      </c>
      <c r="N49" s="49">
        <f>AVERAGE('12.08 Buwenge-Jinja'!N49,'13.08 Buwenge-Jinja'!N49,'14.08 Buwenge-Jinja'!N49,'15.08 Buwenge-Jinja'!N49,'16.08 Buwenge-Jinja-24h'!N49,'17.08 Buwenge-Jinja-24h'!N49,'18.08 Buwenge-Jinja'!N49)</f>
        <v>0</v>
      </c>
      <c r="O49" s="15">
        <f t="shared" si="0"/>
        <v>32.571428571428577</v>
      </c>
      <c r="P49" s="15">
        <f t="shared" si="1"/>
        <v>72.285714285714292</v>
      </c>
      <c r="R49" s="8"/>
      <c r="T49"/>
    </row>
    <row r="50" spans="2:20" ht="23.1" customHeight="1" x14ac:dyDescent="0.25">
      <c r="B50" s="24" t="s">
        <v>77</v>
      </c>
      <c r="C50" s="49">
        <f>AVERAGE('12.08 Buwenge-Jinja'!C50,'13.08 Buwenge-Jinja'!C50,'14.08 Buwenge-Jinja'!C50,'15.08 Buwenge-Jinja'!C50,'16.08 Buwenge-Jinja-24h'!C50,'17.08 Buwenge-Jinja-24h'!C50,'18.08 Buwenge-Jinja'!C50)</f>
        <v>8.2857142857142865</v>
      </c>
      <c r="D50" s="49">
        <f>AVERAGE('12.08 Buwenge-Jinja'!D50,'13.08 Buwenge-Jinja'!D50,'14.08 Buwenge-Jinja'!D50,'15.08 Buwenge-Jinja'!D50,'16.08 Buwenge-Jinja-24h'!D50,'17.08 Buwenge-Jinja-24h'!D50,'18.08 Buwenge-Jinja'!D50)</f>
        <v>2.8571428571428572</v>
      </c>
      <c r="E50" s="49">
        <f>AVERAGE('12.08 Buwenge-Jinja'!E50,'13.08 Buwenge-Jinja'!E50,'14.08 Buwenge-Jinja'!E50,'15.08 Buwenge-Jinja'!E50,'16.08 Buwenge-Jinja-24h'!E50,'17.08 Buwenge-Jinja-24h'!E50,'18.08 Buwenge-Jinja'!E50)</f>
        <v>7</v>
      </c>
      <c r="F50" s="49">
        <f>AVERAGE('12.08 Buwenge-Jinja'!F50,'13.08 Buwenge-Jinja'!F50,'14.08 Buwenge-Jinja'!F50,'15.08 Buwenge-Jinja'!F50,'16.08 Buwenge-Jinja-24h'!F50,'17.08 Buwenge-Jinja-24h'!F50,'18.08 Buwenge-Jinja'!F50)</f>
        <v>13</v>
      </c>
      <c r="G50" s="49">
        <f>AVERAGE('12.08 Buwenge-Jinja'!G50,'13.08 Buwenge-Jinja'!G50,'14.08 Buwenge-Jinja'!G50,'15.08 Buwenge-Jinja'!G50,'16.08 Buwenge-Jinja-24h'!G50,'17.08 Buwenge-Jinja-24h'!G50,'18.08 Buwenge-Jinja'!G50)</f>
        <v>0.7142857142857143</v>
      </c>
      <c r="H50" s="49">
        <f>AVERAGE('12.08 Buwenge-Jinja'!H50,'13.08 Buwenge-Jinja'!H50,'14.08 Buwenge-Jinja'!H50,'15.08 Buwenge-Jinja'!H50,'16.08 Buwenge-Jinja-24h'!H50,'17.08 Buwenge-Jinja-24h'!H50,'18.08 Buwenge-Jinja'!H50)</f>
        <v>0</v>
      </c>
      <c r="I50" s="49">
        <f>AVERAGE('12.08 Buwenge-Jinja'!I50,'13.08 Buwenge-Jinja'!I50,'14.08 Buwenge-Jinja'!I50,'15.08 Buwenge-Jinja'!I50,'16.08 Buwenge-Jinja-24h'!I50,'17.08 Buwenge-Jinja-24h'!I50,'18.08 Buwenge-Jinja'!I50)</f>
        <v>4.2857142857142856</v>
      </c>
      <c r="J50" s="49">
        <f>AVERAGE('12.08 Buwenge-Jinja'!J50,'13.08 Buwenge-Jinja'!J50,'14.08 Buwenge-Jinja'!J50,'15.08 Buwenge-Jinja'!J50,'16.08 Buwenge-Jinja-24h'!J50,'17.08 Buwenge-Jinja-24h'!J50,'18.08 Buwenge-Jinja'!J50)</f>
        <v>0</v>
      </c>
      <c r="K50" s="49">
        <f>AVERAGE('12.08 Buwenge-Jinja'!K50,'13.08 Buwenge-Jinja'!K50,'14.08 Buwenge-Jinja'!K50,'15.08 Buwenge-Jinja'!K50,'16.08 Buwenge-Jinja-24h'!K50,'17.08 Buwenge-Jinja-24h'!K50,'18.08 Buwenge-Jinja'!K50)</f>
        <v>0.2857142857142857</v>
      </c>
      <c r="L50" s="49">
        <f>AVERAGE('12.08 Buwenge-Jinja'!L50,'13.08 Buwenge-Jinja'!L50,'14.08 Buwenge-Jinja'!L50,'15.08 Buwenge-Jinja'!L50,'16.08 Buwenge-Jinja-24h'!L50,'17.08 Buwenge-Jinja-24h'!L50,'18.08 Buwenge-Jinja'!L50)</f>
        <v>0</v>
      </c>
      <c r="M50" s="49">
        <f>AVERAGE('12.08 Buwenge-Jinja'!M50,'13.08 Buwenge-Jinja'!M50,'14.08 Buwenge-Jinja'!M50,'15.08 Buwenge-Jinja'!M50,'16.08 Buwenge-Jinja-24h'!M50,'17.08 Buwenge-Jinja-24h'!M50,'18.08 Buwenge-Jinja'!M50)</f>
        <v>48.857142857142854</v>
      </c>
      <c r="N50" s="49">
        <f>AVERAGE('12.08 Buwenge-Jinja'!N50,'13.08 Buwenge-Jinja'!N50,'14.08 Buwenge-Jinja'!N50,'15.08 Buwenge-Jinja'!N50,'16.08 Buwenge-Jinja-24h'!N50,'17.08 Buwenge-Jinja-24h'!N50,'18.08 Buwenge-Jinja'!N50)</f>
        <v>0</v>
      </c>
      <c r="O50" s="15">
        <f t="shared" si="0"/>
        <v>36.428571428571431</v>
      </c>
      <c r="P50" s="15">
        <f t="shared" si="1"/>
        <v>85.285714285714278</v>
      </c>
      <c r="R50" s="8"/>
      <c r="T50"/>
    </row>
    <row r="51" spans="2:20" ht="23.1" customHeight="1" x14ac:dyDescent="0.25">
      <c r="B51" s="24" t="s">
        <v>78</v>
      </c>
      <c r="C51" s="49">
        <f>AVERAGE('12.08 Buwenge-Jinja'!C51,'13.08 Buwenge-Jinja'!C51,'14.08 Buwenge-Jinja'!C51,'15.08 Buwenge-Jinja'!C51,'16.08 Buwenge-Jinja-24h'!C51,'17.08 Buwenge-Jinja-24h'!C51,'18.08 Buwenge-Jinja'!C51)</f>
        <v>7.8571428571428568</v>
      </c>
      <c r="D51" s="49">
        <f>AVERAGE('12.08 Buwenge-Jinja'!D51,'13.08 Buwenge-Jinja'!D51,'14.08 Buwenge-Jinja'!D51,'15.08 Buwenge-Jinja'!D51,'16.08 Buwenge-Jinja-24h'!D51,'17.08 Buwenge-Jinja-24h'!D51,'18.08 Buwenge-Jinja'!D51)</f>
        <v>2.2857142857142856</v>
      </c>
      <c r="E51" s="49">
        <f>AVERAGE('12.08 Buwenge-Jinja'!E51,'13.08 Buwenge-Jinja'!E51,'14.08 Buwenge-Jinja'!E51,'15.08 Buwenge-Jinja'!E51,'16.08 Buwenge-Jinja-24h'!E51,'17.08 Buwenge-Jinja-24h'!E51,'18.08 Buwenge-Jinja'!E51)</f>
        <v>5.7142857142857144</v>
      </c>
      <c r="F51" s="49">
        <f>AVERAGE('12.08 Buwenge-Jinja'!F51,'13.08 Buwenge-Jinja'!F51,'14.08 Buwenge-Jinja'!F51,'15.08 Buwenge-Jinja'!F51,'16.08 Buwenge-Jinja-24h'!F51,'17.08 Buwenge-Jinja-24h'!F51,'18.08 Buwenge-Jinja'!F51)</f>
        <v>15.285714285714286</v>
      </c>
      <c r="G51" s="49">
        <f>AVERAGE('12.08 Buwenge-Jinja'!G51,'13.08 Buwenge-Jinja'!G51,'14.08 Buwenge-Jinja'!G51,'15.08 Buwenge-Jinja'!G51,'16.08 Buwenge-Jinja-24h'!G51,'17.08 Buwenge-Jinja-24h'!G51,'18.08 Buwenge-Jinja'!G51)</f>
        <v>1.5714285714285714</v>
      </c>
      <c r="H51" s="49">
        <f>AVERAGE('12.08 Buwenge-Jinja'!H51,'13.08 Buwenge-Jinja'!H51,'14.08 Buwenge-Jinja'!H51,'15.08 Buwenge-Jinja'!H51,'16.08 Buwenge-Jinja-24h'!H51,'17.08 Buwenge-Jinja-24h'!H51,'18.08 Buwenge-Jinja'!H51)</f>
        <v>0</v>
      </c>
      <c r="I51" s="49">
        <f>AVERAGE('12.08 Buwenge-Jinja'!I51,'13.08 Buwenge-Jinja'!I51,'14.08 Buwenge-Jinja'!I51,'15.08 Buwenge-Jinja'!I51,'16.08 Buwenge-Jinja-24h'!I51,'17.08 Buwenge-Jinja-24h'!I51,'18.08 Buwenge-Jinja'!I51)</f>
        <v>4.8571428571428568</v>
      </c>
      <c r="J51" s="49">
        <f>AVERAGE('12.08 Buwenge-Jinja'!J51,'13.08 Buwenge-Jinja'!J51,'14.08 Buwenge-Jinja'!J51,'15.08 Buwenge-Jinja'!J51,'16.08 Buwenge-Jinja-24h'!J51,'17.08 Buwenge-Jinja-24h'!J51,'18.08 Buwenge-Jinja'!J51)</f>
        <v>0</v>
      </c>
      <c r="K51" s="49">
        <f>AVERAGE('12.08 Buwenge-Jinja'!K51,'13.08 Buwenge-Jinja'!K51,'14.08 Buwenge-Jinja'!K51,'15.08 Buwenge-Jinja'!K51,'16.08 Buwenge-Jinja-24h'!K51,'17.08 Buwenge-Jinja-24h'!K51,'18.08 Buwenge-Jinja'!K51)</f>
        <v>0</v>
      </c>
      <c r="L51" s="49">
        <f>AVERAGE('12.08 Buwenge-Jinja'!L51,'13.08 Buwenge-Jinja'!L51,'14.08 Buwenge-Jinja'!L51,'15.08 Buwenge-Jinja'!L51,'16.08 Buwenge-Jinja-24h'!L51,'17.08 Buwenge-Jinja-24h'!L51,'18.08 Buwenge-Jinja'!L51)</f>
        <v>0</v>
      </c>
      <c r="M51" s="49">
        <f>AVERAGE('12.08 Buwenge-Jinja'!M51,'13.08 Buwenge-Jinja'!M51,'14.08 Buwenge-Jinja'!M51,'15.08 Buwenge-Jinja'!M51,'16.08 Buwenge-Jinja-24h'!M51,'17.08 Buwenge-Jinja-24h'!M51,'18.08 Buwenge-Jinja'!M51)</f>
        <v>47.285714285714285</v>
      </c>
      <c r="N51" s="49">
        <f>AVERAGE('12.08 Buwenge-Jinja'!N51,'13.08 Buwenge-Jinja'!N51,'14.08 Buwenge-Jinja'!N51,'15.08 Buwenge-Jinja'!N51,'16.08 Buwenge-Jinja-24h'!N51,'17.08 Buwenge-Jinja-24h'!N51,'18.08 Buwenge-Jinja'!N51)</f>
        <v>0</v>
      </c>
      <c r="O51" s="15">
        <f t="shared" si="0"/>
        <v>37.571428571428569</v>
      </c>
      <c r="P51" s="15">
        <f t="shared" si="1"/>
        <v>84.857142857142861</v>
      </c>
      <c r="R51" s="8"/>
      <c r="T51"/>
    </row>
    <row r="52" spans="2:20" ht="23.1" customHeight="1" x14ac:dyDescent="0.25">
      <c r="B52" s="24" t="s">
        <v>79</v>
      </c>
      <c r="C52" s="49">
        <f>AVERAGE('12.08 Buwenge-Jinja'!C52,'13.08 Buwenge-Jinja'!C52,'14.08 Buwenge-Jinja'!C52,'15.08 Buwenge-Jinja'!C52,'16.08 Buwenge-Jinja-24h'!C52,'17.08 Buwenge-Jinja-24h'!C52,'18.08 Buwenge-Jinja'!C52)</f>
        <v>12.285714285714286</v>
      </c>
      <c r="D52" s="49">
        <f>AVERAGE('12.08 Buwenge-Jinja'!D52,'13.08 Buwenge-Jinja'!D52,'14.08 Buwenge-Jinja'!D52,'15.08 Buwenge-Jinja'!D52,'16.08 Buwenge-Jinja-24h'!D52,'17.08 Buwenge-Jinja-24h'!D52,'18.08 Buwenge-Jinja'!D52)</f>
        <v>3.2857142857142856</v>
      </c>
      <c r="E52" s="49">
        <f>AVERAGE('12.08 Buwenge-Jinja'!E52,'13.08 Buwenge-Jinja'!E52,'14.08 Buwenge-Jinja'!E52,'15.08 Buwenge-Jinja'!E52,'16.08 Buwenge-Jinja-24h'!E52,'17.08 Buwenge-Jinja-24h'!E52,'18.08 Buwenge-Jinja'!E52)</f>
        <v>8</v>
      </c>
      <c r="F52" s="49">
        <f>AVERAGE('12.08 Buwenge-Jinja'!F52,'13.08 Buwenge-Jinja'!F52,'14.08 Buwenge-Jinja'!F52,'15.08 Buwenge-Jinja'!F52,'16.08 Buwenge-Jinja-24h'!F52,'17.08 Buwenge-Jinja-24h'!F52,'18.08 Buwenge-Jinja'!F52)</f>
        <v>14.714285714285714</v>
      </c>
      <c r="G52" s="49">
        <f>AVERAGE('12.08 Buwenge-Jinja'!G52,'13.08 Buwenge-Jinja'!G52,'14.08 Buwenge-Jinja'!G52,'15.08 Buwenge-Jinja'!G52,'16.08 Buwenge-Jinja-24h'!G52,'17.08 Buwenge-Jinja-24h'!G52,'18.08 Buwenge-Jinja'!G52)</f>
        <v>3</v>
      </c>
      <c r="H52" s="49">
        <f>AVERAGE('12.08 Buwenge-Jinja'!H52,'13.08 Buwenge-Jinja'!H52,'14.08 Buwenge-Jinja'!H52,'15.08 Buwenge-Jinja'!H52,'16.08 Buwenge-Jinja-24h'!H52,'17.08 Buwenge-Jinja-24h'!H52,'18.08 Buwenge-Jinja'!H52)</f>
        <v>0.14285714285714285</v>
      </c>
      <c r="I52" s="49">
        <f>AVERAGE('12.08 Buwenge-Jinja'!I52,'13.08 Buwenge-Jinja'!I52,'14.08 Buwenge-Jinja'!I52,'15.08 Buwenge-Jinja'!I52,'16.08 Buwenge-Jinja-24h'!I52,'17.08 Buwenge-Jinja-24h'!I52,'18.08 Buwenge-Jinja'!I52)</f>
        <v>3.5714285714285716</v>
      </c>
      <c r="J52" s="49">
        <f>AVERAGE('12.08 Buwenge-Jinja'!J52,'13.08 Buwenge-Jinja'!J52,'14.08 Buwenge-Jinja'!J52,'15.08 Buwenge-Jinja'!J52,'16.08 Buwenge-Jinja-24h'!J52,'17.08 Buwenge-Jinja-24h'!J52,'18.08 Buwenge-Jinja'!J52)</f>
        <v>0.2857142857142857</v>
      </c>
      <c r="K52" s="49">
        <f>AVERAGE('12.08 Buwenge-Jinja'!K52,'13.08 Buwenge-Jinja'!K52,'14.08 Buwenge-Jinja'!K52,'15.08 Buwenge-Jinja'!K52,'16.08 Buwenge-Jinja-24h'!K52,'17.08 Buwenge-Jinja-24h'!K52,'18.08 Buwenge-Jinja'!K52)</f>
        <v>0.14285714285714285</v>
      </c>
      <c r="L52" s="49">
        <f>AVERAGE('12.08 Buwenge-Jinja'!L52,'13.08 Buwenge-Jinja'!L52,'14.08 Buwenge-Jinja'!L52,'15.08 Buwenge-Jinja'!L52,'16.08 Buwenge-Jinja-24h'!L52,'17.08 Buwenge-Jinja-24h'!L52,'18.08 Buwenge-Jinja'!L52)</f>
        <v>0</v>
      </c>
      <c r="M52" s="49">
        <f>AVERAGE('12.08 Buwenge-Jinja'!M52,'13.08 Buwenge-Jinja'!M52,'14.08 Buwenge-Jinja'!M52,'15.08 Buwenge-Jinja'!M52,'16.08 Buwenge-Jinja-24h'!M52,'17.08 Buwenge-Jinja-24h'!M52,'18.08 Buwenge-Jinja'!M52)</f>
        <v>40.714285714285715</v>
      </c>
      <c r="N52" s="49">
        <f>AVERAGE('12.08 Buwenge-Jinja'!N52,'13.08 Buwenge-Jinja'!N52,'14.08 Buwenge-Jinja'!N52,'15.08 Buwenge-Jinja'!N52,'16.08 Buwenge-Jinja-24h'!N52,'17.08 Buwenge-Jinja-24h'!N52,'18.08 Buwenge-Jinja'!N52)</f>
        <v>0</v>
      </c>
      <c r="O52" s="15">
        <f t="shared" si="0"/>
        <v>45.428571428571431</v>
      </c>
      <c r="P52" s="15">
        <f t="shared" si="1"/>
        <v>86.142857142857139</v>
      </c>
      <c r="R52" s="8"/>
      <c r="T52"/>
    </row>
    <row r="53" spans="2:20" ht="23.1" customHeight="1" x14ac:dyDescent="0.25">
      <c r="B53" s="23" t="s">
        <v>80</v>
      </c>
      <c r="C53" s="49">
        <f>AVERAGE('12.08 Buwenge-Jinja'!C53,'13.08 Buwenge-Jinja'!C53,'14.08 Buwenge-Jinja'!C53,'15.08 Buwenge-Jinja'!C53,'16.08 Buwenge-Jinja-24h'!C53,'17.08 Buwenge-Jinja-24h'!C53,'18.08 Buwenge-Jinja'!C53)</f>
        <v>10</v>
      </c>
      <c r="D53" s="49">
        <f>AVERAGE('12.08 Buwenge-Jinja'!D53,'13.08 Buwenge-Jinja'!D53,'14.08 Buwenge-Jinja'!D53,'15.08 Buwenge-Jinja'!D53,'16.08 Buwenge-Jinja-24h'!D53,'17.08 Buwenge-Jinja-24h'!D53,'18.08 Buwenge-Jinja'!D53)</f>
        <v>2.4285714285714284</v>
      </c>
      <c r="E53" s="49">
        <f>AVERAGE('12.08 Buwenge-Jinja'!E53,'13.08 Buwenge-Jinja'!E53,'14.08 Buwenge-Jinja'!E53,'15.08 Buwenge-Jinja'!E53,'16.08 Buwenge-Jinja-24h'!E53,'17.08 Buwenge-Jinja-24h'!E53,'18.08 Buwenge-Jinja'!E53)</f>
        <v>5.4285714285714288</v>
      </c>
      <c r="F53" s="49">
        <f>AVERAGE('12.08 Buwenge-Jinja'!F53,'13.08 Buwenge-Jinja'!F53,'14.08 Buwenge-Jinja'!F53,'15.08 Buwenge-Jinja'!F53,'16.08 Buwenge-Jinja-24h'!F53,'17.08 Buwenge-Jinja-24h'!F53,'18.08 Buwenge-Jinja'!F53)</f>
        <v>12.714285714285714</v>
      </c>
      <c r="G53" s="49">
        <f>AVERAGE('12.08 Buwenge-Jinja'!G53,'13.08 Buwenge-Jinja'!G53,'14.08 Buwenge-Jinja'!G53,'15.08 Buwenge-Jinja'!G53,'16.08 Buwenge-Jinja-24h'!G53,'17.08 Buwenge-Jinja-24h'!G53,'18.08 Buwenge-Jinja'!G53)</f>
        <v>3.2857142857142856</v>
      </c>
      <c r="H53" s="49">
        <f>AVERAGE('12.08 Buwenge-Jinja'!H53,'13.08 Buwenge-Jinja'!H53,'14.08 Buwenge-Jinja'!H53,'15.08 Buwenge-Jinja'!H53,'16.08 Buwenge-Jinja-24h'!H53,'17.08 Buwenge-Jinja-24h'!H53,'18.08 Buwenge-Jinja'!H53)</f>
        <v>0.14285714285714285</v>
      </c>
      <c r="I53" s="49">
        <f>AVERAGE('12.08 Buwenge-Jinja'!I53,'13.08 Buwenge-Jinja'!I53,'14.08 Buwenge-Jinja'!I53,'15.08 Buwenge-Jinja'!I53,'16.08 Buwenge-Jinja-24h'!I53,'17.08 Buwenge-Jinja-24h'!I53,'18.08 Buwenge-Jinja'!I53)</f>
        <v>3.4285714285714284</v>
      </c>
      <c r="J53" s="49">
        <f>AVERAGE('12.08 Buwenge-Jinja'!J53,'13.08 Buwenge-Jinja'!J53,'14.08 Buwenge-Jinja'!J53,'15.08 Buwenge-Jinja'!J53,'16.08 Buwenge-Jinja-24h'!J53,'17.08 Buwenge-Jinja-24h'!J53,'18.08 Buwenge-Jinja'!J53)</f>
        <v>0.2857142857142857</v>
      </c>
      <c r="K53" s="49">
        <f>AVERAGE('12.08 Buwenge-Jinja'!K53,'13.08 Buwenge-Jinja'!K53,'14.08 Buwenge-Jinja'!K53,'15.08 Buwenge-Jinja'!K53,'16.08 Buwenge-Jinja-24h'!K53,'17.08 Buwenge-Jinja-24h'!K53,'18.08 Buwenge-Jinja'!K53)</f>
        <v>0.14285714285714285</v>
      </c>
      <c r="L53" s="49">
        <f>AVERAGE('12.08 Buwenge-Jinja'!L53,'13.08 Buwenge-Jinja'!L53,'14.08 Buwenge-Jinja'!L53,'15.08 Buwenge-Jinja'!L53,'16.08 Buwenge-Jinja-24h'!L53,'17.08 Buwenge-Jinja-24h'!L53,'18.08 Buwenge-Jinja'!L53)</f>
        <v>0</v>
      </c>
      <c r="M53" s="49">
        <f>AVERAGE('12.08 Buwenge-Jinja'!M53,'13.08 Buwenge-Jinja'!M53,'14.08 Buwenge-Jinja'!M53,'15.08 Buwenge-Jinja'!M53,'16.08 Buwenge-Jinja-24h'!M53,'17.08 Buwenge-Jinja-24h'!M53,'18.08 Buwenge-Jinja'!M53)</f>
        <v>40</v>
      </c>
      <c r="N53" s="49">
        <f>AVERAGE('12.08 Buwenge-Jinja'!N53,'13.08 Buwenge-Jinja'!N53,'14.08 Buwenge-Jinja'!N53,'15.08 Buwenge-Jinja'!N53,'16.08 Buwenge-Jinja-24h'!N53,'17.08 Buwenge-Jinja-24h'!N53,'18.08 Buwenge-Jinja'!N53)</f>
        <v>0</v>
      </c>
      <c r="O53" s="15">
        <f t="shared" si="0"/>
        <v>37.857142857142861</v>
      </c>
      <c r="P53" s="15">
        <f t="shared" si="1"/>
        <v>77.857142857142861</v>
      </c>
      <c r="R53" s="8"/>
      <c r="T53"/>
    </row>
    <row r="54" spans="2:20" ht="23.1" customHeight="1" x14ac:dyDescent="0.25">
      <c r="B54" s="23" t="s">
        <v>81</v>
      </c>
      <c r="C54" s="49">
        <f>AVERAGE('12.08 Buwenge-Jinja'!C54,'13.08 Buwenge-Jinja'!C54,'14.08 Buwenge-Jinja'!C54,'15.08 Buwenge-Jinja'!C54,'16.08 Buwenge-Jinja-24h'!C54,'17.08 Buwenge-Jinja-24h'!C54,'18.08 Buwenge-Jinja'!C54)</f>
        <v>10</v>
      </c>
      <c r="D54" s="49">
        <f>AVERAGE('12.08 Buwenge-Jinja'!D54,'13.08 Buwenge-Jinja'!D54,'14.08 Buwenge-Jinja'!D54,'15.08 Buwenge-Jinja'!D54,'16.08 Buwenge-Jinja-24h'!D54,'17.08 Buwenge-Jinja-24h'!D54,'18.08 Buwenge-Jinja'!D54)</f>
        <v>3.5714285714285716</v>
      </c>
      <c r="E54" s="49">
        <f>AVERAGE('12.08 Buwenge-Jinja'!E54,'13.08 Buwenge-Jinja'!E54,'14.08 Buwenge-Jinja'!E54,'15.08 Buwenge-Jinja'!E54,'16.08 Buwenge-Jinja-24h'!E54,'17.08 Buwenge-Jinja-24h'!E54,'18.08 Buwenge-Jinja'!E54)</f>
        <v>9.4285714285714288</v>
      </c>
      <c r="F54" s="49">
        <f>AVERAGE('12.08 Buwenge-Jinja'!F54,'13.08 Buwenge-Jinja'!F54,'14.08 Buwenge-Jinja'!F54,'15.08 Buwenge-Jinja'!F54,'16.08 Buwenge-Jinja-24h'!F54,'17.08 Buwenge-Jinja-24h'!F54,'18.08 Buwenge-Jinja'!F54)</f>
        <v>11.714285714285714</v>
      </c>
      <c r="G54" s="49">
        <f>AVERAGE('12.08 Buwenge-Jinja'!G54,'13.08 Buwenge-Jinja'!G54,'14.08 Buwenge-Jinja'!G54,'15.08 Buwenge-Jinja'!G54,'16.08 Buwenge-Jinja-24h'!G54,'17.08 Buwenge-Jinja-24h'!G54,'18.08 Buwenge-Jinja'!G54)</f>
        <v>3.5714285714285716</v>
      </c>
      <c r="H54" s="49">
        <f>AVERAGE('12.08 Buwenge-Jinja'!H54,'13.08 Buwenge-Jinja'!H54,'14.08 Buwenge-Jinja'!H54,'15.08 Buwenge-Jinja'!H54,'16.08 Buwenge-Jinja-24h'!H54,'17.08 Buwenge-Jinja-24h'!H54,'18.08 Buwenge-Jinja'!H54)</f>
        <v>0.14285714285714285</v>
      </c>
      <c r="I54" s="49">
        <f>AVERAGE('12.08 Buwenge-Jinja'!I54,'13.08 Buwenge-Jinja'!I54,'14.08 Buwenge-Jinja'!I54,'15.08 Buwenge-Jinja'!I54,'16.08 Buwenge-Jinja-24h'!I54,'17.08 Buwenge-Jinja-24h'!I54,'18.08 Buwenge-Jinja'!I54)</f>
        <v>3.5714285714285716</v>
      </c>
      <c r="J54" s="49">
        <f>AVERAGE('12.08 Buwenge-Jinja'!J54,'13.08 Buwenge-Jinja'!J54,'14.08 Buwenge-Jinja'!J54,'15.08 Buwenge-Jinja'!J54,'16.08 Buwenge-Jinja-24h'!J54,'17.08 Buwenge-Jinja-24h'!J54,'18.08 Buwenge-Jinja'!J54)</f>
        <v>0.8571428571428571</v>
      </c>
      <c r="K54" s="49">
        <f>AVERAGE('12.08 Buwenge-Jinja'!K54,'13.08 Buwenge-Jinja'!K54,'14.08 Buwenge-Jinja'!K54,'15.08 Buwenge-Jinja'!K54,'16.08 Buwenge-Jinja-24h'!K54,'17.08 Buwenge-Jinja-24h'!K54,'18.08 Buwenge-Jinja'!K54)</f>
        <v>0</v>
      </c>
      <c r="L54" s="49">
        <f>AVERAGE('12.08 Buwenge-Jinja'!L54,'13.08 Buwenge-Jinja'!L54,'14.08 Buwenge-Jinja'!L54,'15.08 Buwenge-Jinja'!L54,'16.08 Buwenge-Jinja-24h'!L54,'17.08 Buwenge-Jinja-24h'!L54,'18.08 Buwenge-Jinja'!L54)</f>
        <v>0</v>
      </c>
      <c r="M54" s="49">
        <f>AVERAGE('12.08 Buwenge-Jinja'!M54,'13.08 Buwenge-Jinja'!M54,'14.08 Buwenge-Jinja'!M54,'15.08 Buwenge-Jinja'!M54,'16.08 Buwenge-Jinja-24h'!M54,'17.08 Buwenge-Jinja-24h'!M54,'18.08 Buwenge-Jinja'!M54)</f>
        <v>36.428571428571431</v>
      </c>
      <c r="N54" s="49">
        <f>AVERAGE('12.08 Buwenge-Jinja'!N54,'13.08 Buwenge-Jinja'!N54,'14.08 Buwenge-Jinja'!N54,'15.08 Buwenge-Jinja'!N54,'16.08 Buwenge-Jinja-24h'!N54,'17.08 Buwenge-Jinja-24h'!N54,'18.08 Buwenge-Jinja'!N54)</f>
        <v>0</v>
      </c>
      <c r="O54" s="15">
        <f t="shared" si="0"/>
        <v>42.857142857142854</v>
      </c>
      <c r="P54" s="15">
        <f t="shared" si="1"/>
        <v>79.285714285714278</v>
      </c>
      <c r="R54" s="8"/>
      <c r="T54"/>
    </row>
    <row r="55" spans="2:20" ht="23.1" customHeight="1" x14ac:dyDescent="0.25">
      <c r="B55" s="23" t="s">
        <v>82</v>
      </c>
      <c r="C55" s="49">
        <f>AVERAGE('12.08 Buwenge-Jinja'!C55,'13.08 Buwenge-Jinja'!C55,'14.08 Buwenge-Jinja'!C55,'15.08 Buwenge-Jinja'!C55,'16.08 Buwenge-Jinja-24h'!C55,'17.08 Buwenge-Jinja-24h'!C55,'18.08 Buwenge-Jinja'!C55)</f>
        <v>9.2857142857142865</v>
      </c>
      <c r="D55" s="49">
        <f>AVERAGE('12.08 Buwenge-Jinja'!D55,'13.08 Buwenge-Jinja'!D55,'14.08 Buwenge-Jinja'!D55,'15.08 Buwenge-Jinja'!D55,'16.08 Buwenge-Jinja-24h'!D55,'17.08 Buwenge-Jinja-24h'!D55,'18.08 Buwenge-Jinja'!D55)</f>
        <v>2.4285714285714284</v>
      </c>
      <c r="E55" s="49">
        <f>AVERAGE('12.08 Buwenge-Jinja'!E55,'13.08 Buwenge-Jinja'!E55,'14.08 Buwenge-Jinja'!E55,'15.08 Buwenge-Jinja'!E55,'16.08 Buwenge-Jinja-24h'!E55,'17.08 Buwenge-Jinja-24h'!E55,'18.08 Buwenge-Jinja'!E55)</f>
        <v>5.4285714285714288</v>
      </c>
      <c r="F55" s="49">
        <f>AVERAGE('12.08 Buwenge-Jinja'!F55,'13.08 Buwenge-Jinja'!F55,'14.08 Buwenge-Jinja'!F55,'15.08 Buwenge-Jinja'!F55,'16.08 Buwenge-Jinja-24h'!F55,'17.08 Buwenge-Jinja-24h'!F55,'18.08 Buwenge-Jinja'!F55)</f>
        <v>14</v>
      </c>
      <c r="G55" s="49">
        <f>AVERAGE('12.08 Buwenge-Jinja'!G55,'13.08 Buwenge-Jinja'!G55,'14.08 Buwenge-Jinja'!G55,'15.08 Buwenge-Jinja'!G55,'16.08 Buwenge-Jinja-24h'!G55,'17.08 Buwenge-Jinja-24h'!G55,'18.08 Buwenge-Jinja'!G55)</f>
        <v>4</v>
      </c>
      <c r="H55" s="49">
        <f>AVERAGE('12.08 Buwenge-Jinja'!H55,'13.08 Buwenge-Jinja'!H55,'14.08 Buwenge-Jinja'!H55,'15.08 Buwenge-Jinja'!H55,'16.08 Buwenge-Jinja-24h'!H55,'17.08 Buwenge-Jinja-24h'!H55,'18.08 Buwenge-Jinja'!H55)</f>
        <v>0.14285714285714285</v>
      </c>
      <c r="I55" s="49">
        <f>AVERAGE('12.08 Buwenge-Jinja'!I55,'13.08 Buwenge-Jinja'!I55,'14.08 Buwenge-Jinja'!I55,'15.08 Buwenge-Jinja'!I55,'16.08 Buwenge-Jinja-24h'!I55,'17.08 Buwenge-Jinja-24h'!I55,'18.08 Buwenge-Jinja'!I55)</f>
        <v>3.5714285714285716</v>
      </c>
      <c r="J55" s="49">
        <f>AVERAGE('12.08 Buwenge-Jinja'!J55,'13.08 Buwenge-Jinja'!J55,'14.08 Buwenge-Jinja'!J55,'15.08 Buwenge-Jinja'!J55,'16.08 Buwenge-Jinja-24h'!J55,'17.08 Buwenge-Jinja-24h'!J55,'18.08 Buwenge-Jinja'!J55)</f>
        <v>0.14285714285714285</v>
      </c>
      <c r="K55" s="49">
        <f>AVERAGE('12.08 Buwenge-Jinja'!K55,'13.08 Buwenge-Jinja'!K55,'14.08 Buwenge-Jinja'!K55,'15.08 Buwenge-Jinja'!K55,'16.08 Buwenge-Jinja-24h'!K55,'17.08 Buwenge-Jinja-24h'!K55,'18.08 Buwenge-Jinja'!K55)</f>
        <v>0</v>
      </c>
      <c r="L55" s="49">
        <f>AVERAGE('12.08 Buwenge-Jinja'!L55,'13.08 Buwenge-Jinja'!L55,'14.08 Buwenge-Jinja'!L55,'15.08 Buwenge-Jinja'!L55,'16.08 Buwenge-Jinja-24h'!L55,'17.08 Buwenge-Jinja-24h'!L55,'18.08 Buwenge-Jinja'!L55)</f>
        <v>0</v>
      </c>
      <c r="M55" s="49">
        <f>AVERAGE('12.08 Buwenge-Jinja'!M55,'13.08 Buwenge-Jinja'!M55,'14.08 Buwenge-Jinja'!M55,'15.08 Buwenge-Jinja'!M55,'16.08 Buwenge-Jinja-24h'!M55,'17.08 Buwenge-Jinja-24h'!M55,'18.08 Buwenge-Jinja'!M55)</f>
        <v>38.142857142857146</v>
      </c>
      <c r="N55" s="49">
        <f>AVERAGE('12.08 Buwenge-Jinja'!N55,'13.08 Buwenge-Jinja'!N55,'14.08 Buwenge-Jinja'!N55,'15.08 Buwenge-Jinja'!N55,'16.08 Buwenge-Jinja-24h'!N55,'17.08 Buwenge-Jinja-24h'!N55,'18.08 Buwenge-Jinja'!N55)</f>
        <v>0</v>
      </c>
      <c r="O55" s="15">
        <f t="shared" si="0"/>
        <v>39.000000000000007</v>
      </c>
      <c r="P55" s="15">
        <f t="shared" si="1"/>
        <v>77.142857142857153</v>
      </c>
      <c r="R55" s="8"/>
      <c r="T55"/>
    </row>
    <row r="56" spans="2:20" ht="23.1" customHeight="1" x14ac:dyDescent="0.25">
      <c r="B56" s="23" t="s">
        <v>83</v>
      </c>
      <c r="C56" s="49">
        <f>AVERAGE('12.08 Buwenge-Jinja'!C56,'13.08 Buwenge-Jinja'!C56,'14.08 Buwenge-Jinja'!C56,'15.08 Buwenge-Jinja'!C56,'16.08 Buwenge-Jinja-24h'!C56,'17.08 Buwenge-Jinja-24h'!C56,'18.08 Buwenge-Jinja'!C56)</f>
        <v>8.2857142857142865</v>
      </c>
      <c r="D56" s="49">
        <f>AVERAGE('12.08 Buwenge-Jinja'!D56,'13.08 Buwenge-Jinja'!D56,'14.08 Buwenge-Jinja'!D56,'15.08 Buwenge-Jinja'!D56,'16.08 Buwenge-Jinja-24h'!D56,'17.08 Buwenge-Jinja-24h'!D56,'18.08 Buwenge-Jinja'!D56)</f>
        <v>1.8571428571428572</v>
      </c>
      <c r="E56" s="49">
        <f>AVERAGE('12.08 Buwenge-Jinja'!E56,'13.08 Buwenge-Jinja'!E56,'14.08 Buwenge-Jinja'!E56,'15.08 Buwenge-Jinja'!E56,'16.08 Buwenge-Jinja-24h'!E56,'17.08 Buwenge-Jinja-24h'!E56,'18.08 Buwenge-Jinja'!E56)</f>
        <v>4.8571428571428568</v>
      </c>
      <c r="F56" s="49">
        <f>AVERAGE('12.08 Buwenge-Jinja'!F56,'13.08 Buwenge-Jinja'!F56,'14.08 Buwenge-Jinja'!F56,'15.08 Buwenge-Jinja'!F56,'16.08 Buwenge-Jinja-24h'!F56,'17.08 Buwenge-Jinja-24h'!F56,'18.08 Buwenge-Jinja'!F56)</f>
        <v>11.571428571428571</v>
      </c>
      <c r="G56" s="49">
        <f>AVERAGE('12.08 Buwenge-Jinja'!G56,'13.08 Buwenge-Jinja'!G56,'14.08 Buwenge-Jinja'!G56,'15.08 Buwenge-Jinja'!G56,'16.08 Buwenge-Jinja-24h'!G56,'17.08 Buwenge-Jinja-24h'!G56,'18.08 Buwenge-Jinja'!G56)</f>
        <v>3.4285714285714284</v>
      </c>
      <c r="H56" s="49">
        <f>AVERAGE('12.08 Buwenge-Jinja'!H56,'13.08 Buwenge-Jinja'!H56,'14.08 Buwenge-Jinja'!H56,'15.08 Buwenge-Jinja'!H56,'16.08 Buwenge-Jinja-24h'!H56,'17.08 Buwenge-Jinja-24h'!H56,'18.08 Buwenge-Jinja'!H56)</f>
        <v>0</v>
      </c>
      <c r="I56" s="49">
        <f>AVERAGE('12.08 Buwenge-Jinja'!I56,'13.08 Buwenge-Jinja'!I56,'14.08 Buwenge-Jinja'!I56,'15.08 Buwenge-Jinja'!I56,'16.08 Buwenge-Jinja-24h'!I56,'17.08 Buwenge-Jinja-24h'!I56,'18.08 Buwenge-Jinja'!I56)</f>
        <v>5.2857142857142856</v>
      </c>
      <c r="J56" s="49">
        <f>AVERAGE('12.08 Buwenge-Jinja'!J56,'13.08 Buwenge-Jinja'!J56,'14.08 Buwenge-Jinja'!J56,'15.08 Buwenge-Jinja'!J56,'16.08 Buwenge-Jinja-24h'!J56,'17.08 Buwenge-Jinja-24h'!J56,'18.08 Buwenge-Jinja'!J56)</f>
        <v>1.2857142857142858</v>
      </c>
      <c r="K56" s="49">
        <f>AVERAGE('12.08 Buwenge-Jinja'!K56,'13.08 Buwenge-Jinja'!K56,'14.08 Buwenge-Jinja'!K56,'15.08 Buwenge-Jinja'!K56,'16.08 Buwenge-Jinja-24h'!K56,'17.08 Buwenge-Jinja-24h'!K56,'18.08 Buwenge-Jinja'!K56)</f>
        <v>0.2857142857142857</v>
      </c>
      <c r="L56" s="49">
        <f>AVERAGE('12.08 Buwenge-Jinja'!L56,'13.08 Buwenge-Jinja'!L56,'14.08 Buwenge-Jinja'!L56,'15.08 Buwenge-Jinja'!L56,'16.08 Buwenge-Jinja-24h'!L56,'17.08 Buwenge-Jinja-24h'!L56,'18.08 Buwenge-Jinja'!L56)</f>
        <v>0</v>
      </c>
      <c r="M56" s="49">
        <f>AVERAGE('12.08 Buwenge-Jinja'!M56,'13.08 Buwenge-Jinja'!M56,'14.08 Buwenge-Jinja'!M56,'15.08 Buwenge-Jinja'!M56,'16.08 Buwenge-Jinja-24h'!M56,'17.08 Buwenge-Jinja-24h'!M56,'18.08 Buwenge-Jinja'!M56)</f>
        <v>34.428571428571431</v>
      </c>
      <c r="N56" s="49">
        <f>AVERAGE('12.08 Buwenge-Jinja'!N56,'13.08 Buwenge-Jinja'!N56,'14.08 Buwenge-Jinja'!N56,'15.08 Buwenge-Jinja'!N56,'16.08 Buwenge-Jinja-24h'!N56,'17.08 Buwenge-Jinja-24h'!N56,'18.08 Buwenge-Jinja'!N56)</f>
        <v>0</v>
      </c>
      <c r="O56" s="15">
        <f t="shared" si="0"/>
        <v>36.857142857142854</v>
      </c>
      <c r="P56" s="15">
        <f t="shared" si="1"/>
        <v>71.285714285714278</v>
      </c>
      <c r="R56" s="8"/>
      <c r="T56"/>
    </row>
    <row r="57" spans="2:20" ht="23.1" customHeight="1" x14ac:dyDescent="0.25">
      <c r="B57" s="23" t="s">
        <v>84</v>
      </c>
      <c r="C57" s="49">
        <f>AVERAGE('12.08 Buwenge-Jinja'!C57,'13.08 Buwenge-Jinja'!C57,'14.08 Buwenge-Jinja'!C57,'15.08 Buwenge-Jinja'!C57,'16.08 Buwenge-Jinja-24h'!C57,'17.08 Buwenge-Jinja-24h'!C57,'18.08 Buwenge-Jinja'!C57)</f>
        <v>10.142857142857142</v>
      </c>
      <c r="D57" s="49">
        <f>AVERAGE('12.08 Buwenge-Jinja'!D57,'13.08 Buwenge-Jinja'!D57,'14.08 Buwenge-Jinja'!D57,'15.08 Buwenge-Jinja'!D57,'16.08 Buwenge-Jinja-24h'!D57,'17.08 Buwenge-Jinja-24h'!D57,'18.08 Buwenge-Jinja'!D57)</f>
        <v>1.7142857142857142</v>
      </c>
      <c r="E57" s="49">
        <f>AVERAGE('12.08 Buwenge-Jinja'!E57,'13.08 Buwenge-Jinja'!E57,'14.08 Buwenge-Jinja'!E57,'15.08 Buwenge-Jinja'!E57,'16.08 Buwenge-Jinja-24h'!E57,'17.08 Buwenge-Jinja-24h'!E57,'18.08 Buwenge-Jinja'!E57)</f>
        <v>5</v>
      </c>
      <c r="F57" s="49">
        <f>AVERAGE('12.08 Buwenge-Jinja'!F57,'13.08 Buwenge-Jinja'!F57,'14.08 Buwenge-Jinja'!F57,'15.08 Buwenge-Jinja'!F57,'16.08 Buwenge-Jinja-24h'!F57,'17.08 Buwenge-Jinja-24h'!F57,'18.08 Buwenge-Jinja'!F57)</f>
        <v>10.857142857142858</v>
      </c>
      <c r="G57" s="49">
        <f>AVERAGE('12.08 Buwenge-Jinja'!G57,'13.08 Buwenge-Jinja'!G57,'14.08 Buwenge-Jinja'!G57,'15.08 Buwenge-Jinja'!G57,'16.08 Buwenge-Jinja-24h'!G57,'17.08 Buwenge-Jinja-24h'!G57,'18.08 Buwenge-Jinja'!G57)</f>
        <v>3.4285714285714284</v>
      </c>
      <c r="H57" s="49">
        <f>AVERAGE('12.08 Buwenge-Jinja'!H57,'13.08 Buwenge-Jinja'!H57,'14.08 Buwenge-Jinja'!H57,'15.08 Buwenge-Jinja'!H57,'16.08 Buwenge-Jinja-24h'!H57,'17.08 Buwenge-Jinja-24h'!H57,'18.08 Buwenge-Jinja'!H57)</f>
        <v>0</v>
      </c>
      <c r="I57" s="49">
        <f>AVERAGE('12.08 Buwenge-Jinja'!I57,'13.08 Buwenge-Jinja'!I57,'14.08 Buwenge-Jinja'!I57,'15.08 Buwenge-Jinja'!I57,'16.08 Buwenge-Jinja-24h'!I57,'17.08 Buwenge-Jinja-24h'!I57,'18.08 Buwenge-Jinja'!I57)</f>
        <v>2.7142857142857144</v>
      </c>
      <c r="J57" s="49">
        <f>AVERAGE('12.08 Buwenge-Jinja'!J57,'13.08 Buwenge-Jinja'!J57,'14.08 Buwenge-Jinja'!J57,'15.08 Buwenge-Jinja'!J57,'16.08 Buwenge-Jinja-24h'!J57,'17.08 Buwenge-Jinja-24h'!J57,'18.08 Buwenge-Jinja'!J57)</f>
        <v>0.7142857142857143</v>
      </c>
      <c r="K57" s="49">
        <f>AVERAGE('12.08 Buwenge-Jinja'!K57,'13.08 Buwenge-Jinja'!K57,'14.08 Buwenge-Jinja'!K57,'15.08 Buwenge-Jinja'!K57,'16.08 Buwenge-Jinja-24h'!K57,'17.08 Buwenge-Jinja-24h'!K57,'18.08 Buwenge-Jinja'!K57)</f>
        <v>0.14285714285714285</v>
      </c>
      <c r="L57" s="49">
        <f>AVERAGE('12.08 Buwenge-Jinja'!L57,'13.08 Buwenge-Jinja'!L57,'14.08 Buwenge-Jinja'!L57,'15.08 Buwenge-Jinja'!L57,'16.08 Buwenge-Jinja-24h'!L57,'17.08 Buwenge-Jinja-24h'!L57,'18.08 Buwenge-Jinja'!L57)</f>
        <v>0</v>
      </c>
      <c r="M57" s="49">
        <f>AVERAGE('12.08 Buwenge-Jinja'!M57,'13.08 Buwenge-Jinja'!M57,'14.08 Buwenge-Jinja'!M57,'15.08 Buwenge-Jinja'!M57,'16.08 Buwenge-Jinja-24h'!M57,'17.08 Buwenge-Jinja-24h'!M57,'18.08 Buwenge-Jinja'!M57)</f>
        <v>34.428571428571431</v>
      </c>
      <c r="N57" s="49">
        <f>AVERAGE('12.08 Buwenge-Jinja'!N57,'13.08 Buwenge-Jinja'!N57,'14.08 Buwenge-Jinja'!N57,'15.08 Buwenge-Jinja'!N57,'16.08 Buwenge-Jinja-24h'!N57,'17.08 Buwenge-Jinja-24h'!N57,'18.08 Buwenge-Jinja'!N57)</f>
        <v>0</v>
      </c>
      <c r="O57" s="15">
        <f t="shared" si="0"/>
        <v>34.714285714285715</v>
      </c>
      <c r="P57" s="15">
        <f t="shared" si="1"/>
        <v>69.142857142857139</v>
      </c>
      <c r="R57" s="8"/>
      <c r="T57"/>
    </row>
    <row r="58" spans="2:20" ht="23.1" customHeight="1" x14ac:dyDescent="0.25">
      <c r="B58" s="23" t="s">
        <v>99</v>
      </c>
      <c r="C58" s="49">
        <f>AVERAGE('16.08 Buwenge-Jinja-24h'!C58,'17.08 Buwenge-Jinja-24h'!C58)</f>
        <v>3</v>
      </c>
      <c r="D58" s="49">
        <f>AVERAGE('16.08 Buwenge-Jinja-24h'!D58,'17.08 Buwenge-Jinja-24h'!D58)</f>
        <v>0.5</v>
      </c>
      <c r="E58" s="49">
        <f>AVERAGE('16.08 Buwenge-Jinja-24h'!E58,'17.08 Buwenge-Jinja-24h'!E58)</f>
        <v>3</v>
      </c>
      <c r="F58" s="49">
        <f>AVERAGE('16.08 Buwenge-Jinja-24h'!F58,'17.08 Buwenge-Jinja-24h'!F58)</f>
        <v>7</v>
      </c>
      <c r="G58" s="49">
        <f>AVERAGE('16.08 Buwenge-Jinja-24h'!G58,'17.08 Buwenge-Jinja-24h'!G58)</f>
        <v>1</v>
      </c>
      <c r="H58" s="49">
        <f>AVERAGE('16.08 Buwenge-Jinja-24h'!H58,'17.08 Buwenge-Jinja-24h'!H58)</f>
        <v>2.5</v>
      </c>
      <c r="I58" s="49">
        <f>AVERAGE('16.08 Buwenge-Jinja-24h'!I58,'17.08 Buwenge-Jinja-24h'!I58)</f>
        <v>1.5</v>
      </c>
      <c r="J58" s="49">
        <f>AVERAGE('16.08 Buwenge-Jinja-24h'!J58,'17.08 Buwenge-Jinja-24h'!J58)</f>
        <v>1</v>
      </c>
      <c r="K58" s="49">
        <f>AVERAGE('16.08 Buwenge-Jinja-24h'!K58,'17.08 Buwenge-Jinja-24h'!K58)</f>
        <v>0</v>
      </c>
      <c r="L58" s="49">
        <f>AVERAGE('16.08 Buwenge-Jinja-24h'!L58,'17.08 Buwenge-Jinja-24h'!L58)</f>
        <v>0</v>
      </c>
      <c r="M58" s="49">
        <f>AVERAGE('16.08 Buwenge-Jinja-24h'!M58,'17.08 Buwenge-Jinja-24h'!M58)</f>
        <v>19.5</v>
      </c>
      <c r="N58" s="49">
        <f>AVERAGE('16.08 Buwenge-Jinja-24h'!N58,'17.08 Buwenge-Jinja-24h'!N58)</f>
        <v>0</v>
      </c>
      <c r="O58" s="15">
        <f t="shared" si="0"/>
        <v>19.5</v>
      </c>
      <c r="P58" s="15">
        <f t="shared" si="1"/>
        <v>39</v>
      </c>
      <c r="R58" s="8"/>
      <c r="T58"/>
    </row>
    <row r="59" spans="2:20" ht="23.1" customHeight="1" x14ac:dyDescent="0.25">
      <c r="B59" s="23" t="s">
        <v>100</v>
      </c>
      <c r="C59" s="49">
        <f>AVERAGE('16.08 Buwenge-Jinja-24h'!C59,'17.08 Buwenge-Jinja-24h'!C59)</f>
        <v>6</v>
      </c>
      <c r="D59" s="49">
        <f>AVERAGE('16.08 Buwenge-Jinja-24h'!D59,'17.08 Buwenge-Jinja-24h'!D59)</f>
        <v>0.5</v>
      </c>
      <c r="E59" s="49">
        <f>AVERAGE('16.08 Buwenge-Jinja-24h'!E59,'17.08 Buwenge-Jinja-24h'!E59)</f>
        <v>3.5</v>
      </c>
      <c r="F59" s="49">
        <f>AVERAGE('16.08 Buwenge-Jinja-24h'!F59,'17.08 Buwenge-Jinja-24h'!F59)</f>
        <v>5.5</v>
      </c>
      <c r="G59" s="49">
        <f>AVERAGE('16.08 Buwenge-Jinja-24h'!G59,'17.08 Buwenge-Jinja-24h'!G59)</f>
        <v>1.5</v>
      </c>
      <c r="H59" s="49">
        <f>AVERAGE('16.08 Buwenge-Jinja-24h'!H59,'17.08 Buwenge-Jinja-24h'!H59)</f>
        <v>21</v>
      </c>
      <c r="I59" s="49">
        <f>AVERAGE('16.08 Buwenge-Jinja-24h'!I59,'17.08 Buwenge-Jinja-24h'!I59)</f>
        <v>1</v>
      </c>
      <c r="J59" s="49">
        <f>AVERAGE('16.08 Buwenge-Jinja-24h'!J59,'17.08 Buwenge-Jinja-24h'!J59)</f>
        <v>0</v>
      </c>
      <c r="K59" s="49">
        <f>AVERAGE('16.08 Buwenge-Jinja-24h'!K59,'17.08 Buwenge-Jinja-24h'!K59)</f>
        <v>0</v>
      </c>
      <c r="L59" s="49">
        <f>AVERAGE('16.08 Buwenge-Jinja-24h'!L59,'17.08 Buwenge-Jinja-24h'!L59)</f>
        <v>0</v>
      </c>
      <c r="M59" s="49">
        <f>AVERAGE('16.08 Buwenge-Jinja-24h'!M59,'17.08 Buwenge-Jinja-24h'!M59)</f>
        <v>24.5</v>
      </c>
      <c r="N59" s="49">
        <f>AVERAGE('16.08 Buwenge-Jinja-24h'!N59,'17.08 Buwenge-Jinja-24h'!N59)</f>
        <v>0</v>
      </c>
      <c r="O59" s="15">
        <f t="shared" si="0"/>
        <v>39</v>
      </c>
      <c r="P59" s="15">
        <f t="shared" si="1"/>
        <v>63.5</v>
      </c>
      <c r="R59" s="8"/>
      <c r="T59"/>
    </row>
    <row r="60" spans="2:20" ht="23.1" customHeight="1" x14ac:dyDescent="0.25">
      <c r="B60" s="23" t="s">
        <v>101</v>
      </c>
      <c r="C60" s="49">
        <f>AVERAGE('16.08 Buwenge-Jinja-24h'!C60,'17.08 Buwenge-Jinja-24h'!C60)</f>
        <v>5</v>
      </c>
      <c r="D60" s="49">
        <f>AVERAGE('16.08 Buwenge-Jinja-24h'!D60,'17.08 Buwenge-Jinja-24h'!D60)</f>
        <v>1.5</v>
      </c>
      <c r="E60" s="49">
        <f>AVERAGE('16.08 Buwenge-Jinja-24h'!E60,'17.08 Buwenge-Jinja-24h'!E60)</f>
        <v>4</v>
      </c>
      <c r="F60" s="49">
        <f>AVERAGE('16.08 Buwenge-Jinja-24h'!F60,'17.08 Buwenge-Jinja-24h'!F60)</f>
        <v>8</v>
      </c>
      <c r="G60" s="49">
        <f>AVERAGE('16.08 Buwenge-Jinja-24h'!G60,'17.08 Buwenge-Jinja-24h'!G60)</f>
        <v>3</v>
      </c>
      <c r="H60" s="49">
        <f>AVERAGE('16.08 Buwenge-Jinja-24h'!H60,'17.08 Buwenge-Jinja-24h'!H60)</f>
        <v>18.5</v>
      </c>
      <c r="I60" s="49">
        <f>AVERAGE('16.08 Buwenge-Jinja-24h'!I60,'17.08 Buwenge-Jinja-24h'!I60)</f>
        <v>3</v>
      </c>
      <c r="J60" s="49">
        <f>AVERAGE('16.08 Buwenge-Jinja-24h'!J60,'17.08 Buwenge-Jinja-24h'!J60)</f>
        <v>1</v>
      </c>
      <c r="K60" s="49">
        <f>AVERAGE('16.08 Buwenge-Jinja-24h'!K60,'17.08 Buwenge-Jinja-24h'!K60)</f>
        <v>0</v>
      </c>
      <c r="L60" s="49">
        <f>AVERAGE('16.08 Buwenge-Jinja-24h'!L60,'17.08 Buwenge-Jinja-24h'!L60)</f>
        <v>0</v>
      </c>
      <c r="M60" s="49">
        <f>AVERAGE('16.08 Buwenge-Jinja-24h'!M60,'17.08 Buwenge-Jinja-24h'!M60)</f>
        <v>15</v>
      </c>
      <c r="N60" s="49">
        <f>AVERAGE('16.08 Buwenge-Jinja-24h'!N60,'17.08 Buwenge-Jinja-24h'!N60)</f>
        <v>0.5</v>
      </c>
      <c r="O60" s="15">
        <f t="shared" si="0"/>
        <v>44.5</v>
      </c>
      <c r="P60" s="15">
        <f t="shared" si="0"/>
        <v>98.5</v>
      </c>
      <c r="R60" s="8"/>
      <c r="T60"/>
    </row>
    <row r="61" spans="2:20" ht="23.1" customHeight="1" x14ac:dyDescent="0.25">
      <c r="B61" s="23" t="s">
        <v>102</v>
      </c>
      <c r="C61" s="49">
        <f>AVERAGE('16.08 Buwenge-Jinja-24h'!C61,'17.08 Buwenge-Jinja-24h'!C61)</f>
        <v>9</v>
      </c>
      <c r="D61" s="49">
        <f>AVERAGE('16.08 Buwenge-Jinja-24h'!D61,'17.08 Buwenge-Jinja-24h'!D61)</f>
        <v>1.5</v>
      </c>
      <c r="E61" s="49">
        <f>AVERAGE('16.08 Buwenge-Jinja-24h'!E61,'17.08 Buwenge-Jinja-24h'!E61)</f>
        <v>4.5</v>
      </c>
      <c r="F61" s="49">
        <f>AVERAGE('16.08 Buwenge-Jinja-24h'!F61,'17.08 Buwenge-Jinja-24h'!F61)</f>
        <v>4.5</v>
      </c>
      <c r="G61" s="49">
        <f>AVERAGE('16.08 Buwenge-Jinja-24h'!G61,'17.08 Buwenge-Jinja-24h'!G61)</f>
        <v>2</v>
      </c>
      <c r="H61" s="49">
        <f>AVERAGE('16.08 Buwenge-Jinja-24h'!H61,'17.08 Buwenge-Jinja-24h'!H61)</f>
        <v>22.5</v>
      </c>
      <c r="I61" s="49">
        <f>AVERAGE('16.08 Buwenge-Jinja-24h'!I61,'17.08 Buwenge-Jinja-24h'!I61)</f>
        <v>3</v>
      </c>
      <c r="J61" s="49">
        <f>AVERAGE('16.08 Buwenge-Jinja-24h'!J61,'17.08 Buwenge-Jinja-24h'!J61)</f>
        <v>0</v>
      </c>
      <c r="K61" s="49">
        <f>AVERAGE('16.08 Buwenge-Jinja-24h'!K61,'17.08 Buwenge-Jinja-24h'!K61)</f>
        <v>0</v>
      </c>
      <c r="L61" s="49">
        <f>AVERAGE('16.08 Buwenge-Jinja-24h'!L61,'17.08 Buwenge-Jinja-24h'!L61)</f>
        <v>0</v>
      </c>
      <c r="M61" s="49">
        <f>AVERAGE('16.08 Buwenge-Jinja-24h'!M61,'17.08 Buwenge-Jinja-24h'!M61)</f>
        <v>19</v>
      </c>
      <c r="N61" s="49">
        <f>AVERAGE('16.08 Buwenge-Jinja-24h'!N61,'17.08 Buwenge-Jinja-24h'!N61)</f>
        <v>1</v>
      </c>
      <c r="O61" s="15">
        <f t="shared" si="0"/>
        <v>48</v>
      </c>
      <c r="P61" s="15">
        <f t="shared" si="0"/>
        <v>105</v>
      </c>
      <c r="R61" s="8"/>
      <c r="T61"/>
    </row>
    <row r="62" spans="2:20" ht="23.1" customHeight="1" x14ac:dyDescent="0.25">
      <c r="B62" s="23" t="s">
        <v>107</v>
      </c>
      <c r="C62" s="49">
        <f>AVERAGE('16.08 Buwenge-Jinja-24h'!C62,'17.08 Buwenge-Jinja-24h'!C62)</f>
        <v>6</v>
      </c>
      <c r="D62" s="49">
        <f>AVERAGE('16.08 Buwenge-Jinja-24h'!D62,'17.08 Buwenge-Jinja-24h'!D62)</f>
        <v>1.5</v>
      </c>
      <c r="E62" s="49">
        <f>AVERAGE('16.08 Buwenge-Jinja-24h'!E62,'17.08 Buwenge-Jinja-24h'!E62)</f>
        <v>4.5</v>
      </c>
      <c r="F62" s="49">
        <f>AVERAGE('16.08 Buwenge-Jinja-24h'!F62,'17.08 Buwenge-Jinja-24h'!F62)</f>
        <v>8</v>
      </c>
      <c r="G62" s="49">
        <f>AVERAGE('16.08 Buwenge-Jinja-24h'!G62,'17.08 Buwenge-Jinja-24h'!G62)</f>
        <v>2</v>
      </c>
      <c r="H62" s="49">
        <f>AVERAGE('16.08 Buwenge-Jinja-24h'!H62,'17.08 Buwenge-Jinja-24h'!H62)</f>
        <v>15.5</v>
      </c>
      <c r="I62" s="49">
        <f>AVERAGE('16.08 Buwenge-Jinja-24h'!I62,'17.08 Buwenge-Jinja-24h'!I62)</f>
        <v>1.5</v>
      </c>
      <c r="J62" s="49">
        <f>AVERAGE('16.08 Buwenge-Jinja-24h'!J62,'17.08 Buwenge-Jinja-24h'!J62)</f>
        <v>0</v>
      </c>
      <c r="K62" s="49">
        <f>AVERAGE('16.08 Buwenge-Jinja-24h'!K62,'17.08 Buwenge-Jinja-24h'!K62)</f>
        <v>0</v>
      </c>
      <c r="L62" s="49">
        <f>AVERAGE('16.08 Buwenge-Jinja-24h'!L62,'17.08 Buwenge-Jinja-24h'!L62)</f>
        <v>0</v>
      </c>
      <c r="M62" s="49">
        <f>AVERAGE('16.08 Buwenge-Jinja-24h'!M62,'17.08 Buwenge-Jinja-24h'!M62)</f>
        <v>21</v>
      </c>
      <c r="N62" s="49">
        <f>AVERAGE('16.08 Buwenge-Jinja-24h'!N62,'17.08 Buwenge-Jinja-24h'!N62)</f>
        <v>0.5</v>
      </c>
      <c r="O62" s="15">
        <f t="shared" si="0"/>
        <v>39.5</v>
      </c>
      <c r="P62" s="15">
        <f t="shared" si="0"/>
        <v>93.5</v>
      </c>
      <c r="R62" s="8"/>
      <c r="T62"/>
    </row>
    <row r="63" spans="2:20" ht="23.1" customHeight="1" x14ac:dyDescent="0.25">
      <c r="B63" s="23" t="s">
        <v>108</v>
      </c>
      <c r="C63" s="49">
        <f>AVERAGE('16.08 Buwenge-Jinja-24h'!C63,'17.08 Buwenge-Jinja-24h'!C63)</f>
        <v>10</v>
      </c>
      <c r="D63" s="49">
        <f>AVERAGE('16.08 Buwenge-Jinja-24h'!D63,'17.08 Buwenge-Jinja-24h'!D63)</f>
        <v>2</v>
      </c>
      <c r="E63" s="49">
        <f>AVERAGE('16.08 Buwenge-Jinja-24h'!E63,'17.08 Buwenge-Jinja-24h'!E63)</f>
        <v>6</v>
      </c>
      <c r="F63" s="49">
        <f>AVERAGE('16.08 Buwenge-Jinja-24h'!F63,'17.08 Buwenge-Jinja-24h'!F63)</f>
        <v>6</v>
      </c>
      <c r="G63" s="49">
        <f>AVERAGE('16.08 Buwenge-Jinja-24h'!G63,'17.08 Buwenge-Jinja-24h'!G63)</f>
        <v>2.5</v>
      </c>
      <c r="H63" s="49">
        <f>AVERAGE('16.08 Buwenge-Jinja-24h'!H63,'17.08 Buwenge-Jinja-24h'!H63)</f>
        <v>14</v>
      </c>
      <c r="I63" s="49">
        <f>AVERAGE('16.08 Buwenge-Jinja-24h'!I63,'17.08 Buwenge-Jinja-24h'!I63)</f>
        <v>1</v>
      </c>
      <c r="J63" s="49">
        <f>AVERAGE('16.08 Buwenge-Jinja-24h'!J63,'17.08 Buwenge-Jinja-24h'!J63)</f>
        <v>0</v>
      </c>
      <c r="K63" s="49">
        <f>AVERAGE('16.08 Buwenge-Jinja-24h'!K63,'17.08 Buwenge-Jinja-24h'!K63)</f>
        <v>0</v>
      </c>
      <c r="L63" s="49">
        <f>AVERAGE('16.08 Buwenge-Jinja-24h'!L63,'17.08 Buwenge-Jinja-24h'!L63)</f>
        <v>0</v>
      </c>
      <c r="M63" s="49">
        <f>AVERAGE('16.08 Buwenge-Jinja-24h'!M63,'17.08 Buwenge-Jinja-24h'!M63)</f>
        <v>17.5</v>
      </c>
      <c r="N63" s="49">
        <f>AVERAGE('16.08 Buwenge-Jinja-24h'!N63,'17.08 Buwenge-Jinja-24h'!N63)</f>
        <v>1</v>
      </c>
      <c r="O63" s="15">
        <f t="shared" si="0"/>
        <v>42.5</v>
      </c>
      <c r="P63" s="15">
        <f t="shared" si="0"/>
        <v>91.5</v>
      </c>
      <c r="R63" s="8"/>
      <c r="T63"/>
    </row>
    <row r="64" spans="2:20" ht="23.1" customHeight="1" x14ac:dyDescent="0.25">
      <c r="B64" s="23" t="s">
        <v>109</v>
      </c>
      <c r="C64" s="49">
        <f>AVERAGE('16.08 Buwenge-Jinja-24h'!C64,'17.08 Buwenge-Jinja-24h'!C64)</f>
        <v>2.5</v>
      </c>
      <c r="D64" s="49">
        <f>AVERAGE('16.08 Buwenge-Jinja-24h'!D64,'17.08 Buwenge-Jinja-24h'!D64)</f>
        <v>1</v>
      </c>
      <c r="E64" s="49">
        <f>AVERAGE('16.08 Buwenge-Jinja-24h'!E64,'17.08 Buwenge-Jinja-24h'!E64)</f>
        <v>4.5</v>
      </c>
      <c r="F64" s="49">
        <f>AVERAGE('16.08 Buwenge-Jinja-24h'!F64,'17.08 Buwenge-Jinja-24h'!F64)</f>
        <v>6</v>
      </c>
      <c r="G64" s="49">
        <f>AVERAGE('16.08 Buwenge-Jinja-24h'!G64,'17.08 Buwenge-Jinja-24h'!G64)</f>
        <v>0.5</v>
      </c>
      <c r="H64" s="49">
        <f>AVERAGE('16.08 Buwenge-Jinja-24h'!H64,'17.08 Buwenge-Jinja-24h'!H64)</f>
        <v>12.5</v>
      </c>
      <c r="I64" s="49">
        <f>AVERAGE('16.08 Buwenge-Jinja-24h'!I64,'17.08 Buwenge-Jinja-24h'!I64)</f>
        <v>2</v>
      </c>
      <c r="J64" s="49">
        <f>AVERAGE('16.08 Buwenge-Jinja-24h'!J64,'17.08 Buwenge-Jinja-24h'!J64)</f>
        <v>0</v>
      </c>
      <c r="K64" s="49">
        <f>AVERAGE('16.08 Buwenge-Jinja-24h'!K64,'17.08 Buwenge-Jinja-24h'!K64)</f>
        <v>0</v>
      </c>
      <c r="L64" s="49">
        <f>AVERAGE('16.08 Buwenge-Jinja-24h'!L64,'17.08 Buwenge-Jinja-24h'!L64)</f>
        <v>0</v>
      </c>
      <c r="M64" s="49">
        <f>AVERAGE('16.08 Buwenge-Jinja-24h'!M64,'17.08 Buwenge-Jinja-24h'!M64)</f>
        <v>10</v>
      </c>
      <c r="N64" s="49">
        <f>AVERAGE('16.08 Buwenge-Jinja-24h'!N64,'17.08 Buwenge-Jinja-24h'!N64)</f>
        <v>0</v>
      </c>
      <c r="O64" s="15">
        <f t="shared" si="0"/>
        <v>29</v>
      </c>
      <c r="P64" s="15">
        <f t="shared" si="0"/>
        <v>65.5</v>
      </c>
      <c r="R64" s="8"/>
      <c r="T64"/>
    </row>
    <row r="65" spans="2:20" ht="23.1" customHeight="1" x14ac:dyDescent="0.25">
      <c r="B65" s="23" t="s">
        <v>158</v>
      </c>
      <c r="C65" s="49">
        <f>AVERAGE('16.08 Buwenge-Jinja-24h'!C65,'17.08 Buwenge-Jinja-24h'!C65)</f>
        <v>10</v>
      </c>
      <c r="D65" s="49">
        <f>AVERAGE('16.08 Buwenge-Jinja-24h'!D65,'17.08 Buwenge-Jinja-24h'!D65)</f>
        <v>2</v>
      </c>
      <c r="E65" s="49">
        <f>AVERAGE('16.08 Buwenge-Jinja-24h'!E65,'17.08 Buwenge-Jinja-24h'!E65)</f>
        <v>5</v>
      </c>
      <c r="F65" s="49">
        <f>AVERAGE('16.08 Buwenge-Jinja-24h'!F65,'17.08 Buwenge-Jinja-24h'!F65)</f>
        <v>0.5</v>
      </c>
      <c r="G65" s="49">
        <f>AVERAGE('16.08 Buwenge-Jinja-24h'!G65,'17.08 Buwenge-Jinja-24h'!G65)</f>
        <v>1</v>
      </c>
      <c r="H65" s="49">
        <f>AVERAGE('16.08 Buwenge-Jinja-24h'!H65,'17.08 Buwenge-Jinja-24h'!H65)</f>
        <v>15</v>
      </c>
      <c r="I65" s="49">
        <f>AVERAGE('16.08 Buwenge-Jinja-24h'!I65,'17.08 Buwenge-Jinja-24h'!I65)</f>
        <v>2.5</v>
      </c>
      <c r="J65" s="49">
        <f>AVERAGE('16.08 Buwenge-Jinja-24h'!J65,'17.08 Buwenge-Jinja-24h'!J65)</f>
        <v>0</v>
      </c>
      <c r="K65" s="49">
        <f>AVERAGE('16.08 Buwenge-Jinja-24h'!K65,'17.08 Buwenge-Jinja-24h'!K65)</f>
        <v>0</v>
      </c>
      <c r="L65" s="49">
        <f>AVERAGE('16.08 Buwenge-Jinja-24h'!L65,'17.08 Buwenge-Jinja-24h'!L65)</f>
        <v>0</v>
      </c>
      <c r="M65" s="49">
        <f>AVERAGE('16.08 Buwenge-Jinja-24h'!M65,'17.08 Buwenge-Jinja-24h'!M65)</f>
        <v>8</v>
      </c>
      <c r="N65" s="49">
        <f>AVERAGE('16.08 Buwenge-Jinja-24h'!N65,'17.08 Buwenge-Jinja-24h'!N65)</f>
        <v>0</v>
      </c>
      <c r="O65" s="15">
        <f t="shared" si="0"/>
        <v>36</v>
      </c>
      <c r="P65" s="15">
        <f t="shared" si="0"/>
        <v>70</v>
      </c>
      <c r="R65" s="8"/>
      <c r="T65"/>
    </row>
    <row r="66" spans="2:20" ht="23.1" customHeight="1" x14ac:dyDescent="0.25">
      <c r="B66" s="23" t="s">
        <v>103</v>
      </c>
      <c r="C66" s="49">
        <f>AVERAGE('16.08 Buwenge-Jinja-24h'!C66,'17.08 Buwenge-Jinja-24h'!C66)</f>
        <v>8.5</v>
      </c>
      <c r="D66" s="49">
        <f>AVERAGE('16.08 Buwenge-Jinja-24h'!D66,'17.08 Buwenge-Jinja-24h'!D66)</f>
        <v>1</v>
      </c>
      <c r="E66" s="49">
        <f>AVERAGE('16.08 Buwenge-Jinja-24h'!E66,'17.08 Buwenge-Jinja-24h'!E66)</f>
        <v>5</v>
      </c>
      <c r="F66" s="49">
        <f>AVERAGE('16.08 Buwenge-Jinja-24h'!F66,'17.08 Buwenge-Jinja-24h'!F66)</f>
        <v>6</v>
      </c>
      <c r="G66" s="49">
        <f>AVERAGE('16.08 Buwenge-Jinja-24h'!G66,'17.08 Buwenge-Jinja-24h'!G66)</f>
        <v>0.5</v>
      </c>
      <c r="H66" s="49">
        <f>AVERAGE('16.08 Buwenge-Jinja-24h'!H66,'17.08 Buwenge-Jinja-24h'!H66)</f>
        <v>12</v>
      </c>
      <c r="I66" s="49">
        <f>AVERAGE('16.08 Buwenge-Jinja-24h'!I66,'17.08 Buwenge-Jinja-24h'!I66)</f>
        <v>1.5</v>
      </c>
      <c r="J66" s="49">
        <f>AVERAGE('16.08 Buwenge-Jinja-24h'!J66,'17.08 Buwenge-Jinja-24h'!J66)</f>
        <v>0</v>
      </c>
      <c r="K66" s="49">
        <f>AVERAGE('16.08 Buwenge-Jinja-24h'!K66,'17.08 Buwenge-Jinja-24h'!K66)</f>
        <v>0</v>
      </c>
      <c r="L66" s="49">
        <f>AVERAGE('16.08 Buwenge-Jinja-24h'!L66,'17.08 Buwenge-Jinja-24h'!L66)</f>
        <v>0</v>
      </c>
      <c r="M66" s="49">
        <f>AVERAGE('16.08 Buwenge-Jinja-24h'!M66,'17.08 Buwenge-Jinja-24h'!M66)</f>
        <v>14</v>
      </c>
      <c r="N66" s="49">
        <f>AVERAGE('16.08 Buwenge-Jinja-24h'!N66,'17.08 Buwenge-Jinja-24h'!N66)</f>
        <v>1</v>
      </c>
      <c r="O66" s="15">
        <f t="shared" si="0"/>
        <v>35.5</v>
      </c>
      <c r="P66" s="15">
        <f t="shared" si="0"/>
        <v>75.5</v>
      </c>
      <c r="R66" s="8"/>
      <c r="T66"/>
    </row>
    <row r="67" spans="2:20" ht="23.1" customHeight="1" x14ac:dyDescent="0.25">
      <c r="B67" s="23" t="s">
        <v>104</v>
      </c>
      <c r="C67" s="49">
        <f>AVERAGE('16.08 Buwenge-Jinja-24h'!C67,'17.08 Buwenge-Jinja-24h'!C67)</f>
        <v>3</v>
      </c>
      <c r="D67" s="49">
        <f>AVERAGE('16.08 Buwenge-Jinja-24h'!D67,'17.08 Buwenge-Jinja-24h'!D67)</f>
        <v>0</v>
      </c>
      <c r="E67" s="49">
        <f>AVERAGE('16.08 Buwenge-Jinja-24h'!E67,'17.08 Buwenge-Jinja-24h'!E67)</f>
        <v>1.5</v>
      </c>
      <c r="F67" s="49">
        <f>AVERAGE('16.08 Buwenge-Jinja-24h'!F67,'17.08 Buwenge-Jinja-24h'!F67)</f>
        <v>1.5</v>
      </c>
      <c r="G67" s="49">
        <f>AVERAGE('16.08 Buwenge-Jinja-24h'!G67,'17.08 Buwenge-Jinja-24h'!G67)</f>
        <v>0</v>
      </c>
      <c r="H67" s="49">
        <f>AVERAGE('16.08 Buwenge-Jinja-24h'!H67,'17.08 Buwenge-Jinja-24h'!H67)</f>
        <v>0</v>
      </c>
      <c r="I67" s="49">
        <f>AVERAGE('16.08 Buwenge-Jinja-24h'!I67,'17.08 Buwenge-Jinja-24h'!I67)</f>
        <v>0</v>
      </c>
      <c r="J67" s="49">
        <f>AVERAGE('16.08 Buwenge-Jinja-24h'!J67,'17.08 Buwenge-Jinja-24h'!J67)</f>
        <v>0</v>
      </c>
      <c r="K67" s="49">
        <f>AVERAGE('16.08 Buwenge-Jinja-24h'!K67,'17.08 Buwenge-Jinja-24h'!K67)</f>
        <v>0</v>
      </c>
      <c r="L67" s="49">
        <f>AVERAGE('16.08 Buwenge-Jinja-24h'!L67,'17.08 Buwenge-Jinja-24h'!L67)</f>
        <v>0</v>
      </c>
      <c r="M67" s="49">
        <f>AVERAGE('16.08 Buwenge-Jinja-24h'!M67,'17.08 Buwenge-Jinja-24h'!M67)</f>
        <v>3.5</v>
      </c>
      <c r="N67" s="49">
        <f>AVERAGE('16.08 Buwenge-Jinja-24h'!N67,'17.08 Buwenge-Jinja-24h'!N67)</f>
        <v>0</v>
      </c>
      <c r="O67" s="15">
        <f t="shared" si="0"/>
        <v>6</v>
      </c>
      <c r="P67" s="15">
        <f t="shared" si="0"/>
        <v>12.5</v>
      </c>
      <c r="R67" s="8"/>
      <c r="T67"/>
    </row>
    <row r="68" spans="2:20" ht="23.1" customHeight="1" x14ac:dyDescent="0.25">
      <c r="B68" s="23" t="s">
        <v>105</v>
      </c>
      <c r="C68" s="49">
        <f>AVERAGE('16.08 Buwenge-Jinja-24h'!C68,'17.08 Buwenge-Jinja-24h'!C68)</f>
        <v>5.5</v>
      </c>
      <c r="D68" s="49">
        <f>AVERAGE('16.08 Buwenge-Jinja-24h'!D68,'17.08 Buwenge-Jinja-24h'!D68)</f>
        <v>1</v>
      </c>
      <c r="E68" s="49">
        <f>AVERAGE('16.08 Buwenge-Jinja-24h'!E68,'17.08 Buwenge-Jinja-24h'!E68)</f>
        <v>3</v>
      </c>
      <c r="F68" s="49">
        <f>AVERAGE('16.08 Buwenge-Jinja-24h'!F68,'17.08 Buwenge-Jinja-24h'!F68)</f>
        <v>2</v>
      </c>
      <c r="G68" s="49">
        <f>AVERAGE('16.08 Buwenge-Jinja-24h'!G68,'17.08 Buwenge-Jinja-24h'!G68)</f>
        <v>1</v>
      </c>
      <c r="H68" s="49">
        <f>AVERAGE('16.08 Buwenge-Jinja-24h'!H68,'17.08 Buwenge-Jinja-24h'!H68)</f>
        <v>10</v>
      </c>
      <c r="I68" s="49">
        <f>AVERAGE('16.08 Buwenge-Jinja-24h'!I68,'17.08 Buwenge-Jinja-24h'!I68)</f>
        <v>1.5</v>
      </c>
      <c r="J68" s="49">
        <f>AVERAGE('16.08 Buwenge-Jinja-24h'!J68,'17.08 Buwenge-Jinja-24h'!J68)</f>
        <v>0.5</v>
      </c>
      <c r="K68" s="49">
        <f>AVERAGE('16.08 Buwenge-Jinja-24h'!K68,'17.08 Buwenge-Jinja-24h'!K68)</f>
        <v>0</v>
      </c>
      <c r="L68" s="49">
        <f>AVERAGE('16.08 Buwenge-Jinja-24h'!L68,'17.08 Buwenge-Jinja-24h'!L68)</f>
        <v>0</v>
      </c>
      <c r="M68" s="49">
        <f>AVERAGE('16.08 Buwenge-Jinja-24h'!M68,'17.08 Buwenge-Jinja-24h'!M68)</f>
        <v>8</v>
      </c>
      <c r="N68" s="49">
        <f>AVERAGE('16.08 Buwenge-Jinja-24h'!N68,'17.08 Buwenge-Jinja-24h'!N68)</f>
        <v>0.5</v>
      </c>
      <c r="O68" s="15">
        <f t="shared" si="0"/>
        <v>25</v>
      </c>
      <c r="P68" s="15">
        <f t="shared" si="0"/>
        <v>52</v>
      </c>
      <c r="R68" s="8"/>
      <c r="T68"/>
    </row>
    <row r="69" spans="2:20" ht="23.1" customHeight="1" x14ac:dyDescent="0.25">
      <c r="B69" s="23" t="s">
        <v>106</v>
      </c>
      <c r="C69" s="49">
        <f>AVERAGE('16.08 Buwenge-Jinja-24h'!C69,'17.08 Buwenge-Jinja-24h'!C69)</f>
        <v>5</v>
      </c>
      <c r="D69" s="49">
        <f>AVERAGE('16.08 Buwenge-Jinja-24h'!D69,'17.08 Buwenge-Jinja-24h'!D69)</f>
        <v>0</v>
      </c>
      <c r="E69" s="49">
        <f>AVERAGE('16.08 Buwenge-Jinja-24h'!E69,'17.08 Buwenge-Jinja-24h'!E69)</f>
        <v>2.5</v>
      </c>
      <c r="F69" s="49">
        <f>AVERAGE('16.08 Buwenge-Jinja-24h'!F69,'17.08 Buwenge-Jinja-24h'!F69)</f>
        <v>1</v>
      </c>
      <c r="G69" s="49">
        <f>AVERAGE('16.08 Buwenge-Jinja-24h'!G69,'17.08 Buwenge-Jinja-24h'!G69)</f>
        <v>0</v>
      </c>
      <c r="H69" s="49">
        <f>AVERAGE('16.08 Buwenge-Jinja-24h'!H69,'17.08 Buwenge-Jinja-24h'!H69)</f>
        <v>15</v>
      </c>
      <c r="I69" s="49">
        <f>AVERAGE('16.08 Buwenge-Jinja-24h'!I69,'17.08 Buwenge-Jinja-24h'!I69)</f>
        <v>1.5</v>
      </c>
      <c r="J69" s="49">
        <f>AVERAGE('16.08 Buwenge-Jinja-24h'!J69,'17.08 Buwenge-Jinja-24h'!J69)</f>
        <v>0</v>
      </c>
      <c r="K69" s="49">
        <f>AVERAGE('16.08 Buwenge-Jinja-24h'!K69,'17.08 Buwenge-Jinja-24h'!K69)</f>
        <v>0</v>
      </c>
      <c r="L69" s="49">
        <f>AVERAGE('16.08 Buwenge-Jinja-24h'!L69,'17.08 Buwenge-Jinja-24h'!L69)</f>
        <v>0</v>
      </c>
      <c r="M69" s="49">
        <f>AVERAGE('16.08 Buwenge-Jinja-24h'!M69,'17.08 Buwenge-Jinja-24h'!M69)</f>
        <v>9.5</v>
      </c>
      <c r="N69" s="49">
        <f>AVERAGE('16.08 Buwenge-Jinja-24h'!N69,'17.08 Buwenge-Jinja-24h'!N69)</f>
        <v>0.5</v>
      </c>
      <c r="O69" s="15">
        <f t="shared" si="0"/>
        <v>25.5</v>
      </c>
      <c r="P69" s="15">
        <f t="shared" si="0"/>
        <v>55</v>
      </c>
      <c r="R69" s="8"/>
      <c r="T69"/>
    </row>
    <row r="70" spans="2:20" ht="23.1" customHeight="1" x14ac:dyDescent="0.25">
      <c r="B70" s="23" t="s">
        <v>110</v>
      </c>
      <c r="C70" s="49">
        <f>AVERAGE('16.08 Buwenge-Jinja-24h'!C70,'17.08 Buwenge-Jinja-24h'!C70)</f>
        <v>2</v>
      </c>
      <c r="D70" s="49">
        <f>AVERAGE('16.08 Buwenge-Jinja-24h'!D70,'17.08 Buwenge-Jinja-24h'!D70)</f>
        <v>0</v>
      </c>
      <c r="E70" s="49">
        <f>AVERAGE('16.08 Buwenge-Jinja-24h'!E70,'17.08 Buwenge-Jinja-24h'!E70)</f>
        <v>2</v>
      </c>
      <c r="F70" s="49">
        <f>AVERAGE('16.08 Buwenge-Jinja-24h'!F70,'17.08 Buwenge-Jinja-24h'!F70)</f>
        <v>1.5</v>
      </c>
      <c r="G70" s="49">
        <f>AVERAGE('16.08 Buwenge-Jinja-24h'!G70,'17.08 Buwenge-Jinja-24h'!G70)</f>
        <v>1</v>
      </c>
      <c r="H70" s="49">
        <f>AVERAGE('16.08 Buwenge-Jinja-24h'!H70,'17.08 Buwenge-Jinja-24h'!H70)</f>
        <v>2.5</v>
      </c>
      <c r="I70" s="49">
        <f>AVERAGE('16.08 Buwenge-Jinja-24h'!I70,'17.08 Buwenge-Jinja-24h'!I70)</f>
        <v>0.5</v>
      </c>
      <c r="J70" s="49">
        <f>AVERAGE('16.08 Buwenge-Jinja-24h'!J70,'17.08 Buwenge-Jinja-24h'!J70)</f>
        <v>1</v>
      </c>
      <c r="K70" s="49">
        <f>AVERAGE('16.08 Buwenge-Jinja-24h'!K70,'17.08 Buwenge-Jinja-24h'!K70)</f>
        <v>0</v>
      </c>
      <c r="L70" s="49">
        <f>AVERAGE('16.08 Buwenge-Jinja-24h'!L70,'17.08 Buwenge-Jinja-24h'!L70)</f>
        <v>0</v>
      </c>
      <c r="M70" s="49">
        <f>AVERAGE('16.08 Buwenge-Jinja-24h'!M70,'17.08 Buwenge-Jinja-24h'!M70)</f>
        <v>5</v>
      </c>
      <c r="N70" s="49">
        <f>AVERAGE('16.08 Buwenge-Jinja-24h'!N70,'17.08 Buwenge-Jinja-24h'!N70)</f>
        <v>0</v>
      </c>
      <c r="O70" s="15">
        <f t="shared" si="0"/>
        <v>10.5</v>
      </c>
      <c r="P70" s="15">
        <f t="shared" si="0"/>
        <v>24</v>
      </c>
      <c r="R70" s="8"/>
      <c r="T70"/>
    </row>
    <row r="71" spans="2:20" ht="23.1" customHeight="1" x14ac:dyDescent="0.25">
      <c r="B71" s="23" t="s">
        <v>111</v>
      </c>
      <c r="C71" s="49">
        <f>AVERAGE('16.08 Buwenge-Jinja-24h'!C71,'17.08 Buwenge-Jinja-24h'!C71)</f>
        <v>3</v>
      </c>
      <c r="D71" s="49">
        <f>AVERAGE('16.08 Buwenge-Jinja-24h'!D71,'17.08 Buwenge-Jinja-24h'!D71)</f>
        <v>0.5</v>
      </c>
      <c r="E71" s="49">
        <f>AVERAGE('16.08 Buwenge-Jinja-24h'!E71,'17.08 Buwenge-Jinja-24h'!E71)</f>
        <v>1.5</v>
      </c>
      <c r="F71" s="49">
        <f>AVERAGE('16.08 Buwenge-Jinja-24h'!F71,'17.08 Buwenge-Jinja-24h'!F71)</f>
        <v>0</v>
      </c>
      <c r="G71" s="49">
        <f>AVERAGE('16.08 Buwenge-Jinja-24h'!G71,'17.08 Buwenge-Jinja-24h'!G71)</f>
        <v>0</v>
      </c>
      <c r="H71" s="49">
        <f>AVERAGE('16.08 Buwenge-Jinja-24h'!H71,'17.08 Buwenge-Jinja-24h'!H71)</f>
        <v>1</v>
      </c>
      <c r="I71" s="49">
        <f>AVERAGE('16.08 Buwenge-Jinja-24h'!I71,'17.08 Buwenge-Jinja-24h'!I71)</f>
        <v>0.5</v>
      </c>
      <c r="J71" s="49">
        <f>AVERAGE('16.08 Buwenge-Jinja-24h'!J71,'17.08 Buwenge-Jinja-24h'!J71)</f>
        <v>0</v>
      </c>
      <c r="K71" s="49">
        <f>AVERAGE('16.08 Buwenge-Jinja-24h'!K71,'17.08 Buwenge-Jinja-24h'!K71)</f>
        <v>0</v>
      </c>
      <c r="L71" s="49">
        <f>AVERAGE('16.08 Buwenge-Jinja-24h'!L71,'17.08 Buwenge-Jinja-24h'!L71)</f>
        <v>0</v>
      </c>
      <c r="M71" s="49">
        <f>AVERAGE('16.08 Buwenge-Jinja-24h'!M71,'17.08 Buwenge-Jinja-24h'!M71)</f>
        <v>7.5</v>
      </c>
      <c r="N71" s="49">
        <f>AVERAGE('16.08 Buwenge-Jinja-24h'!N71,'17.08 Buwenge-Jinja-24h'!N71)</f>
        <v>0</v>
      </c>
      <c r="O71" s="15">
        <f t="shared" si="0"/>
        <v>6.5</v>
      </c>
      <c r="P71" s="15">
        <f t="shared" si="0"/>
        <v>17.5</v>
      </c>
      <c r="R71" s="8"/>
      <c r="T71"/>
    </row>
    <row r="72" spans="2:20" ht="23.1" customHeight="1" x14ac:dyDescent="0.25">
      <c r="B72" s="23" t="s">
        <v>112</v>
      </c>
      <c r="C72" s="49">
        <f>AVERAGE('16.08 Buwenge-Jinja-24h'!C72,'17.08 Buwenge-Jinja-24h'!C72)</f>
        <v>3.5</v>
      </c>
      <c r="D72" s="49">
        <f>AVERAGE('16.08 Buwenge-Jinja-24h'!D72,'17.08 Buwenge-Jinja-24h'!D72)</f>
        <v>0</v>
      </c>
      <c r="E72" s="49">
        <f>AVERAGE('16.08 Buwenge-Jinja-24h'!E72,'17.08 Buwenge-Jinja-24h'!E72)</f>
        <v>1</v>
      </c>
      <c r="F72" s="49">
        <f>AVERAGE('16.08 Buwenge-Jinja-24h'!F72,'17.08 Buwenge-Jinja-24h'!F72)</f>
        <v>0.5</v>
      </c>
      <c r="G72" s="49">
        <f>AVERAGE('16.08 Buwenge-Jinja-24h'!G72,'17.08 Buwenge-Jinja-24h'!G72)</f>
        <v>0</v>
      </c>
      <c r="H72" s="49">
        <f>AVERAGE('16.08 Buwenge-Jinja-24h'!H72,'17.08 Buwenge-Jinja-24h'!H72)</f>
        <v>3.5</v>
      </c>
      <c r="I72" s="49">
        <f>AVERAGE('16.08 Buwenge-Jinja-24h'!I72,'17.08 Buwenge-Jinja-24h'!I72)</f>
        <v>3</v>
      </c>
      <c r="J72" s="49">
        <f>AVERAGE('16.08 Buwenge-Jinja-24h'!J72,'17.08 Buwenge-Jinja-24h'!J72)</f>
        <v>0</v>
      </c>
      <c r="K72" s="49">
        <f>AVERAGE('16.08 Buwenge-Jinja-24h'!K72,'17.08 Buwenge-Jinja-24h'!K72)</f>
        <v>0</v>
      </c>
      <c r="L72" s="49">
        <f>AVERAGE('16.08 Buwenge-Jinja-24h'!L72,'17.08 Buwenge-Jinja-24h'!L72)</f>
        <v>0</v>
      </c>
      <c r="M72" s="49">
        <f>AVERAGE('16.08 Buwenge-Jinja-24h'!M72,'17.08 Buwenge-Jinja-24h'!M72)</f>
        <v>9</v>
      </c>
      <c r="N72" s="49">
        <f>AVERAGE('16.08 Buwenge-Jinja-24h'!N72,'17.08 Buwenge-Jinja-24h'!N72)</f>
        <v>0</v>
      </c>
      <c r="O72" s="15">
        <f t="shared" si="0"/>
        <v>11.5</v>
      </c>
      <c r="P72" s="15">
        <f t="shared" si="0"/>
        <v>28.5</v>
      </c>
      <c r="R72" s="8"/>
      <c r="T72"/>
    </row>
    <row r="73" spans="2:20" ht="23.1" customHeight="1" x14ac:dyDescent="0.25">
      <c r="B73" s="23" t="s">
        <v>113</v>
      </c>
      <c r="C73" s="49">
        <f>AVERAGE('16.08 Buwenge-Jinja-24h'!C73,'17.08 Buwenge-Jinja-24h'!C73)</f>
        <v>1</v>
      </c>
      <c r="D73" s="49">
        <f>AVERAGE('16.08 Buwenge-Jinja-24h'!D73,'17.08 Buwenge-Jinja-24h'!D73)</f>
        <v>0</v>
      </c>
      <c r="E73" s="49">
        <f>AVERAGE('16.08 Buwenge-Jinja-24h'!E73,'17.08 Buwenge-Jinja-24h'!E73)</f>
        <v>1</v>
      </c>
      <c r="F73" s="49">
        <f>AVERAGE('16.08 Buwenge-Jinja-24h'!F73,'17.08 Buwenge-Jinja-24h'!F73)</f>
        <v>0.5</v>
      </c>
      <c r="G73" s="49">
        <f>AVERAGE('16.08 Buwenge-Jinja-24h'!G73,'17.08 Buwenge-Jinja-24h'!G73)</f>
        <v>0</v>
      </c>
      <c r="H73" s="49">
        <f>AVERAGE('16.08 Buwenge-Jinja-24h'!H73,'17.08 Buwenge-Jinja-24h'!H73)</f>
        <v>5</v>
      </c>
      <c r="I73" s="49">
        <f>AVERAGE('16.08 Buwenge-Jinja-24h'!I73,'17.08 Buwenge-Jinja-24h'!I73)</f>
        <v>1.5</v>
      </c>
      <c r="J73" s="49">
        <f>AVERAGE('16.08 Buwenge-Jinja-24h'!J73,'17.08 Buwenge-Jinja-24h'!J73)</f>
        <v>0</v>
      </c>
      <c r="K73" s="49">
        <f>AVERAGE('16.08 Buwenge-Jinja-24h'!K73,'17.08 Buwenge-Jinja-24h'!K73)</f>
        <v>0</v>
      </c>
      <c r="L73" s="49">
        <f>AVERAGE('16.08 Buwenge-Jinja-24h'!L73,'17.08 Buwenge-Jinja-24h'!L73)</f>
        <v>0</v>
      </c>
      <c r="M73" s="49">
        <f>AVERAGE('16.08 Buwenge-Jinja-24h'!M73,'17.08 Buwenge-Jinja-24h'!M73)</f>
        <v>4</v>
      </c>
      <c r="N73" s="49">
        <f>AVERAGE('16.08 Buwenge-Jinja-24h'!N73,'17.08 Buwenge-Jinja-24h'!N73)</f>
        <v>0</v>
      </c>
      <c r="O73" s="15">
        <f t="shared" si="0"/>
        <v>9</v>
      </c>
      <c r="P73" s="15">
        <f t="shared" si="0"/>
        <v>21</v>
      </c>
      <c r="R73" s="8"/>
      <c r="T73"/>
    </row>
    <row r="74" spans="2:20" ht="23.1" customHeight="1" x14ac:dyDescent="0.25">
      <c r="B74" s="23" t="s">
        <v>114</v>
      </c>
      <c r="C74" s="49">
        <f>AVERAGE('16.08 Buwenge-Jinja-24h'!C74,'17.08 Buwenge-Jinja-24h'!C74)</f>
        <v>2</v>
      </c>
      <c r="D74" s="49">
        <f>AVERAGE('16.08 Buwenge-Jinja-24h'!D74,'17.08 Buwenge-Jinja-24h'!D74)</f>
        <v>0</v>
      </c>
      <c r="E74" s="49">
        <f>AVERAGE('16.08 Buwenge-Jinja-24h'!E74,'17.08 Buwenge-Jinja-24h'!E74)</f>
        <v>2</v>
      </c>
      <c r="F74" s="49">
        <f>AVERAGE('16.08 Buwenge-Jinja-24h'!F74,'17.08 Buwenge-Jinja-24h'!F74)</f>
        <v>0.5</v>
      </c>
      <c r="G74" s="49">
        <f>AVERAGE('16.08 Buwenge-Jinja-24h'!G74,'17.08 Buwenge-Jinja-24h'!G74)</f>
        <v>0</v>
      </c>
      <c r="H74" s="49">
        <f>AVERAGE('16.08 Buwenge-Jinja-24h'!H74,'17.08 Buwenge-Jinja-24h'!H74)</f>
        <v>4</v>
      </c>
      <c r="I74" s="49">
        <f>AVERAGE('16.08 Buwenge-Jinja-24h'!I74,'17.08 Buwenge-Jinja-24h'!I74)</f>
        <v>1</v>
      </c>
      <c r="J74" s="49">
        <f>AVERAGE('16.08 Buwenge-Jinja-24h'!J74,'17.08 Buwenge-Jinja-24h'!J74)</f>
        <v>0</v>
      </c>
      <c r="K74" s="49">
        <f>AVERAGE('16.08 Buwenge-Jinja-24h'!K74,'17.08 Buwenge-Jinja-24h'!K74)</f>
        <v>0</v>
      </c>
      <c r="L74" s="49">
        <f>AVERAGE('16.08 Buwenge-Jinja-24h'!L74,'17.08 Buwenge-Jinja-24h'!L74)</f>
        <v>0</v>
      </c>
      <c r="M74" s="49">
        <f>AVERAGE('16.08 Buwenge-Jinja-24h'!M74,'17.08 Buwenge-Jinja-24h'!M74)</f>
        <v>4</v>
      </c>
      <c r="N74" s="49">
        <f>AVERAGE('16.08 Buwenge-Jinja-24h'!N74,'17.08 Buwenge-Jinja-24h'!N74)</f>
        <v>0</v>
      </c>
      <c r="O74" s="15">
        <f t="shared" ref="O74:P105" si="35">SUM(C74:L74,N74)</f>
        <v>9.5</v>
      </c>
      <c r="P74" s="15">
        <f t="shared" si="35"/>
        <v>21</v>
      </c>
      <c r="R74" s="8"/>
      <c r="T74"/>
    </row>
    <row r="75" spans="2:20" ht="23.1" customHeight="1" x14ac:dyDescent="0.25">
      <c r="B75" s="23" t="s">
        <v>115</v>
      </c>
      <c r="C75" s="49">
        <f>AVERAGE('16.08 Buwenge-Jinja-24h'!C75,'17.08 Buwenge-Jinja-24h'!C75)</f>
        <v>1</v>
      </c>
      <c r="D75" s="49">
        <f>AVERAGE('16.08 Buwenge-Jinja-24h'!D75,'17.08 Buwenge-Jinja-24h'!D75)</f>
        <v>0</v>
      </c>
      <c r="E75" s="49">
        <f>AVERAGE('16.08 Buwenge-Jinja-24h'!E75,'17.08 Buwenge-Jinja-24h'!E75)</f>
        <v>1.5</v>
      </c>
      <c r="F75" s="49">
        <f>AVERAGE('16.08 Buwenge-Jinja-24h'!F75,'17.08 Buwenge-Jinja-24h'!F75)</f>
        <v>2</v>
      </c>
      <c r="G75" s="49">
        <f>AVERAGE('16.08 Buwenge-Jinja-24h'!G75,'17.08 Buwenge-Jinja-24h'!G75)</f>
        <v>0</v>
      </c>
      <c r="H75" s="49">
        <f>AVERAGE('16.08 Buwenge-Jinja-24h'!H75,'17.08 Buwenge-Jinja-24h'!H75)</f>
        <v>4</v>
      </c>
      <c r="I75" s="49">
        <f>AVERAGE('16.08 Buwenge-Jinja-24h'!I75,'17.08 Buwenge-Jinja-24h'!I75)</f>
        <v>0</v>
      </c>
      <c r="J75" s="49">
        <f>AVERAGE('16.08 Buwenge-Jinja-24h'!J75,'17.08 Buwenge-Jinja-24h'!J75)</f>
        <v>0</v>
      </c>
      <c r="K75" s="49">
        <f>AVERAGE('16.08 Buwenge-Jinja-24h'!K75,'17.08 Buwenge-Jinja-24h'!K75)</f>
        <v>0</v>
      </c>
      <c r="L75" s="49">
        <f>AVERAGE('16.08 Buwenge-Jinja-24h'!L75,'17.08 Buwenge-Jinja-24h'!L75)</f>
        <v>0</v>
      </c>
      <c r="M75" s="49">
        <f>AVERAGE('16.08 Buwenge-Jinja-24h'!M75,'17.08 Buwenge-Jinja-24h'!M75)</f>
        <v>2</v>
      </c>
      <c r="N75" s="49">
        <f>AVERAGE('16.08 Buwenge-Jinja-24h'!N75,'17.08 Buwenge-Jinja-24h'!N75)</f>
        <v>0.5</v>
      </c>
      <c r="O75" s="15">
        <f t="shared" si="35"/>
        <v>9</v>
      </c>
      <c r="P75" s="15">
        <f t="shared" si="35"/>
        <v>18.5</v>
      </c>
      <c r="R75" s="8"/>
      <c r="T75"/>
    </row>
    <row r="76" spans="2:20" ht="23.1" customHeight="1" x14ac:dyDescent="0.25">
      <c r="B76" s="23" t="s">
        <v>116</v>
      </c>
      <c r="C76" s="49">
        <f>AVERAGE('16.08 Buwenge-Jinja-24h'!C76,'17.08 Buwenge-Jinja-24h'!C76)</f>
        <v>1</v>
      </c>
      <c r="D76" s="49">
        <f>AVERAGE('16.08 Buwenge-Jinja-24h'!D76,'17.08 Buwenge-Jinja-24h'!D76)</f>
        <v>0</v>
      </c>
      <c r="E76" s="49">
        <f>AVERAGE('16.08 Buwenge-Jinja-24h'!E76,'17.08 Buwenge-Jinja-24h'!E76)</f>
        <v>2</v>
      </c>
      <c r="F76" s="49">
        <f>AVERAGE('16.08 Buwenge-Jinja-24h'!F76,'17.08 Buwenge-Jinja-24h'!F76)</f>
        <v>1.5</v>
      </c>
      <c r="G76" s="49">
        <f>AVERAGE('16.08 Buwenge-Jinja-24h'!G76,'17.08 Buwenge-Jinja-24h'!G76)</f>
        <v>0</v>
      </c>
      <c r="H76" s="49">
        <f>AVERAGE('16.08 Buwenge-Jinja-24h'!H76,'17.08 Buwenge-Jinja-24h'!H76)</f>
        <v>1.5</v>
      </c>
      <c r="I76" s="49">
        <f>AVERAGE('16.08 Buwenge-Jinja-24h'!I76,'17.08 Buwenge-Jinja-24h'!I76)</f>
        <v>0.5</v>
      </c>
      <c r="J76" s="49">
        <f>AVERAGE('16.08 Buwenge-Jinja-24h'!J76,'17.08 Buwenge-Jinja-24h'!J76)</f>
        <v>0</v>
      </c>
      <c r="K76" s="49">
        <f>AVERAGE('16.08 Buwenge-Jinja-24h'!K76,'17.08 Buwenge-Jinja-24h'!K76)</f>
        <v>0</v>
      </c>
      <c r="L76" s="49">
        <f>AVERAGE('16.08 Buwenge-Jinja-24h'!L76,'17.08 Buwenge-Jinja-24h'!L76)</f>
        <v>0</v>
      </c>
      <c r="M76" s="49">
        <f>AVERAGE('16.08 Buwenge-Jinja-24h'!M76,'17.08 Buwenge-Jinja-24h'!M76)</f>
        <v>5</v>
      </c>
      <c r="N76" s="49">
        <f>AVERAGE('16.08 Buwenge-Jinja-24h'!N76,'17.08 Buwenge-Jinja-24h'!N76)</f>
        <v>0</v>
      </c>
      <c r="O76" s="15">
        <f t="shared" si="35"/>
        <v>6.5</v>
      </c>
      <c r="P76" s="15">
        <f t="shared" si="35"/>
        <v>17</v>
      </c>
      <c r="R76" s="8"/>
      <c r="T76"/>
    </row>
    <row r="77" spans="2:20" ht="23.1" customHeight="1" x14ac:dyDescent="0.25">
      <c r="B77" s="23" t="s">
        <v>117</v>
      </c>
      <c r="C77" s="49">
        <f>AVERAGE('16.08 Buwenge-Jinja-24h'!C77,'17.08 Buwenge-Jinja-24h'!C77)</f>
        <v>1.5</v>
      </c>
      <c r="D77" s="49">
        <f>AVERAGE('16.08 Buwenge-Jinja-24h'!D77,'17.08 Buwenge-Jinja-24h'!D77)</f>
        <v>0</v>
      </c>
      <c r="E77" s="49">
        <f>AVERAGE('16.08 Buwenge-Jinja-24h'!E77,'17.08 Buwenge-Jinja-24h'!E77)</f>
        <v>1</v>
      </c>
      <c r="F77" s="49">
        <f>AVERAGE('16.08 Buwenge-Jinja-24h'!F77,'17.08 Buwenge-Jinja-24h'!F77)</f>
        <v>1.5</v>
      </c>
      <c r="G77" s="49">
        <f>AVERAGE('16.08 Buwenge-Jinja-24h'!G77,'17.08 Buwenge-Jinja-24h'!G77)</f>
        <v>0</v>
      </c>
      <c r="H77" s="49">
        <f>AVERAGE('16.08 Buwenge-Jinja-24h'!H77,'17.08 Buwenge-Jinja-24h'!H77)</f>
        <v>4</v>
      </c>
      <c r="I77" s="49">
        <f>AVERAGE('16.08 Buwenge-Jinja-24h'!I77,'17.08 Buwenge-Jinja-24h'!I77)</f>
        <v>0.5</v>
      </c>
      <c r="J77" s="49">
        <f>AVERAGE('16.08 Buwenge-Jinja-24h'!J77,'17.08 Buwenge-Jinja-24h'!J77)</f>
        <v>0</v>
      </c>
      <c r="K77" s="49">
        <f>AVERAGE('16.08 Buwenge-Jinja-24h'!K77,'17.08 Buwenge-Jinja-24h'!K77)</f>
        <v>0</v>
      </c>
      <c r="L77" s="49">
        <f>AVERAGE('16.08 Buwenge-Jinja-24h'!L77,'17.08 Buwenge-Jinja-24h'!L77)</f>
        <v>0</v>
      </c>
      <c r="M77" s="49">
        <f>AVERAGE('16.08 Buwenge-Jinja-24h'!M77,'17.08 Buwenge-Jinja-24h'!M77)</f>
        <v>3.5</v>
      </c>
      <c r="N77" s="49">
        <f>AVERAGE('16.08 Buwenge-Jinja-24h'!N77,'17.08 Buwenge-Jinja-24h'!N77)</f>
        <v>0</v>
      </c>
      <c r="O77" s="15">
        <f t="shared" si="35"/>
        <v>8.5</v>
      </c>
      <c r="P77" s="15">
        <f t="shared" si="35"/>
        <v>19</v>
      </c>
      <c r="R77" s="8"/>
      <c r="T77"/>
    </row>
    <row r="78" spans="2:20" ht="23.1" customHeight="1" x14ac:dyDescent="0.25">
      <c r="B78" s="24" t="s">
        <v>118</v>
      </c>
      <c r="C78" s="49">
        <f>AVERAGE('16.08 Buwenge-Jinja-24h'!C78,'17.08 Buwenge-Jinja-24h'!C78)</f>
        <v>1.5</v>
      </c>
      <c r="D78" s="49">
        <f>AVERAGE('16.08 Buwenge-Jinja-24h'!D78,'17.08 Buwenge-Jinja-24h'!D78)</f>
        <v>0</v>
      </c>
      <c r="E78" s="49">
        <f>AVERAGE('16.08 Buwenge-Jinja-24h'!E78,'17.08 Buwenge-Jinja-24h'!E78)</f>
        <v>0.5</v>
      </c>
      <c r="F78" s="49">
        <f>AVERAGE('16.08 Buwenge-Jinja-24h'!F78,'17.08 Buwenge-Jinja-24h'!F78)</f>
        <v>0.5</v>
      </c>
      <c r="G78" s="49">
        <f>AVERAGE('16.08 Buwenge-Jinja-24h'!G78,'17.08 Buwenge-Jinja-24h'!G78)</f>
        <v>0</v>
      </c>
      <c r="H78" s="49">
        <f>AVERAGE('16.08 Buwenge-Jinja-24h'!H78,'17.08 Buwenge-Jinja-24h'!H78)</f>
        <v>1.5</v>
      </c>
      <c r="I78" s="49">
        <f>AVERAGE('16.08 Buwenge-Jinja-24h'!I78,'17.08 Buwenge-Jinja-24h'!I78)</f>
        <v>1.5</v>
      </c>
      <c r="J78" s="49">
        <f>AVERAGE('16.08 Buwenge-Jinja-24h'!J78,'17.08 Buwenge-Jinja-24h'!J78)</f>
        <v>0</v>
      </c>
      <c r="K78" s="49">
        <f>AVERAGE('16.08 Buwenge-Jinja-24h'!K78,'17.08 Buwenge-Jinja-24h'!K78)</f>
        <v>0</v>
      </c>
      <c r="L78" s="49">
        <f>AVERAGE('16.08 Buwenge-Jinja-24h'!L78,'17.08 Buwenge-Jinja-24h'!L78)</f>
        <v>0</v>
      </c>
      <c r="M78" s="49">
        <f>AVERAGE('16.08 Buwenge-Jinja-24h'!M78,'17.08 Buwenge-Jinja-24h'!M78)</f>
        <v>1.5</v>
      </c>
      <c r="N78" s="49">
        <f>AVERAGE('16.08 Buwenge-Jinja-24h'!N78,'17.08 Buwenge-Jinja-24h'!N78)</f>
        <v>0</v>
      </c>
      <c r="O78" s="15">
        <f t="shared" si="35"/>
        <v>5.5</v>
      </c>
      <c r="P78" s="15">
        <f t="shared" si="35"/>
        <v>11</v>
      </c>
      <c r="R78" s="8"/>
      <c r="T78"/>
    </row>
    <row r="79" spans="2:20" ht="23.1" customHeight="1" x14ac:dyDescent="0.25">
      <c r="B79" s="23" t="s">
        <v>119</v>
      </c>
      <c r="C79" s="49">
        <f>AVERAGE('16.08 Buwenge-Jinja-24h'!C79,'17.08 Buwenge-Jinja-24h'!C79)</f>
        <v>1</v>
      </c>
      <c r="D79" s="49">
        <f>AVERAGE('16.08 Buwenge-Jinja-24h'!D79,'17.08 Buwenge-Jinja-24h'!D79)</f>
        <v>0</v>
      </c>
      <c r="E79" s="49">
        <f>AVERAGE('16.08 Buwenge-Jinja-24h'!E79,'17.08 Buwenge-Jinja-24h'!E79)</f>
        <v>2</v>
      </c>
      <c r="F79" s="49">
        <f>AVERAGE('16.08 Buwenge-Jinja-24h'!F79,'17.08 Buwenge-Jinja-24h'!F79)</f>
        <v>0</v>
      </c>
      <c r="G79" s="49">
        <f>AVERAGE('16.08 Buwenge-Jinja-24h'!G79,'17.08 Buwenge-Jinja-24h'!G79)</f>
        <v>0</v>
      </c>
      <c r="H79" s="49">
        <f>AVERAGE('16.08 Buwenge-Jinja-24h'!H79,'17.08 Buwenge-Jinja-24h'!H79)</f>
        <v>1.5</v>
      </c>
      <c r="I79" s="49">
        <f>AVERAGE('16.08 Buwenge-Jinja-24h'!I79,'17.08 Buwenge-Jinja-24h'!I79)</f>
        <v>0</v>
      </c>
      <c r="J79" s="49">
        <f>AVERAGE('16.08 Buwenge-Jinja-24h'!J79,'17.08 Buwenge-Jinja-24h'!J79)</f>
        <v>0</v>
      </c>
      <c r="K79" s="49">
        <f>AVERAGE('16.08 Buwenge-Jinja-24h'!K79,'17.08 Buwenge-Jinja-24h'!K79)</f>
        <v>0</v>
      </c>
      <c r="L79" s="49">
        <f>AVERAGE('16.08 Buwenge-Jinja-24h'!L79,'17.08 Buwenge-Jinja-24h'!L79)</f>
        <v>0</v>
      </c>
      <c r="M79" s="49">
        <f>AVERAGE('16.08 Buwenge-Jinja-24h'!M79,'17.08 Buwenge-Jinja-24h'!M79)</f>
        <v>2</v>
      </c>
      <c r="N79" s="49">
        <f>AVERAGE('16.08 Buwenge-Jinja-24h'!N79,'17.08 Buwenge-Jinja-24h'!N79)</f>
        <v>0</v>
      </c>
      <c r="O79" s="15">
        <f t="shared" si="35"/>
        <v>4.5</v>
      </c>
      <c r="P79" s="15">
        <f t="shared" si="35"/>
        <v>10</v>
      </c>
      <c r="R79" s="8"/>
      <c r="T79"/>
    </row>
    <row r="80" spans="2:20" ht="23.1" customHeight="1" x14ac:dyDescent="0.25">
      <c r="B80" s="25" t="s">
        <v>120</v>
      </c>
      <c r="C80" s="49">
        <f>AVERAGE('16.08 Buwenge-Jinja-24h'!C80,'17.08 Buwenge-Jinja-24h'!C80)</f>
        <v>2.5</v>
      </c>
      <c r="D80" s="49">
        <f>AVERAGE('16.08 Buwenge-Jinja-24h'!D80,'17.08 Buwenge-Jinja-24h'!D80)</f>
        <v>0</v>
      </c>
      <c r="E80" s="49">
        <f>AVERAGE('16.08 Buwenge-Jinja-24h'!E80,'17.08 Buwenge-Jinja-24h'!E80)</f>
        <v>1</v>
      </c>
      <c r="F80" s="49">
        <f>AVERAGE('16.08 Buwenge-Jinja-24h'!F80,'17.08 Buwenge-Jinja-24h'!F80)</f>
        <v>0</v>
      </c>
      <c r="G80" s="49">
        <f>AVERAGE('16.08 Buwenge-Jinja-24h'!G80,'17.08 Buwenge-Jinja-24h'!G80)</f>
        <v>0</v>
      </c>
      <c r="H80" s="49">
        <f>AVERAGE('16.08 Buwenge-Jinja-24h'!H80,'17.08 Buwenge-Jinja-24h'!H80)</f>
        <v>2.5</v>
      </c>
      <c r="I80" s="49">
        <f>AVERAGE('16.08 Buwenge-Jinja-24h'!I80,'17.08 Buwenge-Jinja-24h'!I80)</f>
        <v>0.5</v>
      </c>
      <c r="J80" s="49">
        <f>AVERAGE('16.08 Buwenge-Jinja-24h'!J80,'17.08 Buwenge-Jinja-24h'!J80)</f>
        <v>0</v>
      </c>
      <c r="K80" s="49">
        <f>AVERAGE('16.08 Buwenge-Jinja-24h'!K80,'17.08 Buwenge-Jinja-24h'!K80)</f>
        <v>0</v>
      </c>
      <c r="L80" s="49">
        <f>AVERAGE('16.08 Buwenge-Jinja-24h'!L80,'17.08 Buwenge-Jinja-24h'!L80)</f>
        <v>0</v>
      </c>
      <c r="M80" s="49">
        <f>AVERAGE('16.08 Buwenge-Jinja-24h'!M80,'17.08 Buwenge-Jinja-24h'!M80)</f>
        <v>2</v>
      </c>
      <c r="N80" s="49">
        <f>AVERAGE('16.08 Buwenge-Jinja-24h'!N80,'17.08 Buwenge-Jinja-24h'!N80)</f>
        <v>0</v>
      </c>
      <c r="O80" s="15">
        <f t="shared" si="35"/>
        <v>6.5</v>
      </c>
      <c r="P80" s="15">
        <f t="shared" si="35"/>
        <v>12.5</v>
      </c>
      <c r="R80" s="8"/>
      <c r="T80"/>
    </row>
    <row r="81" spans="2:20" ht="23.1" customHeight="1" x14ac:dyDescent="0.25">
      <c r="B81" s="23" t="s">
        <v>121</v>
      </c>
      <c r="C81" s="49">
        <f>AVERAGE('16.08 Buwenge-Jinja-24h'!C81,'17.08 Buwenge-Jinja-24h'!C81)</f>
        <v>1</v>
      </c>
      <c r="D81" s="49">
        <f>AVERAGE('16.08 Buwenge-Jinja-24h'!D81,'17.08 Buwenge-Jinja-24h'!D81)</f>
        <v>0</v>
      </c>
      <c r="E81" s="49">
        <f>AVERAGE('16.08 Buwenge-Jinja-24h'!E81,'17.08 Buwenge-Jinja-24h'!E81)</f>
        <v>1</v>
      </c>
      <c r="F81" s="49">
        <f>AVERAGE('16.08 Buwenge-Jinja-24h'!F81,'17.08 Buwenge-Jinja-24h'!F81)</f>
        <v>0</v>
      </c>
      <c r="G81" s="49">
        <f>AVERAGE('16.08 Buwenge-Jinja-24h'!G81,'17.08 Buwenge-Jinja-24h'!G81)</f>
        <v>0</v>
      </c>
      <c r="H81" s="49">
        <f>AVERAGE('16.08 Buwenge-Jinja-24h'!H81,'17.08 Buwenge-Jinja-24h'!H81)</f>
        <v>2</v>
      </c>
      <c r="I81" s="49">
        <f>AVERAGE('16.08 Buwenge-Jinja-24h'!I81,'17.08 Buwenge-Jinja-24h'!I81)</f>
        <v>1.5</v>
      </c>
      <c r="J81" s="49">
        <f>AVERAGE('16.08 Buwenge-Jinja-24h'!J81,'17.08 Buwenge-Jinja-24h'!J81)</f>
        <v>0</v>
      </c>
      <c r="K81" s="49">
        <f>AVERAGE('16.08 Buwenge-Jinja-24h'!K81,'17.08 Buwenge-Jinja-24h'!K81)</f>
        <v>0</v>
      </c>
      <c r="L81" s="49">
        <f>AVERAGE('16.08 Buwenge-Jinja-24h'!L81,'17.08 Buwenge-Jinja-24h'!L81)</f>
        <v>0</v>
      </c>
      <c r="M81" s="49">
        <f>AVERAGE('16.08 Buwenge-Jinja-24h'!M81,'17.08 Buwenge-Jinja-24h'!M81)</f>
        <v>0.5</v>
      </c>
      <c r="N81" s="49">
        <f>AVERAGE('16.08 Buwenge-Jinja-24h'!N81,'17.08 Buwenge-Jinja-24h'!N81)</f>
        <v>0</v>
      </c>
      <c r="O81" s="15">
        <f t="shared" si="35"/>
        <v>5.5</v>
      </c>
      <c r="P81" s="15">
        <f t="shared" si="35"/>
        <v>10.5</v>
      </c>
      <c r="R81" s="8"/>
      <c r="T81"/>
    </row>
    <row r="82" spans="2:20" ht="23.1" customHeight="1" x14ac:dyDescent="0.25">
      <c r="B82" s="24" t="s">
        <v>122</v>
      </c>
      <c r="C82" s="49">
        <f>AVERAGE('16.08 Buwenge-Jinja-24h'!C82,'17.08 Buwenge-Jinja-24h'!C82)</f>
        <v>0</v>
      </c>
      <c r="D82" s="49">
        <f>AVERAGE('16.08 Buwenge-Jinja-24h'!D82,'17.08 Buwenge-Jinja-24h'!D82)</f>
        <v>0</v>
      </c>
      <c r="E82" s="49">
        <f>AVERAGE('16.08 Buwenge-Jinja-24h'!E82,'17.08 Buwenge-Jinja-24h'!E82)</f>
        <v>0</v>
      </c>
      <c r="F82" s="49">
        <f>AVERAGE('16.08 Buwenge-Jinja-24h'!F82,'17.08 Buwenge-Jinja-24h'!F82)</f>
        <v>0</v>
      </c>
      <c r="G82" s="49">
        <f>AVERAGE('16.08 Buwenge-Jinja-24h'!G82,'17.08 Buwenge-Jinja-24h'!G82)</f>
        <v>0</v>
      </c>
      <c r="H82" s="49">
        <f>AVERAGE('16.08 Buwenge-Jinja-24h'!H82,'17.08 Buwenge-Jinja-24h'!H82)</f>
        <v>0.5</v>
      </c>
      <c r="I82" s="49">
        <f>AVERAGE('16.08 Buwenge-Jinja-24h'!I82,'17.08 Buwenge-Jinja-24h'!I82)</f>
        <v>0.5</v>
      </c>
      <c r="J82" s="49">
        <f>AVERAGE('16.08 Buwenge-Jinja-24h'!J82,'17.08 Buwenge-Jinja-24h'!J82)</f>
        <v>0</v>
      </c>
      <c r="K82" s="49">
        <f>AVERAGE('16.08 Buwenge-Jinja-24h'!K82,'17.08 Buwenge-Jinja-24h'!K82)</f>
        <v>0</v>
      </c>
      <c r="L82" s="49">
        <f>AVERAGE('16.08 Buwenge-Jinja-24h'!L82,'17.08 Buwenge-Jinja-24h'!L82)</f>
        <v>0</v>
      </c>
      <c r="M82" s="49">
        <f>AVERAGE('16.08 Buwenge-Jinja-24h'!M82,'17.08 Buwenge-Jinja-24h'!M82)</f>
        <v>2.5</v>
      </c>
      <c r="N82" s="49">
        <f>AVERAGE('16.08 Buwenge-Jinja-24h'!N82,'17.08 Buwenge-Jinja-24h'!N82)</f>
        <v>0</v>
      </c>
      <c r="O82" s="15">
        <f t="shared" si="35"/>
        <v>1</v>
      </c>
      <c r="P82" s="15">
        <f t="shared" si="35"/>
        <v>4.5</v>
      </c>
      <c r="R82" s="8"/>
      <c r="T82"/>
    </row>
    <row r="83" spans="2:20" ht="23.1" customHeight="1" x14ac:dyDescent="0.25">
      <c r="B83" s="23" t="s">
        <v>123</v>
      </c>
      <c r="C83" s="49">
        <f>AVERAGE('16.08 Buwenge-Jinja-24h'!C83,'17.08 Buwenge-Jinja-24h'!C83)</f>
        <v>2.5</v>
      </c>
      <c r="D83" s="49">
        <f>AVERAGE('16.08 Buwenge-Jinja-24h'!D83,'17.08 Buwenge-Jinja-24h'!D83)</f>
        <v>0</v>
      </c>
      <c r="E83" s="49">
        <f>AVERAGE('16.08 Buwenge-Jinja-24h'!E83,'17.08 Buwenge-Jinja-24h'!E83)</f>
        <v>0</v>
      </c>
      <c r="F83" s="49">
        <f>AVERAGE('16.08 Buwenge-Jinja-24h'!F83,'17.08 Buwenge-Jinja-24h'!F83)</f>
        <v>0</v>
      </c>
      <c r="G83" s="49">
        <f>AVERAGE('16.08 Buwenge-Jinja-24h'!G83,'17.08 Buwenge-Jinja-24h'!G83)</f>
        <v>0</v>
      </c>
      <c r="H83" s="49">
        <f>AVERAGE('16.08 Buwenge-Jinja-24h'!H83,'17.08 Buwenge-Jinja-24h'!H83)</f>
        <v>0</v>
      </c>
      <c r="I83" s="49">
        <f>AVERAGE('16.08 Buwenge-Jinja-24h'!I83,'17.08 Buwenge-Jinja-24h'!I83)</f>
        <v>1.5</v>
      </c>
      <c r="J83" s="49">
        <f>AVERAGE('16.08 Buwenge-Jinja-24h'!J83,'17.08 Buwenge-Jinja-24h'!J83)</f>
        <v>0</v>
      </c>
      <c r="K83" s="49">
        <f>AVERAGE('16.08 Buwenge-Jinja-24h'!K83,'17.08 Buwenge-Jinja-24h'!K83)</f>
        <v>0</v>
      </c>
      <c r="L83" s="49">
        <f>AVERAGE('16.08 Buwenge-Jinja-24h'!L83,'17.08 Buwenge-Jinja-24h'!L83)</f>
        <v>0</v>
      </c>
      <c r="M83" s="49">
        <f>AVERAGE('16.08 Buwenge-Jinja-24h'!M83,'17.08 Buwenge-Jinja-24h'!M83)</f>
        <v>2.5</v>
      </c>
      <c r="N83" s="49">
        <f>AVERAGE('16.08 Buwenge-Jinja-24h'!N83,'17.08 Buwenge-Jinja-24h'!N83)</f>
        <v>0</v>
      </c>
      <c r="O83" s="15">
        <f t="shared" si="35"/>
        <v>4</v>
      </c>
      <c r="P83" s="15">
        <f t="shared" si="35"/>
        <v>8</v>
      </c>
      <c r="R83" s="8"/>
      <c r="T83"/>
    </row>
    <row r="84" spans="2:20" ht="23.1" customHeight="1" x14ac:dyDescent="0.25">
      <c r="B84" s="25" t="s">
        <v>124</v>
      </c>
      <c r="C84" s="49">
        <f>AVERAGE('16.08 Buwenge-Jinja-24h'!C84,'17.08 Buwenge-Jinja-24h'!C84)</f>
        <v>0</v>
      </c>
      <c r="D84" s="49">
        <f>AVERAGE('16.08 Buwenge-Jinja-24h'!D84,'17.08 Buwenge-Jinja-24h'!D84)</f>
        <v>0</v>
      </c>
      <c r="E84" s="49">
        <f>AVERAGE('16.08 Buwenge-Jinja-24h'!E84,'17.08 Buwenge-Jinja-24h'!E84)</f>
        <v>0.5</v>
      </c>
      <c r="F84" s="49">
        <f>AVERAGE('16.08 Buwenge-Jinja-24h'!F84,'17.08 Buwenge-Jinja-24h'!F84)</f>
        <v>0</v>
      </c>
      <c r="G84" s="49">
        <f>AVERAGE('16.08 Buwenge-Jinja-24h'!G84,'17.08 Buwenge-Jinja-24h'!G84)</f>
        <v>0</v>
      </c>
      <c r="H84" s="49">
        <f>AVERAGE('16.08 Buwenge-Jinja-24h'!H84,'17.08 Buwenge-Jinja-24h'!H84)</f>
        <v>0.5</v>
      </c>
      <c r="I84" s="49">
        <f>AVERAGE('16.08 Buwenge-Jinja-24h'!I84,'17.08 Buwenge-Jinja-24h'!I84)</f>
        <v>0.5</v>
      </c>
      <c r="J84" s="49">
        <f>AVERAGE('16.08 Buwenge-Jinja-24h'!J84,'17.08 Buwenge-Jinja-24h'!J84)</f>
        <v>0</v>
      </c>
      <c r="K84" s="49">
        <f>AVERAGE('16.08 Buwenge-Jinja-24h'!K84,'17.08 Buwenge-Jinja-24h'!K84)</f>
        <v>0</v>
      </c>
      <c r="L84" s="49">
        <f>AVERAGE('16.08 Buwenge-Jinja-24h'!L84,'17.08 Buwenge-Jinja-24h'!L84)</f>
        <v>0</v>
      </c>
      <c r="M84" s="49">
        <f>AVERAGE('16.08 Buwenge-Jinja-24h'!M84,'17.08 Buwenge-Jinja-24h'!M84)</f>
        <v>0.5</v>
      </c>
      <c r="N84" s="49">
        <f>AVERAGE('16.08 Buwenge-Jinja-24h'!N84,'17.08 Buwenge-Jinja-24h'!N84)</f>
        <v>0</v>
      </c>
      <c r="O84" s="15">
        <f t="shared" si="35"/>
        <v>1.5</v>
      </c>
      <c r="P84" s="15">
        <f t="shared" si="35"/>
        <v>3.5</v>
      </c>
      <c r="R84" s="8"/>
      <c r="T84"/>
    </row>
    <row r="85" spans="2:20" ht="23.1" customHeight="1" x14ac:dyDescent="0.25">
      <c r="B85" s="23" t="s">
        <v>125</v>
      </c>
      <c r="C85" s="49">
        <f>AVERAGE('16.08 Buwenge-Jinja-24h'!C85,'17.08 Buwenge-Jinja-24h'!C85)</f>
        <v>0.5</v>
      </c>
      <c r="D85" s="49">
        <f>AVERAGE('16.08 Buwenge-Jinja-24h'!D85,'17.08 Buwenge-Jinja-24h'!D85)</f>
        <v>0</v>
      </c>
      <c r="E85" s="49">
        <f>AVERAGE('16.08 Buwenge-Jinja-24h'!E85,'17.08 Buwenge-Jinja-24h'!E85)</f>
        <v>0</v>
      </c>
      <c r="F85" s="49">
        <f>AVERAGE('16.08 Buwenge-Jinja-24h'!F85,'17.08 Buwenge-Jinja-24h'!F85)</f>
        <v>0</v>
      </c>
      <c r="G85" s="49">
        <f>AVERAGE('16.08 Buwenge-Jinja-24h'!G85,'17.08 Buwenge-Jinja-24h'!G85)</f>
        <v>0</v>
      </c>
      <c r="H85" s="49">
        <f>AVERAGE('16.08 Buwenge-Jinja-24h'!H85,'17.08 Buwenge-Jinja-24h'!H85)</f>
        <v>0</v>
      </c>
      <c r="I85" s="49">
        <f>AVERAGE('16.08 Buwenge-Jinja-24h'!I85,'17.08 Buwenge-Jinja-24h'!I85)</f>
        <v>0.5</v>
      </c>
      <c r="J85" s="49">
        <f>AVERAGE('16.08 Buwenge-Jinja-24h'!J85,'17.08 Buwenge-Jinja-24h'!J85)</f>
        <v>0</v>
      </c>
      <c r="K85" s="49">
        <f>AVERAGE('16.08 Buwenge-Jinja-24h'!K85,'17.08 Buwenge-Jinja-24h'!K85)</f>
        <v>0</v>
      </c>
      <c r="L85" s="49">
        <f>AVERAGE('16.08 Buwenge-Jinja-24h'!L85,'17.08 Buwenge-Jinja-24h'!L85)</f>
        <v>0</v>
      </c>
      <c r="M85" s="49">
        <f>AVERAGE('16.08 Buwenge-Jinja-24h'!M85,'17.08 Buwenge-Jinja-24h'!M85)</f>
        <v>0.5</v>
      </c>
      <c r="N85" s="49">
        <f>AVERAGE('16.08 Buwenge-Jinja-24h'!N85,'17.08 Buwenge-Jinja-24h'!N85)</f>
        <v>0</v>
      </c>
      <c r="O85" s="15">
        <f t="shared" si="35"/>
        <v>1</v>
      </c>
      <c r="P85" s="15">
        <f t="shared" si="35"/>
        <v>2</v>
      </c>
      <c r="R85" s="8"/>
      <c r="T85"/>
    </row>
    <row r="86" spans="2:20" ht="23.1" customHeight="1" x14ac:dyDescent="0.25">
      <c r="B86" s="24" t="s">
        <v>126</v>
      </c>
      <c r="C86" s="49">
        <f>AVERAGE('16.08 Buwenge-Jinja-24h'!C86,'17.08 Buwenge-Jinja-24h'!C86)</f>
        <v>0</v>
      </c>
      <c r="D86" s="49">
        <f>AVERAGE('16.08 Buwenge-Jinja-24h'!D86,'17.08 Buwenge-Jinja-24h'!D86)</f>
        <v>0</v>
      </c>
      <c r="E86" s="49">
        <f>AVERAGE('16.08 Buwenge-Jinja-24h'!E86,'17.08 Buwenge-Jinja-24h'!E86)</f>
        <v>0.5</v>
      </c>
      <c r="F86" s="49">
        <f>AVERAGE('16.08 Buwenge-Jinja-24h'!F86,'17.08 Buwenge-Jinja-24h'!F86)</f>
        <v>0</v>
      </c>
      <c r="G86" s="49">
        <f>AVERAGE('16.08 Buwenge-Jinja-24h'!G86,'17.08 Buwenge-Jinja-24h'!G86)</f>
        <v>0</v>
      </c>
      <c r="H86" s="49">
        <f>AVERAGE('16.08 Buwenge-Jinja-24h'!H86,'17.08 Buwenge-Jinja-24h'!H86)</f>
        <v>0</v>
      </c>
      <c r="I86" s="49">
        <f>AVERAGE('16.08 Buwenge-Jinja-24h'!I86,'17.08 Buwenge-Jinja-24h'!I86)</f>
        <v>1</v>
      </c>
      <c r="J86" s="49">
        <f>AVERAGE('16.08 Buwenge-Jinja-24h'!J86,'17.08 Buwenge-Jinja-24h'!J86)</f>
        <v>0</v>
      </c>
      <c r="K86" s="49">
        <f>AVERAGE('16.08 Buwenge-Jinja-24h'!K86,'17.08 Buwenge-Jinja-24h'!K86)</f>
        <v>0</v>
      </c>
      <c r="L86" s="49">
        <f>AVERAGE('16.08 Buwenge-Jinja-24h'!L86,'17.08 Buwenge-Jinja-24h'!L86)</f>
        <v>0</v>
      </c>
      <c r="M86" s="49">
        <f>AVERAGE('16.08 Buwenge-Jinja-24h'!M86,'17.08 Buwenge-Jinja-24h'!M86)</f>
        <v>0.5</v>
      </c>
      <c r="N86" s="49">
        <f>AVERAGE('16.08 Buwenge-Jinja-24h'!N86,'17.08 Buwenge-Jinja-24h'!N86)</f>
        <v>0</v>
      </c>
      <c r="O86" s="15">
        <f t="shared" si="35"/>
        <v>1.5</v>
      </c>
      <c r="P86" s="15">
        <f t="shared" si="35"/>
        <v>3.5</v>
      </c>
      <c r="R86" s="8"/>
      <c r="T86"/>
    </row>
    <row r="87" spans="2:20" ht="23.1" customHeight="1" x14ac:dyDescent="0.25">
      <c r="B87" s="23" t="s">
        <v>127</v>
      </c>
      <c r="C87" s="49">
        <f>AVERAGE('16.08 Buwenge-Jinja-24h'!C87,'17.08 Buwenge-Jinja-24h'!C87)</f>
        <v>0</v>
      </c>
      <c r="D87" s="49">
        <f>AVERAGE('16.08 Buwenge-Jinja-24h'!D87,'17.08 Buwenge-Jinja-24h'!D87)</f>
        <v>0</v>
      </c>
      <c r="E87" s="49">
        <f>AVERAGE('16.08 Buwenge-Jinja-24h'!E87,'17.08 Buwenge-Jinja-24h'!E87)</f>
        <v>0.5</v>
      </c>
      <c r="F87" s="49">
        <f>AVERAGE('16.08 Buwenge-Jinja-24h'!F87,'17.08 Buwenge-Jinja-24h'!F87)</f>
        <v>0.5</v>
      </c>
      <c r="G87" s="49">
        <f>AVERAGE('16.08 Buwenge-Jinja-24h'!G87,'17.08 Buwenge-Jinja-24h'!G87)</f>
        <v>0</v>
      </c>
      <c r="H87" s="49">
        <f>AVERAGE('16.08 Buwenge-Jinja-24h'!H87,'17.08 Buwenge-Jinja-24h'!H87)</f>
        <v>1</v>
      </c>
      <c r="I87" s="49">
        <f>AVERAGE('16.08 Buwenge-Jinja-24h'!I87,'17.08 Buwenge-Jinja-24h'!I87)</f>
        <v>0</v>
      </c>
      <c r="J87" s="49">
        <f>AVERAGE('16.08 Buwenge-Jinja-24h'!J87,'17.08 Buwenge-Jinja-24h'!J87)</f>
        <v>0</v>
      </c>
      <c r="K87" s="49">
        <f>AVERAGE('16.08 Buwenge-Jinja-24h'!K87,'17.08 Buwenge-Jinja-24h'!K87)</f>
        <v>0</v>
      </c>
      <c r="L87" s="49">
        <f>AVERAGE('16.08 Buwenge-Jinja-24h'!L87,'17.08 Buwenge-Jinja-24h'!L87)</f>
        <v>0</v>
      </c>
      <c r="M87" s="49">
        <f>AVERAGE('16.08 Buwenge-Jinja-24h'!M87,'17.08 Buwenge-Jinja-24h'!M87)</f>
        <v>0</v>
      </c>
      <c r="N87" s="49">
        <f>AVERAGE('16.08 Buwenge-Jinja-24h'!N87,'17.08 Buwenge-Jinja-24h'!N87)</f>
        <v>0</v>
      </c>
      <c r="O87" s="15">
        <f t="shared" si="35"/>
        <v>2</v>
      </c>
      <c r="P87" s="15">
        <f t="shared" si="35"/>
        <v>4</v>
      </c>
      <c r="R87" s="8"/>
      <c r="T87"/>
    </row>
    <row r="88" spans="2:20" ht="23.1" customHeight="1" x14ac:dyDescent="0.25">
      <c r="B88" s="25" t="s">
        <v>128</v>
      </c>
      <c r="C88" s="49">
        <f>AVERAGE('16.08 Buwenge-Jinja-24h'!C88,'17.08 Buwenge-Jinja-24h'!C88)</f>
        <v>0</v>
      </c>
      <c r="D88" s="49">
        <f>AVERAGE('16.08 Buwenge-Jinja-24h'!D88,'17.08 Buwenge-Jinja-24h'!D88)</f>
        <v>0</v>
      </c>
      <c r="E88" s="49">
        <f>AVERAGE('16.08 Buwenge-Jinja-24h'!E88,'17.08 Buwenge-Jinja-24h'!E88)</f>
        <v>0</v>
      </c>
      <c r="F88" s="49">
        <f>AVERAGE('16.08 Buwenge-Jinja-24h'!F88,'17.08 Buwenge-Jinja-24h'!F88)</f>
        <v>0</v>
      </c>
      <c r="G88" s="49">
        <f>AVERAGE('16.08 Buwenge-Jinja-24h'!G88,'17.08 Buwenge-Jinja-24h'!G88)</f>
        <v>0</v>
      </c>
      <c r="H88" s="49">
        <f>AVERAGE('16.08 Buwenge-Jinja-24h'!H88,'17.08 Buwenge-Jinja-24h'!H88)</f>
        <v>0</v>
      </c>
      <c r="I88" s="49">
        <f>AVERAGE('16.08 Buwenge-Jinja-24h'!I88,'17.08 Buwenge-Jinja-24h'!I88)</f>
        <v>0.5</v>
      </c>
      <c r="J88" s="49">
        <f>AVERAGE('16.08 Buwenge-Jinja-24h'!J88,'17.08 Buwenge-Jinja-24h'!J88)</f>
        <v>0</v>
      </c>
      <c r="K88" s="49">
        <f>AVERAGE('16.08 Buwenge-Jinja-24h'!K88,'17.08 Buwenge-Jinja-24h'!K88)</f>
        <v>0</v>
      </c>
      <c r="L88" s="49">
        <f>AVERAGE('16.08 Buwenge-Jinja-24h'!L88,'17.08 Buwenge-Jinja-24h'!L88)</f>
        <v>0</v>
      </c>
      <c r="M88" s="49">
        <f>AVERAGE('16.08 Buwenge-Jinja-24h'!M88,'17.08 Buwenge-Jinja-24h'!M88)</f>
        <v>0</v>
      </c>
      <c r="N88" s="49">
        <f>AVERAGE('16.08 Buwenge-Jinja-24h'!N88,'17.08 Buwenge-Jinja-24h'!N88)</f>
        <v>0</v>
      </c>
      <c r="O88" s="15">
        <f t="shared" si="35"/>
        <v>0.5</v>
      </c>
      <c r="P88" s="15">
        <f t="shared" si="35"/>
        <v>1</v>
      </c>
      <c r="R88" s="8"/>
      <c r="T88"/>
    </row>
    <row r="89" spans="2:20" ht="23.1" customHeight="1" x14ac:dyDescent="0.25">
      <c r="B89" s="23" t="s">
        <v>129</v>
      </c>
      <c r="C89" s="49">
        <f>AVERAGE('16.08 Buwenge-Jinja-24h'!C89,'17.08 Buwenge-Jinja-24h'!C89)</f>
        <v>0</v>
      </c>
      <c r="D89" s="49">
        <f>AVERAGE('16.08 Buwenge-Jinja-24h'!D89,'17.08 Buwenge-Jinja-24h'!D89)</f>
        <v>0</v>
      </c>
      <c r="E89" s="49">
        <f>AVERAGE('16.08 Buwenge-Jinja-24h'!E89,'17.08 Buwenge-Jinja-24h'!E89)</f>
        <v>0</v>
      </c>
      <c r="F89" s="49">
        <f>AVERAGE('16.08 Buwenge-Jinja-24h'!F89,'17.08 Buwenge-Jinja-24h'!F89)</f>
        <v>0</v>
      </c>
      <c r="G89" s="49">
        <f>AVERAGE('16.08 Buwenge-Jinja-24h'!G89,'17.08 Buwenge-Jinja-24h'!G89)</f>
        <v>0</v>
      </c>
      <c r="H89" s="49">
        <f>AVERAGE('16.08 Buwenge-Jinja-24h'!H89,'17.08 Buwenge-Jinja-24h'!H89)</f>
        <v>0.5</v>
      </c>
      <c r="I89" s="49">
        <f>AVERAGE('16.08 Buwenge-Jinja-24h'!I89,'17.08 Buwenge-Jinja-24h'!I89)</f>
        <v>0.5</v>
      </c>
      <c r="J89" s="49">
        <f>AVERAGE('16.08 Buwenge-Jinja-24h'!J89,'17.08 Buwenge-Jinja-24h'!J89)</f>
        <v>0</v>
      </c>
      <c r="K89" s="49">
        <f>AVERAGE('16.08 Buwenge-Jinja-24h'!K89,'17.08 Buwenge-Jinja-24h'!K89)</f>
        <v>0</v>
      </c>
      <c r="L89" s="49">
        <f>AVERAGE('16.08 Buwenge-Jinja-24h'!L89,'17.08 Buwenge-Jinja-24h'!L89)</f>
        <v>0</v>
      </c>
      <c r="M89" s="49">
        <f>AVERAGE('16.08 Buwenge-Jinja-24h'!M89,'17.08 Buwenge-Jinja-24h'!M89)</f>
        <v>0</v>
      </c>
      <c r="N89" s="49">
        <f>AVERAGE('16.08 Buwenge-Jinja-24h'!N89,'17.08 Buwenge-Jinja-24h'!N89)</f>
        <v>0</v>
      </c>
      <c r="O89" s="15">
        <f t="shared" si="35"/>
        <v>1</v>
      </c>
      <c r="P89" s="15">
        <f t="shared" si="35"/>
        <v>2</v>
      </c>
      <c r="R89" s="8"/>
      <c r="T89"/>
    </row>
    <row r="90" spans="2:20" ht="23.1" customHeight="1" x14ac:dyDescent="0.25">
      <c r="B90" s="24" t="s">
        <v>130</v>
      </c>
      <c r="C90" s="49">
        <f>AVERAGE('16.08 Buwenge-Jinja-24h'!C90,'17.08 Buwenge-Jinja-24h'!C90)</f>
        <v>0.5</v>
      </c>
      <c r="D90" s="49">
        <f>AVERAGE('16.08 Buwenge-Jinja-24h'!D90,'17.08 Buwenge-Jinja-24h'!D90)</f>
        <v>0</v>
      </c>
      <c r="E90" s="49">
        <f>AVERAGE('16.08 Buwenge-Jinja-24h'!E90,'17.08 Buwenge-Jinja-24h'!E90)</f>
        <v>0</v>
      </c>
      <c r="F90" s="49">
        <f>AVERAGE('16.08 Buwenge-Jinja-24h'!F90,'17.08 Buwenge-Jinja-24h'!F90)</f>
        <v>0</v>
      </c>
      <c r="G90" s="49">
        <f>AVERAGE('16.08 Buwenge-Jinja-24h'!G90,'17.08 Buwenge-Jinja-24h'!G90)</f>
        <v>0</v>
      </c>
      <c r="H90" s="49">
        <f>AVERAGE('16.08 Buwenge-Jinja-24h'!H90,'17.08 Buwenge-Jinja-24h'!H90)</f>
        <v>0</v>
      </c>
      <c r="I90" s="49">
        <f>AVERAGE('16.08 Buwenge-Jinja-24h'!I90,'17.08 Buwenge-Jinja-24h'!I90)</f>
        <v>0.5</v>
      </c>
      <c r="J90" s="49">
        <f>AVERAGE('16.08 Buwenge-Jinja-24h'!J90,'17.08 Buwenge-Jinja-24h'!J90)</f>
        <v>0.5</v>
      </c>
      <c r="K90" s="49">
        <f>AVERAGE('16.08 Buwenge-Jinja-24h'!K90,'17.08 Buwenge-Jinja-24h'!K90)</f>
        <v>0.5</v>
      </c>
      <c r="L90" s="49">
        <f>AVERAGE('16.08 Buwenge-Jinja-24h'!L90,'17.08 Buwenge-Jinja-24h'!L90)</f>
        <v>0</v>
      </c>
      <c r="M90" s="49">
        <f>AVERAGE('16.08 Buwenge-Jinja-24h'!M90,'17.08 Buwenge-Jinja-24h'!M90)</f>
        <v>0</v>
      </c>
      <c r="N90" s="49">
        <f>AVERAGE('16.08 Buwenge-Jinja-24h'!N90,'17.08 Buwenge-Jinja-24h'!N90)</f>
        <v>0</v>
      </c>
      <c r="O90" s="15">
        <f t="shared" si="35"/>
        <v>2</v>
      </c>
      <c r="P90" s="15">
        <f t="shared" si="35"/>
        <v>3.5</v>
      </c>
      <c r="R90" s="8"/>
      <c r="T90"/>
    </row>
    <row r="91" spans="2:20" ht="23.1" customHeight="1" x14ac:dyDescent="0.25">
      <c r="B91" s="23" t="s">
        <v>131</v>
      </c>
      <c r="C91" s="49">
        <f>AVERAGE('16.08 Buwenge-Jinja-24h'!C91,'17.08 Buwenge-Jinja-24h'!C91)</f>
        <v>0</v>
      </c>
      <c r="D91" s="49">
        <f>AVERAGE('16.08 Buwenge-Jinja-24h'!D91,'17.08 Buwenge-Jinja-24h'!D91)</f>
        <v>0</v>
      </c>
      <c r="E91" s="49">
        <f>AVERAGE('16.08 Buwenge-Jinja-24h'!E91,'17.08 Buwenge-Jinja-24h'!E91)</f>
        <v>0</v>
      </c>
      <c r="F91" s="49">
        <f>AVERAGE('16.08 Buwenge-Jinja-24h'!F91,'17.08 Buwenge-Jinja-24h'!F91)</f>
        <v>1</v>
      </c>
      <c r="G91" s="49">
        <f>AVERAGE('16.08 Buwenge-Jinja-24h'!G91,'17.08 Buwenge-Jinja-24h'!G91)</f>
        <v>0</v>
      </c>
      <c r="H91" s="49">
        <f>AVERAGE('16.08 Buwenge-Jinja-24h'!H91,'17.08 Buwenge-Jinja-24h'!H91)</f>
        <v>0.5</v>
      </c>
      <c r="I91" s="49">
        <f>AVERAGE('16.08 Buwenge-Jinja-24h'!I91,'17.08 Buwenge-Jinja-24h'!I91)</f>
        <v>0</v>
      </c>
      <c r="J91" s="49">
        <f>AVERAGE('16.08 Buwenge-Jinja-24h'!J91,'17.08 Buwenge-Jinja-24h'!J91)</f>
        <v>0.5</v>
      </c>
      <c r="K91" s="49">
        <f>AVERAGE('16.08 Buwenge-Jinja-24h'!K91,'17.08 Buwenge-Jinja-24h'!K91)</f>
        <v>0</v>
      </c>
      <c r="L91" s="49">
        <f>AVERAGE('16.08 Buwenge-Jinja-24h'!L91,'17.08 Buwenge-Jinja-24h'!L91)</f>
        <v>0</v>
      </c>
      <c r="M91" s="49">
        <f>AVERAGE('16.08 Buwenge-Jinja-24h'!M91,'17.08 Buwenge-Jinja-24h'!M91)</f>
        <v>0</v>
      </c>
      <c r="N91" s="49">
        <f>AVERAGE('16.08 Buwenge-Jinja-24h'!N91,'17.08 Buwenge-Jinja-24h'!N91)</f>
        <v>0</v>
      </c>
      <c r="O91" s="15">
        <f t="shared" si="35"/>
        <v>2</v>
      </c>
      <c r="P91" s="15">
        <f t="shared" si="35"/>
        <v>4</v>
      </c>
      <c r="R91" s="8"/>
      <c r="T91"/>
    </row>
    <row r="92" spans="2:20" ht="23.1" customHeight="1" x14ac:dyDescent="0.25">
      <c r="B92" s="25" t="s">
        <v>132</v>
      </c>
      <c r="C92" s="49">
        <f>AVERAGE('16.08 Buwenge-Jinja-24h'!C92,'17.08 Buwenge-Jinja-24h'!C92)</f>
        <v>1</v>
      </c>
      <c r="D92" s="49">
        <f>AVERAGE('16.08 Buwenge-Jinja-24h'!D92,'17.08 Buwenge-Jinja-24h'!D92)</f>
        <v>0</v>
      </c>
      <c r="E92" s="49">
        <f>AVERAGE('16.08 Buwenge-Jinja-24h'!E92,'17.08 Buwenge-Jinja-24h'!E92)</f>
        <v>0.5</v>
      </c>
      <c r="F92" s="49">
        <f>AVERAGE('16.08 Buwenge-Jinja-24h'!F92,'17.08 Buwenge-Jinja-24h'!F92)</f>
        <v>0</v>
      </c>
      <c r="G92" s="49">
        <f>AVERAGE('16.08 Buwenge-Jinja-24h'!G92,'17.08 Buwenge-Jinja-24h'!G92)</f>
        <v>0</v>
      </c>
      <c r="H92" s="49">
        <f>AVERAGE('16.08 Buwenge-Jinja-24h'!H92,'17.08 Buwenge-Jinja-24h'!H92)</f>
        <v>0</v>
      </c>
      <c r="I92" s="49">
        <f>AVERAGE('16.08 Buwenge-Jinja-24h'!I92,'17.08 Buwenge-Jinja-24h'!I92)</f>
        <v>1</v>
      </c>
      <c r="J92" s="49">
        <f>AVERAGE('16.08 Buwenge-Jinja-24h'!J92,'17.08 Buwenge-Jinja-24h'!J92)</f>
        <v>0</v>
      </c>
      <c r="K92" s="49">
        <f>AVERAGE('16.08 Buwenge-Jinja-24h'!K92,'17.08 Buwenge-Jinja-24h'!K92)</f>
        <v>0</v>
      </c>
      <c r="L92" s="49">
        <f>AVERAGE('16.08 Buwenge-Jinja-24h'!L92,'17.08 Buwenge-Jinja-24h'!L92)</f>
        <v>0</v>
      </c>
      <c r="M92" s="49">
        <f>AVERAGE('16.08 Buwenge-Jinja-24h'!M92,'17.08 Buwenge-Jinja-24h'!M92)</f>
        <v>0</v>
      </c>
      <c r="N92" s="49">
        <f>AVERAGE('16.08 Buwenge-Jinja-24h'!N92,'17.08 Buwenge-Jinja-24h'!N92)</f>
        <v>0</v>
      </c>
      <c r="O92" s="15">
        <f t="shared" si="35"/>
        <v>2.5</v>
      </c>
      <c r="P92" s="15">
        <f t="shared" si="35"/>
        <v>4</v>
      </c>
      <c r="R92" s="8"/>
      <c r="T92"/>
    </row>
    <row r="93" spans="2:20" ht="23.1" customHeight="1" x14ac:dyDescent="0.25">
      <c r="B93" s="23" t="s">
        <v>133</v>
      </c>
      <c r="C93" s="49">
        <f>AVERAGE('16.08 Buwenge-Jinja-24h'!C93,'17.08 Buwenge-Jinja-24h'!C93)</f>
        <v>0</v>
      </c>
      <c r="D93" s="49">
        <f>AVERAGE('16.08 Buwenge-Jinja-24h'!D93,'17.08 Buwenge-Jinja-24h'!D93)</f>
        <v>0</v>
      </c>
      <c r="E93" s="49">
        <f>AVERAGE('16.08 Buwenge-Jinja-24h'!E93,'17.08 Buwenge-Jinja-24h'!E93)</f>
        <v>0.5</v>
      </c>
      <c r="F93" s="49">
        <f>AVERAGE('16.08 Buwenge-Jinja-24h'!F93,'17.08 Buwenge-Jinja-24h'!F93)</f>
        <v>0</v>
      </c>
      <c r="G93" s="49">
        <f>AVERAGE('16.08 Buwenge-Jinja-24h'!G93,'17.08 Buwenge-Jinja-24h'!G93)</f>
        <v>0</v>
      </c>
      <c r="H93" s="49">
        <f>AVERAGE('16.08 Buwenge-Jinja-24h'!H93,'17.08 Buwenge-Jinja-24h'!H93)</f>
        <v>0.5</v>
      </c>
      <c r="I93" s="49">
        <f>AVERAGE('16.08 Buwenge-Jinja-24h'!I93,'17.08 Buwenge-Jinja-24h'!I93)</f>
        <v>0</v>
      </c>
      <c r="J93" s="49">
        <f>AVERAGE('16.08 Buwenge-Jinja-24h'!J93,'17.08 Buwenge-Jinja-24h'!J93)</f>
        <v>0</v>
      </c>
      <c r="K93" s="49">
        <f>AVERAGE('16.08 Buwenge-Jinja-24h'!K93,'17.08 Buwenge-Jinja-24h'!K93)</f>
        <v>0</v>
      </c>
      <c r="L93" s="49">
        <f>AVERAGE('16.08 Buwenge-Jinja-24h'!L93,'17.08 Buwenge-Jinja-24h'!L93)</f>
        <v>0</v>
      </c>
      <c r="M93" s="49">
        <f>AVERAGE('16.08 Buwenge-Jinja-24h'!M93,'17.08 Buwenge-Jinja-24h'!M93)</f>
        <v>1</v>
      </c>
      <c r="N93" s="49">
        <f>AVERAGE('16.08 Buwenge-Jinja-24h'!N93,'17.08 Buwenge-Jinja-24h'!N93)</f>
        <v>0</v>
      </c>
      <c r="O93" s="15">
        <f t="shared" si="35"/>
        <v>1</v>
      </c>
      <c r="P93" s="15">
        <f t="shared" si="35"/>
        <v>3</v>
      </c>
      <c r="R93" s="8"/>
      <c r="T93"/>
    </row>
    <row r="94" spans="2:20" ht="23.1" customHeight="1" x14ac:dyDescent="0.25">
      <c r="B94" s="24" t="s">
        <v>134</v>
      </c>
      <c r="C94" s="49">
        <f>AVERAGE('16.08 Buwenge-Jinja-24h'!C94,'17.08 Buwenge-Jinja-24h'!C94)</f>
        <v>0</v>
      </c>
      <c r="D94" s="49">
        <f>AVERAGE('16.08 Buwenge-Jinja-24h'!D94,'17.08 Buwenge-Jinja-24h'!D94)</f>
        <v>0.5</v>
      </c>
      <c r="E94" s="49">
        <f>AVERAGE('16.08 Buwenge-Jinja-24h'!E94,'17.08 Buwenge-Jinja-24h'!E94)</f>
        <v>1.5</v>
      </c>
      <c r="F94" s="49">
        <f>AVERAGE('16.08 Buwenge-Jinja-24h'!F94,'17.08 Buwenge-Jinja-24h'!F94)</f>
        <v>0</v>
      </c>
      <c r="G94" s="49">
        <f>AVERAGE('16.08 Buwenge-Jinja-24h'!G94,'17.08 Buwenge-Jinja-24h'!G94)</f>
        <v>0</v>
      </c>
      <c r="H94" s="49">
        <f>AVERAGE('16.08 Buwenge-Jinja-24h'!H94,'17.08 Buwenge-Jinja-24h'!H94)</f>
        <v>0</v>
      </c>
      <c r="I94" s="49">
        <f>AVERAGE('16.08 Buwenge-Jinja-24h'!I94,'17.08 Buwenge-Jinja-24h'!I94)</f>
        <v>0</v>
      </c>
      <c r="J94" s="49">
        <f>AVERAGE('16.08 Buwenge-Jinja-24h'!J94,'17.08 Buwenge-Jinja-24h'!J94)</f>
        <v>0</v>
      </c>
      <c r="K94" s="49">
        <f>AVERAGE('16.08 Buwenge-Jinja-24h'!K94,'17.08 Buwenge-Jinja-24h'!K94)</f>
        <v>0</v>
      </c>
      <c r="L94" s="49">
        <f>AVERAGE('16.08 Buwenge-Jinja-24h'!L94,'17.08 Buwenge-Jinja-24h'!L94)</f>
        <v>0</v>
      </c>
      <c r="M94" s="49">
        <f>AVERAGE('16.08 Buwenge-Jinja-24h'!M94,'17.08 Buwenge-Jinja-24h'!M94)</f>
        <v>1</v>
      </c>
      <c r="N94" s="49">
        <f>AVERAGE('16.08 Buwenge-Jinja-24h'!N94,'17.08 Buwenge-Jinja-24h'!N94)</f>
        <v>0</v>
      </c>
      <c r="O94" s="15">
        <f t="shared" si="35"/>
        <v>2</v>
      </c>
      <c r="P94" s="15">
        <f t="shared" si="35"/>
        <v>5</v>
      </c>
      <c r="R94" s="8"/>
      <c r="T94"/>
    </row>
    <row r="95" spans="2:20" ht="23.1" customHeight="1" x14ac:dyDescent="0.25">
      <c r="B95" s="23" t="s">
        <v>135</v>
      </c>
      <c r="C95" s="49">
        <f>AVERAGE('16.08 Buwenge-Jinja-24h'!C95,'17.08 Buwenge-Jinja-24h'!C95)</f>
        <v>0.5</v>
      </c>
      <c r="D95" s="49">
        <f>AVERAGE('16.08 Buwenge-Jinja-24h'!D95,'17.08 Buwenge-Jinja-24h'!D95)</f>
        <v>0</v>
      </c>
      <c r="E95" s="49">
        <f>AVERAGE('16.08 Buwenge-Jinja-24h'!E95,'17.08 Buwenge-Jinja-24h'!E95)</f>
        <v>1</v>
      </c>
      <c r="F95" s="49">
        <f>AVERAGE('16.08 Buwenge-Jinja-24h'!F95,'17.08 Buwenge-Jinja-24h'!F95)</f>
        <v>0</v>
      </c>
      <c r="G95" s="49">
        <f>AVERAGE('16.08 Buwenge-Jinja-24h'!G95,'17.08 Buwenge-Jinja-24h'!G95)</f>
        <v>0</v>
      </c>
      <c r="H95" s="49">
        <f>AVERAGE('16.08 Buwenge-Jinja-24h'!H95,'17.08 Buwenge-Jinja-24h'!H95)</f>
        <v>2.5</v>
      </c>
      <c r="I95" s="49">
        <f>AVERAGE('16.08 Buwenge-Jinja-24h'!I95,'17.08 Buwenge-Jinja-24h'!I95)</f>
        <v>0</v>
      </c>
      <c r="J95" s="49">
        <f>AVERAGE('16.08 Buwenge-Jinja-24h'!J95,'17.08 Buwenge-Jinja-24h'!J95)</f>
        <v>0</v>
      </c>
      <c r="K95" s="49">
        <f>AVERAGE('16.08 Buwenge-Jinja-24h'!K95,'17.08 Buwenge-Jinja-24h'!K95)</f>
        <v>0</v>
      </c>
      <c r="L95" s="49">
        <f>AVERAGE('16.08 Buwenge-Jinja-24h'!L95,'17.08 Buwenge-Jinja-24h'!L95)</f>
        <v>0</v>
      </c>
      <c r="M95" s="49">
        <f>AVERAGE('16.08 Buwenge-Jinja-24h'!M95,'17.08 Buwenge-Jinja-24h'!M95)</f>
        <v>1</v>
      </c>
      <c r="N95" s="49">
        <f>AVERAGE('16.08 Buwenge-Jinja-24h'!N95,'17.08 Buwenge-Jinja-24h'!N95)</f>
        <v>0</v>
      </c>
      <c r="O95" s="15">
        <f t="shared" si="35"/>
        <v>4</v>
      </c>
      <c r="P95" s="15">
        <f t="shared" si="35"/>
        <v>8.5</v>
      </c>
      <c r="R95" s="8"/>
      <c r="T95"/>
    </row>
    <row r="96" spans="2:20" ht="23.1" customHeight="1" x14ac:dyDescent="0.25">
      <c r="B96" s="25" t="s">
        <v>136</v>
      </c>
      <c r="C96" s="49">
        <f>AVERAGE('16.08 Buwenge-Jinja-24h'!C96,'17.08 Buwenge-Jinja-24h'!C96)</f>
        <v>0.5</v>
      </c>
      <c r="D96" s="49">
        <f>AVERAGE('16.08 Buwenge-Jinja-24h'!D96,'17.08 Buwenge-Jinja-24h'!D96)</f>
        <v>0</v>
      </c>
      <c r="E96" s="49">
        <f>AVERAGE('16.08 Buwenge-Jinja-24h'!E96,'17.08 Buwenge-Jinja-24h'!E96)</f>
        <v>0.5</v>
      </c>
      <c r="F96" s="49">
        <f>AVERAGE('16.08 Buwenge-Jinja-24h'!F96,'17.08 Buwenge-Jinja-24h'!F96)</f>
        <v>0</v>
      </c>
      <c r="G96" s="49">
        <f>AVERAGE('16.08 Buwenge-Jinja-24h'!G96,'17.08 Buwenge-Jinja-24h'!G96)</f>
        <v>0</v>
      </c>
      <c r="H96" s="49">
        <f>AVERAGE('16.08 Buwenge-Jinja-24h'!H96,'17.08 Buwenge-Jinja-24h'!H96)</f>
        <v>1</v>
      </c>
      <c r="I96" s="49">
        <f>AVERAGE('16.08 Buwenge-Jinja-24h'!I96,'17.08 Buwenge-Jinja-24h'!I96)</f>
        <v>0</v>
      </c>
      <c r="J96" s="49">
        <f>AVERAGE('16.08 Buwenge-Jinja-24h'!J96,'17.08 Buwenge-Jinja-24h'!J96)</f>
        <v>0</v>
      </c>
      <c r="K96" s="49">
        <f>AVERAGE('16.08 Buwenge-Jinja-24h'!K96,'17.08 Buwenge-Jinja-24h'!K96)</f>
        <v>0</v>
      </c>
      <c r="L96" s="49">
        <f>AVERAGE('16.08 Buwenge-Jinja-24h'!L96,'17.08 Buwenge-Jinja-24h'!L96)</f>
        <v>0</v>
      </c>
      <c r="M96" s="49">
        <f>AVERAGE('16.08 Buwenge-Jinja-24h'!M96,'17.08 Buwenge-Jinja-24h'!M96)</f>
        <v>1.5</v>
      </c>
      <c r="N96" s="49">
        <f>AVERAGE('16.08 Buwenge-Jinja-24h'!N96,'17.08 Buwenge-Jinja-24h'!N96)</f>
        <v>0</v>
      </c>
      <c r="O96" s="15">
        <f t="shared" si="35"/>
        <v>2</v>
      </c>
      <c r="P96" s="15">
        <f t="shared" si="35"/>
        <v>5</v>
      </c>
      <c r="R96" s="8"/>
      <c r="T96"/>
    </row>
    <row r="97" spans="2:20" ht="23.1" customHeight="1" x14ac:dyDescent="0.25">
      <c r="B97" s="23" t="s">
        <v>137</v>
      </c>
      <c r="C97" s="49">
        <f>AVERAGE('16.08 Buwenge-Jinja-24h'!C97,'17.08 Buwenge-Jinja-24h'!C97)</f>
        <v>2</v>
      </c>
      <c r="D97" s="49">
        <f>AVERAGE('16.08 Buwenge-Jinja-24h'!D97,'17.08 Buwenge-Jinja-24h'!D97)</f>
        <v>0</v>
      </c>
      <c r="E97" s="49">
        <f>AVERAGE('16.08 Buwenge-Jinja-24h'!E97,'17.08 Buwenge-Jinja-24h'!E97)</f>
        <v>1</v>
      </c>
      <c r="F97" s="49">
        <f>AVERAGE('16.08 Buwenge-Jinja-24h'!F97,'17.08 Buwenge-Jinja-24h'!F97)</f>
        <v>2</v>
      </c>
      <c r="G97" s="49">
        <f>AVERAGE('16.08 Buwenge-Jinja-24h'!G97,'17.08 Buwenge-Jinja-24h'!G97)</f>
        <v>0</v>
      </c>
      <c r="H97" s="49">
        <f>AVERAGE('16.08 Buwenge-Jinja-24h'!H97,'17.08 Buwenge-Jinja-24h'!H97)</f>
        <v>0.5</v>
      </c>
      <c r="I97" s="49">
        <f>AVERAGE('16.08 Buwenge-Jinja-24h'!I97,'17.08 Buwenge-Jinja-24h'!I97)</f>
        <v>0.5</v>
      </c>
      <c r="J97" s="49">
        <f>AVERAGE('16.08 Buwenge-Jinja-24h'!J97,'17.08 Buwenge-Jinja-24h'!J97)</f>
        <v>0</v>
      </c>
      <c r="K97" s="49">
        <f>AVERAGE('16.08 Buwenge-Jinja-24h'!K97,'17.08 Buwenge-Jinja-24h'!K97)</f>
        <v>0</v>
      </c>
      <c r="L97" s="49">
        <f>AVERAGE('16.08 Buwenge-Jinja-24h'!L97,'17.08 Buwenge-Jinja-24h'!L97)</f>
        <v>0</v>
      </c>
      <c r="M97" s="49">
        <f>AVERAGE('16.08 Buwenge-Jinja-24h'!M97,'17.08 Buwenge-Jinja-24h'!M97)</f>
        <v>0</v>
      </c>
      <c r="N97" s="49">
        <f>AVERAGE('16.08 Buwenge-Jinja-24h'!N97,'17.08 Buwenge-Jinja-24h'!N97)</f>
        <v>0</v>
      </c>
      <c r="O97" s="15">
        <f t="shared" si="35"/>
        <v>6</v>
      </c>
      <c r="P97" s="15">
        <f t="shared" si="35"/>
        <v>10</v>
      </c>
      <c r="R97" s="8"/>
      <c r="T97"/>
    </row>
    <row r="98" spans="2:20" ht="23.1" customHeight="1" x14ac:dyDescent="0.25">
      <c r="B98" s="24" t="s">
        <v>138</v>
      </c>
      <c r="C98" s="49">
        <f>AVERAGE('16.08 Buwenge-Jinja-24h'!C98,'17.08 Buwenge-Jinja-24h'!C98)</f>
        <v>1</v>
      </c>
      <c r="D98" s="49">
        <f>AVERAGE('16.08 Buwenge-Jinja-24h'!D98,'17.08 Buwenge-Jinja-24h'!D98)</f>
        <v>0</v>
      </c>
      <c r="E98" s="49">
        <f>AVERAGE('16.08 Buwenge-Jinja-24h'!E98,'17.08 Buwenge-Jinja-24h'!E98)</f>
        <v>1.5</v>
      </c>
      <c r="F98" s="49">
        <f>AVERAGE('16.08 Buwenge-Jinja-24h'!F98,'17.08 Buwenge-Jinja-24h'!F98)</f>
        <v>1.5</v>
      </c>
      <c r="G98" s="49">
        <f>AVERAGE('16.08 Buwenge-Jinja-24h'!G98,'17.08 Buwenge-Jinja-24h'!G98)</f>
        <v>0</v>
      </c>
      <c r="H98" s="49">
        <f>AVERAGE('16.08 Buwenge-Jinja-24h'!H98,'17.08 Buwenge-Jinja-24h'!H98)</f>
        <v>0</v>
      </c>
      <c r="I98" s="49">
        <f>AVERAGE('16.08 Buwenge-Jinja-24h'!I98,'17.08 Buwenge-Jinja-24h'!I98)</f>
        <v>0</v>
      </c>
      <c r="J98" s="49">
        <f>AVERAGE('16.08 Buwenge-Jinja-24h'!J98,'17.08 Buwenge-Jinja-24h'!J98)</f>
        <v>0</v>
      </c>
      <c r="K98" s="49">
        <f>AVERAGE('16.08 Buwenge-Jinja-24h'!K98,'17.08 Buwenge-Jinja-24h'!K98)</f>
        <v>0</v>
      </c>
      <c r="L98" s="49">
        <f>AVERAGE('16.08 Buwenge-Jinja-24h'!L98,'17.08 Buwenge-Jinja-24h'!L98)</f>
        <v>0</v>
      </c>
      <c r="M98" s="49">
        <f>AVERAGE('16.08 Buwenge-Jinja-24h'!M98,'17.08 Buwenge-Jinja-24h'!M98)</f>
        <v>3.5</v>
      </c>
      <c r="N98" s="49">
        <f>AVERAGE('16.08 Buwenge-Jinja-24h'!N98,'17.08 Buwenge-Jinja-24h'!N98)</f>
        <v>0</v>
      </c>
      <c r="O98" s="15">
        <f t="shared" si="35"/>
        <v>4</v>
      </c>
      <c r="P98" s="15">
        <f t="shared" si="35"/>
        <v>10.5</v>
      </c>
      <c r="R98" s="8"/>
      <c r="T98"/>
    </row>
    <row r="99" spans="2:20" ht="23.1" customHeight="1" x14ac:dyDescent="0.25">
      <c r="B99" s="23" t="s">
        <v>139</v>
      </c>
      <c r="C99" s="49">
        <f>AVERAGE('16.08 Buwenge-Jinja-24h'!C99,'17.08 Buwenge-Jinja-24h'!C99)</f>
        <v>0</v>
      </c>
      <c r="D99" s="49">
        <f>AVERAGE('16.08 Buwenge-Jinja-24h'!D99,'17.08 Buwenge-Jinja-24h'!D99)</f>
        <v>0.5</v>
      </c>
      <c r="E99" s="49">
        <f>AVERAGE('16.08 Buwenge-Jinja-24h'!E99,'17.08 Buwenge-Jinja-24h'!E99)</f>
        <v>3.5</v>
      </c>
      <c r="F99" s="49">
        <f>AVERAGE('16.08 Buwenge-Jinja-24h'!F99,'17.08 Buwenge-Jinja-24h'!F99)</f>
        <v>1</v>
      </c>
      <c r="G99" s="49">
        <f>AVERAGE('16.08 Buwenge-Jinja-24h'!G99,'17.08 Buwenge-Jinja-24h'!G99)</f>
        <v>0</v>
      </c>
      <c r="H99" s="49">
        <f>AVERAGE('16.08 Buwenge-Jinja-24h'!H99,'17.08 Buwenge-Jinja-24h'!H99)</f>
        <v>2</v>
      </c>
      <c r="I99" s="49">
        <f>AVERAGE('16.08 Buwenge-Jinja-24h'!I99,'17.08 Buwenge-Jinja-24h'!I99)</f>
        <v>0.5</v>
      </c>
      <c r="J99" s="49">
        <f>AVERAGE('16.08 Buwenge-Jinja-24h'!J99,'17.08 Buwenge-Jinja-24h'!J99)</f>
        <v>0</v>
      </c>
      <c r="K99" s="49">
        <f>AVERAGE('16.08 Buwenge-Jinja-24h'!K99,'17.08 Buwenge-Jinja-24h'!K99)</f>
        <v>0</v>
      </c>
      <c r="L99" s="49">
        <f>AVERAGE('16.08 Buwenge-Jinja-24h'!L99,'17.08 Buwenge-Jinja-24h'!L99)</f>
        <v>0</v>
      </c>
      <c r="M99" s="49">
        <f>AVERAGE('16.08 Buwenge-Jinja-24h'!M99,'17.08 Buwenge-Jinja-24h'!M99)</f>
        <v>0</v>
      </c>
      <c r="N99" s="49">
        <f>AVERAGE('16.08 Buwenge-Jinja-24h'!N99,'17.08 Buwenge-Jinja-24h'!N99)</f>
        <v>0.5</v>
      </c>
      <c r="O99" s="15">
        <f t="shared" si="35"/>
        <v>8</v>
      </c>
      <c r="P99" s="15">
        <f t="shared" si="35"/>
        <v>15.5</v>
      </c>
      <c r="R99" s="8"/>
      <c r="T99"/>
    </row>
    <row r="100" spans="2:20" ht="23.1" customHeight="1" x14ac:dyDescent="0.25">
      <c r="B100" s="25" t="s">
        <v>140</v>
      </c>
      <c r="C100" s="49">
        <f>AVERAGE('16.08 Buwenge-Jinja-24h'!C100,'17.08 Buwenge-Jinja-24h'!C100)</f>
        <v>0.5</v>
      </c>
      <c r="D100" s="49">
        <f>AVERAGE('16.08 Buwenge-Jinja-24h'!D100,'17.08 Buwenge-Jinja-24h'!D100)</f>
        <v>0</v>
      </c>
      <c r="E100" s="49">
        <f>AVERAGE('16.08 Buwenge-Jinja-24h'!E100,'17.08 Buwenge-Jinja-24h'!E100)</f>
        <v>1.5</v>
      </c>
      <c r="F100" s="49">
        <f>AVERAGE('16.08 Buwenge-Jinja-24h'!F100,'17.08 Buwenge-Jinja-24h'!F100)</f>
        <v>1.5</v>
      </c>
      <c r="G100" s="49">
        <f>AVERAGE('16.08 Buwenge-Jinja-24h'!G100,'17.08 Buwenge-Jinja-24h'!G100)</f>
        <v>1</v>
      </c>
      <c r="H100" s="49">
        <f>AVERAGE('16.08 Buwenge-Jinja-24h'!H100,'17.08 Buwenge-Jinja-24h'!H100)</f>
        <v>4</v>
      </c>
      <c r="I100" s="49">
        <f>AVERAGE('16.08 Buwenge-Jinja-24h'!I100,'17.08 Buwenge-Jinja-24h'!I100)</f>
        <v>0.5</v>
      </c>
      <c r="J100" s="49">
        <f>AVERAGE('16.08 Buwenge-Jinja-24h'!J100,'17.08 Buwenge-Jinja-24h'!J100)</f>
        <v>0</v>
      </c>
      <c r="K100" s="49">
        <f>AVERAGE('16.08 Buwenge-Jinja-24h'!K100,'17.08 Buwenge-Jinja-24h'!K100)</f>
        <v>0</v>
      </c>
      <c r="L100" s="49">
        <f>AVERAGE('16.08 Buwenge-Jinja-24h'!L100,'17.08 Buwenge-Jinja-24h'!L100)</f>
        <v>0</v>
      </c>
      <c r="M100" s="49">
        <f>AVERAGE('16.08 Buwenge-Jinja-24h'!M100,'17.08 Buwenge-Jinja-24h'!M100)</f>
        <v>3</v>
      </c>
      <c r="N100" s="49">
        <f>AVERAGE('16.08 Buwenge-Jinja-24h'!N100,'17.08 Buwenge-Jinja-24h'!N100)</f>
        <v>0</v>
      </c>
      <c r="O100" s="15">
        <f t="shared" si="35"/>
        <v>9</v>
      </c>
      <c r="P100" s="15">
        <f t="shared" si="35"/>
        <v>20.5</v>
      </c>
      <c r="R100" s="8"/>
      <c r="T100"/>
    </row>
    <row r="101" spans="2:20" ht="23.1" customHeight="1" x14ac:dyDescent="0.25">
      <c r="B101" s="23" t="s">
        <v>141</v>
      </c>
      <c r="C101" s="49">
        <f>AVERAGE('16.08 Buwenge-Jinja-24h'!C101,'17.08 Buwenge-Jinja-24h'!C101)</f>
        <v>0</v>
      </c>
      <c r="D101" s="49">
        <f>AVERAGE('16.08 Buwenge-Jinja-24h'!D101,'17.08 Buwenge-Jinja-24h'!D101)</f>
        <v>0</v>
      </c>
      <c r="E101" s="49">
        <f>AVERAGE('16.08 Buwenge-Jinja-24h'!E101,'17.08 Buwenge-Jinja-24h'!E101)</f>
        <v>0</v>
      </c>
      <c r="F101" s="49">
        <f>AVERAGE('16.08 Buwenge-Jinja-24h'!F101,'17.08 Buwenge-Jinja-24h'!F101)</f>
        <v>1.5</v>
      </c>
      <c r="G101" s="49">
        <f>AVERAGE('16.08 Buwenge-Jinja-24h'!G101,'17.08 Buwenge-Jinja-24h'!G101)</f>
        <v>0.5</v>
      </c>
      <c r="H101" s="49">
        <f>AVERAGE('16.08 Buwenge-Jinja-24h'!H101,'17.08 Buwenge-Jinja-24h'!H101)</f>
        <v>1</v>
      </c>
      <c r="I101" s="49">
        <f>AVERAGE('16.08 Buwenge-Jinja-24h'!I101,'17.08 Buwenge-Jinja-24h'!I101)</f>
        <v>2.5</v>
      </c>
      <c r="J101" s="49">
        <f>AVERAGE('16.08 Buwenge-Jinja-24h'!J101,'17.08 Buwenge-Jinja-24h'!J101)</f>
        <v>0</v>
      </c>
      <c r="K101" s="49">
        <f>AVERAGE('16.08 Buwenge-Jinja-24h'!K101,'17.08 Buwenge-Jinja-24h'!K101)</f>
        <v>0</v>
      </c>
      <c r="L101" s="49">
        <f>AVERAGE('16.08 Buwenge-Jinja-24h'!L101,'17.08 Buwenge-Jinja-24h'!L101)</f>
        <v>0</v>
      </c>
      <c r="M101" s="49">
        <f>AVERAGE('16.08 Buwenge-Jinja-24h'!M101,'17.08 Buwenge-Jinja-24h'!M101)</f>
        <v>6.5</v>
      </c>
      <c r="N101" s="49">
        <f>AVERAGE('16.08 Buwenge-Jinja-24h'!N101,'17.08 Buwenge-Jinja-24h'!N101)</f>
        <v>0</v>
      </c>
      <c r="O101" s="15">
        <f t="shared" si="35"/>
        <v>5.5</v>
      </c>
      <c r="P101" s="15">
        <f t="shared" si="35"/>
        <v>17.5</v>
      </c>
      <c r="R101" s="8"/>
      <c r="T101"/>
    </row>
    <row r="102" spans="2:20" ht="23.1" customHeight="1" x14ac:dyDescent="0.25">
      <c r="B102" s="24" t="s">
        <v>142</v>
      </c>
      <c r="C102" s="49">
        <f>AVERAGE('16.08 Buwenge-Jinja-24h'!C102,'17.08 Buwenge-Jinja-24h'!C102)</f>
        <v>1</v>
      </c>
      <c r="D102" s="49">
        <f>AVERAGE('16.08 Buwenge-Jinja-24h'!D102,'17.08 Buwenge-Jinja-24h'!D102)</f>
        <v>0</v>
      </c>
      <c r="E102" s="49">
        <f>AVERAGE('16.08 Buwenge-Jinja-24h'!E102,'17.08 Buwenge-Jinja-24h'!E102)</f>
        <v>0.5</v>
      </c>
      <c r="F102" s="49">
        <f>AVERAGE('16.08 Buwenge-Jinja-24h'!F102,'17.08 Buwenge-Jinja-24h'!F102)</f>
        <v>3.5</v>
      </c>
      <c r="G102" s="49">
        <f>AVERAGE('16.08 Buwenge-Jinja-24h'!G102,'17.08 Buwenge-Jinja-24h'!G102)</f>
        <v>1</v>
      </c>
      <c r="H102" s="49">
        <f>AVERAGE('16.08 Buwenge-Jinja-24h'!H102,'17.08 Buwenge-Jinja-24h'!H102)</f>
        <v>1.5</v>
      </c>
      <c r="I102" s="49">
        <f>AVERAGE('16.08 Buwenge-Jinja-24h'!I102,'17.08 Buwenge-Jinja-24h'!I102)</f>
        <v>0</v>
      </c>
      <c r="J102" s="49">
        <f>AVERAGE('16.08 Buwenge-Jinja-24h'!J102,'17.08 Buwenge-Jinja-24h'!J102)</f>
        <v>0</v>
      </c>
      <c r="K102" s="49">
        <f>AVERAGE('16.08 Buwenge-Jinja-24h'!K102,'17.08 Buwenge-Jinja-24h'!K102)</f>
        <v>0</v>
      </c>
      <c r="L102" s="49">
        <f>AVERAGE('16.08 Buwenge-Jinja-24h'!L102,'17.08 Buwenge-Jinja-24h'!L102)</f>
        <v>0</v>
      </c>
      <c r="M102" s="49">
        <f>AVERAGE('16.08 Buwenge-Jinja-24h'!M102,'17.08 Buwenge-Jinja-24h'!M102)</f>
        <v>13.5</v>
      </c>
      <c r="N102" s="49">
        <f>AVERAGE('16.08 Buwenge-Jinja-24h'!N102,'17.08 Buwenge-Jinja-24h'!N102)</f>
        <v>0</v>
      </c>
      <c r="O102" s="15">
        <f t="shared" si="35"/>
        <v>7.5</v>
      </c>
      <c r="P102" s="15">
        <f t="shared" si="35"/>
        <v>27.5</v>
      </c>
      <c r="R102" s="8"/>
      <c r="T102"/>
    </row>
    <row r="103" spans="2:20" ht="23.1" customHeight="1" x14ac:dyDescent="0.25">
      <c r="B103" s="23" t="s">
        <v>143</v>
      </c>
      <c r="C103" s="49">
        <f>AVERAGE('16.08 Buwenge-Jinja-24h'!C103,'17.08 Buwenge-Jinja-24h'!C103)</f>
        <v>0</v>
      </c>
      <c r="D103" s="49">
        <f>AVERAGE('16.08 Buwenge-Jinja-24h'!D103,'17.08 Buwenge-Jinja-24h'!D103)</f>
        <v>0</v>
      </c>
      <c r="E103" s="49">
        <f>AVERAGE('16.08 Buwenge-Jinja-24h'!E103,'17.08 Buwenge-Jinja-24h'!E103)</f>
        <v>1</v>
      </c>
      <c r="F103" s="49">
        <f>AVERAGE('16.08 Buwenge-Jinja-24h'!F103,'17.08 Buwenge-Jinja-24h'!F103)</f>
        <v>2.5</v>
      </c>
      <c r="G103" s="49">
        <f>AVERAGE('16.08 Buwenge-Jinja-24h'!G103,'17.08 Buwenge-Jinja-24h'!G103)</f>
        <v>1.5</v>
      </c>
      <c r="H103" s="49">
        <f>AVERAGE('16.08 Buwenge-Jinja-24h'!H103,'17.08 Buwenge-Jinja-24h'!H103)</f>
        <v>1</v>
      </c>
      <c r="I103" s="49">
        <f>AVERAGE('16.08 Buwenge-Jinja-24h'!I103,'17.08 Buwenge-Jinja-24h'!I103)</f>
        <v>1</v>
      </c>
      <c r="J103" s="49">
        <f>AVERAGE('16.08 Buwenge-Jinja-24h'!J103,'17.08 Buwenge-Jinja-24h'!J103)</f>
        <v>0</v>
      </c>
      <c r="K103" s="49">
        <f>AVERAGE('16.08 Buwenge-Jinja-24h'!K103,'17.08 Buwenge-Jinja-24h'!K103)</f>
        <v>0</v>
      </c>
      <c r="L103" s="49">
        <f>AVERAGE('16.08 Buwenge-Jinja-24h'!L103,'17.08 Buwenge-Jinja-24h'!L103)</f>
        <v>0</v>
      </c>
      <c r="M103" s="49">
        <f>AVERAGE('16.08 Buwenge-Jinja-24h'!M103,'17.08 Buwenge-Jinja-24h'!M103)</f>
        <v>15</v>
      </c>
      <c r="N103" s="49">
        <f>AVERAGE('16.08 Buwenge-Jinja-24h'!N103,'17.08 Buwenge-Jinja-24h'!N103)</f>
        <v>0</v>
      </c>
      <c r="O103" s="15">
        <f t="shared" si="35"/>
        <v>7</v>
      </c>
      <c r="P103" s="15">
        <f t="shared" si="35"/>
        <v>29</v>
      </c>
      <c r="R103" s="8"/>
      <c r="T103"/>
    </row>
    <row r="104" spans="2:20" ht="23.1" customHeight="1" x14ac:dyDescent="0.25">
      <c r="B104" s="25" t="s">
        <v>144</v>
      </c>
      <c r="C104" s="49">
        <f>AVERAGE('16.08 Buwenge-Jinja-24h'!C104,'17.08 Buwenge-Jinja-24h'!C104)</f>
        <v>0.5</v>
      </c>
      <c r="D104" s="49">
        <f>AVERAGE('16.08 Buwenge-Jinja-24h'!D104,'17.08 Buwenge-Jinja-24h'!D104)</f>
        <v>0</v>
      </c>
      <c r="E104" s="49">
        <f>AVERAGE('16.08 Buwenge-Jinja-24h'!E104,'17.08 Buwenge-Jinja-24h'!E104)</f>
        <v>2.5</v>
      </c>
      <c r="F104" s="49">
        <f>AVERAGE('16.08 Buwenge-Jinja-24h'!F104,'17.08 Buwenge-Jinja-24h'!F104)</f>
        <v>5</v>
      </c>
      <c r="G104" s="49">
        <f>AVERAGE('16.08 Buwenge-Jinja-24h'!G104,'17.08 Buwenge-Jinja-24h'!G104)</f>
        <v>3</v>
      </c>
      <c r="H104" s="49">
        <f>AVERAGE('16.08 Buwenge-Jinja-24h'!H104,'17.08 Buwenge-Jinja-24h'!H104)</f>
        <v>7.5</v>
      </c>
      <c r="I104" s="49">
        <f>AVERAGE('16.08 Buwenge-Jinja-24h'!I104,'17.08 Buwenge-Jinja-24h'!I104)</f>
        <v>0.5</v>
      </c>
      <c r="J104" s="49">
        <f>AVERAGE('16.08 Buwenge-Jinja-24h'!J104,'17.08 Buwenge-Jinja-24h'!J104)</f>
        <v>0</v>
      </c>
      <c r="K104" s="49">
        <f>AVERAGE('16.08 Buwenge-Jinja-24h'!K104,'17.08 Buwenge-Jinja-24h'!K104)</f>
        <v>0</v>
      </c>
      <c r="L104" s="49">
        <f>AVERAGE('16.08 Buwenge-Jinja-24h'!L104,'17.08 Buwenge-Jinja-24h'!L104)</f>
        <v>0</v>
      </c>
      <c r="M104" s="49">
        <f>AVERAGE('16.08 Buwenge-Jinja-24h'!M104,'17.08 Buwenge-Jinja-24h'!M104)</f>
        <v>12</v>
      </c>
      <c r="N104" s="49">
        <f>AVERAGE('16.08 Buwenge-Jinja-24h'!N104,'17.08 Buwenge-Jinja-24h'!N104)</f>
        <v>1</v>
      </c>
      <c r="O104" s="15">
        <f t="shared" si="35"/>
        <v>20</v>
      </c>
      <c r="P104" s="15">
        <f t="shared" si="35"/>
        <v>50.5</v>
      </c>
      <c r="R104" s="8"/>
      <c r="T104"/>
    </row>
    <row r="105" spans="2:20" ht="23.1" customHeight="1" x14ac:dyDescent="0.25">
      <c r="B105" s="23" t="s">
        <v>145</v>
      </c>
      <c r="C105" s="49">
        <f>AVERAGE('16.08 Buwenge-Jinja-24h'!C105,'17.08 Buwenge-Jinja-24h'!C105)</f>
        <v>2</v>
      </c>
      <c r="D105" s="49">
        <f>AVERAGE('16.08 Buwenge-Jinja-24h'!D105,'17.08 Buwenge-Jinja-24h'!D105)</f>
        <v>0.5</v>
      </c>
      <c r="E105" s="49">
        <f>AVERAGE('16.08 Buwenge-Jinja-24h'!E105,'17.08 Buwenge-Jinja-24h'!E105)</f>
        <v>3.5</v>
      </c>
      <c r="F105" s="49">
        <f>AVERAGE('16.08 Buwenge-Jinja-24h'!F105,'17.08 Buwenge-Jinja-24h'!F105)</f>
        <v>3</v>
      </c>
      <c r="G105" s="49">
        <f>AVERAGE('16.08 Buwenge-Jinja-24h'!G105,'17.08 Buwenge-Jinja-24h'!G105)</f>
        <v>2</v>
      </c>
      <c r="H105" s="49">
        <f>AVERAGE('16.08 Buwenge-Jinja-24h'!H105,'17.08 Buwenge-Jinja-24h'!H105)</f>
        <v>11</v>
      </c>
      <c r="I105" s="49">
        <f>AVERAGE('16.08 Buwenge-Jinja-24h'!I105,'17.08 Buwenge-Jinja-24h'!I105)</f>
        <v>1.5</v>
      </c>
      <c r="J105" s="49">
        <f>AVERAGE('16.08 Buwenge-Jinja-24h'!J105,'17.08 Buwenge-Jinja-24h'!J105)</f>
        <v>1</v>
      </c>
      <c r="K105" s="49">
        <f>AVERAGE('16.08 Buwenge-Jinja-24h'!K105,'17.08 Buwenge-Jinja-24h'!K105)</f>
        <v>0</v>
      </c>
      <c r="L105" s="49">
        <f>AVERAGE('16.08 Buwenge-Jinja-24h'!L105,'17.08 Buwenge-Jinja-24h'!L105)</f>
        <v>0</v>
      </c>
      <c r="M105" s="49">
        <f>AVERAGE('16.08 Buwenge-Jinja-24h'!M105,'17.08 Buwenge-Jinja-24h'!M105)</f>
        <v>15.5</v>
      </c>
      <c r="N105" s="49">
        <f>AVERAGE('16.08 Buwenge-Jinja-24h'!N105,'17.08 Buwenge-Jinja-24h'!N105)</f>
        <v>1</v>
      </c>
      <c r="O105" s="15">
        <f t="shared" si="35"/>
        <v>25.5</v>
      </c>
      <c r="P105" s="15">
        <f t="shared" si="35"/>
        <v>63.5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377.71428571428572</v>
      </c>
      <c r="D106" s="16">
        <f t="shared" ref="D106:P106" si="36">SUM(D10:D105)</f>
        <v>75.642857142857139</v>
      </c>
      <c r="E106" s="16">
        <f t="shared" si="36"/>
        <v>260.85714285714283</v>
      </c>
      <c r="F106" s="16">
        <f t="shared" si="36"/>
        <v>600.21428571428578</v>
      </c>
      <c r="G106" s="16">
        <f t="shared" si="36"/>
        <v>99.000000000000014</v>
      </c>
      <c r="H106" s="16">
        <f t="shared" si="36"/>
        <v>231.57142857142856</v>
      </c>
      <c r="I106" s="16">
        <f t="shared" si="36"/>
        <v>182.50000000000003</v>
      </c>
      <c r="J106" s="16">
        <f t="shared" si="36"/>
        <v>19.071428571428573</v>
      </c>
      <c r="K106" s="16">
        <f t="shared" si="36"/>
        <v>2.7857142857142851</v>
      </c>
      <c r="L106" s="16">
        <f t="shared" si="36"/>
        <v>0</v>
      </c>
      <c r="M106" s="16">
        <f t="shared" si="36"/>
        <v>2189.3571428571431</v>
      </c>
      <c r="N106" s="16">
        <f t="shared" si="36"/>
        <v>9</v>
      </c>
      <c r="O106" s="16">
        <f t="shared" si="36"/>
        <v>1858.3571428571429</v>
      </c>
      <c r="P106" s="16">
        <f t="shared" si="36"/>
        <v>4486.7142857142862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7">C106/$P$106</f>
        <v>8.4185054287260794E-2</v>
      </c>
      <c r="D107" s="43">
        <f t="shared" si="37"/>
        <v>1.6859298882414747E-2</v>
      </c>
      <c r="E107" s="43">
        <f t="shared" si="37"/>
        <v>5.8139905116693716E-2</v>
      </c>
      <c r="F107" s="43">
        <f t="shared" si="37"/>
        <v>0.13377590982901902</v>
      </c>
      <c r="G107" s="43">
        <f t="shared" si="37"/>
        <v>2.206514471296208E-2</v>
      </c>
      <c r="H107" s="43">
        <f t="shared" si="37"/>
        <v>5.1612697806221533E-2</v>
      </c>
      <c r="I107" s="43">
        <f t="shared" si="37"/>
        <v>4.0675645556723025E-2</v>
      </c>
      <c r="J107" s="43">
        <f t="shared" si="37"/>
        <v>4.2506447607221316E-3</v>
      </c>
      <c r="K107" s="43">
        <f t="shared" si="37"/>
        <v>6.2088069538637867E-4</v>
      </c>
      <c r="L107" s="43">
        <f t="shared" si="37"/>
        <v>0</v>
      </c>
      <c r="M107" s="43">
        <f t="shared" si="37"/>
        <v>0.48796446652020248</v>
      </c>
      <c r="N107" s="43">
        <f t="shared" si="37"/>
        <v>2.0059222466329162E-3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0.20325172002921166</v>
      </c>
      <c r="D108" s="44">
        <f t="shared" ref="D108:N108" si="38">D106/$O$106</f>
        <v>4.0704154975592877E-2</v>
      </c>
      <c r="E108" s="44">
        <f t="shared" si="38"/>
        <v>0.14036975823500017</v>
      </c>
      <c r="F108" s="44">
        <f t="shared" si="38"/>
        <v>0.32298112772418036</v>
      </c>
      <c r="G108" s="44">
        <f t="shared" si="38"/>
        <v>5.3272860053042249E-2</v>
      </c>
      <c r="H108" s="44">
        <f t="shared" si="38"/>
        <v>0.12461083137948263</v>
      </c>
      <c r="I108" s="44">
        <f t="shared" si="38"/>
        <v>9.8205019794749604E-2</v>
      </c>
      <c r="J108" s="44">
        <f t="shared" si="38"/>
        <v>1.0262520659568744E-2</v>
      </c>
      <c r="K108" s="44">
        <f t="shared" si="38"/>
        <v>1.4990198716224004E-3</v>
      </c>
      <c r="L108" s="44">
        <f t="shared" si="38"/>
        <v>0</v>
      </c>
      <c r="M108" s="44"/>
      <c r="N108" s="44">
        <f t="shared" si="38"/>
        <v>4.8429872775492943E-3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60" workbookViewId="0">
      <selection activeCell="O22" sqref="O2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'18.08 Jinja-Buwenge'!C3:G3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'18.08 Jinja-Buwenge'!G5:H5</f>
        <v>xxx</v>
      </c>
      <c r="H5" s="64"/>
      <c r="I5" s="14"/>
      <c r="J5" s="2" t="s">
        <v>5</v>
      </c>
      <c r="K5" s="63" t="str">
        <f>'18.08 Jinja-Buwenge'!K5:L5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'18.08 Jinja-Buwenge'!D6:E6</f>
        <v>Jinja</v>
      </c>
      <c r="E6" s="64"/>
      <c r="F6" s="2" t="s">
        <v>2</v>
      </c>
      <c r="G6" s="63" t="str">
        <f>'18.08 Jinja-Buwenge'!G6:H6</f>
        <v>Buwenge</v>
      </c>
      <c r="H6" s="64"/>
      <c r="J6" s="2" t="s">
        <v>21</v>
      </c>
      <c r="K6" s="63" t="str">
        <f>'18.08 Jinja-Buwenge'!K6:L6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AVERAGE('12.08 Jinja-Buwenge'!C10,'13.08 Jinja-Buwenge'!C10,'14.08 Jinja-Buwenge'!C10,'15.08 Jinja-Buwenge'!C10,'16.08 Jinja-Buwenge-24h'!C10,'17.08 Jinja-Buwenge-24h'!C10,'18.08 Jinja-Buwenge'!C10)</f>
        <v>2.4285714285714284</v>
      </c>
      <c r="D10" s="49">
        <f>AVERAGE('12.08 Jinja-Buwenge'!D10,'13.08 Jinja-Buwenge'!D10,'14.08 Jinja-Buwenge'!D10,'15.08 Jinja-Buwenge'!D10,'16.08 Jinja-Buwenge-24h'!D10,'17.08 Jinja-Buwenge-24h'!D10,'18.08 Jinja-Buwenge'!D10)</f>
        <v>0.2857142857142857</v>
      </c>
      <c r="E10" s="49">
        <f>AVERAGE('12.08 Jinja-Buwenge'!E10,'13.08 Jinja-Buwenge'!E10,'14.08 Jinja-Buwenge'!E10,'15.08 Jinja-Buwenge'!E10,'16.08 Jinja-Buwenge-24h'!E10,'17.08 Jinja-Buwenge-24h'!E10,'18.08 Jinja-Buwenge'!E10)</f>
        <v>2</v>
      </c>
      <c r="F10" s="49">
        <f>AVERAGE('12.08 Jinja-Buwenge'!F10,'13.08 Jinja-Buwenge'!F10,'14.08 Jinja-Buwenge'!F10,'15.08 Jinja-Buwenge'!F10,'16.08 Jinja-Buwenge-24h'!F10,'17.08 Jinja-Buwenge-24h'!F10,'18.08 Jinja-Buwenge'!F10)</f>
        <v>5.2857142857142856</v>
      </c>
      <c r="G10" s="49">
        <f>AVERAGE('12.08 Jinja-Buwenge'!G10,'13.08 Jinja-Buwenge'!G10,'14.08 Jinja-Buwenge'!G10,'15.08 Jinja-Buwenge'!G10,'16.08 Jinja-Buwenge-24h'!G10,'17.08 Jinja-Buwenge-24h'!G10,'18.08 Jinja-Buwenge'!G10)</f>
        <v>3.5714285714285716</v>
      </c>
      <c r="H10" s="49">
        <f>AVERAGE('12.08 Jinja-Buwenge'!H10,'13.08 Jinja-Buwenge'!H10,'14.08 Jinja-Buwenge'!H10,'15.08 Jinja-Buwenge'!H10,'16.08 Jinja-Buwenge-24h'!H10,'17.08 Jinja-Buwenge-24h'!H10,'18.08 Jinja-Buwenge'!H10)</f>
        <v>0</v>
      </c>
      <c r="I10" s="49">
        <f>AVERAGE('12.08 Jinja-Buwenge'!I10,'13.08 Jinja-Buwenge'!I10,'14.08 Jinja-Buwenge'!I10,'15.08 Jinja-Buwenge'!I10,'16.08 Jinja-Buwenge-24h'!I10,'17.08 Jinja-Buwenge-24h'!I10,'18.08 Jinja-Buwenge'!I10)</f>
        <v>2.5714285714285716</v>
      </c>
      <c r="J10" s="49">
        <f>AVERAGE('12.08 Jinja-Buwenge'!J10,'13.08 Jinja-Buwenge'!J10,'14.08 Jinja-Buwenge'!J10,'15.08 Jinja-Buwenge'!J10,'16.08 Jinja-Buwenge-24h'!J10,'17.08 Jinja-Buwenge-24h'!J10,'18.08 Jinja-Buwenge'!J10)</f>
        <v>1</v>
      </c>
      <c r="K10" s="49">
        <f>AVERAGE('12.08 Jinja-Buwenge'!K10,'13.08 Jinja-Buwenge'!K10,'14.08 Jinja-Buwenge'!K10,'15.08 Jinja-Buwenge'!K10,'16.08 Jinja-Buwenge-24h'!K10,'17.08 Jinja-Buwenge-24h'!K10,'18.08 Jinja-Buwenge'!K10)</f>
        <v>0</v>
      </c>
      <c r="L10" s="49">
        <f>AVERAGE('12.08 Jinja-Buwenge'!L10,'13.08 Jinja-Buwenge'!L10,'14.08 Jinja-Buwenge'!L10,'15.08 Jinja-Buwenge'!L10,'16.08 Jinja-Buwenge-24h'!L10,'17.08 Jinja-Buwenge-24h'!L10,'18.08 Jinja-Buwenge'!L10)</f>
        <v>0</v>
      </c>
      <c r="M10" s="49">
        <f>AVERAGE('12.08 Jinja-Buwenge'!M10,'13.08 Jinja-Buwenge'!M10,'14.08 Jinja-Buwenge'!M10,'15.08 Jinja-Buwenge'!M10,'16.08 Jinja-Buwenge-24h'!M10,'17.08 Jinja-Buwenge-24h'!M10,'18.08 Jinja-Buwenge'!M10)</f>
        <v>17.714285714285715</v>
      </c>
      <c r="N10" s="49">
        <f>AVERAGE('12.08 Jinja-Buwenge'!N10,'13.08 Jinja-Buwenge'!N10,'14.08 Jinja-Buwenge'!N10,'15.08 Jinja-Buwenge'!N10,'16.08 Jinja-Buwenge-24h'!N10,'17.08 Jinja-Buwenge-24h'!N10,'18.08 Jinja-Buwenge'!N10)</f>
        <v>0</v>
      </c>
      <c r="O10" s="15">
        <f t="shared" ref="O10:O61" si="0">SUM(C10:L10,N10)</f>
        <v>17.142857142857142</v>
      </c>
      <c r="P10" s="15">
        <f t="shared" ref="P10:P61" si="1">SUM(C10:N10)</f>
        <v>34.857142857142861</v>
      </c>
      <c r="R10" s="1" t="s">
        <v>6</v>
      </c>
      <c r="S10" s="17">
        <f t="shared" ref="S10:AF10" si="2">SUM(C10:C13)</f>
        <v>15</v>
      </c>
      <c r="T10" s="17">
        <f t="shared" si="2"/>
        <v>1.4285714285714284</v>
      </c>
      <c r="U10" s="17">
        <f t="shared" si="2"/>
        <v>8</v>
      </c>
      <c r="V10" s="17">
        <f t="shared" si="2"/>
        <v>25.714285714285715</v>
      </c>
      <c r="W10" s="17">
        <f t="shared" si="2"/>
        <v>13.714285714285715</v>
      </c>
      <c r="X10" s="17">
        <f t="shared" si="2"/>
        <v>0</v>
      </c>
      <c r="Y10" s="17">
        <f t="shared" si="2"/>
        <v>8</v>
      </c>
      <c r="Z10" s="17">
        <f t="shared" si="2"/>
        <v>2.5714285714285712</v>
      </c>
      <c r="AA10" s="17">
        <f t="shared" si="2"/>
        <v>0</v>
      </c>
      <c r="AB10" s="17">
        <f t="shared" si="2"/>
        <v>0.14285714285714285</v>
      </c>
      <c r="AC10" s="17">
        <f t="shared" si="2"/>
        <v>83.857142857142861</v>
      </c>
      <c r="AD10" s="17">
        <f t="shared" si="2"/>
        <v>0</v>
      </c>
      <c r="AE10" s="31">
        <f t="shared" si="2"/>
        <v>74.571428571428569</v>
      </c>
      <c r="AF10" s="31">
        <f t="shared" si="2"/>
        <v>158.42857142857144</v>
      </c>
    </row>
    <row r="11" spans="2:32" s="6" customFormat="1" ht="23.1" customHeight="1" x14ac:dyDescent="0.25">
      <c r="B11" s="23" t="s">
        <v>38</v>
      </c>
      <c r="C11" s="49">
        <f>AVERAGE('12.08 Jinja-Buwenge'!C11,'13.08 Jinja-Buwenge'!C11,'14.08 Jinja-Buwenge'!C11,'15.08 Jinja-Buwenge'!C11,'16.08 Jinja-Buwenge-24h'!C11,'17.08 Jinja-Buwenge-24h'!C11,'18.08 Jinja-Buwenge'!C11)</f>
        <v>4</v>
      </c>
      <c r="D11" s="49">
        <f>AVERAGE('12.08 Jinja-Buwenge'!D11,'13.08 Jinja-Buwenge'!D11,'14.08 Jinja-Buwenge'!D11,'15.08 Jinja-Buwenge'!D11,'16.08 Jinja-Buwenge-24h'!D11,'17.08 Jinja-Buwenge-24h'!D11,'18.08 Jinja-Buwenge'!D11)</f>
        <v>0.14285714285714285</v>
      </c>
      <c r="E11" s="49">
        <f>AVERAGE('12.08 Jinja-Buwenge'!E11,'13.08 Jinja-Buwenge'!E11,'14.08 Jinja-Buwenge'!E11,'15.08 Jinja-Buwenge'!E11,'16.08 Jinja-Buwenge-24h'!E11,'17.08 Jinja-Buwenge-24h'!E11,'18.08 Jinja-Buwenge'!E11)</f>
        <v>1.5714285714285714</v>
      </c>
      <c r="F11" s="49">
        <f>AVERAGE('12.08 Jinja-Buwenge'!F11,'13.08 Jinja-Buwenge'!F11,'14.08 Jinja-Buwenge'!F11,'15.08 Jinja-Buwenge'!F11,'16.08 Jinja-Buwenge-24h'!F11,'17.08 Jinja-Buwenge-24h'!F11,'18.08 Jinja-Buwenge'!F11)</f>
        <v>6.2857142857142856</v>
      </c>
      <c r="G11" s="49">
        <f>AVERAGE('12.08 Jinja-Buwenge'!G11,'13.08 Jinja-Buwenge'!G11,'14.08 Jinja-Buwenge'!G11,'15.08 Jinja-Buwenge'!G11,'16.08 Jinja-Buwenge-24h'!G11,'17.08 Jinja-Buwenge-24h'!G11,'18.08 Jinja-Buwenge'!G11)</f>
        <v>3.5714285714285716</v>
      </c>
      <c r="H11" s="49">
        <f>AVERAGE('12.08 Jinja-Buwenge'!H11,'13.08 Jinja-Buwenge'!H11,'14.08 Jinja-Buwenge'!H11,'15.08 Jinja-Buwenge'!H11,'16.08 Jinja-Buwenge-24h'!H11,'17.08 Jinja-Buwenge-24h'!H11,'18.08 Jinja-Buwenge'!H11)</f>
        <v>0</v>
      </c>
      <c r="I11" s="49">
        <f>AVERAGE('12.08 Jinja-Buwenge'!I11,'13.08 Jinja-Buwenge'!I11,'14.08 Jinja-Buwenge'!I11,'15.08 Jinja-Buwenge'!I11,'16.08 Jinja-Buwenge-24h'!I11,'17.08 Jinja-Buwenge-24h'!I11,'18.08 Jinja-Buwenge'!I11)</f>
        <v>1.2857142857142858</v>
      </c>
      <c r="J11" s="49">
        <f>AVERAGE('12.08 Jinja-Buwenge'!J11,'13.08 Jinja-Buwenge'!J11,'14.08 Jinja-Buwenge'!J11,'15.08 Jinja-Buwenge'!J11,'16.08 Jinja-Buwenge-24h'!J11,'17.08 Jinja-Buwenge-24h'!J11,'18.08 Jinja-Buwenge'!J11)</f>
        <v>0.5714285714285714</v>
      </c>
      <c r="K11" s="49">
        <f>AVERAGE('12.08 Jinja-Buwenge'!K11,'13.08 Jinja-Buwenge'!K11,'14.08 Jinja-Buwenge'!K11,'15.08 Jinja-Buwenge'!K11,'16.08 Jinja-Buwenge-24h'!K11,'17.08 Jinja-Buwenge-24h'!K11,'18.08 Jinja-Buwenge'!K11)</f>
        <v>0</v>
      </c>
      <c r="L11" s="49">
        <f>AVERAGE('12.08 Jinja-Buwenge'!L11,'13.08 Jinja-Buwenge'!L11,'14.08 Jinja-Buwenge'!L11,'15.08 Jinja-Buwenge'!L11,'16.08 Jinja-Buwenge-24h'!L11,'17.08 Jinja-Buwenge-24h'!L11,'18.08 Jinja-Buwenge'!L11)</f>
        <v>0.14285714285714285</v>
      </c>
      <c r="M11" s="49">
        <f>AVERAGE('12.08 Jinja-Buwenge'!M11,'13.08 Jinja-Buwenge'!M11,'14.08 Jinja-Buwenge'!M11,'15.08 Jinja-Buwenge'!M11,'16.08 Jinja-Buwenge-24h'!M11,'17.08 Jinja-Buwenge-24h'!M11,'18.08 Jinja-Buwenge'!M11)</f>
        <v>20.571428571428573</v>
      </c>
      <c r="N11" s="49">
        <f>AVERAGE('12.08 Jinja-Buwenge'!N11,'13.08 Jinja-Buwenge'!N11,'14.08 Jinja-Buwenge'!N11,'15.08 Jinja-Buwenge'!N11,'16.08 Jinja-Buwenge-24h'!N11,'17.08 Jinja-Buwenge-24h'!N11,'18.08 Jinja-Buwenge'!N11)</f>
        <v>0</v>
      </c>
      <c r="O11" s="15">
        <f t="shared" si="0"/>
        <v>17.571428571428573</v>
      </c>
      <c r="P11" s="15">
        <f t="shared" si="1"/>
        <v>38.142857142857146</v>
      </c>
      <c r="R11" s="1" t="s">
        <v>7</v>
      </c>
      <c r="S11" s="17">
        <f t="shared" ref="S11:AF11" si="3">SUM(C14:C17)</f>
        <v>19.571428571428573</v>
      </c>
      <c r="T11" s="17">
        <f t="shared" si="3"/>
        <v>2.7142857142857144</v>
      </c>
      <c r="U11" s="17">
        <f t="shared" si="3"/>
        <v>12.571428571428573</v>
      </c>
      <c r="V11" s="17">
        <f t="shared" si="3"/>
        <v>33.571428571428569</v>
      </c>
      <c r="W11" s="17">
        <f t="shared" si="3"/>
        <v>9.8571428571428577</v>
      </c>
      <c r="X11" s="17">
        <f t="shared" si="3"/>
        <v>0.14285714285714285</v>
      </c>
      <c r="Y11" s="17">
        <f t="shared" si="3"/>
        <v>8.4285714285714288</v>
      </c>
      <c r="Z11" s="17">
        <f t="shared" si="3"/>
        <v>1.4285714285714284</v>
      </c>
      <c r="AA11" s="17">
        <f t="shared" si="3"/>
        <v>0</v>
      </c>
      <c r="AB11" s="17">
        <f t="shared" si="3"/>
        <v>0.14285714285714285</v>
      </c>
      <c r="AC11" s="17">
        <f t="shared" si="3"/>
        <v>107.28571428571429</v>
      </c>
      <c r="AD11" s="17">
        <f t="shared" si="3"/>
        <v>0</v>
      </c>
      <c r="AE11" s="31">
        <f t="shared" si="3"/>
        <v>88.428571428571431</v>
      </c>
      <c r="AF11" s="31">
        <f t="shared" si="3"/>
        <v>195.71428571428572</v>
      </c>
    </row>
    <row r="12" spans="2:32" ht="23.1" customHeight="1" x14ac:dyDescent="0.25">
      <c r="B12" s="23" t="s">
        <v>39</v>
      </c>
      <c r="C12" s="49">
        <f>AVERAGE('12.08 Jinja-Buwenge'!C12,'13.08 Jinja-Buwenge'!C12,'14.08 Jinja-Buwenge'!C12,'15.08 Jinja-Buwenge'!C12,'16.08 Jinja-Buwenge-24h'!C12,'17.08 Jinja-Buwenge-24h'!C12,'18.08 Jinja-Buwenge'!C12)</f>
        <v>3.2857142857142856</v>
      </c>
      <c r="D12" s="49">
        <f>AVERAGE('12.08 Jinja-Buwenge'!D12,'13.08 Jinja-Buwenge'!D12,'14.08 Jinja-Buwenge'!D12,'15.08 Jinja-Buwenge'!D12,'16.08 Jinja-Buwenge-24h'!D12,'17.08 Jinja-Buwenge-24h'!D12,'18.08 Jinja-Buwenge'!D12)</f>
        <v>0.2857142857142857</v>
      </c>
      <c r="E12" s="49">
        <f>AVERAGE('12.08 Jinja-Buwenge'!E12,'13.08 Jinja-Buwenge'!E12,'14.08 Jinja-Buwenge'!E12,'15.08 Jinja-Buwenge'!E12,'16.08 Jinja-Buwenge-24h'!E12,'17.08 Jinja-Buwenge-24h'!E12,'18.08 Jinja-Buwenge'!E12)</f>
        <v>1.8571428571428572</v>
      </c>
      <c r="F12" s="49">
        <f>AVERAGE('12.08 Jinja-Buwenge'!F12,'13.08 Jinja-Buwenge'!F12,'14.08 Jinja-Buwenge'!F12,'15.08 Jinja-Buwenge'!F12,'16.08 Jinja-Buwenge-24h'!F12,'17.08 Jinja-Buwenge-24h'!F12,'18.08 Jinja-Buwenge'!F12)</f>
        <v>6.7142857142857144</v>
      </c>
      <c r="G12" s="49">
        <f>AVERAGE('12.08 Jinja-Buwenge'!G12,'13.08 Jinja-Buwenge'!G12,'14.08 Jinja-Buwenge'!G12,'15.08 Jinja-Buwenge'!G12,'16.08 Jinja-Buwenge-24h'!G12,'17.08 Jinja-Buwenge-24h'!G12,'18.08 Jinja-Buwenge'!G12)</f>
        <v>3.2857142857142856</v>
      </c>
      <c r="H12" s="49">
        <f>AVERAGE('12.08 Jinja-Buwenge'!H12,'13.08 Jinja-Buwenge'!H12,'14.08 Jinja-Buwenge'!H12,'15.08 Jinja-Buwenge'!H12,'16.08 Jinja-Buwenge-24h'!H12,'17.08 Jinja-Buwenge-24h'!H12,'18.08 Jinja-Buwenge'!H12)</f>
        <v>0</v>
      </c>
      <c r="I12" s="49">
        <f>AVERAGE('12.08 Jinja-Buwenge'!I12,'13.08 Jinja-Buwenge'!I12,'14.08 Jinja-Buwenge'!I12,'15.08 Jinja-Buwenge'!I12,'16.08 Jinja-Buwenge-24h'!I12,'17.08 Jinja-Buwenge-24h'!I12,'18.08 Jinja-Buwenge'!I12)</f>
        <v>2.4285714285714284</v>
      </c>
      <c r="J12" s="49">
        <f>AVERAGE('12.08 Jinja-Buwenge'!J12,'13.08 Jinja-Buwenge'!J12,'14.08 Jinja-Buwenge'!J12,'15.08 Jinja-Buwenge'!J12,'16.08 Jinja-Buwenge-24h'!J12,'17.08 Jinja-Buwenge-24h'!J12,'18.08 Jinja-Buwenge'!J12)</f>
        <v>0.42857142857142855</v>
      </c>
      <c r="K12" s="49">
        <f>AVERAGE('12.08 Jinja-Buwenge'!K12,'13.08 Jinja-Buwenge'!K12,'14.08 Jinja-Buwenge'!K12,'15.08 Jinja-Buwenge'!K12,'16.08 Jinja-Buwenge-24h'!K12,'17.08 Jinja-Buwenge-24h'!K12,'18.08 Jinja-Buwenge'!K12)</f>
        <v>0</v>
      </c>
      <c r="L12" s="49">
        <f>AVERAGE('12.08 Jinja-Buwenge'!L12,'13.08 Jinja-Buwenge'!L12,'14.08 Jinja-Buwenge'!L12,'15.08 Jinja-Buwenge'!L12,'16.08 Jinja-Buwenge-24h'!L12,'17.08 Jinja-Buwenge-24h'!L12,'18.08 Jinja-Buwenge'!L12)</f>
        <v>0</v>
      </c>
      <c r="M12" s="49">
        <f>AVERAGE('12.08 Jinja-Buwenge'!M12,'13.08 Jinja-Buwenge'!M12,'14.08 Jinja-Buwenge'!M12,'15.08 Jinja-Buwenge'!M12,'16.08 Jinja-Buwenge-24h'!M12,'17.08 Jinja-Buwenge-24h'!M12,'18.08 Jinja-Buwenge'!M12)</f>
        <v>20.714285714285715</v>
      </c>
      <c r="N12" s="49">
        <f>AVERAGE('12.08 Jinja-Buwenge'!N12,'13.08 Jinja-Buwenge'!N12,'14.08 Jinja-Buwenge'!N12,'15.08 Jinja-Buwenge'!N12,'16.08 Jinja-Buwenge-24h'!N12,'17.08 Jinja-Buwenge-24h'!N12,'18.08 Jinja-Buwenge'!N12)</f>
        <v>0</v>
      </c>
      <c r="O12" s="15">
        <f t="shared" si="0"/>
        <v>18.285714285714281</v>
      </c>
      <c r="P12" s="15">
        <f t="shared" si="1"/>
        <v>39</v>
      </c>
      <c r="R12" s="1" t="s">
        <v>8</v>
      </c>
      <c r="S12" s="17">
        <f t="shared" ref="S12:AF12" si="4">SUM(C18:C21)</f>
        <v>28.857142857142861</v>
      </c>
      <c r="T12" s="17">
        <f t="shared" si="4"/>
        <v>6.1428571428571423</v>
      </c>
      <c r="U12" s="17">
        <f t="shared" si="4"/>
        <v>20.428571428571431</v>
      </c>
      <c r="V12" s="17">
        <f t="shared" si="4"/>
        <v>47.142857142857139</v>
      </c>
      <c r="W12" s="17">
        <f t="shared" si="4"/>
        <v>4.2857142857142856</v>
      </c>
      <c r="X12" s="17">
        <f t="shared" si="4"/>
        <v>0</v>
      </c>
      <c r="Y12" s="17">
        <f t="shared" si="4"/>
        <v>11.857142857142858</v>
      </c>
      <c r="Z12" s="17">
        <f t="shared" si="4"/>
        <v>0.8571428571428571</v>
      </c>
      <c r="AA12" s="17">
        <f t="shared" si="4"/>
        <v>0</v>
      </c>
      <c r="AB12" s="17">
        <f t="shared" si="4"/>
        <v>0</v>
      </c>
      <c r="AC12" s="17">
        <f t="shared" si="4"/>
        <v>150.42857142857144</v>
      </c>
      <c r="AD12" s="17">
        <f t="shared" si="4"/>
        <v>0</v>
      </c>
      <c r="AE12" s="31">
        <f t="shared" si="4"/>
        <v>119.57142857142858</v>
      </c>
      <c r="AF12" s="31">
        <f t="shared" si="4"/>
        <v>270</v>
      </c>
    </row>
    <row r="13" spans="2:32" ht="23.1" customHeight="1" x14ac:dyDescent="0.25">
      <c r="B13" s="23" t="s">
        <v>40</v>
      </c>
      <c r="C13" s="49">
        <f>AVERAGE('12.08 Jinja-Buwenge'!C13,'13.08 Jinja-Buwenge'!C13,'14.08 Jinja-Buwenge'!C13,'15.08 Jinja-Buwenge'!C13,'16.08 Jinja-Buwenge-24h'!C13,'17.08 Jinja-Buwenge-24h'!C13,'18.08 Jinja-Buwenge'!C13)</f>
        <v>5.2857142857142856</v>
      </c>
      <c r="D13" s="49">
        <f>AVERAGE('12.08 Jinja-Buwenge'!D13,'13.08 Jinja-Buwenge'!D13,'14.08 Jinja-Buwenge'!D13,'15.08 Jinja-Buwenge'!D13,'16.08 Jinja-Buwenge-24h'!D13,'17.08 Jinja-Buwenge-24h'!D13,'18.08 Jinja-Buwenge'!D13)</f>
        <v>0.7142857142857143</v>
      </c>
      <c r="E13" s="49">
        <f>AVERAGE('12.08 Jinja-Buwenge'!E13,'13.08 Jinja-Buwenge'!E13,'14.08 Jinja-Buwenge'!E13,'15.08 Jinja-Buwenge'!E13,'16.08 Jinja-Buwenge-24h'!E13,'17.08 Jinja-Buwenge-24h'!E13,'18.08 Jinja-Buwenge'!E13)</f>
        <v>2.5714285714285716</v>
      </c>
      <c r="F13" s="49">
        <f>AVERAGE('12.08 Jinja-Buwenge'!F13,'13.08 Jinja-Buwenge'!F13,'14.08 Jinja-Buwenge'!F13,'15.08 Jinja-Buwenge'!F13,'16.08 Jinja-Buwenge-24h'!F13,'17.08 Jinja-Buwenge-24h'!F13,'18.08 Jinja-Buwenge'!F13)</f>
        <v>7.4285714285714288</v>
      </c>
      <c r="G13" s="49">
        <f>AVERAGE('12.08 Jinja-Buwenge'!G13,'13.08 Jinja-Buwenge'!G13,'14.08 Jinja-Buwenge'!G13,'15.08 Jinja-Buwenge'!G13,'16.08 Jinja-Buwenge-24h'!G13,'17.08 Jinja-Buwenge-24h'!G13,'18.08 Jinja-Buwenge'!G13)</f>
        <v>3.2857142857142856</v>
      </c>
      <c r="H13" s="49">
        <f>AVERAGE('12.08 Jinja-Buwenge'!H13,'13.08 Jinja-Buwenge'!H13,'14.08 Jinja-Buwenge'!H13,'15.08 Jinja-Buwenge'!H13,'16.08 Jinja-Buwenge-24h'!H13,'17.08 Jinja-Buwenge-24h'!H13,'18.08 Jinja-Buwenge'!H13)</f>
        <v>0</v>
      </c>
      <c r="I13" s="49">
        <f>AVERAGE('12.08 Jinja-Buwenge'!I13,'13.08 Jinja-Buwenge'!I13,'14.08 Jinja-Buwenge'!I13,'15.08 Jinja-Buwenge'!I13,'16.08 Jinja-Buwenge-24h'!I13,'17.08 Jinja-Buwenge-24h'!I13,'18.08 Jinja-Buwenge'!I13)</f>
        <v>1.7142857142857142</v>
      </c>
      <c r="J13" s="49">
        <f>AVERAGE('12.08 Jinja-Buwenge'!J13,'13.08 Jinja-Buwenge'!J13,'14.08 Jinja-Buwenge'!J13,'15.08 Jinja-Buwenge'!J13,'16.08 Jinja-Buwenge-24h'!J13,'17.08 Jinja-Buwenge-24h'!J13,'18.08 Jinja-Buwenge'!J13)</f>
        <v>0.5714285714285714</v>
      </c>
      <c r="K13" s="49">
        <f>AVERAGE('12.08 Jinja-Buwenge'!K13,'13.08 Jinja-Buwenge'!K13,'14.08 Jinja-Buwenge'!K13,'15.08 Jinja-Buwenge'!K13,'16.08 Jinja-Buwenge-24h'!K13,'17.08 Jinja-Buwenge-24h'!K13,'18.08 Jinja-Buwenge'!K13)</f>
        <v>0</v>
      </c>
      <c r="L13" s="49">
        <f>AVERAGE('12.08 Jinja-Buwenge'!L13,'13.08 Jinja-Buwenge'!L13,'14.08 Jinja-Buwenge'!L13,'15.08 Jinja-Buwenge'!L13,'16.08 Jinja-Buwenge-24h'!L13,'17.08 Jinja-Buwenge-24h'!L13,'18.08 Jinja-Buwenge'!L13)</f>
        <v>0</v>
      </c>
      <c r="M13" s="49">
        <f>AVERAGE('12.08 Jinja-Buwenge'!M13,'13.08 Jinja-Buwenge'!M13,'14.08 Jinja-Buwenge'!M13,'15.08 Jinja-Buwenge'!M13,'16.08 Jinja-Buwenge-24h'!M13,'17.08 Jinja-Buwenge-24h'!M13,'18.08 Jinja-Buwenge'!M13)</f>
        <v>24.857142857142858</v>
      </c>
      <c r="N13" s="49">
        <f>AVERAGE('12.08 Jinja-Buwenge'!N13,'13.08 Jinja-Buwenge'!N13,'14.08 Jinja-Buwenge'!N13,'15.08 Jinja-Buwenge'!N13,'16.08 Jinja-Buwenge-24h'!N13,'17.08 Jinja-Buwenge-24h'!N13,'18.08 Jinja-Buwenge'!N13)</f>
        <v>0</v>
      </c>
      <c r="O13" s="15">
        <f t="shared" si="0"/>
        <v>21.571428571428573</v>
      </c>
      <c r="P13" s="15">
        <f t="shared" si="1"/>
        <v>46.428571428571431</v>
      </c>
      <c r="R13" s="1" t="s">
        <v>9</v>
      </c>
      <c r="S13" s="17">
        <f t="shared" ref="S13:AF13" si="5">SUM(C22:C25)</f>
        <v>26.428571428571431</v>
      </c>
      <c r="T13" s="17">
        <f t="shared" si="5"/>
        <v>6</v>
      </c>
      <c r="U13" s="17">
        <f t="shared" si="5"/>
        <v>21.285714285714285</v>
      </c>
      <c r="V13" s="17">
        <f t="shared" si="5"/>
        <v>47.571428571428569</v>
      </c>
      <c r="W13" s="17">
        <f t="shared" si="5"/>
        <v>2</v>
      </c>
      <c r="X13" s="17">
        <f t="shared" si="5"/>
        <v>0.2857142857142857</v>
      </c>
      <c r="Y13" s="17">
        <f t="shared" si="5"/>
        <v>12.142857142857142</v>
      </c>
      <c r="Z13" s="17">
        <f t="shared" si="5"/>
        <v>0.99999999999999989</v>
      </c>
      <c r="AA13" s="17">
        <f t="shared" si="5"/>
        <v>0.2857142857142857</v>
      </c>
      <c r="AB13" s="17">
        <f t="shared" si="5"/>
        <v>0.14285714285714285</v>
      </c>
      <c r="AC13" s="17">
        <f t="shared" si="5"/>
        <v>161.42857142857144</v>
      </c>
      <c r="AD13" s="17">
        <f t="shared" si="5"/>
        <v>0.14285714285714285</v>
      </c>
      <c r="AE13" s="31">
        <f t="shared" si="5"/>
        <v>117.28571428571428</v>
      </c>
      <c r="AF13" s="31">
        <f t="shared" si="5"/>
        <v>278.71428571428572</v>
      </c>
    </row>
    <row r="14" spans="2:32" ht="23.1" customHeight="1" x14ac:dyDescent="0.25">
      <c r="B14" s="23" t="s">
        <v>41</v>
      </c>
      <c r="C14" s="49">
        <f>AVERAGE('12.08 Jinja-Buwenge'!C14,'13.08 Jinja-Buwenge'!C14,'14.08 Jinja-Buwenge'!C14,'15.08 Jinja-Buwenge'!C14,'16.08 Jinja-Buwenge-24h'!C14,'17.08 Jinja-Buwenge-24h'!C14,'18.08 Jinja-Buwenge'!C14)</f>
        <v>5.2857142857142856</v>
      </c>
      <c r="D14" s="49">
        <f>AVERAGE('12.08 Jinja-Buwenge'!D14,'13.08 Jinja-Buwenge'!D14,'14.08 Jinja-Buwenge'!D14,'15.08 Jinja-Buwenge'!D14,'16.08 Jinja-Buwenge-24h'!D14,'17.08 Jinja-Buwenge-24h'!D14,'18.08 Jinja-Buwenge'!D14)</f>
        <v>1</v>
      </c>
      <c r="E14" s="49">
        <f>AVERAGE('12.08 Jinja-Buwenge'!E14,'13.08 Jinja-Buwenge'!E14,'14.08 Jinja-Buwenge'!E14,'15.08 Jinja-Buwenge'!E14,'16.08 Jinja-Buwenge-24h'!E14,'17.08 Jinja-Buwenge-24h'!E14,'18.08 Jinja-Buwenge'!E14)</f>
        <v>3.5714285714285716</v>
      </c>
      <c r="F14" s="49">
        <f>AVERAGE('12.08 Jinja-Buwenge'!F14,'13.08 Jinja-Buwenge'!F14,'14.08 Jinja-Buwenge'!F14,'15.08 Jinja-Buwenge'!F14,'16.08 Jinja-Buwenge-24h'!F14,'17.08 Jinja-Buwenge-24h'!F14,'18.08 Jinja-Buwenge'!F14)</f>
        <v>7.5714285714285712</v>
      </c>
      <c r="G14" s="49">
        <f>AVERAGE('12.08 Jinja-Buwenge'!G14,'13.08 Jinja-Buwenge'!G14,'14.08 Jinja-Buwenge'!G14,'15.08 Jinja-Buwenge'!G14,'16.08 Jinja-Buwenge-24h'!G14,'17.08 Jinja-Buwenge-24h'!G14,'18.08 Jinja-Buwenge'!G14)</f>
        <v>2.8571428571428572</v>
      </c>
      <c r="H14" s="49">
        <f>AVERAGE('12.08 Jinja-Buwenge'!H14,'13.08 Jinja-Buwenge'!H14,'14.08 Jinja-Buwenge'!H14,'15.08 Jinja-Buwenge'!H14,'16.08 Jinja-Buwenge-24h'!H14,'17.08 Jinja-Buwenge-24h'!H14,'18.08 Jinja-Buwenge'!H14)</f>
        <v>0</v>
      </c>
      <c r="I14" s="49">
        <f>AVERAGE('12.08 Jinja-Buwenge'!I14,'13.08 Jinja-Buwenge'!I14,'14.08 Jinja-Buwenge'!I14,'15.08 Jinja-Buwenge'!I14,'16.08 Jinja-Buwenge-24h'!I14,'17.08 Jinja-Buwenge-24h'!I14,'18.08 Jinja-Buwenge'!I14)</f>
        <v>2</v>
      </c>
      <c r="J14" s="49">
        <f>AVERAGE('12.08 Jinja-Buwenge'!J14,'13.08 Jinja-Buwenge'!J14,'14.08 Jinja-Buwenge'!J14,'15.08 Jinja-Buwenge'!J14,'16.08 Jinja-Buwenge-24h'!J14,'17.08 Jinja-Buwenge-24h'!J14,'18.08 Jinja-Buwenge'!J14)</f>
        <v>0.5714285714285714</v>
      </c>
      <c r="K14" s="49">
        <f>AVERAGE('12.08 Jinja-Buwenge'!K14,'13.08 Jinja-Buwenge'!K14,'14.08 Jinja-Buwenge'!K14,'15.08 Jinja-Buwenge'!K14,'16.08 Jinja-Buwenge-24h'!K14,'17.08 Jinja-Buwenge-24h'!K14,'18.08 Jinja-Buwenge'!K14)</f>
        <v>0</v>
      </c>
      <c r="L14" s="49">
        <f>AVERAGE('12.08 Jinja-Buwenge'!L14,'13.08 Jinja-Buwenge'!L14,'14.08 Jinja-Buwenge'!L14,'15.08 Jinja-Buwenge'!L14,'16.08 Jinja-Buwenge-24h'!L14,'17.08 Jinja-Buwenge-24h'!L14,'18.08 Jinja-Buwenge'!L14)</f>
        <v>0</v>
      </c>
      <c r="M14" s="49">
        <f>AVERAGE('12.08 Jinja-Buwenge'!M14,'13.08 Jinja-Buwenge'!M14,'14.08 Jinja-Buwenge'!M14,'15.08 Jinja-Buwenge'!M14,'16.08 Jinja-Buwenge-24h'!M14,'17.08 Jinja-Buwenge-24h'!M14,'18.08 Jinja-Buwenge'!M14)</f>
        <v>25.285714285714285</v>
      </c>
      <c r="N14" s="49">
        <f>AVERAGE('12.08 Jinja-Buwenge'!N14,'13.08 Jinja-Buwenge'!N14,'14.08 Jinja-Buwenge'!N14,'15.08 Jinja-Buwenge'!N14,'16.08 Jinja-Buwenge-24h'!N14,'17.08 Jinja-Buwenge-24h'!N14,'18.08 Jinja-Buwenge'!N14)</f>
        <v>0</v>
      </c>
      <c r="O14" s="15">
        <f t="shared" si="0"/>
        <v>22.857142857142861</v>
      </c>
      <c r="P14" s="15">
        <f t="shared" si="1"/>
        <v>48.142857142857146</v>
      </c>
      <c r="R14" s="1" t="s">
        <v>10</v>
      </c>
      <c r="S14" s="17">
        <f t="shared" ref="S14:AF14" si="6">SUM(C26:C29)</f>
        <v>35</v>
      </c>
      <c r="T14" s="17">
        <f t="shared" si="6"/>
        <v>5.5714285714285712</v>
      </c>
      <c r="U14" s="17">
        <f t="shared" si="6"/>
        <v>19.857142857142858</v>
      </c>
      <c r="V14" s="17">
        <f t="shared" si="6"/>
        <v>50.714285714285715</v>
      </c>
      <c r="W14" s="17">
        <f t="shared" si="6"/>
        <v>2.5714285714285712</v>
      </c>
      <c r="X14" s="17">
        <f t="shared" si="6"/>
        <v>0</v>
      </c>
      <c r="Y14" s="17">
        <f t="shared" si="6"/>
        <v>13.428571428571427</v>
      </c>
      <c r="Z14" s="17">
        <f t="shared" si="6"/>
        <v>0.99999999999999989</v>
      </c>
      <c r="AA14" s="17">
        <f t="shared" si="6"/>
        <v>0.5714285714285714</v>
      </c>
      <c r="AB14" s="17">
        <f t="shared" si="6"/>
        <v>0</v>
      </c>
      <c r="AC14" s="17">
        <f t="shared" si="6"/>
        <v>173.85714285714286</v>
      </c>
      <c r="AD14" s="17">
        <f t="shared" si="6"/>
        <v>0.2857142857142857</v>
      </c>
      <c r="AE14" s="31">
        <f t="shared" si="6"/>
        <v>129</v>
      </c>
      <c r="AF14" s="31">
        <f t="shared" si="6"/>
        <v>302.85714285714289</v>
      </c>
    </row>
    <row r="15" spans="2:32" ht="23.1" customHeight="1" x14ac:dyDescent="0.25">
      <c r="B15" s="23" t="s">
        <v>42</v>
      </c>
      <c r="C15" s="49">
        <f>AVERAGE('12.08 Jinja-Buwenge'!C15,'13.08 Jinja-Buwenge'!C15,'14.08 Jinja-Buwenge'!C15,'15.08 Jinja-Buwenge'!C15,'16.08 Jinja-Buwenge-24h'!C15,'17.08 Jinja-Buwenge-24h'!C15,'18.08 Jinja-Buwenge'!C15)</f>
        <v>5.1428571428571432</v>
      </c>
      <c r="D15" s="49">
        <f>AVERAGE('12.08 Jinja-Buwenge'!D15,'13.08 Jinja-Buwenge'!D15,'14.08 Jinja-Buwenge'!D15,'15.08 Jinja-Buwenge'!D15,'16.08 Jinja-Buwenge-24h'!D15,'17.08 Jinja-Buwenge-24h'!D15,'18.08 Jinja-Buwenge'!D15)</f>
        <v>0.42857142857142855</v>
      </c>
      <c r="E15" s="49">
        <f>AVERAGE('12.08 Jinja-Buwenge'!E15,'13.08 Jinja-Buwenge'!E15,'14.08 Jinja-Buwenge'!E15,'15.08 Jinja-Buwenge'!E15,'16.08 Jinja-Buwenge-24h'!E15,'17.08 Jinja-Buwenge-24h'!E15,'18.08 Jinja-Buwenge'!E15)</f>
        <v>2.7142857142857144</v>
      </c>
      <c r="F15" s="49">
        <f>AVERAGE('12.08 Jinja-Buwenge'!F15,'13.08 Jinja-Buwenge'!F15,'14.08 Jinja-Buwenge'!F15,'15.08 Jinja-Buwenge'!F15,'16.08 Jinja-Buwenge-24h'!F15,'17.08 Jinja-Buwenge-24h'!F15,'18.08 Jinja-Buwenge'!F15)</f>
        <v>9</v>
      </c>
      <c r="G15" s="49">
        <f>AVERAGE('12.08 Jinja-Buwenge'!G15,'13.08 Jinja-Buwenge'!G15,'14.08 Jinja-Buwenge'!G15,'15.08 Jinja-Buwenge'!G15,'16.08 Jinja-Buwenge-24h'!G15,'17.08 Jinja-Buwenge-24h'!G15,'18.08 Jinja-Buwenge'!G15)</f>
        <v>2.2857142857142856</v>
      </c>
      <c r="H15" s="49">
        <f>AVERAGE('12.08 Jinja-Buwenge'!H15,'13.08 Jinja-Buwenge'!H15,'14.08 Jinja-Buwenge'!H15,'15.08 Jinja-Buwenge'!H15,'16.08 Jinja-Buwenge-24h'!H15,'17.08 Jinja-Buwenge-24h'!H15,'18.08 Jinja-Buwenge'!H15)</f>
        <v>0</v>
      </c>
      <c r="I15" s="49">
        <f>AVERAGE('12.08 Jinja-Buwenge'!I15,'13.08 Jinja-Buwenge'!I15,'14.08 Jinja-Buwenge'!I15,'15.08 Jinja-Buwenge'!I15,'16.08 Jinja-Buwenge-24h'!I15,'17.08 Jinja-Buwenge-24h'!I15,'18.08 Jinja-Buwenge'!I15)</f>
        <v>2.2857142857142856</v>
      </c>
      <c r="J15" s="49">
        <f>AVERAGE('12.08 Jinja-Buwenge'!J15,'13.08 Jinja-Buwenge'!J15,'14.08 Jinja-Buwenge'!J15,'15.08 Jinja-Buwenge'!J15,'16.08 Jinja-Buwenge-24h'!J15,'17.08 Jinja-Buwenge-24h'!J15,'18.08 Jinja-Buwenge'!J15)</f>
        <v>0.7142857142857143</v>
      </c>
      <c r="K15" s="49">
        <f>AVERAGE('12.08 Jinja-Buwenge'!K15,'13.08 Jinja-Buwenge'!K15,'14.08 Jinja-Buwenge'!K15,'15.08 Jinja-Buwenge'!K15,'16.08 Jinja-Buwenge-24h'!K15,'17.08 Jinja-Buwenge-24h'!K15,'18.08 Jinja-Buwenge'!K15)</f>
        <v>0</v>
      </c>
      <c r="L15" s="49">
        <f>AVERAGE('12.08 Jinja-Buwenge'!L15,'13.08 Jinja-Buwenge'!L15,'14.08 Jinja-Buwenge'!L15,'15.08 Jinja-Buwenge'!L15,'16.08 Jinja-Buwenge-24h'!L15,'17.08 Jinja-Buwenge-24h'!L15,'18.08 Jinja-Buwenge'!L15)</f>
        <v>0</v>
      </c>
      <c r="M15" s="49">
        <f>AVERAGE('12.08 Jinja-Buwenge'!M15,'13.08 Jinja-Buwenge'!M15,'14.08 Jinja-Buwenge'!M15,'15.08 Jinja-Buwenge'!M15,'16.08 Jinja-Buwenge-24h'!M15,'17.08 Jinja-Buwenge-24h'!M15,'18.08 Jinja-Buwenge'!M15)</f>
        <v>28.142857142857142</v>
      </c>
      <c r="N15" s="49">
        <f>AVERAGE('12.08 Jinja-Buwenge'!N15,'13.08 Jinja-Buwenge'!N15,'14.08 Jinja-Buwenge'!N15,'15.08 Jinja-Buwenge'!N15,'16.08 Jinja-Buwenge-24h'!N15,'17.08 Jinja-Buwenge-24h'!N15,'18.08 Jinja-Buwenge'!N15)</f>
        <v>0</v>
      </c>
      <c r="O15" s="15">
        <f t="shared" si="0"/>
        <v>22.571428571428569</v>
      </c>
      <c r="P15" s="15">
        <f t="shared" si="1"/>
        <v>50.714285714285708</v>
      </c>
      <c r="R15" s="1" t="s">
        <v>11</v>
      </c>
      <c r="S15" s="17">
        <f t="shared" ref="S15:AF15" si="7">SUM(C30:C33)</f>
        <v>33.428571428571431</v>
      </c>
      <c r="T15" s="17">
        <f t="shared" si="7"/>
        <v>6.2857142857142865</v>
      </c>
      <c r="U15" s="17">
        <f t="shared" si="7"/>
        <v>20.142857142857142</v>
      </c>
      <c r="V15" s="17">
        <f t="shared" si="7"/>
        <v>50.428571428571431</v>
      </c>
      <c r="W15" s="17">
        <f t="shared" si="7"/>
        <v>4</v>
      </c>
      <c r="X15" s="17">
        <f t="shared" si="7"/>
        <v>0.14285714285714285</v>
      </c>
      <c r="Y15" s="17">
        <f t="shared" si="7"/>
        <v>11.571428571428571</v>
      </c>
      <c r="Z15" s="17">
        <f t="shared" si="7"/>
        <v>1.1428571428571428</v>
      </c>
      <c r="AA15" s="17">
        <f t="shared" si="7"/>
        <v>0</v>
      </c>
      <c r="AB15" s="17">
        <f t="shared" si="7"/>
        <v>0</v>
      </c>
      <c r="AC15" s="17">
        <f t="shared" si="7"/>
        <v>171</v>
      </c>
      <c r="AD15" s="17">
        <f t="shared" si="7"/>
        <v>0</v>
      </c>
      <c r="AE15" s="31">
        <f t="shared" si="7"/>
        <v>127.14285714285712</v>
      </c>
      <c r="AF15" s="31">
        <f t="shared" si="7"/>
        <v>298.14285714285711</v>
      </c>
    </row>
    <row r="16" spans="2:32" ht="23.1" customHeight="1" x14ac:dyDescent="0.25">
      <c r="B16" s="23" t="s">
        <v>43</v>
      </c>
      <c r="C16" s="49">
        <f>AVERAGE('12.08 Jinja-Buwenge'!C16,'13.08 Jinja-Buwenge'!C16,'14.08 Jinja-Buwenge'!C16,'15.08 Jinja-Buwenge'!C16,'16.08 Jinja-Buwenge-24h'!C16,'17.08 Jinja-Buwenge-24h'!C16,'18.08 Jinja-Buwenge'!C16)</f>
        <v>5</v>
      </c>
      <c r="D16" s="49">
        <f>AVERAGE('12.08 Jinja-Buwenge'!D16,'13.08 Jinja-Buwenge'!D16,'14.08 Jinja-Buwenge'!D16,'15.08 Jinja-Buwenge'!D16,'16.08 Jinja-Buwenge-24h'!D16,'17.08 Jinja-Buwenge-24h'!D16,'18.08 Jinja-Buwenge'!D16)</f>
        <v>0.7142857142857143</v>
      </c>
      <c r="E16" s="49">
        <f>AVERAGE('12.08 Jinja-Buwenge'!E16,'13.08 Jinja-Buwenge'!E16,'14.08 Jinja-Buwenge'!E16,'15.08 Jinja-Buwenge'!E16,'16.08 Jinja-Buwenge-24h'!E16,'17.08 Jinja-Buwenge-24h'!E16,'18.08 Jinja-Buwenge'!E16)</f>
        <v>3.4285714285714284</v>
      </c>
      <c r="F16" s="49">
        <f>AVERAGE('12.08 Jinja-Buwenge'!F16,'13.08 Jinja-Buwenge'!F16,'14.08 Jinja-Buwenge'!F16,'15.08 Jinja-Buwenge'!F16,'16.08 Jinja-Buwenge-24h'!F16,'17.08 Jinja-Buwenge-24h'!F16,'18.08 Jinja-Buwenge'!F16)</f>
        <v>8.2857142857142865</v>
      </c>
      <c r="G16" s="49">
        <f>AVERAGE('12.08 Jinja-Buwenge'!G16,'13.08 Jinja-Buwenge'!G16,'14.08 Jinja-Buwenge'!G16,'15.08 Jinja-Buwenge'!G16,'16.08 Jinja-Buwenge-24h'!G16,'17.08 Jinja-Buwenge-24h'!G16,'18.08 Jinja-Buwenge'!G16)</f>
        <v>2.4285714285714284</v>
      </c>
      <c r="H16" s="49">
        <f>AVERAGE('12.08 Jinja-Buwenge'!H16,'13.08 Jinja-Buwenge'!H16,'14.08 Jinja-Buwenge'!H16,'15.08 Jinja-Buwenge'!H16,'16.08 Jinja-Buwenge-24h'!H16,'17.08 Jinja-Buwenge-24h'!H16,'18.08 Jinja-Buwenge'!H16)</f>
        <v>0</v>
      </c>
      <c r="I16" s="49">
        <f>AVERAGE('12.08 Jinja-Buwenge'!I16,'13.08 Jinja-Buwenge'!I16,'14.08 Jinja-Buwenge'!I16,'15.08 Jinja-Buwenge'!I16,'16.08 Jinja-Buwenge-24h'!I16,'17.08 Jinja-Buwenge-24h'!I16,'18.08 Jinja-Buwenge'!I16)</f>
        <v>2.2857142857142856</v>
      </c>
      <c r="J16" s="49">
        <f>AVERAGE('12.08 Jinja-Buwenge'!J16,'13.08 Jinja-Buwenge'!J16,'14.08 Jinja-Buwenge'!J16,'15.08 Jinja-Buwenge'!J16,'16.08 Jinja-Buwenge-24h'!J16,'17.08 Jinja-Buwenge-24h'!J16,'18.08 Jinja-Buwenge'!J16)</f>
        <v>0.14285714285714285</v>
      </c>
      <c r="K16" s="49">
        <f>AVERAGE('12.08 Jinja-Buwenge'!K16,'13.08 Jinja-Buwenge'!K16,'14.08 Jinja-Buwenge'!K16,'15.08 Jinja-Buwenge'!K16,'16.08 Jinja-Buwenge-24h'!K16,'17.08 Jinja-Buwenge-24h'!K16,'18.08 Jinja-Buwenge'!K16)</f>
        <v>0</v>
      </c>
      <c r="L16" s="49">
        <f>AVERAGE('12.08 Jinja-Buwenge'!L16,'13.08 Jinja-Buwenge'!L16,'14.08 Jinja-Buwenge'!L16,'15.08 Jinja-Buwenge'!L16,'16.08 Jinja-Buwenge-24h'!L16,'17.08 Jinja-Buwenge-24h'!L16,'18.08 Jinja-Buwenge'!L16)</f>
        <v>0.14285714285714285</v>
      </c>
      <c r="M16" s="49">
        <f>AVERAGE('12.08 Jinja-Buwenge'!M16,'13.08 Jinja-Buwenge'!M16,'14.08 Jinja-Buwenge'!M16,'15.08 Jinja-Buwenge'!M16,'16.08 Jinja-Buwenge-24h'!M16,'17.08 Jinja-Buwenge-24h'!M16,'18.08 Jinja-Buwenge'!M16)</f>
        <v>26</v>
      </c>
      <c r="N16" s="49">
        <f>AVERAGE('12.08 Jinja-Buwenge'!N16,'13.08 Jinja-Buwenge'!N16,'14.08 Jinja-Buwenge'!N16,'15.08 Jinja-Buwenge'!N16,'16.08 Jinja-Buwenge-24h'!N16,'17.08 Jinja-Buwenge-24h'!N16,'18.08 Jinja-Buwenge'!N16)</f>
        <v>0</v>
      </c>
      <c r="O16" s="15">
        <f t="shared" si="0"/>
        <v>22.428571428571427</v>
      </c>
      <c r="P16" s="15">
        <f t="shared" si="1"/>
        <v>48.428571428571431</v>
      </c>
      <c r="R16" s="1" t="s">
        <v>12</v>
      </c>
      <c r="S16" s="17">
        <f t="shared" ref="S16:AF16" si="8">SUM(C34:C37)</f>
        <v>34.285714285714278</v>
      </c>
      <c r="T16" s="17">
        <f t="shared" si="8"/>
        <v>4.2857142857142856</v>
      </c>
      <c r="U16" s="17">
        <f t="shared" si="8"/>
        <v>15.857142857142858</v>
      </c>
      <c r="V16" s="17">
        <f t="shared" si="8"/>
        <v>52.571428571428569</v>
      </c>
      <c r="W16" s="17">
        <f t="shared" si="8"/>
        <v>4.8571428571428577</v>
      </c>
      <c r="X16" s="17">
        <f t="shared" si="8"/>
        <v>0.85714285714285698</v>
      </c>
      <c r="Y16" s="17">
        <f t="shared" si="8"/>
        <v>11.285714285714286</v>
      </c>
      <c r="Z16" s="17">
        <f t="shared" si="8"/>
        <v>1.7142857142857144</v>
      </c>
      <c r="AA16" s="17">
        <f t="shared" si="8"/>
        <v>0.42857142857142855</v>
      </c>
      <c r="AB16" s="17">
        <f t="shared" si="8"/>
        <v>0</v>
      </c>
      <c r="AC16" s="17">
        <f t="shared" si="8"/>
        <v>164.42857142857144</v>
      </c>
      <c r="AD16" s="17">
        <f t="shared" si="8"/>
        <v>0</v>
      </c>
      <c r="AE16" s="31">
        <f t="shared" si="8"/>
        <v>126.14285714285712</v>
      </c>
      <c r="AF16" s="31">
        <f t="shared" si="8"/>
        <v>290.57142857142856</v>
      </c>
    </row>
    <row r="17" spans="2:32" ht="23.1" customHeight="1" x14ac:dyDescent="0.25">
      <c r="B17" s="23" t="s">
        <v>44</v>
      </c>
      <c r="C17" s="49">
        <f>AVERAGE('12.08 Jinja-Buwenge'!C17,'13.08 Jinja-Buwenge'!C17,'14.08 Jinja-Buwenge'!C17,'15.08 Jinja-Buwenge'!C17,'16.08 Jinja-Buwenge-24h'!C17,'17.08 Jinja-Buwenge-24h'!C17,'18.08 Jinja-Buwenge'!C17)</f>
        <v>4.1428571428571432</v>
      </c>
      <c r="D17" s="49">
        <f>AVERAGE('12.08 Jinja-Buwenge'!D17,'13.08 Jinja-Buwenge'!D17,'14.08 Jinja-Buwenge'!D17,'15.08 Jinja-Buwenge'!D17,'16.08 Jinja-Buwenge-24h'!D17,'17.08 Jinja-Buwenge-24h'!D17,'18.08 Jinja-Buwenge'!D17)</f>
        <v>0.5714285714285714</v>
      </c>
      <c r="E17" s="49">
        <f>AVERAGE('12.08 Jinja-Buwenge'!E17,'13.08 Jinja-Buwenge'!E17,'14.08 Jinja-Buwenge'!E17,'15.08 Jinja-Buwenge'!E17,'16.08 Jinja-Buwenge-24h'!E17,'17.08 Jinja-Buwenge-24h'!E17,'18.08 Jinja-Buwenge'!E17)</f>
        <v>2.8571428571428572</v>
      </c>
      <c r="F17" s="49">
        <f>AVERAGE('12.08 Jinja-Buwenge'!F17,'13.08 Jinja-Buwenge'!F17,'14.08 Jinja-Buwenge'!F17,'15.08 Jinja-Buwenge'!F17,'16.08 Jinja-Buwenge-24h'!F17,'17.08 Jinja-Buwenge-24h'!F17,'18.08 Jinja-Buwenge'!F17)</f>
        <v>8.7142857142857135</v>
      </c>
      <c r="G17" s="49">
        <f>AVERAGE('12.08 Jinja-Buwenge'!G17,'13.08 Jinja-Buwenge'!G17,'14.08 Jinja-Buwenge'!G17,'15.08 Jinja-Buwenge'!G17,'16.08 Jinja-Buwenge-24h'!G17,'17.08 Jinja-Buwenge-24h'!G17,'18.08 Jinja-Buwenge'!G17)</f>
        <v>2.2857142857142856</v>
      </c>
      <c r="H17" s="49">
        <f>AVERAGE('12.08 Jinja-Buwenge'!H17,'13.08 Jinja-Buwenge'!H17,'14.08 Jinja-Buwenge'!H17,'15.08 Jinja-Buwenge'!H17,'16.08 Jinja-Buwenge-24h'!H17,'17.08 Jinja-Buwenge-24h'!H17,'18.08 Jinja-Buwenge'!H17)</f>
        <v>0.14285714285714285</v>
      </c>
      <c r="I17" s="49">
        <f>AVERAGE('12.08 Jinja-Buwenge'!I17,'13.08 Jinja-Buwenge'!I17,'14.08 Jinja-Buwenge'!I17,'15.08 Jinja-Buwenge'!I17,'16.08 Jinja-Buwenge-24h'!I17,'17.08 Jinja-Buwenge-24h'!I17,'18.08 Jinja-Buwenge'!I17)</f>
        <v>1.8571428571428572</v>
      </c>
      <c r="J17" s="49">
        <f>AVERAGE('12.08 Jinja-Buwenge'!J17,'13.08 Jinja-Buwenge'!J17,'14.08 Jinja-Buwenge'!J17,'15.08 Jinja-Buwenge'!J17,'16.08 Jinja-Buwenge-24h'!J17,'17.08 Jinja-Buwenge-24h'!J17,'18.08 Jinja-Buwenge'!J17)</f>
        <v>0</v>
      </c>
      <c r="K17" s="49">
        <f>AVERAGE('12.08 Jinja-Buwenge'!K17,'13.08 Jinja-Buwenge'!K17,'14.08 Jinja-Buwenge'!K17,'15.08 Jinja-Buwenge'!K17,'16.08 Jinja-Buwenge-24h'!K17,'17.08 Jinja-Buwenge-24h'!K17,'18.08 Jinja-Buwenge'!K17)</f>
        <v>0</v>
      </c>
      <c r="L17" s="49">
        <f>AVERAGE('12.08 Jinja-Buwenge'!L17,'13.08 Jinja-Buwenge'!L17,'14.08 Jinja-Buwenge'!L17,'15.08 Jinja-Buwenge'!L17,'16.08 Jinja-Buwenge-24h'!L17,'17.08 Jinja-Buwenge-24h'!L17,'18.08 Jinja-Buwenge'!L17)</f>
        <v>0</v>
      </c>
      <c r="M17" s="49">
        <f>AVERAGE('12.08 Jinja-Buwenge'!M17,'13.08 Jinja-Buwenge'!M17,'14.08 Jinja-Buwenge'!M17,'15.08 Jinja-Buwenge'!M17,'16.08 Jinja-Buwenge-24h'!M17,'17.08 Jinja-Buwenge-24h'!M17,'18.08 Jinja-Buwenge'!M17)</f>
        <v>27.857142857142858</v>
      </c>
      <c r="N17" s="49">
        <f>AVERAGE('12.08 Jinja-Buwenge'!N17,'13.08 Jinja-Buwenge'!N17,'14.08 Jinja-Buwenge'!N17,'15.08 Jinja-Buwenge'!N17,'16.08 Jinja-Buwenge-24h'!N17,'17.08 Jinja-Buwenge-24h'!N17,'18.08 Jinja-Buwenge'!N17)</f>
        <v>0</v>
      </c>
      <c r="O17" s="15">
        <f t="shared" si="0"/>
        <v>20.571428571428569</v>
      </c>
      <c r="P17" s="15">
        <f t="shared" si="1"/>
        <v>48.428571428571431</v>
      </c>
      <c r="R17" s="1" t="s">
        <v>13</v>
      </c>
      <c r="S17" s="17">
        <f t="shared" ref="S17:AF17" si="9">SUM(C38:C41)</f>
        <v>32.571428571428569</v>
      </c>
      <c r="T17" s="17">
        <f t="shared" si="9"/>
        <v>4.2857142857142856</v>
      </c>
      <c r="U17" s="17">
        <f t="shared" si="9"/>
        <v>17.857142857142858</v>
      </c>
      <c r="V17" s="17">
        <f t="shared" si="9"/>
        <v>46.571428571428569</v>
      </c>
      <c r="W17" s="17">
        <f t="shared" si="9"/>
        <v>4.1428571428571423</v>
      </c>
      <c r="X17" s="17">
        <f t="shared" si="9"/>
        <v>1.4285714285714286</v>
      </c>
      <c r="Y17" s="17">
        <f t="shared" si="9"/>
        <v>12.428571428571429</v>
      </c>
      <c r="Z17" s="17">
        <f t="shared" si="9"/>
        <v>1.5714285714285714</v>
      </c>
      <c r="AA17" s="17">
        <f t="shared" si="9"/>
        <v>0.71428571428571419</v>
      </c>
      <c r="AB17" s="17">
        <f t="shared" si="9"/>
        <v>0.2857142857142857</v>
      </c>
      <c r="AC17" s="17">
        <f t="shared" si="9"/>
        <v>177</v>
      </c>
      <c r="AD17" s="17">
        <f t="shared" si="9"/>
        <v>0</v>
      </c>
      <c r="AE17" s="31">
        <f t="shared" si="9"/>
        <v>121.85714285714286</v>
      </c>
      <c r="AF17" s="31">
        <f t="shared" si="9"/>
        <v>298.85714285714283</v>
      </c>
    </row>
    <row r="18" spans="2:32" ht="23.1" customHeight="1" x14ac:dyDescent="0.25">
      <c r="B18" s="23" t="s">
        <v>45</v>
      </c>
      <c r="C18" s="49">
        <f>AVERAGE('12.08 Jinja-Buwenge'!C18,'13.08 Jinja-Buwenge'!C18,'14.08 Jinja-Buwenge'!C18,'15.08 Jinja-Buwenge'!C18,'16.08 Jinja-Buwenge-24h'!C18,'17.08 Jinja-Buwenge-24h'!C18,'18.08 Jinja-Buwenge'!C18)</f>
        <v>5.4285714285714288</v>
      </c>
      <c r="D18" s="49">
        <f>AVERAGE('12.08 Jinja-Buwenge'!D18,'13.08 Jinja-Buwenge'!D18,'14.08 Jinja-Buwenge'!D18,'15.08 Jinja-Buwenge'!D18,'16.08 Jinja-Buwenge-24h'!D18,'17.08 Jinja-Buwenge-24h'!D18,'18.08 Jinja-Buwenge'!D18)</f>
        <v>1.2857142857142858</v>
      </c>
      <c r="E18" s="49">
        <f>AVERAGE('12.08 Jinja-Buwenge'!E18,'13.08 Jinja-Buwenge'!E18,'14.08 Jinja-Buwenge'!E18,'15.08 Jinja-Buwenge'!E18,'16.08 Jinja-Buwenge-24h'!E18,'17.08 Jinja-Buwenge-24h'!E18,'18.08 Jinja-Buwenge'!E18)</f>
        <v>4.2857142857142856</v>
      </c>
      <c r="F18" s="49">
        <f>AVERAGE('12.08 Jinja-Buwenge'!F18,'13.08 Jinja-Buwenge'!F18,'14.08 Jinja-Buwenge'!F18,'15.08 Jinja-Buwenge'!F18,'16.08 Jinja-Buwenge-24h'!F18,'17.08 Jinja-Buwenge-24h'!F18,'18.08 Jinja-Buwenge'!F18)</f>
        <v>9.5714285714285712</v>
      </c>
      <c r="G18" s="49">
        <f>AVERAGE('12.08 Jinja-Buwenge'!G18,'13.08 Jinja-Buwenge'!G18,'14.08 Jinja-Buwenge'!G18,'15.08 Jinja-Buwenge'!G18,'16.08 Jinja-Buwenge-24h'!G18,'17.08 Jinja-Buwenge-24h'!G18,'18.08 Jinja-Buwenge'!G18)</f>
        <v>1.8571428571428572</v>
      </c>
      <c r="H18" s="49">
        <f>AVERAGE('12.08 Jinja-Buwenge'!H18,'13.08 Jinja-Buwenge'!H18,'14.08 Jinja-Buwenge'!H18,'15.08 Jinja-Buwenge'!H18,'16.08 Jinja-Buwenge-24h'!H18,'17.08 Jinja-Buwenge-24h'!H18,'18.08 Jinja-Buwenge'!H18)</f>
        <v>0</v>
      </c>
      <c r="I18" s="49">
        <f>AVERAGE('12.08 Jinja-Buwenge'!I18,'13.08 Jinja-Buwenge'!I18,'14.08 Jinja-Buwenge'!I18,'15.08 Jinja-Buwenge'!I18,'16.08 Jinja-Buwenge-24h'!I18,'17.08 Jinja-Buwenge-24h'!I18,'18.08 Jinja-Buwenge'!I18)</f>
        <v>3.2857142857142856</v>
      </c>
      <c r="J18" s="49">
        <f>AVERAGE('12.08 Jinja-Buwenge'!J18,'13.08 Jinja-Buwenge'!J18,'14.08 Jinja-Buwenge'!J18,'15.08 Jinja-Buwenge'!J18,'16.08 Jinja-Buwenge-24h'!J18,'17.08 Jinja-Buwenge-24h'!J18,'18.08 Jinja-Buwenge'!J18)</f>
        <v>0</v>
      </c>
      <c r="K18" s="49">
        <f>AVERAGE('12.08 Jinja-Buwenge'!K18,'13.08 Jinja-Buwenge'!K18,'14.08 Jinja-Buwenge'!K18,'15.08 Jinja-Buwenge'!K18,'16.08 Jinja-Buwenge-24h'!K18,'17.08 Jinja-Buwenge-24h'!K18,'18.08 Jinja-Buwenge'!K18)</f>
        <v>0</v>
      </c>
      <c r="L18" s="49">
        <f>AVERAGE('12.08 Jinja-Buwenge'!L18,'13.08 Jinja-Buwenge'!L18,'14.08 Jinja-Buwenge'!L18,'15.08 Jinja-Buwenge'!L18,'16.08 Jinja-Buwenge-24h'!L18,'17.08 Jinja-Buwenge-24h'!L18,'18.08 Jinja-Buwenge'!L18)</f>
        <v>0</v>
      </c>
      <c r="M18" s="49">
        <f>AVERAGE('12.08 Jinja-Buwenge'!M18,'13.08 Jinja-Buwenge'!M18,'14.08 Jinja-Buwenge'!M18,'15.08 Jinja-Buwenge'!M18,'16.08 Jinja-Buwenge-24h'!M18,'17.08 Jinja-Buwenge-24h'!M18,'18.08 Jinja-Buwenge'!M18)</f>
        <v>37</v>
      </c>
      <c r="N18" s="49">
        <f>AVERAGE('12.08 Jinja-Buwenge'!N18,'13.08 Jinja-Buwenge'!N18,'14.08 Jinja-Buwenge'!N18,'15.08 Jinja-Buwenge'!N18,'16.08 Jinja-Buwenge-24h'!N18,'17.08 Jinja-Buwenge-24h'!N18,'18.08 Jinja-Buwenge'!N18)</f>
        <v>0</v>
      </c>
      <c r="O18" s="15">
        <f t="shared" si="0"/>
        <v>25.714285714285712</v>
      </c>
      <c r="P18" s="15">
        <f t="shared" si="1"/>
        <v>62.714285714285708</v>
      </c>
      <c r="R18" s="1" t="s">
        <v>14</v>
      </c>
      <c r="S18" s="17">
        <f t="shared" ref="S18:AF18" si="10">SUM(C42:C45)</f>
        <v>28.714285714285712</v>
      </c>
      <c r="T18" s="17">
        <f t="shared" si="10"/>
        <v>3.7142857142857144</v>
      </c>
      <c r="U18" s="17">
        <f t="shared" si="10"/>
        <v>14.285714285714285</v>
      </c>
      <c r="V18" s="17">
        <f t="shared" si="10"/>
        <v>42</v>
      </c>
      <c r="W18" s="17">
        <f t="shared" si="10"/>
        <v>3.1428571428571432</v>
      </c>
      <c r="X18" s="17">
        <f t="shared" si="10"/>
        <v>0.2857142857142857</v>
      </c>
      <c r="Y18" s="17">
        <f t="shared" si="10"/>
        <v>12.714285714285715</v>
      </c>
      <c r="Z18" s="17">
        <f t="shared" si="10"/>
        <v>0.71428571428571419</v>
      </c>
      <c r="AA18" s="17">
        <f t="shared" si="10"/>
        <v>0.2857142857142857</v>
      </c>
      <c r="AB18" s="17">
        <f t="shared" si="10"/>
        <v>0.14285714285714285</v>
      </c>
      <c r="AC18" s="17">
        <f t="shared" si="10"/>
        <v>123.28571428571429</v>
      </c>
      <c r="AD18" s="17">
        <f t="shared" si="10"/>
        <v>0</v>
      </c>
      <c r="AE18" s="31">
        <f t="shared" si="10"/>
        <v>105.99999999999999</v>
      </c>
      <c r="AF18" s="31">
        <f t="shared" si="10"/>
        <v>229.28571428571428</v>
      </c>
    </row>
    <row r="19" spans="2:32" ht="23.1" customHeight="1" x14ac:dyDescent="0.25">
      <c r="B19" s="23" t="s">
        <v>46</v>
      </c>
      <c r="C19" s="49">
        <f>AVERAGE('12.08 Jinja-Buwenge'!C19,'13.08 Jinja-Buwenge'!C19,'14.08 Jinja-Buwenge'!C19,'15.08 Jinja-Buwenge'!C19,'16.08 Jinja-Buwenge-24h'!C19,'17.08 Jinja-Buwenge-24h'!C19,'18.08 Jinja-Buwenge'!C19)</f>
        <v>7.1428571428571432</v>
      </c>
      <c r="D19" s="49">
        <f>AVERAGE('12.08 Jinja-Buwenge'!D19,'13.08 Jinja-Buwenge'!D19,'14.08 Jinja-Buwenge'!D19,'15.08 Jinja-Buwenge'!D19,'16.08 Jinja-Buwenge-24h'!D19,'17.08 Jinja-Buwenge-24h'!D19,'18.08 Jinja-Buwenge'!D19)</f>
        <v>1.8571428571428572</v>
      </c>
      <c r="E19" s="49">
        <f>AVERAGE('12.08 Jinja-Buwenge'!E19,'13.08 Jinja-Buwenge'!E19,'14.08 Jinja-Buwenge'!E19,'15.08 Jinja-Buwenge'!E19,'16.08 Jinja-Buwenge-24h'!E19,'17.08 Jinja-Buwenge-24h'!E19,'18.08 Jinja-Buwenge'!E19)</f>
        <v>5.5714285714285712</v>
      </c>
      <c r="F19" s="49">
        <f>AVERAGE('12.08 Jinja-Buwenge'!F19,'13.08 Jinja-Buwenge'!F19,'14.08 Jinja-Buwenge'!F19,'15.08 Jinja-Buwenge'!F19,'16.08 Jinja-Buwenge-24h'!F19,'17.08 Jinja-Buwenge-24h'!F19,'18.08 Jinja-Buwenge'!F19)</f>
        <v>12.142857142857142</v>
      </c>
      <c r="G19" s="49">
        <f>AVERAGE('12.08 Jinja-Buwenge'!G19,'13.08 Jinja-Buwenge'!G19,'14.08 Jinja-Buwenge'!G19,'15.08 Jinja-Buwenge'!G19,'16.08 Jinja-Buwenge-24h'!G19,'17.08 Jinja-Buwenge-24h'!G19,'18.08 Jinja-Buwenge'!G19)</f>
        <v>0.7142857142857143</v>
      </c>
      <c r="H19" s="49">
        <f>AVERAGE('12.08 Jinja-Buwenge'!H19,'13.08 Jinja-Buwenge'!H19,'14.08 Jinja-Buwenge'!H19,'15.08 Jinja-Buwenge'!H19,'16.08 Jinja-Buwenge-24h'!H19,'17.08 Jinja-Buwenge-24h'!H19,'18.08 Jinja-Buwenge'!H19)</f>
        <v>0</v>
      </c>
      <c r="I19" s="49">
        <f>AVERAGE('12.08 Jinja-Buwenge'!I19,'13.08 Jinja-Buwenge'!I19,'14.08 Jinja-Buwenge'!I19,'15.08 Jinja-Buwenge'!I19,'16.08 Jinja-Buwenge-24h'!I19,'17.08 Jinja-Buwenge-24h'!I19,'18.08 Jinja-Buwenge'!I19)</f>
        <v>2.5714285714285716</v>
      </c>
      <c r="J19" s="49">
        <f>AVERAGE('12.08 Jinja-Buwenge'!J19,'13.08 Jinja-Buwenge'!J19,'14.08 Jinja-Buwenge'!J19,'15.08 Jinja-Buwenge'!J19,'16.08 Jinja-Buwenge-24h'!J19,'17.08 Jinja-Buwenge-24h'!J19,'18.08 Jinja-Buwenge'!J19)</f>
        <v>0.42857142857142855</v>
      </c>
      <c r="K19" s="49">
        <f>AVERAGE('12.08 Jinja-Buwenge'!K19,'13.08 Jinja-Buwenge'!K19,'14.08 Jinja-Buwenge'!K19,'15.08 Jinja-Buwenge'!K19,'16.08 Jinja-Buwenge-24h'!K19,'17.08 Jinja-Buwenge-24h'!K19,'18.08 Jinja-Buwenge'!K19)</f>
        <v>0</v>
      </c>
      <c r="L19" s="49">
        <f>AVERAGE('12.08 Jinja-Buwenge'!L19,'13.08 Jinja-Buwenge'!L19,'14.08 Jinja-Buwenge'!L19,'15.08 Jinja-Buwenge'!L19,'16.08 Jinja-Buwenge-24h'!L19,'17.08 Jinja-Buwenge-24h'!L19,'18.08 Jinja-Buwenge'!L19)</f>
        <v>0</v>
      </c>
      <c r="M19" s="49">
        <f>AVERAGE('12.08 Jinja-Buwenge'!M19,'13.08 Jinja-Buwenge'!M19,'14.08 Jinja-Buwenge'!M19,'15.08 Jinja-Buwenge'!M19,'16.08 Jinja-Buwenge-24h'!M19,'17.08 Jinja-Buwenge-24h'!M19,'18.08 Jinja-Buwenge'!M19)</f>
        <v>38.142857142857146</v>
      </c>
      <c r="N19" s="49">
        <f>AVERAGE('12.08 Jinja-Buwenge'!N19,'13.08 Jinja-Buwenge'!N19,'14.08 Jinja-Buwenge'!N19,'15.08 Jinja-Buwenge'!N19,'16.08 Jinja-Buwenge-24h'!N19,'17.08 Jinja-Buwenge-24h'!N19,'18.08 Jinja-Buwenge'!N19)</f>
        <v>0</v>
      </c>
      <c r="O19" s="15">
        <f t="shared" si="0"/>
        <v>30.428571428571431</v>
      </c>
      <c r="P19" s="15">
        <f t="shared" si="1"/>
        <v>68.571428571428584</v>
      </c>
      <c r="R19" s="1" t="s">
        <v>15</v>
      </c>
      <c r="S19" s="17">
        <f t="shared" ref="S19:AF19" si="11">SUM(C46:C49)</f>
        <v>26.428571428571431</v>
      </c>
      <c r="T19" s="17">
        <f t="shared" si="11"/>
        <v>2.4285714285714284</v>
      </c>
      <c r="U19" s="17">
        <f t="shared" si="11"/>
        <v>12.857142857142858</v>
      </c>
      <c r="V19" s="17">
        <f t="shared" si="11"/>
        <v>44.142857142857139</v>
      </c>
      <c r="W19" s="17">
        <f t="shared" si="11"/>
        <v>2.4285714285714284</v>
      </c>
      <c r="X19" s="17">
        <f t="shared" si="11"/>
        <v>0.5714285714285714</v>
      </c>
      <c r="Y19" s="17">
        <f t="shared" si="11"/>
        <v>13</v>
      </c>
      <c r="Z19" s="17">
        <f t="shared" si="11"/>
        <v>0.85714285714285698</v>
      </c>
      <c r="AA19" s="17">
        <f t="shared" si="11"/>
        <v>0.14285714285714285</v>
      </c>
      <c r="AB19" s="17">
        <f t="shared" si="11"/>
        <v>0.2857142857142857</v>
      </c>
      <c r="AC19" s="17">
        <f t="shared" si="11"/>
        <v>139</v>
      </c>
      <c r="AD19" s="17">
        <f t="shared" si="11"/>
        <v>0</v>
      </c>
      <c r="AE19" s="31">
        <f t="shared" si="11"/>
        <v>103.14285714285714</v>
      </c>
      <c r="AF19" s="31">
        <f t="shared" si="11"/>
        <v>242.14285714285717</v>
      </c>
    </row>
    <row r="20" spans="2:32" ht="23.1" customHeight="1" x14ac:dyDescent="0.25">
      <c r="B20" s="23" t="s">
        <v>47</v>
      </c>
      <c r="C20" s="49">
        <f>AVERAGE('12.08 Jinja-Buwenge'!C20,'13.08 Jinja-Buwenge'!C20,'14.08 Jinja-Buwenge'!C20,'15.08 Jinja-Buwenge'!C20,'16.08 Jinja-Buwenge-24h'!C20,'17.08 Jinja-Buwenge-24h'!C20,'18.08 Jinja-Buwenge'!C20)</f>
        <v>7.8571428571428568</v>
      </c>
      <c r="D20" s="49">
        <f>AVERAGE('12.08 Jinja-Buwenge'!D20,'13.08 Jinja-Buwenge'!D20,'14.08 Jinja-Buwenge'!D20,'15.08 Jinja-Buwenge'!D20,'16.08 Jinja-Buwenge-24h'!D20,'17.08 Jinja-Buwenge-24h'!D20,'18.08 Jinja-Buwenge'!D20)</f>
        <v>1.8571428571428572</v>
      </c>
      <c r="E20" s="49">
        <f>AVERAGE('12.08 Jinja-Buwenge'!E20,'13.08 Jinja-Buwenge'!E20,'14.08 Jinja-Buwenge'!E20,'15.08 Jinja-Buwenge'!E20,'16.08 Jinja-Buwenge-24h'!E20,'17.08 Jinja-Buwenge-24h'!E20,'18.08 Jinja-Buwenge'!E20)</f>
        <v>5.8571428571428568</v>
      </c>
      <c r="F20" s="49">
        <f>AVERAGE('12.08 Jinja-Buwenge'!F20,'13.08 Jinja-Buwenge'!F20,'14.08 Jinja-Buwenge'!F20,'15.08 Jinja-Buwenge'!F20,'16.08 Jinja-Buwenge-24h'!F20,'17.08 Jinja-Buwenge-24h'!F20,'18.08 Jinja-Buwenge'!F20)</f>
        <v>12.571428571428571</v>
      </c>
      <c r="G20" s="49">
        <f>AVERAGE('12.08 Jinja-Buwenge'!G20,'13.08 Jinja-Buwenge'!G20,'14.08 Jinja-Buwenge'!G20,'15.08 Jinja-Buwenge'!G20,'16.08 Jinja-Buwenge-24h'!G20,'17.08 Jinja-Buwenge-24h'!G20,'18.08 Jinja-Buwenge'!G20)</f>
        <v>1.1428571428571428</v>
      </c>
      <c r="H20" s="49">
        <f>AVERAGE('12.08 Jinja-Buwenge'!H20,'13.08 Jinja-Buwenge'!H20,'14.08 Jinja-Buwenge'!H20,'15.08 Jinja-Buwenge'!H20,'16.08 Jinja-Buwenge-24h'!H20,'17.08 Jinja-Buwenge-24h'!H20,'18.08 Jinja-Buwenge'!H20)</f>
        <v>0</v>
      </c>
      <c r="I20" s="49">
        <f>AVERAGE('12.08 Jinja-Buwenge'!I20,'13.08 Jinja-Buwenge'!I20,'14.08 Jinja-Buwenge'!I20,'15.08 Jinja-Buwenge'!I20,'16.08 Jinja-Buwenge-24h'!I20,'17.08 Jinja-Buwenge-24h'!I20,'18.08 Jinja-Buwenge'!I20)</f>
        <v>3.2857142857142856</v>
      </c>
      <c r="J20" s="49">
        <f>AVERAGE('12.08 Jinja-Buwenge'!J20,'13.08 Jinja-Buwenge'!J20,'14.08 Jinja-Buwenge'!J20,'15.08 Jinja-Buwenge'!J20,'16.08 Jinja-Buwenge-24h'!J20,'17.08 Jinja-Buwenge-24h'!J20,'18.08 Jinja-Buwenge'!J20)</f>
        <v>0.14285714285714285</v>
      </c>
      <c r="K20" s="49">
        <f>AVERAGE('12.08 Jinja-Buwenge'!K20,'13.08 Jinja-Buwenge'!K20,'14.08 Jinja-Buwenge'!K20,'15.08 Jinja-Buwenge'!K20,'16.08 Jinja-Buwenge-24h'!K20,'17.08 Jinja-Buwenge-24h'!K20,'18.08 Jinja-Buwenge'!K20)</f>
        <v>0</v>
      </c>
      <c r="L20" s="49">
        <f>AVERAGE('12.08 Jinja-Buwenge'!L20,'13.08 Jinja-Buwenge'!L20,'14.08 Jinja-Buwenge'!L20,'15.08 Jinja-Buwenge'!L20,'16.08 Jinja-Buwenge-24h'!L20,'17.08 Jinja-Buwenge-24h'!L20,'18.08 Jinja-Buwenge'!L20)</f>
        <v>0</v>
      </c>
      <c r="M20" s="49">
        <f>AVERAGE('12.08 Jinja-Buwenge'!M20,'13.08 Jinja-Buwenge'!M20,'14.08 Jinja-Buwenge'!M20,'15.08 Jinja-Buwenge'!M20,'16.08 Jinja-Buwenge-24h'!M20,'17.08 Jinja-Buwenge-24h'!M20,'18.08 Jinja-Buwenge'!M20)</f>
        <v>32.714285714285715</v>
      </c>
      <c r="N20" s="49">
        <f>AVERAGE('12.08 Jinja-Buwenge'!N20,'13.08 Jinja-Buwenge'!N20,'14.08 Jinja-Buwenge'!N20,'15.08 Jinja-Buwenge'!N20,'16.08 Jinja-Buwenge-24h'!N20,'17.08 Jinja-Buwenge-24h'!N20,'18.08 Jinja-Buwenge'!N20)</f>
        <v>0</v>
      </c>
      <c r="O20" s="15">
        <f t="shared" si="0"/>
        <v>32.714285714285715</v>
      </c>
      <c r="P20" s="15">
        <f t="shared" si="1"/>
        <v>65.428571428571431</v>
      </c>
      <c r="R20" s="1" t="s">
        <v>16</v>
      </c>
      <c r="S20" s="17">
        <f t="shared" ref="S20:AF20" si="12">SUM(C50:C53)</f>
        <v>26</v>
      </c>
      <c r="T20" s="17">
        <f t="shared" si="12"/>
        <v>2.1428571428571428</v>
      </c>
      <c r="U20" s="17">
        <f t="shared" si="12"/>
        <v>12</v>
      </c>
      <c r="V20" s="17">
        <f t="shared" si="12"/>
        <v>41</v>
      </c>
      <c r="W20" s="17">
        <f t="shared" si="12"/>
        <v>5.1428571428571423</v>
      </c>
      <c r="X20" s="17">
        <f t="shared" si="12"/>
        <v>0.2857142857142857</v>
      </c>
      <c r="Y20" s="17">
        <f t="shared" si="12"/>
        <v>13.285714285714286</v>
      </c>
      <c r="Z20" s="17">
        <f t="shared" si="12"/>
        <v>1</v>
      </c>
      <c r="AA20" s="17">
        <f t="shared" si="12"/>
        <v>0.2857142857142857</v>
      </c>
      <c r="AB20" s="17">
        <f t="shared" si="12"/>
        <v>0.14285714285714285</v>
      </c>
      <c r="AC20" s="17">
        <f t="shared" si="12"/>
        <v>177.00000000000003</v>
      </c>
      <c r="AD20" s="17">
        <f t="shared" si="12"/>
        <v>0</v>
      </c>
      <c r="AE20" s="31">
        <f t="shared" si="12"/>
        <v>101.28571428571428</v>
      </c>
      <c r="AF20" s="31">
        <f t="shared" si="12"/>
        <v>278.28571428571433</v>
      </c>
    </row>
    <row r="21" spans="2:32" ht="23.1" customHeight="1" x14ac:dyDescent="0.25">
      <c r="B21" s="23" t="s">
        <v>48</v>
      </c>
      <c r="C21" s="49">
        <f>AVERAGE('12.08 Jinja-Buwenge'!C21,'13.08 Jinja-Buwenge'!C21,'14.08 Jinja-Buwenge'!C21,'15.08 Jinja-Buwenge'!C21,'16.08 Jinja-Buwenge-24h'!C21,'17.08 Jinja-Buwenge-24h'!C21,'18.08 Jinja-Buwenge'!C21)</f>
        <v>8.4285714285714288</v>
      </c>
      <c r="D21" s="49">
        <f>AVERAGE('12.08 Jinja-Buwenge'!D21,'13.08 Jinja-Buwenge'!D21,'14.08 Jinja-Buwenge'!D21,'15.08 Jinja-Buwenge'!D21,'16.08 Jinja-Buwenge-24h'!D21,'17.08 Jinja-Buwenge-24h'!D21,'18.08 Jinja-Buwenge'!D21)</f>
        <v>1.1428571428571428</v>
      </c>
      <c r="E21" s="49">
        <f>AVERAGE('12.08 Jinja-Buwenge'!E21,'13.08 Jinja-Buwenge'!E21,'14.08 Jinja-Buwenge'!E21,'15.08 Jinja-Buwenge'!E21,'16.08 Jinja-Buwenge-24h'!E21,'17.08 Jinja-Buwenge-24h'!E21,'18.08 Jinja-Buwenge'!E21)</f>
        <v>4.7142857142857144</v>
      </c>
      <c r="F21" s="49">
        <f>AVERAGE('12.08 Jinja-Buwenge'!F21,'13.08 Jinja-Buwenge'!F21,'14.08 Jinja-Buwenge'!F21,'15.08 Jinja-Buwenge'!F21,'16.08 Jinja-Buwenge-24h'!F21,'17.08 Jinja-Buwenge-24h'!F21,'18.08 Jinja-Buwenge'!F21)</f>
        <v>12.857142857142858</v>
      </c>
      <c r="G21" s="49">
        <f>AVERAGE('12.08 Jinja-Buwenge'!G21,'13.08 Jinja-Buwenge'!G21,'14.08 Jinja-Buwenge'!G21,'15.08 Jinja-Buwenge'!G21,'16.08 Jinja-Buwenge-24h'!G21,'17.08 Jinja-Buwenge-24h'!G21,'18.08 Jinja-Buwenge'!G21)</f>
        <v>0.5714285714285714</v>
      </c>
      <c r="H21" s="49">
        <f>AVERAGE('12.08 Jinja-Buwenge'!H21,'13.08 Jinja-Buwenge'!H21,'14.08 Jinja-Buwenge'!H21,'15.08 Jinja-Buwenge'!H21,'16.08 Jinja-Buwenge-24h'!H21,'17.08 Jinja-Buwenge-24h'!H21,'18.08 Jinja-Buwenge'!H21)</f>
        <v>0</v>
      </c>
      <c r="I21" s="49">
        <f>AVERAGE('12.08 Jinja-Buwenge'!I21,'13.08 Jinja-Buwenge'!I21,'14.08 Jinja-Buwenge'!I21,'15.08 Jinja-Buwenge'!I21,'16.08 Jinja-Buwenge-24h'!I21,'17.08 Jinja-Buwenge-24h'!I21,'18.08 Jinja-Buwenge'!I21)</f>
        <v>2.7142857142857144</v>
      </c>
      <c r="J21" s="49">
        <f>AVERAGE('12.08 Jinja-Buwenge'!J21,'13.08 Jinja-Buwenge'!J21,'14.08 Jinja-Buwenge'!J21,'15.08 Jinja-Buwenge'!J21,'16.08 Jinja-Buwenge-24h'!J21,'17.08 Jinja-Buwenge-24h'!J21,'18.08 Jinja-Buwenge'!J21)</f>
        <v>0.2857142857142857</v>
      </c>
      <c r="K21" s="49">
        <f>AVERAGE('12.08 Jinja-Buwenge'!K21,'13.08 Jinja-Buwenge'!K21,'14.08 Jinja-Buwenge'!K21,'15.08 Jinja-Buwenge'!K21,'16.08 Jinja-Buwenge-24h'!K21,'17.08 Jinja-Buwenge-24h'!K21,'18.08 Jinja-Buwenge'!K21)</f>
        <v>0</v>
      </c>
      <c r="L21" s="49">
        <f>AVERAGE('12.08 Jinja-Buwenge'!L21,'13.08 Jinja-Buwenge'!L21,'14.08 Jinja-Buwenge'!L21,'15.08 Jinja-Buwenge'!L21,'16.08 Jinja-Buwenge-24h'!L21,'17.08 Jinja-Buwenge-24h'!L21,'18.08 Jinja-Buwenge'!L21)</f>
        <v>0</v>
      </c>
      <c r="M21" s="49">
        <f>AVERAGE('12.08 Jinja-Buwenge'!M21,'13.08 Jinja-Buwenge'!M21,'14.08 Jinja-Buwenge'!M21,'15.08 Jinja-Buwenge'!M21,'16.08 Jinja-Buwenge-24h'!M21,'17.08 Jinja-Buwenge-24h'!M21,'18.08 Jinja-Buwenge'!M21)</f>
        <v>42.571428571428569</v>
      </c>
      <c r="N21" s="49">
        <f>AVERAGE('12.08 Jinja-Buwenge'!N21,'13.08 Jinja-Buwenge'!N21,'14.08 Jinja-Buwenge'!N21,'15.08 Jinja-Buwenge'!N21,'16.08 Jinja-Buwenge-24h'!N21,'17.08 Jinja-Buwenge-24h'!N21,'18.08 Jinja-Buwenge'!N21)</f>
        <v>0</v>
      </c>
      <c r="O21" s="15">
        <f t="shared" si="0"/>
        <v>30.714285714285715</v>
      </c>
      <c r="P21" s="15">
        <f t="shared" si="1"/>
        <v>73.285714285714278</v>
      </c>
      <c r="R21" s="36" t="s">
        <v>20</v>
      </c>
      <c r="S21" s="34">
        <f t="shared" ref="S21:AF21" si="13">SUM(C54:C57)</f>
        <v>26.285714285714285</v>
      </c>
      <c r="T21" s="17">
        <f t="shared" si="13"/>
        <v>3.2857142857142856</v>
      </c>
      <c r="U21" s="17">
        <f t="shared" si="13"/>
        <v>15.285714285714286</v>
      </c>
      <c r="V21" s="17">
        <f t="shared" si="13"/>
        <v>43</v>
      </c>
      <c r="W21" s="17">
        <f t="shared" si="13"/>
        <v>11</v>
      </c>
      <c r="X21" s="17">
        <f t="shared" si="13"/>
        <v>0.2857142857142857</v>
      </c>
      <c r="Y21" s="17">
        <f t="shared" si="13"/>
        <v>9.428571428571427</v>
      </c>
      <c r="Z21" s="17">
        <f t="shared" si="13"/>
        <v>0.42857142857142855</v>
      </c>
      <c r="AA21" s="17">
        <f t="shared" si="13"/>
        <v>0</v>
      </c>
      <c r="AB21" s="17">
        <f t="shared" si="13"/>
        <v>0.2857142857142857</v>
      </c>
      <c r="AC21" s="17">
        <f t="shared" si="13"/>
        <v>179.71428571428572</v>
      </c>
      <c r="AD21" s="17">
        <f t="shared" si="13"/>
        <v>0</v>
      </c>
      <c r="AE21" s="31">
        <f t="shared" si="13"/>
        <v>109.28571428571428</v>
      </c>
      <c r="AF21" s="31">
        <f t="shared" si="13"/>
        <v>289</v>
      </c>
    </row>
    <row r="22" spans="2:32" ht="23.1" customHeight="1" x14ac:dyDescent="0.25">
      <c r="B22" s="23" t="s">
        <v>49</v>
      </c>
      <c r="C22" s="49">
        <f>AVERAGE('12.08 Jinja-Buwenge'!C22,'13.08 Jinja-Buwenge'!C22,'14.08 Jinja-Buwenge'!C22,'15.08 Jinja-Buwenge'!C22,'16.08 Jinja-Buwenge-24h'!C22,'17.08 Jinja-Buwenge-24h'!C22,'18.08 Jinja-Buwenge'!C22)</f>
        <v>6.7142857142857144</v>
      </c>
      <c r="D22" s="49">
        <f>AVERAGE('12.08 Jinja-Buwenge'!D22,'13.08 Jinja-Buwenge'!D22,'14.08 Jinja-Buwenge'!D22,'15.08 Jinja-Buwenge'!D22,'16.08 Jinja-Buwenge-24h'!D22,'17.08 Jinja-Buwenge-24h'!D22,'18.08 Jinja-Buwenge'!D22)</f>
        <v>1.2857142857142858</v>
      </c>
      <c r="E22" s="49">
        <f>AVERAGE('12.08 Jinja-Buwenge'!E22,'13.08 Jinja-Buwenge'!E22,'14.08 Jinja-Buwenge'!E22,'15.08 Jinja-Buwenge'!E22,'16.08 Jinja-Buwenge-24h'!E22,'17.08 Jinja-Buwenge-24h'!E22,'18.08 Jinja-Buwenge'!E22)</f>
        <v>5</v>
      </c>
      <c r="F22" s="49">
        <f>AVERAGE('12.08 Jinja-Buwenge'!F22,'13.08 Jinja-Buwenge'!F22,'14.08 Jinja-Buwenge'!F22,'15.08 Jinja-Buwenge'!F22,'16.08 Jinja-Buwenge-24h'!F22,'17.08 Jinja-Buwenge-24h'!F22,'18.08 Jinja-Buwenge'!F22)</f>
        <v>12.142857142857142</v>
      </c>
      <c r="G22" s="49">
        <f>AVERAGE('12.08 Jinja-Buwenge'!G22,'13.08 Jinja-Buwenge'!G22,'14.08 Jinja-Buwenge'!G22,'15.08 Jinja-Buwenge'!G22,'16.08 Jinja-Buwenge-24h'!G22,'17.08 Jinja-Buwenge-24h'!G22,'18.08 Jinja-Buwenge'!G22)</f>
        <v>0.42857142857142855</v>
      </c>
      <c r="H22" s="49">
        <f>AVERAGE('12.08 Jinja-Buwenge'!H22,'13.08 Jinja-Buwenge'!H22,'14.08 Jinja-Buwenge'!H22,'15.08 Jinja-Buwenge'!H22,'16.08 Jinja-Buwenge-24h'!H22,'17.08 Jinja-Buwenge-24h'!H22,'18.08 Jinja-Buwenge'!H22)</f>
        <v>0.14285714285714285</v>
      </c>
      <c r="I22" s="49">
        <f>AVERAGE('12.08 Jinja-Buwenge'!I22,'13.08 Jinja-Buwenge'!I22,'14.08 Jinja-Buwenge'!I22,'15.08 Jinja-Buwenge'!I22,'16.08 Jinja-Buwenge-24h'!I22,'17.08 Jinja-Buwenge-24h'!I22,'18.08 Jinja-Buwenge'!I22)</f>
        <v>3.2857142857142856</v>
      </c>
      <c r="J22" s="49">
        <f>AVERAGE('12.08 Jinja-Buwenge'!J22,'13.08 Jinja-Buwenge'!J22,'14.08 Jinja-Buwenge'!J22,'15.08 Jinja-Buwenge'!J22,'16.08 Jinja-Buwenge-24h'!J22,'17.08 Jinja-Buwenge-24h'!J22,'18.08 Jinja-Buwenge'!J22)</f>
        <v>0.42857142857142855</v>
      </c>
      <c r="K22" s="49">
        <f>AVERAGE('12.08 Jinja-Buwenge'!K22,'13.08 Jinja-Buwenge'!K22,'14.08 Jinja-Buwenge'!K22,'15.08 Jinja-Buwenge'!K22,'16.08 Jinja-Buwenge-24h'!K22,'17.08 Jinja-Buwenge-24h'!K22,'18.08 Jinja-Buwenge'!K22)</f>
        <v>0</v>
      </c>
      <c r="L22" s="49">
        <f>AVERAGE('12.08 Jinja-Buwenge'!L22,'13.08 Jinja-Buwenge'!L22,'14.08 Jinja-Buwenge'!L22,'15.08 Jinja-Buwenge'!L22,'16.08 Jinja-Buwenge-24h'!L22,'17.08 Jinja-Buwenge-24h'!L22,'18.08 Jinja-Buwenge'!L22)</f>
        <v>0.14285714285714285</v>
      </c>
      <c r="M22" s="49">
        <f>AVERAGE('12.08 Jinja-Buwenge'!M22,'13.08 Jinja-Buwenge'!M22,'14.08 Jinja-Buwenge'!M22,'15.08 Jinja-Buwenge'!M22,'16.08 Jinja-Buwenge-24h'!M22,'17.08 Jinja-Buwenge-24h'!M22,'18.08 Jinja-Buwenge'!M22)</f>
        <v>37.714285714285715</v>
      </c>
      <c r="N22" s="49">
        <f>AVERAGE('12.08 Jinja-Buwenge'!N22,'13.08 Jinja-Buwenge'!N22,'14.08 Jinja-Buwenge'!N22,'15.08 Jinja-Buwenge'!N22,'16.08 Jinja-Buwenge-24h'!N22,'17.08 Jinja-Buwenge-24h'!N22,'18.08 Jinja-Buwenge'!N22)</f>
        <v>0</v>
      </c>
      <c r="O22" s="15">
        <f t="shared" si="0"/>
        <v>29.571428571428566</v>
      </c>
      <c r="P22" s="15">
        <f t="shared" si="1"/>
        <v>67.285714285714278</v>
      </c>
      <c r="R22" s="1" t="s">
        <v>146</v>
      </c>
      <c r="S22" s="34">
        <f>SUM(C58:C61)</f>
        <v>36.5</v>
      </c>
      <c r="T22" s="34">
        <f t="shared" ref="T22:AF22" si="14">SUM(D58:D61)</f>
        <v>4</v>
      </c>
      <c r="U22" s="34">
        <f t="shared" si="14"/>
        <v>16</v>
      </c>
      <c r="V22" s="34">
        <f t="shared" si="14"/>
        <v>42.5</v>
      </c>
      <c r="W22" s="34">
        <f t="shared" si="14"/>
        <v>20</v>
      </c>
      <c r="X22" s="34">
        <f t="shared" si="14"/>
        <v>0</v>
      </c>
      <c r="Y22" s="34">
        <f t="shared" si="14"/>
        <v>11.5</v>
      </c>
      <c r="Z22" s="34">
        <f t="shared" si="14"/>
        <v>2.5</v>
      </c>
      <c r="AA22" s="34">
        <f t="shared" si="14"/>
        <v>0</v>
      </c>
      <c r="AB22" s="34">
        <f t="shared" si="14"/>
        <v>0</v>
      </c>
      <c r="AC22" s="34">
        <f t="shared" si="14"/>
        <v>217</v>
      </c>
      <c r="AD22" s="34">
        <f t="shared" si="14"/>
        <v>0</v>
      </c>
      <c r="AE22" s="31">
        <f t="shared" si="14"/>
        <v>133</v>
      </c>
      <c r="AF22" s="31">
        <f t="shared" si="14"/>
        <v>350</v>
      </c>
    </row>
    <row r="23" spans="2:32" ht="23.1" customHeight="1" x14ac:dyDescent="0.25">
      <c r="B23" s="23" t="s">
        <v>50</v>
      </c>
      <c r="C23" s="49">
        <f>AVERAGE('12.08 Jinja-Buwenge'!C23,'13.08 Jinja-Buwenge'!C23,'14.08 Jinja-Buwenge'!C23,'15.08 Jinja-Buwenge'!C23,'16.08 Jinja-Buwenge-24h'!C23,'17.08 Jinja-Buwenge-24h'!C23,'18.08 Jinja-Buwenge'!C23)</f>
        <v>5.1428571428571432</v>
      </c>
      <c r="D23" s="49">
        <f>AVERAGE('12.08 Jinja-Buwenge'!D23,'13.08 Jinja-Buwenge'!D23,'14.08 Jinja-Buwenge'!D23,'15.08 Jinja-Buwenge'!D23,'16.08 Jinja-Buwenge-24h'!D23,'17.08 Jinja-Buwenge-24h'!D23,'18.08 Jinja-Buwenge'!D23)</f>
        <v>1.4285714285714286</v>
      </c>
      <c r="E23" s="49">
        <f>AVERAGE('12.08 Jinja-Buwenge'!E23,'13.08 Jinja-Buwenge'!E23,'14.08 Jinja-Buwenge'!E23,'15.08 Jinja-Buwenge'!E23,'16.08 Jinja-Buwenge-24h'!E23,'17.08 Jinja-Buwenge-24h'!E23,'18.08 Jinja-Buwenge'!E23)</f>
        <v>5</v>
      </c>
      <c r="F23" s="49">
        <f>AVERAGE('12.08 Jinja-Buwenge'!F23,'13.08 Jinja-Buwenge'!F23,'14.08 Jinja-Buwenge'!F23,'15.08 Jinja-Buwenge'!F23,'16.08 Jinja-Buwenge-24h'!F23,'17.08 Jinja-Buwenge-24h'!F23,'18.08 Jinja-Buwenge'!F23)</f>
        <v>12.142857142857142</v>
      </c>
      <c r="G23" s="49">
        <f>AVERAGE('12.08 Jinja-Buwenge'!G23,'13.08 Jinja-Buwenge'!G23,'14.08 Jinja-Buwenge'!G23,'15.08 Jinja-Buwenge'!G23,'16.08 Jinja-Buwenge-24h'!G23,'17.08 Jinja-Buwenge-24h'!G23,'18.08 Jinja-Buwenge'!G23)</f>
        <v>0.42857142857142855</v>
      </c>
      <c r="H23" s="49">
        <f>AVERAGE('12.08 Jinja-Buwenge'!H23,'13.08 Jinja-Buwenge'!H23,'14.08 Jinja-Buwenge'!H23,'15.08 Jinja-Buwenge'!H23,'16.08 Jinja-Buwenge-24h'!H23,'17.08 Jinja-Buwenge-24h'!H23,'18.08 Jinja-Buwenge'!H23)</f>
        <v>0</v>
      </c>
      <c r="I23" s="49">
        <f>AVERAGE('12.08 Jinja-Buwenge'!I23,'13.08 Jinja-Buwenge'!I23,'14.08 Jinja-Buwenge'!I23,'15.08 Jinja-Buwenge'!I23,'16.08 Jinja-Buwenge-24h'!I23,'17.08 Jinja-Buwenge-24h'!I23,'18.08 Jinja-Buwenge'!I23)</f>
        <v>2.7142857142857144</v>
      </c>
      <c r="J23" s="49">
        <f>AVERAGE('12.08 Jinja-Buwenge'!J23,'13.08 Jinja-Buwenge'!J23,'14.08 Jinja-Buwenge'!J23,'15.08 Jinja-Buwenge'!J23,'16.08 Jinja-Buwenge-24h'!J23,'17.08 Jinja-Buwenge-24h'!J23,'18.08 Jinja-Buwenge'!J23)</f>
        <v>0.14285714285714285</v>
      </c>
      <c r="K23" s="49">
        <f>AVERAGE('12.08 Jinja-Buwenge'!K23,'13.08 Jinja-Buwenge'!K23,'14.08 Jinja-Buwenge'!K23,'15.08 Jinja-Buwenge'!K23,'16.08 Jinja-Buwenge-24h'!K23,'17.08 Jinja-Buwenge-24h'!K23,'18.08 Jinja-Buwenge'!K23)</f>
        <v>0</v>
      </c>
      <c r="L23" s="49">
        <f>AVERAGE('12.08 Jinja-Buwenge'!L23,'13.08 Jinja-Buwenge'!L23,'14.08 Jinja-Buwenge'!L23,'15.08 Jinja-Buwenge'!L23,'16.08 Jinja-Buwenge-24h'!L23,'17.08 Jinja-Buwenge-24h'!L23,'18.08 Jinja-Buwenge'!L23)</f>
        <v>0</v>
      </c>
      <c r="M23" s="49">
        <f>AVERAGE('12.08 Jinja-Buwenge'!M23,'13.08 Jinja-Buwenge'!M23,'14.08 Jinja-Buwenge'!M23,'15.08 Jinja-Buwenge'!M23,'16.08 Jinja-Buwenge-24h'!M23,'17.08 Jinja-Buwenge-24h'!M23,'18.08 Jinja-Buwenge'!M23)</f>
        <v>40.428571428571431</v>
      </c>
      <c r="N23" s="49">
        <f>AVERAGE('12.08 Jinja-Buwenge'!N23,'13.08 Jinja-Buwenge'!N23,'14.08 Jinja-Buwenge'!N23,'15.08 Jinja-Buwenge'!N23,'16.08 Jinja-Buwenge-24h'!N23,'17.08 Jinja-Buwenge-24h'!N23,'18.08 Jinja-Buwenge'!N23)</f>
        <v>0</v>
      </c>
      <c r="O23" s="15">
        <f t="shared" si="0"/>
        <v>27</v>
      </c>
      <c r="P23" s="15">
        <f t="shared" si="1"/>
        <v>67.428571428571431</v>
      </c>
      <c r="R23" s="1" t="s">
        <v>147</v>
      </c>
      <c r="S23" s="34">
        <f>SUM(C62:C65)</f>
        <v>27.5</v>
      </c>
      <c r="T23" s="34">
        <f t="shared" ref="T23:AF23" si="15">SUM(D62:D65)</f>
        <v>2.5</v>
      </c>
      <c r="U23" s="34">
        <f t="shared" si="15"/>
        <v>13</v>
      </c>
      <c r="V23" s="34">
        <f t="shared" si="15"/>
        <v>28.5</v>
      </c>
      <c r="W23" s="34">
        <f t="shared" si="15"/>
        <v>15</v>
      </c>
      <c r="X23" s="34">
        <f t="shared" si="15"/>
        <v>1</v>
      </c>
      <c r="Y23" s="34">
        <f t="shared" si="15"/>
        <v>7</v>
      </c>
      <c r="Z23" s="34">
        <f t="shared" si="15"/>
        <v>0.5</v>
      </c>
      <c r="AA23" s="34">
        <f t="shared" si="15"/>
        <v>0</v>
      </c>
      <c r="AB23" s="34">
        <f t="shared" si="15"/>
        <v>0</v>
      </c>
      <c r="AC23" s="34">
        <f t="shared" si="15"/>
        <v>111</v>
      </c>
      <c r="AD23" s="34">
        <f t="shared" si="15"/>
        <v>0</v>
      </c>
      <c r="AE23" s="31">
        <f t="shared" si="15"/>
        <v>95</v>
      </c>
      <c r="AF23" s="31">
        <f t="shared" si="15"/>
        <v>206</v>
      </c>
    </row>
    <row r="24" spans="2:32" ht="23.1" customHeight="1" x14ac:dyDescent="0.25">
      <c r="B24" s="23" t="s">
        <v>51</v>
      </c>
      <c r="C24" s="49">
        <f>AVERAGE('12.08 Jinja-Buwenge'!C24,'13.08 Jinja-Buwenge'!C24,'14.08 Jinja-Buwenge'!C24,'15.08 Jinja-Buwenge'!C24,'16.08 Jinja-Buwenge-24h'!C24,'17.08 Jinja-Buwenge-24h'!C24,'18.08 Jinja-Buwenge'!C24)</f>
        <v>7.1428571428571432</v>
      </c>
      <c r="D24" s="49">
        <f>AVERAGE('12.08 Jinja-Buwenge'!D24,'13.08 Jinja-Buwenge'!D24,'14.08 Jinja-Buwenge'!D24,'15.08 Jinja-Buwenge'!D24,'16.08 Jinja-Buwenge-24h'!D24,'17.08 Jinja-Buwenge-24h'!D24,'18.08 Jinja-Buwenge'!D24)</f>
        <v>1.4285714285714286</v>
      </c>
      <c r="E24" s="49">
        <f>AVERAGE('12.08 Jinja-Buwenge'!E24,'13.08 Jinja-Buwenge'!E24,'14.08 Jinja-Buwenge'!E24,'15.08 Jinja-Buwenge'!E24,'16.08 Jinja-Buwenge-24h'!E24,'17.08 Jinja-Buwenge-24h'!E24,'18.08 Jinja-Buwenge'!E24)</f>
        <v>5.2857142857142856</v>
      </c>
      <c r="F24" s="49">
        <f>AVERAGE('12.08 Jinja-Buwenge'!F24,'13.08 Jinja-Buwenge'!F24,'14.08 Jinja-Buwenge'!F24,'15.08 Jinja-Buwenge'!F24,'16.08 Jinja-Buwenge-24h'!F24,'17.08 Jinja-Buwenge-24h'!F24,'18.08 Jinja-Buwenge'!F24)</f>
        <v>13</v>
      </c>
      <c r="G24" s="49">
        <f>AVERAGE('12.08 Jinja-Buwenge'!G24,'13.08 Jinja-Buwenge'!G24,'14.08 Jinja-Buwenge'!G24,'15.08 Jinja-Buwenge'!G24,'16.08 Jinja-Buwenge-24h'!G24,'17.08 Jinja-Buwenge-24h'!G24,'18.08 Jinja-Buwenge'!G24)</f>
        <v>0</v>
      </c>
      <c r="H24" s="49">
        <f>AVERAGE('12.08 Jinja-Buwenge'!H24,'13.08 Jinja-Buwenge'!H24,'14.08 Jinja-Buwenge'!H24,'15.08 Jinja-Buwenge'!H24,'16.08 Jinja-Buwenge-24h'!H24,'17.08 Jinja-Buwenge-24h'!H24,'18.08 Jinja-Buwenge'!H24)</f>
        <v>0.14285714285714285</v>
      </c>
      <c r="I24" s="49">
        <f>AVERAGE('12.08 Jinja-Buwenge'!I24,'13.08 Jinja-Buwenge'!I24,'14.08 Jinja-Buwenge'!I24,'15.08 Jinja-Buwenge'!I24,'16.08 Jinja-Buwenge-24h'!I24,'17.08 Jinja-Buwenge-24h'!I24,'18.08 Jinja-Buwenge'!I24)</f>
        <v>3.5714285714285716</v>
      </c>
      <c r="J24" s="49">
        <f>AVERAGE('12.08 Jinja-Buwenge'!J24,'13.08 Jinja-Buwenge'!J24,'14.08 Jinja-Buwenge'!J24,'15.08 Jinja-Buwenge'!J24,'16.08 Jinja-Buwenge-24h'!J24,'17.08 Jinja-Buwenge-24h'!J24,'18.08 Jinja-Buwenge'!J24)</f>
        <v>0.14285714285714285</v>
      </c>
      <c r="K24" s="49">
        <f>AVERAGE('12.08 Jinja-Buwenge'!K24,'13.08 Jinja-Buwenge'!K24,'14.08 Jinja-Buwenge'!K24,'15.08 Jinja-Buwenge'!K24,'16.08 Jinja-Buwenge-24h'!K24,'17.08 Jinja-Buwenge-24h'!K24,'18.08 Jinja-Buwenge'!K24)</f>
        <v>0.2857142857142857</v>
      </c>
      <c r="L24" s="49">
        <f>AVERAGE('12.08 Jinja-Buwenge'!L24,'13.08 Jinja-Buwenge'!L24,'14.08 Jinja-Buwenge'!L24,'15.08 Jinja-Buwenge'!L24,'16.08 Jinja-Buwenge-24h'!L24,'17.08 Jinja-Buwenge-24h'!L24,'18.08 Jinja-Buwenge'!L24)</f>
        <v>0</v>
      </c>
      <c r="M24" s="49">
        <f>AVERAGE('12.08 Jinja-Buwenge'!M24,'13.08 Jinja-Buwenge'!M24,'14.08 Jinja-Buwenge'!M24,'15.08 Jinja-Buwenge'!M24,'16.08 Jinja-Buwenge-24h'!M24,'17.08 Jinja-Buwenge-24h'!M24,'18.08 Jinja-Buwenge'!M24)</f>
        <v>38.714285714285715</v>
      </c>
      <c r="N24" s="49">
        <f>AVERAGE('12.08 Jinja-Buwenge'!N24,'13.08 Jinja-Buwenge'!N24,'14.08 Jinja-Buwenge'!N24,'15.08 Jinja-Buwenge'!N24,'16.08 Jinja-Buwenge-24h'!N24,'17.08 Jinja-Buwenge-24h'!N24,'18.08 Jinja-Buwenge'!N24)</f>
        <v>0</v>
      </c>
      <c r="O24" s="15">
        <f t="shared" si="0"/>
        <v>31</v>
      </c>
      <c r="P24" s="15">
        <f t="shared" si="1"/>
        <v>69.714285714285722</v>
      </c>
      <c r="R24" s="1" t="s">
        <v>148</v>
      </c>
      <c r="S24" s="34">
        <f>SUM(C66:C69)</f>
        <v>18</v>
      </c>
      <c r="T24" s="34">
        <f t="shared" ref="T24:AF24" si="16">SUM(D66:D69)</f>
        <v>3.5</v>
      </c>
      <c r="U24" s="34">
        <f t="shared" si="16"/>
        <v>15.5</v>
      </c>
      <c r="V24" s="34">
        <f t="shared" si="16"/>
        <v>23</v>
      </c>
      <c r="W24" s="34">
        <f t="shared" si="16"/>
        <v>9.5</v>
      </c>
      <c r="X24" s="34">
        <f t="shared" si="16"/>
        <v>0</v>
      </c>
      <c r="Y24" s="34">
        <f t="shared" si="16"/>
        <v>6</v>
      </c>
      <c r="Z24" s="34">
        <f t="shared" si="16"/>
        <v>0.5</v>
      </c>
      <c r="AA24" s="34">
        <f t="shared" si="16"/>
        <v>0.5</v>
      </c>
      <c r="AB24" s="34">
        <f t="shared" si="16"/>
        <v>0</v>
      </c>
      <c r="AC24" s="34">
        <f t="shared" si="16"/>
        <v>105.5</v>
      </c>
      <c r="AD24" s="34">
        <f t="shared" si="16"/>
        <v>0</v>
      </c>
      <c r="AE24" s="31">
        <f t="shared" si="16"/>
        <v>76.5</v>
      </c>
      <c r="AF24" s="31">
        <f t="shared" si="16"/>
        <v>182</v>
      </c>
    </row>
    <row r="25" spans="2:32" ht="23.1" customHeight="1" x14ac:dyDescent="0.25">
      <c r="B25" s="23" t="s">
        <v>52</v>
      </c>
      <c r="C25" s="49">
        <f>AVERAGE('12.08 Jinja-Buwenge'!C25,'13.08 Jinja-Buwenge'!C25,'14.08 Jinja-Buwenge'!C25,'15.08 Jinja-Buwenge'!C25,'16.08 Jinja-Buwenge-24h'!C25,'17.08 Jinja-Buwenge-24h'!C25,'18.08 Jinja-Buwenge'!C25)</f>
        <v>7.4285714285714288</v>
      </c>
      <c r="D25" s="49">
        <f>AVERAGE('12.08 Jinja-Buwenge'!D25,'13.08 Jinja-Buwenge'!D25,'14.08 Jinja-Buwenge'!D25,'15.08 Jinja-Buwenge'!D25,'16.08 Jinja-Buwenge-24h'!D25,'17.08 Jinja-Buwenge-24h'!D25,'18.08 Jinja-Buwenge'!D25)</f>
        <v>1.8571428571428572</v>
      </c>
      <c r="E25" s="49">
        <f>AVERAGE('12.08 Jinja-Buwenge'!E25,'13.08 Jinja-Buwenge'!E25,'14.08 Jinja-Buwenge'!E25,'15.08 Jinja-Buwenge'!E25,'16.08 Jinja-Buwenge-24h'!E25,'17.08 Jinja-Buwenge-24h'!E25,'18.08 Jinja-Buwenge'!E25)</f>
        <v>6</v>
      </c>
      <c r="F25" s="49">
        <f>AVERAGE('12.08 Jinja-Buwenge'!F25,'13.08 Jinja-Buwenge'!F25,'14.08 Jinja-Buwenge'!F25,'15.08 Jinja-Buwenge'!F25,'16.08 Jinja-Buwenge-24h'!F25,'17.08 Jinja-Buwenge-24h'!F25,'18.08 Jinja-Buwenge'!F25)</f>
        <v>10.285714285714286</v>
      </c>
      <c r="G25" s="49">
        <f>AVERAGE('12.08 Jinja-Buwenge'!G25,'13.08 Jinja-Buwenge'!G25,'14.08 Jinja-Buwenge'!G25,'15.08 Jinja-Buwenge'!G25,'16.08 Jinja-Buwenge-24h'!G25,'17.08 Jinja-Buwenge-24h'!G25,'18.08 Jinja-Buwenge'!G25)</f>
        <v>1.1428571428571428</v>
      </c>
      <c r="H25" s="49">
        <f>AVERAGE('12.08 Jinja-Buwenge'!H25,'13.08 Jinja-Buwenge'!H25,'14.08 Jinja-Buwenge'!H25,'15.08 Jinja-Buwenge'!H25,'16.08 Jinja-Buwenge-24h'!H25,'17.08 Jinja-Buwenge-24h'!H25,'18.08 Jinja-Buwenge'!H25)</f>
        <v>0</v>
      </c>
      <c r="I25" s="49">
        <f>AVERAGE('12.08 Jinja-Buwenge'!I25,'13.08 Jinja-Buwenge'!I25,'14.08 Jinja-Buwenge'!I25,'15.08 Jinja-Buwenge'!I25,'16.08 Jinja-Buwenge-24h'!I25,'17.08 Jinja-Buwenge-24h'!I25,'18.08 Jinja-Buwenge'!I25)</f>
        <v>2.5714285714285716</v>
      </c>
      <c r="J25" s="49">
        <f>AVERAGE('12.08 Jinja-Buwenge'!J25,'13.08 Jinja-Buwenge'!J25,'14.08 Jinja-Buwenge'!J25,'15.08 Jinja-Buwenge'!J25,'16.08 Jinja-Buwenge-24h'!J25,'17.08 Jinja-Buwenge-24h'!J25,'18.08 Jinja-Buwenge'!J25)</f>
        <v>0.2857142857142857</v>
      </c>
      <c r="K25" s="49">
        <f>AVERAGE('12.08 Jinja-Buwenge'!K25,'13.08 Jinja-Buwenge'!K25,'14.08 Jinja-Buwenge'!K25,'15.08 Jinja-Buwenge'!K25,'16.08 Jinja-Buwenge-24h'!K25,'17.08 Jinja-Buwenge-24h'!K25,'18.08 Jinja-Buwenge'!K25)</f>
        <v>0</v>
      </c>
      <c r="L25" s="49">
        <f>AVERAGE('12.08 Jinja-Buwenge'!L25,'13.08 Jinja-Buwenge'!L25,'14.08 Jinja-Buwenge'!L25,'15.08 Jinja-Buwenge'!L25,'16.08 Jinja-Buwenge-24h'!L25,'17.08 Jinja-Buwenge-24h'!L25,'18.08 Jinja-Buwenge'!L25)</f>
        <v>0</v>
      </c>
      <c r="M25" s="49">
        <f>AVERAGE('12.08 Jinja-Buwenge'!M25,'13.08 Jinja-Buwenge'!M25,'14.08 Jinja-Buwenge'!M25,'15.08 Jinja-Buwenge'!M25,'16.08 Jinja-Buwenge-24h'!M25,'17.08 Jinja-Buwenge-24h'!M25,'18.08 Jinja-Buwenge'!M25)</f>
        <v>44.571428571428569</v>
      </c>
      <c r="N25" s="49">
        <f>AVERAGE('12.08 Jinja-Buwenge'!N25,'13.08 Jinja-Buwenge'!N25,'14.08 Jinja-Buwenge'!N25,'15.08 Jinja-Buwenge'!N25,'16.08 Jinja-Buwenge-24h'!N25,'17.08 Jinja-Buwenge-24h'!N25,'18.08 Jinja-Buwenge'!N25)</f>
        <v>0.14285714285714285</v>
      </c>
      <c r="O25" s="15">
        <f t="shared" si="0"/>
        <v>29.714285714285715</v>
      </c>
      <c r="P25" s="15">
        <f t="shared" si="1"/>
        <v>74.285714285714278</v>
      </c>
      <c r="R25" s="1" t="s">
        <v>149</v>
      </c>
      <c r="S25" s="34">
        <f>SUM(C70:C73)</f>
        <v>21.5</v>
      </c>
      <c r="T25" s="34">
        <f t="shared" ref="T25:AF25" si="17">SUM(D70:D73)</f>
        <v>1.5</v>
      </c>
      <c r="U25" s="34">
        <f t="shared" si="17"/>
        <v>10</v>
      </c>
      <c r="V25" s="34">
        <f t="shared" si="17"/>
        <v>12.5</v>
      </c>
      <c r="W25" s="34">
        <f t="shared" si="17"/>
        <v>2.5</v>
      </c>
      <c r="X25" s="34">
        <f t="shared" si="17"/>
        <v>0</v>
      </c>
      <c r="Y25" s="34">
        <f t="shared" si="17"/>
        <v>6</v>
      </c>
      <c r="Z25" s="34">
        <f t="shared" si="17"/>
        <v>0.5</v>
      </c>
      <c r="AA25" s="34">
        <f t="shared" si="17"/>
        <v>0</v>
      </c>
      <c r="AB25" s="34">
        <f t="shared" si="17"/>
        <v>0</v>
      </c>
      <c r="AC25" s="34">
        <f t="shared" si="17"/>
        <v>61</v>
      </c>
      <c r="AD25" s="34">
        <f t="shared" si="17"/>
        <v>0</v>
      </c>
      <c r="AE25" s="31">
        <f t="shared" si="17"/>
        <v>54.5</v>
      </c>
      <c r="AF25" s="31">
        <f t="shared" si="17"/>
        <v>115.5</v>
      </c>
    </row>
    <row r="26" spans="2:32" ht="23.1" customHeight="1" x14ac:dyDescent="0.25">
      <c r="B26" s="23" t="s">
        <v>53</v>
      </c>
      <c r="C26" s="49">
        <f>AVERAGE('12.08 Jinja-Buwenge'!C26,'13.08 Jinja-Buwenge'!C26,'14.08 Jinja-Buwenge'!C26,'15.08 Jinja-Buwenge'!C26,'16.08 Jinja-Buwenge-24h'!C26,'17.08 Jinja-Buwenge-24h'!C26,'18.08 Jinja-Buwenge'!C26)</f>
        <v>9.7142857142857135</v>
      </c>
      <c r="D26" s="49">
        <f>AVERAGE('12.08 Jinja-Buwenge'!D26,'13.08 Jinja-Buwenge'!D26,'14.08 Jinja-Buwenge'!D26,'15.08 Jinja-Buwenge'!D26,'16.08 Jinja-Buwenge-24h'!D26,'17.08 Jinja-Buwenge-24h'!D26,'18.08 Jinja-Buwenge'!D26)</f>
        <v>1.1428571428571428</v>
      </c>
      <c r="E26" s="49">
        <f>AVERAGE('12.08 Jinja-Buwenge'!E26,'13.08 Jinja-Buwenge'!E26,'14.08 Jinja-Buwenge'!E26,'15.08 Jinja-Buwenge'!E26,'16.08 Jinja-Buwenge-24h'!E26,'17.08 Jinja-Buwenge-24h'!E26,'18.08 Jinja-Buwenge'!E26)</f>
        <v>4.7142857142857144</v>
      </c>
      <c r="F26" s="49">
        <f>AVERAGE('12.08 Jinja-Buwenge'!F26,'13.08 Jinja-Buwenge'!F26,'14.08 Jinja-Buwenge'!F26,'15.08 Jinja-Buwenge'!F26,'16.08 Jinja-Buwenge-24h'!F26,'17.08 Jinja-Buwenge-24h'!F26,'18.08 Jinja-Buwenge'!F26)</f>
        <v>12.857142857142858</v>
      </c>
      <c r="G26" s="49">
        <f>AVERAGE('12.08 Jinja-Buwenge'!G26,'13.08 Jinja-Buwenge'!G26,'14.08 Jinja-Buwenge'!G26,'15.08 Jinja-Buwenge'!G26,'16.08 Jinja-Buwenge-24h'!G26,'17.08 Jinja-Buwenge-24h'!G26,'18.08 Jinja-Buwenge'!G26)</f>
        <v>0.42857142857142855</v>
      </c>
      <c r="H26" s="49">
        <f>AVERAGE('12.08 Jinja-Buwenge'!H26,'13.08 Jinja-Buwenge'!H26,'14.08 Jinja-Buwenge'!H26,'15.08 Jinja-Buwenge'!H26,'16.08 Jinja-Buwenge-24h'!H26,'17.08 Jinja-Buwenge-24h'!H26,'18.08 Jinja-Buwenge'!H26)</f>
        <v>0</v>
      </c>
      <c r="I26" s="49">
        <f>AVERAGE('12.08 Jinja-Buwenge'!I26,'13.08 Jinja-Buwenge'!I26,'14.08 Jinja-Buwenge'!I26,'15.08 Jinja-Buwenge'!I26,'16.08 Jinja-Buwenge-24h'!I26,'17.08 Jinja-Buwenge-24h'!I26,'18.08 Jinja-Buwenge'!I26)</f>
        <v>2.4285714285714284</v>
      </c>
      <c r="J26" s="49">
        <f>AVERAGE('12.08 Jinja-Buwenge'!J26,'13.08 Jinja-Buwenge'!J26,'14.08 Jinja-Buwenge'!J26,'15.08 Jinja-Buwenge'!J26,'16.08 Jinja-Buwenge-24h'!J26,'17.08 Jinja-Buwenge-24h'!J26,'18.08 Jinja-Buwenge'!J26)</f>
        <v>0.14285714285714285</v>
      </c>
      <c r="K26" s="49">
        <f>AVERAGE('12.08 Jinja-Buwenge'!K26,'13.08 Jinja-Buwenge'!K26,'14.08 Jinja-Buwenge'!K26,'15.08 Jinja-Buwenge'!K26,'16.08 Jinja-Buwenge-24h'!K26,'17.08 Jinja-Buwenge-24h'!K26,'18.08 Jinja-Buwenge'!K26)</f>
        <v>0</v>
      </c>
      <c r="L26" s="49">
        <f>AVERAGE('12.08 Jinja-Buwenge'!L26,'13.08 Jinja-Buwenge'!L26,'14.08 Jinja-Buwenge'!L26,'15.08 Jinja-Buwenge'!L26,'16.08 Jinja-Buwenge-24h'!L26,'17.08 Jinja-Buwenge-24h'!L26,'18.08 Jinja-Buwenge'!L26)</f>
        <v>0</v>
      </c>
      <c r="M26" s="49">
        <f>AVERAGE('12.08 Jinja-Buwenge'!M26,'13.08 Jinja-Buwenge'!M26,'14.08 Jinja-Buwenge'!M26,'15.08 Jinja-Buwenge'!M26,'16.08 Jinja-Buwenge-24h'!M26,'17.08 Jinja-Buwenge-24h'!M26,'18.08 Jinja-Buwenge'!M26)</f>
        <v>40.571428571428569</v>
      </c>
      <c r="N26" s="49">
        <f>AVERAGE('12.08 Jinja-Buwenge'!N26,'13.08 Jinja-Buwenge'!N26,'14.08 Jinja-Buwenge'!N26,'15.08 Jinja-Buwenge'!N26,'16.08 Jinja-Buwenge-24h'!N26,'17.08 Jinja-Buwenge-24h'!N26,'18.08 Jinja-Buwenge'!N26)</f>
        <v>0.14285714285714285</v>
      </c>
      <c r="O26" s="15">
        <f t="shared" si="0"/>
        <v>31.571428571428566</v>
      </c>
      <c r="P26" s="15">
        <f t="shared" si="1"/>
        <v>72.142857142857139</v>
      </c>
      <c r="R26" s="1" t="s">
        <v>150</v>
      </c>
      <c r="S26" s="34">
        <f>SUM(C74:C77)</f>
        <v>7.5</v>
      </c>
      <c r="T26" s="34">
        <f t="shared" ref="T26:AF26" si="18">SUM(D74:D77)</f>
        <v>1</v>
      </c>
      <c r="U26" s="34">
        <f t="shared" si="18"/>
        <v>6.5</v>
      </c>
      <c r="V26" s="34">
        <f t="shared" si="18"/>
        <v>8</v>
      </c>
      <c r="W26" s="34">
        <f t="shared" si="18"/>
        <v>2</v>
      </c>
      <c r="X26" s="34">
        <f t="shared" si="18"/>
        <v>0.5</v>
      </c>
      <c r="Y26" s="34">
        <f t="shared" si="18"/>
        <v>2.5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47</v>
      </c>
      <c r="AD26" s="34">
        <f t="shared" si="18"/>
        <v>0</v>
      </c>
      <c r="AE26" s="31">
        <f t="shared" si="18"/>
        <v>28</v>
      </c>
      <c r="AF26" s="31">
        <f t="shared" si="18"/>
        <v>75</v>
      </c>
    </row>
    <row r="27" spans="2:32" ht="23.1" customHeight="1" x14ac:dyDescent="0.25">
      <c r="B27" s="23" t="s">
        <v>54</v>
      </c>
      <c r="C27" s="49">
        <f>AVERAGE('12.08 Jinja-Buwenge'!C27,'13.08 Jinja-Buwenge'!C27,'14.08 Jinja-Buwenge'!C27,'15.08 Jinja-Buwenge'!C27,'16.08 Jinja-Buwenge-24h'!C27,'17.08 Jinja-Buwenge-24h'!C27,'18.08 Jinja-Buwenge'!C27)</f>
        <v>9.5714285714285712</v>
      </c>
      <c r="D27" s="49">
        <f>AVERAGE('12.08 Jinja-Buwenge'!D27,'13.08 Jinja-Buwenge'!D27,'14.08 Jinja-Buwenge'!D27,'15.08 Jinja-Buwenge'!D27,'16.08 Jinja-Buwenge-24h'!D27,'17.08 Jinja-Buwenge-24h'!D27,'18.08 Jinja-Buwenge'!D27)</f>
        <v>1.5714285714285714</v>
      </c>
      <c r="E27" s="49">
        <f>AVERAGE('12.08 Jinja-Buwenge'!E27,'13.08 Jinja-Buwenge'!E27,'14.08 Jinja-Buwenge'!E27,'15.08 Jinja-Buwenge'!E27,'16.08 Jinja-Buwenge-24h'!E27,'17.08 Jinja-Buwenge-24h'!E27,'18.08 Jinja-Buwenge'!E27)</f>
        <v>5</v>
      </c>
      <c r="F27" s="49">
        <f>AVERAGE('12.08 Jinja-Buwenge'!F27,'13.08 Jinja-Buwenge'!F27,'14.08 Jinja-Buwenge'!F27,'15.08 Jinja-Buwenge'!F27,'16.08 Jinja-Buwenge-24h'!F27,'17.08 Jinja-Buwenge-24h'!F27,'18.08 Jinja-Buwenge'!F27)</f>
        <v>13.857142857142858</v>
      </c>
      <c r="G27" s="49">
        <f>AVERAGE('12.08 Jinja-Buwenge'!G27,'13.08 Jinja-Buwenge'!G27,'14.08 Jinja-Buwenge'!G27,'15.08 Jinja-Buwenge'!G27,'16.08 Jinja-Buwenge-24h'!G27,'17.08 Jinja-Buwenge-24h'!G27,'18.08 Jinja-Buwenge'!G27)</f>
        <v>0.8571428571428571</v>
      </c>
      <c r="H27" s="49">
        <f>AVERAGE('12.08 Jinja-Buwenge'!H27,'13.08 Jinja-Buwenge'!H27,'14.08 Jinja-Buwenge'!H27,'15.08 Jinja-Buwenge'!H27,'16.08 Jinja-Buwenge-24h'!H27,'17.08 Jinja-Buwenge-24h'!H27,'18.08 Jinja-Buwenge'!H27)</f>
        <v>0</v>
      </c>
      <c r="I27" s="49">
        <f>AVERAGE('12.08 Jinja-Buwenge'!I27,'13.08 Jinja-Buwenge'!I27,'14.08 Jinja-Buwenge'!I27,'15.08 Jinja-Buwenge'!I27,'16.08 Jinja-Buwenge-24h'!I27,'17.08 Jinja-Buwenge-24h'!I27,'18.08 Jinja-Buwenge'!I27)</f>
        <v>4.1428571428571432</v>
      </c>
      <c r="J27" s="49">
        <f>AVERAGE('12.08 Jinja-Buwenge'!J27,'13.08 Jinja-Buwenge'!J27,'14.08 Jinja-Buwenge'!J27,'15.08 Jinja-Buwenge'!J27,'16.08 Jinja-Buwenge-24h'!J27,'17.08 Jinja-Buwenge-24h'!J27,'18.08 Jinja-Buwenge'!J27)</f>
        <v>0.2857142857142857</v>
      </c>
      <c r="K27" s="49">
        <f>AVERAGE('12.08 Jinja-Buwenge'!K27,'13.08 Jinja-Buwenge'!K27,'14.08 Jinja-Buwenge'!K27,'15.08 Jinja-Buwenge'!K27,'16.08 Jinja-Buwenge-24h'!K27,'17.08 Jinja-Buwenge-24h'!K27,'18.08 Jinja-Buwenge'!K27)</f>
        <v>0.14285714285714285</v>
      </c>
      <c r="L27" s="49">
        <f>AVERAGE('12.08 Jinja-Buwenge'!L27,'13.08 Jinja-Buwenge'!L27,'14.08 Jinja-Buwenge'!L27,'15.08 Jinja-Buwenge'!L27,'16.08 Jinja-Buwenge-24h'!L27,'17.08 Jinja-Buwenge-24h'!L27,'18.08 Jinja-Buwenge'!L27)</f>
        <v>0</v>
      </c>
      <c r="M27" s="49">
        <f>AVERAGE('12.08 Jinja-Buwenge'!M27,'13.08 Jinja-Buwenge'!M27,'14.08 Jinja-Buwenge'!M27,'15.08 Jinja-Buwenge'!M27,'16.08 Jinja-Buwenge-24h'!M27,'17.08 Jinja-Buwenge-24h'!M27,'18.08 Jinja-Buwenge'!M27)</f>
        <v>44.142857142857146</v>
      </c>
      <c r="N27" s="49">
        <f>AVERAGE('12.08 Jinja-Buwenge'!N27,'13.08 Jinja-Buwenge'!N27,'14.08 Jinja-Buwenge'!N27,'15.08 Jinja-Buwenge'!N27,'16.08 Jinja-Buwenge-24h'!N27,'17.08 Jinja-Buwenge-24h'!N27,'18.08 Jinja-Buwenge'!N27)</f>
        <v>0</v>
      </c>
      <c r="O27" s="15">
        <f t="shared" si="0"/>
        <v>35.428571428571431</v>
      </c>
      <c r="P27" s="15">
        <f t="shared" si="1"/>
        <v>79.571428571428584</v>
      </c>
      <c r="R27" s="1" t="s">
        <v>151</v>
      </c>
      <c r="S27" s="34">
        <f>SUM(C78:C81)</f>
        <v>5</v>
      </c>
      <c r="T27" s="34">
        <f t="shared" ref="T27:AF27" si="19">SUM(D78:D81)</f>
        <v>0</v>
      </c>
      <c r="U27" s="34">
        <f t="shared" si="19"/>
        <v>4.5</v>
      </c>
      <c r="V27" s="34">
        <f t="shared" si="19"/>
        <v>3.5</v>
      </c>
      <c r="W27" s="34">
        <f t="shared" si="19"/>
        <v>0.5</v>
      </c>
      <c r="X27" s="34">
        <f t="shared" si="19"/>
        <v>0.5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22</v>
      </c>
      <c r="AD27" s="34">
        <f t="shared" si="19"/>
        <v>0</v>
      </c>
      <c r="AE27" s="31">
        <f t="shared" si="19"/>
        <v>15</v>
      </c>
      <c r="AF27" s="31">
        <f t="shared" si="19"/>
        <v>37</v>
      </c>
    </row>
    <row r="28" spans="2:32" ht="23.1" customHeight="1" x14ac:dyDescent="0.25">
      <c r="B28" s="23" t="s">
        <v>55</v>
      </c>
      <c r="C28" s="49">
        <f>AVERAGE('12.08 Jinja-Buwenge'!C28,'13.08 Jinja-Buwenge'!C28,'14.08 Jinja-Buwenge'!C28,'15.08 Jinja-Buwenge'!C28,'16.08 Jinja-Buwenge-24h'!C28,'17.08 Jinja-Buwenge-24h'!C28,'18.08 Jinja-Buwenge'!C28)</f>
        <v>8.1428571428571423</v>
      </c>
      <c r="D28" s="49">
        <f>AVERAGE('12.08 Jinja-Buwenge'!D28,'13.08 Jinja-Buwenge'!D28,'14.08 Jinja-Buwenge'!D28,'15.08 Jinja-Buwenge'!D28,'16.08 Jinja-Buwenge-24h'!D28,'17.08 Jinja-Buwenge-24h'!D28,'18.08 Jinja-Buwenge'!D28)</f>
        <v>1.1428571428571428</v>
      </c>
      <c r="E28" s="49">
        <f>AVERAGE('12.08 Jinja-Buwenge'!E28,'13.08 Jinja-Buwenge'!E28,'14.08 Jinja-Buwenge'!E28,'15.08 Jinja-Buwenge'!E28,'16.08 Jinja-Buwenge-24h'!E28,'17.08 Jinja-Buwenge-24h'!E28,'18.08 Jinja-Buwenge'!E28)</f>
        <v>4.2857142857142856</v>
      </c>
      <c r="F28" s="49">
        <f>AVERAGE('12.08 Jinja-Buwenge'!F28,'13.08 Jinja-Buwenge'!F28,'14.08 Jinja-Buwenge'!F28,'15.08 Jinja-Buwenge'!F28,'16.08 Jinja-Buwenge-24h'!F28,'17.08 Jinja-Buwenge-24h'!F28,'18.08 Jinja-Buwenge'!F28)</f>
        <v>12.428571428571429</v>
      </c>
      <c r="G28" s="49">
        <f>AVERAGE('12.08 Jinja-Buwenge'!G28,'13.08 Jinja-Buwenge'!G28,'14.08 Jinja-Buwenge'!G28,'15.08 Jinja-Buwenge'!G28,'16.08 Jinja-Buwenge-24h'!G28,'17.08 Jinja-Buwenge-24h'!G28,'18.08 Jinja-Buwenge'!G28)</f>
        <v>0.5714285714285714</v>
      </c>
      <c r="H28" s="49">
        <f>AVERAGE('12.08 Jinja-Buwenge'!H28,'13.08 Jinja-Buwenge'!H28,'14.08 Jinja-Buwenge'!H28,'15.08 Jinja-Buwenge'!H28,'16.08 Jinja-Buwenge-24h'!H28,'17.08 Jinja-Buwenge-24h'!H28,'18.08 Jinja-Buwenge'!H28)</f>
        <v>0</v>
      </c>
      <c r="I28" s="49">
        <f>AVERAGE('12.08 Jinja-Buwenge'!I28,'13.08 Jinja-Buwenge'!I28,'14.08 Jinja-Buwenge'!I28,'15.08 Jinja-Buwenge'!I28,'16.08 Jinja-Buwenge-24h'!I28,'17.08 Jinja-Buwenge-24h'!I28,'18.08 Jinja-Buwenge'!I28)</f>
        <v>3.5714285714285716</v>
      </c>
      <c r="J28" s="49">
        <f>AVERAGE('12.08 Jinja-Buwenge'!J28,'13.08 Jinja-Buwenge'!J28,'14.08 Jinja-Buwenge'!J28,'15.08 Jinja-Buwenge'!J28,'16.08 Jinja-Buwenge-24h'!J28,'17.08 Jinja-Buwenge-24h'!J28,'18.08 Jinja-Buwenge'!J28)</f>
        <v>0.2857142857142857</v>
      </c>
      <c r="K28" s="49">
        <f>AVERAGE('12.08 Jinja-Buwenge'!K28,'13.08 Jinja-Buwenge'!K28,'14.08 Jinja-Buwenge'!K28,'15.08 Jinja-Buwenge'!K28,'16.08 Jinja-Buwenge-24h'!K28,'17.08 Jinja-Buwenge-24h'!K28,'18.08 Jinja-Buwenge'!K28)</f>
        <v>0.42857142857142855</v>
      </c>
      <c r="L28" s="49">
        <f>AVERAGE('12.08 Jinja-Buwenge'!L28,'13.08 Jinja-Buwenge'!L28,'14.08 Jinja-Buwenge'!L28,'15.08 Jinja-Buwenge'!L28,'16.08 Jinja-Buwenge-24h'!L28,'17.08 Jinja-Buwenge-24h'!L28,'18.08 Jinja-Buwenge'!L28)</f>
        <v>0</v>
      </c>
      <c r="M28" s="49">
        <f>AVERAGE('12.08 Jinja-Buwenge'!M28,'13.08 Jinja-Buwenge'!M28,'14.08 Jinja-Buwenge'!M28,'15.08 Jinja-Buwenge'!M28,'16.08 Jinja-Buwenge-24h'!M28,'17.08 Jinja-Buwenge-24h'!M28,'18.08 Jinja-Buwenge'!M28)</f>
        <v>42.571428571428569</v>
      </c>
      <c r="N28" s="49">
        <f>AVERAGE('12.08 Jinja-Buwenge'!N28,'13.08 Jinja-Buwenge'!N28,'14.08 Jinja-Buwenge'!N28,'15.08 Jinja-Buwenge'!N28,'16.08 Jinja-Buwenge-24h'!N28,'17.08 Jinja-Buwenge-24h'!N28,'18.08 Jinja-Buwenge'!N28)</f>
        <v>0</v>
      </c>
      <c r="O28" s="15">
        <f t="shared" si="0"/>
        <v>30.857142857142858</v>
      </c>
      <c r="P28" s="15">
        <f t="shared" si="1"/>
        <v>73.428571428571431</v>
      </c>
      <c r="R28" s="1" t="s">
        <v>152</v>
      </c>
      <c r="S28" s="34">
        <f>SUM(C82:C85)</f>
        <v>5.5</v>
      </c>
      <c r="T28" s="34">
        <f t="shared" ref="T28:AF28" si="20">SUM(D82:D85)</f>
        <v>0</v>
      </c>
      <c r="U28" s="34">
        <f t="shared" si="20"/>
        <v>2.5</v>
      </c>
      <c r="V28" s="34">
        <f t="shared" si="20"/>
        <v>2.5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12.5</v>
      </c>
      <c r="AD28" s="34">
        <f t="shared" si="20"/>
        <v>0</v>
      </c>
      <c r="AE28" s="31">
        <f t="shared" si="20"/>
        <v>12</v>
      </c>
      <c r="AF28" s="31">
        <f t="shared" si="20"/>
        <v>24.5</v>
      </c>
    </row>
    <row r="29" spans="2:32" ht="23.1" customHeight="1" x14ac:dyDescent="0.25">
      <c r="B29" s="23" t="s">
        <v>56</v>
      </c>
      <c r="C29" s="49">
        <f>AVERAGE('12.08 Jinja-Buwenge'!C29,'13.08 Jinja-Buwenge'!C29,'14.08 Jinja-Buwenge'!C29,'15.08 Jinja-Buwenge'!C29,'16.08 Jinja-Buwenge-24h'!C29,'17.08 Jinja-Buwenge-24h'!C29,'18.08 Jinja-Buwenge'!C29)</f>
        <v>7.5714285714285712</v>
      </c>
      <c r="D29" s="49">
        <f>AVERAGE('12.08 Jinja-Buwenge'!D29,'13.08 Jinja-Buwenge'!D29,'14.08 Jinja-Buwenge'!D29,'15.08 Jinja-Buwenge'!D29,'16.08 Jinja-Buwenge-24h'!D29,'17.08 Jinja-Buwenge-24h'!D29,'18.08 Jinja-Buwenge'!D29)</f>
        <v>1.7142857142857142</v>
      </c>
      <c r="E29" s="49">
        <f>AVERAGE('12.08 Jinja-Buwenge'!E29,'13.08 Jinja-Buwenge'!E29,'14.08 Jinja-Buwenge'!E29,'15.08 Jinja-Buwenge'!E29,'16.08 Jinja-Buwenge-24h'!E29,'17.08 Jinja-Buwenge-24h'!E29,'18.08 Jinja-Buwenge'!E29)</f>
        <v>5.8571428571428568</v>
      </c>
      <c r="F29" s="49">
        <f>AVERAGE('12.08 Jinja-Buwenge'!F29,'13.08 Jinja-Buwenge'!F29,'14.08 Jinja-Buwenge'!F29,'15.08 Jinja-Buwenge'!F29,'16.08 Jinja-Buwenge-24h'!F29,'17.08 Jinja-Buwenge-24h'!F29,'18.08 Jinja-Buwenge'!F29)</f>
        <v>11.571428571428571</v>
      </c>
      <c r="G29" s="49">
        <f>AVERAGE('12.08 Jinja-Buwenge'!G29,'13.08 Jinja-Buwenge'!G29,'14.08 Jinja-Buwenge'!G29,'15.08 Jinja-Buwenge'!G29,'16.08 Jinja-Buwenge-24h'!G29,'17.08 Jinja-Buwenge-24h'!G29,'18.08 Jinja-Buwenge'!G29)</f>
        <v>0.7142857142857143</v>
      </c>
      <c r="H29" s="49">
        <f>AVERAGE('12.08 Jinja-Buwenge'!H29,'13.08 Jinja-Buwenge'!H29,'14.08 Jinja-Buwenge'!H29,'15.08 Jinja-Buwenge'!H29,'16.08 Jinja-Buwenge-24h'!H29,'17.08 Jinja-Buwenge-24h'!H29,'18.08 Jinja-Buwenge'!H29)</f>
        <v>0</v>
      </c>
      <c r="I29" s="49">
        <f>AVERAGE('12.08 Jinja-Buwenge'!I29,'13.08 Jinja-Buwenge'!I29,'14.08 Jinja-Buwenge'!I29,'15.08 Jinja-Buwenge'!I29,'16.08 Jinja-Buwenge-24h'!I29,'17.08 Jinja-Buwenge-24h'!I29,'18.08 Jinja-Buwenge'!I29)</f>
        <v>3.2857142857142856</v>
      </c>
      <c r="J29" s="49">
        <f>AVERAGE('12.08 Jinja-Buwenge'!J29,'13.08 Jinja-Buwenge'!J29,'14.08 Jinja-Buwenge'!J29,'15.08 Jinja-Buwenge'!J29,'16.08 Jinja-Buwenge-24h'!J29,'17.08 Jinja-Buwenge-24h'!J29,'18.08 Jinja-Buwenge'!J29)</f>
        <v>0.2857142857142857</v>
      </c>
      <c r="K29" s="49">
        <f>AVERAGE('12.08 Jinja-Buwenge'!K29,'13.08 Jinja-Buwenge'!K29,'14.08 Jinja-Buwenge'!K29,'15.08 Jinja-Buwenge'!K29,'16.08 Jinja-Buwenge-24h'!K29,'17.08 Jinja-Buwenge-24h'!K29,'18.08 Jinja-Buwenge'!K29)</f>
        <v>0</v>
      </c>
      <c r="L29" s="49">
        <f>AVERAGE('12.08 Jinja-Buwenge'!L29,'13.08 Jinja-Buwenge'!L29,'14.08 Jinja-Buwenge'!L29,'15.08 Jinja-Buwenge'!L29,'16.08 Jinja-Buwenge-24h'!L29,'17.08 Jinja-Buwenge-24h'!L29,'18.08 Jinja-Buwenge'!L29)</f>
        <v>0</v>
      </c>
      <c r="M29" s="49">
        <f>AVERAGE('12.08 Jinja-Buwenge'!M29,'13.08 Jinja-Buwenge'!M29,'14.08 Jinja-Buwenge'!M29,'15.08 Jinja-Buwenge'!M29,'16.08 Jinja-Buwenge-24h'!M29,'17.08 Jinja-Buwenge-24h'!M29,'18.08 Jinja-Buwenge'!M29)</f>
        <v>46.571428571428569</v>
      </c>
      <c r="N29" s="49">
        <f>AVERAGE('12.08 Jinja-Buwenge'!N29,'13.08 Jinja-Buwenge'!N29,'14.08 Jinja-Buwenge'!N29,'15.08 Jinja-Buwenge'!N29,'16.08 Jinja-Buwenge-24h'!N29,'17.08 Jinja-Buwenge-24h'!N29,'18.08 Jinja-Buwenge'!N29)</f>
        <v>0.14285714285714285</v>
      </c>
      <c r="O29" s="15">
        <f t="shared" si="0"/>
        <v>31.142857142857142</v>
      </c>
      <c r="P29" s="15">
        <f t="shared" si="1"/>
        <v>77.714285714285708</v>
      </c>
      <c r="R29" s="1" t="s">
        <v>153</v>
      </c>
      <c r="S29" s="34">
        <f>SUM(C86:C89)</f>
        <v>1.5</v>
      </c>
      <c r="T29" s="34">
        <f t="shared" ref="T29:AF29" si="21">SUM(D86:D89)</f>
        <v>0</v>
      </c>
      <c r="U29" s="34">
        <f t="shared" si="21"/>
        <v>0.5</v>
      </c>
      <c r="V29" s="34">
        <f t="shared" si="21"/>
        <v>0.5</v>
      </c>
      <c r="W29" s="34">
        <f t="shared" si="21"/>
        <v>0</v>
      </c>
      <c r="X29" s="34">
        <f t="shared" si="21"/>
        <v>0</v>
      </c>
      <c r="Y29" s="34">
        <f t="shared" si="21"/>
        <v>2.5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3</v>
      </c>
      <c r="AD29" s="34">
        <f t="shared" si="21"/>
        <v>0</v>
      </c>
      <c r="AE29" s="31">
        <f t="shared" si="21"/>
        <v>6</v>
      </c>
      <c r="AF29" s="31">
        <f t="shared" si="21"/>
        <v>9</v>
      </c>
    </row>
    <row r="30" spans="2:32" ht="23.1" customHeight="1" x14ac:dyDescent="0.25">
      <c r="B30" s="23" t="s">
        <v>57</v>
      </c>
      <c r="C30" s="49">
        <f>AVERAGE('12.08 Jinja-Buwenge'!C30,'13.08 Jinja-Buwenge'!C30,'14.08 Jinja-Buwenge'!C30,'15.08 Jinja-Buwenge'!C30,'16.08 Jinja-Buwenge-24h'!C30,'17.08 Jinja-Buwenge-24h'!C30,'18.08 Jinja-Buwenge'!C30)</f>
        <v>10</v>
      </c>
      <c r="D30" s="49">
        <f>AVERAGE('12.08 Jinja-Buwenge'!D30,'13.08 Jinja-Buwenge'!D30,'14.08 Jinja-Buwenge'!D30,'15.08 Jinja-Buwenge'!D30,'16.08 Jinja-Buwenge-24h'!D30,'17.08 Jinja-Buwenge-24h'!D30,'18.08 Jinja-Buwenge'!D30)</f>
        <v>1.7142857142857142</v>
      </c>
      <c r="E30" s="49">
        <f>AVERAGE('12.08 Jinja-Buwenge'!E30,'13.08 Jinja-Buwenge'!E30,'14.08 Jinja-Buwenge'!E30,'15.08 Jinja-Buwenge'!E30,'16.08 Jinja-Buwenge-24h'!E30,'17.08 Jinja-Buwenge-24h'!E30,'18.08 Jinja-Buwenge'!E30)</f>
        <v>5.1428571428571432</v>
      </c>
      <c r="F30" s="49">
        <f>AVERAGE('12.08 Jinja-Buwenge'!F30,'13.08 Jinja-Buwenge'!F30,'14.08 Jinja-Buwenge'!F30,'15.08 Jinja-Buwenge'!F30,'16.08 Jinja-Buwenge-24h'!F30,'17.08 Jinja-Buwenge-24h'!F30,'18.08 Jinja-Buwenge'!F30)</f>
        <v>12</v>
      </c>
      <c r="G30" s="49">
        <f>AVERAGE('12.08 Jinja-Buwenge'!G30,'13.08 Jinja-Buwenge'!G30,'14.08 Jinja-Buwenge'!G30,'15.08 Jinja-Buwenge'!G30,'16.08 Jinja-Buwenge-24h'!G30,'17.08 Jinja-Buwenge-24h'!G30,'18.08 Jinja-Buwenge'!G30)</f>
        <v>0.2857142857142857</v>
      </c>
      <c r="H30" s="49">
        <f>AVERAGE('12.08 Jinja-Buwenge'!H30,'13.08 Jinja-Buwenge'!H30,'14.08 Jinja-Buwenge'!H30,'15.08 Jinja-Buwenge'!H30,'16.08 Jinja-Buwenge-24h'!H30,'17.08 Jinja-Buwenge-24h'!H30,'18.08 Jinja-Buwenge'!H30)</f>
        <v>0</v>
      </c>
      <c r="I30" s="49">
        <f>AVERAGE('12.08 Jinja-Buwenge'!I30,'13.08 Jinja-Buwenge'!I30,'14.08 Jinja-Buwenge'!I30,'15.08 Jinja-Buwenge'!I30,'16.08 Jinja-Buwenge-24h'!I30,'17.08 Jinja-Buwenge-24h'!I30,'18.08 Jinja-Buwenge'!I30)</f>
        <v>3</v>
      </c>
      <c r="J30" s="49">
        <f>AVERAGE('12.08 Jinja-Buwenge'!J30,'13.08 Jinja-Buwenge'!J30,'14.08 Jinja-Buwenge'!J30,'15.08 Jinja-Buwenge'!J30,'16.08 Jinja-Buwenge-24h'!J30,'17.08 Jinja-Buwenge-24h'!J30,'18.08 Jinja-Buwenge'!J30)</f>
        <v>0.42857142857142855</v>
      </c>
      <c r="K30" s="49">
        <f>AVERAGE('12.08 Jinja-Buwenge'!K30,'13.08 Jinja-Buwenge'!K30,'14.08 Jinja-Buwenge'!K30,'15.08 Jinja-Buwenge'!K30,'16.08 Jinja-Buwenge-24h'!K30,'17.08 Jinja-Buwenge-24h'!K30,'18.08 Jinja-Buwenge'!K30)</f>
        <v>0</v>
      </c>
      <c r="L30" s="49">
        <f>AVERAGE('12.08 Jinja-Buwenge'!L30,'13.08 Jinja-Buwenge'!L30,'14.08 Jinja-Buwenge'!L30,'15.08 Jinja-Buwenge'!L30,'16.08 Jinja-Buwenge-24h'!L30,'17.08 Jinja-Buwenge-24h'!L30,'18.08 Jinja-Buwenge'!L30)</f>
        <v>0</v>
      </c>
      <c r="M30" s="49">
        <f>AVERAGE('12.08 Jinja-Buwenge'!M30,'13.08 Jinja-Buwenge'!M30,'14.08 Jinja-Buwenge'!M30,'15.08 Jinja-Buwenge'!M30,'16.08 Jinja-Buwenge-24h'!M30,'17.08 Jinja-Buwenge-24h'!M30,'18.08 Jinja-Buwenge'!M30)</f>
        <v>44.285714285714285</v>
      </c>
      <c r="N30" s="49">
        <f>AVERAGE('12.08 Jinja-Buwenge'!N30,'13.08 Jinja-Buwenge'!N30,'14.08 Jinja-Buwenge'!N30,'15.08 Jinja-Buwenge'!N30,'16.08 Jinja-Buwenge-24h'!N30,'17.08 Jinja-Buwenge-24h'!N30,'18.08 Jinja-Buwenge'!N30)</f>
        <v>0</v>
      </c>
      <c r="O30" s="15">
        <f t="shared" si="0"/>
        <v>32.571428571428569</v>
      </c>
      <c r="P30" s="15">
        <f t="shared" si="1"/>
        <v>76.857142857142861</v>
      </c>
      <c r="R30" s="1" t="s">
        <v>154</v>
      </c>
      <c r="S30" s="34">
        <f>SUM(C90:C93)</f>
        <v>2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1</v>
      </c>
      <c r="W30" s="34">
        <f t="shared" si="22"/>
        <v>0.5</v>
      </c>
      <c r="X30" s="34">
        <f t="shared" si="22"/>
        <v>0</v>
      </c>
      <c r="Y30" s="34">
        <f t="shared" si="22"/>
        <v>2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2.5</v>
      </c>
      <c r="AD30" s="34">
        <f t="shared" si="22"/>
        <v>0</v>
      </c>
      <c r="AE30" s="31">
        <f t="shared" si="22"/>
        <v>6.5</v>
      </c>
      <c r="AF30" s="31">
        <f t="shared" si="22"/>
        <v>9</v>
      </c>
    </row>
    <row r="31" spans="2:32" ht="23.1" customHeight="1" x14ac:dyDescent="0.25">
      <c r="B31" s="24" t="s">
        <v>58</v>
      </c>
      <c r="C31" s="49">
        <f>AVERAGE('12.08 Jinja-Buwenge'!C31,'13.08 Jinja-Buwenge'!C31,'14.08 Jinja-Buwenge'!C31,'15.08 Jinja-Buwenge'!C31,'16.08 Jinja-Buwenge-24h'!C31,'17.08 Jinja-Buwenge-24h'!C31,'18.08 Jinja-Buwenge'!C31)</f>
        <v>8.7142857142857135</v>
      </c>
      <c r="D31" s="49">
        <f>AVERAGE('12.08 Jinja-Buwenge'!D31,'13.08 Jinja-Buwenge'!D31,'14.08 Jinja-Buwenge'!D31,'15.08 Jinja-Buwenge'!D31,'16.08 Jinja-Buwenge-24h'!D31,'17.08 Jinja-Buwenge-24h'!D31,'18.08 Jinja-Buwenge'!D31)</f>
        <v>2</v>
      </c>
      <c r="E31" s="49">
        <f>AVERAGE('12.08 Jinja-Buwenge'!E31,'13.08 Jinja-Buwenge'!E31,'14.08 Jinja-Buwenge'!E31,'15.08 Jinja-Buwenge'!E31,'16.08 Jinja-Buwenge-24h'!E31,'17.08 Jinja-Buwenge-24h'!E31,'18.08 Jinja-Buwenge'!E31)</f>
        <v>5.7142857142857144</v>
      </c>
      <c r="F31" s="49">
        <f>AVERAGE('12.08 Jinja-Buwenge'!F31,'13.08 Jinja-Buwenge'!F31,'14.08 Jinja-Buwenge'!F31,'15.08 Jinja-Buwenge'!F31,'16.08 Jinja-Buwenge-24h'!F31,'17.08 Jinja-Buwenge-24h'!F31,'18.08 Jinja-Buwenge'!F31)</f>
        <v>15.857142857142858</v>
      </c>
      <c r="G31" s="49">
        <f>AVERAGE('12.08 Jinja-Buwenge'!G31,'13.08 Jinja-Buwenge'!G31,'14.08 Jinja-Buwenge'!G31,'15.08 Jinja-Buwenge'!G31,'16.08 Jinja-Buwenge-24h'!G31,'17.08 Jinja-Buwenge-24h'!G31,'18.08 Jinja-Buwenge'!G31)</f>
        <v>1.5714285714285714</v>
      </c>
      <c r="H31" s="49">
        <f>AVERAGE('12.08 Jinja-Buwenge'!H31,'13.08 Jinja-Buwenge'!H31,'14.08 Jinja-Buwenge'!H31,'15.08 Jinja-Buwenge'!H31,'16.08 Jinja-Buwenge-24h'!H31,'17.08 Jinja-Buwenge-24h'!H31,'18.08 Jinja-Buwenge'!H31)</f>
        <v>0</v>
      </c>
      <c r="I31" s="49">
        <f>AVERAGE('12.08 Jinja-Buwenge'!I31,'13.08 Jinja-Buwenge'!I31,'14.08 Jinja-Buwenge'!I31,'15.08 Jinja-Buwenge'!I31,'16.08 Jinja-Buwenge-24h'!I31,'17.08 Jinja-Buwenge-24h'!I31,'18.08 Jinja-Buwenge'!I31)</f>
        <v>2.8571428571428572</v>
      </c>
      <c r="J31" s="49">
        <f>AVERAGE('12.08 Jinja-Buwenge'!J31,'13.08 Jinja-Buwenge'!J31,'14.08 Jinja-Buwenge'!J31,'15.08 Jinja-Buwenge'!J31,'16.08 Jinja-Buwenge-24h'!J31,'17.08 Jinja-Buwenge-24h'!J31,'18.08 Jinja-Buwenge'!J31)</f>
        <v>0.14285714285714285</v>
      </c>
      <c r="K31" s="49">
        <f>AVERAGE('12.08 Jinja-Buwenge'!K31,'13.08 Jinja-Buwenge'!K31,'14.08 Jinja-Buwenge'!K31,'15.08 Jinja-Buwenge'!K31,'16.08 Jinja-Buwenge-24h'!K31,'17.08 Jinja-Buwenge-24h'!K31,'18.08 Jinja-Buwenge'!K31)</f>
        <v>0</v>
      </c>
      <c r="L31" s="49">
        <f>AVERAGE('12.08 Jinja-Buwenge'!L31,'13.08 Jinja-Buwenge'!L31,'14.08 Jinja-Buwenge'!L31,'15.08 Jinja-Buwenge'!L31,'16.08 Jinja-Buwenge-24h'!L31,'17.08 Jinja-Buwenge-24h'!L31,'18.08 Jinja-Buwenge'!L31)</f>
        <v>0</v>
      </c>
      <c r="M31" s="49">
        <f>AVERAGE('12.08 Jinja-Buwenge'!M31,'13.08 Jinja-Buwenge'!M31,'14.08 Jinja-Buwenge'!M31,'15.08 Jinja-Buwenge'!M31,'16.08 Jinja-Buwenge-24h'!M31,'17.08 Jinja-Buwenge-24h'!M31,'18.08 Jinja-Buwenge'!M31)</f>
        <v>44.428571428571431</v>
      </c>
      <c r="N31" s="49">
        <f>AVERAGE('12.08 Jinja-Buwenge'!N31,'13.08 Jinja-Buwenge'!N31,'14.08 Jinja-Buwenge'!N31,'15.08 Jinja-Buwenge'!N31,'16.08 Jinja-Buwenge-24h'!N31,'17.08 Jinja-Buwenge-24h'!N31,'18.08 Jinja-Buwenge'!N31)</f>
        <v>0</v>
      </c>
      <c r="O31" s="15">
        <f t="shared" si="0"/>
        <v>36.857142857142854</v>
      </c>
      <c r="P31" s="15">
        <f t="shared" si="1"/>
        <v>81.285714285714278</v>
      </c>
      <c r="R31" s="1" t="s">
        <v>155</v>
      </c>
      <c r="S31" s="34">
        <f>SUM(C94:C97)</f>
        <v>3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3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2</v>
      </c>
      <c r="AA31" s="34">
        <f t="shared" si="23"/>
        <v>0.5</v>
      </c>
      <c r="AB31" s="34">
        <f t="shared" si="23"/>
        <v>0</v>
      </c>
      <c r="AC31" s="34">
        <f t="shared" si="23"/>
        <v>8.5</v>
      </c>
      <c r="AD31" s="34">
        <f t="shared" si="23"/>
        <v>0</v>
      </c>
      <c r="AE31" s="31">
        <f t="shared" si="23"/>
        <v>12.5</v>
      </c>
      <c r="AF31" s="31">
        <f t="shared" si="23"/>
        <v>21</v>
      </c>
    </row>
    <row r="32" spans="2:32" ht="23.1" customHeight="1" x14ac:dyDescent="0.25">
      <c r="B32" s="24" t="s">
        <v>59</v>
      </c>
      <c r="C32" s="49">
        <f>AVERAGE('12.08 Jinja-Buwenge'!C32,'13.08 Jinja-Buwenge'!C32,'14.08 Jinja-Buwenge'!C32,'15.08 Jinja-Buwenge'!C32,'16.08 Jinja-Buwenge-24h'!C32,'17.08 Jinja-Buwenge-24h'!C32,'18.08 Jinja-Buwenge'!C32)</f>
        <v>7</v>
      </c>
      <c r="D32" s="49">
        <f>AVERAGE('12.08 Jinja-Buwenge'!D32,'13.08 Jinja-Buwenge'!D32,'14.08 Jinja-Buwenge'!D32,'15.08 Jinja-Buwenge'!D32,'16.08 Jinja-Buwenge-24h'!D32,'17.08 Jinja-Buwenge-24h'!D32,'18.08 Jinja-Buwenge'!D32)</f>
        <v>1.1428571428571428</v>
      </c>
      <c r="E32" s="49">
        <f>AVERAGE('12.08 Jinja-Buwenge'!E32,'13.08 Jinja-Buwenge'!E32,'14.08 Jinja-Buwenge'!E32,'15.08 Jinja-Buwenge'!E32,'16.08 Jinja-Buwenge-24h'!E32,'17.08 Jinja-Buwenge-24h'!E32,'18.08 Jinja-Buwenge'!E32)</f>
        <v>4.4285714285714288</v>
      </c>
      <c r="F32" s="49">
        <f>AVERAGE('12.08 Jinja-Buwenge'!F32,'13.08 Jinja-Buwenge'!F32,'14.08 Jinja-Buwenge'!F32,'15.08 Jinja-Buwenge'!F32,'16.08 Jinja-Buwenge-24h'!F32,'17.08 Jinja-Buwenge-24h'!F32,'18.08 Jinja-Buwenge'!F32)</f>
        <v>11.571428571428571</v>
      </c>
      <c r="G32" s="49">
        <f>AVERAGE('12.08 Jinja-Buwenge'!G32,'13.08 Jinja-Buwenge'!G32,'14.08 Jinja-Buwenge'!G32,'15.08 Jinja-Buwenge'!G32,'16.08 Jinja-Buwenge-24h'!G32,'17.08 Jinja-Buwenge-24h'!G32,'18.08 Jinja-Buwenge'!G32)</f>
        <v>1.2857142857142858</v>
      </c>
      <c r="H32" s="49">
        <f>AVERAGE('12.08 Jinja-Buwenge'!H32,'13.08 Jinja-Buwenge'!H32,'14.08 Jinja-Buwenge'!H32,'15.08 Jinja-Buwenge'!H32,'16.08 Jinja-Buwenge-24h'!H32,'17.08 Jinja-Buwenge-24h'!H32,'18.08 Jinja-Buwenge'!H32)</f>
        <v>0.14285714285714285</v>
      </c>
      <c r="I32" s="49">
        <f>AVERAGE('12.08 Jinja-Buwenge'!I32,'13.08 Jinja-Buwenge'!I32,'14.08 Jinja-Buwenge'!I32,'15.08 Jinja-Buwenge'!I32,'16.08 Jinja-Buwenge-24h'!I32,'17.08 Jinja-Buwenge-24h'!I32,'18.08 Jinja-Buwenge'!I32)</f>
        <v>3.5714285714285716</v>
      </c>
      <c r="J32" s="49">
        <f>AVERAGE('12.08 Jinja-Buwenge'!J32,'13.08 Jinja-Buwenge'!J32,'14.08 Jinja-Buwenge'!J32,'15.08 Jinja-Buwenge'!J32,'16.08 Jinja-Buwenge-24h'!J32,'17.08 Jinja-Buwenge-24h'!J32,'18.08 Jinja-Buwenge'!J32)</f>
        <v>0.42857142857142855</v>
      </c>
      <c r="K32" s="49">
        <f>AVERAGE('12.08 Jinja-Buwenge'!K32,'13.08 Jinja-Buwenge'!K32,'14.08 Jinja-Buwenge'!K32,'15.08 Jinja-Buwenge'!K32,'16.08 Jinja-Buwenge-24h'!K32,'17.08 Jinja-Buwenge-24h'!K32,'18.08 Jinja-Buwenge'!K32)</f>
        <v>0</v>
      </c>
      <c r="L32" s="49">
        <f>AVERAGE('12.08 Jinja-Buwenge'!L32,'13.08 Jinja-Buwenge'!L32,'14.08 Jinja-Buwenge'!L32,'15.08 Jinja-Buwenge'!L32,'16.08 Jinja-Buwenge-24h'!L32,'17.08 Jinja-Buwenge-24h'!L32,'18.08 Jinja-Buwenge'!L32)</f>
        <v>0</v>
      </c>
      <c r="M32" s="49">
        <f>AVERAGE('12.08 Jinja-Buwenge'!M32,'13.08 Jinja-Buwenge'!M32,'14.08 Jinja-Buwenge'!M32,'15.08 Jinja-Buwenge'!M32,'16.08 Jinja-Buwenge-24h'!M32,'17.08 Jinja-Buwenge-24h'!M32,'18.08 Jinja-Buwenge'!M32)</f>
        <v>40.714285714285715</v>
      </c>
      <c r="N32" s="49">
        <f>AVERAGE('12.08 Jinja-Buwenge'!N32,'13.08 Jinja-Buwenge'!N32,'14.08 Jinja-Buwenge'!N32,'15.08 Jinja-Buwenge'!N32,'16.08 Jinja-Buwenge-24h'!N32,'17.08 Jinja-Buwenge-24h'!N32,'18.08 Jinja-Buwenge'!N32)</f>
        <v>0</v>
      </c>
      <c r="O32" s="15">
        <f t="shared" si="0"/>
        <v>29.571428571428569</v>
      </c>
      <c r="P32" s="15">
        <f t="shared" si="1"/>
        <v>70.285714285714278</v>
      </c>
      <c r="R32" s="1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3</v>
      </c>
      <c r="V32" s="34">
        <f t="shared" si="24"/>
        <v>3</v>
      </c>
      <c r="W32" s="34">
        <f t="shared" si="24"/>
        <v>4</v>
      </c>
      <c r="X32" s="34">
        <f t="shared" si="24"/>
        <v>0</v>
      </c>
      <c r="Y32" s="34">
        <f t="shared" si="24"/>
        <v>4</v>
      </c>
      <c r="Z32" s="34">
        <f t="shared" si="24"/>
        <v>1.5</v>
      </c>
      <c r="AA32" s="34">
        <f t="shared" si="24"/>
        <v>0</v>
      </c>
      <c r="AB32" s="34">
        <f t="shared" si="24"/>
        <v>0</v>
      </c>
      <c r="AC32" s="34">
        <f t="shared" si="24"/>
        <v>14</v>
      </c>
      <c r="AD32" s="34">
        <f t="shared" si="24"/>
        <v>0</v>
      </c>
      <c r="AE32" s="31">
        <f t="shared" si="24"/>
        <v>17.5</v>
      </c>
      <c r="AF32" s="31">
        <f t="shared" si="24"/>
        <v>31.5</v>
      </c>
    </row>
    <row r="33" spans="2:32" ht="23.1" customHeight="1" x14ac:dyDescent="0.25">
      <c r="B33" s="23" t="s">
        <v>60</v>
      </c>
      <c r="C33" s="49">
        <f>AVERAGE('12.08 Jinja-Buwenge'!C33,'13.08 Jinja-Buwenge'!C33,'14.08 Jinja-Buwenge'!C33,'15.08 Jinja-Buwenge'!C33,'16.08 Jinja-Buwenge-24h'!C33,'17.08 Jinja-Buwenge-24h'!C33,'18.08 Jinja-Buwenge'!C33)</f>
        <v>7.7142857142857144</v>
      </c>
      <c r="D33" s="49">
        <f>AVERAGE('12.08 Jinja-Buwenge'!D33,'13.08 Jinja-Buwenge'!D33,'14.08 Jinja-Buwenge'!D33,'15.08 Jinja-Buwenge'!D33,'16.08 Jinja-Buwenge-24h'!D33,'17.08 Jinja-Buwenge-24h'!D33,'18.08 Jinja-Buwenge'!D33)</f>
        <v>1.4285714285714286</v>
      </c>
      <c r="E33" s="49">
        <f>AVERAGE('12.08 Jinja-Buwenge'!E33,'13.08 Jinja-Buwenge'!E33,'14.08 Jinja-Buwenge'!E33,'15.08 Jinja-Buwenge'!E33,'16.08 Jinja-Buwenge-24h'!E33,'17.08 Jinja-Buwenge-24h'!E33,'18.08 Jinja-Buwenge'!E33)</f>
        <v>4.8571428571428568</v>
      </c>
      <c r="F33" s="49">
        <f>AVERAGE('12.08 Jinja-Buwenge'!F33,'13.08 Jinja-Buwenge'!F33,'14.08 Jinja-Buwenge'!F33,'15.08 Jinja-Buwenge'!F33,'16.08 Jinja-Buwenge-24h'!F33,'17.08 Jinja-Buwenge-24h'!F33,'18.08 Jinja-Buwenge'!F33)</f>
        <v>11</v>
      </c>
      <c r="G33" s="49">
        <f>AVERAGE('12.08 Jinja-Buwenge'!G33,'13.08 Jinja-Buwenge'!G33,'14.08 Jinja-Buwenge'!G33,'15.08 Jinja-Buwenge'!G33,'16.08 Jinja-Buwenge-24h'!G33,'17.08 Jinja-Buwenge-24h'!G33,'18.08 Jinja-Buwenge'!G33)</f>
        <v>0.8571428571428571</v>
      </c>
      <c r="H33" s="49">
        <f>AVERAGE('12.08 Jinja-Buwenge'!H33,'13.08 Jinja-Buwenge'!H33,'14.08 Jinja-Buwenge'!H33,'15.08 Jinja-Buwenge'!H33,'16.08 Jinja-Buwenge-24h'!H33,'17.08 Jinja-Buwenge-24h'!H33,'18.08 Jinja-Buwenge'!H33)</f>
        <v>0</v>
      </c>
      <c r="I33" s="49">
        <f>AVERAGE('12.08 Jinja-Buwenge'!I33,'13.08 Jinja-Buwenge'!I33,'14.08 Jinja-Buwenge'!I33,'15.08 Jinja-Buwenge'!I33,'16.08 Jinja-Buwenge-24h'!I33,'17.08 Jinja-Buwenge-24h'!I33,'18.08 Jinja-Buwenge'!I33)</f>
        <v>2.1428571428571428</v>
      </c>
      <c r="J33" s="49">
        <f>AVERAGE('12.08 Jinja-Buwenge'!J33,'13.08 Jinja-Buwenge'!J33,'14.08 Jinja-Buwenge'!J33,'15.08 Jinja-Buwenge'!J33,'16.08 Jinja-Buwenge-24h'!J33,'17.08 Jinja-Buwenge-24h'!J33,'18.08 Jinja-Buwenge'!J33)</f>
        <v>0.14285714285714285</v>
      </c>
      <c r="K33" s="49">
        <f>AVERAGE('12.08 Jinja-Buwenge'!K33,'13.08 Jinja-Buwenge'!K33,'14.08 Jinja-Buwenge'!K33,'15.08 Jinja-Buwenge'!K33,'16.08 Jinja-Buwenge-24h'!K33,'17.08 Jinja-Buwenge-24h'!K33,'18.08 Jinja-Buwenge'!K33)</f>
        <v>0</v>
      </c>
      <c r="L33" s="49">
        <f>AVERAGE('12.08 Jinja-Buwenge'!L33,'13.08 Jinja-Buwenge'!L33,'14.08 Jinja-Buwenge'!L33,'15.08 Jinja-Buwenge'!L33,'16.08 Jinja-Buwenge-24h'!L33,'17.08 Jinja-Buwenge-24h'!L33,'18.08 Jinja-Buwenge'!L33)</f>
        <v>0</v>
      </c>
      <c r="M33" s="49">
        <f>AVERAGE('12.08 Jinja-Buwenge'!M33,'13.08 Jinja-Buwenge'!M33,'14.08 Jinja-Buwenge'!M33,'15.08 Jinja-Buwenge'!M33,'16.08 Jinja-Buwenge-24h'!M33,'17.08 Jinja-Buwenge-24h'!M33,'18.08 Jinja-Buwenge'!M33)</f>
        <v>41.571428571428569</v>
      </c>
      <c r="N33" s="49">
        <f>AVERAGE('12.08 Jinja-Buwenge'!N33,'13.08 Jinja-Buwenge'!N33,'14.08 Jinja-Buwenge'!N33,'15.08 Jinja-Buwenge'!N33,'16.08 Jinja-Buwenge-24h'!N33,'17.08 Jinja-Buwenge-24h'!N33,'18.08 Jinja-Buwenge'!N33)</f>
        <v>0</v>
      </c>
      <c r="O33" s="15">
        <f t="shared" si="0"/>
        <v>28.142857142857142</v>
      </c>
      <c r="P33" s="15">
        <f t="shared" si="1"/>
        <v>69.714285714285708</v>
      </c>
      <c r="R33" s="1" t="s">
        <v>157</v>
      </c>
      <c r="S33" s="34">
        <f>SUM(C102:C105)</f>
        <v>2</v>
      </c>
      <c r="T33" s="34">
        <f t="shared" ref="T33:AF33" si="25">SUM(D102:D105)</f>
        <v>0</v>
      </c>
      <c r="U33" s="34">
        <f t="shared" si="25"/>
        <v>3</v>
      </c>
      <c r="V33" s="34">
        <f t="shared" si="25"/>
        <v>13</v>
      </c>
      <c r="W33" s="34">
        <f t="shared" si="25"/>
        <v>6.5</v>
      </c>
      <c r="X33" s="34">
        <f t="shared" si="25"/>
        <v>0</v>
      </c>
      <c r="Y33" s="34">
        <f t="shared" si="25"/>
        <v>5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15</v>
      </c>
      <c r="AD33" s="34">
        <f t="shared" si="25"/>
        <v>0</v>
      </c>
      <c r="AE33" s="31">
        <f t="shared" si="25"/>
        <v>30.5</v>
      </c>
      <c r="AF33" s="31">
        <f t="shared" si="25"/>
        <v>45.5</v>
      </c>
    </row>
    <row r="34" spans="2:32" ht="23.1" customHeight="1" x14ac:dyDescent="0.25">
      <c r="B34" s="24" t="s">
        <v>61</v>
      </c>
      <c r="C34" s="49">
        <f>AVERAGE('12.08 Jinja-Buwenge'!C34,'13.08 Jinja-Buwenge'!C34,'14.08 Jinja-Buwenge'!C34,'15.08 Jinja-Buwenge'!C34,'16.08 Jinja-Buwenge-24h'!C34,'17.08 Jinja-Buwenge-24h'!C34,'18.08 Jinja-Buwenge'!C34)</f>
        <v>6.8571428571428568</v>
      </c>
      <c r="D34" s="49">
        <f>AVERAGE('12.08 Jinja-Buwenge'!D34,'13.08 Jinja-Buwenge'!D34,'14.08 Jinja-Buwenge'!D34,'15.08 Jinja-Buwenge'!D34,'16.08 Jinja-Buwenge-24h'!D34,'17.08 Jinja-Buwenge-24h'!D34,'18.08 Jinja-Buwenge'!D34)</f>
        <v>1.7142857142857142</v>
      </c>
      <c r="E34" s="49">
        <f>AVERAGE('12.08 Jinja-Buwenge'!E34,'13.08 Jinja-Buwenge'!E34,'14.08 Jinja-Buwenge'!E34,'15.08 Jinja-Buwenge'!E34,'16.08 Jinja-Buwenge-24h'!E34,'17.08 Jinja-Buwenge-24h'!E34,'18.08 Jinja-Buwenge'!E34)</f>
        <v>5.1428571428571432</v>
      </c>
      <c r="F34" s="49">
        <f>AVERAGE('12.08 Jinja-Buwenge'!F34,'13.08 Jinja-Buwenge'!F34,'14.08 Jinja-Buwenge'!F34,'15.08 Jinja-Buwenge'!F34,'16.08 Jinja-Buwenge-24h'!F34,'17.08 Jinja-Buwenge-24h'!F34,'18.08 Jinja-Buwenge'!F34)</f>
        <v>12.714285714285714</v>
      </c>
      <c r="G34" s="49">
        <f>AVERAGE('12.08 Jinja-Buwenge'!G34,'13.08 Jinja-Buwenge'!G34,'14.08 Jinja-Buwenge'!G34,'15.08 Jinja-Buwenge'!G34,'16.08 Jinja-Buwenge-24h'!G34,'17.08 Jinja-Buwenge-24h'!G34,'18.08 Jinja-Buwenge'!G34)</f>
        <v>0.8571428571428571</v>
      </c>
      <c r="H34" s="49">
        <f>AVERAGE('12.08 Jinja-Buwenge'!H34,'13.08 Jinja-Buwenge'!H34,'14.08 Jinja-Buwenge'!H34,'15.08 Jinja-Buwenge'!H34,'16.08 Jinja-Buwenge-24h'!H34,'17.08 Jinja-Buwenge-24h'!H34,'18.08 Jinja-Buwenge'!H34)</f>
        <v>0.42857142857142855</v>
      </c>
      <c r="I34" s="49">
        <f>AVERAGE('12.08 Jinja-Buwenge'!I34,'13.08 Jinja-Buwenge'!I34,'14.08 Jinja-Buwenge'!I34,'15.08 Jinja-Buwenge'!I34,'16.08 Jinja-Buwenge-24h'!I34,'17.08 Jinja-Buwenge-24h'!I34,'18.08 Jinja-Buwenge'!I34)</f>
        <v>3.7142857142857144</v>
      </c>
      <c r="J34" s="49">
        <f>AVERAGE('12.08 Jinja-Buwenge'!J34,'13.08 Jinja-Buwenge'!J34,'14.08 Jinja-Buwenge'!J34,'15.08 Jinja-Buwenge'!J34,'16.08 Jinja-Buwenge-24h'!J34,'17.08 Jinja-Buwenge-24h'!J34,'18.08 Jinja-Buwenge'!J34)</f>
        <v>0.5714285714285714</v>
      </c>
      <c r="K34" s="49">
        <f>AVERAGE('12.08 Jinja-Buwenge'!K34,'13.08 Jinja-Buwenge'!K34,'14.08 Jinja-Buwenge'!K34,'15.08 Jinja-Buwenge'!K34,'16.08 Jinja-Buwenge-24h'!K34,'17.08 Jinja-Buwenge-24h'!K34,'18.08 Jinja-Buwenge'!K34)</f>
        <v>0</v>
      </c>
      <c r="L34" s="49">
        <f>AVERAGE('12.08 Jinja-Buwenge'!L34,'13.08 Jinja-Buwenge'!L34,'14.08 Jinja-Buwenge'!L34,'15.08 Jinja-Buwenge'!L34,'16.08 Jinja-Buwenge-24h'!L34,'17.08 Jinja-Buwenge-24h'!L34,'18.08 Jinja-Buwenge'!L34)</f>
        <v>0</v>
      </c>
      <c r="M34" s="49">
        <f>AVERAGE('12.08 Jinja-Buwenge'!M34,'13.08 Jinja-Buwenge'!M34,'14.08 Jinja-Buwenge'!M34,'15.08 Jinja-Buwenge'!M34,'16.08 Jinja-Buwenge-24h'!M34,'17.08 Jinja-Buwenge-24h'!M34,'18.08 Jinja-Buwenge'!M34)</f>
        <v>38.428571428571431</v>
      </c>
      <c r="N34" s="49">
        <f>AVERAGE('12.08 Jinja-Buwenge'!N34,'13.08 Jinja-Buwenge'!N34,'14.08 Jinja-Buwenge'!N34,'15.08 Jinja-Buwenge'!N34,'16.08 Jinja-Buwenge-24h'!N34,'17.08 Jinja-Buwenge-24h'!N34,'18.08 Jinja-Buwenge'!N34)</f>
        <v>0</v>
      </c>
      <c r="O34" s="15">
        <f t="shared" si="0"/>
        <v>32</v>
      </c>
      <c r="P34" s="15">
        <f t="shared" si="1"/>
        <v>70.428571428571431</v>
      </c>
      <c r="R34" s="38" t="s">
        <v>90</v>
      </c>
      <c r="S34" s="39">
        <f t="shared" ref="S34:AF34" si="26">MAX(S10:S12)</f>
        <v>28.857142857142861</v>
      </c>
      <c r="T34" s="39">
        <f t="shared" si="26"/>
        <v>6.1428571428571423</v>
      </c>
      <c r="U34" s="39">
        <f t="shared" si="26"/>
        <v>20.428571428571431</v>
      </c>
      <c r="V34" s="39">
        <f t="shared" si="26"/>
        <v>47.142857142857139</v>
      </c>
      <c r="W34" s="39">
        <f t="shared" si="26"/>
        <v>13.714285714285715</v>
      </c>
      <c r="X34" s="39">
        <f t="shared" si="26"/>
        <v>0.14285714285714285</v>
      </c>
      <c r="Y34" s="39">
        <f t="shared" si="26"/>
        <v>11.857142857142858</v>
      </c>
      <c r="Z34" s="39">
        <f t="shared" si="26"/>
        <v>2.5714285714285712</v>
      </c>
      <c r="AA34" s="39">
        <f t="shared" si="26"/>
        <v>0</v>
      </c>
      <c r="AB34" s="39">
        <f t="shared" si="26"/>
        <v>0.14285714285714285</v>
      </c>
      <c r="AC34" s="39">
        <f t="shared" si="26"/>
        <v>150.42857142857144</v>
      </c>
      <c r="AD34" s="39">
        <f t="shared" si="26"/>
        <v>0</v>
      </c>
      <c r="AE34" s="40">
        <f t="shared" si="26"/>
        <v>119.57142857142858</v>
      </c>
      <c r="AF34" s="40">
        <f t="shared" si="26"/>
        <v>270</v>
      </c>
    </row>
    <row r="35" spans="2:32" ht="23.1" customHeight="1" x14ac:dyDescent="0.25">
      <c r="B35" s="24" t="s">
        <v>62</v>
      </c>
      <c r="C35" s="49">
        <f>AVERAGE('12.08 Jinja-Buwenge'!C35,'13.08 Jinja-Buwenge'!C35,'14.08 Jinja-Buwenge'!C35,'15.08 Jinja-Buwenge'!C35,'16.08 Jinja-Buwenge-24h'!C35,'17.08 Jinja-Buwenge-24h'!C35,'18.08 Jinja-Buwenge'!C35)</f>
        <v>10.571428571428571</v>
      </c>
      <c r="D35" s="49">
        <f>AVERAGE('12.08 Jinja-Buwenge'!D35,'13.08 Jinja-Buwenge'!D35,'14.08 Jinja-Buwenge'!D35,'15.08 Jinja-Buwenge'!D35,'16.08 Jinja-Buwenge-24h'!D35,'17.08 Jinja-Buwenge-24h'!D35,'18.08 Jinja-Buwenge'!D35)</f>
        <v>1</v>
      </c>
      <c r="E35" s="49">
        <f>AVERAGE('12.08 Jinja-Buwenge'!E35,'13.08 Jinja-Buwenge'!E35,'14.08 Jinja-Buwenge'!E35,'15.08 Jinja-Buwenge'!E35,'16.08 Jinja-Buwenge-24h'!E35,'17.08 Jinja-Buwenge-24h'!E35,'18.08 Jinja-Buwenge'!E35)</f>
        <v>3.7142857142857144</v>
      </c>
      <c r="F35" s="49">
        <f>AVERAGE('12.08 Jinja-Buwenge'!F35,'13.08 Jinja-Buwenge'!F35,'14.08 Jinja-Buwenge'!F35,'15.08 Jinja-Buwenge'!F35,'16.08 Jinja-Buwenge-24h'!F35,'17.08 Jinja-Buwenge-24h'!F35,'18.08 Jinja-Buwenge'!F35)</f>
        <v>14.142857142857142</v>
      </c>
      <c r="G35" s="49">
        <f>AVERAGE('12.08 Jinja-Buwenge'!G35,'13.08 Jinja-Buwenge'!G35,'14.08 Jinja-Buwenge'!G35,'15.08 Jinja-Buwenge'!G35,'16.08 Jinja-Buwenge-24h'!G35,'17.08 Jinja-Buwenge-24h'!G35,'18.08 Jinja-Buwenge'!G35)</f>
        <v>1.4285714285714286</v>
      </c>
      <c r="H35" s="49">
        <f>AVERAGE('12.08 Jinja-Buwenge'!H35,'13.08 Jinja-Buwenge'!H35,'14.08 Jinja-Buwenge'!H35,'15.08 Jinja-Buwenge'!H35,'16.08 Jinja-Buwenge-24h'!H35,'17.08 Jinja-Buwenge-24h'!H35,'18.08 Jinja-Buwenge'!H35)</f>
        <v>0.2857142857142857</v>
      </c>
      <c r="I35" s="49">
        <f>AVERAGE('12.08 Jinja-Buwenge'!I35,'13.08 Jinja-Buwenge'!I35,'14.08 Jinja-Buwenge'!I35,'15.08 Jinja-Buwenge'!I35,'16.08 Jinja-Buwenge-24h'!I35,'17.08 Jinja-Buwenge-24h'!I35,'18.08 Jinja-Buwenge'!I35)</f>
        <v>1.8571428571428572</v>
      </c>
      <c r="J35" s="49">
        <f>AVERAGE('12.08 Jinja-Buwenge'!J35,'13.08 Jinja-Buwenge'!J35,'14.08 Jinja-Buwenge'!J35,'15.08 Jinja-Buwenge'!J35,'16.08 Jinja-Buwenge-24h'!J35,'17.08 Jinja-Buwenge-24h'!J35,'18.08 Jinja-Buwenge'!J35)</f>
        <v>0.42857142857142855</v>
      </c>
      <c r="K35" s="49">
        <f>AVERAGE('12.08 Jinja-Buwenge'!K35,'13.08 Jinja-Buwenge'!K35,'14.08 Jinja-Buwenge'!K35,'15.08 Jinja-Buwenge'!K35,'16.08 Jinja-Buwenge-24h'!K35,'17.08 Jinja-Buwenge-24h'!K35,'18.08 Jinja-Buwenge'!K35)</f>
        <v>0</v>
      </c>
      <c r="L35" s="49">
        <f>AVERAGE('12.08 Jinja-Buwenge'!L35,'13.08 Jinja-Buwenge'!L35,'14.08 Jinja-Buwenge'!L35,'15.08 Jinja-Buwenge'!L35,'16.08 Jinja-Buwenge-24h'!L35,'17.08 Jinja-Buwenge-24h'!L35,'18.08 Jinja-Buwenge'!L35)</f>
        <v>0</v>
      </c>
      <c r="M35" s="49">
        <f>AVERAGE('12.08 Jinja-Buwenge'!M35,'13.08 Jinja-Buwenge'!M35,'14.08 Jinja-Buwenge'!M35,'15.08 Jinja-Buwenge'!M35,'16.08 Jinja-Buwenge-24h'!M35,'17.08 Jinja-Buwenge-24h'!M35,'18.08 Jinja-Buwenge'!M35)</f>
        <v>41.142857142857146</v>
      </c>
      <c r="N35" s="49">
        <f>AVERAGE('12.08 Jinja-Buwenge'!N35,'13.08 Jinja-Buwenge'!N35,'14.08 Jinja-Buwenge'!N35,'15.08 Jinja-Buwenge'!N35,'16.08 Jinja-Buwenge-24h'!N35,'17.08 Jinja-Buwenge-24h'!N35,'18.08 Jinja-Buwenge'!N35)</f>
        <v>0</v>
      </c>
      <c r="O35" s="15">
        <f t="shared" si="0"/>
        <v>33.428571428571423</v>
      </c>
      <c r="P35" s="15">
        <f t="shared" si="1"/>
        <v>74.571428571428569</v>
      </c>
      <c r="R35" s="38" t="s">
        <v>91</v>
      </c>
      <c r="S35" s="39">
        <f t="shared" ref="S35:AF35" si="27">MAX(S13:S18)</f>
        <v>35</v>
      </c>
      <c r="T35" s="39">
        <f t="shared" si="27"/>
        <v>6.2857142857142865</v>
      </c>
      <c r="U35" s="39">
        <f t="shared" si="27"/>
        <v>21.285714285714285</v>
      </c>
      <c r="V35" s="39">
        <f t="shared" si="27"/>
        <v>52.571428571428569</v>
      </c>
      <c r="W35" s="39">
        <f t="shared" si="27"/>
        <v>4.8571428571428577</v>
      </c>
      <c r="X35" s="39">
        <f t="shared" si="27"/>
        <v>1.4285714285714286</v>
      </c>
      <c r="Y35" s="39">
        <f t="shared" si="27"/>
        <v>13.428571428571427</v>
      </c>
      <c r="Z35" s="39">
        <f t="shared" si="27"/>
        <v>1.7142857142857144</v>
      </c>
      <c r="AA35" s="39">
        <f t="shared" si="27"/>
        <v>0.71428571428571419</v>
      </c>
      <c r="AB35" s="39">
        <f t="shared" si="27"/>
        <v>0.2857142857142857</v>
      </c>
      <c r="AC35" s="39">
        <f t="shared" si="27"/>
        <v>177</v>
      </c>
      <c r="AD35" s="39">
        <f t="shared" si="27"/>
        <v>0.2857142857142857</v>
      </c>
      <c r="AE35" s="40">
        <f t="shared" si="27"/>
        <v>129</v>
      </c>
      <c r="AF35" s="40">
        <f t="shared" si="27"/>
        <v>302.85714285714289</v>
      </c>
    </row>
    <row r="36" spans="2:32" ht="23.1" customHeight="1" x14ac:dyDescent="0.25">
      <c r="B36" s="24" t="s">
        <v>63</v>
      </c>
      <c r="C36" s="49">
        <f>AVERAGE('12.08 Jinja-Buwenge'!C36,'13.08 Jinja-Buwenge'!C36,'14.08 Jinja-Buwenge'!C36,'15.08 Jinja-Buwenge'!C36,'16.08 Jinja-Buwenge-24h'!C36,'17.08 Jinja-Buwenge-24h'!C36,'18.08 Jinja-Buwenge'!C36)</f>
        <v>8.7142857142857135</v>
      </c>
      <c r="D36" s="49">
        <f>AVERAGE('12.08 Jinja-Buwenge'!D36,'13.08 Jinja-Buwenge'!D36,'14.08 Jinja-Buwenge'!D36,'15.08 Jinja-Buwenge'!D36,'16.08 Jinja-Buwenge-24h'!D36,'17.08 Jinja-Buwenge-24h'!D36,'18.08 Jinja-Buwenge'!D36)</f>
        <v>0.5714285714285714</v>
      </c>
      <c r="E36" s="49">
        <f>AVERAGE('12.08 Jinja-Buwenge'!E36,'13.08 Jinja-Buwenge'!E36,'14.08 Jinja-Buwenge'!E36,'15.08 Jinja-Buwenge'!E36,'16.08 Jinja-Buwenge-24h'!E36,'17.08 Jinja-Buwenge-24h'!E36,'18.08 Jinja-Buwenge'!E36)</f>
        <v>3</v>
      </c>
      <c r="F36" s="49">
        <f>AVERAGE('12.08 Jinja-Buwenge'!F36,'13.08 Jinja-Buwenge'!F36,'14.08 Jinja-Buwenge'!F36,'15.08 Jinja-Buwenge'!F36,'16.08 Jinja-Buwenge-24h'!F36,'17.08 Jinja-Buwenge-24h'!F36,'18.08 Jinja-Buwenge'!F36)</f>
        <v>13.142857142857142</v>
      </c>
      <c r="G36" s="49">
        <f>AVERAGE('12.08 Jinja-Buwenge'!G36,'13.08 Jinja-Buwenge'!G36,'14.08 Jinja-Buwenge'!G36,'15.08 Jinja-Buwenge'!G36,'16.08 Jinja-Buwenge-24h'!G36,'17.08 Jinja-Buwenge-24h'!G36,'18.08 Jinja-Buwenge'!G36)</f>
        <v>0.7142857142857143</v>
      </c>
      <c r="H36" s="49">
        <f>AVERAGE('12.08 Jinja-Buwenge'!H36,'13.08 Jinja-Buwenge'!H36,'14.08 Jinja-Buwenge'!H36,'15.08 Jinja-Buwenge'!H36,'16.08 Jinja-Buwenge-24h'!H36,'17.08 Jinja-Buwenge-24h'!H36,'18.08 Jinja-Buwenge'!H36)</f>
        <v>0</v>
      </c>
      <c r="I36" s="49">
        <f>AVERAGE('12.08 Jinja-Buwenge'!I36,'13.08 Jinja-Buwenge'!I36,'14.08 Jinja-Buwenge'!I36,'15.08 Jinja-Buwenge'!I36,'16.08 Jinja-Buwenge-24h'!I36,'17.08 Jinja-Buwenge-24h'!I36,'18.08 Jinja-Buwenge'!I36)</f>
        <v>2.8571428571428572</v>
      </c>
      <c r="J36" s="49">
        <f>AVERAGE('12.08 Jinja-Buwenge'!J36,'13.08 Jinja-Buwenge'!J36,'14.08 Jinja-Buwenge'!J36,'15.08 Jinja-Buwenge'!J36,'16.08 Jinja-Buwenge-24h'!J36,'17.08 Jinja-Buwenge-24h'!J36,'18.08 Jinja-Buwenge'!J36)</f>
        <v>0.42857142857142855</v>
      </c>
      <c r="K36" s="49">
        <f>AVERAGE('12.08 Jinja-Buwenge'!K36,'13.08 Jinja-Buwenge'!K36,'14.08 Jinja-Buwenge'!K36,'15.08 Jinja-Buwenge'!K36,'16.08 Jinja-Buwenge-24h'!K36,'17.08 Jinja-Buwenge-24h'!K36,'18.08 Jinja-Buwenge'!K36)</f>
        <v>0.14285714285714285</v>
      </c>
      <c r="L36" s="49">
        <f>AVERAGE('12.08 Jinja-Buwenge'!L36,'13.08 Jinja-Buwenge'!L36,'14.08 Jinja-Buwenge'!L36,'15.08 Jinja-Buwenge'!L36,'16.08 Jinja-Buwenge-24h'!L36,'17.08 Jinja-Buwenge-24h'!L36,'18.08 Jinja-Buwenge'!L36)</f>
        <v>0</v>
      </c>
      <c r="M36" s="49">
        <f>AVERAGE('12.08 Jinja-Buwenge'!M36,'13.08 Jinja-Buwenge'!M36,'14.08 Jinja-Buwenge'!M36,'15.08 Jinja-Buwenge'!M36,'16.08 Jinja-Buwenge-24h'!M36,'17.08 Jinja-Buwenge-24h'!M36,'18.08 Jinja-Buwenge'!M36)</f>
        <v>41.857142857142854</v>
      </c>
      <c r="N36" s="49">
        <f>AVERAGE('12.08 Jinja-Buwenge'!N36,'13.08 Jinja-Buwenge'!N36,'14.08 Jinja-Buwenge'!N36,'15.08 Jinja-Buwenge'!N36,'16.08 Jinja-Buwenge-24h'!N36,'17.08 Jinja-Buwenge-24h'!N36,'18.08 Jinja-Buwenge'!N36)</f>
        <v>0</v>
      </c>
      <c r="O36" s="15">
        <f t="shared" si="0"/>
        <v>29.571428571428569</v>
      </c>
      <c r="P36" s="15">
        <f t="shared" si="1"/>
        <v>71.428571428571416</v>
      </c>
      <c r="R36" s="38" t="s">
        <v>92</v>
      </c>
      <c r="S36" s="39">
        <f t="shared" ref="S36:AF36" si="28">MAX(S19:S21)</f>
        <v>26.428571428571431</v>
      </c>
      <c r="T36" s="39">
        <f t="shared" si="28"/>
        <v>3.2857142857142856</v>
      </c>
      <c r="U36" s="39">
        <f t="shared" si="28"/>
        <v>15.285714285714286</v>
      </c>
      <c r="V36" s="39">
        <f t="shared" si="28"/>
        <v>44.142857142857139</v>
      </c>
      <c r="W36" s="39">
        <f t="shared" si="28"/>
        <v>11</v>
      </c>
      <c r="X36" s="39">
        <f t="shared" si="28"/>
        <v>0.5714285714285714</v>
      </c>
      <c r="Y36" s="39">
        <f t="shared" si="28"/>
        <v>13.285714285714286</v>
      </c>
      <c r="Z36" s="39">
        <f t="shared" si="28"/>
        <v>1</v>
      </c>
      <c r="AA36" s="39">
        <f t="shared" si="28"/>
        <v>0.2857142857142857</v>
      </c>
      <c r="AB36" s="39">
        <f t="shared" si="28"/>
        <v>0.2857142857142857</v>
      </c>
      <c r="AC36" s="39">
        <f t="shared" si="28"/>
        <v>179.71428571428572</v>
      </c>
      <c r="AD36" s="39">
        <f t="shared" si="28"/>
        <v>0</v>
      </c>
      <c r="AE36" s="40">
        <f t="shared" si="28"/>
        <v>109.28571428571428</v>
      </c>
      <c r="AF36" s="40">
        <f t="shared" si="28"/>
        <v>289</v>
      </c>
    </row>
    <row r="37" spans="2:32" ht="23.1" customHeight="1" x14ac:dyDescent="0.25">
      <c r="B37" s="23" t="s">
        <v>64</v>
      </c>
      <c r="C37" s="49">
        <f>AVERAGE('12.08 Jinja-Buwenge'!C37,'13.08 Jinja-Buwenge'!C37,'14.08 Jinja-Buwenge'!C37,'15.08 Jinja-Buwenge'!C37,'16.08 Jinja-Buwenge-24h'!C37,'17.08 Jinja-Buwenge-24h'!C37,'18.08 Jinja-Buwenge'!C37)</f>
        <v>8.1428571428571423</v>
      </c>
      <c r="D37" s="49">
        <f>AVERAGE('12.08 Jinja-Buwenge'!D37,'13.08 Jinja-Buwenge'!D37,'14.08 Jinja-Buwenge'!D37,'15.08 Jinja-Buwenge'!D37,'16.08 Jinja-Buwenge-24h'!D37,'17.08 Jinja-Buwenge-24h'!D37,'18.08 Jinja-Buwenge'!D37)</f>
        <v>1</v>
      </c>
      <c r="E37" s="49">
        <f>AVERAGE('12.08 Jinja-Buwenge'!E37,'13.08 Jinja-Buwenge'!E37,'14.08 Jinja-Buwenge'!E37,'15.08 Jinja-Buwenge'!E37,'16.08 Jinja-Buwenge-24h'!E37,'17.08 Jinja-Buwenge-24h'!E37,'18.08 Jinja-Buwenge'!E37)</f>
        <v>4</v>
      </c>
      <c r="F37" s="49">
        <f>AVERAGE('12.08 Jinja-Buwenge'!F37,'13.08 Jinja-Buwenge'!F37,'14.08 Jinja-Buwenge'!F37,'15.08 Jinja-Buwenge'!F37,'16.08 Jinja-Buwenge-24h'!F37,'17.08 Jinja-Buwenge-24h'!F37,'18.08 Jinja-Buwenge'!F37)</f>
        <v>12.571428571428571</v>
      </c>
      <c r="G37" s="49">
        <f>AVERAGE('12.08 Jinja-Buwenge'!G37,'13.08 Jinja-Buwenge'!G37,'14.08 Jinja-Buwenge'!G37,'15.08 Jinja-Buwenge'!G37,'16.08 Jinja-Buwenge-24h'!G37,'17.08 Jinja-Buwenge-24h'!G37,'18.08 Jinja-Buwenge'!G37)</f>
        <v>1.8571428571428572</v>
      </c>
      <c r="H37" s="49">
        <f>AVERAGE('12.08 Jinja-Buwenge'!H37,'13.08 Jinja-Buwenge'!H37,'14.08 Jinja-Buwenge'!H37,'15.08 Jinja-Buwenge'!H37,'16.08 Jinja-Buwenge-24h'!H37,'17.08 Jinja-Buwenge-24h'!H37,'18.08 Jinja-Buwenge'!H37)</f>
        <v>0.14285714285714285</v>
      </c>
      <c r="I37" s="49">
        <f>AVERAGE('12.08 Jinja-Buwenge'!I37,'13.08 Jinja-Buwenge'!I37,'14.08 Jinja-Buwenge'!I37,'15.08 Jinja-Buwenge'!I37,'16.08 Jinja-Buwenge-24h'!I37,'17.08 Jinja-Buwenge-24h'!I37,'18.08 Jinja-Buwenge'!I37)</f>
        <v>2.8571428571428572</v>
      </c>
      <c r="J37" s="49">
        <f>AVERAGE('12.08 Jinja-Buwenge'!J37,'13.08 Jinja-Buwenge'!J37,'14.08 Jinja-Buwenge'!J37,'15.08 Jinja-Buwenge'!J37,'16.08 Jinja-Buwenge-24h'!J37,'17.08 Jinja-Buwenge-24h'!J37,'18.08 Jinja-Buwenge'!J37)</f>
        <v>0.2857142857142857</v>
      </c>
      <c r="K37" s="49">
        <f>AVERAGE('12.08 Jinja-Buwenge'!K37,'13.08 Jinja-Buwenge'!K37,'14.08 Jinja-Buwenge'!K37,'15.08 Jinja-Buwenge'!K37,'16.08 Jinja-Buwenge-24h'!K37,'17.08 Jinja-Buwenge-24h'!K37,'18.08 Jinja-Buwenge'!K37)</f>
        <v>0.2857142857142857</v>
      </c>
      <c r="L37" s="49">
        <f>AVERAGE('12.08 Jinja-Buwenge'!L37,'13.08 Jinja-Buwenge'!L37,'14.08 Jinja-Buwenge'!L37,'15.08 Jinja-Buwenge'!L37,'16.08 Jinja-Buwenge-24h'!L37,'17.08 Jinja-Buwenge-24h'!L37,'18.08 Jinja-Buwenge'!L37)</f>
        <v>0</v>
      </c>
      <c r="M37" s="49">
        <f>AVERAGE('12.08 Jinja-Buwenge'!M37,'13.08 Jinja-Buwenge'!M37,'14.08 Jinja-Buwenge'!M37,'15.08 Jinja-Buwenge'!M37,'16.08 Jinja-Buwenge-24h'!M37,'17.08 Jinja-Buwenge-24h'!M37,'18.08 Jinja-Buwenge'!M37)</f>
        <v>43</v>
      </c>
      <c r="N37" s="49">
        <f>AVERAGE('12.08 Jinja-Buwenge'!N37,'13.08 Jinja-Buwenge'!N37,'14.08 Jinja-Buwenge'!N37,'15.08 Jinja-Buwenge'!N37,'16.08 Jinja-Buwenge-24h'!N37,'17.08 Jinja-Buwenge-24h'!N37,'18.08 Jinja-Buwenge'!N37)</f>
        <v>0</v>
      </c>
      <c r="O37" s="15">
        <f t="shared" si="0"/>
        <v>31.142857142857142</v>
      </c>
      <c r="P37" s="15">
        <f t="shared" si="1"/>
        <v>74.142857142857139</v>
      </c>
      <c r="R37" s="37" t="s">
        <v>85</v>
      </c>
      <c r="S37" s="35">
        <f t="shared" ref="S37:AF37" si="29">SUM(S10:S12)</f>
        <v>63.428571428571431</v>
      </c>
      <c r="T37" s="16">
        <f t="shared" si="29"/>
        <v>10.285714285714285</v>
      </c>
      <c r="U37" s="16">
        <f t="shared" si="29"/>
        <v>41</v>
      </c>
      <c r="V37" s="16">
        <f t="shared" si="29"/>
        <v>106.42857142857142</v>
      </c>
      <c r="W37" s="16">
        <f t="shared" si="29"/>
        <v>27.857142857142858</v>
      </c>
      <c r="X37" s="16">
        <f t="shared" si="29"/>
        <v>0.14285714285714285</v>
      </c>
      <c r="Y37" s="16">
        <f t="shared" si="29"/>
        <v>28.285714285714288</v>
      </c>
      <c r="Z37" s="16">
        <f t="shared" si="29"/>
        <v>4.8571428571428568</v>
      </c>
      <c r="AA37" s="16">
        <f t="shared" si="29"/>
        <v>0</v>
      </c>
      <c r="AB37" s="16">
        <f t="shared" si="29"/>
        <v>0.2857142857142857</v>
      </c>
      <c r="AC37" s="16">
        <f t="shared" si="29"/>
        <v>341.57142857142861</v>
      </c>
      <c r="AD37" s="16">
        <f t="shared" si="29"/>
        <v>0</v>
      </c>
      <c r="AE37" s="32">
        <f t="shared" si="29"/>
        <v>282.57142857142856</v>
      </c>
      <c r="AF37" s="32">
        <f t="shared" si="29"/>
        <v>624.14285714285711</v>
      </c>
    </row>
    <row r="38" spans="2:32" ht="23.1" customHeight="1" x14ac:dyDescent="0.25">
      <c r="B38" s="24" t="s">
        <v>65</v>
      </c>
      <c r="C38" s="49">
        <f>AVERAGE('12.08 Jinja-Buwenge'!C38,'13.08 Jinja-Buwenge'!C38,'14.08 Jinja-Buwenge'!C38,'15.08 Jinja-Buwenge'!C38,'16.08 Jinja-Buwenge-24h'!C38,'17.08 Jinja-Buwenge-24h'!C38,'18.08 Jinja-Buwenge'!C38)</f>
        <v>8.4285714285714288</v>
      </c>
      <c r="D38" s="49">
        <f>AVERAGE('12.08 Jinja-Buwenge'!D38,'13.08 Jinja-Buwenge'!D38,'14.08 Jinja-Buwenge'!D38,'15.08 Jinja-Buwenge'!D38,'16.08 Jinja-Buwenge-24h'!D38,'17.08 Jinja-Buwenge-24h'!D38,'18.08 Jinja-Buwenge'!D38)</f>
        <v>0.7142857142857143</v>
      </c>
      <c r="E38" s="49">
        <f>AVERAGE('12.08 Jinja-Buwenge'!E38,'13.08 Jinja-Buwenge'!E38,'14.08 Jinja-Buwenge'!E38,'15.08 Jinja-Buwenge'!E38,'16.08 Jinja-Buwenge-24h'!E38,'17.08 Jinja-Buwenge-24h'!E38,'18.08 Jinja-Buwenge'!E38)</f>
        <v>3.8571428571428572</v>
      </c>
      <c r="F38" s="49">
        <f>AVERAGE('12.08 Jinja-Buwenge'!F38,'13.08 Jinja-Buwenge'!F38,'14.08 Jinja-Buwenge'!F38,'15.08 Jinja-Buwenge'!F38,'16.08 Jinja-Buwenge-24h'!F38,'17.08 Jinja-Buwenge-24h'!F38,'18.08 Jinja-Buwenge'!F38)</f>
        <v>11.428571428571429</v>
      </c>
      <c r="G38" s="49">
        <f>AVERAGE('12.08 Jinja-Buwenge'!G38,'13.08 Jinja-Buwenge'!G38,'14.08 Jinja-Buwenge'!G38,'15.08 Jinja-Buwenge'!G38,'16.08 Jinja-Buwenge-24h'!G38,'17.08 Jinja-Buwenge-24h'!G38,'18.08 Jinja-Buwenge'!G38)</f>
        <v>1.4285714285714286</v>
      </c>
      <c r="H38" s="49">
        <f>AVERAGE('12.08 Jinja-Buwenge'!H38,'13.08 Jinja-Buwenge'!H38,'14.08 Jinja-Buwenge'!H38,'15.08 Jinja-Buwenge'!H38,'16.08 Jinja-Buwenge-24h'!H38,'17.08 Jinja-Buwenge-24h'!H38,'18.08 Jinja-Buwenge'!H38)</f>
        <v>0.14285714285714285</v>
      </c>
      <c r="I38" s="49">
        <f>AVERAGE('12.08 Jinja-Buwenge'!I38,'13.08 Jinja-Buwenge'!I38,'14.08 Jinja-Buwenge'!I38,'15.08 Jinja-Buwenge'!I38,'16.08 Jinja-Buwenge-24h'!I38,'17.08 Jinja-Buwenge-24h'!I38,'18.08 Jinja-Buwenge'!I38)</f>
        <v>4</v>
      </c>
      <c r="J38" s="49">
        <f>AVERAGE('12.08 Jinja-Buwenge'!J38,'13.08 Jinja-Buwenge'!J38,'14.08 Jinja-Buwenge'!J38,'15.08 Jinja-Buwenge'!J38,'16.08 Jinja-Buwenge-24h'!J38,'17.08 Jinja-Buwenge-24h'!J38,'18.08 Jinja-Buwenge'!J38)</f>
        <v>0</v>
      </c>
      <c r="K38" s="49">
        <f>AVERAGE('12.08 Jinja-Buwenge'!K38,'13.08 Jinja-Buwenge'!K38,'14.08 Jinja-Buwenge'!K38,'15.08 Jinja-Buwenge'!K38,'16.08 Jinja-Buwenge-24h'!K38,'17.08 Jinja-Buwenge-24h'!K38,'18.08 Jinja-Buwenge'!K38)</f>
        <v>0.42857142857142855</v>
      </c>
      <c r="L38" s="49">
        <f>AVERAGE('12.08 Jinja-Buwenge'!L38,'13.08 Jinja-Buwenge'!L38,'14.08 Jinja-Buwenge'!L38,'15.08 Jinja-Buwenge'!L38,'16.08 Jinja-Buwenge-24h'!L38,'17.08 Jinja-Buwenge-24h'!L38,'18.08 Jinja-Buwenge'!L38)</f>
        <v>0.14285714285714285</v>
      </c>
      <c r="M38" s="49">
        <f>AVERAGE('12.08 Jinja-Buwenge'!M38,'13.08 Jinja-Buwenge'!M38,'14.08 Jinja-Buwenge'!M38,'15.08 Jinja-Buwenge'!M38,'16.08 Jinja-Buwenge-24h'!M38,'17.08 Jinja-Buwenge-24h'!M38,'18.08 Jinja-Buwenge'!M38)</f>
        <v>46.571428571428569</v>
      </c>
      <c r="N38" s="49">
        <f>AVERAGE('12.08 Jinja-Buwenge'!N38,'13.08 Jinja-Buwenge'!N38,'14.08 Jinja-Buwenge'!N38,'15.08 Jinja-Buwenge'!N38,'16.08 Jinja-Buwenge-24h'!N38,'17.08 Jinja-Buwenge-24h'!N38,'18.08 Jinja-Buwenge'!N38)</f>
        <v>0</v>
      </c>
      <c r="O38" s="15">
        <f t="shared" si="0"/>
        <v>30.571428571428569</v>
      </c>
      <c r="P38" s="15">
        <f t="shared" si="1"/>
        <v>77.142857142857139</v>
      </c>
      <c r="R38" s="28" t="s">
        <v>86</v>
      </c>
      <c r="S38" s="16">
        <f t="shared" ref="S38:AF38" si="30">SUM(S13:S18)</f>
        <v>190.42857142857144</v>
      </c>
      <c r="T38" s="16">
        <f t="shared" si="30"/>
        <v>30.142857142857142</v>
      </c>
      <c r="U38" s="16">
        <f t="shared" si="30"/>
        <v>109.28571428571428</v>
      </c>
      <c r="V38" s="16">
        <f t="shared" si="30"/>
        <v>289.85714285714283</v>
      </c>
      <c r="W38" s="16">
        <f t="shared" si="30"/>
        <v>20.714285714285712</v>
      </c>
      <c r="X38" s="16">
        <f t="shared" si="30"/>
        <v>3</v>
      </c>
      <c r="Y38" s="16">
        <f t="shared" si="30"/>
        <v>73.571428571428569</v>
      </c>
      <c r="Z38" s="16">
        <f t="shared" si="30"/>
        <v>7.1428571428571423</v>
      </c>
      <c r="AA38" s="16">
        <f t="shared" si="30"/>
        <v>2.2857142857142856</v>
      </c>
      <c r="AB38" s="16">
        <f t="shared" si="30"/>
        <v>0.5714285714285714</v>
      </c>
      <c r="AC38" s="16">
        <f t="shared" si="30"/>
        <v>971.00000000000011</v>
      </c>
      <c r="AD38" s="16">
        <f t="shared" si="30"/>
        <v>0.42857142857142855</v>
      </c>
      <c r="AE38" s="32">
        <f t="shared" si="30"/>
        <v>727.42857142857133</v>
      </c>
      <c r="AF38" s="32">
        <f t="shared" si="30"/>
        <v>1698.4285714285713</v>
      </c>
    </row>
    <row r="39" spans="2:32" ht="23.1" customHeight="1" x14ac:dyDescent="0.25">
      <c r="B39" s="24" t="s">
        <v>66</v>
      </c>
      <c r="C39" s="49">
        <f>AVERAGE('12.08 Jinja-Buwenge'!C39,'13.08 Jinja-Buwenge'!C39,'14.08 Jinja-Buwenge'!C39,'15.08 Jinja-Buwenge'!C39,'16.08 Jinja-Buwenge-24h'!C39,'17.08 Jinja-Buwenge-24h'!C39,'18.08 Jinja-Buwenge'!C39)</f>
        <v>9.1428571428571423</v>
      </c>
      <c r="D39" s="49">
        <f>AVERAGE('12.08 Jinja-Buwenge'!D39,'13.08 Jinja-Buwenge'!D39,'14.08 Jinja-Buwenge'!D39,'15.08 Jinja-Buwenge'!D39,'16.08 Jinja-Buwenge-24h'!D39,'17.08 Jinja-Buwenge-24h'!D39,'18.08 Jinja-Buwenge'!D39)</f>
        <v>1.5714285714285714</v>
      </c>
      <c r="E39" s="49">
        <f>AVERAGE('12.08 Jinja-Buwenge'!E39,'13.08 Jinja-Buwenge'!E39,'14.08 Jinja-Buwenge'!E39,'15.08 Jinja-Buwenge'!E39,'16.08 Jinja-Buwenge-24h'!E39,'17.08 Jinja-Buwenge-24h'!E39,'18.08 Jinja-Buwenge'!E39)</f>
        <v>5</v>
      </c>
      <c r="F39" s="49">
        <f>AVERAGE('12.08 Jinja-Buwenge'!F39,'13.08 Jinja-Buwenge'!F39,'14.08 Jinja-Buwenge'!F39,'15.08 Jinja-Buwenge'!F39,'16.08 Jinja-Buwenge-24h'!F39,'17.08 Jinja-Buwenge-24h'!F39,'18.08 Jinja-Buwenge'!F39)</f>
        <v>11.142857142857142</v>
      </c>
      <c r="G39" s="49">
        <f>AVERAGE('12.08 Jinja-Buwenge'!G39,'13.08 Jinja-Buwenge'!G39,'14.08 Jinja-Buwenge'!G39,'15.08 Jinja-Buwenge'!G39,'16.08 Jinja-Buwenge-24h'!G39,'17.08 Jinja-Buwenge-24h'!G39,'18.08 Jinja-Buwenge'!G39)</f>
        <v>0.7142857142857143</v>
      </c>
      <c r="H39" s="49">
        <f>AVERAGE('12.08 Jinja-Buwenge'!H39,'13.08 Jinja-Buwenge'!H39,'14.08 Jinja-Buwenge'!H39,'15.08 Jinja-Buwenge'!H39,'16.08 Jinja-Buwenge-24h'!H39,'17.08 Jinja-Buwenge-24h'!H39,'18.08 Jinja-Buwenge'!H39)</f>
        <v>0.2857142857142857</v>
      </c>
      <c r="I39" s="49">
        <f>AVERAGE('12.08 Jinja-Buwenge'!I39,'13.08 Jinja-Buwenge'!I39,'14.08 Jinja-Buwenge'!I39,'15.08 Jinja-Buwenge'!I39,'16.08 Jinja-Buwenge-24h'!I39,'17.08 Jinja-Buwenge-24h'!I39,'18.08 Jinja-Buwenge'!I39)</f>
        <v>2.7142857142857144</v>
      </c>
      <c r="J39" s="49">
        <f>AVERAGE('12.08 Jinja-Buwenge'!J39,'13.08 Jinja-Buwenge'!J39,'14.08 Jinja-Buwenge'!J39,'15.08 Jinja-Buwenge'!J39,'16.08 Jinja-Buwenge-24h'!J39,'17.08 Jinja-Buwenge-24h'!J39,'18.08 Jinja-Buwenge'!J39)</f>
        <v>0.8571428571428571</v>
      </c>
      <c r="K39" s="49">
        <f>AVERAGE('12.08 Jinja-Buwenge'!K39,'13.08 Jinja-Buwenge'!K39,'14.08 Jinja-Buwenge'!K39,'15.08 Jinja-Buwenge'!K39,'16.08 Jinja-Buwenge-24h'!K39,'17.08 Jinja-Buwenge-24h'!K39,'18.08 Jinja-Buwenge'!K39)</f>
        <v>0.14285714285714285</v>
      </c>
      <c r="L39" s="49">
        <f>AVERAGE('12.08 Jinja-Buwenge'!L39,'13.08 Jinja-Buwenge'!L39,'14.08 Jinja-Buwenge'!L39,'15.08 Jinja-Buwenge'!L39,'16.08 Jinja-Buwenge-24h'!L39,'17.08 Jinja-Buwenge-24h'!L39,'18.08 Jinja-Buwenge'!L39)</f>
        <v>0</v>
      </c>
      <c r="M39" s="49">
        <f>AVERAGE('12.08 Jinja-Buwenge'!M39,'13.08 Jinja-Buwenge'!M39,'14.08 Jinja-Buwenge'!M39,'15.08 Jinja-Buwenge'!M39,'16.08 Jinja-Buwenge-24h'!M39,'17.08 Jinja-Buwenge-24h'!M39,'18.08 Jinja-Buwenge'!M39)</f>
        <v>41.857142857142854</v>
      </c>
      <c r="N39" s="49">
        <f>AVERAGE('12.08 Jinja-Buwenge'!N39,'13.08 Jinja-Buwenge'!N39,'14.08 Jinja-Buwenge'!N39,'15.08 Jinja-Buwenge'!N39,'16.08 Jinja-Buwenge-24h'!N39,'17.08 Jinja-Buwenge-24h'!N39,'18.08 Jinja-Buwenge'!N39)</f>
        <v>0</v>
      </c>
      <c r="O39" s="15">
        <f t="shared" si="0"/>
        <v>31.571428571428569</v>
      </c>
      <c r="P39" s="15">
        <f t="shared" si="1"/>
        <v>73.428571428571416</v>
      </c>
      <c r="R39" s="29" t="s">
        <v>87</v>
      </c>
      <c r="S39" s="16">
        <f t="shared" ref="S39:AF39" si="31">SUM(S19:S21)</f>
        <v>78.714285714285722</v>
      </c>
      <c r="T39" s="16">
        <f t="shared" si="31"/>
        <v>7.8571428571428568</v>
      </c>
      <c r="U39" s="16">
        <f t="shared" si="31"/>
        <v>40.142857142857146</v>
      </c>
      <c r="V39" s="16">
        <f t="shared" si="31"/>
        <v>128.14285714285714</v>
      </c>
      <c r="W39" s="16">
        <f t="shared" si="31"/>
        <v>18.571428571428569</v>
      </c>
      <c r="X39" s="16">
        <f t="shared" si="31"/>
        <v>1.1428571428571428</v>
      </c>
      <c r="Y39" s="16">
        <f t="shared" si="31"/>
        <v>35.714285714285708</v>
      </c>
      <c r="Z39" s="16">
        <f t="shared" si="31"/>
        <v>2.2857142857142856</v>
      </c>
      <c r="AA39" s="16">
        <f t="shared" si="31"/>
        <v>0.42857142857142855</v>
      </c>
      <c r="AB39" s="16">
        <f t="shared" si="31"/>
        <v>0.71428571428571419</v>
      </c>
      <c r="AC39" s="16">
        <f t="shared" si="31"/>
        <v>495.71428571428572</v>
      </c>
      <c r="AD39" s="16">
        <f t="shared" si="31"/>
        <v>0</v>
      </c>
      <c r="AE39" s="32">
        <f t="shared" si="31"/>
        <v>313.71428571428567</v>
      </c>
      <c r="AF39" s="32">
        <f t="shared" si="31"/>
        <v>809.42857142857156</v>
      </c>
    </row>
    <row r="40" spans="2:32" ht="23.1" customHeight="1" x14ac:dyDescent="0.25">
      <c r="B40" s="24" t="s">
        <v>67</v>
      </c>
      <c r="C40" s="49">
        <f>AVERAGE('12.08 Jinja-Buwenge'!C40,'13.08 Jinja-Buwenge'!C40,'14.08 Jinja-Buwenge'!C40,'15.08 Jinja-Buwenge'!C40,'16.08 Jinja-Buwenge-24h'!C40,'17.08 Jinja-Buwenge-24h'!C40,'18.08 Jinja-Buwenge'!C40)</f>
        <v>6.5714285714285712</v>
      </c>
      <c r="D40" s="49">
        <f>AVERAGE('12.08 Jinja-Buwenge'!D40,'13.08 Jinja-Buwenge'!D40,'14.08 Jinja-Buwenge'!D40,'15.08 Jinja-Buwenge'!D40,'16.08 Jinja-Buwenge-24h'!D40,'17.08 Jinja-Buwenge-24h'!D40,'18.08 Jinja-Buwenge'!D40)</f>
        <v>0.8571428571428571</v>
      </c>
      <c r="E40" s="49">
        <f>AVERAGE('12.08 Jinja-Buwenge'!E40,'13.08 Jinja-Buwenge'!E40,'14.08 Jinja-Buwenge'!E40,'15.08 Jinja-Buwenge'!E40,'16.08 Jinja-Buwenge-24h'!E40,'17.08 Jinja-Buwenge-24h'!E40,'18.08 Jinja-Buwenge'!E40)</f>
        <v>4.2857142857142856</v>
      </c>
      <c r="F40" s="49">
        <f>AVERAGE('12.08 Jinja-Buwenge'!F40,'13.08 Jinja-Buwenge'!F40,'14.08 Jinja-Buwenge'!F40,'15.08 Jinja-Buwenge'!F40,'16.08 Jinja-Buwenge-24h'!F40,'17.08 Jinja-Buwenge-24h'!F40,'18.08 Jinja-Buwenge'!F40)</f>
        <v>11</v>
      </c>
      <c r="G40" s="49">
        <f>AVERAGE('12.08 Jinja-Buwenge'!G40,'13.08 Jinja-Buwenge'!G40,'14.08 Jinja-Buwenge'!G40,'15.08 Jinja-Buwenge'!G40,'16.08 Jinja-Buwenge-24h'!G40,'17.08 Jinja-Buwenge-24h'!G40,'18.08 Jinja-Buwenge'!G40)</f>
        <v>1</v>
      </c>
      <c r="H40" s="49">
        <f>AVERAGE('12.08 Jinja-Buwenge'!H40,'13.08 Jinja-Buwenge'!H40,'14.08 Jinja-Buwenge'!H40,'15.08 Jinja-Buwenge'!H40,'16.08 Jinja-Buwenge-24h'!H40,'17.08 Jinja-Buwenge-24h'!H40,'18.08 Jinja-Buwenge'!H40)</f>
        <v>0.5714285714285714</v>
      </c>
      <c r="I40" s="49">
        <f>AVERAGE('12.08 Jinja-Buwenge'!I40,'13.08 Jinja-Buwenge'!I40,'14.08 Jinja-Buwenge'!I40,'15.08 Jinja-Buwenge'!I40,'16.08 Jinja-Buwenge-24h'!I40,'17.08 Jinja-Buwenge-24h'!I40,'18.08 Jinja-Buwenge'!I40)</f>
        <v>3.5714285714285716</v>
      </c>
      <c r="J40" s="49">
        <f>AVERAGE('12.08 Jinja-Buwenge'!J40,'13.08 Jinja-Buwenge'!J40,'14.08 Jinja-Buwenge'!J40,'15.08 Jinja-Buwenge'!J40,'16.08 Jinja-Buwenge-24h'!J40,'17.08 Jinja-Buwenge-24h'!J40,'18.08 Jinja-Buwenge'!J40)</f>
        <v>0.2857142857142857</v>
      </c>
      <c r="K40" s="49">
        <f>AVERAGE('12.08 Jinja-Buwenge'!K40,'13.08 Jinja-Buwenge'!K40,'14.08 Jinja-Buwenge'!K40,'15.08 Jinja-Buwenge'!K40,'16.08 Jinja-Buwenge-24h'!K40,'17.08 Jinja-Buwenge-24h'!K40,'18.08 Jinja-Buwenge'!K40)</f>
        <v>0</v>
      </c>
      <c r="L40" s="49">
        <f>AVERAGE('12.08 Jinja-Buwenge'!L40,'13.08 Jinja-Buwenge'!L40,'14.08 Jinja-Buwenge'!L40,'15.08 Jinja-Buwenge'!L40,'16.08 Jinja-Buwenge-24h'!L40,'17.08 Jinja-Buwenge-24h'!L40,'18.08 Jinja-Buwenge'!L40)</f>
        <v>0.14285714285714285</v>
      </c>
      <c r="M40" s="49">
        <f>AVERAGE('12.08 Jinja-Buwenge'!M40,'13.08 Jinja-Buwenge'!M40,'14.08 Jinja-Buwenge'!M40,'15.08 Jinja-Buwenge'!M40,'16.08 Jinja-Buwenge-24h'!M40,'17.08 Jinja-Buwenge-24h'!M40,'18.08 Jinja-Buwenge'!M40)</f>
        <v>46.571428571428569</v>
      </c>
      <c r="N40" s="49">
        <f>AVERAGE('12.08 Jinja-Buwenge'!N40,'13.08 Jinja-Buwenge'!N40,'14.08 Jinja-Buwenge'!N40,'15.08 Jinja-Buwenge'!N40,'16.08 Jinja-Buwenge-24h'!N40,'17.08 Jinja-Buwenge-24h'!N40,'18.08 Jinja-Buwenge'!N40)</f>
        <v>0</v>
      </c>
      <c r="O40" s="15">
        <f t="shared" si="0"/>
        <v>28.285714285714288</v>
      </c>
      <c r="P40" s="15">
        <f t="shared" si="1"/>
        <v>74.857142857142861</v>
      </c>
      <c r="R40" s="5" t="s">
        <v>17</v>
      </c>
      <c r="S40" s="16">
        <f t="shared" ref="S40:AF40" si="32">SUM(S10:S21)</f>
        <v>332.57142857142856</v>
      </c>
      <c r="T40" s="16">
        <f t="shared" si="32"/>
        <v>48.285714285714285</v>
      </c>
      <c r="U40" s="16">
        <f t="shared" si="32"/>
        <v>190.42857142857142</v>
      </c>
      <c r="V40" s="16">
        <f t="shared" si="32"/>
        <v>524.42857142857144</v>
      </c>
      <c r="W40" s="16">
        <f t="shared" si="32"/>
        <v>67.142857142857153</v>
      </c>
      <c r="X40" s="16">
        <f t="shared" si="32"/>
        <v>4.2857142857142847</v>
      </c>
      <c r="Y40" s="16">
        <f t="shared" si="32"/>
        <v>137.57142857142856</v>
      </c>
      <c r="Z40" s="16">
        <f t="shared" si="32"/>
        <v>14.285714285714286</v>
      </c>
      <c r="AA40" s="16">
        <f t="shared" si="32"/>
        <v>2.714285714285714</v>
      </c>
      <c r="AB40" s="16">
        <f t="shared" si="32"/>
        <v>1.5714285714285712</v>
      </c>
      <c r="AC40" s="16">
        <f t="shared" si="32"/>
        <v>1808.2857142857142</v>
      </c>
      <c r="AD40" s="16">
        <f t="shared" si="32"/>
        <v>0.42857142857142855</v>
      </c>
      <c r="AE40" s="32">
        <f t="shared" si="32"/>
        <v>1323.7142857142856</v>
      </c>
      <c r="AF40" s="32">
        <f t="shared" si="32"/>
        <v>3132</v>
      </c>
    </row>
    <row r="41" spans="2:32" ht="23.1" customHeight="1" x14ac:dyDescent="0.25">
      <c r="B41" s="23" t="s">
        <v>68</v>
      </c>
      <c r="C41" s="49">
        <f>AVERAGE('12.08 Jinja-Buwenge'!C41,'13.08 Jinja-Buwenge'!C41,'14.08 Jinja-Buwenge'!C41,'15.08 Jinja-Buwenge'!C41,'16.08 Jinja-Buwenge-24h'!C41,'17.08 Jinja-Buwenge-24h'!C41,'18.08 Jinja-Buwenge'!C41)</f>
        <v>8.4285714285714288</v>
      </c>
      <c r="D41" s="49">
        <f>AVERAGE('12.08 Jinja-Buwenge'!D41,'13.08 Jinja-Buwenge'!D41,'14.08 Jinja-Buwenge'!D41,'15.08 Jinja-Buwenge'!D41,'16.08 Jinja-Buwenge-24h'!D41,'17.08 Jinja-Buwenge-24h'!D41,'18.08 Jinja-Buwenge'!D41)</f>
        <v>1.1428571428571428</v>
      </c>
      <c r="E41" s="49">
        <f>AVERAGE('12.08 Jinja-Buwenge'!E41,'13.08 Jinja-Buwenge'!E41,'14.08 Jinja-Buwenge'!E41,'15.08 Jinja-Buwenge'!E41,'16.08 Jinja-Buwenge-24h'!E41,'17.08 Jinja-Buwenge-24h'!E41,'18.08 Jinja-Buwenge'!E41)</f>
        <v>4.7142857142857144</v>
      </c>
      <c r="F41" s="49">
        <f>AVERAGE('12.08 Jinja-Buwenge'!F41,'13.08 Jinja-Buwenge'!F41,'14.08 Jinja-Buwenge'!F41,'15.08 Jinja-Buwenge'!F41,'16.08 Jinja-Buwenge-24h'!F41,'17.08 Jinja-Buwenge-24h'!F41,'18.08 Jinja-Buwenge'!F41)</f>
        <v>13</v>
      </c>
      <c r="G41" s="49">
        <f>AVERAGE('12.08 Jinja-Buwenge'!G41,'13.08 Jinja-Buwenge'!G41,'14.08 Jinja-Buwenge'!G41,'15.08 Jinja-Buwenge'!G41,'16.08 Jinja-Buwenge-24h'!G41,'17.08 Jinja-Buwenge-24h'!G41,'18.08 Jinja-Buwenge'!G41)</f>
        <v>1</v>
      </c>
      <c r="H41" s="49">
        <f>AVERAGE('12.08 Jinja-Buwenge'!H41,'13.08 Jinja-Buwenge'!H41,'14.08 Jinja-Buwenge'!H41,'15.08 Jinja-Buwenge'!H41,'16.08 Jinja-Buwenge-24h'!H41,'17.08 Jinja-Buwenge-24h'!H41,'18.08 Jinja-Buwenge'!H41)</f>
        <v>0.42857142857142855</v>
      </c>
      <c r="I41" s="49">
        <f>AVERAGE('12.08 Jinja-Buwenge'!I41,'13.08 Jinja-Buwenge'!I41,'14.08 Jinja-Buwenge'!I41,'15.08 Jinja-Buwenge'!I41,'16.08 Jinja-Buwenge-24h'!I41,'17.08 Jinja-Buwenge-24h'!I41,'18.08 Jinja-Buwenge'!I41)</f>
        <v>2.1428571428571428</v>
      </c>
      <c r="J41" s="49">
        <f>AVERAGE('12.08 Jinja-Buwenge'!J41,'13.08 Jinja-Buwenge'!J41,'14.08 Jinja-Buwenge'!J41,'15.08 Jinja-Buwenge'!J41,'16.08 Jinja-Buwenge-24h'!J41,'17.08 Jinja-Buwenge-24h'!J41,'18.08 Jinja-Buwenge'!J41)</f>
        <v>0.42857142857142855</v>
      </c>
      <c r="K41" s="49">
        <f>AVERAGE('12.08 Jinja-Buwenge'!K41,'13.08 Jinja-Buwenge'!K41,'14.08 Jinja-Buwenge'!K41,'15.08 Jinja-Buwenge'!K41,'16.08 Jinja-Buwenge-24h'!K41,'17.08 Jinja-Buwenge-24h'!K41,'18.08 Jinja-Buwenge'!K41)</f>
        <v>0.14285714285714285</v>
      </c>
      <c r="L41" s="49">
        <f>AVERAGE('12.08 Jinja-Buwenge'!L41,'13.08 Jinja-Buwenge'!L41,'14.08 Jinja-Buwenge'!L41,'15.08 Jinja-Buwenge'!L41,'16.08 Jinja-Buwenge-24h'!L41,'17.08 Jinja-Buwenge-24h'!L41,'18.08 Jinja-Buwenge'!L41)</f>
        <v>0</v>
      </c>
      <c r="M41" s="49">
        <f>AVERAGE('12.08 Jinja-Buwenge'!M41,'13.08 Jinja-Buwenge'!M41,'14.08 Jinja-Buwenge'!M41,'15.08 Jinja-Buwenge'!M41,'16.08 Jinja-Buwenge-24h'!M41,'17.08 Jinja-Buwenge-24h'!M41,'18.08 Jinja-Buwenge'!M41)</f>
        <v>42</v>
      </c>
      <c r="N41" s="49">
        <f>AVERAGE('12.08 Jinja-Buwenge'!N41,'13.08 Jinja-Buwenge'!N41,'14.08 Jinja-Buwenge'!N41,'15.08 Jinja-Buwenge'!N41,'16.08 Jinja-Buwenge-24h'!N41,'17.08 Jinja-Buwenge-24h'!N41,'18.08 Jinja-Buwenge'!N41)</f>
        <v>0</v>
      </c>
      <c r="O41" s="15">
        <f t="shared" si="0"/>
        <v>31.428571428571423</v>
      </c>
      <c r="P41" s="15">
        <f t="shared" si="1"/>
        <v>73.428571428571416</v>
      </c>
      <c r="R41" s="5" t="s">
        <v>174</v>
      </c>
      <c r="S41" s="52">
        <f>SUM(S10:S33)</f>
        <v>464.57142857142856</v>
      </c>
      <c r="T41" s="52">
        <f t="shared" ref="T41:AD41" si="33">SUM(T10:T33)</f>
        <v>60.785714285714285</v>
      </c>
      <c r="U41" s="52">
        <f t="shared" si="33"/>
        <v>265.92857142857144</v>
      </c>
      <c r="V41" s="52">
        <f t="shared" si="33"/>
        <v>665.42857142857144</v>
      </c>
      <c r="W41" s="52">
        <f t="shared" si="33"/>
        <v>127.64285714285715</v>
      </c>
      <c r="X41" s="52">
        <f t="shared" si="33"/>
        <v>6.2857142857142847</v>
      </c>
      <c r="Y41" s="52">
        <f t="shared" si="33"/>
        <v>189.07142857142856</v>
      </c>
      <c r="Z41" s="52">
        <f t="shared" si="33"/>
        <v>25.285714285714285</v>
      </c>
      <c r="AA41" s="52">
        <f t="shared" si="33"/>
        <v>3.714285714285714</v>
      </c>
      <c r="AB41" s="52">
        <f t="shared" si="33"/>
        <v>1.5714285714285712</v>
      </c>
      <c r="AC41" s="52">
        <f t="shared" si="33"/>
        <v>2427.2857142857142</v>
      </c>
      <c r="AD41" s="52">
        <f t="shared" si="33"/>
        <v>0.42857142857142855</v>
      </c>
      <c r="AE41" s="53">
        <f>SUM(AE10:AE33)</f>
        <v>1810.7142857142856</v>
      </c>
      <c r="AF41" s="53">
        <f>SUM(AF10:AF33)</f>
        <v>4238</v>
      </c>
    </row>
    <row r="42" spans="2:32" ht="23.1" customHeight="1" x14ac:dyDescent="0.25">
      <c r="B42" s="24" t="s">
        <v>69</v>
      </c>
      <c r="C42" s="49">
        <f>AVERAGE('12.08 Jinja-Buwenge'!C42,'13.08 Jinja-Buwenge'!C42,'14.08 Jinja-Buwenge'!C42,'15.08 Jinja-Buwenge'!C42,'16.08 Jinja-Buwenge-24h'!C42,'17.08 Jinja-Buwenge-24h'!C42,'18.08 Jinja-Buwenge'!C42)</f>
        <v>5.2857142857142856</v>
      </c>
      <c r="D42" s="49">
        <f>AVERAGE('12.08 Jinja-Buwenge'!D42,'13.08 Jinja-Buwenge'!D42,'14.08 Jinja-Buwenge'!D42,'15.08 Jinja-Buwenge'!D42,'16.08 Jinja-Buwenge-24h'!D42,'17.08 Jinja-Buwenge-24h'!D42,'18.08 Jinja-Buwenge'!D42)</f>
        <v>1.2857142857142858</v>
      </c>
      <c r="E42" s="49">
        <f>AVERAGE('12.08 Jinja-Buwenge'!E42,'13.08 Jinja-Buwenge'!E42,'14.08 Jinja-Buwenge'!E42,'15.08 Jinja-Buwenge'!E42,'16.08 Jinja-Buwenge-24h'!E42,'17.08 Jinja-Buwenge-24h'!E42,'18.08 Jinja-Buwenge'!E42)</f>
        <v>4</v>
      </c>
      <c r="F42" s="49">
        <f>AVERAGE('12.08 Jinja-Buwenge'!F42,'13.08 Jinja-Buwenge'!F42,'14.08 Jinja-Buwenge'!F42,'15.08 Jinja-Buwenge'!F42,'16.08 Jinja-Buwenge-24h'!F42,'17.08 Jinja-Buwenge-24h'!F42,'18.08 Jinja-Buwenge'!F42)</f>
        <v>9</v>
      </c>
      <c r="G42" s="49">
        <f>AVERAGE('12.08 Jinja-Buwenge'!G42,'13.08 Jinja-Buwenge'!G42,'14.08 Jinja-Buwenge'!G42,'15.08 Jinja-Buwenge'!G42,'16.08 Jinja-Buwenge-24h'!G42,'17.08 Jinja-Buwenge-24h'!G42,'18.08 Jinja-Buwenge'!G42)</f>
        <v>1</v>
      </c>
      <c r="H42" s="49">
        <f>AVERAGE('12.08 Jinja-Buwenge'!H42,'13.08 Jinja-Buwenge'!H42,'14.08 Jinja-Buwenge'!H42,'15.08 Jinja-Buwenge'!H42,'16.08 Jinja-Buwenge-24h'!H42,'17.08 Jinja-Buwenge-24h'!H42,'18.08 Jinja-Buwenge'!H42)</f>
        <v>0.14285714285714285</v>
      </c>
      <c r="I42" s="49">
        <f>AVERAGE('12.08 Jinja-Buwenge'!I42,'13.08 Jinja-Buwenge'!I42,'14.08 Jinja-Buwenge'!I42,'15.08 Jinja-Buwenge'!I42,'16.08 Jinja-Buwenge-24h'!I42,'17.08 Jinja-Buwenge-24h'!I42,'18.08 Jinja-Buwenge'!I42)</f>
        <v>3.5714285714285716</v>
      </c>
      <c r="J42" s="49">
        <f>AVERAGE('12.08 Jinja-Buwenge'!J42,'13.08 Jinja-Buwenge'!J42,'14.08 Jinja-Buwenge'!J42,'15.08 Jinja-Buwenge'!J42,'16.08 Jinja-Buwenge-24h'!J42,'17.08 Jinja-Buwenge-24h'!J42,'18.08 Jinja-Buwenge'!J42)</f>
        <v>0.42857142857142855</v>
      </c>
      <c r="K42" s="49">
        <f>AVERAGE('12.08 Jinja-Buwenge'!K42,'13.08 Jinja-Buwenge'!K42,'14.08 Jinja-Buwenge'!K42,'15.08 Jinja-Buwenge'!K42,'16.08 Jinja-Buwenge-24h'!K42,'17.08 Jinja-Buwenge-24h'!K42,'18.08 Jinja-Buwenge'!K42)</f>
        <v>0</v>
      </c>
      <c r="L42" s="49">
        <f>AVERAGE('12.08 Jinja-Buwenge'!L42,'13.08 Jinja-Buwenge'!L42,'14.08 Jinja-Buwenge'!L42,'15.08 Jinja-Buwenge'!L42,'16.08 Jinja-Buwenge-24h'!L42,'17.08 Jinja-Buwenge-24h'!L42,'18.08 Jinja-Buwenge'!L42)</f>
        <v>0</v>
      </c>
      <c r="M42" s="49">
        <f>AVERAGE('12.08 Jinja-Buwenge'!M42,'13.08 Jinja-Buwenge'!M42,'14.08 Jinja-Buwenge'!M42,'15.08 Jinja-Buwenge'!M42,'16.08 Jinja-Buwenge-24h'!M42,'17.08 Jinja-Buwenge-24h'!M42,'18.08 Jinja-Buwenge'!M42)</f>
        <v>36.714285714285715</v>
      </c>
      <c r="N42" s="49">
        <f>AVERAGE('12.08 Jinja-Buwenge'!N42,'13.08 Jinja-Buwenge'!N42,'14.08 Jinja-Buwenge'!N42,'15.08 Jinja-Buwenge'!N42,'16.08 Jinja-Buwenge-24h'!N42,'17.08 Jinja-Buwenge-24h'!N42,'18.08 Jinja-Buwenge'!N42)</f>
        <v>0</v>
      </c>
      <c r="O42" s="15">
        <f t="shared" si="0"/>
        <v>24.714285714285712</v>
      </c>
      <c r="P42" s="15">
        <f t="shared" si="1"/>
        <v>61.428571428571431</v>
      </c>
      <c r="R42" s="5" t="s">
        <v>160</v>
      </c>
      <c r="S42" s="48">
        <f>S41/S40</f>
        <v>1.3969072164948453</v>
      </c>
      <c r="T42" s="48">
        <f t="shared" ref="T42:AF42" si="34">T41/T40</f>
        <v>1.2588757396449703</v>
      </c>
      <c r="U42" s="48">
        <f t="shared" si="34"/>
        <v>1.3964741185296325</v>
      </c>
      <c r="V42" s="48">
        <f t="shared" si="34"/>
        <v>1.2688640697357667</v>
      </c>
      <c r="W42" s="48">
        <f t="shared" si="34"/>
        <v>1.901063829787234</v>
      </c>
      <c r="X42" s="48">
        <f t="shared" si="34"/>
        <v>1.4666666666666668</v>
      </c>
      <c r="Y42" s="48">
        <f t="shared" si="34"/>
        <v>1.3743509865005192</v>
      </c>
      <c r="Z42" s="48">
        <f t="shared" si="34"/>
        <v>1.7699999999999998</v>
      </c>
      <c r="AA42" s="48">
        <f t="shared" si="34"/>
        <v>1.368421052631579</v>
      </c>
      <c r="AB42" s="48">
        <f t="shared" si="34"/>
        <v>1</v>
      </c>
      <c r="AC42" s="48">
        <f t="shared" si="34"/>
        <v>1.3423131616369095</v>
      </c>
      <c r="AD42" s="48">
        <f t="shared" si="34"/>
        <v>1</v>
      </c>
      <c r="AE42" s="51">
        <f t="shared" si="34"/>
        <v>1.3679041657673214</v>
      </c>
      <c r="AF42" s="51">
        <f t="shared" si="34"/>
        <v>1.3531289910600255</v>
      </c>
    </row>
    <row r="43" spans="2:32" ht="23.1" customHeight="1" x14ac:dyDescent="0.25">
      <c r="B43" s="23" t="s">
        <v>70</v>
      </c>
      <c r="C43" s="49">
        <f>AVERAGE('12.08 Jinja-Buwenge'!C43,'13.08 Jinja-Buwenge'!C43,'14.08 Jinja-Buwenge'!C43,'15.08 Jinja-Buwenge'!C43,'16.08 Jinja-Buwenge-24h'!C43,'17.08 Jinja-Buwenge-24h'!C43,'18.08 Jinja-Buwenge'!C43)</f>
        <v>9.1428571428571423</v>
      </c>
      <c r="D43" s="49">
        <f>AVERAGE('12.08 Jinja-Buwenge'!D43,'13.08 Jinja-Buwenge'!D43,'14.08 Jinja-Buwenge'!D43,'15.08 Jinja-Buwenge'!D43,'16.08 Jinja-Buwenge-24h'!D43,'17.08 Jinja-Buwenge-24h'!D43,'18.08 Jinja-Buwenge'!D43)</f>
        <v>0.8571428571428571</v>
      </c>
      <c r="E43" s="49">
        <f>AVERAGE('12.08 Jinja-Buwenge'!E43,'13.08 Jinja-Buwenge'!E43,'14.08 Jinja-Buwenge'!E43,'15.08 Jinja-Buwenge'!E43,'16.08 Jinja-Buwenge-24h'!E43,'17.08 Jinja-Buwenge-24h'!E43,'18.08 Jinja-Buwenge'!E43)</f>
        <v>3.8571428571428572</v>
      </c>
      <c r="F43" s="49">
        <f>AVERAGE('12.08 Jinja-Buwenge'!F43,'13.08 Jinja-Buwenge'!F43,'14.08 Jinja-Buwenge'!F43,'15.08 Jinja-Buwenge'!F43,'16.08 Jinja-Buwenge-24h'!F43,'17.08 Jinja-Buwenge-24h'!F43,'18.08 Jinja-Buwenge'!F43)</f>
        <v>11.142857142857142</v>
      </c>
      <c r="G43" s="49">
        <f>AVERAGE('12.08 Jinja-Buwenge'!G43,'13.08 Jinja-Buwenge'!G43,'14.08 Jinja-Buwenge'!G43,'15.08 Jinja-Buwenge'!G43,'16.08 Jinja-Buwenge-24h'!G43,'17.08 Jinja-Buwenge-24h'!G43,'18.08 Jinja-Buwenge'!G43)</f>
        <v>0.7142857142857143</v>
      </c>
      <c r="H43" s="49">
        <f>AVERAGE('12.08 Jinja-Buwenge'!H43,'13.08 Jinja-Buwenge'!H43,'14.08 Jinja-Buwenge'!H43,'15.08 Jinja-Buwenge'!H43,'16.08 Jinja-Buwenge-24h'!H43,'17.08 Jinja-Buwenge-24h'!H43,'18.08 Jinja-Buwenge'!H43)</f>
        <v>0.14285714285714285</v>
      </c>
      <c r="I43" s="49">
        <f>AVERAGE('12.08 Jinja-Buwenge'!I43,'13.08 Jinja-Buwenge'!I43,'14.08 Jinja-Buwenge'!I43,'15.08 Jinja-Buwenge'!I43,'16.08 Jinja-Buwenge-24h'!I43,'17.08 Jinja-Buwenge-24h'!I43,'18.08 Jinja-Buwenge'!I43)</f>
        <v>3.2857142857142856</v>
      </c>
      <c r="J43" s="49">
        <f>AVERAGE('12.08 Jinja-Buwenge'!J43,'13.08 Jinja-Buwenge'!J43,'14.08 Jinja-Buwenge'!J43,'15.08 Jinja-Buwenge'!J43,'16.08 Jinja-Buwenge-24h'!J43,'17.08 Jinja-Buwenge-24h'!J43,'18.08 Jinja-Buwenge'!J43)</f>
        <v>0</v>
      </c>
      <c r="K43" s="49">
        <f>AVERAGE('12.08 Jinja-Buwenge'!K43,'13.08 Jinja-Buwenge'!K43,'14.08 Jinja-Buwenge'!K43,'15.08 Jinja-Buwenge'!K43,'16.08 Jinja-Buwenge-24h'!K43,'17.08 Jinja-Buwenge-24h'!K43,'18.08 Jinja-Buwenge'!K43)</f>
        <v>0</v>
      </c>
      <c r="L43" s="49">
        <f>AVERAGE('12.08 Jinja-Buwenge'!L43,'13.08 Jinja-Buwenge'!L43,'14.08 Jinja-Buwenge'!L43,'15.08 Jinja-Buwenge'!L43,'16.08 Jinja-Buwenge-24h'!L43,'17.08 Jinja-Buwenge-24h'!L43,'18.08 Jinja-Buwenge'!L43)</f>
        <v>0.14285714285714285</v>
      </c>
      <c r="M43" s="49">
        <f>AVERAGE('12.08 Jinja-Buwenge'!M43,'13.08 Jinja-Buwenge'!M43,'14.08 Jinja-Buwenge'!M43,'15.08 Jinja-Buwenge'!M43,'16.08 Jinja-Buwenge-24h'!M43,'17.08 Jinja-Buwenge-24h'!M43,'18.08 Jinja-Buwenge'!M43)</f>
        <v>28.857142857142858</v>
      </c>
      <c r="N43" s="49">
        <f>AVERAGE('12.08 Jinja-Buwenge'!N43,'13.08 Jinja-Buwenge'!N43,'14.08 Jinja-Buwenge'!N43,'15.08 Jinja-Buwenge'!N43,'16.08 Jinja-Buwenge-24h'!N43,'17.08 Jinja-Buwenge-24h'!N43,'18.08 Jinja-Buwenge'!N43)</f>
        <v>0</v>
      </c>
      <c r="O43" s="15">
        <f t="shared" si="0"/>
        <v>29.285714285714285</v>
      </c>
      <c r="P43" s="15">
        <f t="shared" si="1"/>
        <v>58.142857142857139</v>
      </c>
    </row>
    <row r="44" spans="2:32" ht="23.1" customHeight="1" x14ac:dyDescent="0.25">
      <c r="B44" s="25" t="s">
        <v>71</v>
      </c>
      <c r="C44" s="49">
        <f>AVERAGE('12.08 Jinja-Buwenge'!C44,'13.08 Jinja-Buwenge'!C44,'14.08 Jinja-Buwenge'!C44,'15.08 Jinja-Buwenge'!C44,'16.08 Jinja-Buwenge-24h'!C44,'17.08 Jinja-Buwenge-24h'!C44,'18.08 Jinja-Buwenge'!C44)</f>
        <v>7.2857142857142856</v>
      </c>
      <c r="D44" s="49">
        <f>AVERAGE('12.08 Jinja-Buwenge'!D44,'13.08 Jinja-Buwenge'!D44,'14.08 Jinja-Buwenge'!D44,'15.08 Jinja-Buwenge'!D44,'16.08 Jinja-Buwenge-24h'!D44,'17.08 Jinja-Buwenge-24h'!D44,'18.08 Jinja-Buwenge'!D44)</f>
        <v>1</v>
      </c>
      <c r="E44" s="49">
        <f>AVERAGE('12.08 Jinja-Buwenge'!E44,'13.08 Jinja-Buwenge'!E44,'14.08 Jinja-Buwenge'!E44,'15.08 Jinja-Buwenge'!E44,'16.08 Jinja-Buwenge-24h'!E44,'17.08 Jinja-Buwenge-24h'!E44,'18.08 Jinja-Buwenge'!E44)</f>
        <v>3.2857142857142856</v>
      </c>
      <c r="F44" s="49">
        <f>AVERAGE('12.08 Jinja-Buwenge'!F44,'13.08 Jinja-Buwenge'!F44,'14.08 Jinja-Buwenge'!F44,'15.08 Jinja-Buwenge'!F44,'16.08 Jinja-Buwenge-24h'!F44,'17.08 Jinja-Buwenge-24h'!F44,'18.08 Jinja-Buwenge'!F44)</f>
        <v>11</v>
      </c>
      <c r="G44" s="49">
        <f>AVERAGE('12.08 Jinja-Buwenge'!G44,'13.08 Jinja-Buwenge'!G44,'14.08 Jinja-Buwenge'!G44,'15.08 Jinja-Buwenge'!G44,'16.08 Jinja-Buwenge-24h'!G44,'17.08 Jinja-Buwenge-24h'!G44,'18.08 Jinja-Buwenge'!G44)</f>
        <v>0.7142857142857143</v>
      </c>
      <c r="H44" s="49">
        <f>AVERAGE('12.08 Jinja-Buwenge'!H44,'13.08 Jinja-Buwenge'!H44,'14.08 Jinja-Buwenge'!H44,'15.08 Jinja-Buwenge'!H44,'16.08 Jinja-Buwenge-24h'!H44,'17.08 Jinja-Buwenge-24h'!H44,'18.08 Jinja-Buwenge'!H44)</f>
        <v>0</v>
      </c>
      <c r="I44" s="49">
        <f>AVERAGE('12.08 Jinja-Buwenge'!I44,'13.08 Jinja-Buwenge'!I44,'14.08 Jinja-Buwenge'!I44,'15.08 Jinja-Buwenge'!I44,'16.08 Jinja-Buwenge-24h'!I44,'17.08 Jinja-Buwenge-24h'!I44,'18.08 Jinja-Buwenge'!I44)</f>
        <v>2.7142857142857144</v>
      </c>
      <c r="J44" s="49">
        <f>AVERAGE('12.08 Jinja-Buwenge'!J44,'13.08 Jinja-Buwenge'!J44,'14.08 Jinja-Buwenge'!J44,'15.08 Jinja-Buwenge'!J44,'16.08 Jinja-Buwenge-24h'!J44,'17.08 Jinja-Buwenge-24h'!J44,'18.08 Jinja-Buwenge'!J44)</f>
        <v>0</v>
      </c>
      <c r="K44" s="49">
        <f>AVERAGE('12.08 Jinja-Buwenge'!K44,'13.08 Jinja-Buwenge'!K44,'14.08 Jinja-Buwenge'!K44,'15.08 Jinja-Buwenge'!K44,'16.08 Jinja-Buwenge-24h'!K44,'17.08 Jinja-Buwenge-24h'!K44,'18.08 Jinja-Buwenge'!K44)</f>
        <v>0.2857142857142857</v>
      </c>
      <c r="L44" s="49">
        <f>AVERAGE('12.08 Jinja-Buwenge'!L44,'13.08 Jinja-Buwenge'!L44,'14.08 Jinja-Buwenge'!L44,'15.08 Jinja-Buwenge'!L44,'16.08 Jinja-Buwenge-24h'!L44,'17.08 Jinja-Buwenge-24h'!L44,'18.08 Jinja-Buwenge'!L44)</f>
        <v>0</v>
      </c>
      <c r="M44" s="49">
        <f>AVERAGE('12.08 Jinja-Buwenge'!M44,'13.08 Jinja-Buwenge'!M44,'14.08 Jinja-Buwenge'!M44,'15.08 Jinja-Buwenge'!M44,'16.08 Jinja-Buwenge-24h'!M44,'17.08 Jinja-Buwenge-24h'!M44,'18.08 Jinja-Buwenge'!M44)</f>
        <v>27.285714285714285</v>
      </c>
      <c r="N44" s="49">
        <f>AVERAGE('12.08 Jinja-Buwenge'!N44,'13.08 Jinja-Buwenge'!N44,'14.08 Jinja-Buwenge'!N44,'15.08 Jinja-Buwenge'!N44,'16.08 Jinja-Buwenge-24h'!N44,'17.08 Jinja-Buwenge-24h'!N44,'18.08 Jinja-Buwenge'!N44)</f>
        <v>0</v>
      </c>
      <c r="O44" s="15">
        <f t="shared" si="0"/>
        <v>26.285714285714285</v>
      </c>
      <c r="P44" s="15">
        <f t="shared" si="1"/>
        <v>53.571428571428569</v>
      </c>
    </row>
    <row r="45" spans="2:32" ht="23.1" customHeight="1" x14ac:dyDescent="0.25">
      <c r="B45" s="23" t="s">
        <v>72</v>
      </c>
      <c r="C45" s="49">
        <f>AVERAGE('12.08 Jinja-Buwenge'!C45,'13.08 Jinja-Buwenge'!C45,'14.08 Jinja-Buwenge'!C45,'15.08 Jinja-Buwenge'!C45,'16.08 Jinja-Buwenge-24h'!C45,'17.08 Jinja-Buwenge-24h'!C45,'18.08 Jinja-Buwenge'!C45)</f>
        <v>7</v>
      </c>
      <c r="D45" s="49">
        <f>AVERAGE('12.08 Jinja-Buwenge'!D45,'13.08 Jinja-Buwenge'!D45,'14.08 Jinja-Buwenge'!D45,'15.08 Jinja-Buwenge'!D45,'16.08 Jinja-Buwenge-24h'!D45,'17.08 Jinja-Buwenge-24h'!D45,'18.08 Jinja-Buwenge'!D45)</f>
        <v>0.5714285714285714</v>
      </c>
      <c r="E45" s="49">
        <f>AVERAGE('12.08 Jinja-Buwenge'!E45,'13.08 Jinja-Buwenge'!E45,'14.08 Jinja-Buwenge'!E45,'15.08 Jinja-Buwenge'!E45,'16.08 Jinja-Buwenge-24h'!E45,'17.08 Jinja-Buwenge-24h'!E45,'18.08 Jinja-Buwenge'!E45)</f>
        <v>3.1428571428571428</v>
      </c>
      <c r="F45" s="49">
        <f>AVERAGE('12.08 Jinja-Buwenge'!F45,'13.08 Jinja-Buwenge'!F45,'14.08 Jinja-Buwenge'!F45,'15.08 Jinja-Buwenge'!F45,'16.08 Jinja-Buwenge-24h'!F45,'17.08 Jinja-Buwenge-24h'!F45,'18.08 Jinja-Buwenge'!F45)</f>
        <v>10.857142857142858</v>
      </c>
      <c r="G45" s="49">
        <f>AVERAGE('12.08 Jinja-Buwenge'!G45,'13.08 Jinja-Buwenge'!G45,'14.08 Jinja-Buwenge'!G45,'15.08 Jinja-Buwenge'!G45,'16.08 Jinja-Buwenge-24h'!G45,'17.08 Jinja-Buwenge-24h'!G45,'18.08 Jinja-Buwenge'!G45)</f>
        <v>0.7142857142857143</v>
      </c>
      <c r="H45" s="49">
        <f>AVERAGE('12.08 Jinja-Buwenge'!H45,'13.08 Jinja-Buwenge'!H45,'14.08 Jinja-Buwenge'!H45,'15.08 Jinja-Buwenge'!H45,'16.08 Jinja-Buwenge-24h'!H45,'17.08 Jinja-Buwenge-24h'!H45,'18.08 Jinja-Buwenge'!H45)</f>
        <v>0</v>
      </c>
      <c r="I45" s="49">
        <f>AVERAGE('12.08 Jinja-Buwenge'!I45,'13.08 Jinja-Buwenge'!I45,'14.08 Jinja-Buwenge'!I45,'15.08 Jinja-Buwenge'!I45,'16.08 Jinja-Buwenge-24h'!I45,'17.08 Jinja-Buwenge-24h'!I45,'18.08 Jinja-Buwenge'!I45)</f>
        <v>3.1428571428571428</v>
      </c>
      <c r="J45" s="49">
        <f>AVERAGE('12.08 Jinja-Buwenge'!J45,'13.08 Jinja-Buwenge'!J45,'14.08 Jinja-Buwenge'!J45,'15.08 Jinja-Buwenge'!J45,'16.08 Jinja-Buwenge-24h'!J45,'17.08 Jinja-Buwenge-24h'!J45,'18.08 Jinja-Buwenge'!J45)</f>
        <v>0.2857142857142857</v>
      </c>
      <c r="K45" s="49">
        <f>AVERAGE('12.08 Jinja-Buwenge'!K45,'13.08 Jinja-Buwenge'!K45,'14.08 Jinja-Buwenge'!K45,'15.08 Jinja-Buwenge'!K45,'16.08 Jinja-Buwenge-24h'!K45,'17.08 Jinja-Buwenge-24h'!K45,'18.08 Jinja-Buwenge'!K45)</f>
        <v>0</v>
      </c>
      <c r="L45" s="49">
        <f>AVERAGE('12.08 Jinja-Buwenge'!L45,'13.08 Jinja-Buwenge'!L45,'14.08 Jinja-Buwenge'!L45,'15.08 Jinja-Buwenge'!L45,'16.08 Jinja-Buwenge-24h'!L45,'17.08 Jinja-Buwenge-24h'!L45,'18.08 Jinja-Buwenge'!L45)</f>
        <v>0</v>
      </c>
      <c r="M45" s="49">
        <f>AVERAGE('12.08 Jinja-Buwenge'!M45,'13.08 Jinja-Buwenge'!M45,'14.08 Jinja-Buwenge'!M45,'15.08 Jinja-Buwenge'!M45,'16.08 Jinja-Buwenge-24h'!M45,'17.08 Jinja-Buwenge-24h'!M45,'18.08 Jinja-Buwenge'!M45)</f>
        <v>30.428571428571427</v>
      </c>
      <c r="N45" s="49">
        <f>AVERAGE('12.08 Jinja-Buwenge'!N45,'13.08 Jinja-Buwenge'!N45,'14.08 Jinja-Buwenge'!N45,'15.08 Jinja-Buwenge'!N45,'16.08 Jinja-Buwenge-24h'!N45,'17.08 Jinja-Buwenge-24h'!N45,'18.08 Jinja-Buwenge'!N45)</f>
        <v>0</v>
      </c>
      <c r="O45" s="15">
        <f t="shared" si="0"/>
        <v>25.714285714285712</v>
      </c>
      <c r="P45" s="15">
        <f t="shared" si="1"/>
        <v>56.142857142857139</v>
      </c>
    </row>
    <row r="46" spans="2:32" ht="23.1" customHeight="1" x14ac:dyDescent="0.25">
      <c r="B46" s="24" t="s">
        <v>73</v>
      </c>
      <c r="C46" s="49">
        <f>AVERAGE('12.08 Jinja-Buwenge'!C46,'13.08 Jinja-Buwenge'!C46,'14.08 Jinja-Buwenge'!C46,'15.08 Jinja-Buwenge'!C46,'16.08 Jinja-Buwenge-24h'!C46,'17.08 Jinja-Buwenge-24h'!C46,'18.08 Jinja-Buwenge'!C46)</f>
        <v>6</v>
      </c>
      <c r="D46" s="49">
        <f>AVERAGE('12.08 Jinja-Buwenge'!D46,'13.08 Jinja-Buwenge'!D46,'14.08 Jinja-Buwenge'!D46,'15.08 Jinja-Buwenge'!D46,'16.08 Jinja-Buwenge-24h'!D46,'17.08 Jinja-Buwenge-24h'!D46,'18.08 Jinja-Buwenge'!D46)</f>
        <v>0.7142857142857143</v>
      </c>
      <c r="E46" s="49">
        <f>AVERAGE('12.08 Jinja-Buwenge'!E46,'13.08 Jinja-Buwenge'!E46,'14.08 Jinja-Buwenge'!E46,'15.08 Jinja-Buwenge'!E46,'16.08 Jinja-Buwenge-24h'!E46,'17.08 Jinja-Buwenge-24h'!E46,'18.08 Jinja-Buwenge'!E46)</f>
        <v>3</v>
      </c>
      <c r="F46" s="49">
        <f>AVERAGE('12.08 Jinja-Buwenge'!F46,'13.08 Jinja-Buwenge'!F46,'14.08 Jinja-Buwenge'!F46,'15.08 Jinja-Buwenge'!F46,'16.08 Jinja-Buwenge-24h'!F46,'17.08 Jinja-Buwenge-24h'!F46,'18.08 Jinja-Buwenge'!F46)</f>
        <v>8.7142857142857135</v>
      </c>
      <c r="G46" s="49">
        <f>AVERAGE('12.08 Jinja-Buwenge'!G46,'13.08 Jinja-Buwenge'!G46,'14.08 Jinja-Buwenge'!G46,'15.08 Jinja-Buwenge'!G46,'16.08 Jinja-Buwenge-24h'!G46,'17.08 Jinja-Buwenge-24h'!G46,'18.08 Jinja-Buwenge'!G46)</f>
        <v>0.7142857142857143</v>
      </c>
      <c r="H46" s="49">
        <f>AVERAGE('12.08 Jinja-Buwenge'!H46,'13.08 Jinja-Buwenge'!H46,'14.08 Jinja-Buwenge'!H46,'15.08 Jinja-Buwenge'!H46,'16.08 Jinja-Buwenge-24h'!H46,'17.08 Jinja-Buwenge-24h'!H46,'18.08 Jinja-Buwenge'!H46)</f>
        <v>0</v>
      </c>
      <c r="I46" s="49">
        <f>AVERAGE('12.08 Jinja-Buwenge'!I46,'13.08 Jinja-Buwenge'!I46,'14.08 Jinja-Buwenge'!I46,'15.08 Jinja-Buwenge'!I46,'16.08 Jinja-Buwenge-24h'!I46,'17.08 Jinja-Buwenge-24h'!I46,'18.08 Jinja-Buwenge'!I46)</f>
        <v>2.4285714285714284</v>
      </c>
      <c r="J46" s="49">
        <f>AVERAGE('12.08 Jinja-Buwenge'!J46,'13.08 Jinja-Buwenge'!J46,'14.08 Jinja-Buwenge'!J46,'15.08 Jinja-Buwenge'!J46,'16.08 Jinja-Buwenge-24h'!J46,'17.08 Jinja-Buwenge-24h'!J46,'18.08 Jinja-Buwenge'!J46)</f>
        <v>0.2857142857142857</v>
      </c>
      <c r="K46" s="49">
        <f>AVERAGE('12.08 Jinja-Buwenge'!K46,'13.08 Jinja-Buwenge'!K46,'14.08 Jinja-Buwenge'!K46,'15.08 Jinja-Buwenge'!K46,'16.08 Jinja-Buwenge-24h'!K46,'17.08 Jinja-Buwenge-24h'!K46,'18.08 Jinja-Buwenge'!K46)</f>
        <v>0.14285714285714285</v>
      </c>
      <c r="L46" s="49">
        <f>AVERAGE('12.08 Jinja-Buwenge'!L46,'13.08 Jinja-Buwenge'!L46,'14.08 Jinja-Buwenge'!L46,'15.08 Jinja-Buwenge'!L46,'16.08 Jinja-Buwenge-24h'!L46,'17.08 Jinja-Buwenge-24h'!L46,'18.08 Jinja-Buwenge'!L46)</f>
        <v>0</v>
      </c>
      <c r="M46" s="49">
        <f>AVERAGE('12.08 Jinja-Buwenge'!M46,'13.08 Jinja-Buwenge'!M46,'14.08 Jinja-Buwenge'!M46,'15.08 Jinja-Buwenge'!M46,'16.08 Jinja-Buwenge-24h'!M46,'17.08 Jinja-Buwenge-24h'!M46,'18.08 Jinja-Buwenge'!M46)</f>
        <v>29.285714285714285</v>
      </c>
      <c r="N46" s="49">
        <f>AVERAGE('12.08 Jinja-Buwenge'!N46,'13.08 Jinja-Buwenge'!N46,'14.08 Jinja-Buwenge'!N46,'15.08 Jinja-Buwenge'!N46,'16.08 Jinja-Buwenge-24h'!N46,'17.08 Jinja-Buwenge-24h'!N46,'18.08 Jinja-Buwenge'!N46)</f>
        <v>0</v>
      </c>
      <c r="O46" s="15">
        <f t="shared" si="0"/>
        <v>22</v>
      </c>
      <c r="P46" s="15">
        <f t="shared" si="1"/>
        <v>51.285714285714285</v>
      </c>
      <c r="R46" s="8"/>
      <c r="T46"/>
    </row>
    <row r="47" spans="2:32" ht="23.1" customHeight="1" x14ac:dyDescent="0.25">
      <c r="B47" s="24" t="s">
        <v>74</v>
      </c>
      <c r="C47" s="49">
        <f>AVERAGE('12.08 Jinja-Buwenge'!C47,'13.08 Jinja-Buwenge'!C47,'14.08 Jinja-Buwenge'!C47,'15.08 Jinja-Buwenge'!C47,'16.08 Jinja-Buwenge-24h'!C47,'17.08 Jinja-Buwenge-24h'!C47,'18.08 Jinja-Buwenge'!C47)</f>
        <v>6.7142857142857144</v>
      </c>
      <c r="D47" s="49">
        <f>AVERAGE('12.08 Jinja-Buwenge'!D47,'13.08 Jinja-Buwenge'!D47,'14.08 Jinja-Buwenge'!D47,'15.08 Jinja-Buwenge'!D47,'16.08 Jinja-Buwenge-24h'!D47,'17.08 Jinja-Buwenge-24h'!D47,'18.08 Jinja-Buwenge'!D47)</f>
        <v>0.5714285714285714</v>
      </c>
      <c r="E47" s="49">
        <f>AVERAGE('12.08 Jinja-Buwenge'!E47,'13.08 Jinja-Buwenge'!E47,'14.08 Jinja-Buwenge'!E47,'15.08 Jinja-Buwenge'!E47,'16.08 Jinja-Buwenge-24h'!E47,'17.08 Jinja-Buwenge-24h'!E47,'18.08 Jinja-Buwenge'!E47)</f>
        <v>3.5714285714285716</v>
      </c>
      <c r="F47" s="49">
        <f>AVERAGE('12.08 Jinja-Buwenge'!F47,'13.08 Jinja-Buwenge'!F47,'14.08 Jinja-Buwenge'!F47,'15.08 Jinja-Buwenge'!F47,'16.08 Jinja-Buwenge-24h'!F47,'17.08 Jinja-Buwenge-24h'!F47,'18.08 Jinja-Buwenge'!F47)</f>
        <v>12.142857142857142</v>
      </c>
      <c r="G47" s="49">
        <f>AVERAGE('12.08 Jinja-Buwenge'!G47,'13.08 Jinja-Buwenge'!G47,'14.08 Jinja-Buwenge'!G47,'15.08 Jinja-Buwenge'!G47,'16.08 Jinja-Buwenge-24h'!G47,'17.08 Jinja-Buwenge-24h'!G47,'18.08 Jinja-Buwenge'!G47)</f>
        <v>0.42857142857142855</v>
      </c>
      <c r="H47" s="49">
        <f>AVERAGE('12.08 Jinja-Buwenge'!H47,'13.08 Jinja-Buwenge'!H47,'14.08 Jinja-Buwenge'!H47,'15.08 Jinja-Buwenge'!H47,'16.08 Jinja-Buwenge-24h'!H47,'17.08 Jinja-Buwenge-24h'!H47,'18.08 Jinja-Buwenge'!H47)</f>
        <v>0</v>
      </c>
      <c r="I47" s="49">
        <f>AVERAGE('12.08 Jinja-Buwenge'!I47,'13.08 Jinja-Buwenge'!I47,'14.08 Jinja-Buwenge'!I47,'15.08 Jinja-Buwenge'!I47,'16.08 Jinja-Buwenge-24h'!I47,'17.08 Jinja-Buwenge-24h'!I47,'18.08 Jinja-Buwenge'!I47)</f>
        <v>2.8571428571428572</v>
      </c>
      <c r="J47" s="49">
        <f>AVERAGE('12.08 Jinja-Buwenge'!J47,'13.08 Jinja-Buwenge'!J47,'14.08 Jinja-Buwenge'!J47,'15.08 Jinja-Buwenge'!J47,'16.08 Jinja-Buwenge-24h'!J47,'17.08 Jinja-Buwenge-24h'!J47,'18.08 Jinja-Buwenge'!J47)</f>
        <v>0.14285714285714285</v>
      </c>
      <c r="K47" s="49">
        <f>AVERAGE('12.08 Jinja-Buwenge'!K47,'13.08 Jinja-Buwenge'!K47,'14.08 Jinja-Buwenge'!K47,'15.08 Jinja-Buwenge'!K47,'16.08 Jinja-Buwenge-24h'!K47,'17.08 Jinja-Buwenge-24h'!K47,'18.08 Jinja-Buwenge'!K47)</f>
        <v>0</v>
      </c>
      <c r="L47" s="49">
        <f>AVERAGE('12.08 Jinja-Buwenge'!L47,'13.08 Jinja-Buwenge'!L47,'14.08 Jinja-Buwenge'!L47,'15.08 Jinja-Buwenge'!L47,'16.08 Jinja-Buwenge-24h'!L47,'17.08 Jinja-Buwenge-24h'!L47,'18.08 Jinja-Buwenge'!L47)</f>
        <v>0.14285714285714285</v>
      </c>
      <c r="M47" s="49">
        <f>AVERAGE('12.08 Jinja-Buwenge'!M47,'13.08 Jinja-Buwenge'!M47,'14.08 Jinja-Buwenge'!M47,'15.08 Jinja-Buwenge'!M47,'16.08 Jinja-Buwenge-24h'!M47,'17.08 Jinja-Buwenge-24h'!M47,'18.08 Jinja-Buwenge'!M47)</f>
        <v>35</v>
      </c>
      <c r="N47" s="49">
        <f>AVERAGE('12.08 Jinja-Buwenge'!N47,'13.08 Jinja-Buwenge'!N47,'14.08 Jinja-Buwenge'!N47,'15.08 Jinja-Buwenge'!N47,'16.08 Jinja-Buwenge-24h'!N47,'17.08 Jinja-Buwenge-24h'!N47,'18.08 Jinja-Buwenge'!N47)</f>
        <v>0</v>
      </c>
      <c r="O47" s="15">
        <f t="shared" si="0"/>
        <v>26.571428571428569</v>
      </c>
      <c r="P47" s="15">
        <f t="shared" si="1"/>
        <v>61.571428571428569</v>
      </c>
      <c r="R47" s="8"/>
      <c r="T47"/>
    </row>
    <row r="48" spans="2:32" ht="23.1" customHeight="1" x14ac:dyDescent="0.25">
      <c r="B48" s="24" t="s">
        <v>75</v>
      </c>
      <c r="C48" s="49">
        <f>AVERAGE('12.08 Jinja-Buwenge'!C48,'13.08 Jinja-Buwenge'!C48,'14.08 Jinja-Buwenge'!C48,'15.08 Jinja-Buwenge'!C48,'16.08 Jinja-Buwenge-24h'!C48,'17.08 Jinja-Buwenge-24h'!C48,'18.08 Jinja-Buwenge'!C48)</f>
        <v>7.4285714285714288</v>
      </c>
      <c r="D48" s="49">
        <f>AVERAGE('12.08 Jinja-Buwenge'!D48,'13.08 Jinja-Buwenge'!D48,'14.08 Jinja-Buwenge'!D48,'15.08 Jinja-Buwenge'!D48,'16.08 Jinja-Buwenge-24h'!D48,'17.08 Jinja-Buwenge-24h'!D48,'18.08 Jinja-Buwenge'!D48)</f>
        <v>0.7142857142857143</v>
      </c>
      <c r="E48" s="49">
        <f>AVERAGE('12.08 Jinja-Buwenge'!E48,'13.08 Jinja-Buwenge'!E48,'14.08 Jinja-Buwenge'!E48,'15.08 Jinja-Buwenge'!E48,'16.08 Jinja-Buwenge-24h'!E48,'17.08 Jinja-Buwenge-24h'!E48,'18.08 Jinja-Buwenge'!E48)</f>
        <v>3.2857142857142856</v>
      </c>
      <c r="F48" s="49">
        <f>AVERAGE('12.08 Jinja-Buwenge'!F48,'13.08 Jinja-Buwenge'!F48,'14.08 Jinja-Buwenge'!F48,'15.08 Jinja-Buwenge'!F48,'16.08 Jinja-Buwenge-24h'!F48,'17.08 Jinja-Buwenge-24h'!F48,'18.08 Jinja-Buwenge'!F48)</f>
        <v>12.428571428571429</v>
      </c>
      <c r="G48" s="49">
        <f>AVERAGE('12.08 Jinja-Buwenge'!G48,'13.08 Jinja-Buwenge'!G48,'14.08 Jinja-Buwenge'!G48,'15.08 Jinja-Buwenge'!G48,'16.08 Jinja-Buwenge-24h'!G48,'17.08 Jinja-Buwenge-24h'!G48,'18.08 Jinja-Buwenge'!G48)</f>
        <v>0.5714285714285714</v>
      </c>
      <c r="H48" s="49">
        <f>AVERAGE('12.08 Jinja-Buwenge'!H48,'13.08 Jinja-Buwenge'!H48,'14.08 Jinja-Buwenge'!H48,'15.08 Jinja-Buwenge'!H48,'16.08 Jinja-Buwenge-24h'!H48,'17.08 Jinja-Buwenge-24h'!H48,'18.08 Jinja-Buwenge'!H48)</f>
        <v>0.14285714285714285</v>
      </c>
      <c r="I48" s="49">
        <f>AVERAGE('12.08 Jinja-Buwenge'!I48,'13.08 Jinja-Buwenge'!I48,'14.08 Jinja-Buwenge'!I48,'15.08 Jinja-Buwenge'!I48,'16.08 Jinja-Buwenge-24h'!I48,'17.08 Jinja-Buwenge-24h'!I48,'18.08 Jinja-Buwenge'!I48)</f>
        <v>4.2857142857142856</v>
      </c>
      <c r="J48" s="49">
        <f>AVERAGE('12.08 Jinja-Buwenge'!J48,'13.08 Jinja-Buwenge'!J48,'14.08 Jinja-Buwenge'!J48,'15.08 Jinja-Buwenge'!J48,'16.08 Jinja-Buwenge-24h'!J48,'17.08 Jinja-Buwenge-24h'!J48,'18.08 Jinja-Buwenge'!J48)</f>
        <v>0.2857142857142857</v>
      </c>
      <c r="K48" s="49">
        <f>AVERAGE('12.08 Jinja-Buwenge'!K48,'13.08 Jinja-Buwenge'!K48,'14.08 Jinja-Buwenge'!K48,'15.08 Jinja-Buwenge'!K48,'16.08 Jinja-Buwenge-24h'!K48,'17.08 Jinja-Buwenge-24h'!K48,'18.08 Jinja-Buwenge'!K48)</f>
        <v>0</v>
      </c>
      <c r="L48" s="49">
        <f>AVERAGE('12.08 Jinja-Buwenge'!L48,'13.08 Jinja-Buwenge'!L48,'14.08 Jinja-Buwenge'!L48,'15.08 Jinja-Buwenge'!L48,'16.08 Jinja-Buwenge-24h'!L48,'17.08 Jinja-Buwenge-24h'!L48,'18.08 Jinja-Buwenge'!L48)</f>
        <v>0.14285714285714285</v>
      </c>
      <c r="M48" s="49">
        <f>AVERAGE('12.08 Jinja-Buwenge'!M48,'13.08 Jinja-Buwenge'!M48,'14.08 Jinja-Buwenge'!M48,'15.08 Jinja-Buwenge'!M48,'16.08 Jinja-Buwenge-24h'!M48,'17.08 Jinja-Buwenge-24h'!M48,'18.08 Jinja-Buwenge'!M48)</f>
        <v>34.285714285714285</v>
      </c>
      <c r="N48" s="49">
        <f>AVERAGE('12.08 Jinja-Buwenge'!N48,'13.08 Jinja-Buwenge'!N48,'14.08 Jinja-Buwenge'!N48,'15.08 Jinja-Buwenge'!N48,'16.08 Jinja-Buwenge-24h'!N48,'17.08 Jinja-Buwenge-24h'!N48,'18.08 Jinja-Buwenge'!N48)</f>
        <v>0</v>
      </c>
      <c r="O48" s="15">
        <f t="shared" si="0"/>
        <v>29.285714285714281</v>
      </c>
      <c r="P48" s="15">
        <f t="shared" si="1"/>
        <v>63.571428571428569</v>
      </c>
      <c r="R48" s="8"/>
      <c r="T48"/>
    </row>
    <row r="49" spans="2:20" ht="23.1" customHeight="1" x14ac:dyDescent="0.25">
      <c r="B49" s="23" t="s">
        <v>76</v>
      </c>
      <c r="C49" s="49">
        <f>AVERAGE('12.08 Jinja-Buwenge'!C49,'13.08 Jinja-Buwenge'!C49,'14.08 Jinja-Buwenge'!C49,'15.08 Jinja-Buwenge'!C49,'16.08 Jinja-Buwenge-24h'!C49,'17.08 Jinja-Buwenge-24h'!C49,'18.08 Jinja-Buwenge'!C49)</f>
        <v>6.2857142857142856</v>
      </c>
      <c r="D49" s="49">
        <f>AVERAGE('12.08 Jinja-Buwenge'!D49,'13.08 Jinja-Buwenge'!D49,'14.08 Jinja-Buwenge'!D49,'15.08 Jinja-Buwenge'!D49,'16.08 Jinja-Buwenge-24h'!D49,'17.08 Jinja-Buwenge-24h'!D49,'18.08 Jinja-Buwenge'!D49)</f>
        <v>0.42857142857142855</v>
      </c>
      <c r="E49" s="49">
        <f>AVERAGE('12.08 Jinja-Buwenge'!E49,'13.08 Jinja-Buwenge'!E49,'14.08 Jinja-Buwenge'!E49,'15.08 Jinja-Buwenge'!E49,'16.08 Jinja-Buwenge-24h'!E49,'17.08 Jinja-Buwenge-24h'!E49,'18.08 Jinja-Buwenge'!E49)</f>
        <v>3</v>
      </c>
      <c r="F49" s="49">
        <f>AVERAGE('12.08 Jinja-Buwenge'!F49,'13.08 Jinja-Buwenge'!F49,'14.08 Jinja-Buwenge'!F49,'15.08 Jinja-Buwenge'!F49,'16.08 Jinja-Buwenge-24h'!F49,'17.08 Jinja-Buwenge-24h'!F49,'18.08 Jinja-Buwenge'!F49)</f>
        <v>10.857142857142858</v>
      </c>
      <c r="G49" s="49">
        <f>AVERAGE('12.08 Jinja-Buwenge'!G49,'13.08 Jinja-Buwenge'!G49,'14.08 Jinja-Buwenge'!G49,'15.08 Jinja-Buwenge'!G49,'16.08 Jinja-Buwenge-24h'!G49,'17.08 Jinja-Buwenge-24h'!G49,'18.08 Jinja-Buwenge'!G49)</f>
        <v>0.7142857142857143</v>
      </c>
      <c r="H49" s="49">
        <f>AVERAGE('12.08 Jinja-Buwenge'!H49,'13.08 Jinja-Buwenge'!H49,'14.08 Jinja-Buwenge'!H49,'15.08 Jinja-Buwenge'!H49,'16.08 Jinja-Buwenge-24h'!H49,'17.08 Jinja-Buwenge-24h'!H49,'18.08 Jinja-Buwenge'!H49)</f>
        <v>0.42857142857142855</v>
      </c>
      <c r="I49" s="49">
        <f>AVERAGE('12.08 Jinja-Buwenge'!I49,'13.08 Jinja-Buwenge'!I49,'14.08 Jinja-Buwenge'!I49,'15.08 Jinja-Buwenge'!I49,'16.08 Jinja-Buwenge-24h'!I49,'17.08 Jinja-Buwenge-24h'!I49,'18.08 Jinja-Buwenge'!I49)</f>
        <v>3.4285714285714284</v>
      </c>
      <c r="J49" s="49">
        <f>AVERAGE('12.08 Jinja-Buwenge'!J49,'13.08 Jinja-Buwenge'!J49,'14.08 Jinja-Buwenge'!J49,'15.08 Jinja-Buwenge'!J49,'16.08 Jinja-Buwenge-24h'!J49,'17.08 Jinja-Buwenge-24h'!J49,'18.08 Jinja-Buwenge'!J49)</f>
        <v>0.14285714285714285</v>
      </c>
      <c r="K49" s="49">
        <f>AVERAGE('12.08 Jinja-Buwenge'!K49,'13.08 Jinja-Buwenge'!K49,'14.08 Jinja-Buwenge'!K49,'15.08 Jinja-Buwenge'!K49,'16.08 Jinja-Buwenge-24h'!K49,'17.08 Jinja-Buwenge-24h'!K49,'18.08 Jinja-Buwenge'!K49)</f>
        <v>0</v>
      </c>
      <c r="L49" s="49">
        <f>AVERAGE('12.08 Jinja-Buwenge'!L49,'13.08 Jinja-Buwenge'!L49,'14.08 Jinja-Buwenge'!L49,'15.08 Jinja-Buwenge'!L49,'16.08 Jinja-Buwenge-24h'!L49,'17.08 Jinja-Buwenge-24h'!L49,'18.08 Jinja-Buwenge'!L49)</f>
        <v>0</v>
      </c>
      <c r="M49" s="49">
        <f>AVERAGE('12.08 Jinja-Buwenge'!M49,'13.08 Jinja-Buwenge'!M49,'14.08 Jinja-Buwenge'!M49,'15.08 Jinja-Buwenge'!M49,'16.08 Jinja-Buwenge-24h'!M49,'17.08 Jinja-Buwenge-24h'!M49,'18.08 Jinja-Buwenge'!M49)</f>
        <v>40.428571428571431</v>
      </c>
      <c r="N49" s="49">
        <f>AVERAGE('12.08 Jinja-Buwenge'!N49,'13.08 Jinja-Buwenge'!N49,'14.08 Jinja-Buwenge'!N49,'15.08 Jinja-Buwenge'!N49,'16.08 Jinja-Buwenge-24h'!N49,'17.08 Jinja-Buwenge-24h'!N49,'18.08 Jinja-Buwenge'!N49)</f>
        <v>0</v>
      </c>
      <c r="O49" s="15">
        <f t="shared" si="0"/>
        <v>25.285714285714285</v>
      </c>
      <c r="P49" s="15">
        <f t="shared" si="1"/>
        <v>65.714285714285722</v>
      </c>
      <c r="R49" s="8"/>
      <c r="T49"/>
    </row>
    <row r="50" spans="2:20" ht="23.1" customHeight="1" x14ac:dyDescent="0.25">
      <c r="B50" s="24" t="s">
        <v>77</v>
      </c>
      <c r="C50" s="49">
        <f>AVERAGE('12.08 Jinja-Buwenge'!C50,'13.08 Jinja-Buwenge'!C50,'14.08 Jinja-Buwenge'!C50,'15.08 Jinja-Buwenge'!C50,'16.08 Jinja-Buwenge-24h'!C50,'17.08 Jinja-Buwenge-24h'!C50,'18.08 Jinja-Buwenge'!C50)</f>
        <v>5.4285714285714288</v>
      </c>
      <c r="D50" s="49">
        <f>AVERAGE('12.08 Jinja-Buwenge'!D50,'13.08 Jinja-Buwenge'!D50,'14.08 Jinja-Buwenge'!D50,'15.08 Jinja-Buwenge'!D50,'16.08 Jinja-Buwenge-24h'!D50,'17.08 Jinja-Buwenge-24h'!D50,'18.08 Jinja-Buwenge'!D50)</f>
        <v>0.7142857142857143</v>
      </c>
      <c r="E50" s="49">
        <f>AVERAGE('12.08 Jinja-Buwenge'!E50,'13.08 Jinja-Buwenge'!E50,'14.08 Jinja-Buwenge'!E50,'15.08 Jinja-Buwenge'!E50,'16.08 Jinja-Buwenge-24h'!E50,'17.08 Jinja-Buwenge-24h'!E50,'18.08 Jinja-Buwenge'!E50)</f>
        <v>3.2857142857142856</v>
      </c>
      <c r="F50" s="49">
        <f>AVERAGE('12.08 Jinja-Buwenge'!F50,'13.08 Jinja-Buwenge'!F50,'14.08 Jinja-Buwenge'!F50,'15.08 Jinja-Buwenge'!F50,'16.08 Jinja-Buwenge-24h'!F50,'17.08 Jinja-Buwenge-24h'!F50,'18.08 Jinja-Buwenge'!F50)</f>
        <v>11</v>
      </c>
      <c r="G50" s="49">
        <f>AVERAGE('12.08 Jinja-Buwenge'!G50,'13.08 Jinja-Buwenge'!G50,'14.08 Jinja-Buwenge'!G50,'15.08 Jinja-Buwenge'!G50,'16.08 Jinja-Buwenge-24h'!G50,'17.08 Jinja-Buwenge-24h'!G50,'18.08 Jinja-Buwenge'!G50)</f>
        <v>0.8571428571428571</v>
      </c>
      <c r="H50" s="49">
        <f>AVERAGE('12.08 Jinja-Buwenge'!H50,'13.08 Jinja-Buwenge'!H50,'14.08 Jinja-Buwenge'!H50,'15.08 Jinja-Buwenge'!H50,'16.08 Jinja-Buwenge-24h'!H50,'17.08 Jinja-Buwenge-24h'!H50,'18.08 Jinja-Buwenge'!H50)</f>
        <v>0</v>
      </c>
      <c r="I50" s="49">
        <f>AVERAGE('12.08 Jinja-Buwenge'!I50,'13.08 Jinja-Buwenge'!I50,'14.08 Jinja-Buwenge'!I50,'15.08 Jinja-Buwenge'!I50,'16.08 Jinja-Buwenge-24h'!I50,'17.08 Jinja-Buwenge-24h'!I50,'18.08 Jinja-Buwenge'!I50)</f>
        <v>3.8571428571428572</v>
      </c>
      <c r="J50" s="49">
        <f>AVERAGE('12.08 Jinja-Buwenge'!J50,'13.08 Jinja-Buwenge'!J50,'14.08 Jinja-Buwenge'!J50,'15.08 Jinja-Buwenge'!J50,'16.08 Jinja-Buwenge-24h'!J50,'17.08 Jinja-Buwenge-24h'!J50,'18.08 Jinja-Buwenge'!J50)</f>
        <v>0</v>
      </c>
      <c r="K50" s="49">
        <f>AVERAGE('12.08 Jinja-Buwenge'!K50,'13.08 Jinja-Buwenge'!K50,'14.08 Jinja-Buwenge'!K50,'15.08 Jinja-Buwenge'!K50,'16.08 Jinja-Buwenge-24h'!K50,'17.08 Jinja-Buwenge-24h'!K50,'18.08 Jinja-Buwenge'!K50)</f>
        <v>0.14285714285714285</v>
      </c>
      <c r="L50" s="49">
        <f>AVERAGE('12.08 Jinja-Buwenge'!L50,'13.08 Jinja-Buwenge'!L50,'14.08 Jinja-Buwenge'!L50,'15.08 Jinja-Buwenge'!L50,'16.08 Jinja-Buwenge-24h'!L50,'17.08 Jinja-Buwenge-24h'!L50,'18.08 Jinja-Buwenge'!L50)</f>
        <v>0</v>
      </c>
      <c r="M50" s="49">
        <f>AVERAGE('12.08 Jinja-Buwenge'!M50,'13.08 Jinja-Buwenge'!M50,'14.08 Jinja-Buwenge'!M50,'15.08 Jinja-Buwenge'!M50,'16.08 Jinja-Buwenge-24h'!M50,'17.08 Jinja-Buwenge-24h'!M50,'18.08 Jinja-Buwenge'!M50)</f>
        <v>40.142857142857146</v>
      </c>
      <c r="N50" s="49">
        <f>AVERAGE('12.08 Jinja-Buwenge'!N50,'13.08 Jinja-Buwenge'!N50,'14.08 Jinja-Buwenge'!N50,'15.08 Jinja-Buwenge'!N50,'16.08 Jinja-Buwenge-24h'!N50,'17.08 Jinja-Buwenge-24h'!N50,'18.08 Jinja-Buwenge'!N50)</f>
        <v>0</v>
      </c>
      <c r="O50" s="15">
        <f t="shared" si="0"/>
        <v>25.285714285714288</v>
      </c>
      <c r="P50" s="15">
        <f t="shared" si="1"/>
        <v>65.428571428571431</v>
      </c>
      <c r="R50" s="8"/>
      <c r="T50"/>
    </row>
    <row r="51" spans="2:20" ht="23.1" customHeight="1" x14ac:dyDescent="0.25">
      <c r="B51" s="24" t="s">
        <v>78</v>
      </c>
      <c r="C51" s="49">
        <f>AVERAGE('12.08 Jinja-Buwenge'!C51,'13.08 Jinja-Buwenge'!C51,'14.08 Jinja-Buwenge'!C51,'15.08 Jinja-Buwenge'!C51,'16.08 Jinja-Buwenge-24h'!C51,'17.08 Jinja-Buwenge-24h'!C51,'18.08 Jinja-Buwenge'!C51)</f>
        <v>5.7142857142857144</v>
      </c>
      <c r="D51" s="49">
        <f>AVERAGE('12.08 Jinja-Buwenge'!D51,'13.08 Jinja-Buwenge'!D51,'14.08 Jinja-Buwenge'!D51,'15.08 Jinja-Buwenge'!D51,'16.08 Jinja-Buwenge-24h'!D51,'17.08 Jinja-Buwenge-24h'!D51,'18.08 Jinja-Buwenge'!D51)</f>
        <v>0.7142857142857143</v>
      </c>
      <c r="E51" s="49">
        <f>AVERAGE('12.08 Jinja-Buwenge'!E51,'13.08 Jinja-Buwenge'!E51,'14.08 Jinja-Buwenge'!E51,'15.08 Jinja-Buwenge'!E51,'16.08 Jinja-Buwenge-24h'!E51,'17.08 Jinja-Buwenge-24h'!E51,'18.08 Jinja-Buwenge'!E51)</f>
        <v>3</v>
      </c>
      <c r="F51" s="49">
        <f>AVERAGE('12.08 Jinja-Buwenge'!F51,'13.08 Jinja-Buwenge'!F51,'14.08 Jinja-Buwenge'!F51,'15.08 Jinja-Buwenge'!F51,'16.08 Jinja-Buwenge-24h'!F51,'17.08 Jinja-Buwenge-24h'!F51,'18.08 Jinja-Buwenge'!F51)</f>
        <v>9.7142857142857135</v>
      </c>
      <c r="G51" s="49">
        <f>AVERAGE('12.08 Jinja-Buwenge'!G51,'13.08 Jinja-Buwenge'!G51,'14.08 Jinja-Buwenge'!G51,'15.08 Jinja-Buwenge'!G51,'16.08 Jinja-Buwenge-24h'!G51,'17.08 Jinja-Buwenge-24h'!G51,'18.08 Jinja-Buwenge'!G51)</f>
        <v>1.1428571428571428</v>
      </c>
      <c r="H51" s="49">
        <f>AVERAGE('12.08 Jinja-Buwenge'!H51,'13.08 Jinja-Buwenge'!H51,'14.08 Jinja-Buwenge'!H51,'15.08 Jinja-Buwenge'!H51,'16.08 Jinja-Buwenge-24h'!H51,'17.08 Jinja-Buwenge-24h'!H51,'18.08 Jinja-Buwenge'!H51)</f>
        <v>0.14285714285714285</v>
      </c>
      <c r="I51" s="49">
        <f>AVERAGE('12.08 Jinja-Buwenge'!I51,'13.08 Jinja-Buwenge'!I51,'14.08 Jinja-Buwenge'!I51,'15.08 Jinja-Buwenge'!I51,'16.08 Jinja-Buwenge-24h'!I51,'17.08 Jinja-Buwenge-24h'!I51,'18.08 Jinja-Buwenge'!I51)</f>
        <v>3.5714285714285716</v>
      </c>
      <c r="J51" s="49">
        <f>AVERAGE('12.08 Jinja-Buwenge'!J51,'13.08 Jinja-Buwenge'!J51,'14.08 Jinja-Buwenge'!J51,'15.08 Jinja-Buwenge'!J51,'16.08 Jinja-Buwenge-24h'!J51,'17.08 Jinja-Buwenge-24h'!J51,'18.08 Jinja-Buwenge'!J51)</f>
        <v>0.14285714285714285</v>
      </c>
      <c r="K51" s="49">
        <f>AVERAGE('12.08 Jinja-Buwenge'!K51,'13.08 Jinja-Buwenge'!K51,'14.08 Jinja-Buwenge'!K51,'15.08 Jinja-Buwenge'!K51,'16.08 Jinja-Buwenge-24h'!K51,'17.08 Jinja-Buwenge-24h'!K51,'18.08 Jinja-Buwenge'!K51)</f>
        <v>0</v>
      </c>
      <c r="L51" s="49">
        <f>AVERAGE('12.08 Jinja-Buwenge'!L51,'13.08 Jinja-Buwenge'!L51,'14.08 Jinja-Buwenge'!L51,'15.08 Jinja-Buwenge'!L51,'16.08 Jinja-Buwenge-24h'!L51,'17.08 Jinja-Buwenge-24h'!L51,'18.08 Jinja-Buwenge'!L51)</f>
        <v>0.14285714285714285</v>
      </c>
      <c r="M51" s="49">
        <f>AVERAGE('12.08 Jinja-Buwenge'!M51,'13.08 Jinja-Buwenge'!M51,'14.08 Jinja-Buwenge'!M51,'15.08 Jinja-Buwenge'!M51,'16.08 Jinja-Buwenge-24h'!M51,'17.08 Jinja-Buwenge-24h'!M51,'18.08 Jinja-Buwenge'!M51)</f>
        <v>44.428571428571431</v>
      </c>
      <c r="N51" s="49">
        <f>AVERAGE('12.08 Jinja-Buwenge'!N51,'13.08 Jinja-Buwenge'!N51,'14.08 Jinja-Buwenge'!N51,'15.08 Jinja-Buwenge'!N51,'16.08 Jinja-Buwenge-24h'!N51,'17.08 Jinja-Buwenge-24h'!N51,'18.08 Jinja-Buwenge'!N51)</f>
        <v>0</v>
      </c>
      <c r="O51" s="15">
        <f t="shared" si="0"/>
        <v>24.285714285714285</v>
      </c>
      <c r="P51" s="15">
        <f t="shared" si="1"/>
        <v>68.714285714285722</v>
      </c>
      <c r="R51" s="8"/>
      <c r="T51"/>
    </row>
    <row r="52" spans="2:20" ht="23.1" customHeight="1" x14ac:dyDescent="0.25">
      <c r="B52" s="24" t="s">
        <v>79</v>
      </c>
      <c r="C52" s="49">
        <f>AVERAGE('12.08 Jinja-Buwenge'!C52,'13.08 Jinja-Buwenge'!C52,'14.08 Jinja-Buwenge'!C52,'15.08 Jinja-Buwenge'!C52,'16.08 Jinja-Buwenge-24h'!C52,'17.08 Jinja-Buwenge-24h'!C52,'18.08 Jinja-Buwenge'!C52)</f>
        <v>6.1428571428571432</v>
      </c>
      <c r="D52" s="49">
        <f>AVERAGE('12.08 Jinja-Buwenge'!D52,'13.08 Jinja-Buwenge'!D52,'14.08 Jinja-Buwenge'!D52,'15.08 Jinja-Buwenge'!D52,'16.08 Jinja-Buwenge-24h'!D52,'17.08 Jinja-Buwenge-24h'!D52,'18.08 Jinja-Buwenge'!D52)</f>
        <v>0.42857142857142855</v>
      </c>
      <c r="E52" s="49">
        <f>AVERAGE('12.08 Jinja-Buwenge'!E52,'13.08 Jinja-Buwenge'!E52,'14.08 Jinja-Buwenge'!E52,'15.08 Jinja-Buwenge'!E52,'16.08 Jinja-Buwenge-24h'!E52,'17.08 Jinja-Buwenge-24h'!E52,'18.08 Jinja-Buwenge'!E52)</f>
        <v>2.5714285714285716</v>
      </c>
      <c r="F52" s="49">
        <f>AVERAGE('12.08 Jinja-Buwenge'!F52,'13.08 Jinja-Buwenge'!F52,'14.08 Jinja-Buwenge'!F52,'15.08 Jinja-Buwenge'!F52,'16.08 Jinja-Buwenge-24h'!F52,'17.08 Jinja-Buwenge-24h'!F52,'18.08 Jinja-Buwenge'!F52)</f>
        <v>10.714285714285714</v>
      </c>
      <c r="G52" s="49">
        <f>AVERAGE('12.08 Jinja-Buwenge'!G52,'13.08 Jinja-Buwenge'!G52,'14.08 Jinja-Buwenge'!G52,'15.08 Jinja-Buwenge'!G52,'16.08 Jinja-Buwenge-24h'!G52,'17.08 Jinja-Buwenge-24h'!G52,'18.08 Jinja-Buwenge'!G52)</f>
        <v>1.2857142857142858</v>
      </c>
      <c r="H52" s="49">
        <f>AVERAGE('12.08 Jinja-Buwenge'!H52,'13.08 Jinja-Buwenge'!H52,'14.08 Jinja-Buwenge'!H52,'15.08 Jinja-Buwenge'!H52,'16.08 Jinja-Buwenge-24h'!H52,'17.08 Jinja-Buwenge-24h'!H52,'18.08 Jinja-Buwenge'!H52)</f>
        <v>0</v>
      </c>
      <c r="I52" s="49">
        <f>AVERAGE('12.08 Jinja-Buwenge'!I52,'13.08 Jinja-Buwenge'!I52,'14.08 Jinja-Buwenge'!I52,'15.08 Jinja-Buwenge'!I52,'16.08 Jinja-Buwenge-24h'!I52,'17.08 Jinja-Buwenge-24h'!I52,'18.08 Jinja-Buwenge'!I52)</f>
        <v>2.4285714285714284</v>
      </c>
      <c r="J52" s="49">
        <f>AVERAGE('12.08 Jinja-Buwenge'!J52,'13.08 Jinja-Buwenge'!J52,'14.08 Jinja-Buwenge'!J52,'15.08 Jinja-Buwenge'!J52,'16.08 Jinja-Buwenge-24h'!J52,'17.08 Jinja-Buwenge-24h'!J52,'18.08 Jinja-Buwenge'!J52)</f>
        <v>0.42857142857142855</v>
      </c>
      <c r="K52" s="49">
        <f>AVERAGE('12.08 Jinja-Buwenge'!K52,'13.08 Jinja-Buwenge'!K52,'14.08 Jinja-Buwenge'!K52,'15.08 Jinja-Buwenge'!K52,'16.08 Jinja-Buwenge-24h'!K52,'17.08 Jinja-Buwenge-24h'!K52,'18.08 Jinja-Buwenge'!K52)</f>
        <v>0</v>
      </c>
      <c r="L52" s="49">
        <f>AVERAGE('12.08 Jinja-Buwenge'!L52,'13.08 Jinja-Buwenge'!L52,'14.08 Jinja-Buwenge'!L52,'15.08 Jinja-Buwenge'!L52,'16.08 Jinja-Buwenge-24h'!L52,'17.08 Jinja-Buwenge-24h'!L52,'18.08 Jinja-Buwenge'!L52)</f>
        <v>0</v>
      </c>
      <c r="M52" s="49">
        <f>AVERAGE('12.08 Jinja-Buwenge'!M52,'13.08 Jinja-Buwenge'!M52,'14.08 Jinja-Buwenge'!M52,'15.08 Jinja-Buwenge'!M52,'16.08 Jinja-Buwenge-24h'!M52,'17.08 Jinja-Buwenge-24h'!M52,'18.08 Jinja-Buwenge'!M52)</f>
        <v>48.714285714285715</v>
      </c>
      <c r="N52" s="49">
        <f>AVERAGE('12.08 Jinja-Buwenge'!N52,'13.08 Jinja-Buwenge'!N52,'14.08 Jinja-Buwenge'!N52,'15.08 Jinja-Buwenge'!N52,'16.08 Jinja-Buwenge-24h'!N52,'17.08 Jinja-Buwenge-24h'!N52,'18.08 Jinja-Buwenge'!N52)</f>
        <v>0</v>
      </c>
      <c r="O52" s="15">
        <f t="shared" si="0"/>
        <v>23.999999999999996</v>
      </c>
      <c r="P52" s="15">
        <f t="shared" si="1"/>
        <v>72.714285714285708</v>
      </c>
      <c r="R52" s="8"/>
      <c r="T52"/>
    </row>
    <row r="53" spans="2:20" ht="23.1" customHeight="1" x14ac:dyDescent="0.25">
      <c r="B53" s="23" t="s">
        <v>80</v>
      </c>
      <c r="C53" s="49">
        <f>AVERAGE('12.08 Jinja-Buwenge'!C53,'13.08 Jinja-Buwenge'!C53,'14.08 Jinja-Buwenge'!C53,'15.08 Jinja-Buwenge'!C53,'16.08 Jinja-Buwenge-24h'!C53,'17.08 Jinja-Buwenge-24h'!C53,'18.08 Jinja-Buwenge'!C53)</f>
        <v>8.7142857142857135</v>
      </c>
      <c r="D53" s="49">
        <f>AVERAGE('12.08 Jinja-Buwenge'!D53,'13.08 Jinja-Buwenge'!D53,'14.08 Jinja-Buwenge'!D53,'15.08 Jinja-Buwenge'!D53,'16.08 Jinja-Buwenge-24h'!D53,'17.08 Jinja-Buwenge-24h'!D53,'18.08 Jinja-Buwenge'!D53)</f>
        <v>0.2857142857142857</v>
      </c>
      <c r="E53" s="49">
        <f>AVERAGE('12.08 Jinja-Buwenge'!E53,'13.08 Jinja-Buwenge'!E53,'14.08 Jinja-Buwenge'!E53,'15.08 Jinja-Buwenge'!E53,'16.08 Jinja-Buwenge-24h'!E53,'17.08 Jinja-Buwenge-24h'!E53,'18.08 Jinja-Buwenge'!E53)</f>
        <v>3.1428571428571428</v>
      </c>
      <c r="F53" s="49">
        <f>AVERAGE('12.08 Jinja-Buwenge'!F53,'13.08 Jinja-Buwenge'!F53,'14.08 Jinja-Buwenge'!F53,'15.08 Jinja-Buwenge'!F53,'16.08 Jinja-Buwenge-24h'!F53,'17.08 Jinja-Buwenge-24h'!F53,'18.08 Jinja-Buwenge'!F53)</f>
        <v>9.5714285714285712</v>
      </c>
      <c r="G53" s="49">
        <f>AVERAGE('12.08 Jinja-Buwenge'!G53,'13.08 Jinja-Buwenge'!G53,'14.08 Jinja-Buwenge'!G53,'15.08 Jinja-Buwenge'!G53,'16.08 Jinja-Buwenge-24h'!G53,'17.08 Jinja-Buwenge-24h'!G53,'18.08 Jinja-Buwenge'!G53)</f>
        <v>1.8571428571428572</v>
      </c>
      <c r="H53" s="49">
        <f>AVERAGE('12.08 Jinja-Buwenge'!H53,'13.08 Jinja-Buwenge'!H53,'14.08 Jinja-Buwenge'!H53,'15.08 Jinja-Buwenge'!H53,'16.08 Jinja-Buwenge-24h'!H53,'17.08 Jinja-Buwenge-24h'!H53,'18.08 Jinja-Buwenge'!H53)</f>
        <v>0.14285714285714285</v>
      </c>
      <c r="I53" s="49">
        <f>AVERAGE('12.08 Jinja-Buwenge'!I53,'13.08 Jinja-Buwenge'!I53,'14.08 Jinja-Buwenge'!I53,'15.08 Jinja-Buwenge'!I53,'16.08 Jinja-Buwenge-24h'!I53,'17.08 Jinja-Buwenge-24h'!I53,'18.08 Jinja-Buwenge'!I53)</f>
        <v>3.4285714285714284</v>
      </c>
      <c r="J53" s="49">
        <f>AVERAGE('12.08 Jinja-Buwenge'!J53,'13.08 Jinja-Buwenge'!J53,'14.08 Jinja-Buwenge'!J53,'15.08 Jinja-Buwenge'!J53,'16.08 Jinja-Buwenge-24h'!J53,'17.08 Jinja-Buwenge-24h'!J53,'18.08 Jinja-Buwenge'!J53)</f>
        <v>0.42857142857142855</v>
      </c>
      <c r="K53" s="49">
        <f>AVERAGE('12.08 Jinja-Buwenge'!K53,'13.08 Jinja-Buwenge'!K53,'14.08 Jinja-Buwenge'!K53,'15.08 Jinja-Buwenge'!K53,'16.08 Jinja-Buwenge-24h'!K53,'17.08 Jinja-Buwenge-24h'!K53,'18.08 Jinja-Buwenge'!K53)</f>
        <v>0.14285714285714285</v>
      </c>
      <c r="L53" s="49">
        <f>AVERAGE('12.08 Jinja-Buwenge'!L53,'13.08 Jinja-Buwenge'!L53,'14.08 Jinja-Buwenge'!L53,'15.08 Jinja-Buwenge'!L53,'16.08 Jinja-Buwenge-24h'!L53,'17.08 Jinja-Buwenge-24h'!L53,'18.08 Jinja-Buwenge'!L53)</f>
        <v>0</v>
      </c>
      <c r="M53" s="49">
        <f>AVERAGE('12.08 Jinja-Buwenge'!M53,'13.08 Jinja-Buwenge'!M53,'14.08 Jinja-Buwenge'!M53,'15.08 Jinja-Buwenge'!M53,'16.08 Jinja-Buwenge-24h'!M53,'17.08 Jinja-Buwenge-24h'!M53,'18.08 Jinja-Buwenge'!M53)</f>
        <v>43.714285714285715</v>
      </c>
      <c r="N53" s="49">
        <f>AVERAGE('12.08 Jinja-Buwenge'!N53,'13.08 Jinja-Buwenge'!N53,'14.08 Jinja-Buwenge'!N53,'15.08 Jinja-Buwenge'!N53,'16.08 Jinja-Buwenge-24h'!N53,'17.08 Jinja-Buwenge-24h'!N53,'18.08 Jinja-Buwenge'!N53)</f>
        <v>0</v>
      </c>
      <c r="O53" s="15">
        <f t="shared" si="0"/>
        <v>27.714285714285712</v>
      </c>
      <c r="P53" s="15">
        <f t="shared" si="1"/>
        <v>71.428571428571431</v>
      </c>
      <c r="R53" s="8"/>
      <c r="T53"/>
    </row>
    <row r="54" spans="2:20" ht="23.1" customHeight="1" x14ac:dyDescent="0.25">
      <c r="B54" s="23" t="s">
        <v>81</v>
      </c>
      <c r="C54" s="49">
        <f>AVERAGE('12.08 Jinja-Buwenge'!C54,'13.08 Jinja-Buwenge'!C54,'14.08 Jinja-Buwenge'!C54,'15.08 Jinja-Buwenge'!C54,'16.08 Jinja-Buwenge-24h'!C54,'17.08 Jinja-Buwenge-24h'!C54,'18.08 Jinja-Buwenge'!C54)</f>
        <v>8</v>
      </c>
      <c r="D54" s="49">
        <f>AVERAGE('12.08 Jinja-Buwenge'!D54,'13.08 Jinja-Buwenge'!D54,'14.08 Jinja-Buwenge'!D54,'15.08 Jinja-Buwenge'!D54,'16.08 Jinja-Buwenge-24h'!D54,'17.08 Jinja-Buwenge-24h'!D54,'18.08 Jinja-Buwenge'!D54)</f>
        <v>1.2857142857142858</v>
      </c>
      <c r="E54" s="49">
        <f>AVERAGE('12.08 Jinja-Buwenge'!E54,'13.08 Jinja-Buwenge'!E54,'14.08 Jinja-Buwenge'!E54,'15.08 Jinja-Buwenge'!E54,'16.08 Jinja-Buwenge-24h'!E54,'17.08 Jinja-Buwenge-24h'!E54,'18.08 Jinja-Buwenge'!E54)</f>
        <v>4.4285714285714288</v>
      </c>
      <c r="F54" s="49">
        <f>AVERAGE('12.08 Jinja-Buwenge'!F54,'13.08 Jinja-Buwenge'!F54,'14.08 Jinja-Buwenge'!F54,'15.08 Jinja-Buwenge'!F54,'16.08 Jinja-Buwenge-24h'!F54,'17.08 Jinja-Buwenge-24h'!F54,'18.08 Jinja-Buwenge'!F54)</f>
        <v>11.857142857142858</v>
      </c>
      <c r="G54" s="49">
        <f>AVERAGE('12.08 Jinja-Buwenge'!G54,'13.08 Jinja-Buwenge'!G54,'14.08 Jinja-Buwenge'!G54,'15.08 Jinja-Buwenge'!G54,'16.08 Jinja-Buwenge-24h'!G54,'17.08 Jinja-Buwenge-24h'!G54,'18.08 Jinja-Buwenge'!G54)</f>
        <v>2.2857142857142856</v>
      </c>
      <c r="H54" s="49">
        <f>AVERAGE('12.08 Jinja-Buwenge'!H54,'13.08 Jinja-Buwenge'!H54,'14.08 Jinja-Buwenge'!H54,'15.08 Jinja-Buwenge'!H54,'16.08 Jinja-Buwenge-24h'!H54,'17.08 Jinja-Buwenge-24h'!H54,'18.08 Jinja-Buwenge'!H54)</f>
        <v>0</v>
      </c>
      <c r="I54" s="49">
        <f>AVERAGE('12.08 Jinja-Buwenge'!I54,'13.08 Jinja-Buwenge'!I54,'14.08 Jinja-Buwenge'!I54,'15.08 Jinja-Buwenge'!I54,'16.08 Jinja-Buwenge-24h'!I54,'17.08 Jinja-Buwenge-24h'!I54,'18.08 Jinja-Buwenge'!I54)</f>
        <v>2.4285714285714284</v>
      </c>
      <c r="J54" s="49">
        <f>AVERAGE('12.08 Jinja-Buwenge'!J54,'13.08 Jinja-Buwenge'!J54,'14.08 Jinja-Buwenge'!J54,'15.08 Jinja-Buwenge'!J54,'16.08 Jinja-Buwenge-24h'!J54,'17.08 Jinja-Buwenge-24h'!J54,'18.08 Jinja-Buwenge'!J54)</f>
        <v>0</v>
      </c>
      <c r="K54" s="49">
        <f>AVERAGE('12.08 Jinja-Buwenge'!K54,'13.08 Jinja-Buwenge'!K54,'14.08 Jinja-Buwenge'!K54,'15.08 Jinja-Buwenge'!K54,'16.08 Jinja-Buwenge-24h'!K54,'17.08 Jinja-Buwenge-24h'!K54,'18.08 Jinja-Buwenge'!K54)</f>
        <v>0</v>
      </c>
      <c r="L54" s="49">
        <f>AVERAGE('12.08 Jinja-Buwenge'!L54,'13.08 Jinja-Buwenge'!L54,'14.08 Jinja-Buwenge'!L54,'15.08 Jinja-Buwenge'!L54,'16.08 Jinja-Buwenge-24h'!L54,'17.08 Jinja-Buwenge-24h'!L54,'18.08 Jinja-Buwenge'!L54)</f>
        <v>0.2857142857142857</v>
      </c>
      <c r="M54" s="49">
        <f>AVERAGE('12.08 Jinja-Buwenge'!M54,'13.08 Jinja-Buwenge'!M54,'14.08 Jinja-Buwenge'!M54,'15.08 Jinja-Buwenge'!M54,'16.08 Jinja-Buwenge-24h'!M54,'17.08 Jinja-Buwenge-24h'!M54,'18.08 Jinja-Buwenge'!M54)</f>
        <v>42.714285714285715</v>
      </c>
      <c r="N54" s="49">
        <f>AVERAGE('12.08 Jinja-Buwenge'!N54,'13.08 Jinja-Buwenge'!N54,'14.08 Jinja-Buwenge'!N54,'15.08 Jinja-Buwenge'!N54,'16.08 Jinja-Buwenge-24h'!N54,'17.08 Jinja-Buwenge-24h'!N54,'18.08 Jinja-Buwenge'!N54)</f>
        <v>0</v>
      </c>
      <c r="O54" s="15">
        <f t="shared" si="0"/>
        <v>30.571428571428569</v>
      </c>
      <c r="P54" s="15">
        <f t="shared" si="1"/>
        <v>73.285714285714278</v>
      </c>
      <c r="R54" s="8"/>
      <c r="T54"/>
    </row>
    <row r="55" spans="2:20" ht="23.1" customHeight="1" x14ac:dyDescent="0.25">
      <c r="B55" s="23" t="s">
        <v>82</v>
      </c>
      <c r="C55" s="49">
        <f>AVERAGE('12.08 Jinja-Buwenge'!C55,'13.08 Jinja-Buwenge'!C55,'14.08 Jinja-Buwenge'!C55,'15.08 Jinja-Buwenge'!C55,'16.08 Jinja-Buwenge-24h'!C55,'17.08 Jinja-Buwenge-24h'!C55,'18.08 Jinja-Buwenge'!C55)</f>
        <v>5</v>
      </c>
      <c r="D55" s="49">
        <f>AVERAGE('12.08 Jinja-Buwenge'!D55,'13.08 Jinja-Buwenge'!D55,'14.08 Jinja-Buwenge'!D55,'15.08 Jinja-Buwenge'!D55,'16.08 Jinja-Buwenge-24h'!D55,'17.08 Jinja-Buwenge-24h'!D55,'18.08 Jinja-Buwenge'!D55)</f>
        <v>0.8571428571428571</v>
      </c>
      <c r="E55" s="49">
        <f>AVERAGE('12.08 Jinja-Buwenge'!E55,'13.08 Jinja-Buwenge'!E55,'14.08 Jinja-Buwenge'!E55,'15.08 Jinja-Buwenge'!E55,'16.08 Jinja-Buwenge-24h'!E55,'17.08 Jinja-Buwenge-24h'!E55,'18.08 Jinja-Buwenge'!E55)</f>
        <v>4.1428571428571432</v>
      </c>
      <c r="F55" s="49">
        <f>AVERAGE('12.08 Jinja-Buwenge'!F55,'13.08 Jinja-Buwenge'!F55,'14.08 Jinja-Buwenge'!F55,'15.08 Jinja-Buwenge'!F55,'16.08 Jinja-Buwenge-24h'!F55,'17.08 Jinja-Buwenge-24h'!F55,'18.08 Jinja-Buwenge'!F55)</f>
        <v>10.714285714285714</v>
      </c>
      <c r="G55" s="49">
        <f>AVERAGE('12.08 Jinja-Buwenge'!G55,'13.08 Jinja-Buwenge'!G55,'14.08 Jinja-Buwenge'!G55,'15.08 Jinja-Buwenge'!G55,'16.08 Jinja-Buwenge-24h'!G55,'17.08 Jinja-Buwenge-24h'!G55,'18.08 Jinja-Buwenge'!G55)</f>
        <v>2.4285714285714284</v>
      </c>
      <c r="H55" s="49">
        <f>AVERAGE('12.08 Jinja-Buwenge'!H55,'13.08 Jinja-Buwenge'!H55,'14.08 Jinja-Buwenge'!H55,'15.08 Jinja-Buwenge'!H55,'16.08 Jinja-Buwenge-24h'!H55,'17.08 Jinja-Buwenge-24h'!H55,'18.08 Jinja-Buwenge'!H55)</f>
        <v>0.2857142857142857</v>
      </c>
      <c r="I55" s="49">
        <f>AVERAGE('12.08 Jinja-Buwenge'!I55,'13.08 Jinja-Buwenge'!I55,'14.08 Jinja-Buwenge'!I55,'15.08 Jinja-Buwenge'!I55,'16.08 Jinja-Buwenge-24h'!I55,'17.08 Jinja-Buwenge-24h'!I55,'18.08 Jinja-Buwenge'!I55)</f>
        <v>2.8571428571428572</v>
      </c>
      <c r="J55" s="49">
        <f>AVERAGE('12.08 Jinja-Buwenge'!J55,'13.08 Jinja-Buwenge'!J55,'14.08 Jinja-Buwenge'!J55,'15.08 Jinja-Buwenge'!J55,'16.08 Jinja-Buwenge-24h'!J55,'17.08 Jinja-Buwenge-24h'!J55,'18.08 Jinja-Buwenge'!J55)</f>
        <v>0</v>
      </c>
      <c r="K55" s="49">
        <f>AVERAGE('12.08 Jinja-Buwenge'!K55,'13.08 Jinja-Buwenge'!K55,'14.08 Jinja-Buwenge'!K55,'15.08 Jinja-Buwenge'!K55,'16.08 Jinja-Buwenge-24h'!K55,'17.08 Jinja-Buwenge-24h'!K55,'18.08 Jinja-Buwenge'!K55)</f>
        <v>0</v>
      </c>
      <c r="L55" s="49">
        <f>AVERAGE('12.08 Jinja-Buwenge'!L55,'13.08 Jinja-Buwenge'!L55,'14.08 Jinja-Buwenge'!L55,'15.08 Jinja-Buwenge'!L55,'16.08 Jinja-Buwenge-24h'!L55,'17.08 Jinja-Buwenge-24h'!L55,'18.08 Jinja-Buwenge'!L55)</f>
        <v>0</v>
      </c>
      <c r="M55" s="49">
        <f>AVERAGE('12.08 Jinja-Buwenge'!M55,'13.08 Jinja-Buwenge'!M55,'14.08 Jinja-Buwenge'!M55,'15.08 Jinja-Buwenge'!M55,'16.08 Jinja-Buwenge-24h'!M55,'17.08 Jinja-Buwenge-24h'!M55,'18.08 Jinja-Buwenge'!M55)</f>
        <v>42</v>
      </c>
      <c r="N55" s="49">
        <f>AVERAGE('12.08 Jinja-Buwenge'!N55,'13.08 Jinja-Buwenge'!N55,'14.08 Jinja-Buwenge'!N55,'15.08 Jinja-Buwenge'!N55,'16.08 Jinja-Buwenge-24h'!N55,'17.08 Jinja-Buwenge-24h'!N55,'18.08 Jinja-Buwenge'!N55)</f>
        <v>0</v>
      </c>
      <c r="O55" s="15">
        <f t="shared" si="0"/>
        <v>26.285714285714285</v>
      </c>
      <c r="P55" s="15">
        <f t="shared" si="1"/>
        <v>68.285714285714278</v>
      </c>
      <c r="R55" s="8"/>
      <c r="T55"/>
    </row>
    <row r="56" spans="2:20" ht="23.1" customHeight="1" x14ac:dyDescent="0.25">
      <c r="B56" s="23" t="s">
        <v>83</v>
      </c>
      <c r="C56" s="49">
        <f>AVERAGE('12.08 Jinja-Buwenge'!C56,'13.08 Jinja-Buwenge'!C56,'14.08 Jinja-Buwenge'!C56,'15.08 Jinja-Buwenge'!C56,'16.08 Jinja-Buwenge-24h'!C56,'17.08 Jinja-Buwenge-24h'!C56,'18.08 Jinja-Buwenge'!C56)</f>
        <v>6.7142857142857144</v>
      </c>
      <c r="D56" s="49">
        <f>AVERAGE('12.08 Jinja-Buwenge'!D56,'13.08 Jinja-Buwenge'!D56,'14.08 Jinja-Buwenge'!D56,'15.08 Jinja-Buwenge'!D56,'16.08 Jinja-Buwenge-24h'!D56,'17.08 Jinja-Buwenge-24h'!D56,'18.08 Jinja-Buwenge'!D56)</f>
        <v>1</v>
      </c>
      <c r="E56" s="49">
        <f>AVERAGE('12.08 Jinja-Buwenge'!E56,'13.08 Jinja-Buwenge'!E56,'14.08 Jinja-Buwenge'!E56,'15.08 Jinja-Buwenge'!E56,'16.08 Jinja-Buwenge-24h'!E56,'17.08 Jinja-Buwenge-24h'!E56,'18.08 Jinja-Buwenge'!E56)</f>
        <v>4.2857142857142856</v>
      </c>
      <c r="F56" s="49">
        <f>AVERAGE('12.08 Jinja-Buwenge'!F56,'13.08 Jinja-Buwenge'!F56,'14.08 Jinja-Buwenge'!F56,'15.08 Jinja-Buwenge'!F56,'16.08 Jinja-Buwenge-24h'!F56,'17.08 Jinja-Buwenge-24h'!F56,'18.08 Jinja-Buwenge'!F56)</f>
        <v>11.428571428571429</v>
      </c>
      <c r="G56" s="49">
        <f>AVERAGE('12.08 Jinja-Buwenge'!G56,'13.08 Jinja-Buwenge'!G56,'14.08 Jinja-Buwenge'!G56,'15.08 Jinja-Buwenge'!G56,'16.08 Jinja-Buwenge-24h'!G56,'17.08 Jinja-Buwenge-24h'!G56,'18.08 Jinja-Buwenge'!G56)</f>
        <v>3.2857142857142856</v>
      </c>
      <c r="H56" s="49">
        <f>AVERAGE('12.08 Jinja-Buwenge'!H56,'13.08 Jinja-Buwenge'!H56,'14.08 Jinja-Buwenge'!H56,'15.08 Jinja-Buwenge'!H56,'16.08 Jinja-Buwenge-24h'!H56,'17.08 Jinja-Buwenge-24h'!H56,'18.08 Jinja-Buwenge'!H56)</f>
        <v>0</v>
      </c>
      <c r="I56" s="49">
        <f>AVERAGE('12.08 Jinja-Buwenge'!I56,'13.08 Jinja-Buwenge'!I56,'14.08 Jinja-Buwenge'!I56,'15.08 Jinja-Buwenge'!I56,'16.08 Jinja-Buwenge-24h'!I56,'17.08 Jinja-Buwenge-24h'!I56,'18.08 Jinja-Buwenge'!I56)</f>
        <v>1.8571428571428572</v>
      </c>
      <c r="J56" s="49">
        <f>AVERAGE('12.08 Jinja-Buwenge'!J56,'13.08 Jinja-Buwenge'!J56,'14.08 Jinja-Buwenge'!J56,'15.08 Jinja-Buwenge'!J56,'16.08 Jinja-Buwenge-24h'!J56,'17.08 Jinja-Buwenge-24h'!J56,'18.08 Jinja-Buwenge'!J56)</f>
        <v>0.2857142857142857</v>
      </c>
      <c r="K56" s="49">
        <f>AVERAGE('12.08 Jinja-Buwenge'!K56,'13.08 Jinja-Buwenge'!K56,'14.08 Jinja-Buwenge'!K56,'15.08 Jinja-Buwenge'!K56,'16.08 Jinja-Buwenge-24h'!K56,'17.08 Jinja-Buwenge-24h'!K56,'18.08 Jinja-Buwenge'!K56)</f>
        <v>0</v>
      </c>
      <c r="L56" s="49">
        <f>AVERAGE('12.08 Jinja-Buwenge'!L56,'13.08 Jinja-Buwenge'!L56,'14.08 Jinja-Buwenge'!L56,'15.08 Jinja-Buwenge'!L56,'16.08 Jinja-Buwenge-24h'!L56,'17.08 Jinja-Buwenge-24h'!L56,'18.08 Jinja-Buwenge'!L56)</f>
        <v>0</v>
      </c>
      <c r="M56" s="49">
        <f>AVERAGE('12.08 Jinja-Buwenge'!M56,'13.08 Jinja-Buwenge'!M56,'14.08 Jinja-Buwenge'!M56,'15.08 Jinja-Buwenge'!M56,'16.08 Jinja-Buwenge-24h'!M56,'17.08 Jinja-Buwenge-24h'!M56,'18.08 Jinja-Buwenge'!M56)</f>
        <v>42</v>
      </c>
      <c r="N56" s="49">
        <f>AVERAGE('12.08 Jinja-Buwenge'!N56,'13.08 Jinja-Buwenge'!N56,'14.08 Jinja-Buwenge'!N56,'15.08 Jinja-Buwenge'!N56,'16.08 Jinja-Buwenge-24h'!N56,'17.08 Jinja-Buwenge-24h'!N56,'18.08 Jinja-Buwenge'!N56)</f>
        <v>0</v>
      </c>
      <c r="O56" s="15">
        <f t="shared" si="0"/>
        <v>28.857142857142858</v>
      </c>
      <c r="P56" s="15">
        <f t="shared" si="1"/>
        <v>70.857142857142861</v>
      </c>
      <c r="R56" s="8"/>
      <c r="T56"/>
    </row>
    <row r="57" spans="2:20" ht="23.1" customHeight="1" x14ac:dyDescent="0.25">
      <c r="B57" s="23" t="s">
        <v>84</v>
      </c>
      <c r="C57" s="49">
        <f>AVERAGE('12.08 Jinja-Buwenge'!C57,'13.08 Jinja-Buwenge'!C57,'14.08 Jinja-Buwenge'!C57,'15.08 Jinja-Buwenge'!C57,'16.08 Jinja-Buwenge-24h'!C57,'17.08 Jinja-Buwenge-24h'!C57,'18.08 Jinja-Buwenge'!C57)</f>
        <v>6.5714285714285712</v>
      </c>
      <c r="D57" s="49">
        <f>AVERAGE('12.08 Jinja-Buwenge'!D57,'13.08 Jinja-Buwenge'!D57,'14.08 Jinja-Buwenge'!D57,'15.08 Jinja-Buwenge'!D57,'16.08 Jinja-Buwenge-24h'!D57,'17.08 Jinja-Buwenge-24h'!D57,'18.08 Jinja-Buwenge'!D57)</f>
        <v>0.14285714285714285</v>
      </c>
      <c r="E57" s="49">
        <f>AVERAGE('12.08 Jinja-Buwenge'!E57,'13.08 Jinja-Buwenge'!E57,'14.08 Jinja-Buwenge'!E57,'15.08 Jinja-Buwenge'!E57,'16.08 Jinja-Buwenge-24h'!E57,'17.08 Jinja-Buwenge-24h'!E57,'18.08 Jinja-Buwenge'!E57)</f>
        <v>2.4285714285714284</v>
      </c>
      <c r="F57" s="49">
        <f>AVERAGE('12.08 Jinja-Buwenge'!F57,'13.08 Jinja-Buwenge'!F57,'14.08 Jinja-Buwenge'!F57,'15.08 Jinja-Buwenge'!F57,'16.08 Jinja-Buwenge-24h'!F57,'17.08 Jinja-Buwenge-24h'!F57,'18.08 Jinja-Buwenge'!F57)</f>
        <v>9</v>
      </c>
      <c r="G57" s="49">
        <f>AVERAGE('12.08 Jinja-Buwenge'!G57,'13.08 Jinja-Buwenge'!G57,'14.08 Jinja-Buwenge'!G57,'15.08 Jinja-Buwenge'!G57,'16.08 Jinja-Buwenge-24h'!G57,'17.08 Jinja-Buwenge-24h'!G57,'18.08 Jinja-Buwenge'!G57)</f>
        <v>3</v>
      </c>
      <c r="H57" s="49">
        <f>AVERAGE('12.08 Jinja-Buwenge'!H57,'13.08 Jinja-Buwenge'!H57,'14.08 Jinja-Buwenge'!H57,'15.08 Jinja-Buwenge'!H57,'16.08 Jinja-Buwenge-24h'!H57,'17.08 Jinja-Buwenge-24h'!H57,'18.08 Jinja-Buwenge'!H57)</f>
        <v>0</v>
      </c>
      <c r="I57" s="49">
        <f>AVERAGE('12.08 Jinja-Buwenge'!I57,'13.08 Jinja-Buwenge'!I57,'14.08 Jinja-Buwenge'!I57,'15.08 Jinja-Buwenge'!I57,'16.08 Jinja-Buwenge-24h'!I57,'17.08 Jinja-Buwenge-24h'!I57,'18.08 Jinja-Buwenge'!I57)</f>
        <v>2.2857142857142856</v>
      </c>
      <c r="J57" s="49">
        <f>AVERAGE('12.08 Jinja-Buwenge'!J57,'13.08 Jinja-Buwenge'!J57,'14.08 Jinja-Buwenge'!J57,'15.08 Jinja-Buwenge'!J57,'16.08 Jinja-Buwenge-24h'!J57,'17.08 Jinja-Buwenge-24h'!J57,'18.08 Jinja-Buwenge'!J57)</f>
        <v>0.14285714285714285</v>
      </c>
      <c r="K57" s="49">
        <f>AVERAGE('12.08 Jinja-Buwenge'!K57,'13.08 Jinja-Buwenge'!K57,'14.08 Jinja-Buwenge'!K57,'15.08 Jinja-Buwenge'!K57,'16.08 Jinja-Buwenge-24h'!K57,'17.08 Jinja-Buwenge-24h'!K57,'18.08 Jinja-Buwenge'!K57)</f>
        <v>0</v>
      </c>
      <c r="L57" s="49">
        <f>AVERAGE('12.08 Jinja-Buwenge'!L57,'13.08 Jinja-Buwenge'!L57,'14.08 Jinja-Buwenge'!L57,'15.08 Jinja-Buwenge'!L57,'16.08 Jinja-Buwenge-24h'!L57,'17.08 Jinja-Buwenge-24h'!L57,'18.08 Jinja-Buwenge'!L57)</f>
        <v>0</v>
      </c>
      <c r="M57" s="49">
        <f>AVERAGE('12.08 Jinja-Buwenge'!M57,'13.08 Jinja-Buwenge'!M57,'14.08 Jinja-Buwenge'!M57,'15.08 Jinja-Buwenge'!M57,'16.08 Jinja-Buwenge-24h'!M57,'17.08 Jinja-Buwenge-24h'!M57,'18.08 Jinja-Buwenge'!M57)</f>
        <v>53</v>
      </c>
      <c r="N57" s="49">
        <f>AVERAGE('12.08 Jinja-Buwenge'!N57,'13.08 Jinja-Buwenge'!N57,'14.08 Jinja-Buwenge'!N57,'15.08 Jinja-Buwenge'!N57,'16.08 Jinja-Buwenge-24h'!N57,'17.08 Jinja-Buwenge-24h'!N57,'18.08 Jinja-Buwenge'!N57)</f>
        <v>0</v>
      </c>
      <c r="O57" s="15">
        <f t="shared" si="0"/>
        <v>23.571428571428569</v>
      </c>
      <c r="P57" s="15">
        <f t="shared" si="1"/>
        <v>76.571428571428569</v>
      </c>
      <c r="R57" s="8"/>
      <c r="T57"/>
    </row>
    <row r="58" spans="2:20" ht="23.1" customHeight="1" x14ac:dyDescent="0.25">
      <c r="B58" s="23" t="s">
        <v>99</v>
      </c>
      <c r="C58" s="49">
        <f>AVERAGE('16.08 Jinja-Buwenge-24h'!C58,'17.08 Jinja-Buwenge-24h'!C58)</f>
        <v>11.5</v>
      </c>
      <c r="D58" s="49">
        <f>AVERAGE('16.08 Jinja-Buwenge-24h'!D58,'17.08 Jinja-Buwenge-24h'!D58)</f>
        <v>1</v>
      </c>
      <c r="E58" s="49">
        <f>AVERAGE('16.08 Jinja-Buwenge-24h'!E58,'17.08 Jinja-Buwenge-24h'!E58)</f>
        <v>4</v>
      </c>
      <c r="F58" s="49">
        <f>AVERAGE('16.08 Jinja-Buwenge-24h'!F58,'17.08 Jinja-Buwenge-24h'!F58)</f>
        <v>14</v>
      </c>
      <c r="G58" s="49">
        <f>AVERAGE('16.08 Jinja-Buwenge-24h'!G58,'17.08 Jinja-Buwenge-24h'!G58)</f>
        <v>4</v>
      </c>
      <c r="H58" s="49">
        <f>AVERAGE('16.08 Jinja-Buwenge-24h'!H58,'17.08 Jinja-Buwenge-24h'!H58)</f>
        <v>0</v>
      </c>
      <c r="I58" s="49">
        <f>AVERAGE('16.08 Jinja-Buwenge-24h'!I58,'17.08 Jinja-Buwenge-24h'!I58)</f>
        <v>3.5</v>
      </c>
      <c r="J58" s="49">
        <f>AVERAGE('16.08 Jinja-Buwenge-24h'!J58,'17.08 Jinja-Buwenge-24h'!J58)</f>
        <v>2</v>
      </c>
      <c r="K58" s="49">
        <f>AVERAGE('16.08 Jinja-Buwenge-24h'!K58,'17.08 Jinja-Buwenge-24h'!K58)</f>
        <v>0</v>
      </c>
      <c r="L58" s="49">
        <f>AVERAGE('16.08 Jinja-Buwenge-24h'!L58,'17.08 Jinja-Buwenge-24h'!L58)</f>
        <v>0</v>
      </c>
      <c r="M58" s="49">
        <f>AVERAGE('16.08 Jinja-Buwenge-24h'!M58,'17.08 Jinja-Buwenge-24h'!M58)</f>
        <v>43</v>
      </c>
      <c r="N58" s="49">
        <f>AVERAGE('16.08 Jinja-Buwenge-24h'!N58,'17.08 Jinja-Buwenge-24h'!N58)</f>
        <v>0</v>
      </c>
      <c r="O58" s="15">
        <f t="shared" si="0"/>
        <v>40</v>
      </c>
      <c r="P58" s="15">
        <f t="shared" si="1"/>
        <v>83</v>
      </c>
      <c r="R58" s="8"/>
      <c r="T58"/>
    </row>
    <row r="59" spans="2:20" ht="23.1" customHeight="1" x14ac:dyDescent="0.25">
      <c r="B59" s="23" t="s">
        <v>100</v>
      </c>
      <c r="C59" s="49">
        <f>AVERAGE('16.08 Jinja-Buwenge-24h'!C59,'17.08 Jinja-Buwenge-24h'!C59)</f>
        <v>10</v>
      </c>
      <c r="D59" s="49">
        <f>AVERAGE('16.08 Jinja-Buwenge-24h'!D59,'17.08 Jinja-Buwenge-24h'!D59)</f>
        <v>1.5</v>
      </c>
      <c r="E59" s="49">
        <f>AVERAGE('16.08 Jinja-Buwenge-24h'!E59,'17.08 Jinja-Buwenge-24h'!E59)</f>
        <v>5</v>
      </c>
      <c r="F59" s="49">
        <f>AVERAGE('16.08 Jinja-Buwenge-24h'!F59,'17.08 Jinja-Buwenge-24h'!F59)</f>
        <v>16</v>
      </c>
      <c r="G59" s="49">
        <f>AVERAGE('16.08 Jinja-Buwenge-24h'!G59,'17.08 Jinja-Buwenge-24h'!G59)</f>
        <v>5</v>
      </c>
      <c r="H59" s="49">
        <f>AVERAGE('16.08 Jinja-Buwenge-24h'!H59,'17.08 Jinja-Buwenge-24h'!H59)</f>
        <v>0</v>
      </c>
      <c r="I59" s="49">
        <f>AVERAGE('16.08 Jinja-Buwenge-24h'!I59,'17.08 Jinja-Buwenge-24h'!I59)</f>
        <v>3</v>
      </c>
      <c r="J59" s="49">
        <f>AVERAGE('16.08 Jinja-Buwenge-24h'!J59,'17.08 Jinja-Buwenge-24h'!J59)</f>
        <v>0.5</v>
      </c>
      <c r="K59" s="49">
        <f>AVERAGE('16.08 Jinja-Buwenge-24h'!K59,'17.08 Jinja-Buwenge-24h'!K59)</f>
        <v>0</v>
      </c>
      <c r="L59" s="49">
        <f>AVERAGE('16.08 Jinja-Buwenge-24h'!L59,'17.08 Jinja-Buwenge-24h'!L59)</f>
        <v>0</v>
      </c>
      <c r="M59" s="49">
        <f>AVERAGE('16.08 Jinja-Buwenge-24h'!M59,'17.08 Jinja-Buwenge-24h'!M59)</f>
        <v>59.5</v>
      </c>
      <c r="N59" s="49">
        <f>AVERAGE('16.08 Jinja-Buwenge-24h'!N59,'17.08 Jinja-Buwenge-24h'!N59)</f>
        <v>0</v>
      </c>
      <c r="O59" s="15">
        <f t="shared" si="0"/>
        <v>41</v>
      </c>
      <c r="P59" s="15">
        <f t="shared" si="1"/>
        <v>100.5</v>
      </c>
      <c r="R59" s="8"/>
      <c r="T59"/>
    </row>
    <row r="60" spans="2:20" ht="23.1" customHeight="1" x14ac:dyDescent="0.25">
      <c r="B60" s="23" t="s">
        <v>101</v>
      </c>
      <c r="C60" s="49">
        <f>AVERAGE('16.08 Jinja-Buwenge-24h'!C60,'17.08 Jinja-Buwenge-24h'!C60)</f>
        <v>9</v>
      </c>
      <c r="D60" s="49">
        <f>AVERAGE('16.08 Jinja-Buwenge-24h'!D60,'17.08 Jinja-Buwenge-24h'!D60)</f>
        <v>1.5</v>
      </c>
      <c r="E60" s="49">
        <f>AVERAGE('16.08 Jinja-Buwenge-24h'!E60,'17.08 Jinja-Buwenge-24h'!E60)</f>
        <v>5</v>
      </c>
      <c r="F60" s="49">
        <f>AVERAGE('16.08 Jinja-Buwenge-24h'!F60,'17.08 Jinja-Buwenge-24h'!F60)</f>
        <v>8</v>
      </c>
      <c r="G60" s="49">
        <f>AVERAGE('16.08 Jinja-Buwenge-24h'!G60,'17.08 Jinja-Buwenge-24h'!G60)</f>
        <v>8.5</v>
      </c>
      <c r="H60" s="49">
        <f>AVERAGE('16.08 Jinja-Buwenge-24h'!H60,'17.08 Jinja-Buwenge-24h'!H60)</f>
        <v>0</v>
      </c>
      <c r="I60" s="49">
        <f>AVERAGE('16.08 Jinja-Buwenge-24h'!I60,'17.08 Jinja-Buwenge-24h'!I60)</f>
        <v>1.5</v>
      </c>
      <c r="J60" s="49">
        <f>AVERAGE('16.08 Jinja-Buwenge-24h'!J60,'17.08 Jinja-Buwenge-24h'!J60)</f>
        <v>0</v>
      </c>
      <c r="K60" s="49">
        <f>AVERAGE('16.08 Jinja-Buwenge-24h'!K60,'17.08 Jinja-Buwenge-24h'!K60)</f>
        <v>0</v>
      </c>
      <c r="L60" s="49">
        <f>AVERAGE('16.08 Jinja-Buwenge-24h'!L60,'17.08 Jinja-Buwenge-24h'!L60)</f>
        <v>0</v>
      </c>
      <c r="M60" s="49">
        <f>AVERAGE('16.08 Jinja-Buwenge-24h'!M60,'17.08 Jinja-Buwenge-24h'!M60)</f>
        <v>54</v>
      </c>
      <c r="N60" s="49">
        <f>AVERAGE('16.08 Jinja-Buwenge-24h'!N60,'17.08 Jinja-Buwenge-24h'!N60)</f>
        <v>0</v>
      </c>
      <c r="O60" s="15">
        <f t="shared" si="0"/>
        <v>33.5</v>
      </c>
      <c r="P60" s="15">
        <f t="shared" si="1"/>
        <v>87.5</v>
      </c>
      <c r="R60" s="8"/>
      <c r="T60"/>
    </row>
    <row r="61" spans="2:20" ht="23.1" customHeight="1" x14ac:dyDescent="0.25">
      <c r="B61" s="23" t="s">
        <v>102</v>
      </c>
      <c r="C61" s="49">
        <f>AVERAGE('16.08 Jinja-Buwenge-24h'!C61,'17.08 Jinja-Buwenge-24h'!C61)</f>
        <v>6</v>
      </c>
      <c r="D61" s="49">
        <f>AVERAGE('16.08 Jinja-Buwenge-24h'!D61,'17.08 Jinja-Buwenge-24h'!D61)</f>
        <v>0</v>
      </c>
      <c r="E61" s="49">
        <f>AVERAGE('16.08 Jinja-Buwenge-24h'!E61,'17.08 Jinja-Buwenge-24h'!E61)</f>
        <v>2</v>
      </c>
      <c r="F61" s="49">
        <f>AVERAGE('16.08 Jinja-Buwenge-24h'!F61,'17.08 Jinja-Buwenge-24h'!F61)</f>
        <v>4.5</v>
      </c>
      <c r="G61" s="49">
        <f>AVERAGE('16.08 Jinja-Buwenge-24h'!G61,'17.08 Jinja-Buwenge-24h'!G61)</f>
        <v>2.5</v>
      </c>
      <c r="H61" s="49">
        <f>AVERAGE('16.08 Jinja-Buwenge-24h'!H61,'17.08 Jinja-Buwenge-24h'!H61)</f>
        <v>0</v>
      </c>
      <c r="I61" s="49">
        <f>AVERAGE('16.08 Jinja-Buwenge-24h'!I61,'17.08 Jinja-Buwenge-24h'!I61)</f>
        <v>3.5</v>
      </c>
      <c r="J61" s="49">
        <f>AVERAGE('16.08 Jinja-Buwenge-24h'!J61,'17.08 Jinja-Buwenge-24h'!J61)</f>
        <v>0</v>
      </c>
      <c r="K61" s="49">
        <f>AVERAGE('16.08 Jinja-Buwenge-24h'!K61,'17.08 Jinja-Buwenge-24h'!K61)</f>
        <v>0</v>
      </c>
      <c r="L61" s="49">
        <f>AVERAGE('16.08 Jinja-Buwenge-24h'!L61,'17.08 Jinja-Buwenge-24h'!L61)</f>
        <v>0</v>
      </c>
      <c r="M61" s="49">
        <f>AVERAGE('16.08 Jinja-Buwenge-24h'!M61,'17.08 Jinja-Buwenge-24h'!M61)</f>
        <v>60.5</v>
      </c>
      <c r="N61" s="49">
        <f>AVERAGE('16.08 Jinja-Buwenge-24h'!N61,'17.08 Jinja-Buwenge-24h'!N61)</f>
        <v>0</v>
      </c>
      <c r="O61" s="15">
        <f t="shared" si="0"/>
        <v>18.5</v>
      </c>
      <c r="P61" s="15">
        <f t="shared" si="1"/>
        <v>79</v>
      </c>
      <c r="R61" s="8"/>
      <c r="T61"/>
    </row>
    <row r="62" spans="2:20" ht="23.1" customHeight="1" x14ac:dyDescent="0.25">
      <c r="B62" s="23" t="s">
        <v>107</v>
      </c>
      <c r="C62" s="49">
        <f>AVERAGE('16.08 Jinja-Buwenge-24h'!C62,'17.08 Jinja-Buwenge-24h'!C62)</f>
        <v>6.5</v>
      </c>
      <c r="D62" s="49">
        <f>AVERAGE('16.08 Jinja-Buwenge-24h'!D62,'17.08 Jinja-Buwenge-24h'!D62)</f>
        <v>0</v>
      </c>
      <c r="E62" s="49">
        <f>AVERAGE('16.08 Jinja-Buwenge-24h'!E62,'17.08 Jinja-Buwenge-24h'!E62)</f>
        <v>2</v>
      </c>
      <c r="F62" s="49">
        <f>AVERAGE('16.08 Jinja-Buwenge-24h'!F62,'17.08 Jinja-Buwenge-24h'!F62)</f>
        <v>8.5</v>
      </c>
      <c r="G62" s="49">
        <f>AVERAGE('16.08 Jinja-Buwenge-24h'!G62,'17.08 Jinja-Buwenge-24h'!G62)</f>
        <v>6</v>
      </c>
      <c r="H62" s="49">
        <f>AVERAGE('16.08 Jinja-Buwenge-24h'!H62,'17.08 Jinja-Buwenge-24h'!H62)</f>
        <v>0.5</v>
      </c>
      <c r="I62" s="49">
        <f>AVERAGE('16.08 Jinja-Buwenge-24h'!I62,'17.08 Jinja-Buwenge-24h'!I62)</f>
        <v>2.5</v>
      </c>
      <c r="J62" s="49">
        <f>AVERAGE('16.08 Jinja-Buwenge-24h'!J62,'17.08 Jinja-Buwenge-24h'!J62)</f>
        <v>0</v>
      </c>
      <c r="K62" s="49">
        <f>AVERAGE('16.08 Jinja-Buwenge-24h'!K62,'17.08 Jinja-Buwenge-24h'!K62)</f>
        <v>0</v>
      </c>
      <c r="L62" s="49">
        <f>AVERAGE('16.08 Jinja-Buwenge-24h'!L62,'17.08 Jinja-Buwenge-24h'!L62)</f>
        <v>0</v>
      </c>
      <c r="M62" s="49">
        <f>AVERAGE('16.08 Jinja-Buwenge-24h'!M62,'17.08 Jinja-Buwenge-24h'!M62)</f>
        <v>32</v>
      </c>
      <c r="N62" s="49">
        <f>AVERAGE('16.08 Jinja-Buwenge-24h'!N62,'17.08 Jinja-Buwenge-24h'!N62)</f>
        <v>0</v>
      </c>
      <c r="O62" s="15">
        <f t="shared" ref="O62:O105" si="35">SUM(C62:L62,N62)</f>
        <v>26</v>
      </c>
      <c r="P62" s="15">
        <f t="shared" ref="P62:P105" si="36">SUM(C62:N62)</f>
        <v>58</v>
      </c>
      <c r="R62" s="8"/>
      <c r="T62"/>
    </row>
    <row r="63" spans="2:20" ht="23.1" customHeight="1" x14ac:dyDescent="0.25">
      <c r="B63" s="23" t="s">
        <v>108</v>
      </c>
      <c r="C63" s="49">
        <f>AVERAGE('16.08 Jinja-Buwenge-24h'!C63,'17.08 Jinja-Buwenge-24h'!C63)</f>
        <v>9</v>
      </c>
      <c r="D63" s="49">
        <f>AVERAGE('16.08 Jinja-Buwenge-24h'!D63,'17.08 Jinja-Buwenge-24h'!D63)</f>
        <v>0.5</v>
      </c>
      <c r="E63" s="49">
        <f>AVERAGE('16.08 Jinja-Buwenge-24h'!E63,'17.08 Jinja-Buwenge-24h'!E63)</f>
        <v>3</v>
      </c>
      <c r="F63" s="49">
        <f>AVERAGE('16.08 Jinja-Buwenge-24h'!F63,'17.08 Jinja-Buwenge-24h'!F63)</f>
        <v>11.5</v>
      </c>
      <c r="G63" s="49">
        <f>AVERAGE('16.08 Jinja-Buwenge-24h'!G63,'17.08 Jinja-Buwenge-24h'!G63)</f>
        <v>3</v>
      </c>
      <c r="H63" s="49">
        <f>AVERAGE('16.08 Jinja-Buwenge-24h'!H63,'17.08 Jinja-Buwenge-24h'!H63)</f>
        <v>0.5</v>
      </c>
      <c r="I63" s="49">
        <f>AVERAGE('16.08 Jinja-Buwenge-24h'!I63,'17.08 Jinja-Buwenge-24h'!I63)</f>
        <v>2.5</v>
      </c>
      <c r="J63" s="49">
        <f>AVERAGE('16.08 Jinja-Buwenge-24h'!J63,'17.08 Jinja-Buwenge-24h'!J63)</f>
        <v>0</v>
      </c>
      <c r="K63" s="49">
        <f>AVERAGE('16.08 Jinja-Buwenge-24h'!K63,'17.08 Jinja-Buwenge-24h'!K63)</f>
        <v>0</v>
      </c>
      <c r="L63" s="49">
        <f>AVERAGE('16.08 Jinja-Buwenge-24h'!L63,'17.08 Jinja-Buwenge-24h'!L63)</f>
        <v>0</v>
      </c>
      <c r="M63" s="49">
        <f>AVERAGE('16.08 Jinja-Buwenge-24h'!M63,'17.08 Jinja-Buwenge-24h'!M63)</f>
        <v>32</v>
      </c>
      <c r="N63" s="49">
        <f>AVERAGE('16.08 Jinja-Buwenge-24h'!N63,'17.08 Jinja-Buwenge-24h'!N63)</f>
        <v>0</v>
      </c>
      <c r="O63" s="15">
        <f t="shared" si="35"/>
        <v>30</v>
      </c>
      <c r="P63" s="15">
        <f t="shared" si="36"/>
        <v>62</v>
      </c>
      <c r="R63" s="8"/>
      <c r="T63"/>
    </row>
    <row r="64" spans="2:20" ht="23.1" customHeight="1" x14ac:dyDescent="0.25">
      <c r="B64" s="23" t="s">
        <v>109</v>
      </c>
      <c r="C64" s="49">
        <f>AVERAGE('16.08 Jinja-Buwenge-24h'!C64,'17.08 Jinja-Buwenge-24h'!C64)</f>
        <v>5</v>
      </c>
      <c r="D64" s="49">
        <f>AVERAGE('16.08 Jinja-Buwenge-24h'!D64,'17.08 Jinja-Buwenge-24h'!D64)</f>
        <v>1</v>
      </c>
      <c r="E64" s="49">
        <f>AVERAGE('16.08 Jinja-Buwenge-24h'!E64,'17.08 Jinja-Buwenge-24h'!E64)</f>
        <v>3</v>
      </c>
      <c r="F64" s="49">
        <f>AVERAGE('16.08 Jinja-Buwenge-24h'!F64,'17.08 Jinja-Buwenge-24h'!F64)</f>
        <v>3</v>
      </c>
      <c r="G64" s="49">
        <f>AVERAGE('16.08 Jinja-Buwenge-24h'!G64,'17.08 Jinja-Buwenge-24h'!G64)</f>
        <v>3.5</v>
      </c>
      <c r="H64" s="49">
        <f>AVERAGE('16.08 Jinja-Buwenge-24h'!H64,'17.08 Jinja-Buwenge-24h'!H64)</f>
        <v>0</v>
      </c>
      <c r="I64" s="49">
        <f>AVERAGE('16.08 Jinja-Buwenge-24h'!I64,'17.08 Jinja-Buwenge-24h'!I64)</f>
        <v>1</v>
      </c>
      <c r="J64" s="49">
        <f>AVERAGE('16.08 Jinja-Buwenge-24h'!J64,'17.08 Jinja-Buwenge-24h'!J64)</f>
        <v>0</v>
      </c>
      <c r="K64" s="49">
        <f>AVERAGE('16.08 Jinja-Buwenge-24h'!K64,'17.08 Jinja-Buwenge-24h'!K64)</f>
        <v>0</v>
      </c>
      <c r="L64" s="49">
        <f>AVERAGE('16.08 Jinja-Buwenge-24h'!L64,'17.08 Jinja-Buwenge-24h'!L64)</f>
        <v>0</v>
      </c>
      <c r="M64" s="49">
        <f>AVERAGE('16.08 Jinja-Buwenge-24h'!M64,'17.08 Jinja-Buwenge-24h'!M64)</f>
        <v>21</v>
      </c>
      <c r="N64" s="49">
        <f>AVERAGE('16.08 Jinja-Buwenge-24h'!N64,'17.08 Jinja-Buwenge-24h'!N64)</f>
        <v>0</v>
      </c>
      <c r="O64" s="15">
        <f t="shared" si="35"/>
        <v>16.5</v>
      </c>
      <c r="P64" s="15">
        <f t="shared" si="36"/>
        <v>37.5</v>
      </c>
      <c r="R64" s="8"/>
      <c r="T64"/>
    </row>
    <row r="65" spans="2:20" ht="23.1" customHeight="1" x14ac:dyDescent="0.25">
      <c r="B65" s="23" t="s">
        <v>158</v>
      </c>
      <c r="C65" s="49">
        <f>AVERAGE('16.08 Jinja-Buwenge-24h'!C65,'17.08 Jinja-Buwenge-24h'!C65)</f>
        <v>7</v>
      </c>
      <c r="D65" s="49">
        <f>AVERAGE('16.08 Jinja-Buwenge-24h'!D65,'17.08 Jinja-Buwenge-24h'!D65)</f>
        <v>1</v>
      </c>
      <c r="E65" s="49">
        <f>AVERAGE('16.08 Jinja-Buwenge-24h'!E65,'17.08 Jinja-Buwenge-24h'!E65)</f>
        <v>5</v>
      </c>
      <c r="F65" s="49">
        <f>AVERAGE('16.08 Jinja-Buwenge-24h'!F65,'17.08 Jinja-Buwenge-24h'!F65)</f>
        <v>5.5</v>
      </c>
      <c r="G65" s="49">
        <f>AVERAGE('16.08 Jinja-Buwenge-24h'!G65,'17.08 Jinja-Buwenge-24h'!G65)</f>
        <v>2.5</v>
      </c>
      <c r="H65" s="49">
        <f>AVERAGE('16.08 Jinja-Buwenge-24h'!H65,'17.08 Jinja-Buwenge-24h'!H65)</f>
        <v>0</v>
      </c>
      <c r="I65" s="49">
        <f>AVERAGE('16.08 Jinja-Buwenge-24h'!I65,'17.08 Jinja-Buwenge-24h'!I65)</f>
        <v>1</v>
      </c>
      <c r="J65" s="49">
        <f>AVERAGE('16.08 Jinja-Buwenge-24h'!J65,'17.08 Jinja-Buwenge-24h'!J65)</f>
        <v>0.5</v>
      </c>
      <c r="K65" s="49">
        <f>AVERAGE('16.08 Jinja-Buwenge-24h'!K65,'17.08 Jinja-Buwenge-24h'!K65)</f>
        <v>0</v>
      </c>
      <c r="L65" s="49">
        <f>AVERAGE('16.08 Jinja-Buwenge-24h'!L65,'17.08 Jinja-Buwenge-24h'!L65)</f>
        <v>0</v>
      </c>
      <c r="M65" s="49">
        <f>AVERAGE('16.08 Jinja-Buwenge-24h'!M65,'17.08 Jinja-Buwenge-24h'!M65)</f>
        <v>26</v>
      </c>
      <c r="N65" s="49">
        <f>AVERAGE('16.08 Jinja-Buwenge-24h'!N65,'17.08 Jinja-Buwenge-24h'!N65)</f>
        <v>0</v>
      </c>
      <c r="O65" s="15">
        <f t="shared" si="35"/>
        <v>22.5</v>
      </c>
      <c r="P65" s="15">
        <f t="shared" si="36"/>
        <v>48.5</v>
      </c>
      <c r="R65" s="8"/>
      <c r="T65"/>
    </row>
    <row r="66" spans="2:20" ht="23.1" customHeight="1" x14ac:dyDescent="0.25">
      <c r="B66" s="23" t="s">
        <v>103</v>
      </c>
      <c r="C66" s="49">
        <f>AVERAGE('16.08 Jinja-Buwenge-24h'!C66,'17.08 Jinja-Buwenge-24h'!C66)</f>
        <v>2.5</v>
      </c>
      <c r="D66" s="49">
        <f>AVERAGE('16.08 Jinja-Buwenge-24h'!D66,'17.08 Jinja-Buwenge-24h'!D66)</f>
        <v>1.5</v>
      </c>
      <c r="E66" s="49">
        <f>AVERAGE('16.08 Jinja-Buwenge-24h'!E66,'17.08 Jinja-Buwenge-24h'!E66)</f>
        <v>5</v>
      </c>
      <c r="F66" s="49">
        <f>AVERAGE('16.08 Jinja-Buwenge-24h'!F66,'17.08 Jinja-Buwenge-24h'!F66)</f>
        <v>7</v>
      </c>
      <c r="G66" s="49">
        <f>AVERAGE('16.08 Jinja-Buwenge-24h'!G66,'17.08 Jinja-Buwenge-24h'!G66)</f>
        <v>4.5</v>
      </c>
      <c r="H66" s="49">
        <f>AVERAGE('16.08 Jinja-Buwenge-24h'!H66,'17.08 Jinja-Buwenge-24h'!H66)</f>
        <v>0</v>
      </c>
      <c r="I66" s="49">
        <f>AVERAGE('16.08 Jinja-Buwenge-24h'!I66,'17.08 Jinja-Buwenge-24h'!I66)</f>
        <v>3</v>
      </c>
      <c r="J66" s="49">
        <f>AVERAGE('16.08 Jinja-Buwenge-24h'!J66,'17.08 Jinja-Buwenge-24h'!J66)</f>
        <v>0</v>
      </c>
      <c r="K66" s="49">
        <f>AVERAGE('16.08 Jinja-Buwenge-24h'!K66,'17.08 Jinja-Buwenge-24h'!K66)</f>
        <v>0</v>
      </c>
      <c r="L66" s="49">
        <f>AVERAGE('16.08 Jinja-Buwenge-24h'!L66,'17.08 Jinja-Buwenge-24h'!L66)</f>
        <v>0</v>
      </c>
      <c r="M66" s="49">
        <f>AVERAGE('16.08 Jinja-Buwenge-24h'!M66,'17.08 Jinja-Buwenge-24h'!M66)</f>
        <v>30</v>
      </c>
      <c r="N66" s="49">
        <f>AVERAGE('16.08 Jinja-Buwenge-24h'!N66,'17.08 Jinja-Buwenge-24h'!N66)</f>
        <v>0</v>
      </c>
      <c r="O66" s="15">
        <f t="shared" si="35"/>
        <v>23.5</v>
      </c>
      <c r="P66" s="15">
        <f t="shared" si="36"/>
        <v>53.5</v>
      </c>
      <c r="R66" s="8"/>
      <c r="T66"/>
    </row>
    <row r="67" spans="2:20" ht="23.1" customHeight="1" x14ac:dyDescent="0.25">
      <c r="B67" s="23" t="s">
        <v>104</v>
      </c>
      <c r="C67" s="49">
        <f>AVERAGE('16.08 Jinja-Buwenge-24h'!C67,'17.08 Jinja-Buwenge-24h'!C67)</f>
        <v>5</v>
      </c>
      <c r="D67" s="49">
        <f>AVERAGE('16.08 Jinja-Buwenge-24h'!D67,'17.08 Jinja-Buwenge-24h'!D67)</f>
        <v>1</v>
      </c>
      <c r="E67" s="49">
        <f>AVERAGE('16.08 Jinja-Buwenge-24h'!E67,'17.08 Jinja-Buwenge-24h'!E67)</f>
        <v>3.5</v>
      </c>
      <c r="F67" s="49">
        <f>AVERAGE('16.08 Jinja-Buwenge-24h'!F67,'17.08 Jinja-Buwenge-24h'!F67)</f>
        <v>6</v>
      </c>
      <c r="G67" s="49">
        <f>AVERAGE('16.08 Jinja-Buwenge-24h'!G67,'17.08 Jinja-Buwenge-24h'!G67)</f>
        <v>3</v>
      </c>
      <c r="H67" s="49">
        <f>AVERAGE('16.08 Jinja-Buwenge-24h'!H67,'17.08 Jinja-Buwenge-24h'!H67)</f>
        <v>0</v>
      </c>
      <c r="I67" s="49">
        <f>AVERAGE('16.08 Jinja-Buwenge-24h'!I67,'17.08 Jinja-Buwenge-24h'!I67)</f>
        <v>1</v>
      </c>
      <c r="J67" s="49">
        <f>AVERAGE('16.08 Jinja-Buwenge-24h'!J67,'17.08 Jinja-Buwenge-24h'!J67)</f>
        <v>0</v>
      </c>
      <c r="K67" s="49">
        <f>AVERAGE('16.08 Jinja-Buwenge-24h'!K67,'17.08 Jinja-Buwenge-24h'!K67)</f>
        <v>0</v>
      </c>
      <c r="L67" s="49">
        <f>AVERAGE('16.08 Jinja-Buwenge-24h'!L67,'17.08 Jinja-Buwenge-24h'!L67)</f>
        <v>0</v>
      </c>
      <c r="M67" s="49">
        <f>AVERAGE('16.08 Jinja-Buwenge-24h'!M67,'17.08 Jinja-Buwenge-24h'!M67)</f>
        <v>21</v>
      </c>
      <c r="N67" s="49">
        <f>AVERAGE('16.08 Jinja-Buwenge-24h'!N67,'17.08 Jinja-Buwenge-24h'!N67)</f>
        <v>0</v>
      </c>
      <c r="O67" s="15">
        <f t="shared" si="35"/>
        <v>19.5</v>
      </c>
      <c r="P67" s="15">
        <f t="shared" si="36"/>
        <v>40.5</v>
      </c>
      <c r="R67" s="8"/>
      <c r="T67"/>
    </row>
    <row r="68" spans="2:20" ht="23.1" customHeight="1" x14ac:dyDescent="0.25">
      <c r="B68" s="23" t="s">
        <v>105</v>
      </c>
      <c r="C68" s="49">
        <f>AVERAGE('16.08 Jinja-Buwenge-24h'!C68,'17.08 Jinja-Buwenge-24h'!C68)</f>
        <v>5</v>
      </c>
      <c r="D68" s="49">
        <f>AVERAGE('16.08 Jinja-Buwenge-24h'!D68,'17.08 Jinja-Buwenge-24h'!D68)</f>
        <v>1</v>
      </c>
      <c r="E68" s="49">
        <f>AVERAGE('16.08 Jinja-Buwenge-24h'!E68,'17.08 Jinja-Buwenge-24h'!E68)</f>
        <v>4.5</v>
      </c>
      <c r="F68" s="49">
        <f>AVERAGE('16.08 Jinja-Buwenge-24h'!F68,'17.08 Jinja-Buwenge-24h'!F68)</f>
        <v>5</v>
      </c>
      <c r="G68" s="49">
        <f>AVERAGE('16.08 Jinja-Buwenge-24h'!G68,'17.08 Jinja-Buwenge-24h'!G68)</f>
        <v>1.5</v>
      </c>
      <c r="H68" s="49">
        <f>AVERAGE('16.08 Jinja-Buwenge-24h'!H68,'17.08 Jinja-Buwenge-24h'!H68)</f>
        <v>0</v>
      </c>
      <c r="I68" s="49">
        <f>AVERAGE('16.08 Jinja-Buwenge-24h'!I68,'17.08 Jinja-Buwenge-24h'!I68)</f>
        <v>1</v>
      </c>
      <c r="J68" s="49">
        <f>AVERAGE('16.08 Jinja-Buwenge-24h'!J68,'17.08 Jinja-Buwenge-24h'!J68)</f>
        <v>0.5</v>
      </c>
      <c r="K68" s="49">
        <f>AVERAGE('16.08 Jinja-Buwenge-24h'!K68,'17.08 Jinja-Buwenge-24h'!K68)</f>
        <v>0.5</v>
      </c>
      <c r="L68" s="49">
        <f>AVERAGE('16.08 Jinja-Buwenge-24h'!L68,'17.08 Jinja-Buwenge-24h'!L68)</f>
        <v>0</v>
      </c>
      <c r="M68" s="49">
        <f>AVERAGE('16.08 Jinja-Buwenge-24h'!M68,'17.08 Jinja-Buwenge-24h'!M68)</f>
        <v>24.5</v>
      </c>
      <c r="N68" s="49">
        <f>AVERAGE('16.08 Jinja-Buwenge-24h'!N68,'17.08 Jinja-Buwenge-24h'!N68)</f>
        <v>0</v>
      </c>
      <c r="O68" s="15">
        <f t="shared" si="35"/>
        <v>19</v>
      </c>
      <c r="P68" s="15">
        <f t="shared" si="36"/>
        <v>43.5</v>
      </c>
      <c r="R68" s="8"/>
      <c r="T68"/>
    </row>
    <row r="69" spans="2:20" ht="23.1" customHeight="1" x14ac:dyDescent="0.25">
      <c r="B69" s="23" t="s">
        <v>106</v>
      </c>
      <c r="C69" s="49">
        <f>AVERAGE('16.08 Jinja-Buwenge-24h'!C69,'17.08 Jinja-Buwenge-24h'!C69)</f>
        <v>5.5</v>
      </c>
      <c r="D69" s="49">
        <f>AVERAGE('16.08 Jinja-Buwenge-24h'!D69,'17.08 Jinja-Buwenge-24h'!D69)</f>
        <v>0</v>
      </c>
      <c r="E69" s="49">
        <f>AVERAGE('16.08 Jinja-Buwenge-24h'!E69,'17.08 Jinja-Buwenge-24h'!E69)</f>
        <v>2.5</v>
      </c>
      <c r="F69" s="49">
        <f>AVERAGE('16.08 Jinja-Buwenge-24h'!F69,'17.08 Jinja-Buwenge-24h'!F69)</f>
        <v>5</v>
      </c>
      <c r="G69" s="49">
        <f>AVERAGE('16.08 Jinja-Buwenge-24h'!G69,'17.08 Jinja-Buwenge-24h'!G69)</f>
        <v>0.5</v>
      </c>
      <c r="H69" s="49">
        <f>AVERAGE('16.08 Jinja-Buwenge-24h'!H69,'17.08 Jinja-Buwenge-24h'!H69)</f>
        <v>0</v>
      </c>
      <c r="I69" s="49">
        <f>AVERAGE('16.08 Jinja-Buwenge-24h'!I69,'17.08 Jinja-Buwenge-24h'!I69)</f>
        <v>1</v>
      </c>
      <c r="J69" s="49">
        <f>AVERAGE('16.08 Jinja-Buwenge-24h'!J69,'17.08 Jinja-Buwenge-24h'!J69)</f>
        <v>0</v>
      </c>
      <c r="K69" s="49">
        <f>AVERAGE('16.08 Jinja-Buwenge-24h'!K69,'17.08 Jinja-Buwenge-24h'!K69)</f>
        <v>0</v>
      </c>
      <c r="L69" s="49">
        <f>AVERAGE('16.08 Jinja-Buwenge-24h'!L69,'17.08 Jinja-Buwenge-24h'!L69)</f>
        <v>0</v>
      </c>
      <c r="M69" s="49">
        <f>AVERAGE('16.08 Jinja-Buwenge-24h'!M69,'17.08 Jinja-Buwenge-24h'!M69)</f>
        <v>30</v>
      </c>
      <c r="N69" s="49">
        <f>AVERAGE('16.08 Jinja-Buwenge-24h'!N69,'17.08 Jinja-Buwenge-24h'!N69)</f>
        <v>0</v>
      </c>
      <c r="O69" s="15">
        <f t="shared" si="35"/>
        <v>14.5</v>
      </c>
      <c r="P69" s="15">
        <f t="shared" si="36"/>
        <v>44.5</v>
      </c>
      <c r="R69" s="8"/>
      <c r="T69"/>
    </row>
    <row r="70" spans="2:20" ht="23.1" customHeight="1" x14ac:dyDescent="0.25">
      <c r="B70" s="23" t="s">
        <v>110</v>
      </c>
      <c r="C70" s="49">
        <f>AVERAGE('16.08 Jinja-Buwenge-24h'!C70,'17.08 Jinja-Buwenge-24h'!C70)</f>
        <v>4.5</v>
      </c>
      <c r="D70" s="49">
        <f>AVERAGE('16.08 Jinja-Buwenge-24h'!D70,'17.08 Jinja-Buwenge-24h'!D70)</f>
        <v>1</v>
      </c>
      <c r="E70" s="49">
        <f>AVERAGE('16.08 Jinja-Buwenge-24h'!E70,'17.08 Jinja-Buwenge-24h'!E70)</f>
        <v>2.5</v>
      </c>
      <c r="F70" s="49">
        <f>AVERAGE('16.08 Jinja-Buwenge-24h'!F70,'17.08 Jinja-Buwenge-24h'!F70)</f>
        <v>2</v>
      </c>
      <c r="G70" s="49">
        <f>AVERAGE('16.08 Jinja-Buwenge-24h'!G70,'17.08 Jinja-Buwenge-24h'!G70)</f>
        <v>0.5</v>
      </c>
      <c r="H70" s="49">
        <f>AVERAGE('16.08 Jinja-Buwenge-24h'!H70,'17.08 Jinja-Buwenge-24h'!H70)</f>
        <v>0</v>
      </c>
      <c r="I70" s="49">
        <f>AVERAGE('16.08 Jinja-Buwenge-24h'!I70,'17.08 Jinja-Buwenge-24h'!I70)</f>
        <v>3.5</v>
      </c>
      <c r="J70" s="49">
        <f>AVERAGE('16.08 Jinja-Buwenge-24h'!J70,'17.08 Jinja-Buwenge-24h'!J70)</f>
        <v>0.5</v>
      </c>
      <c r="K70" s="49">
        <f>AVERAGE('16.08 Jinja-Buwenge-24h'!K70,'17.08 Jinja-Buwenge-24h'!K70)</f>
        <v>0</v>
      </c>
      <c r="L70" s="49">
        <f>AVERAGE('16.08 Jinja-Buwenge-24h'!L70,'17.08 Jinja-Buwenge-24h'!L70)</f>
        <v>0</v>
      </c>
      <c r="M70" s="49">
        <f>AVERAGE('16.08 Jinja-Buwenge-24h'!M70,'17.08 Jinja-Buwenge-24h'!M70)</f>
        <v>9</v>
      </c>
      <c r="N70" s="49">
        <f>AVERAGE('16.08 Jinja-Buwenge-24h'!N70,'17.08 Jinja-Buwenge-24h'!N70)</f>
        <v>0</v>
      </c>
      <c r="O70" s="15">
        <f t="shared" si="35"/>
        <v>14.5</v>
      </c>
      <c r="P70" s="15">
        <f t="shared" si="36"/>
        <v>23.5</v>
      </c>
      <c r="R70" s="8"/>
      <c r="T70"/>
    </row>
    <row r="71" spans="2:20" ht="23.1" customHeight="1" x14ac:dyDescent="0.25">
      <c r="B71" s="23" t="s">
        <v>111</v>
      </c>
      <c r="C71" s="49">
        <f>AVERAGE('16.08 Jinja-Buwenge-24h'!C71,'17.08 Jinja-Buwenge-24h'!C71)</f>
        <v>6.5</v>
      </c>
      <c r="D71" s="49">
        <f>AVERAGE('16.08 Jinja-Buwenge-24h'!D71,'17.08 Jinja-Buwenge-24h'!D71)</f>
        <v>0</v>
      </c>
      <c r="E71" s="49">
        <f>AVERAGE('16.08 Jinja-Buwenge-24h'!E71,'17.08 Jinja-Buwenge-24h'!E71)</f>
        <v>2.5</v>
      </c>
      <c r="F71" s="49">
        <f>AVERAGE('16.08 Jinja-Buwenge-24h'!F71,'17.08 Jinja-Buwenge-24h'!F71)</f>
        <v>3</v>
      </c>
      <c r="G71" s="49">
        <f>AVERAGE('16.08 Jinja-Buwenge-24h'!G71,'17.08 Jinja-Buwenge-24h'!G71)</f>
        <v>0.5</v>
      </c>
      <c r="H71" s="49">
        <f>AVERAGE('16.08 Jinja-Buwenge-24h'!H71,'17.08 Jinja-Buwenge-24h'!H71)</f>
        <v>0</v>
      </c>
      <c r="I71" s="49">
        <f>AVERAGE('16.08 Jinja-Buwenge-24h'!I71,'17.08 Jinja-Buwenge-24h'!I71)</f>
        <v>1</v>
      </c>
      <c r="J71" s="49">
        <f>AVERAGE('16.08 Jinja-Buwenge-24h'!J71,'17.08 Jinja-Buwenge-24h'!J71)</f>
        <v>0</v>
      </c>
      <c r="K71" s="49">
        <f>AVERAGE('16.08 Jinja-Buwenge-24h'!K71,'17.08 Jinja-Buwenge-24h'!K71)</f>
        <v>0</v>
      </c>
      <c r="L71" s="49">
        <f>AVERAGE('16.08 Jinja-Buwenge-24h'!L71,'17.08 Jinja-Buwenge-24h'!L71)</f>
        <v>0</v>
      </c>
      <c r="M71" s="49">
        <f>AVERAGE('16.08 Jinja-Buwenge-24h'!M71,'17.08 Jinja-Buwenge-24h'!M71)</f>
        <v>24</v>
      </c>
      <c r="N71" s="49">
        <f>AVERAGE('16.08 Jinja-Buwenge-24h'!N71,'17.08 Jinja-Buwenge-24h'!N71)</f>
        <v>0</v>
      </c>
      <c r="O71" s="15">
        <f t="shared" si="35"/>
        <v>13.5</v>
      </c>
      <c r="P71" s="15">
        <f t="shared" si="36"/>
        <v>37.5</v>
      </c>
      <c r="R71" s="8"/>
      <c r="T71"/>
    </row>
    <row r="72" spans="2:20" ht="23.1" customHeight="1" x14ac:dyDescent="0.25">
      <c r="B72" s="23" t="s">
        <v>112</v>
      </c>
      <c r="C72" s="49">
        <f>AVERAGE('16.08 Jinja-Buwenge-24h'!C72,'17.08 Jinja-Buwenge-24h'!C72)</f>
        <v>5.5</v>
      </c>
      <c r="D72" s="49">
        <f>AVERAGE('16.08 Jinja-Buwenge-24h'!D72,'17.08 Jinja-Buwenge-24h'!D72)</f>
        <v>0</v>
      </c>
      <c r="E72" s="49">
        <f>AVERAGE('16.08 Jinja-Buwenge-24h'!E72,'17.08 Jinja-Buwenge-24h'!E72)</f>
        <v>1.5</v>
      </c>
      <c r="F72" s="49">
        <f>AVERAGE('16.08 Jinja-Buwenge-24h'!F72,'17.08 Jinja-Buwenge-24h'!F72)</f>
        <v>3</v>
      </c>
      <c r="G72" s="49">
        <f>AVERAGE('16.08 Jinja-Buwenge-24h'!G72,'17.08 Jinja-Buwenge-24h'!G72)</f>
        <v>0</v>
      </c>
      <c r="H72" s="49">
        <f>AVERAGE('16.08 Jinja-Buwenge-24h'!H72,'17.08 Jinja-Buwenge-24h'!H72)</f>
        <v>0</v>
      </c>
      <c r="I72" s="49">
        <f>AVERAGE('16.08 Jinja-Buwenge-24h'!I72,'17.08 Jinja-Buwenge-24h'!I72)</f>
        <v>0</v>
      </c>
      <c r="J72" s="49">
        <f>AVERAGE('16.08 Jinja-Buwenge-24h'!J72,'17.08 Jinja-Buwenge-24h'!J72)</f>
        <v>0</v>
      </c>
      <c r="K72" s="49">
        <f>AVERAGE('16.08 Jinja-Buwenge-24h'!K72,'17.08 Jinja-Buwenge-24h'!K72)</f>
        <v>0</v>
      </c>
      <c r="L72" s="49">
        <f>AVERAGE('16.08 Jinja-Buwenge-24h'!L72,'17.08 Jinja-Buwenge-24h'!L72)</f>
        <v>0</v>
      </c>
      <c r="M72" s="49">
        <f>AVERAGE('16.08 Jinja-Buwenge-24h'!M72,'17.08 Jinja-Buwenge-24h'!M72)</f>
        <v>14</v>
      </c>
      <c r="N72" s="49">
        <f>AVERAGE('16.08 Jinja-Buwenge-24h'!N72,'17.08 Jinja-Buwenge-24h'!N72)</f>
        <v>0</v>
      </c>
      <c r="O72" s="15">
        <f t="shared" si="35"/>
        <v>10</v>
      </c>
      <c r="P72" s="15">
        <f t="shared" si="36"/>
        <v>24</v>
      </c>
      <c r="R72" s="8"/>
      <c r="T72"/>
    </row>
    <row r="73" spans="2:20" ht="23.1" customHeight="1" x14ac:dyDescent="0.25">
      <c r="B73" s="23" t="s">
        <v>113</v>
      </c>
      <c r="C73" s="49">
        <f>AVERAGE('16.08 Jinja-Buwenge-24h'!C73,'17.08 Jinja-Buwenge-24h'!C73)</f>
        <v>5</v>
      </c>
      <c r="D73" s="49">
        <f>AVERAGE('16.08 Jinja-Buwenge-24h'!D73,'17.08 Jinja-Buwenge-24h'!D73)</f>
        <v>0.5</v>
      </c>
      <c r="E73" s="49">
        <f>AVERAGE('16.08 Jinja-Buwenge-24h'!E73,'17.08 Jinja-Buwenge-24h'!E73)</f>
        <v>3.5</v>
      </c>
      <c r="F73" s="49">
        <f>AVERAGE('16.08 Jinja-Buwenge-24h'!F73,'17.08 Jinja-Buwenge-24h'!F73)</f>
        <v>4.5</v>
      </c>
      <c r="G73" s="49">
        <f>AVERAGE('16.08 Jinja-Buwenge-24h'!G73,'17.08 Jinja-Buwenge-24h'!G73)</f>
        <v>1.5</v>
      </c>
      <c r="H73" s="49">
        <f>AVERAGE('16.08 Jinja-Buwenge-24h'!H73,'17.08 Jinja-Buwenge-24h'!H73)</f>
        <v>0</v>
      </c>
      <c r="I73" s="49">
        <f>AVERAGE('16.08 Jinja-Buwenge-24h'!I73,'17.08 Jinja-Buwenge-24h'!I73)</f>
        <v>1.5</v>
      </c>
      <c r="J73" s="49">
        <f>AVERAGE('16.08 Jinja-Buwenge-24h'!J73,'17.08 Jinja-Buwenge-24h'!J73)</f>
        <v>0</v>
      </c>
      <c r="K73" s="49">
        <f>AVERAGE('16.08 Jinja-Buwenge-24h'!K73,'17.08 Jinja-Buwenge-24h'!K73)</f>
        <v>0</v>
      </c>
      <c r="L73" s="49">
        <f>AVERAGE('16.08 Jinja-Buwenge-24h'!L73,'17.08 Jinja-Buwenge-24h'!L73)</f>
        <v>0</v>
      </c>
      <c r="M73" s="49">
        <f>AVERAGE('16.08 Jinja-Buwenge-24h'!M73,'17.08 Jinja-Buwenge-24h'!M73)</f>
        <v>14</v>
      </c>
      <c r="N73" s="49">
        <f>AVERAGE('16.08 Jinja-Buwenge-24h'!N73,'17.08 Jinja-Buwenge-24h'!N73)</f>
        <v>0</v>
      </c>
      <c r="O73" s="15">
        <f t="shared" si="35"/>
        <v>16.5</v>
      </c>
      <c r="P73" s="15">
        <f t="shared" si="36"/>
        <v>30.5</v>
      </c>
      <c r="R73" s="8"/>
      <c r="T73"/>
    </row>
    <row r="74" spans="2:20" ht="23.1" customHeight="1" x14ac:dyDescent="0.25">
      <c r="B74" s="23" t="s">
        <v>114</v>
      </c>
      <c r="C74" s="49">
        <f>AVERAGE('16.08 Jinja-Buwenge-24h'!C74,'17.08 Jinja-Buwenge-24h'!C74)</f>
        <v>2</v>
      </c>
      <c r="D74" s="49">
        <f>AVERAGE('16.08 Jinja-Buwenge-24h'!D74,'17.08 Jinja-Buwenge-24h'!D74)</f>
        <v>0</v>
      </c>
      <c r="E74" s="49">
        <f>AVERAGE('16.08 Jinja-Buwenge-24h'!E74,'17.08 Jinja-Buwenge-24h'!E74)</f>
        <v>2</v>
      </c>
      <c r="F74" s="49">
        <f>AVERAGE('16.08 Jinja-Buwenge-24h'!F74,'17.08 Jinja-Buwenge-24h'!F74)</f>
        <v>2</v>
      </c>
      <c r="G74" s="49">
        <f>AVERAGE('16.08 Jinja-Buwenge-24h'!G74,'17.08 Jinja-Buwenge-24h'!G74)</f>
        <v>0</v>
      </c>
      <c r="H74" s="49">
        <f>AVERAGE('16.08 Jinja-Buwenge-24h'!H74,'17.08 Jinja-Buwenge-24h'!H74)</f>
        <v>0.5</v>
      </c>
      <c r="I74" s="49">
        <f>AVERAGE('16.08 Jinja-Buwenge-24h'!I74,'17.08 Jinja-Buwenge-24h'!I74)</f>
        <v>0.5</v>
      </c>
      <c r="J74" s="49">
        <f>AVERAGE('16.08 Jinja-Buwenge-24h'!J74,'17.08 Jinja-Buwenge-24h'!J74)</f>
        <v>0</v>
      </c>
      <c r="K74" s="49">
        <f>AVERAGE('16.08 Jinja-Buwenge-24h'!K74,'17.08 Jinja-Buwenge-24h'!K74)</f>
        <v>0</v>
      </c>
      <c r="L74" s="49">
        <f>AVERAGE('16.08 Jinja-Buwenge-24h'!L74,'17.08 Jinja-Buwenge-24h'!L74)</f>
        <v>0</v>
      </c>
      <c r="M74" s="49">
        <f>AVERAGE('16.08 Jinja-Buwenge-24h'!M74,'17.08 Jinja-Buwenge-24h'!M74)</f>
        <v>11</v>
      </c>
      <c r="N74" s="49">
        <f>AVERAGE('16.08 Jinja-Buwenge-24h'!N74,'17.08 Jinja-Buwenge-24h'!N74)</f>
        <v>0</v>
      </c>
      <c r="O74" s="15">
        <f t="shared" si="35"/>
        <v>7</v>
      </c>
      <c r="P74" s="15">
        <f t="shared" si="36"/>
        <v>18</v>
      </c>
      <c r="R74" s="8"/>
      <c r="T74"/>
    </row>
    <row r="75" spans="2:20" ht="23.1" customHeight="1" x14ac:dyDescent="0.25">
      <c r="B75" s="23" t="s">
        <v>115</v>
      </c>
      <c r="C75" s="49">
        <f>AVERAGE('16.08 Jinja-Buwenge-24h'!C75,'17.08 Jinja-Buwenge-24h'!C75)</f>
        <v>2.5</v>
      </c>
      <c r="D75" s="49">
        <f>AVERAGE('16.08 Jinja-Buwenge-24h'!D75,'17.08 Jinja-Buwenge-24h'!D75)</f>
        <v>0.5</v>
      </c>
      <c r="E75" s="49">
        <f>AVERAGE('16.08 Jinja-Buwenge-24h'!E75,'17.08 Jinja-Buwenge-24h'!E75)</f>
        <v>1</v>
      </c>
      <c r="F75" s="49">
        <f>AVERAGE('16.08 Jinja-Buwenge-24h'!F75,'17.08 Jinja-Buwenge-24h'!F75)</f>
        <v>2</v>
      </c>
      <c r="G75" s="49">
        <f>AVERAGE('16.08 Jinja-Buwenge-24h'!G75,'17.08 Jinja-Buwenge-24h'!G75)</f>
        <v>1.5</v>
      </c>
      <c r="H75" s="49">
        <f>AVERAGE('16.08 Jinja-Buwenge-24h'!H75,'17.08 Jinja-Buwenge-24h'!H75)</f>
        <v>0</v>
      </c>
      <c r="I75" s="49">
        <f>AVERAGE('16.08 Jinja-Buwenge-24h'!I75,'17.08 Jinja-Buwenge-24h'!I75)</f>
        <v>0</v>
      </c>
      <c r="J75" s="49">
        <f>AVERAGE('16.08 Jinja-Buwenge-24h'!J75,'17.08 Jinja-Buwenge-24h'!J75)</f>
        <v>0</v>
      </c>
      <c r="K75" s="49">
        <f>AVERAGE('16.08 Jinja-Buwenge-24h'!K75,'17.08 Jinja-Buwenge-24h'!K75)</f>
        <v>0</v>
      </c>
      <c r="L75" s="49">
        <f>AVERAGE('16.08 Jinja-Buwenge-24h'!L75,'17.08 Jinja-Buwenge-24h'!L75)</f>
        <v>0</v>
      </c>
      <c r="M75" s="49">
        <f>AVERAGE('16.08 Jinja-Buwenge-24h'!M75,'17.08 Jinja-Buwenge-24h'!M75)</f>
        <v>16</v>
      </c>
      <c r="N75" s="49">
        <f>AVERAGE('16.08 Jinja-Buwenge-24h'!N75,'17.08 Jinja-Buwenge-24h'!N75)</f>
        <v>0</v>
      </c>
      <c r="O75" s="15">
        <f t="shared" si="35"/>
        <v>7.5</v>
      </c>
      <c r="P75" s="15">
        <f t="shared" si="36"/>
        <v>23.5</v>
      </c>
      <c r="R75" s="8"/>
      <c r="T75"/>
    </row>
    <row r="76" spans="2:20" ht="23.1" customHeight="1" x14ac:dyDescent="0.25">
      <c r="B76" s="23" t="s">
        <v>116</v>
      </c>
      <c r="C76" s="49">
        <f>AVERAGE('16.08 Jinja-Buwenge-24h'!C76,'17.08 Jinja-Buwenge-24h'!C76)</f>
        <v>1.5</v>
      </c>
      <c r="D76" s="49">
        <f>AVERAGE('16.08 Jinja-Buwenge-24h'!D76,'17.08 Jinja-Buwenge-24h'!D76)</f>
        <v>0</v>
      </c>
      <c r="E76" s="49">
        <f>AVERAGE('16.08 Jinja-Buwenge-24h'!E76,'17.08 Jinja-Buwenge-24h'!E76)</f>
        <v>1</v>
      </c>
      <c r="F76" s="49">
        <f>AVERAGE('16.08 Jinja-Buwenge-24h'!F76,'17.08 Jinja-Buwenge-24h'!F76)</f>
        <v>2</v>
      </c>
      <c r="G76" s="49">
        <f>AVERAGE('16.08 Jinja-Buwenge-24h'!G76,'17.08 Jinja-Buwenge-24h'!G76)</f>
        <v>0.5</v>
      </c>
      <c r="H76" s="49">
        <f>AVERAGE('16.08 Jinja-Buwenge-24h'!H76,'17.08 Jinja-Buwenge-24h'!H76)</f>
        <v>0</v>
      </c>
      <c r="I76" s="49">
        <f>AVERAGE('16.08 Jinja-Buwenge-24h'!I76,'17.08 Jinja-Buwenge-24h'!I76)</f>
        <v>1</v>
      </c>
      <c r="J76" s="49">
        <f>AVERAGE('16.08 Jinja-Buwenge-24h'!J76,'17.08 Jinja-Buwenge-24h'!J76)</f>
        <v>0</v>
      </c>
      <c r="K76" s="49">
        <f>AVERAGE('16.08 Jinja-Buwenge-24h'!K76,'17.08 Jinja-Buwenge-24h'!K76)</f>
        <v>0</v>
      </c>
      <c r="L76" s="49">
        <f>AVERAGE('16.08 Jinja-Buwenge-24h'!L76,'17.08 Jinja-Buwenge-24h'!L76)</f>
        <v>0</v>
      </c>
      <c r="M76" s="49">
        <f>AVERAGE('16.08 Jinja-Buwenge-24h'!M76,'17.08 Jinja-Buwenge-24h'!M76)</f>
        <v>11.5</v>
      </c>
      <c r="N76" s="49">
        <f>AVERAGE('16.08 Jinja-Buwenge-24h'!N76,'17.08 Jinja-Buwenge-24h'!N76)</f>
        <v>0</v>
      </c>
      <c r="O76" s="15">
        <f t="shared" si="35"/>
        <v>6</v>
      </c>
      <c r="P76" s="15">
        <f t="shared" si="36"/>
        <v>17.5</v>
      </c>
      <c r="R76" s="8"/>
      <c r="T76"/>
    </row>
    <row r="77" spans="2:20" ht="23.1" customHeight="1" x14ac:dyDescent="0.25">
      <c r="B77" s="23" t="s">
        <v>117</v>
      </c>
      <c r="C77" s="49">
        <f>AVERAGE('16.08 Jinja-Buwenge-24h'!C77,'17.08 Jinja-Buwenge-24h'!C77)</f>
        <v>1.5</v>
      </c>
      <c r="D77" s="49">
        <f>AVERAGE('16.08 Jinja-Buwenge-24h'!D77,'17.08 Jinja-Buwenge-24h'!D77)</f>
        <v>0.5</v>
      </c>
      <c r="E77" s="49">
        <f>AVERAGE('16.08 Jinja-Buwenge-24h'!E77,'17.08 Jinja-Buwenge-24h'!E77)</f>
        <v>2.5</v>
      </c>
      <c r="F77" s="49">
        <f>AVERAGE('16.08 Jinja-Buwenge-24h'!F77,'17.08 Jinja-Buwenge-24h'!F77)</f>
        <v>2</v>
      </c>
      <c r="G77" s="49">
        <f>AVERAGE('16.08 Jinja-Buwenge-24h'!G77,'17.08 Jinja-Buwenge-24h'!G77)</f>
        <v>0</v>
      </c>
      <c r="H77" s="49">
        <f>AVERAGE('16.08 Jinja-Buwenge-24h'!H77,'17.08 Jinja-Buwenge-24h'!H77)</f>
        <v>0</v>
      </c>
      <c r="I77" s="49">
        <f>AVERAGE('16.08 Jinja-Buwenge-24h'!I77,'17.08 Jinja-Buwenge-24h'!I77)</f>
        <v>1</v>
      </c>
      <c r="J77" s="49">
        <f>AVERAGE('16.08 Jinja-Buwenge-24h'!J77,'17.08 Jinja-Buwenge-24h'!J77)</f>
        <v>0</v>
      </c>
      <c r="K77" s="49">
        <f>AVERAGE('16.08 Jinja-Buwenge-24h'!K77,'17.08 Jinja-Buwenge-24h'!K77)</f>
        <v>0</v>
      </c>
      <c r="L77" s="49">
        <f>AVERAGE('16.08 Jinja-Buwenge-24h'!L77,'17.08 Jinja-Buwenge-24h'!L77)</f>
        <v>0</v>
      </c>
      <c r="M77" s="49">
        <f>AVERAGE('16.08 Jinja-Buwenge-24h'!M77,'17.08 Jinja-Buwenge-24h'!M77)</f>
        <v>8.5</v>
      </c>
      <c r="N77" s="49">
        <f>AVERAGE('16.08 Jinja-Buwenge-24h'!N77,'17.08 Jinja-Buwenge-24h'!N77)</f>
        <v>0</v>
      </c>
      <c r="O77" s="15">
        <f t="shared" si="35"/>
        <v>7.5</v>
      </c>
      <c r="P77" s="15">
        <f t="shared" si="36"/>
        <v>16</v>
      </c>
      <c r="R77" s="8"/>
      <c r="T77"/>
    </row>
    <row r="78" spans="2:20" ht="23.1" customHeight="1" x14ac:dyDescent="0.25">
      <c r="B78" s="24" t="s">
        <v>118</v>
      </c>
      <c r="C78" s="49">
        <f>AVERAGE('16.08 Jinja-Buwenge-24h'!C78,'17.08 Jinja-Buwenge-24h'!C78)</f>
        <v>2.5</v>
      </c>
      <c r="D78" s="49">
        <f>AVERAGE('16.08 Jinja-Buwenge-24h'!D78,'17.08 Jinja-Buwenge-24h'!D78)</f>
        <v>0</v>
      </c>
      <c r="E78" s="49">
        <f>AVERAGE('16.08 Jinja-Buwenge-24h'!E78,'17.08 Jinja-Buwenge-24h'!E78)</f>
        <v>1.5</v>
      </c>
      <c r="F78" s="49">
        <f>AVERAGE('16.08 Jinja-Buwenge-24h'!F78,'17.08 Jinja-Buwenge-24h'!F78)</f>
        <v>0.5</v>
      </c>
      <c r="G78" s="49">
        <f>AVERAGE('16.08 Jinja-Buwenge-24h'!G78,'17.08 Jinja-Buwenge-24h'!G78)</f>
        <v>0.5</v>
      </c>
      <c r="H78" s="49">
        <f>AVERAGE('16.08 Jinja-Buwenge-24h'!H78,'17.08 Jinja-Buwenge-24h'!H78)</f>
        <v>0</v>
      </c>
      <c r="I78" s="49">
        <f>AVERAGE('16.08 Jinja-Buwenge-24h'!I78,'17.08 Jinja-Buwenge-24h'!I78)</f>
        <v>0.5</v>
      </c>
      <c r="J78" s="49">
        <f>AVERAGE('16.08 Jinja-Buwenge-24h'!J78,'17.08 Jinja-Buwenge-24h'!J78)</f>
        <v>0</v>
      </c>
      <c r="K78" s="49">
        <f>AVERAGE('16.08 Jinja-Buwenge-24h'!K78,'17.08 Jinja-Buwenge-24h'!K78)</f>
        <v>0</v>
      </c>
      <c r="L78" s="49">
        <f>AVERAGE('16.08 Jinja-Buwenge-24h'!L78,'17.08 Jinja-Buwenge-24h'!L78)</f>
        <v>0</v>
      </c>
      <c r="M78" s="49">
        <f>AVERAGE('16.08 Jinja-Buwenge-24h'!M78,'17.08 Jinja-Buwenge-24h'!M78)</f>
        <v>8</v>
      </c>
      <c r="N78" s="49">
        <f>AVERAGE('16.08 Jinja-Buwenge-24h'!N78,'17.08 Jinja-Buwenge-24h'!N78)</f>
        <v>0</v>
      </c>
      <c r="O78" s="15">
        <f t="shared" si="35"/>
        <v>5.5</v>
      </c>
      <c r="P78" s="15">
        <f t="shared" si="36"/>
        <v>13.5</v>
      </c>
      <c r="R78" s="8"/>
      <c r="T78"/>
    </row>
    <row r="79" spans="2:20" ht="23.1" customHeight="1" x14ac:dyDescent="0.25">
      <c r="B79" s="23" t="s">
        <v>119</v>
      </c>
      <c r="C79" s="49">
        <f>AVERAGE('16.08 Jinja-Buwenge-24h'!C79,'17.08 Jinja-Buwenge-24h'!C79)</f>
        <v>0</v>
      </c>
      <c r="D79" s="49">
        <f>AVERAGE('16.08 Jinja-Buwenge-24h'!D79,'17.08 Jinja-Buwenge-24h'!D79)</f>
        <v>0</v>
      </c>
      <c r="E79" s="49">
        <f>AVERAGE('16.08 Jinja-Buwenge-24h'!E79,'17.08 Jinja-Buwenge-24h'!E79)</f>
        <v>0</v>
      </c>
      <c r="F79" s="49">
        <f>AVERAGE('16.08 Jinja-Buwenge-24h'!F79,'17.08 Jinja-Buwenge-24h'!F79)</f>
        <v>2</v>
      </c>
      <c r="G79" s="49">
        <f>AVERAGE('16.08 Jinja-Buwenge-24h'!G79,'17.08 Jinja-Buwenge-24h'!G79)</f>
        <v>0</v>
      </c>
      <c r="H79" s="49">
        <f>AVERAGE('16.08 Jinja-Buwenge-24h'!H79,'17.08 Jinja-Buwenge-24h'!H79)</f>
        <v>0</v>
      </c>
      <c r="I79" s="49">
        <f>AVERAGE('16.08 Jinja-Buwenge-24h'!I79,'17.08 Jinja-Buwenge-24h'!I79)</f>
        <v>0</v>
      </c>
      <c r="J79" s="49">
        <f>AVERAGE('16.08 Jinja-Buwenge-24h'!J79,'17.08 Jinja-Buwenge-24h'!J79)</f>
        <v>0</v>
      </c>
      <c r="K79" s="49">
        <f>AVERAGE('16.08 Jinja-Buwenge-24h'!K79,'17.08 Jinja-Buwenge-24h'!K79)</f>
        <v>0</v>
      </c>
      <c r="L79" s="49">
        <f>AVERAGE('16.08 Jinja-Buwenge-24h'!L79,'17.08 Jinja-Buwenge-24h'!L79)</f>
        <v>0</v>
      </c>
      <c r="M79" s="49">
        <f>AVERAGE('16.08 Jinja-Buwenge-24h'!M79,'17.08 Jinja-Buwenge-24h'!M79)</f>
        <v>3.5</v>
      </c>
      <c r="N79" s="49">
        <f>AVERAGE('16.08 Jinja-Buwenge-24h'!N79,'17.08 Jinja-Buwenge-24h'!N79)</f>
        <v>0</v>
      </c>
      <c r="O79" s="15">
        <f t="shared" si="35"/>
        <v>2</v>
      </c>
      <c r="P79" s="15">
        <f t="shared" si="36"/>
        <v>5.5</v>
      </c>
      <c r="R79" s="8"/>
      <c r="T79"/>
    </row>
    <row r="80" spans="2:20" ht="23.1" customHeight="1" x14ac:dyDescent="0.25">
      <c r="B80" s="25" t="s">
        <v>120</v>
      </c>
      <c r="C80" s="49">
        <f>AVERAGE('16.08 Jinja-Buwenge-24h'!C80,'17.08 Jinja-Buwenge-24h'!C80)</f>
        <v>0.5</v>
      </c>
      <c r="D80" s="49">
        <f>AVERAGE('16.08 Jinja-Buwenge-24h'!D80,'17.08 Jinja-Buwenge-24h'!D80)</f>
        <v>0</v>
      </c>
      <c r="E80" s="49">
        <f>AVERAGE('16.08 Jinja-Buwenge-24h'!E80,'17.08 Jinja-Buwenge-24h'!E80)</f>
        <v>1.5</v>
      </c>
      <c r="F80" s="49">
        <f>AVERAGE('16.08 Jinja-Buwenge-24h'!F80,'17.08 Jinja-Buwenge-24h'!F80)</f>
        <v>0</v>
      </c>
      <c r="G80" s="49">
        <f>AVERAGE('16.08 Jinja-Buwenge-24h'!G80,'17.08 Jinja-Buwenge-24h'!G80)</f>
        <v>0</v>
      </c>
      <c r="H80" s="49">
        <f>AVERAGE('16.08 Jinja-Buwenge-24h'!H80,'17.08 Jinja-Buwenge-24h'!H80)</f>
        <v>0.5</v>
      </c>
      <c r="I80" s="49">
        <f>AVERAGE('16.08 Jinja-Buwenge-24h'!I80,'17.08 Jinja-Buwenge-24h'!I80)</f>
        <v>0.5</v>
      </c>
      <c r="J80" s="49">
        <f>AVERAGE('16.08 Jinja-Buwenge-24h'!J80,'17.08 Jinja-Buwenge-24h'!J80)</f>
        <v>0</v>
      </c>
      <c r="K80" s="49">
        <f>AVERAGE('16.08 Jinja-Buwenge-24h'!K80,'17.08 Jinja-Buwenge-24h'!K80)</f>
        <v>0</v>
      </c>
      <c r="L80" s="49">
        <f>AVERAGE('16.08 Jinja-Buwenge-24h'!L80,'17.08 Jinja-Buwenge-24h'!L80)</f>
        <v>0</v>
      </c>
      <c r="M80" s="49">
        <f>AVERAGE('16.08 Jinja-Buwenge-24h'!M80,'17.08 Jinja-Buwenge-24h'!M80)</f>
        <v>6.5</v>
      </c>
      <c r="N80" s="49">
        <f>AVERAGE('16.08 Jinja-Buwenge-24h'!N80,'17.08 Jinja-Buwenge-24h'!N80)</f>
        <v>0</v>
      </c>
      <c r="O80" s="15">
        <f t="shared" si="35"/>
        <v>3</v>
      </c>
      <c r="P80" s="15">
        <f t="shared" si="36"/>
        <v>9.5</v>
      </c>
      <c r="R80" s="8"/>
      <c r="T80"/>
    </row>
    <row r="81" spans="2:20" ht="23.1" customHeight="1" x14ac:dyDescent="0.25">
      <c r="B81" s="23" t="s">
        <v>121</v>
      </c>
      <c r="C81" s="49">
        <f>AVERAGE('16.08 Jinja-Buwenge-24h'!C81,'17.08 Jinja-Buwenge-24h'!C81)</f>
        <v>2</v>
      </c>
      <c r="D81" s="49">
        <f>AVERAGE('16.08 Jinja-Buwenge-24h'!D81,'17.08 Jinja-Buwenge-24h'!D81)</f>
        <v>0</v>
      </c>
      <c r="E81" s="49">
        <f>AVERAGE('16.08 Jinja-Buwenge-24h'!E81,'17.08 Jinja-Buwenge-24h'!E81)</f>
        <v>1.5</v>
      </c>
      <c r="F81" s="49">
        <f>AVERAGE('16.08 Jinja-Buwenge-24h'!F81,'17.08 Jinja-Buwenge-24h'!F81)</f>
        <v>1</v>
      </c>
      <c r="G81" s="49">
        <f>AVERAGE('16.08 Jinja-Buwenge-24h'!G81,'17.08 Jinja-Buwenge-24h'!G81)</f>
        <v>0</v>
      </c>
      <c r="H81" s="49">
        <f>AVERAGE('16.08 Jinja-Buwenge-24h'!H81,'17.08 Jinja-Buwenge-24h'!H81)</f>
        <v>0</v>
      </c>
      <c r="I81" s="49">
        <f>AVERAGE('16.08 Jinja-Buwenge-24h'!I81,'17.08 Jinja-Buwenge-24h'!I81)</f>
        <v>0</v>
      </c>
      <c r="J81" s="49">
        <f>AVERAGE('16.08 Jinja-Buwenge-24h'!J81,'17.08 Jinja-Buwenge-24h'!J81)</f>
        <v>0</v>
      </c>
      <c r="K81" s="49">
        <f>AVERAGE('16.08 Jinja-Buwenge-24h'!K81,'17.08 Jinja-Buwenge-24h'!K81)</f>
        <v>0</v>
      </c>
      <c r="L81" s="49">
        <f>AVERAGE('16.08 Jinja-Buwenge-24h'!L81,'17.08 Jinja-Buwenge-24h'!L81)</f>
        <v>0</v>
      </c>
      <c r="M81" s="49">
        <f>AVERAGE('16.08 Jinja-Buwenge-24h'!M81,'17.08 Jinja-Buwenge-24h'!M81)</f>
        <v>4</v>
      </c>
      <c r="N81" s="49">
        <f>AVERAGE('16.08 Jinja-Buwenge-24h'!N81,'17.08 Jinja-Buwenge-24h'!N81)</f>
        <v>0</v>
      </c>
      <c r="O81" s="15">
        <f t="shared" si="35"/>
        <v>4.5</v>
      </c>
      <c r="P81" s="15">
        <f t="shared" si="36"/>
        <v>8.5</v>
      </c>
      <c r="R81" s="8"/>
      <c r="T81"/>
    </row>
    <row r="82" spans="2:20" ht="23.1" customHeight="1" x14ac:dyDescent="0.25">
      <c r="B82" s="24" t="s">
        <v>122</v>
      </c>
      <c r="C82" s="49">
        <f>AVERAGE('16.08 Jinja-Buwenge-24h'!C82,'17.08 Jinja-Buwenge-24h'!C82)</f>
        <v>1.5</v>
      </c>
      <c r="D82" s="49">
        <f>AVERAGE('16.08 Jinja-Buwenge-24h'!D82,'17.08 Jinja-Buwenge-24h'!D82)</f>
        <v>0</v>
      </c>
      <c r="E82" s="49">
        <f>AVERAGE('16.08 Jinja-Buwenge-24h'!E82,'17.08 Jinja-Buwenge-24h'!E82)</f>
        <v>1</v>
      </c>
      <c r="F82" s="49">
        <f>AVERAGE('16.08 Jinja-Buwenge-24h'!F82,'17.08 Jinja-Buwenge-24h'!F82)</f>
        <v>1</v>
      </c>
      <c r="G82" s="49">
        <f>AVERAGE('16.08 Jinja-Buwenge-24h'!G82,'17.08 Jinja-Buwenge-24h'!G82)</f>
        <v>0</v>
      </c>
      <c r="H82" s="49">
        <f>AVERAGE('16.08 Jinja-Buwenge-24h'!H82,'17.08 Jinja-Buwenge-24h'!H82)</f>
        <v>0</v>
      </c>
      <c r="I82" s="49">
        <f>AVERAGE('16.08 Jinja-Buwenge-24h'!I82,'17.08 Jinja-Buwenge-24h'!I82)</f>
        <v>1</v>
      </c>
      <c r="J82" s="49">
        <f>AVERAGE('16.08 Jinja-Buwenge-24h'!J82,'17.08 Jinja-Buwenge-24h'!J82)</f>
        <v>0</v>
      </c>
      <c r="K82" s="49">
        <f>AVERAGE('16.08 Jinja-Buwenge-24h'!K82,'17.08 Jinja-Buwenge-24h'!K82)</f>
        <v>0</v>
      </c>
      <c r="L82" s="49">
        <f>AVERAGE('16.08 Jinja-Buwenge-24h'!L82,'17.08 Jinja-Buwenge-24h'!L82)</f>
        <v>0</v>
      </c>
      <c r="M82" s="49">
        <f>AVERAGE('16.08 Jinja-Buwenge-24h'!M82,'17.08 Jinja-Buwenge-24h'!M82)</f>
        <v>6</v>
      </c>
      <c r="N82" s="49">
        <f>AVERAGE('16.08 Jinja-Buwenge-24h'!N82,'17.08 Jinja-Buwenge-24h'!N82)</f>
        <v>0</v>
      </c>
      <c r="O82" s="15">
        <f t="shared" si="35"/>
        <v>4.5</v>
      </c>
      <c r="P82" s="15">
        <f t="shared" si="36"/>
        <v>10.5</v>
      </c>
      <c r="R82" s="8"/>
      <c r="T82"/>
    </row>
    <row r="83" spans="2:20" ht="23.1" customHeight="1" x14ac:dyDescent="0.25">
      <c r="B83" s="23" t="s">
        <v>123</v>
      </c>
      <c r="C83" s="49">
        <f>AVERAGE('16.08 Jinja-Buwenge-24h'!C83,'17.08 Jinja-Buwenge-24h'!C83)</f>
        <v>1.5</v>
      </c>
      <c r="D83" s="49">
        <f>AVERAGE('16.08 Jinja-Buwenge-24h'!D83,'17.08 Jinja-Buwenge-24h'!D83)</f>
        <v>0</v>
      </c>
      <c r="E83" s="49">
        <f>AVERAGE('16.08 Jinja-Buwenge-24h'!E83,'17.08 Jinja-Buwenge-24h'!E83)</f>
        <v>0.5</v>
      </c>
      <c r="F83" s="49">
        <f>AVERAGE('16.08 Jinja-Buwenge-24h'!F83,'17.08 Jinja-Buwenge-24h'!F83)</f>
        <v>0.5</v>
      </c>
      <c r="G83" s="49">
        <f>AVERAGE('16.08 Jinja-Buwenge-24h'!G83,'17.08 Jinja-Buwenge-24h'!G83)</f>
        <v>0</v>
      </c>
      <c r="H83" s="49">
        <f>AVERAGE('16.08 Jinja-Buwenge-24h'!H83,'17.08 Jinja-Buwenge-24h'!H83)</f>
        <v>0</v>
      </c>
      <c r="I83" s="49">
        <f>AVERAGE('16.08 Jinja-Buwenge-24h'!I83,'17.08 Jinja-Buwenge-24h'!I83)</f>
        <v>0</v>
      </c>
      <c r="J83" s="49">
        <f>AVERAGE('16.08 Jinja-Buwenge-24h'!J83,'17.08 Jinja-Buwenge-24h'!J83)</f>
        <v>0.5</v>
      </c>
      <c r="K83" s="49">
        <f>AVERAGE('16.08 Jinja-Buwenge-24h'!K83,'17.08 Jinja-Buwenge-24h'!K83)</f>
        <v>0</v>
      </c>
      <c r="L83" s="49">
        <f>AVERAGE('16.08 Jinja-Buwenge-24h'!L83,'17.08 Jinja-Buwenge-24h'!L83)</f>
        <v>0</v>
      </c>
      <c r="M83" s="49">
        <f>AVERAGE('16.08 Jinja-Buwenge-24h'!M83,'17.08 Jinja-Buwenge-24h'!M83)</f>
        <v>4.5</v>
      </c>
      <c r="N83" s="49">
        <f>AVERAGE('16.08 Jinja-Buwenge-24h'!N83,'17.08 Jinja-Buwenge-24h'!N83)</f>
        <v>0</v>
      </c>
      <c r="O83" s="15">
        <f t="shared" si="35"/>
        <v>3</v>
      </c>
      <c r="P83" s="15">
        <f t="shared" si="36"/>
        <v>7.5</v>
      </c>
      <c r="R83" s="8"/>
      <c r="T83"/>
    </row>
    <row r="84" spans="2:20" ht="23.1" customHeight="1" x14ac:dyDescent="0.25">
      <c r="B84" s="25" t="s">
        <v>124</v>
      </c>
      <c r="C84" s="49">
        <f>AVERAGE('16.08 Jinja-Buwenge-24h'!C84,'17.08 Jinja-Buwenge-24h'!C84)</f>
        <v>2</v>
      </c>
      <c r="D84" s="49">
        <f>AVERAGE('16.08 Jinja-Buwenge-24h'!D84,'17.08 Jinja-Buwenge-24h'!D84)</f>
        <v>0</v>
      </c>
      <c r="E84" s="49">
        <f>AVERAGE('16.08 Jinja-Buwenge-24h'!E84,'17.08 Jinja-Buwenge-24h'!E84)</f>
        <v>0.5</v>
      </c>
      <c r="F84" s="49">
        <f>AVERAGE('16.08 Jinja-Buwenge-24h'!F84,'17.08 Jinja-Buwenge-24h'!F84)</f>
        <v>1</v>
      </c>
      <c r="G84" s="49">
        <f>AVERAGE('16.08 Jinja-Buwenge-24h'!G84,'17.08 Jinja-Buwenge-24h'!G84)</f>
        <v>0</v>
      </c>
      <c r="H84" s="49">
        <f>AVERAGE('16.08 Jinja-Buwenge-24h'!H84,'17.08 Jinja-Buwenge-24h'!H84)</f>
        <v>0</v>
      </c>
      <c r="I84" s="49">
        <f>AVERAGE('16.08 Jinja-Buwenge-24h'!I84,'17.08 Jinja-Buwenge-24h'!I84)</f>
        <v>0</v>
      </c>
      <c r="J84" s="49">
        <f>AVERAGE('16.08 Jinja-Buwenge-24h'!J84,'17.08 Jinja-Buwenge-24h'!J84)</f>
        <v>0</v>
      </c>
      <c r="K84" s="49">
        <f>AVERAGE('16.08 Jinja-Buwenge-24h'!K84,'17.08 Jinja-Buwenge-24h'!K84)</f>
        <v>0</v>
      </c>
      <c r="L84" s="49">
        <f>AVERAGE('16.08 Jinja-Buwenge-24h'!L84,'17.08 Jinja-Buwenge-24h'!L84)</f>
        <v>0</v>
      </c>
      <c r="M84" s="49">
        <f>AVERAGE('16.08 Jinja-Buwenge-24h'!M84,'17.08 Jinja-Buwenge-24h'!M84)</f>
        <v>1</v>
      </c>
      <c r="N84" s="49">
        <f>AVERAGE('16.08 Jinja-Buwenge-24h'!N84,'17.08 Jinja-Buwenge-24h'!N84)</f>
        <v>0</v>
      </c>
      <c r="O84" s="15">
        <f t="shared" si="35"/>
        <v>3.5</v>
      </c>
      <c r="P84" s="15">
        <f t="shared" si="36"/>
        <v>4.5</v>
      </c>
      <c r="R84" s="8"/>
      <c r="T84"/>
    </row>
    <row r="85" spans="2:20" ht="23.1" customHeight="1" x14ac:dyDescent="0.25">
      <c r="B85" s="23" t="s">
        <v>125</v>
      </c>
      <c r="C85" s="49">
        <f>AVERAGE('16.08 Jinja-Buwenge-24h'!C85,'17.08 Jinja-Buwenge-24h'!C85)</f>
        <v>0.5</v>
      </c>
      <c r="D85" s="49">
        <f>AVERAGE('16.08 Jinja-Buwenge-24h'!D85,'17.08 Jinja-Buwenge-24h'!D85)</f>
        <v>0</v>
      </c>
      <c r="E85" s="49">
        <f>AVERAGE('16.08 Jinja-Buwenge-24h'!E85,'17.08 Jinja-Buwenge-24h'!E85)</f>
        <v>0.5</v>
      </c>
      <c r="F85" s="49">
        <f>AVERAGE('16.08 Jinja-Buwenge-24h'!F85,'17.08 Jinja-Buwenge-24h'!F85)</f>
        <v>0</v>
      </c>
      <c r="G85" s="49">
        <f>AVERAGE('16.08 Jinja-Buwenge-24h'!G85,'17.08 Jinja-Buwenge-24h'!G85)</f>
        <v>0</v>
      </c>
      <c r="H85" s="49">
        <f>AVERAGE('16.08 Jinja-Buwenge-24h'!H85,'17.08 Jinja-Buwenge-24h'!H85)</f>
        <v>0</v>
      </c>
      <c r="I85" s="49">
        <f>AVERAGE('16.08 Jinja-Buwenge-24h'!I85,'17.08 Jinja-Buwenge-24h'!I85)</f>
        <v>0</v>
      </c>
      <c r="J85" s="49">
        <f>AVERAGE('16.08 Jinja-Buwenge-24h'!J85,'17.08 Jinja-Buwenge-24h'!J85)</f>
        <v>0</v>
      </c>
      <c r="K85" s="49">
        <f>AVERAGE('16.08 Jinja-Buwenge-24h'!K85,'17.08 Jinja-Buwenge-24h'!K85)</f>
        <v>0</v>
      </c>
      <c r="L85" s="49">
        <f>AVERAGE('16.08 Jinja-Buwenge-24h'!L85,'17.08 Jinja-Buwenge-24h'!L85)</f>
        <v>0</v>
      </c>
      <c r="M85" s="49">
        <f>AVERAGE('16.08 Jinja-Buwenge-24h'!M85,'17.08 Jinja-Buwenge-24h'!M85)</f>
        <v>1</v>
      </c>
      <c r="N85" s="49">
        <f>AVERAGE('16.08 Jinja-Buwenge-24h'!N85,'17.08 Jinja-Buwenge-24h'!N85)</f>
        <v>0</v>
      </c>
      <c r="O85" s="15">
        <f t="shared" si="35"/>
        <v>1</v>
      </c>
      <c r="P85" s="15">
        <f t="shared" si="36"/>
        <v>2</v>
      </c>
      <c r="R85" s="8"/>
      <c r="T85"/>
    </row>
    <row r="86" spans="2:20" ht="23.1" customHeight="1" x14ac:dyDescent="0.25">
      <c r="B86" s="24" t="s">
        <v>126</v>
      </c>
      <c r="C86" s="49">
        <f>AVERAGE('16.08 Jinja-Buwenge-24h'!C86,'17.08 Jinja-Buwenge-24h'!C86)</f>
        <v>0.5</v>
      </c>
      <c r="D86" s="49">
        <f>AVERAGE('16.08 Jinja-Buwenge-24h'!D86,'17.08 Jinja-Buwenge-24h'!D86)</f>
        <v>0</v>
      </c>
      <c r="E86" s="49">
        <f>AVERAGE('16.08 Jinja-Buwenge-24h'!E86,'17.08 Jinja-Buwenge-24h'!E86)</f>
        <v>0</v>
      </c>
      <c r="F86" s="49">
        <f>AVERAGE('16.08 Jinja-Buwenge-24h'!F86,'17.08 Jinja-Buwenge-24h'!F86)</f>
        <v>0.5</v>
      </c>
      <c r="G86" s="49">
        <f>AVERAGE('16.08 Jinja-Buwenge-24h'!G86,'17.08 Jinja-Buwenge-24h'!G86)</f>
        <v>0</v>
      </c>
      <c r="H86" s="49">
        <f>AVERAGE('16.08 Jinja-Buwenge-24h'!H86,'17.08 Jinja-Buwenge-24h'!H86)</f>
        <v>0</v>
      </c>
      <c r="I86" s="49">
        <f>AVERAGE('16.08 Jinja-Buwenge-24h'!I86,'17.08 Jinja-Buwenge-24h'!I86)</f>
        <v>1</v>
      </c>
      <c r="J86" s="49">
        <f>AVERAGE('16.08 Jinja-Buwenge-24h'!J86,'17.08 Jinja-Buwenge-24h'!J86)</f>
        <v>1</v>
      </c>
      <c r="K86" s="49">
        <f>AVERAGE('16.08 Jinja-Buwenge-24h'!K86,'17.08 Jinja-Buwenge-24h'!K86)</f>
        <v>0</v>
      </c>
      <c r="L86" s="49">
        <f>AVERAGE('16.08 Jinja-Buwenge-24h'!L86,'17.08 Jinja-Buwenge-24h'!L86)</f>
        <v>0</v>
      </c>
      <c r="M86" s="49">
        <f>AVERAGE('16.08 Jinja-Buwenge-24h'!M86,'17.08 Jinja-Buwenge-24h'!M86)</f>
        <v>1.5</v>
      </c>
      <c r="N86" s="49">
        <f>AVERAGE('16.08 Jinja-Buwenge-24h'!N86,'17.08 Jinja-Buwenge-24h'!N86)</f>
        <v>0</v>
      </c>
      <c r="O86" s="15">
        <f t="shared" si="35"/>
        <v>3</v>
      </c>
      <c r="P86" s="15">
        <f t="shared" si="36"/>
        <v>4.5</v>
      </c>
      <c r="R86" s="8"/>
      <c r="T86"/>
    </row>
    <row r="87" spans="2:20" ht="23.1" customHeight="1" x14ac:dyDescent="0.25">
      <c r="B87" s="23" t="s">
        <v>127</v>
      </c>
      <c r="C87" s="49">
        <f>AVERAGE('16.08 Jinja-Buwenge-24h'!C87,'17.08 Jinja-Buwenge-24h'!C87)</f>
        <v>0.5</v>
      </c>
      <c r="D87" s="49">
        <f>AVERAGE('16.08 Jinja-Buwenge-24h'!D87,'17.08 Jinja-Buwenge-24h'!D87)</f>
        <v>0</v>
      </c>
      <c r="E87" s="49">
        <f>AVERAGE('16.08 Jinja-Buwenge-24h'!E87,'17.08 Jinja-Buwenge-24h'!E87)</f>
        <v>0.5</v>
      </c>
      <c r="F87" s="49">
        <f>AVERAGE('16.08 Jinja-Buwenge-24h'!F87,'17.08 Jinja-Buwenge-24h'!F87)</f>
        <v>0</v>
      </c>
      <c r="G87" s="49">
        <f>AVERAGE('16.08 Jinja-Buwenge-24h'!G87,'17.08 Jinja-Buwenge-24h'!G87)</f>
        <v>0</v>
      </c>
      <c r="H87" s="49">
        <f>AVERAGE('16.08 Jinja-Buwenge-24h'!H87,'17.08 Jinja-Buwenge-24h'!H87)</f>
        <v>0</v>
      </c>
      <c r="I87" s="49">
        <f>AVERAGE('16.08 Jinja-Buwenge-24h'!I87,'17.08 Jinja-Buwenge-24h'!I87)</f>
        <v>0.5</v>
      </c>
      <c r="J87" s="49">
        <f>AVERAGE('16.08 Jinja-Buwenge-24h'!J87,'17.08 Jinja-Buwenge-24h'!J87)</f>
        <v>0</v>
      </c>
      <c r="K87" s="49">
        <f>AVERAGE('16.08 Jinja-Buwenge-24h'!K87,'17.08 Jinja-Buwenge-24h'!K87)</f>
        <v>0</v>
      </c>
      <c r="L87" s="49">
        <f>AVERAGE('16.08 Jinja-Buwenge-24h'!L87,'17.08 Jinja-Buwenge-24h'!L87)</f>
        <v>0</v>
      </c>
      <c r="M87" s="49">
        <f>AVERAGE('16.08 Jinja-Buwenge-24h'!M87,'17.08 Jinja-Buwenge-24h'!M87)</f>
        <v>0</v>
      </c>
      <c r="N87" s="49">
        <f>AVERAGE('16.08 Jinja-Buwenge-24h'!N87,'17.08 Jinja-Buwenge-24h'!N87)</f>
        <v>0</v>
      </c>
      <c r="O87" s="15">
        <f t="shared" si="35"/>
        <v>1.5</v>
      </c>
      <c r="P87" s="15">
        <f t="shared" si="36"/>
        <v>1.5</v>
      </c>
      <c r="R87" s="8"/>
      <c r="T87"/>
    </row>
    <row r="88" spans="2:20" ht="23.1" customHeight="1" x14ac:dyDescent="0.25">
      <c r="B88" s="25" t="s">
        <v>128</v>
      </c>
      <c r="C88" s="49">
        <f>AVERAGE('16.08 Jinja-Buwenge-24h'!C88,'17.08 Jinja-Buwenge-24h'!C88)</f>
        <v>0</v>
      </c>
      <c r="D88" s="49">
        <f>AVERAGE('16.08 Jinja-Buwenge-24h'!D88,'17.08 Jinja-Buwenge-24h'!D88)</f>
        <v>0</v>
      </c>
      <c r="E88" s="49">
        <f>AVERAGE('16.08 Jinja-Buwenge-24h'!E88,'17.08 Jinja-Buwenge-24h'!E88)</f>
        <v>0</v>
      </c>
      <c r="F88" s="49">
        <f>AVERAGE('16.08 Jinja-Buwenge-24h'!F88,'17.08 Jinja-Buwenge-24h'!F88)</f>
        <v>0</v>
      </c>
      <c r="G88" s="49">
        <f>AVERAGE('16.08 Jinja-Buwenge-24h'!G88,'17.08 Jinja-Buwenge-24h'!G88)</f>
        <v>0</v>
      </c>
      <c r="H88" s="49">
        <f>AVERAGE('16.08 Jinja-Buwenge-24h'!H88,'17.08 Jinja-Buwenge-24h'!H88)</f>
        <v>0</v>
      </c>
      <c r="I88" s="49">
        <f>AVERAGE('16.08 Jinja-Buwenge-24h'!I88,'17.08 Jinja-Buwenge-24h'!I88)</f>
        <v>0.5</v>
      </c>
      <c r="J88" s="49">
        <f>AVERAGE('16.08 Jinja-Buwenge-24h'!J88,'17.08 Jinja-Buwenge-24h'!J88)</f>
        <v>0</v>
      </c>
      <c r="K88" s="49">
        <f>AVERAGE('16.08 Jinja-Buwenge-24h'!K88,'17.08 Jinja-Buwenge-24h'!K88)</f>
        <v>0</v>
      </c>
      <c r="L88" s="49">
        <f>AVERAGE('16.08 Jinja-Buwenge-24h'!L88,'17.08 Jinja-Buwenge-24h'!L88)</f>
        <v>0</v>
      </c>
      <c r="M88" s="49">
        <f>AVERAGE('16.08 Jinja-Buwenge-24h'!M88,'17.08 Jinja-Buwenge-24h'!M88)</f>
        <v>1.5</v>
      </c>
      <c r="N88" s="49">
        <f>AVERAGE('16.08 Jinja-Buwenge-24h'!N88,'17.08 Jinja-Buwenge-24h'!N88)</f>
        <v>0</v>
      </c>
      <c r="O88" s="15">
        <f t="shared" si="35"/>
        <v>0.5</v>
      </c>
      <c r="P88" s="15">
        <f t="shared" si="36"/>
        <v>2</v>
      </c>
      <c r="R88" s="8"/>
      <c r="T88"/>
    </row>
    <row r="89" spans="2:20" ht="23.1" customHeight="1" x14ac:dyDescent="0.25">
      <c r="B89" s="23" t="s">
        <v>129</v>
      </c>
      <c r="C89" s="49">
        <f>AVERAGE('16.08 Jinja-Buwenge-24h'!C89,'17.08 Jinja-Buwenge-24h'!C89)</f>
        <v>0.5</v>
      </c>
      <c r="D89" s="49">
        <f>AVERAGE('16.08 Jinja-Buwenge-24h'!D89,'17.08 Jinja-Buwenge-24h'!D89)</f>
        <v>0</v>
      </c>
      <c r="E89" s="49">
        <f>AVERAGE('16.08 Jinja-Buwenge-24h'!E89,'17.08 Jinja-Buwenge-24h'!E89)</f>
        <v>0</v>
      </c>
      <c r="F89" s="49">
        <f>AVERAGE('16.08 Jinja-Buwenge-24h'!F89,'17.08 Jinja-Buwenge-24h'!F89)</f>
        <v>0</v>
      </c>
      <c r="G89" s="49">
        <f>AVERAGE('16.08 Jinja-Buwenge-24h'!G89,'17.08 Jinja-Buwenge-24h'!G89)</f>
        <v>0</v>
      </c>
      <c r="H89" s="49">
        <f>AVERAGE('16.08 Jinja-Buwenge-24h'!H89,'17.08 Jinja-Buwenge-24h'!H89)</f>
        <v>0</v>
      </c>
      <c r="I89" s="49">
        <f>AVERAGE('16.08 Jinja-Buwenge-24h'!I89,'17.08 Jinja-Buwenge-24h'!I89)</f>
        <v>0.5</v>
      </c>
      <c r="J89" s="49">
        <f>AVERAGE('16.08 Jinja-Buwenge-24h'!J89,'17.08 Jinja-Buwenge-24h'!J89)</f>
        <v>0</v>
      </c>
      <c r="K89" s="49">
        <f>AVERAGE('16.08 Jinja-Buwenge-24h'!K89,'17.08 Jinja-Buwenge-24h'!K89)</f>
        <v>0</v>
      </c>
      <c r="L89" s="49">
        <f>AVERAGE('16.08 Jinja-Buwenge-24h'!L89,'17.08 Jinja-Buwenge-24h'!L89)</f>
        <v>0</v>
      </c>
      <c r="M89" s="49">
        <f>AVERAGE('16.08 Jinja-Buwenge-24h'!M89,'17.08 Jinja-Buwenge-24h'!M89)</f>
        <v>0</v>
      </c>
      <c r="N89" s="49">
        <f>AVERAGE('16.08 Jinja-Buwenge-24h'!N89,'17.08 Jinja-Buwenge-24h'!N89)</f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24" t="s">
        <v>130</v>
      </c>
      <c r="C90" s="49">
        <f>AVERAGE('16.08 Jinja-Buwenge-24h'!C90,'17.08 Jinja-Buwenge-24h'!C90)</f>
        <v>0</v>
      </c>
      <c r="D90" s="49">
        <f>AVERAGE('16.08 Jinja-Buwenge-24h'!D90,'17.08 Jinja-Buwenge-24h'!D90)</f>
        <v>0</v>
      </c>
      <c r="E90" s="49">
        <f>AVERAGE('16.08 Jinja-Buwenge-24h'!E90,'17.08 Jinja-Buwenge-24h'!E90)</f>
        <v>0</v>
      </c>
      <c r="F90" s="49">
        <f>AVERAGE('16.08 Jinja-Buwenge-24h'!F90,'17.08 Jinja-Buwenge-24h'!F90)</f>
        <v>0</v>
      </c>
      <c r="G90" s="49">
        <f>AVERAGE('16.08 Jinja-Buwenge-24h'!G90,'17.08 Jinja-Buwenge-24h'!G90)</f>
        <v>0</v>
      </c>
      <c r="H90" s="49">
        <f>AVERAGE('16.08 Jinja-Buwenge-24h'!H90,'17.08 Jinja-Buwenge-24h'!H90)</f>
        <v>0</v>
      </c>
      <c r="I90" s="49">
        <f>AVERAGE('16.08 Jinja-Buwenge-24h'!I90,'17.08 Jinja-Buwenge-24h'!I90)</f>
        <v>1.5</v>
      </c>
      <c r="J90" s="49">
        <f>AVERAGE('16.08 Jinja-Buwenge-24h'!J90,'17.08 Jinja-Buwenge-24h'!J90)</f>
        <v>0</v>
      </c>
      <c r="K90" s="49">
        <f>AVERAGE('16.08 Jinja-Buwenge-24h'!K90,'17.08 Jinja-Buwenge-24h'!K90)</f>
        <v>0</v>
      </c>
      <c r="L90" s="49">
        <f>AVERAGE('16.08 Jinja-Buwenge-24h'!L90,'17.08 Jinja-Buwenge-24h'!L90)</f>
        <v>0</v>
      </c>
      <c r="M90" s="49">
        <f>AVERAGE('16.08 Jinja-Buwenge-24h'!M90,'17.08 Jinja-Buwenge-24h'!M90)</f>
        <v>0.5</v>
      </c>
      <c r="N90" s="49">
        <f>AVERAGE('16.08 Jinja-Buwenge-24h'!N90,'17.08 Jinja-Buwenge-24h'!N90)</f>
        <v>0</v>
      </c>
      <c r="O90" s="15">
        <f t="shared" si="35"/>
        <v>1.5</v>
      </c>
      <c r="P90" s="15">
        <f t="shared" si="36"/>
        <v>2</v>
      </c>
      <c r="R90" s="8"/>
      <c r="T90"/>
    </row>
    <row r="91" spans="2:20" ht="23.1" customHeight="1" x14ac:dyDescent="0.25">
      <c r="B91" s="23" t="s">
        <v>131</v>
      </c>
      <c r="C91" s="49">
        <f>AVERAGE('16.08 Jinja-Buwenge-24h'!C91,'17.08 Jinja-Buwenge-24h'!C91)</f>
        <v>1.5</v>
      </c>
      <c r="D91" s="49">
        <f>AVERAGE('16.08 Jinja-Buwenge-24h'!D91,'17.08 Jinja-Buwenge-24h'!D91)</f>
        <v>0</v>
      </c>
      <c r="E91" s="49">
        <f>AVERAGE('16.08 Jinja-Buwenge-24h'!E91,'17.08 Jinja-Buwenge-24h'!E91)</f>
        <v>0</v>
      </c>
      <c r="F91" s="49">
        <f>AVERAGE('16.08 Jinja-Buwenge-24h'!F91,'17.08 Jinja-Buwenge-24h'!F91)</f>
        <v>0.5</v>
      </c>
      <c r="G91" s="49">
        <f>AVERAGE('16.08 Jinja-Buwenge-24h'!G91,'17.08 Jinja-Buwenge-24h'!G91)</f>
        <v>0</v>
      </c>
      <c r="H91" s="49">
        <f>AVERAGE('16.08 Jinja-Buwenge-24h'!H91,'17.08 Jinja-Buwenge-24h'!H91)</f>
        <v>0</v>
      </c>
      <c r="I91" s="49">
        <f>AVERAGE('16.08 Jinja-Buwenge-24h'!I91,'17.08 Jinja-Buwenge-24h'!I91)</f>
        <v>0</v>
      </c>
      <c r="J91" s="49">
        <f>AVERAGE('16.08 Jinja-Buwenge-24h'!J91,'17.08 Jinja-Buwenge-24h'!J91)</f>
        <v>0.5</v>
      </c>
      <c r="K91" s="49">
        <f>AVERAGE('16.08 Jinja-Buwenge-24h'!K91,'17.08 Jinja-Buwenge-24h'!K91)</f>
        <v>0</v>
      </c>
      <c r="L91" s="49">
        <f>AVERAGE('16.08 Jinja-Buwenge-24h'!L91,'17.08 Jinja-Buwenge-24h'!L91)</f>
        <v>0</v>
      </c>
      <c r="M91" s="49">
        <f>AVERAGE('16.08 Jinja-Buwenge-24h'!M91,'17.08 Jinja-Buwenge-24h'!M91)</f>
        <v>0.5</v>
      </c>
      <c r="N91" s="49">
        <f>AVERAGE('16.08 Jinja-Buwenge-24h'!N91,'17.08 Jinja-Buwenge-24h'!N91)</f>
        <v>0</v>
      </c>
      <c r="O91" s="15">
        <f t="shared" si="35"/>
        <v>2.5</v>
      </c>
      <c r="P91" s="15">
        <f t="shared" si="36"/>
        <v>3</v>
      </c>
      <c r="R91" s="8"/>
      <c r="T91"/>
    </row>
    <row r="92" spans="2:20" ht="23.1" customHeight="1" x14ac:dyDescent="0.25">
      <c r="B92" s="25" t="s">
        <v>132</v>
      </c>
      <c r="C92" s="49">
        <f>AVERAGE('16.08 Jinja-Buwenge-24h'!C92,'17.08 Jinja-Buwenge-24h'!C92)</f>
        <v>0.5</v>
      </c>
      <c r="D92" s="49">
        <f>AVERAGE('16.08 Jinja-Buwenge-24h'!D92,'17.08 Jinja-Buwenge-24h'!D92)</f>
        <v>0</v>
      </c>
      <c r="E92" s="49">
        <f>AVERAGE('16.08 Jinja-Buwenge-24h'!E92,'17.08 Jinja-Buwenge-24h'!E92)</f>
        <v>0</v>
      </c>
      <c r="F92" s="49">
        <f>AVERAGE('16.08 Jinja-Buwenge-24h'!F92,'17.08 Jinja-Buwenge-24h'!F92)</f>
        <v>0</v>
      </c>
      <c r="G92" s="49">
        <f>AVERAGE('16.08 Jinja-Buwenge-24h'!G92,'17.08 Jinja-Buwenge-24h'!G92)</f>
        <v>0.5</v>
      </c>
      <c r="H92" s="49">
        <f>AVERAGE('16.08 Jinja-Buwenge-24h'!H92,'17.08 Jinja-Buwenge-24h'!H92)</f>
        <v>0</v>
      </c>
      <c r="I92" s="49">
        <f>AVERAGE('16.08 Jinja-Buwenge-24h'!I92,'17.08 Jinja-Buwenge-24h'!I92)</f>
        <v>0</v>
      </c>
      <c r="J92" s="49">
        <f>AVERAGE('16.08 Jinja-Buwenge-24h'!J92,'17.08 Jinja-Buwenge-24h'!J92)</f>
        <v>0.5</v>
      </c>
      <c r="K92" s="49">
        <f>AVERAGE('16.08 Jinja-Buwenge-24h'!K92,'17.08 Jinja-Buwenge-24h'!K92)</f>
        <v>0</v>
      </c>
      <c r="L92" s="49">
        <f>AVERAGE('16.08 Jinja-Buwenge-24h'!L92,'17.08 Jinja-Buwenge-24h'!L92)</f>
        <v>0</v>
      </c>
      <c r="M92" s="49">
        <f>AVERAGE('16.08 Jinja-Buwenge-24h'!M92,'17.08 Jinja-Buwenge-24h'!M92)</f>
        <v>0.5</v>
      </c>
      <c r="N92" s="49">
        <f>AVERAGE('16.08 Jinja-Buwenge-24h'!N92,'17.08 Jinja-Buwenge-24h'!N92)</f>
        <v>0</v>
      </c>
      <c r="O92" s="15">
        <f t="shared" si="35"/>
        <v>1.5</v>
      </c>
      <c r="P92" s="15">
        <f t="shared" si="36"/>
        <v>2</v>
      </c>
      <c r="R92" s="8"/>
      <c r="T92"/>
    </row>
    <row r="93" spans="2:20" ht="23.1" customHeight="1" x14ac:dyDescent="0.25">
      <c r="B93" s="23" t="s">
        <v>133</v>
      </c>
      <c r="C93" s="49">
        <f>AVERAGE('16.08 Jinja-Buwenge-24h'!C93,'17.08 Jinja-Buwenge-24h'!C93)</f>
        <v>0</v>
      </c>
      <c r="D93" s="49">
        <f>AVERAGE('16.08 Jinja-Buwenge-24h'!D93,'17.08 Jinja-Buwenge-24h'!D93)</f>
        <v>0</v>
      </c>
      <c r="E93" s="49">
        <f>AVERAGE('16.08 Jinja-Buwenge-24h'!E93,'17.08 Jinja-Buwenge-24h'!E93)</f>
        <v>0</v>
      </c>
      <c r="F93" s="49">
        <f>AVERAGE('16.08 Jinja-Buwenge-24h'!F93,'17.08 Jinja-Buwenge-24h'!F93)</f>
        <v>0.5</v>
      </c>
      <c r="G93" s="49">
        <f>AVERAGE('16.08 Jinja-Buwenge-24h'!G93,'17.08 Jinja-Buwenge-24h'!G93)</f>
        <v>0</v>
      </c>
      <c r="H93" s="49">
        <f>AVERAGE('16.08 Jinja-Buwenge-24h'!H93,'17.08 Jinja-Buwenge-24h'!H93)</f>
        <v>0</v>
      </c>
      <c r="I93" s="49">
        <f>AVERAGE('16.08 Jinja-Buwenge-24h'!I93,'17.08 Jinja-Buwenge-24h'!I93)</f>
        <v>0.5</v>
      </c>
      <c r="J93" s="49">
        <f>AVERAGE('16.08 Jinja-Buwenge-24h'!J93,'17.08 Jinja-Buwenge-24h'!J93)</f>
        <v>0</v>
      </c>
      <c r="K93" s="49">
        <f>AVERAGE('16.08 Jinja-Buwenge-24h'!K93,'17.08 Jinja-Buwenge-24h'!K93)</f>
        <v>0</v>
      </c>
      <c r="L93" s="49">
        <f>AVERAGE('16.08 Jinja-Buwenge-24h'!L93,'17.08 Jinja-Buwenge-24h'!L93)</f>
        <v>0</v>
      </c>
      <c r="M93" s="49">
        <f>AVERAGE('16.08 Jinja-Buwenge-24h'!M93,'17.08 Jinja-Buwenge-24h'!M93)</f>
        <v>1</v>
      </c>
      <c r="N93" s="49">
        <f>AVERAGE('16.08 Jinja-Buwenge-24h'!N93,'17.08 Jinja-Buwenge-24h'!N93)</f>
        <v>0</v>
      </c>
      <c r="O93" s="15">
        <f t="shared" si="35"/>
        <v>1</v>
      </c>
      <c r="P93" s="15">
        <f t="shared" si="36"/>
        <v>2</v>
      </c>
      <c r="R93" s="8"/>
      <c r="T93"/>
    </row>
    <row r="94" spans="2:20" ht="23.1" customHeight="1" x14ac:dyDescent="0.25">
      <c r="B94" s="24" t="s">
        <v>134</v>
      </c>
      <c r="C94" s="49">
        <f>AVERAGE('16.08 Jinja-Buwenge-24h'!C94,'17.08 Jinja-Buwenge-24h'!C94)</f>
        <v>0.5</v>
      </c>
      <c r="D94" s="49">
        <f>AVERAGE('16.08 Jinja-Buwenge-24h'!D94,'17.08 Jinja-Buwenge-24h'!D94)</f>
        <v>0</v>
      </c>
      <c r="E94" s="49">
        <f>AVERAGE('16.08 Jinja-Buwenge-24h'!E94,'17.08 Jinja-Buwenge-24h'!E94)</f>
        <v>0</v>
      </c>
      <c r="F94" s="49">
        <f>AVERAGE('16.08 Jinja-Buwenge-24h'!F94,'17.08 Jinja-Buwenge-24h'!F94)</f>
        <v>0</v>
      </c>
      <c r="G94" s="49">
        <f>AVERAGE('16.08 Jinja-Buwenge-24h'!G94,'17.08 Jinja-Buwenge-24h'!G94)</f>
        <v>0</v>
      </c>
      <c r="H94" s="49">
        <f>AVERAGE('16.08 Jinja-Buwenge-24h'!H94,'17.08 Jinja-Buwenge-24h'!H94)</f>
        <v>0</v>
      </c>
      <c r="I94" s="49">
        <f>AVERAGE('16.08 Jinja-Buwenge-24h'!I94,'17.08 Jinja-Buwenge-24h'!I94)</f>
        <v>0.5</v>
      </c>
      <c r="J94" s="49">
        <f>AVERAGE('16.08 Jinja-Buwenge-24h'!J94,'17.08 Jinja-Buwenge-24h'!J94)</f>
        <v>0</v>
      </c>
      <c r="K94" s="49">
        <f>AVERAGE('16.08 Jinja-Buwenge-24h'!K94,'17.08 Jinja-Buwenge-24h'!K94)</f>
        <v>0</v>
      </c>
      <c r="L94" s="49">
        <f>AVERAGE('16.08 Jinja-Buwenge-24h'!L94,'17.08 Jinja-Buwenge-24h'!L94)</f>
        <v>0</v>
      </c>
      <c r="M94" s="49">
        <f>AVERAGE('16.08 Jinja-Buwenge-24h'!M94,'17.08 Jinja-Buwenge-24h'!M94)</f>
        <v>1.5</v>
      </c>
      <c r="N94" s="49">
        <f>AVERAGE('16.08 Jinja-Buwenge-24h'!N94,'17.08 Jinja-Buwenge-24h'!N94)</f>
        <v>0</v>
      </c>
      <c r="O94" s="15">
        <f t="shared" si="35"/>
        <v>1</v>
      </c>
      <c r="P94" s="15">
        <f t="shared" si="36"/>
        <v>2.5</v>
      </c>
      <c r="R94" s="8"/>
      <c r="T94"/>
    </row>
    <row r="95" spans="2:20" ht="23.1" customHeight="1" x14ac:dyDescent="0.25">
      <c r="B95" s="23" t="s">
        <v>135</v>
      </c>
      <c r="C95" s="49">
        <f>AVERAGE('16.08 Jinja-Buwenge-24h'!C95,'17.08 Jinja-Buwenge-24h'!C95)</f>
        <v>1.5</v>
      </c>
      <c r="D95" s="49">
        <f>AVERAGE('16.08 Jinja-Buwenge-24h'!D95,'17.08 Jinja-Buwenge-24h'!D95)</f>
        <v>0</v>
      </c>
      <c r="E95" s="49">
        <f>AVERAGE('16.08 Jinja-Buwenge-24h'!E95,'17.08 Jinja-Buwenge-24h'!E95)</f>
        <v>0</v>
      </c>
      <c r="F95" s="49">
        <f>AVERAGE('16.08 Jinja-Buwenge-24h'!F95,'17.08 Jinja-Buwenge-24h'!F95)</f>
        <v>1</v>
      </c>
      <c r="G95" s="49">
        <f>AVERAGE('16.08 Jinja-Buwenge-24h'!G95,'17.08 Jinja-Buwenge-24h'!G95)</f>
        <v>0</v>
      </c>
      <c r="H95" s="49">
        <f>AVERAGE('16.08 Jinja-Buwenge-24h'!H95,'17.08 Jinja-Buwenge-24h'!H95)</f>
        <v>0</v>
      </c>
      <c r="I95" s="49">
        <f>AVERAGE('16.08 Jinja-Buwenge-24h'!I95,'17.08 Jinja-Buwenge-24h'!I95)</f>
        <v>1</v>
      </c>
      <c r="J95" s="49">
        <f>AVERAGE('16.08 Jinja-Buwenge-24h'!J95,'17.08 Jinja-Buwenge-24h'!J95)</f>
        <v>0.5</v>
      </c>
      <c r="K95" s="49">
        <f>AVERAGE('16.08 Jinja-Buwenge-24h'!K95,'17.08 Jinja-Buwenge-24h'!K95)</f>
        <v>0.5</v>
      </c>
      <c r="L95" s="49">
        <f>AVERAGE('16.08 Jinja-Buwenge-24h'!L95,'17.08 Jinja-Buwenge-24h'!L95)</f>
        <v>0</v>
      </c>
      <c r="M95" s="49">
        <f>AVERAGE('16.08 Jinja-Buwenge-24h'!M95,'17.08 Jinja-Buwenge-24h'!M95)</f>
        <v>5</v>
      </c>
      <c r="N95" s="49">
        <f>AVERAGE('16.08 Jinja-Buwenge-24h'!N95,'17.08 Jinja-Buwenge-24h'!N95)</f>
        <v>0</v>
      </c>
      <c r="O95" s="15">
        <f t="shared" si="35"/>
        <v>4.5</v>
      </c>
      <c r="P95" s="15">
        <f t="shared" si="36"/>
        <v>9.5</v>
      </c>
      <c r="R95" s="8"/>
      <c r="T95"/>
    </row>
    <row r="96" spans="2:20" ht="23.1" customHeight="1" x14ac:dyDescent="0.25">
      <c r="B96" s="25" t="s">
        <v>136</v>
      </c>
      <c r="C96" s="49">
        <f>AVERAGE('16.08 Jinja-Buwenge-24h'!C96,'17.08 Jinja-Buwenge-24h'!C96)</f>
        <v>0.5</v>
      </c>
      <c r="D96" s="49">
        <f>AVERAGE('16.08 Jinja-Buwenge-24h'!D96,'17.08 Jinja-Buwenge-24h'!D96)</f>
        <v>0</v>
      </c>
      <c r="E96" s="49">
        <f>AVERAGE('16.08 Jinja-Buwenge-24h'!E96,'17.08 Jinja-Buwenge-24h'!E96)</f>
        <v>0.5</v>
      </c>
      <c r="F96" s="49">
        <f>AVERAGE('16.08 Jinja-Buwenge-24h'!F96,'17.08 Jinja-Buwenge-24h'!F96)</f>
        <v>1</v>
      </c>
      <c r="G96" s="49">
        <f>AVERAGE('16.08 Jinja-Buwenge-24h'!G96,'17.08 Jinja-Buwenge-24h'!G96)</f>
        <v>0</v>
      </c>
      <c r="H96" s="49">
        <f>AVERAGE('16.08 Jinja-Buwenge-24h'!H96,'17.08 Jinja-Buwenge-24h'!H96)</f>
        <v>0</v>
      </c>
      <c r="I96" s="49">
        <f>AVERAGE('16.08 Jinja-Buwenge-24h'!I96,'17.08 Jinja-Buwenge-24h'!I96)</f>
        <v>1</v>
      </c>
      <c r="J96" s="49">
        <f>AVERAGE('16.08 Jinja-Buwenge-24h'!J96,'17.08 Jinja-Buwenge-24h'!J96)</f>
        <v>1.5</v>
      </c>
      <c r="K96" s="49">
        <f>AVERAGE('16.08 Jinja-Buwenge-24h'!K96,'17.08 Jinja-Buwenge-24h'!K96)</f>
        <v>0</v>
      </c>
      <c r="L96" s="49">
        <f>AVERAGE('16.08 Jinja-Buwenge-24h'!L96,'17.08 Jinja-Buwenge-24h'!L96)</f>
        <v>0</v>
      </c>
      <c r="M96" s="49">
        <f>AVERAGE('16.08 Jinja-Buwenge-24h'!M96,'17.08 Jinja-Buwenge-24h'!M96)</f>
        <v>1.5</v>
      </c>
      <c r="N96" s="49">
        <f>AVERAGE('16.08 Jinja-Buwenge-24h'!N96,'17.08 Jinja-Buwenge-24h'!N96)</f>
        <v>0</v>
      </c>
      <c r="O96" s="15">
        <f t="shared" si="35"/>
        <v>4.5</v>
      </c>
      <c r="P96" s="15">
        <f t="shared" si="36"/>
        <v>6</v>
      </c>
      <c r="R96" s="8"/>
      <c r="T96"/>
    </row>
    <row r="97" spans="2:20" ht="23.1" customHeight="1" x14ac:dyDescent="0.25">
      <c r="B97" s="23" t="s">
        <v>137</v>
      </c>
      <c r="C97" s="49">
        <f>AVERAGE('16.08 Jinja-Buwenge-24h'!C97,'17.08 Jinja-Buwenge-24h'!C97)</f>
        <v>0.5</v>
      </c>
      <c r="D97" s="49">
        <f>AVERAGE('16.08 Jinja-Buwenge-24h'!D97,'17.08 Jinja-Buwenge-24h'!D97)</f>
        <v>0</v>
      </c>
      <c r="E97" s="49">
        <f>AVERAGE('16.08 Jinja-Buwenge-24h'!E97,'17.08 Jinja-Buwenge-24h'!E97)</f>
        <v>0.5</v>
      </c>
      <c r="F97" s="49">
        <f>AVERAGE('16.08 Jinja-Buwenge-24h'!F97,'17.08 Jinja-Buwenge-24h'!F97)</f>
        <v>1</v>
      </c>
      <c r="G97" s="49">
        <f>AVERAGE('16.08 Jinja-Buwenge-24h'!G97,'17.08 Jinja-Buwenge-24h'!G97)</f>
        <v>0</v>
      </c>
      <c r="H97" s="49">
        <f>AVERAGE('16.08 Jinja-Buwenge-24h'!H97,'17.08 Jinja-Buwenge-24h'!H97)</f>
        <v>0</v>
      </c>
      <c r="I97" s="49">
        <f>AVERAGE('16.08 Jinja-Buwenge-24h'!I97,'17.08 Jinja-Buwenge-24h'!I97)</f>
        <v>0.5</v>
      </c>
      <c r="J97" s="49">
        <f>AVERAGE('16.08 Jinja-Buwenge-24h'!J97,'17.08 Jinja-Buwenge-24h'!J97)</f>
        <v>0</v>
      </c>
      <c r="K97" s="49">
        <f>AVERAGE('16.08 Jinja-Buwenge-24h'!K97,'17.08 Jinja-Buwenge-24h'!K97)</f>
        <v>0</v>
      </c>
      <c r="L97" s="49">
        <f>AVERAGE('16.08 Jinja-Buwenge-24h'!L97,'17.08 Jinja-Buwenge-24h'!L97)</f>
        <v>0</v>
      </c>
      <c r="M97" s="49">
        <f>AVERAGE('16.08 Jinja-Buwenge-24h'!M97,'17.08 Jinja-Buwenge-24h'!M97)</f>
        <v>0.5</v>
      </c>
      <c r="N97" s="49">
        <f>AVERAGE('16.08 Jinja-Buwenge-24h'!N97,'17.08 Jinja-Buwenge-24h'!N97)</f>
        <v>0</v>
      </c>
      <c r="O97" s="15">
        <f t="shared" si="35"/>
        <v>2.5</v>
      </c>
      <c r="P97" s="15">
        <f t="shared" si="36"/>
        <v>3</v>
      </c>
      <c r="R97" s="8"/>
      <c r="T97"/>
    </row>
    <row r="98" spans="2:20" ht="23.1" customHeight="1" x14ac:dyDescent="0.25">
      <c r="B98" s="24" t="s">
        <v>138</v>
      </c>
      <c r="C98" s="49">
        <f>AVERAGE('16.08 Jinja-Buwenge-24h'!C98,'17.08 Jinja-Buwenge-24h'!C98)</f>
        <v>0.5</v>
      </c>
      <c r="D98" s="49">
        <f>AVERAGE('16.08 Jinja-Buwenge-24h'!D98,'17.08 Jinja-Buwenge-24h'!D98)</f>
        <v>0</v>
      </c>
      <c r="E98" s="49">
        <f>AVERAGE('16.08 Jinja-Buwenge-24h'!E98,'17.08 Jinja-Buwenge-24h'!E98)</f>
        <v>0</v>
      </c>
      <c r="F98" s="49">
        <f>AVERAGE('16.08 Jinja-Buwenge-24h'!F98,'17.08 Jinja-Buwenge-24h'!F98)</f>
        <v>0</v>
      </c>
      <c r="G98" s="49">
        <f>AVERAGE('16.08 Jinja-Buwenge-24h'!G98,'17.08 Jinja-Buwenge-24h'!G98)</f>
        <v>0</v>
      </c>
      <c r="H98" s="49">
        <f>AVERAGE('16.08 Jinja-Buwenge-24h'!H98,'17.08 Jinja-Buwenge-24h'!H98)</f>
        <v>0</v>
      </c>
      <c r="I98" s="49">
        <f>AVERAGE('16.08 Jinja-Buwenge-24h'!I98,'17.08 Jinja-Buwenge-24h'!I98)</f>
        <v>0</v>
      </c>
      <c r="J98" s="49">
        <f>AVERAGE('16.08 Jinja-Buwenge-24h'!J98,'17.08 Jinja-Buwenge-24h'!J98)</f>
        <v>1</v>
      </c>
      <c r="K98" s="49">
        <f>AVERAGE('16.08 Jinja-Buwenge-24h'!K98,'17.08 Jinja-Buwenge-24h'!K98)</f>
        <v>0</v>
      </c>
      <c r="L98" s="49">
        <f>AVERAGE('16.08 Jinja-Buwenge-24h'!L98,'17.08 Jinja-Buwenge-24h'!L98)</f>
        <v>0</v>
      </c>
      <c r="M98" s="49">
        <f>AVERAGE('16.08 Jinja-Buwenge-24h'!M98,'17.08 Jinja-Buwenge-24h'!M98)</f>
        <v>2</v>
      </c>
      <c r="N98" s="49">
        <f>AVERAGE('16.08 Jinja-Buwenge-24h'!N98,'17.08 Jinja-Buwenge-24h'!N98)</f>
        <v>0</v>
      </c>
      <c r="O98" s="15">
        <f t="shared" si="35"/>
        <v>1.5</v>
      </c>
      <c r="P98" s="15">
        <f t="shared" si="36"/>
        <v>3.5</v>
      </c>
      <c r="R98" s="8"/>
      <c r="T98"/>
    </row>
    <row r="99" spans="2:20" ht="23.1" customHeight="1" x14ac:dyDescent="0.25">
      <c r="B99" s="23" t="s">
        <v>139</v>
      </c>
      <c r="C99" s="49">
        <f>AVERAGE('16.08 Jinja-Buwenge-24h'!C99,'17.08 Jinja-Buwenge-24h'!C99)</f>
        <v>1</v>
      </c>
      <c r="D99" s="49">
        <f>AVERAGE('16.08 Jinja-Buwenge-24h'!D99,'17.08 Jinja-Buwenge-24h'!D99)</f>
        <v>0</v>
      </c>
      <c r="E99" s="49">
        <f>AVERAGE('16.08 Jinja-Buwenge-24h'!E99,'17.08 Jinja-Buwenge-24h'!E99)</f>
        <v>2</v>
      </c>
      <c r="F99" s="49">
        <f>AVERAGE('16.08 Jinja-Buwenge-24h'!F99,'17.08 Jinja-Buwenge-24h'!F99)</f>
        <v>0.5</v>
      </c>
      <c r="G99" s="49">
        <f>AVERAGE('16.08 Jinja-Buwenge-24h'!G99,'17.08 Jinja-Buwenge-24h'!G99)</f>
        <v>0.5</v>
      </c>
      <c r="H99" s="49">
        <f>AVERAGE('16.08 Jinja-Buwenge-24h'!H99,'17.08 Jinja-Buwenge-24h'!H99)</f>
        <v>0</v>
      </c>
      <c r="I99" s="49">
        <f>AVERAGE('16.08 Jinja-Buwenge-24h'!I99,'17.08 Jinja-Buwenge-24h'!I99)</f>
        <v>0.5</v>
      </c>
      <c r="J99" s="49">
        <f>AVERAGE('16.08 Jinja-Buwenge-24h'!J99,'17.08 Jinja-Buwenge-24h'!J99)</f>
        <v>0.5</v>
      </c>
      <c r="K99" s="49">
        <f>AVERAGE('16.08 Jinja-Buwenge-24h'!K99,'17.08 Jinja-Buwenge-24h'!K99)</f>
        <v>0</v>
      </c>
      <c r="L99" s="49">
        <f>AVERAGE('16.08 Jinja-Buwenge-24h'!L99,'17.08 Jinja-Buwenge-24h'!L99)</f>
        <v>0</v>
      </c>
      <c r="M99" s="49">
        <f>AVERAGE('16.08 Jinja-Buwenge-24h'!M99,'17.08 Jinja-Buwenge-24h'!M99)</f>
        <v>2</v>
      </c>
      <c r="N99" s="49">
        <f>AVERAGE('16.08 Jinja-Buwenge-24h'!N99,'17.08 Jinja-Buwenge-24h'!N99)</f>
        <v>0</v>
      </c>
      <c r="O99" s="15">
        <f t="shared" si="35"/>
        <v>5</v>
      </c>
      <c r="P99" s="15">
        <f t="shared" si="36"/>
        <v>7</v>
      </c>
      <c r="R99" s="8"/>
      <c r="T99"/>
    </row>
    <row r="100" spans="2:20" ht="23.1" customHeight="1" x14ac:dyDescent="0.25">
      <c r="B100" s="25" t="s">
        <v>140</v>
      </c>
      <c r="C100" s="49">
        <f>AVERAGE('16.08 Jinja-Buwenge-24h'!C100,'17.08 Jinja-Buwenge-24h'!C100)</f>
        <v>0</v>
      </c>
      <c r="D100" s="49">
        <f>AVERAGE('16.08 Jinja-Buwenge-24h'!D100,'17.08 Jinja-Buwenge-24h'!D100)</f>
        <v>0</v>
      </c>
      <c r="E100" s="49">
        <f>AVERAGE('16.08 Jinja-Buwenge-24h'!E100,'17.08 Jinja-Buwenge-24h'!E100)</f>
        <v>0</v>
      </c>
      <c r="F100" s="49">
        <f>AVERAGE('16.08 Jinja-Buwenge-24h'!F100,'17.08 Jinja-Buwenge-24h'!F100)</f>
        <v>0.5</v>
      </c>
      <c r="G100" s="49">
        <f>AVERAGE('16.08 Jinja-Buwenge-24h'!G100,'17.08 Jinja-Buwenge-24h'!G100)</f>
        <v>2</v>
      </c>
      <c r="H100" s="49">
        <f>AVERAGE('16.08 Jinja-Buwenge-24h'!H100,'17.08 Jinja-Buwenge-24h'!H100)</f>
        <v>0</v>
      </c>
      <c r="I100" s="49">
        <f>AVERAGE('16.08 Jinja-Buwenge-24h'!I100,'17.08 Jinja-Buwenge-24h'!I100)</f>
        <v>1</v>
      </c>
      <c r="J100" s="49">
        <f>AVERAGE('16.08 Jinja-Buwenge-24h'!J100,'17.08 Jinja-Buwenge-24h'!J100)</f>
        <v>0</v>
      </c>
      <c r="K100" s="49">
        <f>AVERAGE('16.08 Jinja-Buwenge-24h'!K100,'17.08 Jinja-Buwenge-24h'!K100)</f>
        <v>0</v>
      </c>
      <c r="L100" s="49">
        <f>AVERAGE('16.08 Jinja-Buwenge-24h'!L100,'17.08 Jinja-Buwenge-24h'!L100)</f>
        <v>0</v>
      </c>
      <c r="M100" s="49">
        <f>AVERAGE('16.08 Jinja-Buwenge-24h'!M100,'17.08 Jinja-Buwenge-24h'!M100)</f>
        <v>4</v>
      </c>
      <c r="N100" s="49">
        <f>AVERAGE('16.08 Jinja-Buwenge-24h'!N100,'17.08 Jinja-Buwenge-24h'!N100)</f>
        <v>0</v>
      </c>
      <c r="O100" s="15">
        <f t="shared" si="35"/>
        <v>3.5</v>
      </c>
      <c r="P100" s="15">
        <f t="shared" si="36"/>
        <v>7.5</v>
      </c>
      <c r="R100" s="8"/>
      <c r="T100"/>
    </row>
    <row r="101" spans="2:20" ht="23.1" customHeight="1" x14ac:dyDescent="0.25">
      <c r="B101" s="23" t="s">
        <v>141</v>
      </c>
      <c r="C101" s="49">
        <f>AVERAGE('16.08 Jinja-Buwenge-24h'!C101,'17.08 Jinja-Buwenge-24h'!C101)</f>
        <v>0.5</v>
      </c>
      <c r="D101" s="49">
        <f>AVERAGE('16.08 Jinja-Buwenge-24h'!D101,'17.08 Jinja-Buwenge-24h'!D101)</f>
        <v>0</v>
      </c>
      <c r="E101" s="49">
        <f>AVERAGE('16.08 Jinja-Buwenge-24h'!E101,'17.08 Jinja-Buwenge-24h'!E101)</f>
        <v>1</v>
      </c>
      <c r="F101" s="49">
        <f>AVERAGE('16.08 Jinja-Buwenge-24h'!F101,'17.08 Jinja-Buwenge-24h'!F101)</f>
        <v>2</v>
      </c>
      <c r="G101" s="49">
        <f>AVERAGE('16.08 Jinja-Buwenge-24h'!G101,'17.08 Jinja-Buwenge-24h'!G101)</f>
        <v>1.5</v>
      </c>
      <c r="H101" s="49">
        <f>AVERAGE('16.08 Jinja-Buwenge-24h'!H101,'17.08 Jinja-Buwenge-24h'!H101)</f>
        <v>0</v>
      </c>
      <c r="I101" s="49">
        <f>AVERAGE('16.08 Jinja-Buwenge-24h'!I101,'17.08 Jinja-Buwenge-24h'!I101)</f>
        <v>2.5</v>
      </c>
      <c r="J101" s="49">
        <f>AVERAGE('16.08 Jinja-Buwenge-24h'!J101,'17.08 Jinja-Buwenge-24h'!J101)</f>
        <v>0</v>
      </c>
      <c r="K101" s="49">
        <f>AVERAGE('16.08 Jinja-Buwenge-24h'!K101,'17.08 Jinja-Buwenge-24h'!K101)</f>
        <v>0</v>
      </c>
      <c r="L101" s="49">
        <f>AVERAGE('16.08 Jinja-Buwenge-24h'!L101,'17.08 Jinja-Buwenge-24h'!L101)</f>
        <v>0</v>
      </c>
      <c r="M101" s="49">
        <f>AVERAGE('16.08 Jinja-Buwenge-24h'!M101,'17.08 Jinja-Buwenge-24h'!M101)</f>
        <v>6</v>
      </c>
      <c r="N101" s="49">
        <f>AVERAGE('16.08 Jinja-Buwenge-24h'!N101,'17.08 Jinja-Buwenge-24h'!N101)</f>
        <v>0</v>
      </c>
      <c r="O101" s="15">
        <f t="shared" si="35"/>
        <v>7.5</v>
      </c>
      <c r="P101" s="15">
        <f t="shared" si="36"/>
        <v>13.5</v>
      </c>
      <c r="R101" s="8"/>
      <c r="T101"/>
    </row>
    <row r="102" spans="2:20" ht="23.1" customHeight="1" x14ac:dyDescent="0.25">
      <c r="B102" s="24" t="s">
        <v>142</v>
      </c>
      <c r="C102" s="49">
        <f>AVERAGE('16.08 Jinja-Buwenge-24h'!C102,'17.08 Jinja-Buwenge-24h'!C102)</f>
        <v>0.5</v>
      </c>
      <c r="D102" s="49">
        <f>AVERAGE('16.08 Jinja-Buwenge-24h'!D102,'17.08 Jinja-Buwenge-24h'!D102)</f>
        <v>0</v>
      </c>
      <c r="E102" s="49">
        <f>AVERAGE('16.08 Jinja-Buwenge-24h'!E102,'17.08 Jinja-Buwenge-24h'!E102)</f>
        <v>0</v>
      </c>
      <c r="F102" s="49">
        <f>AVERAGE('16.08 Jinja-Buwenge-24h'!F102,'17.08 Jinja-Buwenge-24h'!F102)</f>
        <v>2</v>
      </c>
      <c r="G102" s="49">
        <f>AVERAGE('16.08 Jinja-Buwenge-24h'!G102,'17.08 Jinja-Buwenge-24h'!G102)</f>
        <v>1</v>
      </c>
      <c r="H102" s="49">
        <f>AVERAGE('16.08 Jinja-Buwenge-24h'!H102,'17.08 Jinja-Buwenge-24h'!H102)</f>
        <v>0</v>
      </c>
      <c r="I102" s="49">
        <f>AVERAGE('16.08 Jinja-Buwenge-24h'!I102,'17.08 Jinja-Buwenge-24h'!I102)</f>
        <v>1</v>
      </c>
      <c r="J102" s="49">
        <f>AVERAGE('16.08 Jinja-Buwenge-24h'!J102,'17.08 Jinja-Buwenge-24h'!J102)</f>
        <v>0</v>
      </c>
      <c r="K102" s="49">
        <f>AVERAGE('16.08 Jinja-Buwenge-24h'!K102,'17.08 Jinja-Buwenge-24h'!K102)</f>
        <v>0</v>
      </c>
      <c r="L102" s="49">
        <f>AVERAGE('16.08 Jinja-Buwenge-24h'!L102,'17.08 Jinja-Buwenge-24h'!L102)</f>
        <v>0</v>
      </c>
      <c r="M102" s="49">
        <f>AVERAGE('16.08 Jinja-Buwenge-24h'!M102,'17.08 Jinja-Buwenge-24h'!M102)</f>
        <v>2</v>
      </c>
      <c r="N102" s="49">
        <f>AVERAGE('16.08 Jinja-Buwenge-24h'!N102,'17.08 Jinja-Buwenge-24h'!N102)</f>
        <v>0</v>
      </c>
      <c r="O102" s="15">
        <f t="shared" si="35"/>
        <v>4.5</v>
      </c>
      <c r="P102" s="15">
        <f t="shared" si="36"/>
        <v>6.5</v>
      </c>
      <c r="R102" s="8"/>
      <c r="T102"/>
    </row>
    <row r="103" spans="2:20" ht="23.1" customHeight="1" x14ac:dyDescent="0.25">
      <c r="B103" s="23" t="s">
        <v>143</v>
      </c>
      <c r="C103" s="49">
        <f>AVERAGE('16.08 Jinja-Buwenge-24h'!C103,'17.08 Jinja-Buwenge-24h'!C103)</f>
        <v>0</v>
      </c>
      <c r="D103" s="49">
        <f>AVERAGE('16.08 Jinja-Buwenge-24h'!D103,'17.08 Jinja-Buwenge-24h'!D103)</f>
        <v>0</v>
      </c>
      <c r="E103" s="49">
        <f>AVERAGE('16.08 Jinja-Buwenge-24h'!E103,'17.08 Jinja-Buwenge-24h'!E103)</f>
        <v>1</v>
      </c>
      <c r="F103" s="49">
        <f>AVERAGE('16.08 Jinja-Buwenge-24h'!F103,'17.08 Jinja-Buwenge-24h'!F103)</f>
        <v>5</v>
      </c>
      <c r="G103" s="49">
        <f>AVERAGE('16.08 Jinja-Buwenge-24h'!G103,'17.08 Jinja-Buwenge-24h'!G103)</f>
        <v>1.5</v>
      </c>
      <c r="H103" s="49">
        <f>AVERAGE('16.08 Jinja-Buwenge-24h'!H103,'17.08 Jinja-Buwenge-24h'!H103)</f>
        <v>0</v>
      </c>
      <c r="I103" s="49">
        <f>AVERAGE('16.08 Jinja-Buwenge-24h'!I103,'17.08 Jinja-Buwenge-24h'!I103)</f>
        <v>0</v>
      </c>
      <c r="J103" s="49">
        <f>AVERAGE('16.08 Jinja-Buwenge-24h'!J103,'17.08 Jinja-Buwenge-24h'!J103)</f>
        <v>0</v>
      </c>
      <c r="K103" s="49">
        <f>AVERAGE('16.08 Jinja-Buwenge-24h'!K103,'17.08 Jinja-Buwenge-24h'!K103)</f>
        <v>0</v>
      </c>
      <c r="L103" s="49">
        <f>AVERAGE('16.08 Jinja-Buwenge-24h'!L103,'17.08 Jinja-Buwenge-24h'!L103)</f>
        <v>0</v>
      </c>
      <c r="M103" s="49">
        <f>AVERAGE('16.08 Jinja-Buwenge-24h'!M103,'17.08 Jinja-Buwenge-24h'!M103)</f>
        <v>5</v>
      </c>
      <c r="N103" s="49">
        <f>AVERAGE('16.08 Jinja-Buwenge-24h'!N103,'17.08 Jinja-Buwenge-24h'!N103)</f>
        <v>0</v>
      </c>
      <c r="O103" s="15">
        <f t="shared" si="35"/>
        <v>7.5</v>
      </c>
      <c r="P103" s="15">
        <f t="shared" si="36"/>
        <v>12.5</v>
      </c>
      <c r="R103" s="8"/>
      <c r="T103"/>
    </row>
    <row r="104" spans="2:20" ht="23.1" customHeight="1" x14ac:dyDescent="0.25">
      <c r="B104" s="25" t="s">
        <v>144</v>
      </c>
      <c r="C104" s="49">
        <f>AVERAGE('16.08 Jinja-Buwenge-24h'!C104,'17.08 Jinja-Buwenge-24h'!C104)</f>
        <v>0.5</v>
      </c>
      <c r="D104" s="49">
        <f>AVERAGE('16.08 Jinja-Buwenge-24h'!D104,'17.08 Jinja-Buwenge-24h'!D104)</f>
        <v>0</v>
      </c>
      <c r="E104" s="49">
        <f>AVERAGE('16.08 Jinja-Buwenge-24h'!E104,'17.08 Jinja-Buwenge-24h'!E104)</f>
        <v>0.5</v>
      </c>
      <c r="F104" s="49">
        <f>AVERAGE('16.08 Jinja-Buwenge-24h'!F104,'17.08 Jinja-Buwenge-24h'!F104)</f>
        <v>2.5</v>
      </c>
      <c r="G104" s="49">
        <f>AVERAGE('16.08 Jinja-Buwenge-24h'!G104,'17.08 Jinja-Buwenge-24h'!G104)</f>
        <v>2.5</v>
      </c>
      <c r="H104" s="49">
        <f>AVERAGE('16.08 Jinja-Buwenge-24h'!H104,'17.08 Jinja-Buwenge-24h'!H104)</f>
        <v>0</v>
      </c>
      <c r="I104" s="49">
        <f>AVERAGE('16.08 Jinja-Buwenge-24h'!I104,'17.08 Jinja-Buwenge-24h'!I104)</f>
        <v>1.5</v>
      </c>
      <c r="J104" s="49">
        <f>AVERAGE('16.08 Jinja-Buwenge-24h'!J104,'17.08 Jinja-Buwenge-24h'!J104)</f>
        <v>0.5</v>
      </c>
      <c r="K104" s="49">
        <f>AVERAGE('16.08 Jinja-Buwenge-24h'!K104,'17.08 Jinja-Buwenge-24h'!K104)</f>
        <v>0</v>
      </c>
      <c r="L104" s="49">
        <f>AVERAGE('16.08 Jinja-Buwenge-24h'!L104,'17.08 Jinja-Buwenge-24h'!L104)</f>
        <v>0</v>
      </c>
      <c r="M104" s="49">
        <f>AVERAGE('16.08 Jinja-Buwenge-24h'!M104,'17.08 Jinja-Buwenge-24h'!M104)</f>
        <v>6.5</v>
      </c>
      <c r="N104" s="49">
        <f>AVERAGE('16.08 Jinja-Buwenge-24h'!N104,'17.08 Jinja-Buwenge-24h'!N104)</f>
        <v>0</v>
      </c>
      <c r="O104" s="15">
        <f t="shared" si="35"/>
        <v>8</v>
      </c>
      <c r="P104" s="15">
        <f t="shared" si="36"/>
        <v>14.5</v>
      </c>
      <c r="R104" s="8"/>
      <c r="T104"/>
    </row>
    <row r="105" spans="2:20" ht="23.1" customHeight="1" x14ac:dyDescent="0.25">
      <c r="B105" s="23" t="s">
        <v>145</v>
      </c>
      <c r="C105" s="49">
        <f>AVERAGE('16.08 Jinja-Buwenge-24h'!C105,'17.08 Jinja-Buwenge-24h'!C105)</f>
        <v>1</v>
      </c>
      <c r="D105" s="49">
        <f>AVERAGE('16.08 Jinja-Buwenge-24h'!D105,'17.08 Jinja-Buwenge-24h'!D105)</f>
        <v>0</v>
      </c>
      <c r="E105" s="49">
        <f>AVERAGE('16.08 Jinja-Buwenge-24h'!E105,'17.08 Jinja-Buwenge-24h'!E105)</f>
        <v>1.5</v>
      </c>
      <c r="F105" s="49">
        <f>AVERAGE('16.08 Jinja-Buwenge-24h'!F105,'17.08 Jinja-Buwenge-24h'!F105)</f>
        <v>3.5</v>
      </c>
      <c r="G105" s="49">
        <f>AVERAGE('16.08 Jinja-Buwenge-24h'!G105,'17.08 Jinja-Buwenge-24h'!G105)</f>
        <v>1.5</v>
      </c>
      <c r="H105" s="49">
        <f>AVERAGE('16.08 Jinja-Buwenge-24h'!H105,'17.08 Jinja-Buwenge-24h'!H105)</f>
        <v>0</v>
      </c>
      <c r="I105" s="49">
        <f>AVERAGE('16.08 Jinja-Buwenge-24h'!I105,'17.08 Jinja-Buwenge-24h'!I105)</f>
        <v>2.5</v>
      </c>
      <c r="J105" s="49">
        <f>AVERAGE('16.08 Jinja-Buwenge-24h'!J105,'17.08 Jinja-Buwenge-24h'!J105)</f>
        <v>0.5</v>
      </c>
      <c r="K105" s="49">
        <f>AVERAGE('16.08 Jinja-Buwenge-24h'!K105,'17.08 Jinja-Buwenge-24h'!K105)</f>
        <v>0</v>
      </c>
      <c r="L105" s="49">
        <f>AVERAGE('16.08 Jinja-Buwenge-24h'!L105,'17.08 Jinja-Buwenge-24h'!L105)</f>
        <v>0</v>
      </c>
      <c r="M105" s="49">
        <f>AVERAGE('16.08 Jinja-Buwenge-24h'!M105,'17.08 Jinja-Buwenge-24h'!M105)</f>
        <v>1.5</v>
      </c>
      <c r="N105" s="49">
        <f>AVERAGE('16.08 Jinja-Buwenge-24h'!N105,'17.08 Jinja-Buwenge-24h'!N105)</f>
        <v>0</v>
      </c>
      <c r="O105" s="15">
        <f t="shared" si="35"/>
        <v>10.5</v>
      </c>
      <c r="P105" s="15">
        <f t="shared" si="36"/>
        <v>12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464.57142857142861</v>
      </c>
      <c r="D106" s="16">
        <f t="shared" ref="D106:P106" si="37">SUM(D10:D105)</f>
        <v>60.785714285714285</v>
      </c>
      <c r="E106" s="16">
        <f t="shared" si="37"/>
        <v>265.92857142857139</v>
      </c>
      <c r="F106" s="16">
        <f t="shared" si="37"/>
        <v>665.42857142857156</v>
      </c>
      <c r="G106" s="16">
        <f t="shared" si="37"/>
        <v>127.64285714285714</v>
      </c>
      <c r="H106" s="16">
        <f t="shared" si="37"/>
        <v>6.2857142857142847</v>
      </c>
      <c r="I106" s="16">
        <f t="shared" si="37"/>
        <v>189.07142857142856</v>
      </c>
      <c r="J106" s="16">
        <f t="shared" si="37"/>
        <v>25.285714285714292</v>
      </c>
      <c r="K106" s="16">
        <f t="shared" si="37"/>
        <v>3.714285714285714</v>
      </c>
      <c r="L106" s="16">
        <f t="shared" si="37"/>
        <v>1.5714285714285712</v>
      </c>
      <c r="M106" s="16">
        <f t="shared" si="37"/>
        <v>2427.2857142857142</v>
      </c>
      <c r="N106" s="16">
        <f t="shared" si="37"/>
        <v>0.42857142857142855</v>
      </c>
      <c r="O106" s="16">
        <f t="shared" si="37"/>
        <v>1810.7142857142858</v>
      </c>
      <c r="P106" s="16">
        <f t="shared" si="37"/>
        <v>4238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0.10962044090878448</v>
      </c>
      <c r="D107" s="43">
        <f t="shared" si="38"/>
        <v>1.4343018944245937E-2</v>
      </c>
      <c r="E107" s="43">
        <f t="shared" si="38"/>
        <v>6.2748601092159365E-2</v>
      </c>
      <c r="F107" s="43">
        <f t="shared" si="38"/>
        <v>0.15701476437672759</v>
      </c>
      <c r="G107" s="43">
        <f t="shared" si="38"/>
        <v>3.0118654351783184E-2</v>
      </c>
      <c r="H107" s="43">
        <f t="shared" si="38"/>
        <v>1.4831793972898265E-3</v>
      </c>
      <c r="I107" s="43">
        <f t="shared" si="38"/>
        <v>4.4613362098024668E-2</v>
      </c>
      <c r="J107" s="43">
        <f t="shared" si="38"/>
        <v>5.9664262118249859E-3</v>
      </c>
      <c r="K107" s="43">
        <f t="shared" si="38"/>
        <v>8.764241893076248E-4</v>
      </c>
      <c r="L107" s="43">
        <f t="shared" si="38"/>
        <v>3.7079484932245663E-4</v>
      </c>
      <c r="M107" s="43">
        <f t="shared" si="38"/>
        <v>0.57274320771253284</v>
      </c>
      <c r="N107" s="43">
        <f t="shared" si="38"/>
        <v>1.0112586799703363E-4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0.25656804733727812</v>
      </c>
      <c r="D108" s="44">
        <f t="shared" ref="D108:N108" si="39">D106/$O$106</f>
        <v>3.3570019723865877E-2</v>
      </c>
      <c r="E108" s="44">
        <f t="shared" si="39"/>
        <v>0.14686390532544377</v>
      </c>
      <c r="F108" s="44">
        <f t="shared" si="39"/>
        <v>0.36749506903353063</v>
      </c>
      <c r="G108" s="44">
        <f t="shared" si="39"/>
        <v>7.0493096646942796E-2</v>
      </c>
      <c r="H108" s="44">
        <f t="shared" si="39"/>
        <v>3.4714003944773171E-3</v>
      </c>
      <c r="I108" s="44">
        <f t="shared" si="39"/>
        <v>0.10441814595660748</v>
      </c>
      <c r="J108" s="44">
        <f t="shared" si="39"/>
        <v>1.3964497041420122E-2</v>
      </c>
      <c r="K108" s="44">
        <f t="shared" si="39"/>
        <v>2.0512820512820508E-3</v>
      </c>
      <c r="L108" s="44">
        <f t="shared" si="39"/>
        <v>8.6785009861932926E-4</v>
      </c>
      <c r="M108" s="44"/>
      <c r="N108" s="44">
        <f t="shared" si="39"/>
        <v>2.3668639053254435E-4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zoomScale="60" workbookViewId="0">
      <selection activeCell="H98" sqref="H9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'18.08 Jinja-Buwenge'!C3:G3</f>
        <v>MCC - C3b - STN93 - Jinja-Buwenge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'Avg Week Jinja-Buwenge'!G5:H5</f>
        <v>xxx</v>
      </c>
      <c r="H5" s="64"/>
      <c r="I5" s="14"/>
      <c r="J5" s="2" t="s">
        <v>5</v>
      </c>
      <c r="K5" s="63" t="str">
        <f>'Avg Week Jinja-Buwenge'!K5:L5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Jinja-Buwenge'!K6:L6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Buwenge-Jinja'!C10+'Avg Week Jinja-Buwenge'!C10</f>
        <v>5.5714285714285712</v>
      </c>
      <c r="D10" s="49">
        <f>'Avg Week Buwenge-Jinja'!D10+'Avg Week Jinja-Buwenge'!D10</f>
        <v>0.5714285714285714</v>
      </c>
      <c r="E10" s="49">
        <f>'Avg Week Buwenge-Jinja'!E10+'Avg Week Jinja-Buwenge'!E10</f>
        <v>3.8571428571428572</v>
      </c>
      <c r="F10" s="49">
        <f>'Avg Week Buwenge-Jinja'!F10+'Avg Week Jinja-Buwenge'!F10</f>
        <v>13</v>
      </c>
      <c r="G10" s="49">
        <f>'Avg Week Buwenge-Jinja'!G10+'Avg Week Jinja-Buwenge'!G10</f>
        <v>8</v>
      </c>
      <c r="H10" s="49">
        <f>'Avg Week Buwenge-Jinja'!H10+'Avg Week Jinja-Buwenge'!H10</f>
        <v>0.5714285714285714</v>
      </c>
      <c r="I10" s="49">
        <f>'Avg Week Buwenge-Jinja'!I10+'Avg Week Jinja-Buwenge'!I10</f>
        <v>4.8571428571428577</v>
      </c>
      <c r="J10" s="49">
        <f>'Avg Week Buwenge-Jinja'!J10+'Avg Week Jinja-Buwenge'!J10</f>
        <v>1</v>
      </c>
      <c r="K10" s="49">
        <f>'Avg Week Buwenge-Jinja'!K10+'Avg Week Jinja-Buwenge'!K10</f>
        <v>0</v>
      </c>
      <c r="L10" s="49">
        <f>'Avg Week Buwenge-Jinja'!L10+'Avg Week Jinja-Buwenge'!L10</f>
        <v>0</v>
      </c>
      <c r="M10" s="49">
        <f>'Avg Week Buwenge-Jinja'!M10+'Avg Week Jinja-Buwenge'!M10</f>
        <v>65.714285714285722</v>
      </c>
      <c r="N10" s="49">
        <f>'Avg Week Buwenge-Jinja'!N10+'Avg Week Jinja-Buwenge'!N10</f>
        <v>0</v>
      </c>
      <c r="O10" s="15">
        <f t="shared" ref="O10:O73" si="0">SUM(C10:L10,N10)</f>
        <v>37.428571428571431</v>
      </c>
      <c r="P10" s="15">
        <f t="shared" ref="P10:P73" si="1">SUM(C10:N10)</f>
        <v>103.14285714285715</v>
      </c>
      <c r="R10" s="1" t="s">
        <v>6</v>
      </c>
      <c r="S10" s="17">
        <f t="shared" ref="S10:AF10" si="2">SUM(C10:C13)</f>
        <v>28.571428571428569</v>
      </c>
      <c r="T10" s="17">
        <f t="shared" si="2"/>
        <v>2.5714285714285712</v>
      </c>
      <c r="U10" s="17">
        <f t="shared" si="2"/>
        <v>14.714285714285715</v>
      </c>
      <c r="V10" s="17">
        <f t="shared" si="2"/>
        <v>61.142857142857139</v>
      </c>
      <c r="W10" s="17">
        <f t="shared" si="2"/>
        <v>29.142857142857142</v>
      </c>
      <c r="X10" s="17">
        <f t="shared" si="2"/>
        <v>0.99999999999999978</v>
      </c>
      <c r="Y10" s="17">
        <f t="shared" si="2"/>
        <v>18.142857142857146</v>
      </c>
      <c r="Z10" s="17">
        <f t="shared" si="2"/>
        <v>2.8571428571428572</v>
      </c>
      <c r="AA10" s="17">
        <f t="shared" si="2"/>
        <v>0</v>
      </c>
      <c r="AB10" s="17">
        <f t="shared" si="2"/>
        <v>0.14285714285714285</v>
      </c>
      <c r="AC10" s="17">
        <f t="shared" si="2"/>
        <v>285</v>
      </c>
      <c r="AD10" s="17">
        <f t="shared" si="2"/>
        <v>0</v>
      </c>
      <c r="AE10" s="31">
        <f t="shared" si="2"/>
        <v>158.28571428571431</v>
      </c>
      <c r="AF10" s="31">
        <f t="shared" si="2"/>
        <v>443.28571428571433</v>
      </c>
    </row>
    <row r="11" spans="2:32" s="6" customFormat="1" ht="23.1" customHeight="1" x14ac:dyDescent="0.25">
      <c r="B11" s="23" t="s">
        <v>38</v>
      </c>
      <c r="C11" s="49">
        <f>'Avg Week Buwenge-Jinja'!C11+'Avg Week Jinja-Buwenge'!C11</f>
        <v>7.1428571428571423</v>
      </c>
      <c r="D11" s="49">
        <f>'Avg Week Buwenge-Jinja'!D11+'Avg Week Jinja-Buwenge'!D11</f>
        <v>0.2857142857142857</v>
      </c>
      <c r="E11" s="49">
        <f>'Avg Week Buwenge-Jinja'!E11+'Avg Week Jinja-Buwenge'!E11</f>
        <v>2.4285714285714284</v>
      </c>
      <c r="F11" s="49">
        <f>'Avg Week Buwenge-Jinja'!F11+'Avg Week Jinja-Buwenge'!F11</f>
        <v>13.571428571428571</v>
      </c>
      <c r="G11" s="49">
        <f>'Avg Week Buwenge-Jinja'!G11+'Avg Week Jinja-Buwenge'!G11</f>
        <v>6.4285714285714288</v>
      </c>
      <c r="H11" s="49">
        <f>'Avg Week Buwenge-Jinja'!H11+'Avg Week Jinja-Buwenge'!H11</f>
        <v>0.14285714285714285</v>
      </c>
      <c r="I11" s="49">
        <f>'Avg Week Buwenge-Jinja'!I11+'Avg Week Jinja-Buwenge'!I11</f>
        <v>3.7142857142857144</v>
      </c>
      <c r="J11" s="49">
        <f>'Avg Week Buwenge-Jinja'!J11+'Avg Week Jinja-Buwenge'!J11</f>
        <v>0.5714285714285714</v>
      </c>
      <c r="K11" s="49">
        <f>'Avg Week Buwenge-Jinja'!K11+'Avg Week Jinja-Buwenge'!K11</f>
        <v>0</v>
      </c>
      <c r="L11" s="49">
        <f>'Avg Week Buwenge-Jinja'!L11+'Avg Week Jinja-Buwenge'!L11</f>
        <v>0.14285714285714285</v>
      </c>
      <c r="M11" s="49">
        <f>'Avg Week Buwenge-Jinja'!M11+'Avg Week Jinja-Buwenge'!M11</f>
        <v>67.857142857142861</v>
      </c>
      <c r="N11" s="49">
        <f>'Avg Week Buwenge-Jinja'!N11+'Avg Week Jinja-Buwenge'!N11</f>
        <v>0</v>
      </c>
      <c r="O11" s="15">
        <f t="shared" si="0"/>
        <v>34.428571428571423</v>
      </c>
      <c r="P11" s="15">
        <f t="shared" si="1"/>
        <v>102.28571428571428</v>
      </c>
      <c r="R11" s="1" t="s">
        <v>7</v>
      </c>
      <c r="S11" s="17">
        <f t="shared" ref="S11:AF11" si="3">SUM(C14:C17)</f>
        <v>39.142857142857146</v>
      </c>
      <c r="T11" s="17">
        <f t="shared" si="3"/>
        <v>4.2857142857142856</v>
      </c>
      <c r="U11" s="17">
        <f t="shared" si="3"/>
        <v>20.857142857142854</v>
      </c>
      <c r="V11" s="17">
        <f t="shared" si="3"/>
        <v>71.857142857142847</v>
      </c>
      <c r="W11" s="17">
        <f t="shared" si="3"/>
        <v>20.428571428571431</v>
      </c>
      <c r="X11" s="17">
        <f t="shared" si="3"/>
        <v>1.2857142857142856</v>
      </c>
      <c r="Y11" s="17">
        <f t="shared" si="3"/>
        <v>14.857142857142858</v>
      </c>
      <c r="Z11" s="17">
        <f t="shared" si="3"/>
        <v>2</v>
      </c>
      <c r="AA11" s="17">
        <f t="shared" si="3"/>
        <v>0.14285714285714285</v>
      </c>
      <c r="AB11" s="17">
        <f t="shared" si="3"/>
        <v>0.14285714285714285</v>
      </c>
      <c r="AC11" s="17">
        <f t="shared" si="3"/>
        <v>302.85714285714289</v>
      </c>
      <c r="AD11" s="17">
        <f t="shared" si="3"/>
        <v>0.14285714285714285</v>
      </c>
      <c r="AE11" s="31">
        <f t="shared" si="3"/>
        <v>175.14285714285714</v>
      </c>
      <c r="AF11" s="31">
        <f t="shared" si="3"/>
        <v>478</v>
      </c>
    </row>
    <row r="12" spans="2:32" ht="23.1" customHeight="1" x14ac:dyDescent="0.25">
      <c r="B12" s="23" t="s">
        <v>39</v>
      </c>
      <c r="C12" s="49">
        <f>'Avg Week Buwenge-Jinja'!C12+'Avg Week Jinja-Buwenge'!C12</f>
        <v>5.4285714285714288</v>
      </c>
      <c r="D12" s="49">
        <f>'Avg Week Buwenge-Jinja'!D12+'Avg Week Jinja-Buwenge'!D12</f>
        <v>0.5714285714285714</v>
      </c>
      <c r="E12" s="49">
        <f>'Avg Week Buwenge-Jinja'!E12+'Avg Week Jinja-Buwenge'!E12</f>
        <v>3.4285714285714288</v>
      </c>
      <c r="F12" s="49">
        <f>'Avg Week Buwenge-Jinja'!F12+'Avg Week Jinja-Buwenge'!F12</f>
        <v>16</v>
      </c>
      <c r="G12" s="49">
        <f>'Avg Week Buwenge-Jinja'!G12+'Avg Week Jinja-Buwenge'!G12</f>
        <v>7.8571428571428568</v>
      </c>
      <c r="H12" s="49">
        <f>'Avg Week Buwenge-Jinja'!H12+'Avg Week Jinja-Buwenge'!H12</f>
        <v>0.14285714285714285</v>
      </c>
      <c r="I12" s="49">
        <f>'Avg Week Buwenge-Jinja'!I12+'Avg Week Jinja-Buwenge'!I12</f>
        <v>5.4285714285714288</v>
      </c>
      <c r="J12" s="49">
        <f>'Avg Week Buwenge-Jinja'!J12+'Avg Week Jinja-Buwenge'!J12</f>
        <v>0.42857142857142855</v>
      </c>
      <c r="K12" s="49">
        <f>'Avg Week Buwenge-Jinja'!K12+'Avg Week Jinja-Buwenge'!K12</f>
        <v>0</v>
      </c>
      <c r="L12" s="49">
        <f>'Avg Week Buwenge-Jinja'!L12+'Avg Week Jinja-Buwenge'!L12</f>
        <v>0</v>
      </c>
      <c r="M12" s="49">
        <f>'Avg Week Buwenge-Jinja'!M12+'Avg Week Jinja-Buwenge'!M12</f>
        <v>74.142857142857139</v>
      </c>
      <c r="N12" s="49">
        <f>'Avg Week Buwenge-Jinja'!N12+'Avg Week Jinja-Buwenge'!N12</f>
        <v>0</v>
      </c>
      <c r="O12" s="15">
        <f t="shared" si="0"/>
        <v>39.285714285714292</v>
      </c>
      <c r="P12" s="15">
        <f t="shared" si="1"/>
        <v>113.42857142857143</v>
      </c>
      <c r="R12" s="1" t="s">
        <v>8</v>
      </c>
      <c r="S12" s="17">
        <f t="shared" ref="S12:AF12" si="4">SUM(C18:C21)</f>
        <v>44.428571428571431</v>
      </c>
      <c r="T12" s="17">
        <f t="shared" si="4"/>
        <v>8.1428571428571423</v>
      </c>
      <c r="U12" s="17">
        <f t="shared" si="4"/>
        <v>30.142857142857142</v>
      </c>
      <c r="V12" s="17">
        <f t="shared" si="4"/>
        <v>92.428571428571416</v>
      </c>
      <c r="W12" s="17">
        <f t="shared" si="4"/>
        <v>8.8571428571428577</v>
      </c>
      <c r="X12" s="17">
        <f t="shared" si="4"/>
        <v>0.71428571428571419</v>
      </c>
      <c r="Y12" s="17">
        <f t="shared" si="4"/>
        <v>20.285714285714285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332.71428571428572</v>
      </c>
      <c r="AD12" s="17">
        <f t="shared" si="4"/>
        <v>0</v>
      </c>
      <c r="AE12" s="31">
        <f t="shared" si="4"/>
        <v>207</v>
      </c>
      <c r="AF12" s="31">
        <f t="shared" si="4"/>
        <v>539.71428571428578</v>
      </c>
    </row>
    <row r="13" spans="2:32" ht="23.1" customHeight="1" x14ac:dyDescent="0.25">
      <c r="B13" s="23" t="s">
        <v>40</v>
      </c>
      <c r="C13" s="49">
        <f>'Avg Week Buwenge-Jinja'!C13+'Avg Week Jinja-Buwenge'!C13</f>
        <v>10.428571428571429</v>
      </c>
      <c r="D13" s="49">
        <f>'Avg Week Buwenge-Jinja'!D13+'Avg Week Jinja-Buwenge'!D13</f>
        <v>1.1428571428571428</v>
      </c>
      <c r="E13" s="49">
        <f>'Avg Week Buwenge-Jinja'!E13+'Avg Week Jinja-Buwenge'!E13</f>
        <v>5</v>
      </c>
      <c r="F13" s="49">
        <f>'Avg Week Buwenge-Jinja'!F13+'Avg Week Jinja-Buwenge'!F13</f>
        <v>18.571428571428569</v>
      </c>
      <c r="G13" s="49">
        <f>'Avg Week Buwenge-Jinja'!G13+'Avg Week Jinja-Buwenge'!G13</f>
        <v>6.8571428571428577</v>
      </c>
      <c r="H13" s="49">
        <f>'Avg Week Buwenge-Jinja'!H13+'Avg Week Jinja-Buwenge'!H13</f>
        <v>0.14285714285714285</v>
      </c>
      <c r="I13" s="49">
        <f>'Avg Week Buwenge-Jinja'!I13+'Avg Week Jinja-Buwenge'!I13</f>
        <v>4.1428571428571423</v>
      </c>
      <c r="J13" s="49">
        <f>'Avg Week Buwenge-Jinja'!J13+'Avg Week Jinja-Buwenge'!J13</f>
        <v>0.8571428571428571</v>
      </c>
      <c r="K13" s="49">
        <f>'Avg Week Buwenge-Jinja'!K13+'Avg Week Jinja-Buwenge'!K13</f>
        <v>0</v>
      </c>
      <c r="L13" s="49">
        <f>'Avg Week Buwenge-Jinja'!L13+'Avg Week Jinja-Buwenge'!L13</f>
        <v>0</v>
      </c>
      <c r="M13" s="49">
        <f>'Avg Week Buwenge-Jinja'!M13+'Avg Week Jinja-Buwenge'!M13</f>
        <v>77.285714285714292</v>
      </c>
      <c r="N13" s="49">
        <f>'Avg Week Buwenge-Jinja'!N13+'Avg Week Jinja-Buwenge'!N13</f>
        <v>0</v>
      </c>
      <c r="O13" s="15">
        <f t="shared" si="0"/>
        <v>47.142857142857146</v>
      </c>
      <c r="P13" s="15">
        <f t="shared" si="1"/>
        <v>124.42857142857144</v>
      </c>
      <c r="R13" s="1" t="s">
        <v>9</v>
      </c>
      <c r="S13" s="17">
        <f t="shared" ref="S13:AF13" si="5">SUM(C22:C25)</f>
        <v>44.857142857142861</v>
      </c>
      <c r="T13" s="17">
        <f t="shared" si="5"/>
        <v>7.8571428571428577</v>
      </c>
      <c r="U13" s="17">
        <f t="shared" si="5"/>
        <v>31.285714285714285</v>
      </c>
      <c r="V13" s="17">
        <f t="shared" si="5"/>
        <v>88.571428571428569</v>
      </c>
      <c r="W13" s="17">
        <f t="shared" si="5"/>
        <v>3.2857142857142856</v>
      </c>
      <c r="X13" s="17">
        <f t="shared" si="5"/>
        <v>0.42857142857142855</v>
      </c>
      <c r="Y13" s="17">
        <f t="shared" si="5"/>
        <v>20.285714285714288</v>
      </c>
      <c r="Z13" s="17">
        <f t="shared" si="5"/>
        <v>1.5714285714285714</v>
      </c>
      <c r="AA13" s="17">
        <f t="shared" si="5"/>
        <v>0.2857142857142857</v>
      </c>
      <c r="AB13" s="17">
        <f t="shared" si="5"/>
        <v>0.14285714285714285</v>
      </c>
      <c r="AC13" s="17">
        <f t="shared" si="5"/>
        <v>328.14285714285711</v>
      </c>
      <c r="AD13" s="17">
        <f t="shared" si="5"/>
        <v>0.42857142857142855</v>
      </c>
      <c r="AE13" s="31">
        <f t="shared" si="5"/>
        <v>199.00000000000003</v>
      </c>
      <c r="AF13" s="31">
        <f t="shared" si="5"/>
        <v>527.14285714285722</v>
      </c>
    </row>
    <row r="14" spans="2:32" ht="23.1" customHeight="1" x14ac:dyDescent="0.25">
      <c r="B14" s="23" t="s">
        <v>41</v>
      </c>
      <c r="C14" s="49">
        <f>'Avg Week Buwenge-Jinja'!C14+'Avg Week Jinja-Buwenge'!C14</f>
        <v>11</v>
      </c>
      <c r="D14" s="49">
        <f>'Avg Week Buwenge-Jinja'!D14+'Avg Week Jinja-Buwenge'!D14</f>
        <v>1.4285714285714286</v>
      </c>
      <c r="E14" s="49">
        <f>'Avg Week Buwenge-Jinja'!E14+'Avg Week Jinja-Buwenge'!E14</f>
        <v>5.7142857142857144</v>
      </c>
      <c r="F14" s="49">
        <f>'Avg Week Buwenge-Jinja'!F14+'Avg Week Jinja-Buwenge'!F14</f>
        <v>17.571428571428569</v>
      </c>
      <c r="G14" s="49">
        <f>'Avg Week Buwenge-Jinja'!G14+'Avg Week Jinja-Buwenge'!G14</f>
        <v>6.2857142857142856</v>
      </c>
      <c r="H14" s="49">
        <f>'Avg Week Buwenge-Jinja'!H14+'Avg Week Jinja-Buwenge'!H14</f>
        <v>0.14285714285714285</v>
      </c>
      <c r="I14" s="49">
        <f>'Avg Week Buwenge-Jinja'!I14+'Avg Week Jinja-Buwenge'!I14</f>
        <v>4</v>
      </c>
      <c r="J14" s="49">
        <f>'Avg Week Buwenge-Jinja'!J14+'Avg Week Jinja-Buwenge'!J14</f>
        <v>0.8571428571428571</v>
      </c>
      <c r="K14" s="49">
        <f>'Avg Week Buwenge-Jinja'!K14+'Avg Week Jinja-Buwenge'!K14</f>
        <v>0.14285714285714285</v>
      </c>
      <c r="L14" s="49">
        <f>'Avg Week Buwenge-Jinja'!L14+'Avg Week Jinja-Buwenge'!L14</f>
        <v>0</v>
      </c>
      <c r="M14" s="49">
        <f>'Avg Week Buwenge-Jinja'!M14+'Avg Week Jinja-Buwenge'!M14</f>
        <v>79.428571428571431</v>
      </c>
      <c r="N14" s="49">
        <f>'Avg Week Buwenge-Jinja'!N14+'Avg Week Jinja-Buwenge'!N14</f>
        <v>0</v>
      </c>
      <c r="O14" s="15">
        <f t="shared" si="0"/>
        <v>47.142857142857139</v>
      </c>
      <c r="P14" s="15">
        <f t="shared" si="1"/>
        <v>126.57142857142857</v>
      </c>
      <c r="R14" s="1" t="s">
        <v>10</v>
      </c>
      <c r="S14" s="17">
        <f t="shared" ref="S14:AF14" si="6">SUM(C26:C29)</f>
        <v>54.857142857142861</v>
      </c>
      <c r="T14" s="17">
        <f t="shared" si="6"/>
        <v>8.2857142857142847</v>
      </c>
      <c r="U14" s="17">
        <f t="shared" si="6"/>
        <v>30</v>
      </c>
      <c r="V14" s="17">
        <f t="shared" si="6"/>
        <v>86.285714285714292</v>
      </c>
      <c r="W14" s="17">
        <f t="shared" si="6"/>
        <v>3.4285714285714288</v>
      </c>
      <c r="X14" s="17">
        <f t="shared" si="6"/>
        <v>0.71428571428571419</v>
      </c>
      <c r="Y14" s="17">
        <f t="shared" si="6"/>
        <v>22.857142857142858</v>
      </c>
      <c r="Z14" s="17">
        <f t="shared" si="6"/>
        <v>2.714285714285714</v>
      </c>
      <c r="AA14" s="17">
        <f t="shared" si="6"/>
        <v>0.71428571428571419</v>
      </c>
      <c r="AB14" s="17">
        <f t="shared" si="6"/>
        <v>0</v>
      </c>
      <c r="AC14" s="17">
        <f t="shared" si="6"/>
        <v>322.28571428571433</v>
      </c>
      <c r="AD14" s="17">
        <f t="shared" si="6"/>
        <v>0.2857142857142857</v>
      </c>
      <c r="AE14" s="31">
        <f t="shared" si="6"/>
        <v>210.14285714285717</v>
      </c>
      <c r="AF14" s="31">
        <f t="shared" si="6"/>
        <v>532.42857142857144</v>
      </c>
    </row>
    <row r="15" spans="2:32" ht="23.1" customHeight="1" x14ac:dyDescent="0.25">
      <c r="B15" s="23" t="s">
        <v>42</v>
      </c>
      <c r="C15" s="49">
        <f>'Avg Week Buwenge-Jinja'!C15+'Avg Week Jinja-Buwenge'!C15</f>
        <v>9.4285714285714288</v>
      </c>
      <c r="D15" s="49">
        <f>'Avg Week Buwenge-Jinja'!D15+'Avg Week Jinja-Buwenge'!D15</f>
        <v>0.71428571428571419</v>
      </c>
      <c r="E15" s="49">
        <f>'Avg Week Buwenge-Jinja'!E15+'Avg Week Jinja-Buwenge'!E15</f>
        <v>4.5714285714285712</v>
      </c>
      <c r="F15" s="49">
        <f>'Avg Week Buwenge-Jinja'!F15+'Avg Week Jinja-Buwenge'!F15</f>
        <v>16.571428571428569</v>
      </c>
      <c r="G15" s="49">
        <f>'Avg Week Buwenge-Jinja'!G15+'Avg Week Jinja-Buwenge'!G15</f>
        <v>4.4285714285714288</v>
      </c>
      <c r="H15" s="49">
        <f>'Avg Week Buwenge-Jinja'!H15+'Avg Week Jinja-Buwenge'!H15</f>
        <v>0.2857142857142857</v>
      </c>
      <c r="I15" s="49">
        <f>'Avg Week Buwenge-Jinja'!I15+'Avg Week Jinja-Buwenge'!I15</f>
        <v>3.7142857142857144</v>
      </c>
      <c r="J15" s="49">
        <f>'Avg Week Buwenge-Jinja'!J15+'Avg Week Jinja-Buwenge'!J15</f>
        <v>0.7142857142857143</v>
      </c>
      <c r="K15" s="49">
        <f>'Avg Week Buwenge-Jinja'!K15+'Avg Week Jinja-Buwenge'!K15</f>
        <v>0</v>
      </c>
      <c r="L15" s="49">
        <f>'Avg Week Buwenge-Jinja'!L15+'Avg Week Jinja-Buwenge'!L15</f>
        <v>0</v>
      </c>
      <c r="M15" s="49">
        <f>'Avg Week Buwenge-Jinja'!M15+'Avg Week Jinja-Buwenge'!M15</f>
        <v>71.428571428571431</v>
      </c>
      <c r="N15" s="49">
        <f>'Avg Week Buwenge-Jinja'!N15+'Avg Week Jinja-Buwenge'!N15</f>
        <v>0.14285714285714285</v>
      </c>
      <c r="O15" s="15">
        <f t="shared" si="0"/>
        <v>40.571428571428577</v>
      </c>
      <c r="P15" s="15">
        <f t="shared" si="1"/>
        <v>112</v>
      </c>
      <c r="R15" s="1" t="s">
        <v>11</v>
      </c>
      <c r="S15" s="17">
        <f t="shared" ref="S15:AF15" si="7">SUM(C30:C33)</f>
        <v>54.714285714285708</v>
      </c>
      <c r="T15" s="17">
        <f t="shared" si="7"/>
        <v>9.7142857142857135</v>
      </c>
      <c r="U15" s="17">
        <f t="shared" si="7"/>
        <v>32.857142857142861</v>
      </c>
      <c r="V15" s="17">
        <f t="shared" si="7"/>
        <v>90.428571428571445</v>
      </c>
      <c r="W15" s="17">
        <f t="shared" si="7"/>
        <v>6.2857142857142865</v>
      </c>
      <c r="X15" s="17">
        <f t="shared" si="7"/>
        <v>0.14285714285714285</v>
      </c>
      <c r="Y15" s="17">
        <f t="shared" si="7"/>
        <v>23.285714285714285</v>
      </c>
      <c r="Z15" s="17">
        <f t="shared" si="7"/>
        <v>1.714285714285714</v>
      </c>
      <c r="AA15" s="17">
        <f t="shared" si="7"/>
        <v>0</v>
      </c>
      <c r="AB15" s="17">
        <f t="shared" si="7"/>
        <v>0</v>
      </c>
      <c r="AC15" s="17">
        <f t="shared" si="7"/>
        <v>325.57142857142856</v>
      </c>
      <c r="AD15" s="17">
        <f t="shared" si="7"/>
        <v>0.2857142857142857</v>
      </c>
      <c r="AE15" s="31">
        <f t="shared" si="7"/>
        <v>219.42857142857144</v>
      </c>
      <c r="AF15" s="31">
        <f t="shared" si="7"/>
        <v>545</v>
      </c>
    </row>
    <row r="16" spans="2:32" ht="23.1" customHeight="1" x14ac:dyDescent="0.25">
      <c r="B16" s="23" t="s">
        <v>43</v>
      </c>
      <c r="C16" s="49">
        <f>'Avg Week Buwenge-Jinja'!C16+'Avg Week Jinja-Buwenge'!C16</f>
        <v>9.4285714285714288</v>
      </c>
      <c r="D16" s="49">
        <f>'Avg Week Buwenge-Jinja'!D16+'Avg Week Jinja-Buwenge'!D16</f>
        <v>1</v>
      </c>
      <c r="E16" s="49">
        <f>'Avg Week Buwenge-Jinja'!E16+'Avg Week Jinja-Buwenge'!E16</f>
        <v>5.4285714285714288</v>
      </c>
      <c r="F16" s="49">
        <f>'Avg Week Buwenge-Jinja'!F16+'Avg Week Jinja-Buwenge'!F16</f>
        <v>19.571428571428573</v>
      </c>
      <c r="G16" s="49">
        <f>'Avg Week Buwenge-Jinja'!G16+'Avg Week Jinja-Buwenge'!G16</f>
        <v>4.8571428571428568</v>
      </c>
      <c r="H16" s="49">
        <f>'Avg Week Buwenge-Jinja'!H16+'Avg Week Jinja-Buwenge'!H16</f>
        <v>0.2857142857142857</v>
      </c>
      <c r="I16" s="49">
        <f>'Avg Week Buwenge-Jinja'!I16+'Avg Week Jinja-Buwenge'!I16</f>
        <v>3.1428571428571428</v>
      </c>
      <c r="J16" s="49">
        <f>'Avg Week Buwenge-Jinja'!J16+'Avg Week Jinja-Buwenge'!J16</f>
        <v>0.2857142857142857</v>
      </c>
      <c r="K16" s="49">
        <f>'Avg Week Buwenge-Jinja'!K16+'Avg Week Jinja-Buwenge'!K16</f>
        <v>0</v>
      </c>
      <c r="L16" s="49">
        <f>'Avg Week Buwenge-Jinja'!L16+'Avg Week Jinja-Buwenge'!L16</f>
        <v>0.14285714285714285</v>
      </c>
      <c r="M16" s="49">
        <f>'Avg Week Buwenge-Jinja'!M16+'Avg Week Jinja-Buwenge'!M16</f>
        <v>74.714285714285722</v>
      </c>
      <c r="N16" s="49">
        <f>'Avg Week Buwenge-Jinja'!N16+'Avg Week Jinja-Buwenge'!N16</f>
        <v>0</v>
      </c>
      <c r="O16" s="15">
        <f t="shared" si="0"/>
        <v>44.142857142857146</v>
      </c>
      <c r="P16" s="15">
        <f t="shared" si="1"/>
        <v>118.85714285714286</v>
      </c>
      <c r="R16" s="1" t="s">
        <v>12</v>
      </c>
      <c r="S16" s="17">
        <f t="shared" ref="S16:AF16" si="8">SUM(C34:C37)</f>
        <v>52</v>
      </c>
      <c r="T16" s="17">
        <f t="shared" si="8"/>
        <v>8.1428571428571423</v>
      </c>
      <c r="U16" s="17">
        <f t="shared" si="8"/>
        <v>28</v>
      </c>
      <c r="V16" s="17">
        <f t="shared" si="8"/>
        <v>94.285714285714278</v>
      </c>
      <c r="W16" s="17">
        <f t="shared" si="8"/>
        <v>8.1428571428571423</v>
      </c>
      <c r="X16" s="17">
        <f t="shared" si="8"/>
        <v>0.85714285714285698</v>
      </c>
      <c r="Y16" s="17">
        <f t="shared" si="8"/>
        <v>21.714285714285715</v>
      </c>
      <c r="Z16" s="17">
        <f t="shared" si="8"/>
        <v>3.1428571428571423</v>
      </c>
      <c r="AA16" s="17">
        <f t="shared" si="8"/>
        <v>0.5714285714285714</v>
      </c>
      <c r="AB16" s="17">
        <f t="shared" si="8"/>
        <v>0</v>
      </c>
      <c r="AC16" s="17">
        <f t="shared" si="8"/>
        <v>305.28571428571428</v>
      </c>
      <c r="AD16" s="17">
        <f t="shared" si="8"/>
        <v>0</v>
      </c>
      <c r="AE16" s="31">
        <f t="shared" si="8"/>
        <v>216.85714285714283</v>
      </c>
      <c r="AF16" s="31">
        <f t="shared" si="8"/>
        <v>522.14285714285711</v>
      </c>
    </row>
    <row r="17" spans="2:32" ht="23.1" customHeight="1" x14ac:dyDescent="0.25">
      <c r="B17" s="23" t="s">
        <v>44</v>
      </c>
      <c r="C17" s="49">
        <f>'Avg Week Buwenge-Jinja'!C17+'Avg Week Jinja-Buwenge'!C17</f>
        <v>9.2857142857142865</v>
      </c>
      <c r="D17" s="49">
        <f>'Avg Week Buwenge-Jinja'!D17+'Avg Week Jinja-Buwenge'!D17</f>
        <v>1.1428571428571428</v>
      </c>
      <c r="E17" s="49">
        <f>'Avg Week Buwenge-Jinja'!E17+'Avg Week Jinja-Buwenge'!E17</f>
        <v>5.1428571428571423</v>
      </c>
      <c r="F17" s="49">
        <f>'Avg Week Buwenge-Jinja'!F17+'Avg Week Jinja-Buwenge'!F17</f>
        <v>18.142857142857142</v>
      </c>
      <c r="G17" s="49">
        <f>'Avg Week Buwenge-Jinja'!G17+'Avg Week Jinja-Buwenge'!G17</f>
        <v>4.8571428571428577</v>
      </c>
      <c r="H17" s="49">
        <f>'Avg Week Buwenge-Jinja'!H17+'Avg Week Jinja-Buwenge'!H17</f>
        <v>0.5714285714285714</v>
      </c>
      <c r="I17" s="49">
        <f>'Avg Week Buwenge-Jinja'!I17+'Avg Week Jinja-Buwenge'!I17</f>
        <v>4</v>
      </c>
      <c r="J17" s="49">
        <f>'Avg Week Buwenge-Jinja'!J17+'Avg Week Jinja-Buwenge'!J17</f>
        <v>0.14285714285714285</v>
      </c>
      <c r="K17" s="49">
        <f>'Avg Week Buwenge-Jinja'!K17+'Avg Week Jinja-Buwenge'!K17</f>
        <v>0</v>
      </c>
      <c r="L17" s="49">
        <f>'Avg Week Buwenge-Jinja'!L17+'Avg Week Jinja-Buwenge'!L17</f>
        <v>0</v>
      </c>
      <c r="M17" s="49">
        <f>'Avg Week Buwenge-Jinja'!M17+'Avg Week Jinja-Buwenge'!M17</f>
        <v>77.285714285714292</v>
      </c>
      <c r="N17" s="49">
        <f>'Avg Week Buwenge-Jinja'!N17+'Avg Week Jinja-Buwenge'!N17</f>
        <v>0</v>
      </c>
      <c r="O17" s="15">
        <f t="shared" si="0"/>
        <v>43.285714285714285</v>
      </c>
      <c r="P17" s="15">
        <f t="shared" si="1"/>
        <v>120.57142857142858</v>
      </c>
      <c r="R17" s="1" t="s">
        <v>13</v>
      </c>
      <c r="S17" s="17">
        <f t="shared" ref="S17:AF17" si="9">SUM(C38:C41)</f>
        <v>50.142857142857139</v>
      </c>
      <c r="T17" s="17">
        <f t="shared" si="9"/>
        <v>8.5714285714285712</v>
      </c>
      <c r="U17" s="17">
        <f t="shared" si="9"/>
        <v>32</v>
      </c>
      <c r="V17" s="17">
        <f t="shared" si="9"/>
        <v>88.285714285714278</v>
      </c>
      <c r="W17" s="17">
        <f t="shared" si="9"/>
        <v>7.1428571428571441</v>
      </c>
      <c r="X17" s="17">
        <f t="shared" si="9"/>
        <v>1.4285714285714286</v>
      </c>
      <c r="Y17" s="17">
        <f t="shared" si="9"/>
        <v>24.142857142857142</v>
      </c>
      <c r="Z17" s="17">
        <f t="shared" si="9"/>
        <v>3</v>
      </c>
      <c r="AA17" s="17">
        <f t="shared" si="9"/>
        <v>0.71428571428571419</v>
      </c>
      <c r="AB17" s="17">
        <f t="shared" si="9"/>
        <v>0.2857142857142857</v>
      </c>
      <c r="AC17" s="17">
        <f t="shared" si="9"/>
        <v>321.28571428571428</v>
      </c>
      <c r="AD17" s="17">
        <f t="shared" si="9"/>
        <v>0.14285714285714285</v>
      </c>
      <c r="AE17" s="31">
        <f t="shared" si="9"/>
        <v>215.85714285714289</v>
      </c>
      <c r="AF17" s="31">
        <f t="shared" si="9"/>
        <v>537.14285714285711</v>
      </c>
    </row>
    <row r="18" spans="2:32" ht="23.1" customHeight="1" x14ac:dyDescent="0.25">
      <c r="B18" s="23" t="s">
        <v>45</v>
      </c>
      <c r="C18" s="49">
        <f>'Avg Week Buwenge-Jinja'!C18+'Avg Week Jinja-Buwenge'!C18</f>
        <v>8.4285714285714288</v>
      </c>
      <c r="D18" s="49">
        <f>'Avg Week Buwenge-Jinja'!D18+'Avg Week Jinja-Buwenge'!D18</f>
        <v>1.5714285714285716</v>
      </c>
      <c r="E18" s="49">
        <f>'Avg Week Buwenge-Jinja'!E18+'Avg Week Jinja-Buwenge'!E18</f>
        <v>6.4285714285714288</v>
      </c>
      <c r="F18" s="49">
        <f>'Avg Week Buwenge-Jinja'!F18+'Avg Week Jinja-Buwenge'!F18</f>
        <v>22.571428571428569</v>
      </c>
      <c r="G18" s="49">
        <f>'Avg Week Buwenge-Jinja'!G18+'Avg Week Jinja-Buwenge'!G18</f>
        <v>4.4285714285714288</v>
      </c>
      <c r="H18" s="49">
        <f>'Avg Week Buwenge-Jinja'!H18+'Avg Week Jinja-Buwenge'!H18</f>
        <v>0</v>
      </c>
      <c r="I18" s="49">
        <f>'Avg Week Buwenge-Jinja'!I18+'Avg Week Jinja-Buwenge'!I18</f>
        <v>6</v>
      </c>
      <c r="J18" s="49">
        <f>'Avg Week Buwenge-Jinja'!J18+'Avg Week Jinja-Buwenge'!J18</f>
        <v>0.2857142857142857</v>
      </c>
      <c r="K18" s="49">
        <f>'Avg Week Buwenge-Jinja'!K18+'Avg Week Jinja-Buwenge'!K18</f>
        <v>0</v>
      </c>
      <c r="L18" s="49">
        <f>'Avg Week Buwenge-Jinja'!L18+'Avg Week Jinja-Buwenge'!L18</f>
        <v>0</v>
      </c>
      <c r="M18" s="49">
        <f>'Avg Week Buwenge-Jinja'!M18+'Avg Week Jinja-Buwenge'!M18</f>
        <v>79.285714285714278</v>
      </c>
      <c r="N18" s="49">
        <f>'Avg Week Buwenge-Jinja'!N18+'Avg Week Jinja-Buwenge'!N18</f>
        <v>0</v>
      </c>
      <c r="O18" s="15">
        <f t="shared" si="0"/>
        <v>49.714285714285715</v>
      </c>
      <c r="P18" s="15">
        <f t="shared" si="1"/>
        <v>129</v>
      </c>
      <c r="R18" s="1" t="s">
        <v>14</v>
      </c>
      <c r="S18" s="17">
        <f t="shared" ref="S18:AF18" si="10">SUM(C42:C45)</f>
        <v>49.571428571428569</v>
      </c>
      <c r="T18" s="17">
        <f t="shared" si="10"/>
        <v>13</v>
      </c>
      <c r="U18" s="17">
        <f t="shared" si="10"/>
        <v>35</v>
      </c>
      <c r="V18" s="17">
        <f t="shared" si="10"/>
        <v>89.428571428571445</v>
      </c>
      <c r="W18" s="17">
        <f t="shared" si="10"/>
        <v>7.4285714285714288</v>
      </c>
      <c r="X18" s="17">
        <f t="shared" si="10"/>
        <v>0.42857142857142855</v>
      </c>
      <c r="Y18" s="17">
        <f t="shared" si="10"/>
        <v>28.857142857142858</v>
      </c>
      <c r="Z18" s="17">
        <f t="shared" si="10"/>
        <v>2</v>
      </c>
      <c r="AA18" s="17">
        <f t="shared" si="10"/>
        <v>0.71428571428571419</v>
      </c>
      <c r="AB18" s="17">
        <f t="shared" si="10"/>
        <v>0.14285714285714285</v>
      </c>
      <c r="AC18" s="17">
        <f t="shared" si="10"/>
        <v>228.14285714285714</v>
      </c>
      <c r="AD18" s="17">
        <f t="shared" si="10"/>
        <v>0</v>
      </c>
      <c r="AE18" s="31">
        <f t="shared" si="10"/>
        <v>226.57142857142861</v>
      </c>
      <c r="AF18" s="31">
        <f t="shared" si="10"/>
        <v>454.71428571428578</v>
      </c>
    </row>
    <row r="19" spans="2:32" ht="23.1" customHeight="1" x14ac:dyDescent="0.25">
      <c r="B19" s="23" t="s">
        <v>46</v>
      </c>
      <c r="C19" s="49">
        <f>'Avg Week Buwenge-Jinja'!C19+'Avg Week Jinja-Buwenge'!C19</f>
        <v>11</v>
      </c>
      <c r="D19" s="49">
        <f>'Avg Week Buwenge-Jinja'!D19+'Avg Week Jinja-Buwenge'!D19</f>
        <v>2.2857142857142856</v>
      </c>
      <c r="E19" s="49">
        <f>'Avg Week Buwenge-Jinja'!E19+'Avg Week Jinja-Buwenge'!E19</f>
        <v>7.8571428571428568</v>
      </c>
      <c r="F19" s="49">
        <f>'Avg Week Buwenge-Jinja'!F19+'Avg Week Jinja-Buwenge'!F19</f>
        <v>23</v>
      </c>
      <c r="G19" s="49">
        <f>'Avg Week Buwenge-Jinja'!G19+'Avg Week Jinja-Buwenge'!G19</f>
        <v>1.7142857142857144</v>
      </c>
      <c r="H19" s="49">
        <f>'Avg Week Buwenge-Jinja'!H19+'Avg Week Jinja-Buwenge'!H19</f>
        <v>0.42857142857142855</v>
      </c>
      <c r="I19" s="49">
        <f>'Avg Week Buwenge-Jinja'!I19+'Avg Week Jinja-Buwenge'!I19</f>
        <v>5</v>
      </c>
      <c r="J19" s="49">
        <f>'Avg Week Buwenge-Jinja'!J19+'Avg Week Jinja-Buwenge'!J19</f>
        <v>0.42857142857142855</v>
      </c>
      <c r="K19" s="49">
        <f>'Avg Week Buwenge-Jinja'!K19+'Avg Week Jinja-Buwenge'!K19</f>
        <v>0</v>
      </c>
      <c r="L19" s="49">
        <f>'Avg Week Buwenge-Jinja'!L19+'Avg Week Jinja-Buwenge'!L19</f>
        <v>0</v>
      </c>
      <c r="M19" s="49">
        <f>'Avg Week Buwenge-Jinja'!M19+'Avg Week Jinja-Buwenge'!M19</f>
        <v>84.571428571428584</v>
      </c>
      <c r="N19" s="49">
        <f>'Avg Week Buwenge-Jinja'!N19+'Avg Week Jinja-Buwenge'!N19</f>
        <v>0</v>
      </c>
      <c r="O19" s="15">
        <f t="shared" si="0"/>
        <v>51.714285714285715</v>
      </c>
      <c r="P19" s="15">
        <f t="shared" si="1"/>
        <v>136.28571428571431</v>
      </c>
      <c r="R19" s="1" t="s">
        <v>15</v>
      </c>
      <c r="S19" s="17">
        <f t="shared" ref="S19:AF19" si="11">SUM(C46:C49)</f>
        <v>56.571428571428577</v>
      </c>
      <c r="T19" s="17">
        <f t="shared" si="11"/>
        <v>13</v>
      </c>
      <c r="U19" s="17">
        <f t="shared" si="11"/>
        <v>34.285714285714285</v>
      </c>
      <c r="V19" s="17">
        <f t="shared" si="11"/>
        <v>86.571428571428569</v>
      </c>
      <c r="W19" s="17">
        <f t="shared" si="11"/>
        <v>7.8571428571428568</v>
      </c>
      <c r="X19" s="17">
        <f t="shared" si="11"/>
        <v>0.71428571428571419</v>
      </c>
      <c r="Y19" s="17">
        <f t="shared" si="11"/>
        <v>27.142857142857142</v>
      </c>
      <c r="Z19" s="17">
        <f t="shared" si="11"/>
        <v>1.8571428571428568</v>
      </c>
      <c r="AA19" s="17">
        <f t="shared" si="11"/>
        <v>0.5714285714285714</v>
      </c>
      <c r="AB19" s="17">
        <f t="shared" si="11"/>
        <v>0.2857142857142857</v>
      </c>
      <c r="AC19" s="17">
        <f t="shared" si="11"/>
        <v>273.85714285714289</v>
      </c>
      <c r="AD19" s="17">
        <f t="shared" si="11"/>
        <v>0.14285714285714285</v>
      </c>
      <c r="AE19" s="31">
        <f t="shared" si="11"/>
        <v>229.00000000000003</v>
      </c>
      <c r="AF19" s="31">
        <f t="shared" si="11"/>
        <v>502.85714285714289</v>
      </c>
    </row>
    <row r="20" spans="2:32" ht="23.1" customHeight="1" x14ac:dyDescent="0.25">
      <c r="B20" s="23" t="s">
        <v>47</v>
      </c>
      <c r="C20" s="49">
        <f>'Avg Week Buwenge-Jinja'!C20+'Avg Week Jinja-Buwenge'!C20</f>
        <v>11.857142857142858</v>
      </c>
      <c r="D20" s="49">
        <f>'Avg Week Buwenge-Jinja'!D20+'Avg Week Jinja-Buwenge'!D20</f>
        <v>2.5714285714285716</v>
      </c>
      <c r="E20" s="49">
        <f>'Avg Week Buwenge-Jinja'!E20+'Avg Week Jinja-Buwenge'!E20</f>
        <v>8.7142857142857135</v>
      </c>
      <c r="F20" s="49">
        <f>'Avg Week Buwenge-Jinja'!F20+'Avg Week Jinja-Buwenge'!F20</f>
        <v>24.571428571428569</v>
      </c>
      <c r="G20" s="49">
        <f>'Avg Week Buwenge-Jinja'!G20+'Avg Week Jinja-Buwenge'!G20</f>
        <v>1.7142857142857142</v>
      </c>
      <c r="H20" s="49">
        <f>'Avg Week Buwenge-Jinja'!H20+'Avg Week Jinja-Buwenge'!H20</f>
        <v>0.2857142857142857</v>
      </c>
      <c r="I20" s="49">
        <f>'Avg Week Buwenge-Jinja'!I20+'Avg Week Jinja-Buwenge'!I20</f>
        <v>4.8571428571428568</v>
      </c>
      <c r="J20" s="49">
        <f>'Avg Week Buwenge-Jinja'!J20+'Avg Week Jinja-Buwenge'!J20</f>
        <v>0.42857142857142855</v>
      </c>
      <c r="K20" s="49">
        <f>'Avg Week Buwenge-Jinja'!K20+'Avg Week Jinja-Buwenge'!K20</f>
        <v>0</v>
      </c>
      <c r="L20" s="49">
        <f>'Avg Week Buwenge-Jinja'!L20+'Avg Week Jinja-Buwenge'!L20</f>
        <v>0</v>
      </c>
      <c r="M20" s="49">
        <f>'Avg Week Buwenge-Jinja'!M20+'Avg Week Jinja-Buwenge'!M20</f>
        <v>80.714285714285722</v>
      </c>
      <c r="N20" s="49">
        <f>'Avg Week Buwenge-Jinja'!N20+'Avg Week Jinja-Buwenge'!N20</f>
        <v>0</v>
      </c>
      <c r="O20" s="15">
        <f t="shared" si="0"/>
        <v>54.999999999999993</v>
      </c>
      <c r="P20" s="15">
        <f t="shared" si="1"/>
        <v>135.71428571428572</v>
      </c>
      <c r="R20" s="1" t="s">
        <v>16</v>
      </c>
      <c r="S20" s="17">
        <f t="shared" ref="S20:AF20" si="12">SUM(C50:C53)</f>
        <v>64.428571428571431</v>
      </c>
      <c r="T20" s="17">
        <f t="shared" si="12"/>
        <v>12.999999999999998</v>
      </c>
      <c r="U20" s="17">
        <f t="shared" si="12"/>
        <v>38.142857142857139</v>
      </c>
      <c r="V20" s="17">
        <f t="shared" si="12"/>
        <v>96.714285714285722</v>
      </c>
      <c r="W20" s="17">
        <f t="shared" si="12"/>
        <v>13.714285714285714</v>
      </c>
      <c r="X20" s="17">
        <f t="shared" si="12"/>
        <v>0.5714285714285714</v>
      </c>
      <c r="Y20" s="17">
        <f t="shared" si="12"/>
        <v>29.428571428571427</v>
      </c>
      <c r="Z20" s="17">
        <f t="shared" si="12"/>
        <v>1.5714285714285712</v>
      </c>
      <c r="AA20" s="17">
        <f t="shared" si="12"/>
        <v>0.8571428571428571</v>
      </c>
      <c r="AB20" s="17">
        <f t="shared" si="12"/>
        <v>0.14285714285714285</v>
      </c>
      <c r="AC20" s="17">
        <f t="shared" si="12"/>
        <v>353.85714285714289</v>
      </c>
      <c r="AD20" s="17">
        <f t="shared" si="12"/>
        <v>0</v>
      </c>
      <c r="AE20" s="31">
        <f t="shared" si="12"/>
        <v>258.57142857142856</v>
      </c>
      <c r="AF20" s="31">
        <f t="shared" si="12"/>
        <v>612.42857142857144</v>
      </c>
    </row>
    <row r="21" spans="2:32" ht="23.1" customHeight="1" x14ac:dyDescent="0.25">
      <c r="B21" s="23" t="s">
        <v>48</v>
      </c>
      <c r="C21" s="49">
        <f>'Avg Week Buwenge-Jinja'!C21+'Avg Week Jinja-Buwenge'!C21</f>
        <v>13.142857142857142</v>
      </c>
      <c r="D21" s="49">
        <f>'Avg Week Buwenge-Jinja'!D21+'Avg Week Jinja-Buwenge'!D21</f>
        <v>1.7142857142857142</v>
      </c>
      <c r="E21" s="49">
        <f>'Avg Week Buwenge-Jinja'!E21+'Avg Week Jinja-Buwenge'!E21</f>
        <v>7.1428571428571423</v>
      </c>
      <c r="F21" s="49">
        <f>'Avg Week Buwenge-Jinja'!F21+'Avg Week Jinja-Buwenge'!F21</f>
        <v>22.285714285714285</v>
      </c>
      <c r="G21" s="49">
        <f>'Avg Week Buwenge-Jinja'!G21+'Avg Week Jinja-Buwenge'!G21</f>
        <v>1</v>
      </c>
      <c r="H21" s="49">
        <f>'Avg Week Buwenge-Jinja'!H21+'Avg Week Jinja-Buwenge'!H21</f>
        <v>0</v>
      </c>
      <c r="I21" s="49">
        <f>'Avg Week Buwenge-Jinja'!I21+'Avg Week Jinja-Buwenge'!I21</f>
        <v>4.4285714285714288</v>
      </c>
      <c r="J21" s="49">
        <f>'Avg Week Buwenge-Jinja'!J21+'Avg Week Jinja-Buwenge'!J21</f>
        <v>0.8571428571428571</v>
      </c>
      <c r="K21" s="49">
        <f>'Avg Week Buwenge-Jinja'!K21+'Avg Week Jinja-Buwenge'!K21</f>
        <v>0</v>
      </c>
      <c r="L21" s="49">
        <f>'Avg Week Buwenge-Jinja'!L21+'Avg Week Jinja-Buwenge'!L21</f>
        <v>0</v>
      </c>
      <c r="M21" s="49">
        <f>'Avg Week Buwenge-Jinja'!M21+'Avg Week Jinja-Buwenge'!M21</f>
        <v>88.142857142857139</v>
      </c>
      <c r="N21" s="49">
        <f>'Avg Week Buwenge-Jinja'!N21+'Avg Week Jinja-Buwenge'!N21</f>
        <v>0</v>
      </c>
      <c r="O21" s="15">
        <f t="shared" si="0"/>
        <v>50.571428571428569</v>
      </c>
      <c r="P21" s="15">
        <f t="shared" si="1"/>
        <v>138.71428571428572</v>
      </c>
      <c r="R21" s="36" t="s">
        <v>20</v>
      </c>
      <c r="S21" s="34">
        <f t="shared" ref="S21:AF21" si="13">SUM(C54:C57)</f>
        <v>64</v>
      </c>
      <c r="T21" s="17">
        <f t="shared" si="13"/>
        <v>12.857142857142858</v>
      </c>
      <c r="U21" s="17">
        <f t="shared" si="13"/>
        <v>40</v>
      </c>
      <c r="V21" s="17">
        <f t="shared" si="13"/>
        <v>91.142857142857139</v>
      </c>
      <c r="W21" s="17">
        <f t="shared" si="13"/>
        <v>25.428571428571431</v>
      </c>
      <c r="X21" s="17">
        <f t="shared" si="13"/>
        <v>0.5714285714285714</v>
      </c>
      <c r="Y21" s="17">
        <f t="shared" si="13"/>
        <v>24.571428571428569</v>
      </c>
      <c r="Z21" s="17">
        <f t="shared" si="13"/>
        <v>3.4285714285714288</v>
      </c>
      <c r="AA21" s="17">
        <f t="shared" si="13"/>
        <v>0.42857142857142855</v>
      </c>
      <c r="AB21" s="17">
        <f t="shared" si="13"/>
        <v>0.2857142857142857</v>
      </c>
      <c r="AC21" s="17">
        <f t="shared" si="13"/>
        <v>323.14285714285717</v>
      </c>
      <c r="AD21" s="17">
        <f t="shared" si="13"/>
        <v>0</v>
      </c>
      <c r="AE21" s="31">
        <f t="shared" si="13"/>
        <v>262.71428571428572</v>
      </c>
      <c r="AF21" s="31">
        <f t="shared" si="13"/>
        <v>585.85714285714289</v>
      </c>
    </row>
    <row r="22" spans="2:32" ht="23.1" customHeight="1" x14ac:dyDescent="0.25">
      <c r="B22" s="23" t="s">
        <v>49</v>
      </c>
      <c r="C22" s="49">
        <f>'Avg Week Buwenge-Jinja'!C22+'Avg Week Jinja-Buwenge'!C22</f>
        <v>12.142857142857142</v>
      </c>
      <c r="D22" s="49">
        <f>'Avg Week Buwenge-Jinja'!D22+'Avg Week Jinja-Buwenge'!D22</f>
        <v>2</v>
      </c>
      <c r="E22" s="49">
        <f>'Avg Week Buwenge-Jinja'!E22+'Avg Week Jinja-Buwenge'!E22</f>
        <v>8.1428571428571423</v>
      </c>
      <c r="F22" s="49">
        <f>'Avg Week Buwenge-Jinja'!F22+'Avg Week Jinja-Buwenge'!F22</f>
        <v>20.428571428571431</v>
      </c>
      <c r="G22" s="49">
        <f>'Avg Week Buwenge-Jinja'!G22+'Avg Week Jinja-Buwenge'!G22</f>
        <v>1</v>
      </c>
      <c r="H22" s="49">
        <f>'Avg Week Buwenge-Jinja'!H22+'Avg Week Jinja-Buwenge'!H22</f>
        <v>0.14285714285714285</v>
      </c>
      <c r="I22" s="49">
        <f>'Avg Week Buwenge-Jinja'!I22+'Avg Week Jinja-Buwenge'!I22</f>
        <v>5.8571428571428577</v>
      </c>
      <c r="J22" s="49">
        <f>'Avg Week Buwenge-Jinja'!J22+'Avg Week Jinja-Buwenge'!J22</f>
        <v>0.5714285714285714</v>
      </c>
      <c r="K22" s="49">
        <f>'Avg Week Buwenge-Jinja'!K22+'Avg Week Jinja-Buwenge'!K22</f>
        <v>0</v>
      </c>
      <c r="L22" s="49">
        <f>'Avg Week Buwenge-Jinja'!L22+'Avg Week Jinja-Buwenge'!L22</f>
        <v>0.14285714285714285</v>
      </c>
      <c r="M22" s="49">
        <f>'Avg Week Buwenge-Jinja'!M22+'Avg Week Jinja-Buwenge'!M22</f>
        <v>83.285714285714278</v>
      </c>
      <c r="N22" s="49">
        <f>'Avg Week Buwenge-Jinja'!N22+'Avg Week Jinja-Buwenge'!N22</f>
        <v>0.14285714285714285</v>
      </c>
      <c r="O22" s="15">
        <f t="shared" si="0"/>
        <v>50.571428571428584</v>
      </c>
      <c r="P22" s="15">
        <f t="shared" si="1"/>
        <v>133.85714285714286</v>
      </c>
      <c r="R22" s="1" t="s">
        <v>146</v>
      </c>
      <c r="S22" s="34">
        <f>SUM(C58:C61)</f>
        <v>59.5</v>
      </c>
      <c r="T22" s="34">
        <f t="shared" ref="T22:AF22" si="14">SUM(D58:D61)</f>
        <v>8</v>
      </c>
      <c r="U22" s="34">
        <f t="shared" si="14"/>
        <v>31</v>
      </c>
      <c r="V22" s="34">
        <f t="shared" si="14"/>
        <v>67.5</v>
      </c>
      <c r="W22" s="34">
        <f t="shared" si="14"/>
        <v>27.5</v>
      </c>
      <c r="X22" s="34">
        <f t="shared" si="14"/>
        <v>64.5</v>
      </c>
      <c r="Y22" s="34">
        <f t="shared" si="14"/>
        <v>20</v>
      </c>
      <c r="Z22" s="34">
        <f t="shared" si="14"/>
        <v>4.5</v>
      </c>
      <c r="AA22" s="34">
        <f t="shared" si="14"/>
        <v>0</v>
      </c>
      <c r="AB22" s="34">
        <f t="shared" si="14"/>
        <v>0</v>
      </c>
      <c r="AC22" s="34">
        <f t="shared" si="14"/>
        <v>295</v>
      </c>
      <c r="AD22" s="34">
        <f t="shared" si="14"/>
        <v>1.5</v>
      </c>
      <c r="AE22" s="31">
        <f t="shared" si="14"/>
        <v>284</v>
      </c>
      <c r="AF22" s="31">
        <f t="shared" si="14"/>
        <v>579</v>
      </c>
    </row>
    <row r="23" spans="2:32" ht="23.1" customHeight="1" x14ac:dyDescent="0.25">
      <c r="B23" s="23" t="s">
        <v>50</v>
      </c>
      <c r="C23" s="49">
        <f>'Avg Week Buwenge-Jinja'!C23+'Avg Week Jinja-Buwenge'!C23</f>
        <v>9.7142857142857153</v>
      </c>
      <c r="D23" s="49">
        <f>'Avg Week Buwenge-Jinja'!D23+'Avg Week Jinja-Buwenge'!D23</f>
        <v>2</v>
      </c>
      <c r="E23" s="49">
        <f>'Avg Week Buwenge-Jinja'!E23+'Avg Week Jinja-Buwenge'!E23</f>
        <v>7.7142857142857144</v>
      </c>
      <c r="F23" s="49">
        <f>'Avg Week Buwenge-Jinja'!F23+'Avg Week Jinja-Buwenge'!F23</f>
        <v>21.571428571428569</v>
      </c>
      <c r="G23" s="49">
        <f>'Avg Week Buwenge-Jinja'!G23+'Avg Week Jinja-Buwenge'!G23</f>
        <v>0.71428571428571419</v>
      </c>
      <c r="H23" s="49">
        <f>'Avg Week Buwenge-Jinja'!H23+'Avg Week Jinja-Buwenge'!H23</f>
        <v>0</v>
      </c>
      <c r="I23" s="49">
        <f>'Avg Week Buwenge-Jinja'!I23+'Avg Week Jinja-Buwenge'!I23</f>
        <v>4.4285714285714288</v>
      </c>
      <c r="J23" s="49">
        <f>'Avg Week Buwenge-Jinja'!J23+'Avg Week Jinja-Buwenge'!J23</f>
        <v>0.2857142857142857</v>
      </c>
      <c r="K23" s="49">
        <f>'Avg Week Buwenge-Jinja'!K23+'Avg Week Jinja-Buwenge'!K23</f>
        <v>0</v>
      </c>
      <c r="L23" s="49">
        <f>'Avg Week Buwenge-Jinja'!L23+'Avg Week Jinja-Buwenge'!L23</f>
        <v>0</v>
      </c>
      <c r="M23" s="49">
        <f>'Avg Week Buwenge-Jinja'!M23+'Avg Week Jinja-Buwenge'!M23</f>
        <v>83</v>
      </c>
      <c r="N23" s="49">
        <f>'Avg Week Buwenge-Jinja'!N23+'Avg Week Jinja-Buwenge'!N23</f>
        <v>0</v>
      </c>
      <c r="O23" s="15">
        <f t="shared" si="0"/>
        <v>46.428571428571431</v>
      </c>
      <c r="P23" s="15">
        <f t="shared" si="1"/>
        <v>129.42857142857144</v>
      </c>
      <c r="R23" s="1" t="s">
        <v>147</v>
      </c>
      <c r="S23" s="34">
        <f>SUM(C62:C65)</f>
        <v>56</v>
      </c>
      <c r="T23" s="34">
        <f t="shared" ref="T23:AF23" si="15">SUM(D62:D65)</f>
        <v>9</v>
      </c>
      <c r="U23" s="34">
        <f t="shared" si="15"/>
        <v>33</v>
      </c>
      <c r="V23" s="34">
        <f t="shared" si="15"/>
        <v>49</v>
      </c>
      <c r="W23" s="34">
        <f t="shared" si="15"/>
        <v>21</v>
      </c>
      <c r="X23" s="34">
        <f t="shared" si="15"/>
        <v>58</v>
      </c>
      <c r="Y23" s="34">
        <f t="shared" si="15"/>
        <v>14</v>
      </c>
      <c r="Z23" s="34">
        <f t="shared" si="15"/>
        <v>0.5</v>
      </c>
      <c r="AA23" s="34">
        <f t="shared" si="15"/>
        <v>0</v>
      </c>
      <c r="AB23" s="34">
        <f t="shared" si="15"/>
        <v>0</v>
      </c>
      <c r="AC23" s="34">
        <f t="shared" si="15"/>
        <v>167.5</v>
      </c>
      <c r="AD23" s="34">
        <f t="shared" si="15"/>
        <v>1.5</v>
      </c>
      <c r="AE23" s="31">
        <f t="shared" si="15"/>
        <v>242</v>
      </c>
      <c r="AF23" s="31">
        <f t="shared" si="15"/>
        <v>409.5</v>
      </c>
    </row>
    <row r="24" spans="2:32" ht="23.1" customHeight="1" x14ac:dyDescent="0.25">
      <c r="B24" s="23" t="s">
        <v>51</v>
      </c>
      <c r="C24" s="49">
        <f>'Avg Week Buwenge-Jinja'!C24+'Avg Week Jinja-Buwenge'!C24</f>
        <v>11</v>
      </c>
      <c r="D24" s="49">
        <f>'Avg Week Buwenge-Jinja'!D24+'Avg Week Jinja-Buwenge'!D24</f>
        <v>1.7142857142857144</v>
      </c>
      <c r="E24" s="49">
        <f>'Avg Week Buwenge-Jinja'!E24+'Avg Week Jinja-Buwenge'!E24</f>
        <v>6.8571428571428568</v>
      </c>
      <c r="F24" s="49">
        <f>'Avg Week Buwenge-Jinja'!F24+'Avg Week Jinja-Buwenge'!F24</f>
        <v>25.142857142857142</v>
      </c>
      <c r="G24" s="49">
        <f>'Avg Week Buwenge-Jinja'!G24+'Avg Week Jinja-Buwenge'!G24</f>
        <v>0.2857142857142857</v>
      </c>
      <c r="H24" s="49">
        <f>'Avg Week Buwenge-Jinja'!H24+'Avg Week Jinja-Buwenge'!H24</f>
        <v>0.14285714285714285</v>
      </c>
      <c r="I24" s="49">
        <f>'Avg Week Buwenge-Jinja'!I24+'Avg Week Jinja-Buwenge'!I24</f>
        <v>5.1428571428571432</v>
      </c>
      <c r="J24" s="49">
        <f>'Avg Week Buwenge-Jinja'!J24+'Avg Week Jinja-Buwenge'!J24</f>
        <v>0.2857142857142857</v>
      </c>
      <c r="K24" s="49">
        <f>'Avg Week Buwenge-Jinja'!K24+'Avg Week Jinja-Buwenge'!K24</f>
        <v>0.2857142857142857</v>
      </c>
      <c r="L24" s="49">
        <f>'Avg Week Buwenge-Jinja'!L24+'Avg Week Jinja-Buwenge'!L24</f>
        <v>0</v>
      </c>
      <c r="M24" s="49">
        <f>'Avg Week Buwenge-Jinja'!M24+'Avg Week Jinja-Buwenge'!M24</f>
        <v>77</v>
      </c>
      <c r="N24" s="49">
        <f>'Avg Week Buwenge-Jinja'!N24+'Avg Week Jinja-Buwenge'!N24</f>
        <v>0</v>
      </c>
      <c r="O24" s="15">
        <f t="shared" si="0"/>
        <v>50.857142857142861</v>
      </c>
      <c r="P24" s="15">
        <f t="shared" si="1"/>
        <v>127.85714285714286</v>
      </c>
      <c r="R24" s="1" t="s">
        <v>148</v>
      </c>
      <c r="S24" s="34">
        <f>SUM(C66:C69)</f>
        <v>40</v>
      </c>
      <c r="T24" s="34">
        <f t="shared" ref="T24:AF24" si="16">SUM(D66:D69)</f>
        <v>5.5</v>
      </c>
      <c r="U24" s="34">
        <f t="shared" si="16"/>
        <v>27.5</v>
      </c>
      <c r="V24" s="34">
        <f t="shared" si="16"/>
        <v>33.5</v>
      </c>
      <c r="W24" s="34">
        <f t="shared" si="16"/>
        <v>11</v>
      </c>
      <c r="X24" s="34">
        <f t="shared" si="16"/>
        <v>37</v>
      </c>
      <c r="Y24" s="34">
        <f t="shared" si="16"/>
        <v>10.5</v>
      </c>
      <c r="Z24" s="34">
        <f t="shared" si="16"/>
        <v>1</v>
      </c>
      <c r="AA24" s="34">
        <f t="shared" si="16"/>
        <v>0.5</v>
      </c>
      <c r="AB24" s="34">
        <f t="shared" si="16"/>
        <v>0</v>
      </c>
      <c r="AC24" s="34">
        <f t="shared" si="16"/>
        <v>140.5</v>
      </c>
      <c r="AD24" s="34">
        <f t="shared" si="16"/>
        <v>2</v>
      </c>
      <c r="AE24" s="31">
        <f t="shared" si="16"/>
        <v>168.5</v>
      </c>
      <c r="AF24" s="31">
        <f t="shared" si="16"/>
        <v>309</v>
      </c>
    </row>
    <row r="25" spans="2:32" ht="23.1" customHeight="1" x14ac:dyDescent="0.25">
      <c r="B25" s="23" t="s">
        <v>52</v>
      </c>
      <c r="C25" s="49">
        <f>'Avg Week Buwenge-Jinja'!C25+'Avg Week Jinja-Buwenge'!C25</f>
        <v>12</v>
      </c>
      <c r="D25" s="49">
        <f>'Avg Week Buwenge-Jinja'!D25+'Avg Week Jinja-Buwenge'!D25</f>
        <v>2.1428571428571428</v>
      </c>
      <c r="E25" s="49">
        <f>'Avg Week Buwenge-Jinja'!E25+'Avg Week Jinja-Buwenge'!E25</f>
        <v>8.5714285714285712</v>
      </c>
      <c r="F25" s="49">
        <f>'Avg Week Buwenge-Jinja'!F25+'Avg Week Jinja-Buwenge'!F25</f>
        <v>21.428571428571431</v>
      </c>
      <c r="G25" s="49">
        <f>'Avg Week Buwenge-Jinja'!G25+'Avg Week Jinja-Buwenge'!G25</f>
        <v>1.2857142857142856</v>
      </c>
      <c r="H25" s="49">
        <f>'Avg Week Buwenge-Jinja'!H25+'Avg Week Jinja-Buwenge'!H25</f>
        <v>0.14285714285714285</v>
      </c>
      <c r="I25" s="49">
        <f>'Avg Week Buwenge-Jinja'!I25+'Avg Week Jinja-Buwenge'!I25</f>
        <v>4.8571428571428577</v>
      </c>
      <c r="J25" s="49">
        <f>'Avg Week Buwenge-Jinja'!J25+'Avg Week Jinja-Buwenge'!J25</f>
        <v>0.42857142857142855</v>
      </c>
      <c r="K25" s="49">
        <f>'Avg Week Buwenge-Jinja'!K25+'Avg Week Jinja-Buwenge'!K25</f>
        <v>0</v>
      </c>
      <c r="L25" s="49">
        <f>'Avg Week Buwenge-Jinja'!L25+'Avg Week Jinja-Buwenge'!L25</f>
        <v>0</v>
      </c>
      <c r="M25" s="49">
        <f>'Avg Week Buwenge-Jinja'!M25+'Avg Week Jinja-Buwenge'!M25</f>
        <v>84.857142857142861</v>
      </c>
      <c r="N25" s="49">
        <f>'Avg Week Buwenge-Jinja'!N25+'Avg Week Jinja-Buwenge'!N25</f>
        <v>0.2857142857142857</v>
      </c>
      <c r="O25" s="15">
        <f t="shared" si="0"/>
        <v>51.142857142857146</v>
      </c>
      <c r="P25" s="15">
        <f t="shared" si="1"/>
        <v>136</v>
      </c>
      <c r="R25" s="1" t="s">
        <v>149</v>
      </c>
      <c r="S25" s="34">
        <f>SUM(C70:C73)</f>
        <v>31</v>
      </c>
      <c r="T25" s="34">
        <f t="shared" ref="T25:AF25" si="17">SUM(D70:D73)</f>
        <v>2</v>
      </c>
      <c r="U25" s="34">
        <f t="shared" si="17"/>
        <v>15.5</v>
      </c>
      <c r="V25" s="34">
        <f t="shared" si="17"/>
        <v>15</v>
      </c>
      <c r="W25" s="34">
        <f t="shared" si="17"/>
        <v>3.5</v>
      </c>
      <c r="X25" s="34">
        <f t="shared" si="17"/>
        <v>12</v>
      </c>
      <c r="Y25" s="34">
        <f t="shared" si="17"/>
        <v>11.5</v>
      </c>
      <c r="Z25" s="34">
        <f t="shared" si="17"/>
        <v>1.5</v>
      </c>
      <c r="AA25" s="34">
        <f t="shared" si="17"/>
        <v>0</v>
      </c>
      <c r="AB25" s="34">
        <f t="shared" si="17"/>
        <v>0</v>
      </c>
      <c r="AC25" s="34">
        <f t="shared" si="17"/>
        <v>86.5</v>
      </c>
      <c r="AD25" s="34">
        <f t="shared" si="17"/>
        <v>0</v>
      </c>
      <c r="AE25" s="31">
        <f t="shared" si="17"/>
        <v>92</v>
      </c>
      <c r="AF25" s="31">
        <f t="shared" si="17"/>
        <v>178.5</v>
      </c>
    </row>
    <row r="26" spans="2:32" ht="23.1" customHeight="1" x14ac:dyDescent="0.25">
      <c r="B26" s="23" t="s">
        <v>53</v>
      </c>
      <c r="C26" s="49">
        <f>'Avg Week Buwenge-Jinja'!C26+'Avg Week Jinja-Buwenge'!C26</f>
        <v>14.714285714285714</v>
      </c>
      <c r="D26" s="49">
        <f>'Avg Week Buwenge-Jinja'!D26+'Avg Week Jinja-Buwenge'!D26</f>
        <v>2</v>
      </c>
      <c r="E26" s="49">
        <f>'Avg Week Buwenge-Jinja'!E26+'Avg Week Jinja-Buwenge'!E26</f>
        <v>7.8571428571428577</v>
      </c>
      <c r="F26" s="49">
        <f>'Avg Week Buwenge-Jinja'!F26+'Avg Week Jinja-Buwenge'!F26</f>
        <v>24.428571428571431</v>
      </c>
      <c r="G26" s="49">
        <f>'Avg Week Buwenge-Jinja'!G26+'Avg Week Jinja-Buwenge'!G26</f>
        <v>0.5714285714285714</v>
      </c>
      <c r="H26" s="49">
        <f>'Avg Week Buwenge-Jinja'!H26+'Avg Week Jinja-Buwenge'!H26</f>
        <v>0</v>
      </c>
      <c r="I26" s="49">
        <f>'Avg Week Buwenge-Jinja'!I26+'Avg Week Jinja-Buwenge'!I26</f>
        <v>4.4285714285714288</v>
      </c>
      <c r="J26" s="49">
        <f>'Avg Week Buwenge-Jinja'!J26+'Avg Week Jinja-Buwenge'!J26</f>
        <v>0.5714285714285714</v>
      </c>
      <c r="K26" s="49">
        <f>'Avg Week Buwenge-Jinja'!K26+'Avg Week Jinja-Buwenge'!K26</f>
        <v>0.14285714285714285</v>
      </c>
      <c r="L26" s="49">
        <f>'Avg Week Buwenge-Jinja'!L26+'Avg Week Jinja-Buwenge'!L26</f>
        <v>0</v>
      </c>
      <c r="M26" s="49">
        <f>'Avg Week Buwenge-Jinja'!M26+'Avg Week Jinja-Buwenge'!M26</f>
        <v>79.857142857142861</v>
      </c>
      <c r="N26" s="49">
        <f>'Avg Week Buwenge-Jinja'!N26+'Avg Week Jinja-Buwenge'!N26</f>
        <v>0.14285714285714285</v>
      </c>
      <c r="O26" s="15">
        <f t="shared" si="0"/>
        <v>54.857142857142861</v>
      </c>
      <c r="P26" s="15">
        <f t="shared" si="1"/>
        <v>134.71428571428572</v>
      </c>
      <c r="R26" s="1" t="s">
        <v>150</v>
      </c>
      <c r="S26" s="34">
        <f>SUM(C74:C77)</f>
        <v>13</v>
      </c>
      <c r="T26" s="34">
        <f t="shared" ref="T26:AF26" si="18">SUM(D74:D77)</f>
        <v>1</v>
      </c>
      <c r="U26" s="34">
        <f t="shared" si="18"/>
        <v>13</v>
      </c>
      <c r="V26" s="34">
        <f t="shared" si="18"/>
        <v>13.5</v>
      </c>
      <c r="W26" s="34">
        <f t="shared" si="18"/>
        <v>2</v>
      </c>
      <c r="X26" s="34">
        <f t="shared" si="18"/>
        <v>14</v>
      </c>
      <c r="Y26" s="34">
        <f t="shared" si="18"/>
        <v>4.5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61.5</v>
      </c>
      <c r="AD26" s="34">
        <f t="shared" si="18"/>
        <v>0.5</v>
      </c>
      <c r="AE26" s="31">
        <f t="shared" si="18"/>
        <v>61.5</v>
      </c>
      <c r="AF26" s="31">
        <f t="shared" si="18"/>
        <v>123</v>
      </c>
    </row>
    <row r="27" spans="2:32" ht="23.1" customHeight="1" x14ac:dyDescent="0.25">
      <c r="B27" s="23" t="s">
        <v>54</v>
      </c>
      <c r="C27" s="49">
        <f>'Avg Week Buwenge-Jinja'!C27+'Avg Week Jinja-Buwenge'!C27</f>
        <v>14.714285714285715</v>
      </c>
      <c r="D27" s="49">
        <f>'Avg Week Buwenge-Jinja'!D27+'Avg Week Jinja-Buwenge'!D27</f>
        <v>2.1428571428571428</v>
      </c>
      <c r="E27" s="49">
        <f>'Avg Week Buwenge-Jinja'!E27+'Avg Week Jinja-Buwenge'!E27</f>
        <v>7.5714285714285712</v>
      </c>
      <c r="F27" s="49">
        <f>'Avg Week Buwenge-Jinja'!F27+'Avg Week Jinja-Buwenge'!F27</f>
        <v>21.857142857142858</v>
      </c>
      <c r="G27" s="49">
        <f>'Avg Week Buwenge-Jinja'!G27+'Avg Week Jinja-Buwenge'!G27</f>
        <v>1.1428571428571428</v>
      </c>
      <c r="H27" s="49">
        <f>'Avg Week Buwenge-Jinja'!H27+'Avg Week Jinja-Buwenge'!H27</f>
        <v>0</v>
      </c>
      <c r="I27" s="49">
        <f>'Avg Week Buwenge-Jinja'!I27+'Avg Week Jinja-Buwenge'!I27</f>
        <v>6.4285714285714288</v>
      </c>
      <c r="J27" s="49">
        <f>'Avg Week Buwenge-Jinja'!J27+'Avg Week Jinja-Buwenge'!J27</f>
        <v>1</v>
      </c>
      <c r="K27" s="49">
        <f>'Avg Week Buwenge-Jinja'!K27+'Avg Week Jinja-Buwenge'!K27</f>
        <v>0.14285714285714285</v>
      </c>
      <c r="L27" s="49">
        <f>'Avg Week Buwenge-Jinja'!L27+'Avg Week Jinja-Buwenge'!L27</f>
        <v>0</v>
      </c>
      <c r="M27" s="49">
        <f>'Avg Week Buwenge-Jinja'!M27+'Avg Week Jinja-Buwenge'!M27</f>
        <v>84.714285714285722</v>
      </c>
      <c r="N27" s="49">
        <f>'Avg Week Buwenge-Jinja'!N27+'Avg Week Jinja-Buwenge'!N27</f>
        <v>0</v>
      </c>
      <c r="O27" s="15">
        <f t="shared" si="0"/>
        <v>55.000000000000014</v>
      </c>
      <c r="P27" s="15">
        <f t="shared" si="1"/>
        <v>139.71428571428572</v>
      </c>
      <c r="R27" s="1" t="s">
        <v>151</v>
      </c>
      <c r="S27" s="34">
        <f>SUM(C78:C81)</f>
        <v>11</v>
      </c>
      <c r="T27" s="34">
        <f t="shared" ref="T27:AF27" si="19">SUM(D78:D81)</f>
        <v>0</v>
      </c>
      <c r="U27" s="34">
        <f t="shared" si="19"/>
        <v>9</v>
      </c>
      <c r="V27" s="34">
        <f t="shared" si="19"/>
        <v>4</v>
      </c>
      <c r="W27" s="34">
        <f t="shared" si="19"/>
        <v>0.5</v>
      </c>
      <c r="X27" s="34">
        <f t="shared" si="19"/>
        <v>8</v>
      </c>
      <c r="Y27" s="34">
        <f t="shared" si="19"/>
        <v>4.5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28</v>
      </c>
      <c r="AD27" s="34">
        <f t="shared" si="19"/>
        <v>0</v>
      </c>
      <c r="AE27" s="31">
        <f t="shared" si="19"/>
        <v>37</v>
      </c>
      <c r="AF27" s="31">
        <f t="shared" si="19"/>
        <v>65</v>
      </c>
    </row>
    <row r="28" spans="2:32" ht="23.1" customHeight="1" x14ac:dyDescent="0.25">
      <c r="B28" s="23" t="s">
        <v>55</v>
      </c>
      <c r="C28" s="49">
        <f>'Avg Week Buwenge-Jinja'!C28+'Avg Week Jinja-Buwenge'!C28</f>
        <v>12.428571428571427</v>
      </c>
      <c r="D28" s="49">
        <f>'Avg Week Buwenge-Jinja'!D28+'Avg Week Jinja-Buwenge'!D28</f>
        <v>1.7142857142857142</v>
      </c>
      <c r="E28" s="49">
        <f>'Avg Week Buwenge-Jinja'!E28+'Avg Week Jinja-Buwenge'!E28</f>
        <v>5.5714285714285712</v>
      </c>
      <c r="F28" s="49">
        <f>'Avg Week Buwenge-Jinja'!F28+'Avg Week Jinja-Buwenge'!F28</f>
        <v>20.142857142857142</v>
      </c>
      <c r="G28" s="49">
        <f>'Avg Week Buwenge-Jinja'!G28+'Avg Week Jinja-Buwenge'!G28</f>
        <v>1</v>
      </c>
      <c r="H28" s="49">
        <f>'Avg Week Buwenge-Jinja'!H28+'Avg Week Jinja-Buwenge'!H28</f>
        <v>0.2857142857142857</v>
      </c>
      <c r="I28" s="49">
        <f>'Avg Week Buwenge-Jinja'!I28+'Avg Week Jinja-Buwenge'!I28</f>
        <v>6.1428571428571432</v>
      </c>
      <c r="J28" s="49">
        <f>'Avg Week Buwenge-Jinja'!J28+'Avg Week Jinja-Buwenge'!J28</f>
        <v>0.71428571428571419</v>
      </c>
      <c r="K28" s="49">
        <f>'Avg Week Buwenge-Jinja'!K28+'Avg Week Jinja-Buwenge'!K28</f>
        <v>0.42857142857142855</v>
      </c>
      <c r="L28" s="49">
        <f>'Avg Week Buwenge-Jinja'!L28+'Avg Week Jinja-Buwenge'!L28</f>
        <v>0</v>
      </c>
      <c r="M28" s="49">
        <f>'Avg Week Buwenge-Jinja'!M28+'Avg Week Jinja-Buwenge'!M28</f>
        <v>79.571428571428569</v>
      </c>
      <c r="N28" s="49">
        <f>'Avg Week Buwenge-Jinja'!N28+'Avg Week Jinja-Buwenge'!N28</f>
        <v>0</v>
      </c>
      <c r="O28" s="15">
        <f t="shared" si="0"/>
        <v>48.428571428571431</v>
      </c>
      <c r="P28" s="15">
        <f t="shared" si="1"/>
        <v>128</v>
      </c>
      <c r="R28" s="1" t="s">
        <v>152</v>
      </c>
      <c r="S28" s="34">
        <f>SUM(C82:C85)</f>
        <v>8.5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2.5</v>
      </c>
      <c r="W28" s="34">
        <f t="shared" si="20"/>
        <v>0</v>
      </c>
      <c r="X28" s="34">
        <f t="shared" si="20"/>
        <v>1</v>
      </c>
      <c r="Y28" s="34">
        <f t="shared" si="20"/>
        <v>4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18.5</v>
      </c>
      <c r="AD28" s="34">
        <f t="shared" si="20"/>
        <v>0</v>
      </c>
      <c r="AE28" s="31">
        <f t="shared" si="20"/>
        <v>19.5</v>
      </c>
      <c r="AF28" s="31">
        <f t="shared" si="20"/>
        <v>38</v>
      </c>
    </row>
    <row r="29" spans="2:32" ht="23.1" customHeight="1" x14ac:dyDescent="0.25">
      <c r="B29" s="23" t="s">
        <v>56</v>
      </c>
      <c r="C29" s="49">
        <f>'Avg Week Buwenge-Jinja'!C29+'Avg Week Jinja-Buwenge'!C29</f>
        <v>13</v>
      </c>
      <c r="D29" s="49">
        <f>'Avg Week Buwenge-Jinja'!D29+'Avg Week Jinja-Buwenge'!D29</f>
        <v>2.4285714285714284</v>
      </c>
      <c r="E29" s="49">
        <f>'Avg Week Buwenge-Jinja'!E29+'Avg Week Jinja-Buwenge'!E29</f>
        <v>9</v>
      </c>
      <c r="F29" s="49">
        <f>'Avg Week Buwenge-Jinja'!F29+'Avg Week Jinja-Buwenge'!F29</f>
        <v>19.857142857142858</v>
      </c>
      <c r="G29" s="49">
        <f>'Avg Week Buwenge-Jinja'!G29+'Avg Week Jinja-Buwenge'!G29</f>
        <v>0.7142857142857143</v>
      </c>
      <c r="H29" s="49">
        <f>'Avg Week Buwenge-Jinja'!H29+'Avg Week Jinja-Buwenge'!H29</f>
        <v>0.42857142857142855</v>
      </c>
      <c r="I29" s="49">
        <f>'Avg Week Buwenge-Jinja'!I29+'Avg Week Jinja-Buwenge'!I29</f>
        <v>5.8571428571428577</v>
      </c>
      <c r="J29" s="49">
        <f>'Avg Week Buwenge-Jinja'!J29+'Avg Week Jinja-Buwenge'!J29</f>
        <v>0.42857142857142855</v>
      </c>
      <c r="K29" s="49">
        <f>'Avg Week Buwenge-Jinja'!K29+'Avg Week Jinja-Buwenge'!K29</f>
        <v>0</v>
      </c>
      <c r="L29" s="49">
        <f>'Avg Week Buwenge-Jinja'!L29+'Avg Week Jinja-Buwenge'!L29</f>
        <v>0</v>
      </c>
      <c r="M29" s="49">
        <f>'Avg Week Buwenge-Jinja'!M29+'Avg Week Jinja-Buwenge'!M29</f>
        <v>78.142857142857139</v>
      </c>
      <c r="N29" s="49">
        <f>'Avg Week Buwenge-Jinja'!N29+'Avg Week Jinja-Buwenge'!N29</f>
        <v>0.14285714285714285</v>
      </c>
      <c r="O29" s="15">
        <f t="shared" si="0"/>
        <v>51.857142857142868</v>
      </c>
      <c r="P29" s="15">
        <f t="shared" si="1"/>
        <v>130</v>
      </c>
      <c r="R29" s="1" t="s">
        <v>153</v>
      </c>
      <c r="S29" s="34">
        <f>SUM(C86:C89)</f>
        <v>1.5</v>
      </c>
      <c r="T29" s="34">
        <f t="shared" ref="T29:AF29" si="21">SUM(D86:D89)</f>
        <v>0</v>
      </c>
      <c r="U29" s="34">
        <f t="shared" si="21"/>
        <v>1.5</v>
      </c>
      <c r="V29" s="34">
        <f t="shared" si="21"/>
        <v>1</v>
      </c>
      <c r="W29" s="34">
        <f t="shared" si="21"/>
        <v>0</v>
      </c>
      <c r="X29" s="34">
        <f t="shared" si="21"/>
        <v>1.5</v>
      </c>
      <c r="Y29" s="34">
        <f t="shared" si="21"/>
        <v>4.5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3.5</v>
      </c>
      <c r="AD29" s="34">
        <f t="shared" si="21"/>
        <v>0</v>
      </c>
      <c r="AE29" s="31">
        <f t="shared" si="21"/>
        <v>11</v>
      </c>
      <c r="AF29" s="31">
        <f t="shared" si="21"/>
        <v>14.5</v>
      </c>
    </row>
    <row r="30" spans="2:32" ht="23.1" customHeight="1" x14ac:dyDescent="0.25">
      <c r="B30" s="23" t="s">
        <v>57</v>
      </c>
      <c r="C30" s="49">
        <f>'Avg Week Buwenge-Jinja'!C30+'Avg Week Jinja-Buwenge'!C30</f>
        <v>14.857142857142858</v>
      </c>
      <c r="D30" s="49">
        <f>'Avg Week Buwenge-Jinja'!D30+'Avg Week Jinja-Buwenge'!D30</f>
        <v>3</v>
      </c>
      <c r="E30" s="49">
        <f>'Avg Week Buwenge-Jinja'!E30+'Avg Week Jinja-Buwenge'!E30</f>
        <v>9.1428571428571423</v>
      </c>
      <c r="F30" s="49">
        <f>'Avg Week Buwenge-Jinja'!F30+'Avg Week Jinja-Buwenge'!F30</f>
        <v>23.714285714285715</v>
      </c>
      <c r="G30" s="49">
        <f>'Avg Week Buwenge-Jinja'!G30+'Avg Week Jinja-Buwenge'!G30</f>
        <v>0.71428571428571419</v>
      </c>
      <c r="H30" s="49">
        <f>'Avg Week Buwenge-Jinja'!H30+'Avg Week Jinja-Buwenge'!H30</f>
        <v>0</v>
      </c>
      <c r="I30" s="49">
        <f>'Avg Week Buwenge-Jinja'!I30+'Avg Week Jinja-Buwenge'!I30</f>
        <v>5</v>
      </c>
      <c r="J30" s="49">
        <f>'Avg Week Buwenge-Jinja'!J30+'Avg Week Jinja-Buwenge'!J30</f>
        <v>0.71428571428571419</v>
      </c>
      <c r="K30" s="49">
        <f>'Avg Week Buwenge-Jinja'!K30+'Avg Week Jinja-Buwenge'!K30</f>
        <v>0</v>
      </c>
      <c r="L30" s="49">
        <f>'Avg Week Buwenge-Jinja'!L30+'Avg Week Jinja-Buwenge'!L30</f>
        <v>0</v>
      </c>
      <c r="M30" s="49">
        <f>'Avg Week Buwenge-Jinja'!M30+'Avg Week Jinja-Buwenge'!M30</f>
        <v>81.285714285714278</v>
      </c>
      <c r="N30" s="49">
        <f>'Avg Week Buwenge-Jinja'!N30+'Avg Week Jinja-Buwenge'!N30</f>
        <v>0</v>
      </c>
      <c r="O30" s="15">
        <f t="shared" si="0"/>
        <v>57.142857142857146</v>
      </c>
      <c r="P30" s="15">
        <f t="shared" si="1"/>
        <v>138.42857142857142</v>
      </c>
      <c r="R30" s="1" t="s">
        <v>154</v>
      </c>
      <c r="S30" s="34">
        <f>SUM(C90:C93)</f>
        <v>3.5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2</v>
      </c>
      <c r="W30" s="34">
        <f t="shared" si="22"/>
        <v>0.5</v>
      </c>
      <c r="X30" s="34">
        <f t="shared" si="22"/>
        <v>1</v>
      </c>
      <c r="Y30" s="34">
        <f t="shared" si="22"/>
        <v>3.5</v>
      </c>
      <c r="Z30" s="34">
        <f t="shared" si="22"/>
        <v>2</v>
      </c>
      <c r="AA30" s="34">
        <f t="shared" si="22"/>
        <v>0.5</v>
      </c>
      <c r="AB30" s="34">
        <f t="shared" si="22"/>
        <v>0</v>
      </c>
      <c r="AC30" s="34">
        <f t="shared" si="22"/>
        <v>3.5</v>
      </c>
      <c r="AD30" s="34">
        <f t="shared" si="22"/>
        <v>0</v>
      </c>
      <c r="AE30" s="31">
        <f t="shared" si="22"/>
        <v>14</v>
      </c>
      <c r="AF30" s="31">
        <f t="shared" si="22"/>
        <v>17.5</v>
      </c>
    </row>
    <row r="31" spans="2:32" ht="23.1" customHeight="1" x14ac:dyDescent="0.25">
      <c r="B31" s="24" t="s">
        <v>58</v>
      </c>
      <c r="C31" s="49">
        <f>'Avg Week Buwenge-Jinja'!C31+'Avg Week Jinja-Buwenge'!C31</f>
        <v>14.142857142857142</v>
      </c>
      <c r="D31" s="49">
        <f>'Avg Week Buwenge-Jinja'!D31+'Avg Week Jinja-Buwenge'!D31</f>
        <v>2.7142857142857144</v>
      </c>
      <c r="E31" s="49">
        <f>'Avg Week Buwenge-Jinja'!E31+'Avg Week Jinja-Buwenge'!E31</f>
        <v>8.5714285714285712</v>
      </c>
      <c r="F31" s="49">
        <f>'Avg Week Buwenge-Jinja'!F31+'Avg Week Jinja-Buwenge'!F31</f>
        <v>27</v>
      </c>
      <c r="G31" s="49">
        <f>'Avg Week Buwenge-Jinja'!G31+'Avg Week Jinja-Buwenge'!G31</f>
        <v>2.7142857142857144</v>
      </c>
      <c r="H31" s="49">
        <f>'Avg Week Buwenge-Jinja'!H31+'Avg Week Jinja-Buwenge'!H31</f>
        <v>0</v>
      </c>
      <c r="I31" s="49">
        <f>'Avg Week Buwenge-Jinja'!I31+'Avg Week Jinja-Buwenge'!I31</f>
        <v>7.1428571428571423</v>
      </c>
      <c r="J31" s="49">
        <f>'Avg Week Buwenge-Jinja'!J31+'Avg Week Jinja-Buwenge'!J31</f>
        <v>0.14285714285714285</v>
      </c>
      <c r="K31" s="49">
        <f>'Avg Week Buwenge-Jinja'!K31+'Avg Week Jinja-Buwenge'!K31</f>
        <v>0</v>
      </c>
      <c r="L31" s="49">
        <f>'Avg Week Buwenge-Jinja'!L31+'Avg Week Jinja-Buwenge'!L31</f>
        <v>0</v>
      </c>
      <c r="M31" s="49">
        <f>'Avg Week Buwenge-Jinja'!M31+'Avg Week Jinja-Buwenge'!M31</f>
        <v>90</v>
      </c>
      <c r="N31" s="49">
        <f>'Avg Week Buwenge-Jinja'!N31+'Avg Week Jinja-Buwenge'!N31</f>
        <v>0</v>
      </c>
      <c r="O31" s="15">
        <f t="shared" si="0"/>
        <v>62.428571428571438</v>
      </c>
      <c r="P31" s="15">
        <f t="shared" si="1"/>
        <v>152.42857142857144</v>
      </c>
      <c r="R31" s="1" t="s">
        <v>155</v>
      </c>
      <c r="S31" s="34">
        <f>SUM(C94:C97)</f>
        <v>6</v>
      </c>
      <c r="T31" s="34">
        <f t="shared" ref="T31:AF31" si="23">SUM(D94:D97)</f>
        <v>0.5</v>
      </c>
      <c r="U31" s="34">
        <f t="shared" si="23"/>
        <v>5</v>
      </c>
      <c r="V31" s="34">
        <f t="shared" si="23"/>
        <v>5</v>
      </c>
      <c r="W31" s="34">
        <f t="shared" si="23"/>
        <v>0</v>
      </c>
      <c r="X31" s="34">
        <f t="shared" si="23"/>
        <v>4</v>
      </c>
      <c r="Y31" s="34">
        <f t="shared" si="23"/>
        <v>3.5</v>
      </c>
      <c r="Z31" s="34">
        <f t="shared" si="23"/>
        <v>2</v>
      </c>
      <c r="AA31" s="34">
        <f t="shared" si="23"/>
        <v>0.5</v>
      </c>
      <c r="AB31" s="34">
        <f t="shared" si="23"/>
        <v>0</v>
      </c>
      <c r="AC31" s="34">
        <f t="shared" si="23"/>
        <v>12</v>
      </c>
      <c r="AD31" s="34">
        <f t="shared" si="23"/>
        <v>0</v>
      </c>
      <c r="AE31" s="31">
        <f t="shared" si="23"/>
        <v>26.5</v>
      </c>
      <c r="AF31" s="31">
        <f t="shared" si="23"/>
        <v>38.5</v>
      </c>
    </row>
    <row r="32" spans="2:32" ht="23.1" customHeight="1" x14ac:dyDescent="0.25">
      <c r="B32" s="24" t="s">
        <v>59</v>
      </c>
      <c r="C32" s="49">
        <f>'Avg Week Buwenge-Jinja'!C32+'Avg Week Jinja-Buwenge'!C32</f>
        <v>12.571428571428571</v>
      </c>
      <c r="D32" s="49">
        <f>'Avg Week Buwenge-Jinja'!D32+'Avg Week Jinja-Buwenge'!D32</f>
        <v>2.4285714285714288</v>
      </c>
      <c r="E32" s="49">
        <f>'Avg Week Buwenge-Jinja'!E32+'Avg Week Jinja-Buwenge'!E32</f>
        <v>8.1428571428571423</v>
      </c>
      <c r="F32" s="49">
        <f>'Avg Week Buwenge-Jinja'!F32+'Avg Week Jinja-Buwenge'!F32</f>
        <v>21</v>
      </c>
      <c r="G32" s="49">
        <f>'Avg Week Buwenge-Jinja'!G32+'Avg Week Jinja-Buwenge'!G32</f>
        <v>1.7142857142857144</v>
      </c>
      <c r="H32" s="49">
        <f>'Avg Week Buwenge-Jinja'!H32+'Avg Week Jinja-Buwenge'!H32</f>
        <v>0.14285714285714285</v>
      </c>
      <c r="I32" s="49">
        <f>'Avg Week Buwenge-Jinja'!I32+'Avg Week Jinja-Buwenge'!I32</f>
        <v>5.8571428571428577</v>
      </c>
      <c r="J32" s="49">
        <f>'Avg Week Buwenge-Jinja'!J32+'Avg Week Jinja-Buwenge'!J32</f>
        <v>0.5714285714285714</v>
      </c>
      <c r="K32" s="49">
        <f>'Avg Week Buwenge-Jinja'!K32+'Avg Week Jinja-Buwenge'!K32</f>
        <v>0</v>
      </c>
      <c r="L32" s="49">
        <f>'Avg Week Buwenge-Jinja'!L32+'Avg Week Jinja-Buwenge'!L32</f>
        <v>0</v>
      </c>
      <c r="M32" s="49">
        <f>'Avg Week Buwenge-Jinja'!M32+'Avg Week Jinja-Buwenge'!M32</f>
        <v>76</v>
      </c>
      <c r="N32" s="49">
        <f>'Avg Week Buwenge-Jinja'!N32+'Avg Week Jinja-Buwenge'!N32</f>
        <v>0.2857142857142857</v>
      </c>
      <c r="O32" s="15">
        <f t="shared" si="0"/>
        <v>52.714285714285715</v>
      </c>
      <c r="P32" s="15">
        <f t="shared" si="1"/>
        <v>128.71428571428572</v>
      </c>
      <c r="R32" s="1" t="s">
        <v>156</v>
      </c>
      <c r="S32" s="34">
        <f>SUM(C98:C101)</f>
        <v>3.5</v>
      </c>
      <c r="T32" s="34">
        <f t="shared" ref="T32:AF32" si="24">SUM(D98:D101)</f>
        <v>0.5</v>
      </c>
      <c r="U32" s="34">
        <f t="shared" si="24"/>
        <v>9.5</v>
      </c>
      <c r="V32" s="34">
        <f t="shared" si="24"/>
        <v>8.5</v>
      </c>
      <c r="W32" s="34">
        <f t="shared" si="24"/>
        <v>5.5</v>
      </c>
      <c r="X32" s="34">
        <f t="shared" si="24"/>
        <v>7</v>
      </c>
      <c r="Y32" s="34">
        <f t="shared" si="24"/>
        <v>7.5</v>
      </c>
      <c r="Z32" s="34">
        <f t="shared" si="24"/>
        <v>1.5</v>
      </c>
      <c r="AA32" s="34">
        <f t="shared" si="24"/>
        <v>0</v>
      </c>
      <c r="AB32" s="34">
        <f t="shared" si="24"/>
        <v>0</v>
      </c>
      <c r="AC32" s="34">
        <f t="shared" si="24"/>
        <v>27</v>
      </c>
      <c r="AD32" s="34">
        <f t="shared" si="24"/>
        <v>0.5</v>
      </c>
      <c r="AE32" s="31">
        <f t="shared" si="24"/>
        <v>44</v>
      </c>
      <c r="AF32" s="31">
        <f t="shared" si="24"/>
        <v>71</v>
      </c>
    </row>
    <row r="33" spans="2:32" ht="23.1" customHeight="1" x14ac:dyDescent="0.25">
      <c r="B33" s="23" t="s">
        <v>60</v>
      </c>
      <c r="C33" s="49">
        <f>'Avg Week Buwenge-Jinja'!C33+'Avg Week Jinja-Buwenge'!C33</f>
        <v>13.142857142857142</v>
      </c>
      <c r="D33" s="49">
        <f>'Avg Week Buwenge-Jinja'!D33+'Avg Week Jinja-Buwenge'!D33</f>
        <v>1.5714285714285714</v>
      </c>
      <c r="E33" s="49">
        <f>'Avg Week Buwenge-Jinja'!E33+'Avg Week Jinja-Buwenge'!E33</f>
        <v>7</v>
      </c>
      <c r="F33" s="49">
        <f>'Avg Week Buwenge-Jinja'!F33+'Avg Week Jinja-Buwenge'!F33</f>
        <v>18.714285714285715</v>
      </c>
      <c r="G33" s="49">
        <f>'Avg Week Buwenge-Jinja'!G33+'Avg Week Jinja-Buwenge'!G33</f>
        <v>1.1428571428571428</v>
      </c>
      <c r="H33" s="49">
        <f>'Avg Week Buwenge-Jinja'!H33+'Avg Week Jinja-Buwenge'!H33</f>
        <v>0</v>
      </c>
      <c r="I33" s="49">
        <f>'Avg Week Buwenge-Jinja'!I33+'Avg Week Jinja-Buwenge'!I33</f>
        <v>5.2857142857142856</v>
      </c>
      <c r="J33" s="49">
        <f>'Avg Week Buwenge-Jinja'!J33+'Avg Week Jinja-Buwenge'!J33</f>
        <v>0.2857142857142857</v>
      </c>
      <c r="K33" s="49">
        <f>'Avg Week Buwenge-Jinja'!K33+'Avg Week Jinja-Buwenge'!K33</f>
        <v>0</v>
      </c>
      <c r="L33" s="49">
        <f>'Avg Week Buwenge-Jinja'!L33+'Avg Week Jinja-Buwenge'!L33</f>
        <v>0</v>
      </c>
      <c r="M33" s="49">
        <f>'Avg Week Buwenge-Jinja'!M33+'Avg Week Jinja-Buwenge'!M33</f>
        <v>78.285714285714278</v>
      </c>
      <c r="N33" s="49">
        <f>'Avg Week Buwenge-Jinja'!N33+'Avg Week Jinja-Buwenge'!N33</f>
        <v>0</v>
      </c>
      <c r="O33" s="15">
        <f t="shared" si="0"/>
        <v>47.142857142857146</v>
      </c>
      <c r="P33" s="15">
        <f t="shared" si="1"/>
        <v>125.42857142857142</v>
      </c>
      <c r="R33" s="1" t="s">
        <v>157</v>
      </c>
      <c r="S33" s="34">
        <f>SUM(C102:C105)</f>
        <v>5.5</v>
      </c>
      <c r="T33" s="34">
        <f t="shared" ref="T33:AF33" si="25">SUM(D102:D105)</f>
        <v>0.5</v>
      </c>
      <c r="U33" s="34">
        <f t="shared" si="25"/>
        <v>10.5</v>
      </c>
      <c r="V33" s="34">
        <f t="shared" si="25"/>
        <v>27</v>
      </c>
      <c r="W33" s="34">
        <f t="shared" si="25"/>
        <v>14</v>
      </c>
      <c r="X33" s="34">
        <f t="shared" si="25"/>
        <v>21</v>
      </c>
      <c r="Y33" s="34">
        <f t="shared" si="25"/>
        <v>8</v>
      </c>
      <c r="Z33" s="34">
        <f t="shared" si="25"/>
        <v>2</v>
      </c>
      <c r="AA33" s="34">
        <f t="shared" si="25"/>
        <v>0</v>
      </c>
      <c r="AB33" s="34">
        <f t="shared" si="25"/>
        <v>0</v>
      </c>
      <c r="AC33" s="34">
        <f t="shared" si="25"/>
        <v>71</v>
      </c>
      <c r="AD33" s="34">
        <f t="shared" si="25"/>
        <v>2</v>
      </c>
      <c r="AE33" s="31">
        <f t="shared" si="25"/>
        <v>90.5</v>
      </c>
      <c r="AF33" s="31">
        <f t="shared" si="25"/>
        <v>161.5</v>
      </c>
    </row>
    <row r="34" spans="2:32" ht="23.1" customHeight="1" x14ac:dyDescent="0.25">
      <c r="B34" s="24" t="s">
        <v>61</v>
      </c>
      <c r="C34" s="49">
        <f>'Avg Week Buwenge-Jinja'!C34+'Avg Week Jinja-Buwenge'!C34</f>
        <v>10.571428571428571</v>
      </c>
      <c r="D34" s="49">
        <f>'Avg Week Buwenge-Jinja'!D34+'Avg Week Jinja-Buwenge'!D34</f>
        <v>2</v>
      </c>
      <c r="E34" s="49">
        <f>'Avg Week Buwenge-Jinja'!E34+'Avg Week Jinja-Buwenge'!E34</f>
        <v>7.4285714285714288</v>
      </c>
      <c r="F34" s="49">
        <f>'Avg Week Buwenge-Jinja'!F34+'Avg Week Jinja-Buwenge'!F34</f>
        <v>22.571428571428569</v>
      </c>
      <c r="G34" s="49">
        <f>'Avg Week Buwenge-Jinja'!G34+'Avg Week Jinja-Buwenge'!G34</f>
        <v>1.5714285714285714</v>
      </c>
      <c r="H34" s="49">
        <f>'Avg Week Buwenge-Jinja'!H34+'Avg Week Jinja-Buwenge'!H34</f>
        <v>0.42857142857142855</v>
      </c>
      <c r="I34" s="49">
        <f>'Avg Week Buwenge-Jinja'!I34+'Avg Week Jinja-Buwenge'!I34</f>
        <v>6</v>
      </c>
      <c r="J34" s="49">
        <f>'Avg Week Buwenge-Jinja'!J34+'Avg Week Jinja-Buwenge'!J34</f>
        <v>0.8571428571428571</v>
      </c>
      <c r="K34" s="49">
        <f>'Avg Week Buwenge-Jinja'!K34+'Avg Week Jinja-Buwenge'!K34</f>
        <v>0</v>
      </c>
      <c r="L34" s="49">
        <f>'Avg Week Buwenge-Jinja'!L34+'Avg Week Jinja-Buwenge'!L34</f>
        <v>0</v>
      </c>
      <c r="M34" s="49">
        <f>'Avg Week Buwenge-Jinja'!M34+'Avg Week Jinja-Buwenge'!M34</f>
        <v>73.857142857142861</v>
      </c>
      <c r="N34" s="49">
        <f>'Avg Week Buwenge-Jinja'!N34+'Avg Week Jinja-Buwenge'!N34</f>
        <v>0</v>
      </c>
      <c r="O34" s="15">
        <f t="shared" si="0"/>
        <v>51.428571428571423</v>
      </c>
      <c r="P34" s="15">
        <f t="shared" si="1"/>
        <v>125.28571428571428</v>
      </c>
      <c r="R34" s="38" t="s">
        <v>90</v>
      </c>
      <c r="S34" s="39">
        <f t="shared" ref="S34:AF34" si="26">MAX(S10:S12)</f>
        <v>44.428571428571431</v>
      </c>
      <c r="T34" s="39">
        <f t="shared" si="26"/>
        <v>8.1428571428571423</v>
      </c>
      <c r="U34" s="39">
        <f t="shared" si="26"/>
        <v>30.142857142857142</v>
      </c>
      <c r="V34" s="39">
        <f t="shared" si="26"/>
        <v>92.428571428571416</v>
      </c>
      <c r="W34" s="39">
        <f t="shared" si="26"/>
        <v>29.142857142857142</v>
      </c>
      <c r="X34" s="39">
        <f t="shared" si="26"/>
        <v>1.2857142857142856</v>
      </c>
      <c r="Y34" s="39">
        <f t="shared" si="26"/>
        <v>20.285714285714285</v>
      </c>
      <c r="Z34" s="39">
        <f t="shared" si="26"/>
        <v>2.8571428571428572</v>
      </c>
      <c r="AA34" s="39">
        <f t="shared" si="26"/>
        <v>0.14285714285714285</v>
      </c>
      <c r="AB34" s="39">
        <f t="shared" si="26"/>
        <v>0.14285714285714285</v>
      </c>
      <c r="AC34" s="39">
        <f t="shared" si="26"/>
        <v>332.71428571428572</v>
      </c>
      <c r="AD34" s="39">
        <f t="shared" si="26"/>
        <v>0.14285714285714285</v>
      </c>
      <c r="AE34" s="40">
        <f t="shared" si="26"/>
        <v>207</v>
      </c>
      <c r="AF34" s="40">
        <f t="shared" si="26"/>
        <v>539.71428571428578</v>
      </c>
    </row>
    <row r="35" spans="2:32" ht="23.1" customHeight="1" x14ac:dyDescent="0.25">
      <c r="B35" s="24" t="s">
        <v>62</v>
      </c>
      <c r="C35" s="49">
        <f>'Avg Week Buwenge-Jinja'!C35+'Avg Week Jinja-Buwenge'!C35</f>
        <v>15</v>
      </c>
      <c r="D35" s="49">
        <f>'Avg Week Buwenge-Jinja'!D35+'Avg Week Jinja-Buwenge'!D35</f>
        <v>2.1428571428571428</v>
      </c>
      <c r="E35" s="49">
        <f>'Avg Week Buwenge-Jinja'!E35+'Avg Week Jinja-Buwenge'!E35</f>
        <v>7.1428571428571423</v>
      </c>
      <c r="F35" s="49">
        <f>'Avg Week Buwenge-Jinja'!F35+'Avg Week Jinja-Buwenge'!F35</f>
        <v>23</v>
      </c>
      <c r="G35" s="49">
        <f>'Avg Week Buwenge-Jinja'!G35+'Avg Week Jinja-Buwenge'!G35</f>
        <v>2.1428571428571428</v>
      </c>
      <c r="H35" s="49">
        <f>'Avg Week Buwenge-Jinja'!H35+'Avg Week Jinja-Buwenge'!H35</f>
        <v>0.2857142857142857</v>
      </c>
      <c r="I35" s="49">
        <f>'Avg Week Buwenge-Jinja'!I35+'Avg Week Jinja-Buwenge'!I35</f>
        <v>4.2857142857142856</v>
      </c>
      <c r="J35" s="49">
        <f>'Avg Week Buwenge-Jinja'!J35+'Avg Week Jinja-Buwenge'!J35</f>
        <v>0.8571428571428571</v>
      </c>
      <c r="K35" s="49">
        <f>'Avg Week Buwenge-Jinja'!K35+'Avg Week Jinja-Buwenge'!K35</f>
        <v>0</v>
      </c>
      <c r="L35" s="49">
        <f>'Avg Week Buwenge-Jinja'!L35+'Avg Week Jinja-Buwenge'!L35</f>
        <v>0</v>
      </c>
      <c r="M35" s="49">
        <f>'Avg Week Buwenge-Jinja'!M35+'Avg Week Jinja-Buwenge'!M35</f>
        <v>72.714285714285722</v>
      </c>
      <c r="N35" s="49">
        <f>'Avg Week Buwenge-Jinja'!N35+'Avg Week Jinja-Buwenge'!N35</f>
        <v>0</v>
      </c>
      <c r="O35" s="15">
        <f t="shared" si="0"/>
        <v>54.857142857142854</v>
      </c>
      <c r="P35" s="15">
        <f t="shared" si="1"/>
        <v>127.57142857142858</v>
      </c>
      <c r="R35" s="38" t="s">
        <v>91</v>
      </c>
      <c r="S35" s="39">
        <f t="shared" ref="S35:AF35" si="27">MAX(S13:S18)</f>
        <v>54.857142857142861</v>
      </c>
      <c r="T35" s="39">
        <f t="shared" si="27"/>
        <v>13</v>
      </c>
      <c r="U35" s="39">
        <f t="shared" si="27"/>
        <v>35</v>
      </c>
      <c r="V35" s="39">
        <f t="shared" si="27"/>
        <v>94.285714285714278</v>
      </c>
      <c r="W35" s="39">
        <f t="shared" si="27"/>
        <v>8.1428571428571423</v>
      </c>
      <c r="X35" s="39">
        <f t="shared" si="27"/>
        <v>1.4285714285714286</v>
      </c>
      <c r="Y35" s="39">
        <f t="shared" si="27"/>
        <v>28.857142857142858</v>
      </c>
      <c r="Z35" s="39">
        <f t="shared" si="27"/>
        <v>3.1428571428571423</v>
      </c>
      <c r="AA35" s="39">
        <f t="shared" si="27"/>
        <v>0.71428571428571419</v>
      </c>
      <c r="AB35" s="39">
        <f t="shared" si="27"/>
        <v>0.2857142857142857</v>
      </c>
      <c r="AC35" s="39">
        <f t="shared" si="27"/>
        <v>328.14285714285711</v>
      </c>
      <c r="AD35" s="39">
        <f t="shared" si="27"/>
        <v>0.42857142857142855</v>
      </c>
      <c r="AE35" s="40">
        <f t="shared" si="27"/>
        <v>226.57142857142861</v>
      </c>
      <c r="AF35" s="40">
        <f t="shared" si="27"/>
        <v>545</v>
      </c>
    </row>
    <row r="36" spans="2:32" ht="23.1" customHeight="1" x14ac:dyDescent="0.25">
      <c r="B36" s="24" t="s">
        <v>63</v>
      </c>
      <c r="C36" s="49">
        <f>'Avg Week Buwenge-Jinja'!C36+'Avg Week Jinja-Buwenge'!C36</f>
        <v>13.714285714285714</v>
      </c>
      <c r="D36" s="49">
        <f>'Avg Week Buwenge-Jinja'!D36+'Avg Week Jinja-Buwenge'!D36</f>
        <v>1.8571428571428572</v>
      </c>
      <c r="E36" s="49">
        <f>'Avg Week Buwenge-Jinja'!E36+'Avg Week Jinja-Buwenge'!E36</f>
        <v>6.4285714285714288</v>
      </c>
      <c r="F36" s="49">
        <f>'Avg Week Buwenge-Jinja'!F36+'Avg Week Jinja-Buwenge'!F36</f>
        <v>27.857142857142854</v>
      </c>
      <c r="G36" s="49">
        <f>'Avg Week Buwenge-Jinja'!G36+'Avg Week Jinja-Buwenge'!G36</f>
        <v>1.1428571428571428</v>
      </c>
      <c r="H36" s="49">
        <f>'Avg Week Buwenge-Jinja'!H36+'Avg Week Jinja-Buwenge'!H36</f>
        <v>0</v>
      </c>
      <c r="I36" s="49">
        <f>'Avg Week Buwenge-Jinja'!I36+'Avg Week Jinja-Buwenge'!I36</f>
        <v>4.8571428571428577</v>
      </c>
      <c r="J36" s="49">
        <f>'Avg Week Buwenge-Jinja'!J36+'Avg Week Jinja-Buwenge'!J36</f>
        <v>0.71428571428571419</v>
      </c>
      <c r="K36" s="49">
        <f>'Avg Week Buwenge-Jinja'!K36+'Avg Week Jinja-Buwenge'!K36</f>
        <v>0.2857142857142857</v>
      </c>
      <c r="L36" s="49">
        <f>'Avg Week Buwenge-Jinja'!L36+'Avg Week Jinja-Buwenge'!L36</f>
        <v>0</v>
      </c>
      <c r="M36" s="49">
        <f>'Avg Week Buwenge-Jinja'!M36+'Avg Week Jinja-Buwenge'!M36</f>
        <v>77.142857142857139</v>
      </c>
      <c r="N36" s="49">
        <f>'Avg Week Buwenge-Jinja'!N36+'Avg Week Jinja-Buwenge'!N36</f>
        <v>0</v>
      </c>
      <c r="O36" s="15">
        <f t="shared" si="0"/>
        <v>56.857142857142861</v>
      </c>
      <c r="P36" s="15">
        <f t="shared" si="1"/>
        <v>134</v>
      </c>
      <c r="R36" s="38" t="s">
        <v>92</v>
      </c>
      <c r="S36" s="39">
        <f t="shared" ref="S36:AF36" si="28">MAX(S19:S21)</f>
        <v>64.428571428571431</v>
      </c>
      <c r="T36" s="39">
        <f t="shared" si="28"/>
        <v>13</v>
      </c>
      <c r="U36" s="39">
        <f t="shared" si="28"/>
        <v>40</v>
      </c>
      <c r="V36" s="39">
        <f t="shared" si="28"/>
        <v>96.714285714285722</v>
      </c>
      <c r="W36" s="39">
        <f t="shared" si="28"/>
        <v>25.428571428571431</v>
      </c>
      <c r="X36" s="39">
        <f t="shared" si="28"/>
        <v>0.71428571428571419</v>
      </c>
      <c r="Y36" s="39">
        <f t="shared" si="28"/>
        <v>29.428571428571427</v>
      </c>
      <c r="Z36" s="39">
        <f t="shared" si="28"/>
        <v>3.4285714285714288</v>
      </c>
      <c r="AA36" s="39">
        <f t="shared" si="28"/>
        <v>0.8571428571428571</v>
      </c>
      <c r="AB36" s="39">
        <f t="shared" si="28"/>
        <v>0.2857142857142857</v>
      </c>
      <c r="AC36" s="39">
        <f t="shared" si="28"/>
        <v>353.85714285714289</v>
      </c>
      <c r="AD36" s="39">
        <f t="shared" si="28"/>
        <v>0.14285714285714285</v>
      </c>
      <c r="AE36" s="40">
        <f t="shared" si="28"/>
        <v>262.71428571428572</v>
      </c>
      <c r="AF36" s="40">
        <f t="shared" si="28"/>
        <v>612.42857142857144</v>
      </c>
    </row>
    <row r="37" spans="2:32" ht="23.1" customHeight="1" x14ac:dyDescent="0.25">
      <c r="B37" s="23" t="s">
        <v>64</v>
      </c>
      <c r="C37" s="49">
        <f>'Avg Week Buwenge-Jinja'!C37+'Avg Week Jinja-Buwenge'!C37</f>
        <v>12.714285714285714</v>
      </c>
      <c r="D37" s="49">
        <f>'Avg Week Buwenge-Jinja'!D37+'Avg Week Jinja-Buwenge'!D37</f>
        <v>2.1428571428571428</v>
      </c>
      <c r="E37" s="49">
        <f>'Avg Week Buwenge-Jinja'!E37+'Avg Week Jinja-Buwenge'!E37</f>
        <v>7</v>
      </c>
      <c r="F37" s="49">
        <f>'Avg Week Buwenge-Jinja'!F37+'Avg Week Jinja-Buwenge'!F37</f>
        <v>20.857142857142858</v>
      </c>
      <c r="G37" s="49">
        <f>'Avg Week Buwenge-Jinja'!G37+'Avg Week Jinja-Buwenge'!G37</f>
        <v>3.2857142857142856</v>
      </c>
      <c r="H37" s="49">
        <f>'Avg Week Buwenge-Jinja'!H37+'Avg Week Jinja-Buwenge'!H37</f>
        <v>0.14285714285714285</v>
      </c>
      <c r="I37" s="49">
        <f>'Avg Week Buwenge-Jinja'!I37+'Avg Week Jinja-Buwenge'!I37</f>
        <v>6.5714285714285712</v>
      </c>
      <c r="J37" s="49">
        <f>'Avg Week Buwenge-Jinja'!J37+'Avg Week Jinja-Buwenge'!J37</f>
        <v>0.71428571428571419</v>
      </c>
      <c r="K37" s="49">
        <f>'Avg Week Buwenge-Jinja'!K37+'Avg Week Jinja-Buwenge'!K37</f>
        <v>0.2857142857142857</v>
      </c>
      <c r="L37" s="49">
        <f>'Avg Week Buwenge-Jinja'!L37+'Avg Week Jinja-Buwenge'!L37</f>
        <v>0</v>
      </c>
      <c r="M37" s="49">
        <f>'Avg Week Buwenge-Jinja'!M37+'Avg Week Jinja-Buwenge'!M37</f>
        <v>81.571428571428569</v>
      </c>
      <c r="N37" s="49">
        <f>'Avg Week Buwenge-Jinja'!N37+'Avg Week Jinja-Buwenge'!N37</f>
        <v>0</v>
      </c>
      <c r="O37" s="15">
        <f t="shared" si="0"/>
        <v>53.714285714285708</v>
      </c>
      <c r="P37" s="15">
        <f t="shared" si="1"/>
        <v>135.28571428571428</v>
      </c>
      <c r="R37" s="37" t="s">
        <v>85</v>
      </c>
      <c r="S37" s="35">
        <f t="shared" ref="S37:AF37" si="29">SUM(S10:S12)</f>
        <v>112.14285714285715</v>
      </c>
      <c r="T37" s="16">
        <f t="shared" si="29"/>
        <v>15</v>
      </c>
      <c r="U37" s="16">
        <f t="shared" si="29"/>
        <v>65.714285714285708</v>
      </c>
      <c r="V37" s="16">
        <f t="shared" si="29"/>
        <v>225.42857142857142</v>
      </c>
      <c r="W37" s="16">
        <f t="shared" si="29"/>
        <v>58.428571428571431</v>
      </c>
      <c r="X37" s="16">
        <f t="shared" si="29"/>
        <v>3</v>
      </c>
      <c r="Y37" s="16">
        <f t="shared" si="29"/>
        <v>53.285714285714285</v>
      </c>
      <c r="Z37" s="16">
        <f t="shared" si="29"/>
        <v>6.8571428571428577</v>
      </c>
      <c r="AA37" s="16">
        <f t="shared" si="29"/>
        <v>0.14285714285714285</v>
      </c>
      <c r="AB37" s="16">
        <f t="shared" si="29"/>
        <v>0.2857142857142857</v>
      </c>
      <c r="AC37" s="16">
        <f t="shared" si="29"/>
        <v>920.57142857142867</v>
      </c>
      <c r="AD37" s="16">
        <f t="shared" si="29"/>
        <v>0.14285714285714285</v>
      </c>
      <c r="AE37" s="32">
        <f t="shared" si="29"/>
        <v>540.42857142857144</v>
      </c>
      <c r="AF37" s="32">
        <f t="shared" si="29"/>
        <v>1461</v>
      </c>
    </row>
    <row r="38" spans="2:32" ht="23.1" customHeight="1" x14ac:dyDescent="0.25">
      <c r="B38" s="24" t="s">
        <v>65</v>
      </c>
      <c r="C38" s="49">
        <f>'Avg Week Buwenge-Jinja'!C38+'Avg Week Jinja-Buwenge'!C38</f>
        <v>12.714285714285715</v>
      </c>
      <c r="D38" s="49">
        <f>'Avg Week Buwenge-Jinja'!D38+'Avg Week Jinja-Buwenge'!D38</f>
        <v>1.2857142857142856</v>
      </c>
      <c r="E38" s="49">
        <f>'Avg Week Buwenge-Jinja'!E38+'Avg Week Jinja-Buwenge'!E38</f>
        <v>6.8571428571428577</v>
      </c>
      <c r="F38" s="49">
        <f>'Avg Week Buwenge-Jinja'!F38+'Avg Week Jinja-Buwenge'!F38</f>
        <v>20.142857142857142</v>
      </c>
      <c r="G38" s="49">
        <f>'Avg Week Buwenge-Jinja'!G38+'Avg Week Jinja-Buwenge'!G38</f>
        <v>2.4285714285714288</v>
      </c>
      <c r="H38" s="49">
        <f>'Avg Week Buwenge-Jinja'!H38+'Avg Week Jinja-Buwenge'!H38</f>
        <v>0.14285714285714285</v>
      </c>
      <c r="I38" s="49">
        <f>'Avg Week Buwenge-Jinja'!I38+'Avg Week Jinja-Buwenge'!I38</f>
        <v>7.4285714285714288</v>
      </c>
      <c r="J38" s="49">
        <f>'Avg Week Buwenge-Jinja'!J38+'Avg Week Jinja-Buwenge'!J38</f>
        <v>0.7142857142857143</v>
      </c>
      <c r="K38" s="49">
        <f>'Avg Week Buwenge-Jinja'!K38+'Avg Week Jinja-Buwenge'!K38</f>
        <v>0.42857142857142855</v>
      </c>
      <c r="L38" s="49">
        <f>'Avg Week Buwenge-Jinja'!L38+'Avg Week Jinja-Buwenge'!L38</f>
        <v>0.14285714285714285</v>
      </c>
      <c r="M38" s="49">
        <f>'Avg Week Buwenge-Jinja'!M38+'Avg Week Jinja-Buwenge'!M38</f>
        <v>84.285714285714278</v>
      </c>
      <c r="N38" s="49">
        <f>'Avg Week Buwenge-Jinja'!N38+'Avg Week Jinja-Buwenge'!N38</f>
        <v>0.14285714285714285</v>
      </c>
      <c r="O38" s="15">
        <f t="shared" si="0"/>
        <v>52.428571428571445</v>
      </c>
      <c r="P38" s="15">
        <f t="shared" si="1"/>
        <v>136.71428571428572</v>
      </c>
      <c r="R38" s="28" t="s">
        <v>86</v>
      </c>
      <c r="S38" s="16">
        <f t="shared" ref="S38:AF38" si="30">SUM(S13:S18)</f>
        <v>306.14285714285711</v>
      </c>
      <c r="T38" s="16">
        <f t="shared" si="30"/>
        <v>55.571428571428569</v>
      </c>
      <c r="U38" s="16">
        <f t="shared" si="30"/>
        <v>189.14285714285714</v>
      </c>
      <c r="V38" s="16">
        <f t="shared" si="30"/>
        <v>537.28571428571433</v>
      </c>
      <c r="W38" s="16">
        <f t="shared" si="30"/>
        <v>35.714285714285715</v>
      </c>
      <c r="X38" s="16">
        <f t="shared" si="30"/>
        <v>3.9999999999999996</v>
      </c>
      <c r="Y38" s="16">
        <f t="shared" si="30"/>
        <v>141.14285714285714</v>
      </c>
      <c r="Z38" s="16">
        <f t="shared" si="30"/>
        <v>14.142857142857142</v>
      </c>
      <c r="AA38" s="16">
        <f t="shared" si="30"/>
        <v>3</v>
      </c>
      <c r="AB38" s="16">
        <f t="shared" si="30"/>
        <v>0.5714285714285714</v>
      </c>
      <c r="AC38" s="16">
        <f t="shared" si="30"/>
        <v>1830.7142857142856</v>
      </c>
      <c r="AD38" s="16">
        <f t="shared" si="30"/>
        <v>1.1428571428571428</v>
      </c>
      <c r="AE38" s="32">
        <f t="shared" si="30"/>
        <v>1287.8571428571431</v>
      </c>
      <c r="AF38" s="32">
        <f t="shared" si="30"/>
        <v>3118.5714285714289</v>
      </c>
    </row>
    <row r="39" spans="2:32" ht="23.1" customHeight="1" x14ac:dyDescent="0.25">
      <c r="B39" s="24" t="s">
        <v>66</v>
      </c>
      <c r="C39" s="49">
        <f>'Avg Week Buwenge-Jinja'!C39+'Avg Week Jinja-Buwenge'!C39</f>
        <v>14.571428571428571</v>
      </c>
      <c r="D39" s="49">
        <f>'Avg Week Buwenge-Jinja'!D39+'Avg Week Jinja-Buwenge'!D39</f>
        <v>3.1428571428571428</v>
      </c>
      <c r="E39" s="49">
        <f>'Avg Week Buwenge-Jinja'!E39+'Avg Week Jinja-Buwenge'!E39</f>
        <v>8.5714285714285712</v>
      </c>
      <c r="F39" s="49">
        <f>'Avg Week Buwenge-Jinja'!F39+'Avg Week Jinja-Buwenge'!F39</f>
        <v>22.571428571428569</v>
      </c>
      <c r="G39" s="49">
        <f>'Avg Week Buwenge-Jinja'!G39+'Avg Week Jinja-Buwenge'!G39</f>
        <v>1.1428571428571428</v>
      </c>
      <c r="H39" s="49">
        <f>'Avg Week Buwenge-Jinja'!H39+'Avg Week Jinja-Buwenge'!H39</f>
        <v>0.2857142857142857</v>
      </c>
      <c r="I39" s="49">
        <f>'Avg Week Buwenge-Jinja'!I39+'Avg Week Jinja-Buwenge'!I39</f>
        <v>5.1428571428571423</v>
      </c>
      <c r="J39" s="49">
        <f>'Avg Week Buwenge-Jinja'!J39+'Avg Week Jinja-Buwenge'!J39</f>
        <v>1.1428571428571428</v>
      </c>
      <c r="K39" s="49">
        <f>'Avg Week Buwenge-Jinja'!K39+'Avg Week Jinja-Buwenge'!K39</f>
        <v>0.14285714285714285</v>
      </c>
      <c r="L39" s="49">
        <f>'Avg Week Buwenge-Jinja'!L39+'Avg Week Jinja-Buwenge'!L39</f>
        <v>0</v>
      </c>
      <c r="M39" s="49">
        <f>'Avg Week Buwenge-Jinja'!M39+'Avg Week Jinja-Buwenge'!M39</f>
        <v>78.285714285714278</v>
      </c>
      <c r="N39" s="49">
        <f>'Avg Week Buwenge-Jinja'!N39+'Avg Week Jinja-Buwenge'!N39</f>
        <v>0</v>
      </c>
      <c r="O39" s="15">
        <f t="shared" si="0"/>
        <v>56.714285714285722</v>
      </c>
      <c r="P39" s="15">
        <f t="shared" si="1"/>
        <v>135</v>
      </c>
      <c r="R39" s="29" t="s">
        <v>87</v>
      </c>
      <c r="S39" s="16">
        <f t="shared" ref="S39:AF39" si="31">SUM(S19:S21)</f>
        <v>185</v>
      </c>
      <c r="T39" s="16">
        <f t="shared" si="31"/>
        <v>38.857142857142861</v>
      </c>
      <c r="U39" s="16">
        <f t="shared" si="31"/>
        <v>112.42857142857142</v>
      </c>
      <c r="V39" s="16">
        <f t="shared" si="31"/>
        <v>274.42857142857144</v>
      </c>
      <c r="W39" s="16">
        <f t="shared" si="31"/>
        <v>47</v>
      </c>
      <c r="X39" s="16">
        <f t="shared" si="31"/>
        <v>1.857142857142857</v>
      </c>
      <c r="Y39" s="16">
        <f t="shared" si="31"/>
        <v>81.142857142857139</v>
      </c>
      <c r="Z39" s="16">
        <f t="shared" si="31"/>
        <v>6.8571428571428568</v>
      </c>
      <c r="AA39" s="16">
        <f t="shared" si="31"/>
        <v>1.857142857142857</v>
      </c>
      <c r="AB39" s="16">
        <f t="shared" si="31"/>
        <v>0.71428571428571419</v>
      </c>
      <c r="AC39" s="16">
        <f t="shared" si="31"/>
        <v>950.85714285714289</v>
      </c>
      <c r="AD39" s="16">
        <f t="shared" si="31"/>
        <v>0.14285714285714285</v>
      </c>
      <c r="AE39" s="32">
        <f t="shared" si="31"/>
        <v>750.28571428571422</v>
      </c>
      <c r="AF39" s="32">
        <f t="shared" si="31"/>
        <v>1701.1428571428571</v>
      </c>
    </row>
    <row r="40" spans="2:32" ht="23.1" customHeight="1" x14ac:dyDescent="0.25">
      <c r="B40" s="24" t="s">
        <v>67</v>
      </c>
      <c r="C40" s="49">
        <f>'Avg Week Buwenge-Jinja'!C40+'Avg Week Jinja-Buwenge'!C40</f>
        <v>10.571428571428571</v>
      </c>
      <c r="D40" s="49">
        <f>'Avg Week Buwenge-Jinja'!D40+'Avg Week Jinja-Buwenge'!D40</f>
        <v>2</v>
      </c>
      <c r="E40" s="49">
        <f>'Avg Week Buwenge-Jinja'!E40+'Avg Week Jinja-Buwenge'!E40</f>
        <v>8.2857142857142847</v>
      </c>
      <c r="F40" s="49">
        <f>'Avg Week Buwenge-Jinja'!F40+'Avg Week Jinja-Buwenge'!F40</f>
        <v>21.714285714285715</v>
      </c>
      <c r="G40" s="49">
        <f>'Avg Week Buwenge-Jinja'!G40+'Avg Week Jinja-Buwenge'!G40</f>
        <v>1.7142857142857144</v>
      </c>
      <c r="H40" s="49">
        <f>'Avg Week Buwenge-Jinja'!H40+'Avg Week Jinja-Buwenge'!H40</f>
        <v>0.5714285714285714</v>
      </c>
      <c r="I40" s="49">
        <f>'Avg Week Buwenge-Jinja'!I40+'Avg Week Jinja-Buwenge'!I40</f>
        <v>6.4285714285714288</v>
      </c>
      <c r="J40" s="49">
        <f>'Avg Week Buwenge-Jinja'!J40+'Avg Week Jinja-Buwenge'!J40</f>
        <v>0.5714285714285714</v>
      </c>
      <c r="K40" s="49">
        <f>'Avg Week Buwenge-Jinja'!K40+'Avg Week Jinja-Buwenge'!K40</f>
        <v>0</v>
      </c>
      <c r="L40" s="49">
        <f>'Avg Week Buwenge-Jinja'!L40+'Avg Week Jinja-Buwenge'!L40</f>
        <v>0.14285714285714285</v>
      </c>
      <c r="M40" s="49">
        <f>'Avg Week Buwenge-Jinja'!M40+'Avg Week Jinja-Buwenge'!M40</f>
        <v>85</v>
      </c>
      <c r="N40" s="49">
        <f>'Avg Week Buwenge-Jinja'!N40+'Avg Week Jinja-Buwenge'!N40</f>
        <v>0</v>
      </c>
      <c r="O40" s="15">
        <f t="shared" si="0"/>
        <v>52</v>
      </c>
      <c r="P40" s="15">
        <f t="shared" si="1"/>
        <v>137</v>
      </c>
      <c r="R40" s="5" t="s">
        <v>17</v>
      </c>
      <c r="S40" s="16">
        <f t="shared" ref="S40:AF40" si="32">SUM(S10:S21)</f>
        <v>603.28571428571422</v>
      </c>
      <c r="T40" s="16">
        <f t="shared" si="32"/>
        <v>109.42857142857143</v>
      </c>
      <c r="U40" s="16">
        <f t="shared" si="32"/>
        <v>367.28571428571433</v>
      </c>
      <c r="V40" s="16">
        <f t="shared" si="32"/>
        <v>1037.1428571428571</v>
      </c>
      <c r="W40" s="16">
        <f t="shared" si="32"/>
        <v>141.14285714285714</v>
      </c>
      <c r="X40" s="16">
        <f t="shared" si="32"/>
        <v>8.8571428571428577</v>
      </c>
      <c r="Y40" s="16">
        <f t="shared" si="32"/>
        <v>275.57142857142856</v>
      </c>
      <c r="Z40" s="16">
        <f t="shared" si="32"/>
        <v>27.857142857142861</v>
      </c>
      <c r="AA40" s="16">
        <f t="shared" si="32"/>
        <v>4.9999999999999991</v>
      </c>
      <c r="AB40" s="16">
        <f t="shared" si="32"/>
        <v>1.5714285714285712</v>
      </c>
      <c r="AC40" s="16">
        <f t="shared" si="32"/>
        <v>3702.1428571428573</v>
      </c>
      <c r="AD40" s="16">
        <f t="shared" si="32"/>
        <v>1.4285714285714284</v>
      </c>
      <c r="AE40" s="32">
        <f t="shared" si="32"/>
        <v>2578.5714285714289</v>
      </c>
      <c r="AF40" s="32">
        <f t="shared" si="32"/>
        <v>6280.7142857142871</v>
      </c>
    </row>
    <row r="41" spans="2:32" ht="23.1" customHeight="1" x14ac:dyDescent="0.25">
      <c r="B41" s="23" t="s">
        <v>68</v>
      </c>
      <c r="C41" s="49">
        <f>'Avg Week Buwenge-Jinja'!C41+'Avg Week Jinja-Buwenge'!C41</f>
        <v>12.285714285714286</v>
      </c>
      <c r="D41" s="49">
        <f>'Avg Week Buwenge-Jinja'!D41+'Avg Week Jinja-Buwenge'!D41</f>
        <v>2.1428571428571428</v>
      </c>
      <c r="E41" s="49">
        <f>'Avg Week Buwenge-Jinja'!E41+'Avg Week Jinja-Buwenge'!E41</f>
        <v>8.2857142857142865</v>
      </c>
      <c r="F41" s="49">
        <f>'Avg Week Buwenge-Jinja'!F41+'Avg Week Jinja-Buwenge'!F41</f>
        <v>23.857142857142858</v>
      </c>
      <c r="G41" s="49">
        <f>'Avg Week Buwenge-Jinja'!G41+'Avg Week Jinja-Buwenge'!G41</f>
        <v>1.8571428571428572</v>
      </c>
      <c r="H41" s="49">
        <f>'Avg Week Buwenge-Jinja'!H41+'Avg Week Jinja-Buwenge'!H41</f>
        <v>0.42857142857142855</v>
      </c>
      <c r="I41" s="49">
        <f>'Avg Week Buwenge-Jinja'!I41+'Avg Week Jinja-Buwenge'!I41</f>
        <v>5.1428571428571423</v>
      </c>
      <c r="J41" s="49">
        <f>'Avg Week Buwenge-Jinja'!J41+'Avg Week Jinja-Buwenge'!J41</f>
        <v>0.5714285714285714</v>
      </c>
      <c r="K41" s="49">
        <f>'Avg Week Buwenge-Jinja'!K41+'Avg Week Jinja-Buwenge'!K41</f>
        <v>0.14285714285714285</v>
      </c>
      <c r="L41" s="49">
        <f>'Avg Week Buwenge-Jinja'!L41+'Avg Week Jinja-Buwenge'!L41</f>
        <v>0</v>
      </c>
      <c r="M41" s="49">
        <f>'Avg Week Buwenge-Jinja'!M41+'Avg Week Jinja-Buwenge'!M41</f>
        <v>73.714285714285722</v>
      </c>
      <c r="N41" s="49">
        <f>'Avg Week Buwenge-Jinja'!N41+'Avg Week Jinja-Buwenge'!N41</f>
        <v>0</v>
      </c>
      <c r="O41" s="15">
        <f t="shared" si="0"/>
        <v>54.714285714285715</v>
      </c>
      <c r="P41" s="15">
        <f t="shared" si="1"/>
        <v>128.42857142857144</v>
      </c>
      <c r="R41" s="5" t="s">
        <v>174</v>
      </c>
      <c r="S41" s="52">
        <f>SUM(S10:S33)</f>
        <v>842.28571428571422</v>
      </c>
      <c r="T41" s="52">
        <f t="shared" ref="T41:AD41" si="33">SUM(T10:T33)</f>
        <v>136.42857142857144</v>
      </c>
      <c r="U41" s="52">
        <f t="shared" si="33"/>
        <v>526.78571428571433</v>
      </c>
      <c r="V41" s="52">
        <f t="shared" si="33"/>
        <v>1265.6428571428571</v>
      </c>
      <c r="W41" s="52">
        <f t="shared" si="33"/>
        <v>226.64285714285714</v>
      </c>
      <c r="X41" s="52">
        <f t="shared" si="33"/>
        <v>237.85714285714286</v>
      </c>
      <c r="Y41" s="52">
        <f t="shared" si="33"/>
        <v>371.57142857142856</v>
      </c>
      <c r="Z41" s="52">
        <f t="shared" si="33"/>
        <v>44.357142857142861</v>
      </c>
      <c r="AA41" s="52">
        <f t="shared" si="33"/>
        <v>6.4999999999999991</v>
      </c>
      <c r="AB41" s="52">
        <f t="shared" si="33"/>
        <v>1.5714285714285712</v>
      </c>
      <c r="AC41" s="52">
        <f t="shared" si="33"/>
        <v>4616.6428571428569</v>
      </c>
      <c r="AD41" s="52">
        <f t="shared" si="33"/>
        <v>9.4285714285714288</v>
      </c>
      <c r="AE41" s="53">
        <f>SUM(AE10:AE33)</f>
        <v>3669.0714285714289</v>
      </c>
      <c r="AF41" s="53">
        <f>SUM(AF10:AF33)</f>
        <v>8285.7142857142862</v>
      </c>
    </row>
    <row r="42" spans="2:32" ht="23.1" customHeight="1" x14ac:dyDescent="0.25">
      <c r="B42" s="24" t="s">
        <v>69</v>
      </c>
      <c r="C42" s="49">
        <f>'Avg Week Buwenge-Jinja'!C42+'Avg Week Jinja-Buwenge'!C42</f>
        <v>10.857142857142858</v>
      </c>
      <c r="D42" s="49">
        <f>'Avg Week Buwenge-Jinja'!D42+'Avg Week Jinja-Buwenge'!D42</f>
        <v>2.4285714285714288</v>
      </c>
      <c r="E42" s="49">
        <f>'Avg Week Buwenge-Jinja'!E42+'Avg Week Jinja-Buwenge'!E42</f>
        <v>7.8571428571428577</v>
      </c>
      <c r="F42" s="49">
        <f>'Avg Week Buwenge-Jinja'!F42+'Avg Week Jinja-Buwenge'!F42</f>
        <v>19.142857142857142</v>
      </c>
      <c r="G42" s="49">
        <f>'Avg Week Buwenge-Jinja'!G42+'Avg Week Jinja-Buwenge'!G42</f>
        <v>1.7142857142857144</v>
      </c>
      <c r="H42" s="49">
        <f>'Avg Week Buwenge-Jinja'!H42+'Avg Week Jinja-Buwenge'!H42</f>
        <v>0.14285714285714285</v>
      </c>
      <c r="I42" s="49">
        <f>'Avg Week Buwenge-Jinja'!I42+'Avg Week Jinja-Buwenge'!I42</f>
        <v>7.4285714285714288</v>
      </c>
      <c r="J42" s="49">
        <f>'Avg Week Buwenge-Jinja'!J42+'Avg Week Jinja-Buwenge'!J42</f>
        <v>0.5714285714285714</v>
      </c>
      <c r="K42" s="49">
        <f>'Avg Week Buwenge-Jinja'!K42+'Avg Week Jinja-Buwenge'!K42</f>
        <v>0</v>
      </c>
      <c r="L42" s="49">
        <f>'Avg Week Buwenge-Jinja'!L42+'Avg Week Jinja-Buwenge'!L42</f>
        <v>0</v>
      </c>
      <c r="M42" s="49">
        <f>'Avg Week Buwenge-Jinja'!M42+'Avg Week Jinja-Buwenge'!M42</f>
        <v>65.857142857142861</v>
      </c>
      <c r="N42" s="49">
        <f>'Avg Week Buwenge-Jinja'!N42+'Avg Week Jinja-Buwenge'!N42</f>
        <v>0</v>
      </c>
      <c r="O42" s="15">
        <f t="shared" si="0"/>
        <v>50.142857142857153</v>
      </c>
      <c r="P42" s="15">
        <f t="shared" si="1"/>
        <v>116.00000000000001</v>
      </c>
      <c r="R42" s="5" t="s">
        <v>160</v>
      </c>
      <c r="S42" s="48">
        <f>S41/S40</f>
        <v>1.3961638645512668</v>
      </c>
      <c r="T42" s="48">
        <f t="shared" ref="T42:AF42" si="34">T41/T40</f>
        <v>1.2467362924281986</v>
      </c>
      <c r="U42" s="48">
        <f t="shared" si="34"/>
        <v>1.4342668222481525</v>
      </c>
      <c r="V42" s="48">
        <f t="shared" si="34"/>
        <v>1.2203168044077135</v>
      </c>
      <c r="W42" s="48">
        <f t="shared" si="34"/>
        <v>1.6057692307692308</v>
      </c>
      <c r="X42" s="48">
        <f t="shared" si="34"/>
        <v>26.85483870967742</v>
      </c>
      <c r="Y42" s="48">
        <f t="shared" si="34"/>
        <v>1.3483670295489891</v>
      </c>
      <c r="Z42" s="48">
        <f t="shared" si="34"/>
        <v>1.5923076923076922</v>
      </c>
      <c r="AA42" s="48">
        <f t="shared" si="34"/>
        <v>1.3</v>
      </c>
      <c r="AB42" s="48">
        <f t="shared" si="34"/>
        <v>1</v>
      </c>
      <c r="AC42" s="48">
        <f t="shared" si="34"/>
        <v>1.2470191009068106</v>
      </c>
      <c r="AD42" s="48">
        <f t="shared" si="34"/>
        <v>6.6000000000000014</v>
      </c>
      <c r="AE42" s="51">
        <f t="shared" si="34"/>
        <v>1.4229085872576177</v>
      </c>
      <c r="AF42" s="51">
        <f t="shared" si="34"/>
        <v>1.3192312066416465</v>
      </c>
    </row>
    <row r="43" spans="2:32" ht="23.1" customHeight="1" x14ac:dyDescent="0.25">
      <c r="B43" s="23" t="s">
        <v>70</v>
      </c>
      <c r="C43" s="49">
        <f>'Avg Week Buwenge-Jinja'!C43+'Avg Week Jinja-Buwenge'!C43</f>
        <v>14.285714285714285</v>
      </c>
      <c r="D43" s="49">
        <f>'Avg Week Buwenge-Jinja'!D43+'Avg Week Jinja-Buwenge'!D43</f>
        <v>2.2857142857142856</v>
      </c>
      <c r="E43" s="49">
        <f>'Avg Week Buwenge-Jinja'!E43+'Avg Week Jinja-Buwenge'!E43</f>
        <v>8</v>
      </c>
      <c r="F43" s="49">
        <f>'Avg Week Buwenge-Jinja'!F43+'Avg Week Jinja-Buwenge'!F43</f>
        <v>25.857142857142854</v>
      </c>
      <c r="G43" s="49">
        <f>'Avg Week Buwenge-Jinja'!G43+'Avg Week Jinja-Buwenge'!G43</f>
        <v>1.5714285714285714</v>
      </c>
      <c r="H43" s="49">
        <f>'Avg Week Buwenge-Jinja'!H43+'Avg Week Jinja-Buwenge'!H43</f>
        <v>0.14285714285714285</v>
      </c>
      <c r="I43" s="49">
        <f>'Avg Week Buwenge-Jinja'!I43+'Avg Week Jinja-Buwenge'!I43</f>
        <v>6.7142857142857135</v>
      </c>
      <c r="J43" s="49">
        <f>'Avg Week Buwenge-Jinja'!J43+'Avg Week Jinja-Buwenge'!J43</f>
        <v>0.2857142857142857</v>
      </c>
      <c r="K43" s="49">
        <f>'Avg Week Buwenge-Jinja'!K43+'Avg Week Jinja-Buwenge'!K43</f>
        <v>0.14285714285714285</v>
      </c>
      <c r="L43" s="49">
        <f>'Avg Week Buwenge-Jinja'!L43+'Avg Week Jinja-Buwenge'!L43</f>
        <v>0.14285714285714285</v>
      </c>
      <c r="M43" s="49">
        <f>'Avg Week Buwenge-Jinja'!M43+'Avg Week Jinja-Buwenge'!M43</f>
        <v>53.571428571428569</v>
      </c>
      <c r="N43" s="49">
        <f>'Avg Week Buwenge-Jinja'!N43+'Avg Week Jinja-Buwenge'!N43</f>
        <v>0</v>
      </c>
      <c r="O43" s="15">
        <f t="shared" si="0"/>
        <v>59.428571428571431</v>
      </c>
      <c r="P43" s="15">
        <f t="shared" si="1"/>
        <v>113</v>
      </c>
    </row>
    <row r="44" spans="2:32" ht="23.1" customHeight="1" x14ac:dyDescent="0.25">
      <c r="B44" s="25" t="s">
        <v>71</v>
      </c>
      <c r="C44" s="49">
        <f>'Avg Week Buwenge-Jinja'!C44+'Avg Week Jinja-Buwenge'!C44</f>
        <v>12.142857142857142</v>
      </c>
      <c r="D44" s="49">
        <f>'Avg Week Buwenge-Jinja'!D44+'Avg Week Jinja-Buwenge'!D44</f>
        <v>3.7142857142857144</v>
      </c>
      <c r="E44" s="49">
        <f>'Avg Week Buwenge-Jinja'!E44+'Avg Week Jinja-Buwenge'!E44</f>
        <v>8.7142857142857153</v>
      </c>
      <c r="F44" s="49">
        <f>'Avg Week Buwenge-Jinja'!F44+'Avg Week Jinja-Buwenge'!F44</f>
        <v>22.714285714285715</v>
      </c>
      <c r="G44" s="49">
        <f>'Avg Week Buwenge-Jinja'!G44+'Avg Week Jinja-Buwenge'!G44</f>
        <v>2.1428571428571428</v>
      </c>
      <c r="H44" s="49">
        <f>'Avg Week Buwenge-Jinja'!H44+'Avg Week Jinja-Buwenge'!H44</f>
        <v>0</v>
      </c>
      <c r="I44" s="49">
        <f>'Avg Week Buwenge-Jinja'!I44+'Avg Week Jinja-Buwenge'!I44</f>
        <v>6.8571428571428577</v>
      </c>
      <c r="J44" s="49">
        <f>'Avg Week Buwenge-Jinja'!J44+'Avg Week Jinja-Buwenge'!J44</f>
        <v>0.7142857142857143</v>
      </c>
      <c r="K44" s="49">
        <f>'Avg Week Buwenge-Jinja'!K44+'Avg Week Jinja-Buwenge'!K44</f>
        <v>0.42857142857142855</v>
      </c>
      <c r="L44" s="49">
        <f>'Avg Week Buwenge-Jinja'!L44+'Avg Week Jinja-Buwenge'!L44</f>
        <v>0</v>
      </c>
      <c r="M44" s="49">
        <f>'Avg Week Buwenge-Jinja'!M44+'Avg Week Jinja-Buwenge'!M44</f>
        <v>51.428571428571431</v>
      </c>
      <c r="N44" s="49">
        <f>'Avg Week Buwenge-Jinja'!N44+'Avg Week Jinja-Buwenge'!N44</f>
        <v>0</v>
      </c>
      <c r="O44" s="15">
        <f t="shared" si="0"/>
        <v>57.428571428571438</v>
      </c>
      <c r="P44" s="15">
        <f t="shared" si="1"/>
        <v>108.85714285714286</v>
      </c>
    </row>
    <row r="45" spans="2:32" ht="23.1" customHeight="1" x14ac:dyDescent="0.25">
      <c r="B45" s="23" t="s">
        <v>72</v>
      </c>
      <c r="C45" s="49">
        <f>'Avg Week Buwenge-Jinja'!C45+'Avg Week Jinja-Buwenge'!C45</f>
        <v>12.285714285714285</v>
      </c>
      <c r="D45" s="49">
        <f>'Avg Week Buwenge-Jinja'!D45+'Avg Week Jinja-Buwenge'!D45</f>
        <v>4.5714285714285712</v>
      </c>
      <c r="E45" s="49">
        <f>'Avg Week Buwenge-Jinja'!E45+'Avg Week Jinja-Buwenge'!E45</f>
        <v>10.428571428571429</v>
      </c>
      <c r="F45" s="49">
        <f>'Avg Week Buwenge-Jinja'!F45+'Avg Week Jinja-Buwenge'!F45</f>
        <v>21.714285714285715</v>
      </c>
      <c r="G45" s="49">
        <f>'Avg Week Buwenge-Jinja'!G45+'Avg Week Jinja-Buwenge'!G45</f>
        <v>2</v>
      </c>
      <c r="H45" s="49">
        <f>'Avg Week Buwenge-Jinja'!H45+'Avg Week Jinja-Buwenge'!H45</f>
        <v>0.14285714285714285</v>
      </c>
      <c r="I45" s="49">
        <f>'Avg Week Buwenge-Jinja'!I45+'Avg Week Jinja-Buwenge'!I45</f>
        <v>7.8571428571428577</v>
      </c>
      <c r="J45" s="49">
        <f>'Avg Week Buwenge-Jinja'!J45+'Avg Week Jinja-Buwenge'!J45</f>
        <v>0.42857142857142855</v>
      </c>
      <c r="K45" s="49">
        <f>'Avg Week Buwenge-Jinja'!K45+'Avg Week Jinja-Buwenge'!K45</f>
        <v>0.14285714285714285</v>
      </c>
      <c r="L45" s="49">
        <f>'Avg Week Buwenge-Jinja'!L45+'Avg Week Jinja-Buwenge'!L45</f>
        <v>0</v>
      </c>
      <c r="M45" s="49">
        <f>'Avg Week Buwenge-Jinja'!M45+'Avg Week Jinja-Buwenge'!M45</f>
        <v>57.285714285714285</v>
      </c>
      <c r="N45" s="49">
        <f>'Avg Week Buwenge-Jinja'!N45+'Avg Week Jinja-Buwenge'!N45</f>
        <v>0</v>
      </c>
      <c r="O45" s="15">
        <f t="shared" si="0"/>
        <v>59.571428571428577</v>
      </c>
      <c r="P45" s="15">
        <f t="shared" si="1"/>
        <v>116.85714285714286</v>
      </c>
    </row>
    <row r="46" spans="2:32" ht="23.1" customHeight="1" x14ac:dyDescent="0.25">
      <c r="B46" s="24" t="s">
        <v>73</v>
      </c>
      <c r="C46" s="49">
        <f>'Avg Week Buwenge-Jinja'!C46+'Avg Week Jinja-Buwenge'!C46</f>
        <v>12</v>
      </c>
      <c r="D46" s="49">
        <f>'Avg Week Buwenge-Jinja'!D46+'Avg Week Jinja-Buwenge'!D46</f>
        <v>5</v>
      </c>
      <c r="E46" s="49">
        <f>'Avg Week Buwenge-Jinja'!E46+'Avg Week Jinja-Buwenge'!E46</f>
        <v>9.2857142857142847</v>
      </c>
      <c r="F46" s="49">
        <f>'Avg Week Buwenge-Jinja'!F46+'Avg Week Jinja-Buwenge'!F46</f>
        <v>20.428571428571427</v>
      </c>
      <c r="G46" s="49">
        <f>'Avg Week Buwenge-Jinja'!G46+'Avg Week Jinja-Buwenge'!G46</f>
        <v>1.7142857142857144</v>
      </c>
      <c r="H46" s="49">
        <f>'Avg Week Buwenge-Jinja'!H46+'Avg Week Jinja-Buwenge'!H46</f>
        <v>0.14285714285714285</v>
      </c>
      <c r="I46" s="49">
        <f>'Avg Week Buwenge-Jinja'!I46+'Avg Week Jinja-Buwenge'!I46</f>
        <v>6.2857142857142856</v>
      </c>
      <c r="J46" s="49">
        <f>'Avg Week Buwenge-Jinja'!J46+'Avg Week Jinja-Buwenge'!J46</f>
        <v>0.2857142857142857</v>
      </c>
      <c r="K46" s="49">
        <f>'Avg Week Buwenge-Jinja'!K46+'Avg Week Jinja-Buwenge'!K46</f>
        <v>0.42857142857142855</v>
      </c>
      <c r="L46" s="49">
        <f>'Avg Week Buwenge-Jinja'!L46+'Avg Week Jinja-Buwenge'!L46</f>
        <v>0</v>
      </c>
      <c r="M46" s="49">
        <f>'Avg Week Buwenge-Jinja'!M46+'Avg Week Jinja-Buwenge'!M46</f>
        <v>60.285714285714285</v>
      </c>
      <c r="N46" s="49">
        <f>'Avg Week Buwenge-Jinja'!N46+'Avg Week Jinja-Buwenge'!N46</f>
        <v>0.14285714285714285</v>
      </c>
      <c r="O46" s="15">
        <f t="shared" si="0"/>
        <v>55.714285714285715</v>
      </c>
      <c r="P46" s="15">
        <f t="shared" si="1"/>
        <v>116</v>
      </c>
      <c r="R46" s="8"/>
      <c r="T46"/>
    </row>
    <row r="47" spans="2:32" ht="23.1" customHeight="1" x14ac:dyDescent="0.25">
      <c r="B47" s="24" t="s">
        <v>74</v>
      </c>
      <c r="C47" s="49">
        <f>'Avg Week Buwenge-Jinja'!C47+'Avg Week Jinja-Buwenge'!C47</f>
        <v>14.714285714285715</v>
      </c>
      <c r="D47" s="49">
        <f>'Avg Week Buwenge-Jinja'!D47+'Avg Week Jinja-Buwenge'!D47</f>
        <v>2.7142857142857144</v>
      </c>
      <c r="E47" s="49">
        <f>'Avg Week Buwenge-Jinja'!E47+'Avg Week Jinja-Buwenge'!E47</f>
        <v>8.7142857142857153</v>
      </c>
      <c r="F47" s="49">
        <f>'Avg Week Buwenge-Jinja'!F47+'Avg Week Jinja-Buwenge'!F47</f>
        <v>22.285714285714285</v>
      </c>
      <c r="G47" s="49">
        <f>'Avg Week Buwenge-Jinja'!G47+'Avg Week Jinja-Buwenge'!G47</f>
        <v>1.1428571428571428</v>
      </c>
      <c r="H47" s="49">
        <f>'Avg Week Buwenge-Jinja'!H47+'Avg Week Jinja-Buwenge'!H47</f>
        <v>0</v>
      </c>
      <c r="I47" s="49">
        <f>'Avg Week Buwenge-Jinja'!I47+'Avg Week Jinja-Buwenge'!I47</f>
        <v>6.1428571428571423</v>
      </c>
      <c r="J47" s="49">
        <f>'Avg Week Buwenge-Jinja'!J47+'Avg Week Jinja-Buwenge'!J47</f>
        <v>0.5714285714285714</v>
      </c>
      <c r="K47" s="49">
        <f>'Avg Week Buwenge-Jinja'!K47+'Avg Week Jinja-Buwenge'!K47</f>
        <v>0</v>
      </c>
      <c r="L47" s="49">
        <f>'Avg Week Buwenge-Jinja'!L47+'Avg Week Jinja-Buwenge'!L47</f>
        <v>0.14285714285714285</v>
      </c>
      <c r="M47" s="49">
        <f>'Avg Week Buwenge-Jinja'!M47+'Avg Week Jinja-Buwenge'!M47</f>
        <v>62.714285714285715</v>
      </c>
      <c r="N47" s="49">
        <f>'Avg Week Buwenge-Jinja'!N47+'Avg Week Jinja-Buwenge'!N47</f>
        <v>0</v>
      </c>
      <c r="O47" s="15">
        <f t="shared" si="0"/>
        <v>56.428571428571438</v>
      </c>
      <c r="P47" s="15">
        <f t="shared" si="1"/>
        <v>119.14285714285715</v>
      </c>
      <c r="R47" s="8"/>
      <c r="T47"/>
    </row>
    <row r="48" spans="2:32" ht="23.1" customHeight="1" x14ac:dyDescent="0.25">
      <c r="B48" s="24" t="s">
        <v>75</v>
      </c>
      <c r="C48" s="49">
        <f>'Avg Week Buwenge-Jinja'!C48+'Avg Week Jinja-Buwenge'!C48</f>
        <v>14.571428571428573</v>
      </c>
      <c r="D48" s="49">
        <f>'Avg Week Buwenge-Jinja'!D48+'Avg Week Jinja-Buwenge'!D48</f>
        <v>2.8571428571428572</v>
      </c>
      <c r="E48" s="49">
        <f>'Avg Week Buwenge-Jinja'!E48+'Avg Week Jinja-Buwenge'!E48</f>
        <v>8.2857142857142847</v>
      </c>
      <c r="F48" s="49">
        <f>'Avg Week Buwenge-Jinja'!F48+'Avg Week Jinja-Buwenge'!F48</f>
        <v>22</v>
      </c>
      <c r="G48" s="49">
        <f>'Avg Week Buwenge-Jinja'!G48+'Avg Week Jinja-Buwenge'!G48</f>
        <v>2.7142857142857144</v>
      </c>
      <c r="H48" s="49">
        <f>'Avg Week Buwenge-Jinja'!H48+'Avg Week Jinja-Buwenge'!H48</f>
        <v>0.14285714285714285</v>
      </c>
      <c r="I48" s="49">
        <f>'Avg Week Buwenge-Jinja'!I48+'Avg Week Jinja-Buwenge'!I48</f>
        <v>7.5714285714285712</v>
      </c>
      <c r="J48" s="49">
        <f>'Avg Week Buwenge-Jinja'!J48+'Avg Week Jinja-Buwenge'!J48</f>
        <v>0.71428571428571419</v>
      </c>
      <c r="K48" s="49">
        <f>'Avg Week Buwenge-Jinja'!K48+'Avg Week Jinja-Buwenge'!K48</f>
        <v>0</v>
      </c>
      <c r="L48" s="49">
        <f>'Avg Week Buwenge-Jinja'!L48+'Avg Week Jinja-Buwenge'!L48</f>
        <v>0.14285714285714285</v>
      </c>
      <c r="M48" s="49">
        <f>'Avg Week Buwenge-Jinja'!M48+'Avg Week Jinja-Buwenge'!M48</f>
        <v>70.714285714285722</v>
      </c>
      <c r="N48" s="49">
        <f>'Avg Week Buwenge-Jinja'!N48+'Avg Week Jinja-Buwenge'!N48</f>
        <v>0</v>
      </c>
      <c r="O48" s="15">
        <f t="shared" si="0"/>
        <v>59.000000000000007</v>
      </c>
      <c r="P48" s="15">
        <f t="shared" si="1"/>
        <v>129.71428571428572</v>
      </c>
      <c r="R48" s="8"/>
      <c r="T48"/>
    </row>
    <row r="49" spans="2:20" ht="23.1" customHeight="1" x14ac:dyDescent="0.25">
      <c r="B49" s="23" t="s">
        <v>76</v>
      </c>
      <c r="C49" s="49">
        <f>'Avg Week Buwenge-Jinja'!C49+'Avg Week Jinja-Buwenge'!C49</f>
        <v>15.285714285714285</v>
      </c>
      <c r="D49" s="49">
        <f>'Avg Week Buwenge-Jinja'!D49+'Avg Week Jinja-Buwenge'!D49</f>
        <v>2.4285714285714284</v>
      </c>
      <c r="E49" s="49">
        <f>'Avg Week Buwenge-Jinja'!E49+'Avg Week Jinja-Buwenge'!E49</f>
        <v>8</v>
      </c>
      <c r="F49" s="49">
        <f>'Avg Week Buwenge-Jinja'!F49+'Avg Week Jinja-Buwenge'!F49</f>
        <v>21.857142857142858</v>
      </c>
      <c r="G49" s="49">
        <f>'Avg Week Buwenge-Jinja'!G49+'Avg Week Jinja-Buwenge'!G49</f>
        <v>2.2857142857142856</v>
      </c>
      <c r="H49" s="49">
        <f>'Avg Week Buwenge-Jinja'!H49+'Avg Week Jinja-Buwenge'!H49</f>
        <v>0.42857142857142855</v>
      </c>
      <c r="I49" s="49">
        <f>'Avg Week Buwenge-Jinja'!I49+'Avg Week Jinja-Buwenge'!I49</f>
        <v>7.1428571428571423</v>
      </c>
      <c r="J49" s="49">
        <f>'Avg Week Buwenge-Jinja'!J49+'Avg Week Jinja-Buwenge'!J49</f>
        <v>0.2857142857142857</v>
      </c>
      <c r="K49" s="49">
        <f>'Avg Week Buwenge-Jinja'!K49+'Avg Week Jinja-Buwenge'!K49</f>
        <v>0.14285714285714285</v>
      </c>
      <c r="L49" s="49">
        <f>'Avg Week Buwenge-Jinja'!L49+'Avg Week Jinja-Buwenge'!L49</f>
        <v>0</v>
      </c>
      <c r="M49" s="49">
        <f>'Avg Week Buwenge-Jinja'!M49+'Avg Week Jinja-Buwenge'!M49</f>
        <v>80.142857142857139</v>
      </c>
      <c r="N49" s="49">
        <f>'Avg Week Buwenge-Jinja'!N49+'Avg Week Jinja-Buwenge'!N49</f>
        <v>0</v>
      </c>
      <c r="O49" s="15">
        <f t="shared" si="0"/>
        <v>57.857142857142861</v>
      </c>
      <c r="P49" s="15">
        <f t="shared" si="1"/>
        <v>138</v>
      </c>
      <c r="R49" s="8"/>
      <c r="T49"/>
    </row>
    <row r="50" spans="2:20" ht="23.1" customHeight="1" x14ac:dyDescent="0.25">
      <c r="B50" s="24" t="s">
        <v>77</v>
      </c>
      <c r="C50" s="49">
        <f>'Avg Week Buwenge-Jinja'!C50+'Avg Week Jinja-Buwenge'!C50</f>
        <v>13.714285714285715</v>
      </c>
      <c r="D50" s="49">
        <f>'Avg Week Buwenge-Jinja'!D50+'Avg Week Jinja-Buwenge'!D50</f>
        <v>3.5714285714285716</v>
      </c>
      <c r="E50" s="49">
        <f>'Avg Week Buwenge-Jinja'!E50+'Avg Week Jinja-Buwenge'!E50</f>
        <v>10.285714285714285</v>
      </c>
      <c r="F50" s="49">
        <f>'Avg Week Buwenge-Jinja'!F50+'Avg Week Jinja-Buwenge'!F50</f>
        <v>24</v>
      </c>
      <c r="G50" s="49">
        <f>'Avg Week Buwenge-Jinja'!G50+'Avg Week Jinja-Buwenge'!G50</f>
        <v>1.5714285714285714</v>
      </c>
      <c r="H50" s="49">
        <f>'Avg Week Buwenge-Jinja'!H50+'Avg Week Jinja-Buwenge'!H50</f>
        <v>0</v>
      </c>
      <c r="I50" s="49">
        <f>'Avg Week Buwenge-Jinja'!I50+'Avg Week Jinja-Buwenge'!I50</f>
        <v>8.1428571428571423</v>
      </c>
      <c r="J50" s="49">
        <f>'Avg Week Buwenge-Jinja'!J50+'Avg Week Jinja-Buwenge'!J50</f>
        <v>0</v>
      </c>
      <c r="K50" s="49">
        <f>'Avg Week Buwenge-Jinja'!K50+'Avg Week Jinja-Buwenge'!K50</f>
        <v>0.42857142857142855</v>
      </c>
      <c r="L50" s="49">
        <f>'Avg Week Buwenge-Jinja'!L50+'Avg Week Jinja-Buwenge'!L50</f>
        <v>0</v>
      </c>
      <c r="M50" s="49">
        <f>'Avg Week Buwenge-Jinja'!M50+'Avg Week Jinja-Buwenge'!M50</f>
        <v>89</v>
      </c>
      <c r="N50" s="49">
        <f>'Avg Week Buwenge-Jinja'!N50+'Avg Week Jinja-Buwenge'!N50</f>
        <v>0</v>
      </c>
      <c r="O50" s="15">
        <f t="shared" si="0"/>
        <v>61.714285714285708</v>
      </c>
      <c r="P50" s="15">
        <f t="shared" si="1"/>
        <v>150.71428571428572</v>
      </c>
      <c r="R50" s="8"/>
      <c r="T50"/>
    </row>
    <row r="51" spans="2:20" ht="23.1" customHeight="1" x14ac:dyDescent="0.25">
      <c r="B51" s="24" t="s">
        <v>78</v>
      </c>
      <c r="C51" s="49">
        <f>'Avg Week Buwenge-Jinja'!C51+'Avg Week Jinja-Buwenge'!C51</f>
        <v>13.571428571428571</v>
      </c>
      <c r="D51" s="49">
        <f>'Avg Week Buwenge-Jinja'!D51+'Avg Week Jinja-Buwenge'!D51</f>
        <v>3</v>
      </c>
      <c r="E51" s="49">
        <f>'Avg Week Buwenge-Jinja'!E51+'Avg Week Jinja-Buwenge'!E51</f>
        <v>8.7142857142857153</v>
      </c>
      <c r="F51" s="49">
        <f>'Avg Week Buwenge-Jinja'!F51+'Avg Week Jinja-Buwenge'!F51</f>
        <v>25</v>
      </c>
      <c r="G51" s="49">
        <f>'Avg Week Buwenge-Jinja'!G51+'Avg Week Jinja-Buwenge'!G51</f>
        <v>2.7142857142857144</v>
      </c>
      <c r="H51" s="49">
        <f>'Avg Week Buwenge-Jinja'!H51+'Avg Week Jinja-Buwenge'!H51</f>
        <v>0.14285714285714285</v>
      </c>
      <c r="I51" s="49">
        <f>'Avg Week Buwenge-Jinja'!I51+'Avg Week Jinja-Buwenge'!I51</f>
        <v>8.4285714285714288</v>
      </c>
      <c r="J51" s="49">
        <f>'Avg Week Buwenge-Jinja'!J51+'Avg Week Jinja-Buwenge'!J51</f>
        <v>0.14285714285714285</v>
      </c>
      <c r="K51" s="49">
        <f>'Avg Week Buwenge-Jinja'!K51+'Avg Week Jinja-Buwenge'!K51</f>
        <v>0</v>
      </c>
      <c r="L51" s="49">
        <f>'Avg Week Buwenge-Jinja'!L51+'Avg Week Jinja-Buwenge'!L51</f>
        <v>0.14285714285714285</v>
      </c>
      <c r="M51" s="49">
        <f>'Avg Week Buwenge-Jinja'!M51+'Avg Week Jinja-Buwenge'!M51</f>
        <v>91.714285714285722</v>
      </c>
      <c r="N51" s="49">
        <f>'Avg Week Buwenge-Jinja'!N51+'Avg Week Jinja-Buwenge'!N51</f>
        <v>0</v>
      </c>
      <c r="O51" s="15">
        <f t="shared" si="0"/>
        <v>61.857142857142868</v>
      </c>
      <c r="P51" s="15">
        <f t="shared" si="1"/>
        <v>153.57142857142858</v>
      </c>
      <c r="R51" s="8"/>
      <c r="T51"/>
    </row>
    <row r="52" spans="2:20" ht="23.1" customHeight="1" x14ac:dyDescent="0.25">
      <c r="B52" s="24" t="s">
        <v>79</v>
      </c>
      <c r="C52" s="49">
        <f>'Avg Week Buwenge-Jinja'!C52+'Avg Week Jinja-Buwenge'!C52</f>
        <v>18.428571428571431</v>
      </c>
      <c r="D52" s="49">
        <f>'Avg Week Buwenge-Jinja'!D52+'Avg Week Jinja-Buwenge'!D52</f>
        <v>3.714285714285714</v>
      </c>
      <c r="E52" s="49">
        <f>'Avg Week Buwenge-Jinja'!E52+'Avg Week Jinja-Buwenge'!E52</f>
        <v>10.571428571428571</v>
      </c>
      <c r="F52" s="49">
        <f>'Avg Week Buwenge-Jinja'!F52+'Avg Week Jinja-Buwenge'!F52</f>
        <v>25.428571428571427</v>
      </c>
      <c r="G52" s="49">
        <f>'Avg Week Buwenge-Jinja'!G52+'Avg Week Jinja-Buwenge'!G52</f>
        <v>4.2857142857142856</v>
      </c>
      <c r="H52" s="49">
        <f>'Avg Week Buwenge-Jinja'!H52+'Avg Week Jinja-Buwenge'!H52</f>
        <v>0.14285714285714285</v>
      </c>
      <c r="I52" s="49">
        <f>'Avg Week Buwenge-Jinja'!I52+'Avg Week Jinja-Buwenge'!I52</f>
        <v>6</v>
      </c>
      <c r="J52" s="49">
        <f>'Avg Week Buwenge-Jinja'!J52+'Avg Week Jinja-Buwenge'!J52</f>
        <v>0.71428571428571419</v>
      </c>
      <c r="K52" s="49">
        <f>'Avg Week Buwenge-Jinja'!K52+'Avg Week Jinja-Buwenge'!K52</f>
        <v>0.14285714285714285</v>
      </c>
      <c r="L52" s="49">
        <f>'Avg Week Buwenge-Jinja'!L52+'Avg Week Jinja-Buwenge'!L52</f>
        <v>0</v>
      </c>
      <c r="M52" s="49">
        <f>'Avg Week Buwenge-Jinja'!M52+'Avg Week Jinja-Buwenge'!M52</f>
        <v>89.428571428571431</v>
      </c>
      <c r="N52" s="49">
        <f>'Avg Week Buwenge-Jinja'!N52+'Avg Week Jinja-Buwenge'!N52</f>
        <v>0</v>
      </c>
      <c r="O52" s="15">
        <f t="shared" si="0"/>
        <v>69.428571428571416</v>
      </c>
      <c r="P52" s="15">
        <f t="shared" si="1"/>
        <v>158.85714285714283</v>
      </c>
      <c r="R52" s="8"/>
      <c r="T52"/>
    </row>
    <row r="53" spans="2:20" ht="23.1" customHeight="1" x14ac:dyDescent="0.25">
      <c r="B53" s="23" t="s">
        <v>80</v>
      </c>
      <c r="C53" s="49">
        <f>'Avg Week Buwenge-Jinja'!C53+'Avg Week Jinja-Buwenge'!C53</f>
        <v>18.714285714285715</v>
      </c>
      <c r="D53" s="49">
        <f>'Avg Week Buwenge-Jinja'!D53+'Avg Week Jinja-Buwenge'!D53</f>
        <v>2.714285714285714</v>
      </c>
      <c r="E53" s="49">
        <f>'Avg Week Buwenge-Jinja'!E53+'Avg Week Jinja-Buwenge'!E53</f>
        <v>8.5714285714285712</v>
      </c>
      <c r="F53" s="49">
        <f>'Avg Week Buwenge-Jinja'!F53+'Avg Week Jinja-Buwenge'!F53</f>
        <v>22.285714285714285</v>
      </c>
      <c r="G53" s="49">
        <f>'Avg Week Buwenge-Jinja'!G53+'Avg Week Jinja-Buwenge'!G53</f>
        <v>5.1428571428571423</v>
      </c>
      <c r="H53" s="49">
        <f>'Avg Week Buwenge-Jinja'!H53+'Avg Week Jinja-Buwenge'!H53</f>
        <v>0.2857142857142857</v>
      </c>
      <c r="I53" s="49">
        <f>'Avg Week Buwenge-Jinja'!I53+'Avg Week Jinja-Buwenge'!I53</f>
        <v>6.8571428571428568</v>
      </c>
      <c r="J53" s="49">
        <f>'Avg Week Buwenge-Jinja'!J53+'Avg Week Jinja-Buwenge'!J53</f>
        <v>0.71428571428571419</v>
      </c>
      <c r="K53" s="49">
        <f>'Avg Week Buwenge-Jinja'!K53+'Avg Week Jinja-Buwenge'!K53</f>
        <v>0.2857142857142857</v>
      </c>
      <c r="L53" s="49">
        <f>'Avg Week Buwenge-Jinja'!L53+'Avg Week Jinja-Buwenge'!L53</f>
        <v>0</v>
      </c>
      <c r="M53" s="49">
        <f>'Avg Week Buwenge-Jinja'!M53+'Avg Week Jinja-Buwenge'!M53</f>
        <v>83.714285714285722</v>
      </c>
      <c r="N53" s="49">
        <f>'Avg Week Buwenge-Jinja'!N53+'Avg Week Jinja-Buwenge'!N53</f>
        <v>0</v>
      </c>
      <c r="O53" s="15">
        <f t="shared" si="0"/>
        <v>65.571428571428569</v>
      </c>
      <c r="P53" s="15">
        <f t="shared" si="1"/>
        <v>149.28571428571428</v>
      </c>
      <c r="R53" s="8"/>
      <c r="T53"/>
    </row>
    <row r="54" spans="2:20" ht="23.1" customHeight="1" x14ac:dyDescent="0.25">
      <c r="B54" s="23" t="s">
        <v>81</v>
      </c>
      <c r="C54" s="49">
        <f>'Avg Week Buwenge-Jinja'!C54+'Avg Week Jinja-Buwenge'!C54</f>
        <v>18</v>
      </c>
      <c r="D54" s="49">
        <f>'Avg Week Buwenge-Jinja'!D54+'Avg Week Jinja-Buwenge'!D54</f>
        <v>4.8571428571428577</v>
      </c>
      <c r="E54" s="49">
        <f>'Avg Week Buwenge-Jinja'!E54+'Avg Week Jinja-Buwenge'!E54</f>
        <v>13.857142857142858</v>
      </c>
      <c r="F54" s="49">
        <f>'Avg Week Buwenge-Jinja'!F54+'Avg Week Jinja-Buwenge'!F54</f>
        <v>23.571428571428569</v>
      </c>
      <c r="G54" s="49">
        <f>'Avg Week Buwenge-Jinja'!G54+'Avg Week Jinja-Buwenge'!G54</f>
        <v>5.8571428571428577</v>
      </c>
      <c r="H54" s="49">
        <f>'Avg Week Buwenge-Jinja'!H54+'Avg Week Jinja-Buwenge'!H54</f>
        <v>0.14285714285714285</v>
      </c>
      <c r="I54" s="49">
        <f>'Avg Week Buwenge-Jinja'!I54+'Avg Week Jinja-Buwenge'!I54</f>
        <v>6</v>
      </c>
      <c r="J54" s="49">
        <f>'Avg Week Buwenge-Jinja'!J54+'Avg Week Jinja-Buwenge'!J54</f>
        <v>0.8571428571428571</v>
      </c>
      <c r="K54" s="49">
        <f>'Avg Week Buwenge-Jinja'!K54+'Avg Week Jinja-Buwenge'!K54</f>
        <v>0</v>
      </c>
      <c r="L54" s="49">
        <f>'Avg Week Buwenge-Jinja'!L54+'Avg Week Jinja-Buwenge'!L54</f>
        <v>0.2857142857142857</v>
      </c>
      <c r="M54" s="49">
        <f>'Avg Week Buwenge-Jinja'!M54+'Avg Week Jinja-Buwenge'!M54</f>
        <v>79.142857142857139</v>
      </c>
      <c r="N54" s="49">
        <f>'Avg Week Buwenge-Jinja'!N54+'Avg Week Jinja-Buwenge'!N54</f>
        <v>0</v>
      </c>
      <c r="O54" s="15">
        <f t="shared" si="0"/>
        <v>73.428571428571431</v>
      </c>
      <c r="P54" s="15">
        <f t="shared" si="1"/>
        <v>152.57142857142856</v>
      </c>
      <c r="R54" s="8"/>
      <c r="T54"/>
    </row>
    <row r="55" spans="2:20" ht="23.1" customHeight="1" x14ac:dyDescent="0.25">
      <c r="B55" s="23" t="s">
        <v>82</v>
      </c>
      <c r="C55" s="49">
        <f>'Avg Week Buwenge-Jinja'!C55+'Avg Week Jinja-Buwenge'!C55</f>
        <v>14.285714285714286</v>
      </c>
      <c r="D55" s="49">
        <f>'Avg Week Buwenge-Jinja'!D55+'Avg Week Jinja-Buwenge'!D55</f>
        <v>3.2857142857142856</v>
      </c>
      <c r="E55" s="49">
        <f>'Avg Week Buwenge-Jinja'!E55+'Avg Week Jinja-Buwenge'!E55</f>
        <v>9.571428571428573</v>
      </c>
      <c r="F55" s="49">
        <f>'Avg Week Buwenge-Jinja'!F55+'Avg Week Jinja-Buwenge'!F55</f>
        <v>24.714285714285715</v>
      </c>
      <c r="G55" s="49">
        <f>'Avg Week Buwenge-Jinja'!G55+'Avg Week Jinja-Buwenge'!G55</f>
        <v>6.4285714285714288</v>
      </c>
      <c r="H55" s="49">
        <f>'Avg Week Buwenge-Jinja'!H55+'Avg Week Jinja-Buwenge'!H55</f>
        <v>0.42857142857142855</v>
      </c>
      <c r="I55" s="49">
        <f>'Avg Week Buwenge-Jinja'!I55+'Avg Week Jinja-Buwenge'!I55</f>
        <v>6.4285714285714288</v>
      </c>
      <c r="J55" s="49">
        <f>'Avg Week Buwenge-Jinja'!J55+'Avg Week Jinja-Buwenge'!J55</f>
        <v>0.14285714285714285</v>
      </c>
      <c r="K55" s="49">
        <f>'Avg Week Buwenge-Jinja'!K55+'Avg Week Jinja-Buwenge'!K55</f>
        <v>0</v>
      </c>
      <c r="L55" s="49">
        <f>'Avg Week Buwenge-Jinja'!L55+'Avg Week Jinja-Buwenge'!L55</f>
        <v>0</v>
      </c>
      <c r="M55" s="49">
        <f>'Avg Week Buwenge-Jinja'!M55+'Avg Week Jinja-Buwenge'!M55</f>
        <v>80.142857142857139</v>
      </c>
      <c r="N55" s="49">
        <f>'Avg Week Buwenge-Jinja'!N55+'Avg Week Jinja-Buwenge'!N55</f>
        <v>0</v>
      </c>
      <c r="O55" s="15">
        <f t="shared" si="0"/>
        <v>65.285714285714292</v>
      </c>
      <c r="P55" s="15">
        <f t="shared" si="1"/>
        <v>145.42857142857144</v>
      </c>
      <c r="R55" s="8"/>
      <c r="T55"/>
    </row>
    <row r="56" spans="2:20" ht="23.1" customHeight="1" x14ac:dyDescent="0.25">
      <c r="B56" s="23" t="s">
        <v>83</v>
      </c>
      <c r="C56" s="49">
        <f>'Avg Week Buwenge-Jinja'!C56+'Avg Week Jinja-Buwenge'!C56</f>
        <v>15</v>
      </c>
      <c r="D56" s="49">
        <f>'Avg Week Buwenge-Jinja'!D56+'Avg Week Jinja-Buwenge'!D56</f>
        <v>2.8571428571428572</v>
      </c>
      <c r="E56" s="49">
        <f>'Avg Week Buwenge-Jinja'!E56+'Avg Week Jinja-Buwenge'!E56</f>
        <v>9.1428571428571423</v>
      </c>
      <c r="F56" s="49">
        <f>'Avg Week Buwenge-Jinja'!F56+'Avg Week Jinja-Buwenge'!F56</f>
        <v>23</v>
      </c>
      <c r="G56" s="49">
        <f>'Avg Week Buwenge-Jinja'!G56+'Avg Week Jinja-Buwenge'!G56</f>
        <v>6.7142857142857135</v>
      </c>
      <c r="H56" s="49">
        <f>'Avg Week Buwenge-Jinja'!H56+'Avg Week Jinja-Buwenge'!H56</f>
        <v>0</v>
      </c>
      <c r="I56" s="49">
        <f>'Avg Week Buwenge-Jinja'!I56+'Avg Week Jinja-Buwenge'!I56</f>
        <v>7.1428571428571423</v>
      </c>
      <c r="J56" s="49">
        <f>'Avg Week Buwenge-Jinja'!J56+'Avg Week Jinja-Buwenge'!J56</f>
        <v>1.5714285714285716</v>
      </c>
      <c r="K56" s="49">
        <f>'Avg Week Buwenge-Jinja'!K56+'Avg Week Jinja-Buwenge'!K56</f>
        <v>0.2857142857142857</v>
      </c>
      <c r="L56" s="49">
        <f>'Avg Week Buwenge-Jinja'!L56+'Avg Week Jinja-Buwenge'!L56</f>
        <v>0</v>
      </c>
      <c r="M56" s="49">
        <f>'Avg Week Buwenge-Jinja'!M56+'Avg Week Jinja-Buwenge'!M56</f>
        <v>76.428571428571431</v>
      </c>
      <c r="N56" s="49">
        <f>'Avg Week Buwenge-Jinja'!N56+'Avg Week Jinja-Buwenge'!N56</f>
        <v>0</v>
      </c>
      <c r="O56" s="15">
        <f t="shared" si="0"/>
        <v>65.714285714285722</v>
      </c>
      <c r="P56" s="15">
        <f t="shared" si="1"/>
        <v>142.14285714285717</v>
      </c>
      <c r="R56" s="8"/>
      <c r="T56"/>
    </row>
    <row r="57" spans="2:20" ht="23.1" customHeight="1" x14ac:dyDescent="0.25">
      <c r="B57" s="23" t="s">
        <v>84</v>
      </c>
      <c r="C57" s="49">
        <f>'Avg Week Buwenge-Jinja'!C57+'Avg Week Jinja-Buwenge'!C57</f>
        <v>16.714285714285715</v>
      </c>
      <c r="D57" s="49">
        <f>'Avg Week Buwenge-Jinja'!D57+'Avg Week Jinja-Buwenge'!D57</f>
        <v>1.857142857142857</v>
      </c>
      <c r="E57" s="49">
        <f>'Avg Week Buwenge-Jinja'!E57+'Avg Week Jinja-Buwenge'!E57</f>
        <v>7.4285714285714288</v>
      </c>
      <c r="F57" s="49">
        <f>'Avg Week Buwenge-Jinja'!F57+'Avg Week Jinja-Buwenge'!F57</f>
        <v>19.857142857142858</v>
      </c>
      <c r="G57" s="49">
        <f>'Avg Week Buwenge-Jinja'!G57+'Avg Week Jinja-Buwenge'!G57</f>
        <v>6.4285714285714288</v>
      </c>
      <c r="H57" s="49">
        <f>'Avg Week Buwenge-Jinja'!H57+'Avg Week Jinja-Buwenge'!H57</f>
        <v>0</v>
      </c>
      <c r="I57" s="49">
        <f>'Avg Week Buwenge-Jinja'!I57+'Avg Week Jinja-Buwenge'!I57</f>
        <v>5</v>
      </c>
      <c r="J57" s="49">
        <f>'Avg Week Buwenge-Jinja'!J57+'Avg Week Jinja-Buwenge'!J57</f>
        <v>0.85714285714285721</v>
      </c>
      <c r="K57" s="49">
        <f>'Avg Week Buwenge-Jinja'!K57+'Avg Week Jinja-Buwenge'!K57</f>
        <v>0.14285714285714285</v>
      </c>
      <c r="L57" s="49">
        <f>'Avg Week Buwenge-Jinja'!L57+'Avg Week Jinja-Buwenge'!L57</f>
        <v>0</v>
      </c>
      <c r="M57" s="49">
        <f>'Avg Week Buwenge-Jinja'!M57+'Avg Week Jinja-Buwenge'!M57</f>
        <v>87.428571428571431</v>
      </c>
      <c r="N57" s="49">
        <f>'Avg Week Buwenge-Jinja'!N57+'Avg Week Jinja-Buwenge'!N57</f>
        <v>0</v>
      </c>
      <c r="O57" s="15">
        <f t="shared" si="0"/>
        <v>58.285714285714292</v>
      </c>
      <c r="P57" s="15">
        <f t="shared" si="1"/>
        <v>145.71428571428572</v>
      </c>
      <c r="R57" s="8"/>
      <c r="T57"/>
    </row>
    <row r="58" spans="2:20" ht="23.1" customHeight="1" x14ac:dyDescent="0.25">
      <c r="B58" s="23" t="s">
        <v>99</v>
      </c>
      <c r="C58" s="49">
        <f>'Avg Week Buwenge-Jinja'!C58+'Avg Week Jinja-Buwenge'!C58</f>
        <v>14.5</v>
      </c>
      <c r="D58" s="49">
        <f>'Avg Week Buwenge-Jinja'!D58+'Avg Week Jinja-Buwenge'!D58</f>
        <v>1.5</v>
      </c>
      <c r="E58" s="49">
        <f>'Avg Week Buwenge-Jinja'!E58+'Avg Week Jinja-Buwenge'!E58</f>
        <v>7</v>
      </c>
      <c r="F58" s="49">
        <f>'Avg Week Buwenge-Jinja'!F58+'Avg Week Jinja-Buwenge'!F58</f>
        <v>21</v>
      </c>
      <c r="G58" s="49">
        <f>'Avg Week Buwenge-Jinja'!G58+'Avg Week Jinja-Buwenge'!G58</f>
        <v>5</v>
      </c>
      <c r="H58" s="49">
        <f>'Avg Week Buwenge-Jinja'!H58+'Avg Week Jinja-Buwenge'!H58</f>
        <v>2.5</v>
      </c>
      <c r="I58" s="49">
        <f>'Avg Week Buwenge-Jinja'!I58+'Avg Week Jinja-Buwenge'!I58</f>
        <v>5</v>
      </c>
      <c r="J58" s="49">
        <f>'Avg Week Buwenge-Jinja'!J58+'Avg Week Jinja-Buwenge'!J58</f>
        <v>3</v>
      </c>
      <c r="K58" s="49">
        <f>'Avg Week Buwenge-Jinja'!K58+'Avg Week Jinja-Buwenge'!K58</f>
        <v>0</v>
      </c>
      <c r="L58" s="49">
        <f>'Avg Week Buwenge-Jinja'!L58+'Avg Week Jinja-Buwenge'!L58</f>
        <v>0</v>
      </c>
      <c r="M58" s="49">
        <f>'Avg Week Buwenge-Jinja'!M58+'Avg Week Jinja-Buwenge'!M58</f>
        <v>62.5</v>
      </c>
      <c r="N58" s="49">
        <f>'Avg Week Buwenge-Jinja'!N58+'Avg Week Jinja-Buwenge'!N58</f>
        <v>0</v>
      </c>
      <c r="O58" s="15">
        <f t="shared" si="0"/>
        <v>59.5</v>
      </c>
      <c r="P58" s="15">
        <f t="shared" si="1"/>
        <v>122</v>
      </c>
      <c r="R58" s="8"/>
      <c r="T58"/>
    </row>
    <row r="59" spans="2:20" ht="23.1" customHeight="1" x14ac:dyDescent="0.25">
      <c r="B59" s="23" t="s">
        <v>100</v>
      </c>
      <c r="C59" s="49">
        <f>'Avg Week Buwenge-Jinja'!C59+'Avg Week Jinja-Buwenge'!C59</f>
        <v>16</v>
      </c>
      <c r="D59" s="49">
        <f>'Avg Week Buwenge-Jinja'!D59+'Avg Week Jinja-Buwenge'!D59</f>
        <v>2</v>
      </c>
      <c r="E59" s="49">
        <f>'Avg Week Buwenge-Jinja'!E59+'Avg Week Jinja-Buwenge'!E59</f>
        <v>8.5</v>
      </c>
      <c r="F59" s="49">
        <f>'Avg Week Buwenge-Jinja'!F59+'Avg Week Jinja-Buwenge'!F59</f>
        <v>21.5</v>
      </c>
      <c r="G59" s="49">
        <f>'Avg Week Buwenge-Jinja'!G59+'Avg Week Jinja-Buwenge'!G59</f>
        <v>6.5</v>
      </c>
      <c r="H59" s="49">
        <f>'Avg Week Buwenge-Jinja'!H59+'Avg Week Jinja-Buwenge'!H59</f>
        <v>21</v>
      </c>
      <c r="I59" s="49">
        <f>'Avg Week Buwenge-Jinja'!I59+'Avg Week Jinja-Buwenge'!I59</f>
        <v>4</v>
      </c>
      <c r="J59" s="49">
        <f>'Avg Week Buwenge-Jinja'!J59+'Avg Week Jinja-Buwenge'!J59</f>
        <v>0.5</v>
      </c>
      <c r="K59" s="49">
        <f>'Avg Week Buwenge-Jinja'!K59+'Avg Week Jinja-Buwenge'!K59</f>
        <v>0</v>
      </c>
      <c r="L59" s="49">
        <f>'Avg Week Buwenge-Jinja'!L59+'Avg Week Jinja-Buwenge'!L59</f>
        <v>0</v>
      </c>
      <c r="M59" s="49">
        <f>'Avg Week Buwenge-Jinja'!M59+'Avg Week Jinja-Buwenge'!M59</f>
        <v>84</v>
      </c>
      <c r="N59" s="49">
        <f>'Avg Week Buwenge-Jinja'!N59+'Avg Week Jinja-Buwenge'!N59</f>
        <v>0</v>
      </c>
      <c r="O59" s="15">
        <f t="shared" si="0"/>
        <v>80</v>
      </c>
      <c r="P59" s="15">
        <f t="shared" si="1"/>
        <v>164</v>
      </c>
      <c r="R59" s="8"/>
      <c r="T59"/>
    </row>
    <row r="60" spans="2:20" ht="23.1" customHeight="1" x14ac:dyDescent="0.25">
      <c r="B60" s="23" t="s">
        <v>101</v>
      </c>
      <c r="C60" s="49">
        <f>'Avg Week Buwenge-Jinja'!C60+'Avg Week Jinja-Buwenge'!C60</f>
        <v>14</v>
      </c>
      <c r="D60" s="49">
        <f>'Avg Week Buwenge-Jinja'!D60+'Avg Week Jinja-Buwenge'!D60</f>
        <v>3</v>
      </c>
      <c r="E60" s="49">
        <f>'Avg Week Buwenge-Jinja'!E60+'Avg Week Jinja-Buwenge'!E60</f>
        <v>9</v>
      </c>
      <c r="F60" s="49">
        <f>'Avg Week Buwenge-Jinja'!F60+'Avg Week Jinja-Buwenge'!F60</f>
        <v>16</v>
      </c>
      <c r="G60" s="49">
        <f>'Avg Week Buwenge-Jinja'!G60+'Avg Week Jinja-Buwenge'!G60</f>
        <v>11.5</v>
      </c>
      <c r="H60" s="49">
        <f>'Avg Week Buwenge-Jinja'!H60+'Avg Week Jinja-Buwenge'!H60</f>
        <v>18.5</v>
      </c>
      <c r="I60" s="49">
        <f>'Avg Week Buwenge-Jinja'!I60+'Avg Week Jinja-Buwenge'!I60</f>
        <v>4.5</v>
      </c>
      <c r="J60" s="49">
        <f>'Avg Week Buwenge-Jinja'!J60+'Avg Week Jinja-Buwenge'!J60</f>
        <v>1</v>
      </c>
      <c r="K60" s="49">
        <f>'Avg Week Buwenge-Jinja'!K60+'Avg Week Jinja-Buwenge'!K60</f>
        <v>0</v>
      </c>
      <c r="L60" s="49">
        <f>'Avg Week Buwenge-Jinja'!L60+'Avg Week Jinja-Buwenge'!L60</f>
        <v>0</v>
      </c>
      <c r="M60" s="49">
        <f>'Avg Week Buwenge-Jinja'!M60+'Avg Week Jinja-Buwenge'!M60</f>
        <v>69</v>
      </c>
      <c r="N60" s="49">
        <f>'Avg Week Buwenge-Jinja'!N60+'Avg Week Jinja-Buwenge'!N60</f>
        <v>0.5</v>
      </c>
      <c r="O60" s="15">
        <f t="shared" si="0"/>
        <v>78</v>
      </c>
      <c r="P60" s="15">
        <f t="shared" si="1"/>
        <v>147</v>
      </c>
      <c r="R60" s="8"/>
      <c r="T60"/>
    </row>
    <row r="61" spans="2:20" ht="23.1" customHeight="1" x14ac:dyDescent="0.25">
      <c r="B61" s="23" t="s">
        <v>102</v>
      </c>
      <c r="C61" s="49">
        <f>'Avg Week Buwenge-Jinja'!C61+'Avg Week Jinja-Buwenge'!C61</f>
        <v>15</v>
      </c>
      <c r="D61" s="49">
        <f>'Avg Week Buwenge-Jinja'!D61+'Avg Week Jinja-Buwenge'!D61</f>
        <v>1.5</v>
      </c>
      <c r="E61" s="49">
        <f>'Avg Week Buwenge-Jinja'!E61+'Avg Week Jinja-Buwenge'!E61</f>
        <v>6.5</v>
      </c>
      <c r="F61" s="49">
        <f>'Avg Week Buwenge-Jinja'!F61+'Avg Week Jinja-Buwenge'!F61</f>
        <v>9</v>
      </c>
      <c r="G61" s="49">
        <f>'Avg Week Buwenge-Jinja'!G61+'Avg Week Jinja-Buwenge'!G61</f>
        <v>4.5</v>
      </c>
      <c r="H61" s="49">
        <f>'Avg Week Buwenge-Jinja'!H61+'Avg Week Jinja-Buwenge'!H61</f>
        <v>22.5</v>
      </c>
      <c r="I61" s="49">
        <f>'Avg Week Buwenge-Jinja'!I61+'Avg Week Jinja-Buwenge'!I61</f>
        <v>6.5</v>
      </c>
      <c r="J61" s="49">
        <f>'Avg Week Buwenge-Jinja'!J61+'Avg Week Jinja-Buwenge'!J61</f>
        <v>0</v>
      </c>
      <c r="K61" s="49">
        <f>'Avg Week Buwenge-Jinja'!K61+'Avg Week Jinja-Buwenge'!K61</f>
        <v>0</v>
      </c>
      <c r="L61" s="49">
        <f>'Avg Week Buwenge-Jinja'!L61+'Avg Week Jinja-Buwenge'!L61</f>
        <v>0</v>
      </c>
      <c r="M61" s="49">
        <f>'Avg Week Buwenge-Jinja'!M61+'Avg Week Jinja-Buwenge'!M61</f>
        <v>79.5</v>
      </c>
      <c r="N61" s="49">
        <f>'Avg Week Buwenge-Jinja'!N61+'Avg Week Jinja-Buwenge'!N61</f>
        <v>1</v>
      </c>
      <c r="O61" s="15">
        <f t="shared" si="0"/>
        <v>66.5</v>
      </c>
      <c r="P61" s="15">
        <f t="shared" si="1"/>
        <v>146</v>
      </c>
      <c r="R61" s="8"/>
      <c r="T61"/>
    </row>
    <row r="62" spans="2:20" ht="23.1" customHeight="1" x14ac:dyDescent="0.25">
      <c r="B62" s="23" t="s">
        <v>107</v>
      </c>
      <c r="C62" s="49">
        <f>'Avg Week Buwenge-Jinja'!C62+'Avg Week Jinja-Buwenge'!C62</f>
        <v>12.5</v>
      </c>
      <c r="D62" s="49">
        <f>'Avg Week Buwenge-Jinja'!D62+'Avg Week Jinja-Buwenge'!D62</f>
        <v>1.5</v>
      </c>
      <c r="E62" s="49">
        <f>'Avg Week Buwenge-Jinja'!E62+'Avg Week Jinja-Buwenge'!E62</f>
        <v>6.5</v>
      </c>
      <c r="F62" s="49">
        <f>'Avg Week Buwenge-Jinja'!F62+'Avg Week Jinja-Buwenge'!F62</f>
        <v>16.5</v>
      </c>
      <c r="G62" s="49">
        <f>'Avg Week Buwenge-Jinja'!G62+'Avg Week Jinja-Buwenge'!G62</f>
        <v>8</v>
      </c>
      <c r="H62" s="49">
        <f>'Avg Week Buwenge-Jinja'!H62+'Avg Week Jinja-Buwenge'!H62</f>
        <v>16</v>
      </c>
      <c r="I62" s="49">
        <f>'Avg Week Buwenge-Jinja'!I62+'Avg Week Jinja-Buwenge'!I62</f>
        <v>4</v>
      </c>
      <c r="J62" s="49">
        <f>'Avg Week Buwenge-Jinja'!J62+'Avg Week Jinja-Buwenge'!J62</f>
        <v>0</v>
      </c>
      <c r="K62" s="49">
        <f>'Avg Week Buwenge-Jinja'!K62+'Avg Week Jinja-Buwenge'!K62</f>
        <v>0</v>
      </c>
      <c r="L62" s="49">
        <f>'Avg Week Buwenge-Jinja'!L62+'Avg Week Jinja-Buwenge'!L62</f>
        <v>0</v>
      </c>
      <c r="M62" s="49">
        <f>'Avg Week Buwenge-Jinja'!M62+'Avg Week Jinja-Buwenge'!M62</f>
        <v>53</v>
      </c>
      <c r="N62" s="49">
        <f>'Avg Week Buwenge-Jinja'!N62+'Avg Week Jinja-Buwenge'!N62</f>
        <v>0.5</v>
      </c>
      <c r="O62" s="15">
        <f t="shared" si="0"/>
        <v>65.5</v>
      </c>
      <c r="P62" s="15">
        <f t="shared" si="1"/>
        <v>118.5</v>
      </c>
      <c r="R62" s="8"/>
      <c r="T62"/>
    </row>
    <row r="63" spans="2:20" ht="23.1" customHeight="1" x14ac:dyDescent="0.25">
      <c r="B63" s="23" t="s">
        <v>108</v>
      </c>
      <c r="C63" s="49">
        <f>'Avg Week Buwenge-Jinja'!C63+'Avg Week Jinja-Buwenge'!C63</f>
        <v>19</v>
      </c>
      <c r="D63" s="49">
        <f>'Avg Week Buwenge-Jinja'!D63+'Avg Week Jinja-Buwenge'!D63</f>
        <v>2.5</v>
      </c>
      <c r="E63" s="49">
        <f>'Avg Week Buwenge-Jinja'!E63+'Avg Week Jinja-Buwenge'!E63</f>
        <v>9</v>
      </c>
      <c r="F63" s="49">
        <f>'Avg Week Buwenge-Jinja'!F63+'Avg Week Jinja-Buwenge'!F63</f>
        <v>17.5</v>
      </c>
      <c r="G63" s="49">
        <f>'Avg Week Buwenge-Jinja'!G63+'Avg Week Jinja-Buwenge'!G63</f>
        <v>5.5</v>
      </c>
      <c r="H63" s="49">
        <f>'Avg Week Buwenge-Jinja'!H63+'Avg Week Jinja-Buwenge'!H63</f>
        <v>14.5</v>
      </c>
      <c r="I63" s="49">
        <f>'Avg Week Buwenge-Jinja'!I63+'Avg Week Jinja-Buwenge'!I63</f>
        <v>3.5</v>
      </c>
      <c r="J63" s="49">
        <f>'Avg Week Buwenge-Jinja'!J63+'Avg Week Jinja-Buwenge'!J63</f>
        <v>0</v>
      </c>
      <c r="K63" s="49">
        <f>'Avg Week Buwenge-Jinja'!K63+'Avg Week Jinja-Buwenge'!K63</f>
        <v>0</v>
      </c>
      <c r="L63" s="49">
        <f>'Avg Week Buwenge-Jinja'!L63+'Avg Week Jinja-Buwenge'!L63</f>
        <v>0</v>
      </c>
      <c r="M63" s="49">
        <f>'Avg Week Buwenge-Jinja'!M63+'Avg Week Jinja-Buwenge'!M63</f>
        <v>49.5</v>
      </c>
      <c r="N63" s="49">
        <f>'Avg Week Buwenge-Jinja'!N63+'Avg Week Jinja-Buwenge'!N63</f>
        <v>1</v>
      </c>
      <c r="O63" s="15">
        <f t="shared" si="0"/>
        <v>72.5</v>
      </c>
      <c r="P63" s="15">
        <f t="shared" si="1"/>
        <v>122</v>
      </c>
      <c r="R63" s="8"/>
      <c r="T63"/>
    </row>
    <row r="64" spans="2:20" ht="23.1" customHeight="1" x14ac:dyDescent="0.25">
      <c r="B64" s="23" t="s">
        <v>109</v>
      </c>
      <c r="C64" s="49">
        <f>'Avg Week Buwenge-Jinja'!C64+'Avg Week Jinja-Buwenge'!C64</f>
        <v>7.5</v>
      </c>
      <c r="D64" s="49">
        <f>'Avg Week Buwenge-Jinja'!D64+'Avg Week Jinja-Buwenge'!D64</f>
        <v>2</v>
      </c>
      <c r="E64" s="49">
        <f>'Avg Week Buwenge-Jinja'!E64+'Avg Week Jinja-Buwenge'!E64</f>
        <v>7.5</v>
      </c>
      <c r="F64" s="49">
        <f>'Avg Week Buwenge-Jinja'!F64+'Avg Week Jinja-Buwenge'!F64</f>
        <v>9</v>
      </c>
      <c r="G64" s="49">
        <f>'Avg Week Buwenge-Jinja'!G64+'Avg Week Jinja-Buwenge'!G64</f>
        <v>4</v>
      </c>
      <c r="H64" s="49">
        <f>'Avg Week Buwenge-Jinja'!H64+'Avg Week Jinja-Buwenge'!H64</f>
        <v>12.5</v>
      </c>
      <c r="I64" s="49">
        <f>'Avg Week Buwenge-Jinja'!I64+'Avg Week Jinja-Buwenge'!I64</f>
        <v>3</v>
      </c>
      <c r="J64" s="49">
        <f>'Avg Week Buwenge-Jinja'!J64+'Avg Week Jinja-Buwenge'!J64</f>
        <v>0</v>
      </c>
      <c r="K64" s="49">
        <f>'Avg Week Buwenge-Jinja'!K64+'Avg Week Jinja-Buwenge'!K64</f>
        <v>0</v>
      </c>
      <c r="L64" s="49">
        <f>'Avg Week Buwenge-Jinja'!L64+'Avg Week Jinja-Buwenge'!L64</f>
        <v>0</v>
      </c>
      <c r="M64" s="49">
        <f>'Avg Week Buwenge-Jinja'!M64+'Avg Week Jinja-Buwenge'!M64</f>
        <v>31</v>
      </c>
      <c r="N64" s="49">
        <f>'Avg Week Buwenge-Jinja'!N64+'Avg Week Jinja-Buwenge'!N64</f>
        <v>0</v>
      </c>
      <c r="O64" s="15">
        <f t="shared" si="0"/>
        <v>45.5</v>
      </c>
      <c r="P64" s="15">
        <f t="shared" si="1"/>
        <v>76.5</v>
      </c>
      <c r="R64" s="8"/>
      <c r="T64"/>
    </row>
    <row r="65" spans="2:20" ht="23.1" customHeight="1" x14ac:dyDescent="0.25">
      <c r="B65" s="23" t="s">
        <v>158</v>
      </c>
      <c r="C65" s="49">
        <f>'Avg Week Buwenge-Jinja'!C65+'Avg Week Jinja-Buwenge'!C65</f>
        <v>17</v>
      </c>
      <c r="D65" s="49">
        <f>'Avg Week Buwenge-Jinja'!D65+'Avg Week Jinja-Buwenge'!D65</f>
        <v>3</v>
      </c>
      <c r="E65" s="49">
        <f>'Avg Week Buwenge-Jinja'!E65+'Avg Week Jinja-Buwenge'!E65</f>
        <v>10</v>
      </c>
      <c r="F65" s="49">
        <f>'Avg Week Buwenge-Jinja'!F65+'Avg Week Jinja-Buwenge'!F65</f>
        <v>6</v>
      </c>
      <c r="G65" s="49">
        <f>'Avg Week Buwenge-Jinja'!G65+'Avg Week Jinja-Buwenge'!G65</f>
        <v>3.5</v>
      </c>
      <c r="H65" s="49">
        <f>'Avg Week Buwenge-Jinja'!H65+'Avg Week Jinja-Buwenge'!H65</f>
        <v>15</v>
      </c>
      <c r="I65" s="49">
        <f>'Avg Week Buwenge-Jinja'!I65+'Avg Week Jinja-Buwenge'!I65</f>
        <v>3.5</v>
      </c>
      <c r="J65" s="49">
        <f>'Avg Week Buwenge-Jinja'!J65+'Avg Week Jinja-Buwenge'!J65</f>
        <v>0.5</v>
      </c>
      <c r="K65" s="49">
        <f>'Avg Week Buwenge-Jinja'!K65+'Avg Week Jinja-Buwenge'!K65</f>
        <v>0</v>
      </c>
      <c r="L65" s="49">
        <f>'Avg Week Buwenge-Jinja'!L65+'Avg Week Jinja-Buwenge'!L65</f>
        <v>0</v>
      </c>
      <c r="M65" s="49">
        <f>'Avg Week Buwenge-Jinja'!M65+'Avg Week Jinja-Buwenge'!M65</f>
        <v>34</v>
      </c>
      <c r="N65" s="49">
        <f>'Avg Week Buwenge-Jinja'!N65+'Avg Week Jinja-Buwenge'!N65</f>
        <v>0</v>
      </c>
      <c r="O65" s="15">
        <f t="shared" si="0"/>
        <v>58.5</v>
      </c>
      <c r="P65" s="15">
        <f t="shared" si="1"/>
        <v>92.5</v>
      </c>
      <c r="R65" s="8"/>
      <c r="T65"/>
    </row>
    <row r="66" spans="2:20" ht="23.1" customHeight="1" x14ac:dyDescent="0.25">
      <c r="B66" s="23" t="s">
        <v>103</v>
      </c>
      <c r="C66" s="49">
        <f>'Avg Week Buwenge-Jinja'!C66+'Avg Week Jinja-Buwenge'!C66</f>
        <v>11</v>
      </c>
      <c r="D66" s="49">
        <f>'Avg Week Buwenge-Jinja'!D66+'Avg Week Jinja-Buwenge'!D66</f>
        <v>2.5</v>
      </c>
      <c r="E66" s="49">
        <f>'Avg Week Buwenge-Jinja'!E66+'Avg Week Jinja-Buwenge'!E66</f>
        <v>10</v>
      </c>
      <c r="F66" s="49">
        <f>'Avg Week Buwenge-Jinja'!F66+'Avg Week Jinja-Buwenge'!F66</f>
        <v>13</v>
      </c>
      <c r="G66" s="49">
        <f>'Avg Week Buwenge-Jinja'!G66+'Avg Week Jinja-Buwenge'!G66</f>
        <v>5</v>
      </c>
      <c r="H66" s="49">
        <f>'Avg Week Buwenge-Jinja'!H66+'Avg Week Jinja-Buwenge'!H66</f>
        <v>12</v>
      </c>
      <c r="I66" s="49">
        <f>'Avg Week Buwenge-Jinja'!I66+'Avg Week Jinja-Buwenge'!I66</f>
        <v>4.5</v>
      </c>
      <c r="J66" s="49">
        <f>'Avg Week Buwenge-Jinja'!J66+'Avg Week Jinja-Buwenge'!J66</f>
        <v>0</v>
      </c>
      <c r="K66" s="49">
        <f>'Avg Week Buwenge-Jinja'!K66+'Avg Week Jinja-Buwenge'!K66</f>
        <v>0</v>
      </c>
      <c r="L66" s="49">
        <f>'Avg Week Buwenge-Jinja'!L66+'Avg Week Jinja-Buwenge'!L66</f>
        <v>0</v>
      </c>
      <c r="M66" s="49">
        <f>'Avg Week Buwenge-Jinja'!M66+'Avg Week Jinja-Buwenge'!M66</f>
        <v>44</v>
      </c>
      <c r="N66" s="49">
        <f>'Avg Week Buwenge-Jinja'!N66+'Avg Week Jinja-Buwenge'!N66</f>
        <v>1</v>
      </c>
      <c r="O66" s="15">
        <f t="shared" si="0"/>
        <v>59</v>
      </c>
      <c r="P66" s="15">
        <f t="shared" si="1"/>
        <v>103</v>
      </c>
      <c r="R66" s="8"/>
      <c r="T66"/>
    </row>
    <row r="67" spans="2:20" ht="23.1" customHeight="1" x14ac:dyDescent="0.25">
      <c r="B67" s="23" t="s">
        <v>104</v>
      </c>
      <c r="C67" s="49">
        <f>'Avg Week Buwenge-Jinja'!C67+'Avg Week Jinja-Buwenge'!C67</f>
        <v>8</v>
      </c>
      <c r="D67" s="49">
        <f>'Avg Week Buwenge-Jinja'!D67+'Avg Week Jinja-Buwenge'!D67</f>
        <v>1</v>
      </c>
      <c r="E67" s="49">
        <f>'Avg Week Buwenge-Jinja'!E67+'Avg Week Jinja-Buwenge'!E67</f>
        <v>5</v>
      </c>
      <c r="F67" s="49">
        <f>'Avg Week Buwenge-Jinja'!F67+'Avg Week Jinja-Buwenge'!F67</f>
        <v>7.5</v>
      </c>
      <c r="G67" s="49">
        <f>'Avg Week Buwenge-Jinja'!G67+'Avg Week Jinja-Buwenge'!G67</f>
        <v>3</v>
      </c>
      <c r="H67" s="49">
        <f>'Avg Week Buwenge-Jinja'!H67+'Avg Week Jinja-Buwenge'!H67</f>
        <v>0</v>
      </c>
      <c r="I67" s="49">
        <f>'Avg Week Buwenge-Jinja'!I67+'Avg Week Jinja-Buwenge'!I67</f>
        <v>1</v>
      </c>
      <c r="J67" s="49">
        <f>'Avg Week Buwenge-Jinja'!J67+'Avg Week Jinja-Buwenge'!J67</f>
        <v>0</v>
      </c>
      <c r="K67" s="49">
        <f>'Avg Week Buwenge-Jinja'!K67+'Avg Week Jinja-Buwenge'!K67</f>
        <v>0</v>
      </c>
      <c r="L67" s="49">
        <f>'Avg Week Buwenge-Jinja'!L67+'Avg Week Jinja-Buwenge'!L67</f>
        <v>0</v>
      </c>
      <c r="M67" s="49">
        <f>'Avg Week Buwenge-Jinja'!M67+'Avg Week Jinja-Buwenge'!M67</f>
        <v>24.5</v>
      </c>
      <c r="N67" s="49">
        <f>'Avg Week Buwenge-Jinja'!N67+'Avg Week Jinja-Buwenge'!N67</f>
        <v>0</v>
      </c>
      <c r="O67" s="15">
        <f t="shared" si="0"/>
        <v>25.5</v>
      </c>
      <c r="P67" s="15">
        <f t="shared" si="1"/>
        <v>50</v>
      </c>
      <c r="R67" s="8"/>
      <c r="T67"/>
    </row>
    <row r="68" spans="2:20" ht="23.1" customHeight="1" x14ac:dyDescent="0.25">
      <c r="B68" s="23" t="s">
        <v>105</v>
      </c>
      <c r="C68" s="49">
        <f>'Avg Week Buwenge-Jinja'!C68+'Avg Week Jinja-Buwenge'!C68</f>
        <v>10.5</v>
      </c>
      <c r="D68" s="49">
        <f>'Avg Week Buwenge-Jinja'!D68+'Avg Week Jinja-Buwenge'!D68</f>
        <v>2</v>
      </c>
      <c r="E68" s="49">
        <f>'Avg Week Buwenge-Jinja'!E68+'Avg Week Jinja-Buwenge'!E68</f>
        <v>7.5</v>
      </c>
      <c r="F68" s="49">
        <f>'Avg Week Buwenge-Jinja'!F68+'Avg Week Jinja-Buwenge'!F68</f>
        <v>7</v>
      </c>
      <c r="G68" s="49">
        <f>'Avg Week Buwenge-Jinja'!G68+'Avg Week Jinja-Buwenge'!G68</f>
        <v>2.5</v>
      </c>
      <c r="H68" s="49">
        <f>'Avg Week Buwenge-Jinja'!H68+'Avg Week Jinja-Buwenge'!H68</f>
        <v>10</v>
      </c>
      <c r="I68" s="49">
        <f>'Avg Week Buwenge-Jinja'!I68+'Avg Week Jinja-Buwenge'!I68</f>
        <v>2.5</v>
      </c>
      <c r="J68" s="49">
        <f>'Avg Week Buwenge-Jinja'!J68+'Avg Week Jinja-Buwenge'!J68</f>
        <v>1</v>
      </c>
      <c r="K68" s="49">
        <f>'Avg Week Buwenge-Jinja'!K68+'Avg Week Jinja-Buwenge'!K68</f>
        <v>0.5</v>
      </c>
      <c r="L68" s="49">
        <f>'Avg Week Buwenge-Jinja'!L68+'Avg Week Jinja-Buwenge'!L68</f>
        <v>0</v>
      </c>
      <c r="M68" s="49">
        <f>'Avg Week Buwenge-Jinja'!M68+'Avg Week Jinja-Buwenge'!M68</f>
        <v>32.5</v>
      </c>
      <c r="N68" s="49">
        <f>'Avg Week Buwenge-Jinja'!N68+'Avg Week Jinja-Buwenge'!N68</f>
        <v>0.5</v>
      </c>
      <c r="O68" s="15">
        <f t="shared" si="0"/>
        <v>44</v>
      </c>
      <c r="P68" s="15">
        <f t="shared" si="1"/>
        <v>76.5</v>
      </c>
      <c r="R68" s="8"/>
      <c r="T68"/>
    </row>
    <row r="69" spans="2:20" ht="23.1" customHeight="1" x14ac:dyDescent="0.25">
      <c r="B69" s="23" t="s">
        <v>106</v>
      </c>
      <c r="C69" s="49">
        <f>'Avg Week Buwenge-Jinja'!C69+'Avg Week Jinja-Buwenge'!C69</f>
        <v>10.5</v>
      </c>
      <c r="D69" s="49">
        <f>'Avg Week Buwenge-Jinja'!D69+'Avg Week Jinja-Buwenge'!D69</f>
        <v>0</v>
      </c>
      <c r="E69" s="49">
        <f>'Avg Week Buwenge-Jinja'!E69+'Avg Week Jinja-Buwenge'!E69</f>
        <v>5</v>
      </c>
      <c r="F69" s="49">
        <f>'Avg Week Buwenge-Jinja'!F69+'Avg Week Jinja-Buwenge'!F69</f>
        <v>6</v>
      </c>
      <c r="G69" s="49">
        <f>'Avg Week Buwenge-Jinja'!G69+'Avg Week Jinja-Buwenge'!G69</f>
        <v>0.5</v>
      </c>
      <c r="H69" s="49">
        <f>'Avg Week Buwenge-Jinja'!H69+'Avg Week Jinja-Buwenge'!H69</f>
        <v>15</v>
      </c>
      <c r="I69" s="49">
        <f>'Avg Week Buwenge-Jinja'!I69+'Avg Week Jinja-Buwenge'!I69</f>
        <v>2.5</v>
      </c>
      <c r="J69" s="49">
        <f>'Avg Week Buwenge-Jinja'!J69+'Avg Week Jinja-Buwenge'!J69</f>
        <v>0</v>
      </c>
      <c r="K69" s="49">
        <f>'Avg Week Buwenge-Jinja'!K69+'Avg Week Jinja-Buwenge'!K69</f>
        <v>0</v>
      </c>
      <c r="L69" s="49">
        <f>'Avg Week Buwenge-Jinja'!L69+'Avg Week Jinja-Buwenge'!L69</f>
        <v>0</v>
      </c>
      <c r="M69" s="49">
        <f>'Avg Week Buwenge-Jinja'!M69+'Avg Week Jinja-Buwenge'!M69</f>
        <v>39.5</v>
      </c>
      <c r="N69" s="49">
        <f>'Avg Week Buwenge-Jinja'!N69+'Avg Week Jinja-Buwenge'!N69</f>
        <v>0.5</v>
      </c>
      <c r="O69" s="15">
        <f t="shared" si="0"/>
        <v>40</v>
      </c>
      <c r="P69" s="15">
        <f t="shared" si="1"/>
        <v>79.5</v>
      </c>
      <c r="R69" s="8"/>
      <c r="T69"/>
    </row>
    <row r="70" spans="2:20" ht="23.1" customHeight="1" x14ac:dyDescent="0.25">
      <c r="B70" s="23" t="s">
        <v>110</v>
      </c>
      <c r="C70" s="49">
        <f>'Avg Week Buwenge-Jinja'!C70+'Avg Week Jinja-Buwenge'!C70</f>
        <v>6.5</v>
      </c>
      <c r="D70" s="49">
        <f>'Avg Week Buwenge-Jinja'!D70+'Avg Week Jinja-Buwenge'!D70</f>
        <v>1</v>
      </c>
      <c r="E70" s="49">
        <f>'Avg Week Buwenge-Jinja'!E70+'Avg Week Jinja-Buwenge'!E70</f>
        <v>4.5</v>
      </c>
      <c r="F70" s="49">
        <f>'Avg Week Buwenge-Jinja'!F70+'Avg Week Jinja-Buwenge'!F70</f>
        <v>3.5</v>
      </c>
      <c r="G70" s="49">
        <f>'Avg Week Buwenge-Jinja'!G70+'Avg Week Jinja-Buwenge'!G70</f>
        <v>1.5</v>
      </c>
      <c r="H70" s="49">
        <f>'Avg Week Buwenge-Jinja'!H70+'Avg Week Jinja-Buwenge'!H70</f>
        <v>2.5</v>
      </c>
      <c r="I70" s="49">
        <f>'Avg Week Buwenge-Jinja'!I70+'Avg Week Jinja-Buwenge'!I70</f>
        <v>4</v>
      </c>
      <c r="J70" s="49">
        <f>'Avg Week Buwenge-Jinja'!J70+'Avg Week Jinja-Buwenge'!J70</f>
        <v>1.5</v>
      </c>
      <c r="K70" s="49">
        <f>'Avg Week Buwenge-Jinja'!K70+'Avg Week Jinja-Buwenge'!K70</f>
        <v>0</v>
      </c>
      <c r="L70" s="49">
        <f>'Avg Week Buwenge-Jinja'!L70+'Avg Week Jinja-Buwenge'!L70</f>
        <v>0</v>
      </c>
      <c r="M70" s="49">
        <f>'Avg Week Buwenge-Jinja'!M70+'Avg Week Jinja-Buwenge'!M70</f>
        <v>14</v>
      </c>
      <c r="N70" s="49">
        <f>'Avg Week Buwenge-Jinja'!N70+'Avg Week Jinja-Buwenge'!N70</f>
        <v>0</v>
      </c>
      <c r="O70" s="15">
        <f t="shared" si="0"/>
        <v>25</v>
      </c>
      <c r="P70" s="15">
        <f t="shared" si="1"/>
        <v>39</v>
      </c>
      <c r="R70" s="8"/>
      <c r="T70"/>
    </row>
    <row r="71" spans="2:20" ht="23.1" customHeight="1" x14ac:dyDescent="0.25">
      <c r="B71" s="23" t="s">
        <v>111</v>
      </c>
      <c r="C71" s="49">
        <f>'Avg Week Buwenge-Jinja'!C71+'Avg Week Jinja-Buwenge'!C71</f>
        <v>9.5</v>
      </c>
      <c r="D71" s="49">
        <f>'Avg Week Buwenge-Jinja'!D71+'Avg Week Jinja-Buwenge'!D71</f>
        <v>0.5</v>
      </c>
      <c r="E71" s="49">
        <f>'Avg Week Buwenge-Jinja'!E71+'Avg Week Jinja-Buwenge'!E71</f>
        <v>4</v>
      </c>
      <c r="F71" s="49">
        <f>'Avg Week Buwenge-Jinja'!F71+'Avg Week Jinja-Buwenge'!F71</f>
        <v>3</v>
      </c>
      <c r="G71" s="49">
        <f>'Avg Week Buwenge-Jinja'!G71+'Avg Week Jinja-Buwenge'!G71</f>
        <v>0.5</v>
      </c>
      <c r="H71" s="49">
        <f>'Avg Week Buwenge-Jinja'!H71+'Avg Week Jinja-Buwenge'!H71</f>
        <v>1</v>
      </c>
      <c r="I71" s="49">
        <f>'Avg Week Buwenge-Jinja'!I71+'Avg Week Jinja-Buwenge'!I71</f>
        <v>1.5</v>
      </c>
      <c r="J71" s="49">
        <f>'Avg Week Buwenge-Jinja'!J71+'Avg Week Jinja-Buwenge'!J71</f>
        <v>0</v>
      </c>
      <c r="K71" s="49">
        <f>'Avg Week Buwenge-Jinja'!K71+'Avg Week Jinja-Buwenge'!K71</f>
        <v>0</v>
      </c>
      <c r="L71" s="49">
        <f>'Avg Week Buwenge-Jinja'!L71+'Avg Week Jinja-Buwenge'!L71</f>
        <v>0</v>
      </c>
      <c r="M71" s="49">
        <f>'Avg Week Buwenge-Jinja'!M71+'Avg Week Jinja-Buwenge'!M71</f>
        <v>31.5</v>
      </c>
      <c r="N71" s="49">
        <f>'Avg Week Buwenge-Jinja'!N71+'Avg Week Jinja-Buwenge'!N71</f>
        <v>0</v>
      </c>
      <c r="O71" s="15">
        <f t="shared" si="0"/>
        <v>20</v>
      </c>
      <c r="P71" s="15">
        <f t="shared" si="1"/>
        <v>51.5</v>
      </c>
      <c r="R71" s="8"/>
      <c r="T71"/>
    </row>
    <row r="72" spans="2:20" ht="23.1" customHeight="1" x14ac:dyDescent="0.25">
      <c r="B72" s="23" t="s">
        <v>112</v>
      </c>
      <c r="C72" s="49">
        <f>'Avg Week Buwenge-Jinja'!C72+'Avg Week Jinja-Buwenge'!C72</f>
        <v>9</v>
      </c>
      <c r="D72" s="49">
        <f>'Avg Week Buwenge-Jinja'!D72+'Avg Week Jinja-Buwenge'!D72</f>
        <v>0</v>
      </c>
      <c r="E72" s="49">
        <f>'Avg Week Buwenge-Jinja'!E72+'Avg Week Jinja-Buwenge'!E72</f>
        <v>2.5</v>
      </c>
      <c r="F72" s="49">
        <f>'Avg Week Buwenge-Jinja'!F72+'Avg Week Jinja-Buwenge'!F72</f>
        <v>3.5</v>
      </c>
      <c r="G72" s="49">
        <f>'Avg Week Buwenge-Jinja'!G72+'Avg Week Jinja-Buwenge'!G72</f>
        <v>0</v>
      </c>
      <c r="H72" s="49">
        <f>'Avg Week Buwenge-Jinja'!H72+'Avg Week Jinja-Buwenge'!H72</f>
        <v>3.5</v>
      </c>
      <c r="I72" s="49">
        <f>'Avg Week Buwenge-Jinja'!I72+'Avg Week Jinja-Buwenge'!I72</f>
        <v>3</v>
      </c>
      <c r="J72" s="49">
        <f>'Avg Week Buwenge-Jinja'!J72+'Avg Week Jinja-Buwenge'!J72</f>
        <v>0</v>
      </c>
      <c r="K72" s="49">
        <f>'Avg Week Buwenge-Jinja'!K72+'Avg Week Jinja-Buwenge'!K72</f>
        <v>0</v>
      </c>
      <c r="L72" s="49">
        <f>'Avg Week Buwenge-Jinja'!L72+'Avg Week Jinja-Buwenge'!L72</f>
        <v>0</v>
      </c>
      <c r="M72" s="49">
        <f>'Avg Week Buwenge-Jinja'!M72+'Avg Week Jinja-Buwenge'!M72</f>
        <v>23</v>
      </c>
      <c r="N72" s="49">
        <f>'Avg Week Buwenge-Jinja'!N72+'Avg Week Jinja-Buwenge'!N72</f>
        <v>0</v>
      </c>
      <c r="O72" s="15">
        <f t="shared" si="0"/>
        <v>21.5</v>
      </c>
      <c r="P72" s="15">
        <f t="shared" si="1"/>
        <v>44.5</v>
      </c>
      <c r="R72" s="8"/>
      <c r="T72"/>
    </row>
    <row r="73" spans="2:20" ht="23.1" customHeight="1" x14ac:dyDescent="0.25">
      <c r="B73" s="23" t="s">
        <v>113</v>
      </c>
      <c r="C73" s="49">
        <f>'Avg Week Buwenge-Jinja'!C73+'Avg Week Jinja-Buwenge'!C73</f>
        <v>6</v>
      </c>
      <c r="D73" s="49">
        <f>'Avg Week Buwenge-Jinja'!D73+'Avg Week Jinja-Buwenge'!D73</f>
        <v>0.5</v>
      </c>
      <c r="E73" s="49">
        <f>'Avg Week Buwenge-Jinja'!E73+'Avg Week Jinja-Buwenge'!E73</f>
        <v>4.5</v>
      </c>
      <c r="F73" s="49">
        <f>'Avg Week Buwenge-Jinja'!F73+'Avg Week Jinja-Buwenge'!F73</f>
        <v>5</v>
      </c>
      <c r="G73" s="49">
        <f>'Avg Week Buwenge-Jinja'!G73+'Avg Week Jinja-Buwenge'!G73</f>
        <v>1.5</v>
      </c>
      <c r="H73" s="49">
        <f>'Avg Week Buwenge-Jinja'!H73+'Avg Week Jinja-Buwenge'!H73</f>
        <v>5</v>
      </c>
      <c r="I73" s="49">
        <f>'Avg Week Buwenge-Jinja'!I73+'Avg Week Jinja-Buwenge'!I73</f>
        <v>3</v>
      </c>
      <c r="J73" s="49">
        <f>'Avg Week Buwenge-Jinja'!J73+'Avg Week Jinja-Buwenge'!J73</f>
        <v>0</v>
      </c>
      <c r="K73" s="49">
        <f>'Avg Week Buwenge-Jinja'!K73+'Avg Week Jinja-Buwenge'!K73</f>
        <v>0</v>
      </c>
      <c r="L73" s="49">
        <f>'Avg Week Buwenge-Jinja'!L73+'Avg Week Jinja-Buwenge'!L73</f>
        <v>0</v>
      </c>
      <c r="M73" s="49">
        <f>'Avg Week Buwenge-Jinja'!M73+'Avg Week Jinja-Buwenge'!M73</f>
        <v>18</v>
      </c>
      <c r="N73" s="49">
        <f>'Avg Week Buwenge-Jinja'!N73+'Avg Week Jinja-Buwenge'!N73</f>
        <v>0</v>
      </c>
      <c r="O73" s="15">
        <f t="shared" si="0"/>
        <v>25.5</v>
      </c>
      <c r="P73" s="15">
        <f t="shared" si="1"/>
        <v>43.5</v>
      </c>
      <c r="R73" s="8"/>
      <c r="T73"/>
    </row>
    <row r="74" spans="2:20" ht="23.1" customHeight="1" x14ac:dyDescent="0.25">
      <c r="B74" s="23" t="s">
        <v>114</v>
      </c>
      <c r="C74" s="49">
        <f>'Avg Week Buwenge-Jinja'!C74+'Avg Week Jinja-Buwenge'!C74</f>
        <v>4</v>
      </c>
      <c r="D74" s="49">
        <f>'Avg Week Buwenge-Jinja'!D74+'Avg Week Jinja-Buwenge'!D74</f>
        <v>0</v>
      </c>
      <c r="E74" s="49">
        <f>'Avg Week Buwenge-Jinja'!E74+'Avg Week Jinja-Buwenge'!E74</f>
        <v>4</v>
      </c>
      <c r="F74" s="49">
        <f>'Avg Week Buwenge-Jinja'!F74+'Avg Week Jinja-Buwenge'!F74</f>
        <v>2.5</v>
      </c>
      <c r="G74" s="49">
        <f>'Avg Week Buwenge-Jinja'!G74+'Avg Week Jinja-Buwenge'!G74</f>
        <v>0</v>
      </c>
      <c r="H74" s="49">
        <f>'Avg Week Buwenge-Jinja'!H74+'Avg Week Jinja-Buwenge'!H74</f>
        <v>4.5</v>
      </c>
      <c r="I74" s="49">
        <f>'Avg Week Buwenge-Jinja'!I74+'Avg Week Jinja-Buwenge'!I74</f>
        <v>1.5</v>
      </c>
      <c r="J74" s="49">
        <f>'Avg Week Buwenge-Jinja'!J74+'Avg Week Jinja-Buwenge'!J74</f>
        <v>0</v>
      </c>
      <c r="K74" s="49">
        <f>'Avg Week Buwenge-Jinja'!K74+'Avg Week Jinja-Buwenge'!K74</f>
        <v>0</v>
      </c>
      <c r="L74" s="49">
        <f>'Avg Week Buwenge-Jinja'!L74+'Avg Week Jinja-Buwenge'!L74</f>
        <v>0</v>
      </c>
      <c r="M74" s="49">
        <f>'Avg Week Buwenge-Jinja'!M74+'Avg Week Jinja-Buwenge'!M74</f>
        <v>15</v>
      </c>
      <c r="N74" s="49">
        <f>'Avg Week Buwenge-Jinja'!N74+'Avg Week Jinja-Buwenge'!N74</f>
        <v>0</v>
      </c>
      <c r="O74" s="15">
        <f t="shared" ref="O74:O105" si="35">SUM(C74:L74,N74)</f>
        <v>16.5</v>
      </c>
      <c r="P74" s="15">
        <f t="shared" ref="P74:P105" si="36">SUM(C74:N74)</f>
        <v>31.5</v>
      </c>
      <c r="R74" s="8"/>
      <c r="T74"/>
    </row>
    <row r="75" spans="2:20" ht="23.1" customHeight="1" x14ac:dyDescent="0.25">
      <c r="B75" s="23" t="s">
        <v>115</v>
      </c>
      <c r="C75" s="49">
        <f>'Avg Week Buwenge-Jinja'!C75+'Avg Week Jinja-Buwenge'!C75</f>
        <v>3.5</v>
      </c>
      <c r="D75" s="49">
        <f>'Avg Week Buwenge-Jinja'!D75+'Avg Week Jinja-Buwenge'!D75</f>
        <v>0.5</v>
      </c>
      <c r="E75" s="49">
        <f>'Avg Week Buwenge-Jinja'!E75+'Avg Week Jinja-Buwenge'!E75</f>
        <v>2.5</v>
      </c>
      <c r="F75" s="49">
        <f>'Avg Week Buwenge-Jinja'!F75+'Avg Week Jinja-Buwenge'!F75</f>
        <v>4</v>
      </c>
      <c r="G75" s="49">
        <f>'Avg Week Buwenge-Jinja'!G75+'Avg Week Jinja-Buwenge'!G75</f>
        <v>1.5</v>
      </c>
      <c r="H75" s="49">
        <f>'Avg Week Buwenge-Jinja'!H75+'Avg Week Jinja-Buwenge'!H75</f>
        <v>4</v>
      </c>
      <c r="I75" s="49">
        <f>'Avg Week Buwenge-Jinja'!I75+'Avg Week Jinja-Buwenge'!I75</f>
        <v>0</v>
      </c>
      <c r="J75" s="49">
        <f>'Avg Week Buwenge-Jinja'!J75+'Avg Week Jinja-Buwenge'!J75</f>
        <v>0</v>
      </c>
      <c r="K75" s="49">
        <f>'Avg Week Buwenge-Jinja'!K75+'Avg Week Jinja-Buwenge'!K75</f>
        <v>0</v>
      </c>
      <c r="L75" s="49">
        <f>'Avg Week Buwenge-Jinja'!L75+'Avg Week Jinja-Buwenge'!L75</f>
        <v>0</v>
      </c>
      <c r="M75" s="49">
        <f>'Avg Week Buwenge-Jinja'!M75+'Avg Week Jinja-Buwenge'!M75</f>
        <v>18</v>
      </c>
      <c r="N75" s="49">
        <f>'Avg Week Buwenge-Jinja'!N75+'Avg Week Jinja-Buwenge'!N75</f>
        <v>0.5</v>
      </c>
      <c r="O75" s="15">
        <f t="shared" si="35"/>
        <v>16.5</v>
      </c>
      <c r="P75" s="15">
        <f t="shared" si="36"/>
        <v>34.5</v>
      </c>
      <c r="R75" s="8"/>
      <c r="T75"/>
    </row>
    <row r="76" spans="2:20" ht="23.1" customHeight="1" x14ac:dyDescent="0.25">
      <c r="B76" s="23" t="s">
        <v>116</v>
      </c>
      <c r="C76" s="49">
        <f>'Avg Week Buwenge-Jinja'!C76+'Avg Week Jinja-Buwenge'!C76</f>
        <v>2.5</v>
      </c>
      <c r="D76" s="49">
        <f>'Avg Week Buwenge-Jinja'!D76+'Avg Week Jinja-Buwenge'!D76</f>
        <v>0</v>
      </c>
      <c r="E76" s="49">
        <f>'Avg Week Buwenge-Jinja'!E76+'Avg Week Jinja-Buwenge'!E76</f>
        <v>3</v>
      </c>
      <c r="F76" s="49">
        <f>'Avg Week Buwenge-Jinja'!F76+'Avg Week Jinja-Buwenge'!F76</f>
        <v>3.5</v>
      </c>
      <c r="G76" s="49">
        <f>'Avg Week Buwenge-Jinja'!G76+'Avg Week Jinja-Buwenge'!G76</f>
        <v>0.5</v>
      </c>
      <c r="H76" s="49">
        <f>'Avg Week Buwenge-Jinja'!H76+'Avg Week Jinja-Buwenge'!H76</f>
        <v>1.5</v>
      </c>
      <c r="I76" s="49">
        <f>'Avg Week Buwenge-Jinja'!I76+'Avg Week Jinja-Buwenge'!I76</f>
        <v>1.5</v>
      </c>
      <c r="J76" s="49">
        <f>'Avg Week Buwenge-Jinja'!J76+'Avg Week Jinja-Buwenge'!J76</f>
        <v>0</v>
      </c>
      <c r="K76" s="49">
        <f>'Avg Week Buwenge-Jinja'!K76+'Avg Week Jinja-Buwenge'!K76</f>
        <v>0</v>
      </c>
      <c r="L76" s="49">
        <f>'Avg Week Buwenge-Jinja'!L76+'Avg Week Jinja-Buwenge'!L76</f>
        <v>0</v>
      </c>
      <c r="M76" s="49">
        <f>'Avg Week Buwenge-Jinja'!M76+'Avg Week Jinja-Buwenge'!M76</f>
        <v>16.5</v>
      </c>
      <c r="N76" s="49">
        <f>'Avg Week Buwenge-Jinja'!N76+'Avg Week Jinja-Buwenge'!N76</f>
        <v>0</v>
      </c>
      <c r="O76" s="15">
        <f t="shared" si="35"/>
        <v>12.5</v>
      </c>
      <c r="P76" s="15">
        <f t="shared" si="36"/>
        <v>29</v>
      </c>
      <c r="R76" s="8"/>
      <c r="T76"/>
    </row>
    <row r="77" spans="2:20" ht="23.1" customHeight="1" x14ac:dyDescent="0.25">
      <c r="B77" s="23" t="s">
        <v>117</v>
      </c>
      <c r="C77" s="49">
        <f>'Avg Week Buwenge-Jinja'!C77+'Avg Week Jinja-Buwenge'!C77</f>
        <v>3</v>
      </c>
      <c r="D77" s="49">
        <f>'Avg Week Buwenge-Jinja'!D77+'Avg Week Jinja-Buwenge'!D77</f>
        <v>0.5</v>
      </c>
      <c r="E77" s="49">
        <f>'Avg Week Buwenge-Jinja'!E77+'Avg Week Jinja-Buwenge'!E77</f>
        <v>3.5</v>
      </c>
      <c r="F77" s="49">
        <f>'Avg Week Buwenge-Jinja'!F77+'Avg Week Jinja-Buwenge'!F77</f>
        <v>3.5</v>
      </c>
      <c r="G77" s="49">
        <f>'Avg Week Buwenge-Jinja'!G77+'Avg Week Jinja-Buwenge'!G77</f>
        <v>0</v>
      </c>
      <c r="H77" s="49">
        <f>'Avg Week Buwenge-Jinja'!H77+'Avg Week Jinja-Buwenge'!H77</f>
        <v>4</v>
      </c>
      <c r="I77" s="49">
        <f>'Avg Week Buwenge-Jinja'!I77+'Avg Week Jinja-Buwenge'!I77</f>
        <v>1.5</v>
      </c>
      <c r="J77" s="49">
        <f>'Avg Week Buwenge-Jinja'!J77+'Avg Week Jinja-Buwenge'!J77</f>
        <v>0</v>
      </c>
      <c r="K77" s="49">
        <f>'Avg Week Buwenge-Jinja'!K77+'Avg Week Jinja-Buwenge'!K77</f>
        <v>0</v>
      </c>
      <c r="L77" s="49">
        <f>'Avg Week Buwenge-Jinja'!L77+'Avg Week Jinja-Buwenge'!L77</f>
        <v>0</v>
      </c>
      <c r="M77" s="49">
        <f>'Avg Week Buwenge-Jinja'!M77+'Avg Week Jinja-Buwenge'!M77</f>
        <v>12</v>
      </c>
      <c r="N77" s="49">
        <f>'Avg Week Buwenge-Jinja'!N77+'Avg Week Jinja-Buwenge'!N77</f>
        <v>0</v>
      </c>
      <c r="O77" s="15">
        <f t="shared" si="35"/>
        <v>16</v>
      </c>
      <c r="P77" s="15">
        <f t="shared" si="36"/>
        <v>28</v>
      </c>
      <c r="R77" s="8"/>
      <c r="T77"/>
    </row>
    <row r="78" spans="2:20" ht="23.1" customHeight="1" x14ac:dyDescent="0.25">
      <c r="B78" s="24" t="s">
        <v>118</v>
      </c>
      <c r="C78" s="49">
        <f>'Avg Week Buwenge-Jinja'!C78+'Avg Week Jinja-Buwenge'!C78</f>
        <v>4</v>
      </c>
      <c r="D78" s="49">
        <f>'Avg Week Buwenge-Jinja'!D78+'Avg Week Jinja-Buwenge'!D78</f>
        <v>0</v>
      </c>
      <c r="E78" s="49">
        <f>'Avg Week Buwenge-Jinja'!E78+'Avg Week Jinja-Buwenge'!E78</f>
        <v>2</v>
      </c>
      <c r="F78" s="49">
        <f>'Avg Week Buwenge-Jinja'!F78+'Avg Week Jinja-Buwenge'!F78</f>
        <v>1</v>
      </c>
      <c r="G78" s="49">
        <f>'Avg Week Buwenge-Jinja'!G78+'Avg Week Jinja-Buwenge'!G78</f>
        <v>0.5</v>
      </c>
      <c r="H78" s="49">
        <f>'Avg Week Buwenge-Jinja'!H78+'Avg Week Jinja-Buwenge'!H78</f>
        <v>1.5</v>
      </c>
      <c r="I78" s="49">
        <f>'Avg Week Buwenge-Jinja'!I78+'Avg Week Jinja-Buwenge'!I78</f>
        <v>2</v>
      </c>
      <c r="J78" s="49">
        <f>'Avg Week Buwenge-Jinja'!J78+'Avg Week Jinja-Buwenge'!J78</f>
        <v>0</v>
      </c>
      <c r="K78" s="49">
        <f>'Avg Week Buwenge-Jinja'!K78+'Avg Week Jinja-Buwenge'!K78</f>
        <v>0</v>
      </c>
      <c r="L78" s="49">
        <f>'Avg Week Buwenge-Jinja'!L78+'Avg Week Jinja-Buwenge'!L78</f>
        <v>0</v>
      </c>
      <c r="M78" s="49">
        <f>'Avg Week Buwenge-Jinja'!M78+'Avg Week Jinja-Buwenge'!M78</f>
        <v>9.5</v>
      </c>
      <c r="N78" s="49">
        <f>'Avg Week Buwenge-Jinja'!N78+'Avg Week Jinja-Buwenge'!N78</f>
        <v>0</v>
      </c>
      <c r="O78" s="15">
        <f t="shared" si="35"/>
        <v>11</v>
      </c>
      <c r="P78" s="15">
        <f t="shared" si="36"/>
        <v>20.5</v>
      </c>
      <c r="R78" s="8"/>
      <c r="T78"/>
    </row>
    <row r="79" spans="2:20" ht="23.1" customHeight="1" x14ac:dyDescent="0.25">
      <c r="B79" s="23" t="s">
        <v>119</v>
      </c>
      <c r="C79" s="49">
        <f>'Avg Week Buwenge-Jinja'!C79+'Avg Week Jinja-Buwenge'!C79</f>
        <v>1</v>
      </c>
      <c r="D79" s="49">
        <f>'Avg Week Buwenge-Jinja'!D79+'Avg Week Jinja-Buwenge'!D79</f>
        <v>0</v>
      </c>
      <c r="E79" s="49">
        <f>'Avg Week Buwenge-Jinja'!E79+'Avg Week Jinja-Buwenge'!E79</f>
        <v>2</v>
      </c>
      <c r="F79" s="49">
        <f>'Avg Week Buwenge-Jinja'!F79+'Avg Week Jinja-Buwenge'!F79</f>
        <v>2</v>
      </c>
      <c r="G79" s="49">
        <f>'Avg Week Buwenge-Jinja'!G79+'Avg Week Jinja-Buwenge'!G79</f>
        <v>0</v>
      </c>
      <c r="H79" s="49">
        <f>'Avg Week Buwenge-Jinja'!H79+'Avg Week Jinja-Buwenge'!H79</f>
        <v>1.5</v>
      </c>
      <c r="I79" s="49">
        <f>'Avg Week Buwenge-Jinja'!I79+'Avg Week Jinja-Buwenge'!I79</f>
        <v>0</v>
      </c>
      <c r="J79" s="49">
        <f>'Avg Week Buwenge-Jinja'!J79+'Avg Week Jinja-Buwenge'!J79</f>
        <v>0</v>
      </c>
      <c r="K79" s="49">
        <f>'Avg Week Buwenge-Jinja'!K79+'Avg Week Jinja-Buwenge'!K79</f>
        <v>0</v>
      </c>
      <c r="L79" s="49">
        <f>'Avg Week Buwenge-Jinja'!L79+'Avg Week Jinja-Buwenge'!L79</f>
        <v>0</v>
      </c>
      <c r="M79" s="49">
        <f>'Avg Week Buwenge-Jinja'!M79+'Avg Week Jinja-Buwenge'!M79</f>
        <v>5.5</v>
      </c>
      <c r="N79" s="49">
        <f>'Avg Week Buwenge-Jinja'!N79+'Avg Week Jinja-Buwenge'!N79</f>
        <v>0</v>
      </c>
      <c r="O79" s="15">
        <f t="shared" si="35"/>
        <v>6.5</v>
      </c>
      <c r="P79" s="15">
        <f t="shared" si="36"/>
        <v>12</v>
      </c>
      <c r="R79" s="8"/>
      <c r="T79"/>
    </row>
    <row r="80" spans="2:20" ht="23.1" customHeight="1" x14ac:dyDescent="0.25">
      <c r="B80" s="25" t="s">
        <v>120</v>
      </c>
      <c r="C80" s="49">
        <f>'Avg Week Buwenge-Jinja'!C80+'Avg Week Jinja-Buwenge'!C80</f>
        <v>3</v>
      </c>
      <c r="D80" s="49">
        <f>'Avg Week Buwenge-Jinja'!D80+'Avg Week Jinja-Buwenge'!D80</f>
        <v>0</v>
      </c>
      <c r="E80" s="49">
        <f>'Avg Week Buwenge-Jinja'!E80+'Avg Week Jinja-Buwenge'!E80</f>
        <v>2.5</v>
      </c>
      <c r="F80" s="49">
        <f>'Avg Week Buwenge-Jinja'!F80+'Avg Week Jinja-Buwenge'!F80</f>
        <v>0</v>
      </c>
      <c r="G80" s="49">
        <f>'Avg Week Buwenge-Jinja'!G80+'Avg Week Jinja-Buwenge'!G80</f>
        <v>0</v>
      </c>
      <c r="H80" s="49">
        <f>'Avg Week Buwenge-Jinja'!H80+'Avg Week Jinja-Buwenge'!H80</f>
        <v>3</v>
      </c>
      <c r="I80" s="49">
        <f>'Avg Week Buwenge-Jinja'!I80+'Avg Week Jinja-Buwenge'!I80</f>
        <v>1</v>
      </c>
      <c r="J80" s="49">
        <f>'Avg Week Buwenge-Jinja'!J80+'Avg Week Jinja-Buwenge'!J80</f>
        <v>0</v>
      </c>
      <c r="K80" s="49">
        <f>'Avg Week Buwenge-Jinja'!K80+'Avg Week Jinja-Buwenge'!K80</f>
        <v>0</v>
      </c>
      <c r="L80" s="49">
        <f>'Avg Week Buwenge-Jinja'!L80+'Avg Week Jinja-Buwenge'!L80</f>
        <v>0</v>
      </c>
      <c r="M80" s="49">
        <f>'Avg Week Buwenge-Jinja'!M80+'Avg Week Jinja-Buwenge'!M80</f>
        <v>8.5</v>
      </c>
      <c r="N80" s="49">
        <f>'Avg Week Buwenge-Jinja'!N80+'Avg Week Jinja-Buwenge'!N80</f>
        <v>0</v>
      </c>
      <c r="O80" s="15">
        <f t="shared" si="35"/>
        <v>9.5</v>
      </c>
      <c r="P80" s="15">
        <f t="shared" si="36"/>
        <v>18</v>
      </c>
      <c r="R80" s="8"/>
      <c r="T80"/>
    </row>
    <row r="81" spans="2:20" ht="23.1" customHeight="1" x14ac:dyDescent="0.25">
      <c r="B81" s="23" t="s">
        <v>121</v>
      </c>
      <c r="C81" s="49">
        <f>'Avg Week Buwenge-Jinja'!C81+'Avg Week Jinja-Buwenge'!C81</f>
        <v>3</v>
      </c>
      <c r="D81" s="49">
        <f>'Avg Week Buwenge-Jinja'!D81+'Avg Week Jinja-Buwenge'!D81</f>
        <v>0</v>
      </c>
      <c r="E81" s="49">
        <f>'Avg Week Buwenge-Jinja'!E81+'Avg Week Jinja-Buwenge'!E81</f>
        <v>2.5</v>
      </c>
      <c r="F81" s="49">
        <f>'Avg Week Buwenge-Jinja'!F81+'Avg Week Jinja-Buwenge'!F81</f>
        <v>1</v>
      </c>
      <c r="G81" s="49">
        <f>'Avg Week Buwenge-Jinja'!G81+'Avg Week Jinja-Buwenge'!G81</f>
        <v>0</v>
      </c>
      <c r="H81" s="49">
        <f>'Avg Week Buwenge-Jinja'!H81+'Avg Week Jinja-Buwenge'!H81</f>
        <v>2</v>
      </c>
      <c r="I81" s="49">
        <f>'Avg Week Buwenge-Jinja'!I81+'Avg Week Jinja-Buwenge'!I81</f>
        <v>1.5</v>
      </c>
      <c r="J81" s="49">
        <f>'Avg Week Buwenge-Jinja'!J81+'Avg Week Jinja-Buwenge'!J81</f>
        <v>0</v>
      </c>
      <c r="K81" s="49">
        <f>'Avg Week Buwenge-Jinja'!K81+'Avg Week Jinja-Buwenge'!K81</f>
        <v>0</v>
      </c>
      <c r="L81" s="49">
        <f>'Avg Week Buwenge-Jinja'!L81+'Avg Week Jinja-Buwenge'!L81</f>
        <v>0</v>
      </c>
      <c r="M81" s="49">
        <f>'Avg Week Buwenge-Jinja'!M81+'Avg Week Jinja-Buwenge'!M81</f>
        <v>4.5</v>
      </c>
      <c r="N81" s="49">
        <f>'Avg Week Buwenge-Jinja'!N81+'Avg Week Jinja-Buwenge'!N81</f>
        <v>0</v>
      </c>
      <c r="O81" s="15">
        <f t="shared" si="35"/>
        <v>10</v>
      </c>
      <c r="P81" s="15">
        <f t="shared" si="36"/>
        <v>14.5</v>
      </c>
      <c r="R81" s="8"/>
      <c r="T81"/>
    </row>
    <row r="82" spans="2:20" ht="23.1" customHeight="1" x14ac:dyDescent="0.25">
      <c r="B82" s="24" t="s">
        <v>122</v>
      </c>
      <c r="C82" s="49">
        <f>'Avg Week Buwenge-Jinja'!C82+'Avg Week Jinja-Buwenge'!C82</f>
        <v>1.5</v>
      </c>
      <c r="D82" s="49">
        <f>'Avg Week Buwenge-Jinja'!D82+'Avg Week Jinja-Buwenge'!D82</f>
        <v>0</v>
      </c>
      <c r="E82" s="49">
        <f>'Avg Week Buwenge-Jinja'!E82+'Avg Week Jinja-Buwenge'!E82</f>
        <v>1</v>
      </c>
      <c r="F82" s="49">
        <f>'Avg Week Buwenge-Jinja'!F82+'Avg Week Jinja-Buwenge'!F82</f>
        <v>1</v>
      </c>
      <c r="G82" s="49">
        <f>'Avg Week Buwenge-Jinja'!G82+'Avg Week Jinja-Buwenge'!G82</f>
        <v>0</v>
      </c>
      <c r="H82" s="49">
        <f>'Avg Week Buwenge-Jinja'!H82+'Avg Week Jinja-Buwenge'!H82</f>
        <v>0.5</v>
      </c>
      <c r="I82" s="49">
        <f>'Avg Week Buwenge-Jinja'!I82+'Avg Week Jinja-Buwenge'!I82</f>
        <v>1.5</v>
      </c>
      <c r="J82" s="49">
        <f>'Avg Week Buwenge-Jinja'!J82+'Avg Week Jinja-Buwenge'!J82</f>
        <v>0</v>
      </c>
      <c r="K82" s="49">
        <f>'Avg Week Buwenge-Jinja'!K82+'Avg Week Jinja-Buwenge'!K82</f>
        <v>0</v>
      </c>
      <c r="L82" s="49">
        <f>'Avg Week Buwenge-Jinja'!L82+'Avg Week Jinja-Buwenge'!L82</f>
        <v>0</v>
      </c>
      <c r="M82" s="49">
        <f>'Avg Week Buwenge-Jinja'!M82+'Avg Week Jinja-Buwenge'!M82</f>
        <v>8.5</v>
      </c>
      <c r="N82" s="49">
        <f>'Avg Week Buwenge-Jinja'!N82+'Avg Week Jinja-Buwenge'!N82</f>
        <v>0</v>
      </c>
      <c r="O82" s="15">
        <f t="shared" si="35"/>
        <v>5.5</v>
      </c>
      <c r="P82" s="15">
        <f t="shared" si="36"/>
        <v>14</v>
      </c>
      <c r="R82" s="8"/>
      <c r="T82"/>
    </row>
    <row r="83" spans="2:20" ht="23.1" customHeight="1" x14ac:dyDescent="0.25">
      <c r="B83" s="23" t="s">
        <v>123</v>
      </c>
      <c r="C83" s="49">
        <f>'Avg Week Buwenge-Jinja'!C83+'Avg Week Jinja-Buwenge'!C83</f>
        <v>4</v>
      </c>
      <c r="D83" s="49">
        <f>'Avg Week Buwenge-Jinja'!D83+'Avg Week Jinja-Buwenge'!D83</f>
        <v>0</v>
      </c>
      <c r="E83" s="49">
        <f>'Avg Week Buwenge-Jinja'!E83+'Avg Week Jinja-Buwenge'!E83</f>
        <v>0.5</v>
      </c>
      <c r="F83" s="49">
        <f>'Avg Week Buwenge-Jinja'!F83+'Avg Week Jinja-Buwenge'!F83</f>
        <v>0.5</v>
      </c>
      <c r="G83" s="49">
        <f>'Avg Week Buwenge-Jinja'!G83+'Avg Week Jinja-Buwenge'!G83</f>
        <v>0</v>
      </c>
      <c r="H83" s="49">
        <f>'Avg Week Buwenge-Jinja'!H83+'Avg Week Jinja-Buwenge'!H83</f>
        <v>0</v>
      </c>
      <c r="I83" s="49">
        <f>'Avg Week Buwenge-Jinja'!I83+'Avg Week Jinja-Buwenge'!I83</f>
        <v>1.5</v>
      </c>
      <c r="J83" s="49">
        <f>'Avg Week Buwenge-Jinja'!J83+'Avg Week Jinja-Buwenge'!J83</f>
        <v>0.5</v>
      </c>
      <c r="K83" s="49">
        <f>'Avg Week Buwenge-Jinja'!K83+'Avg Week Jinja-Buwenge'!K83</f>
        <v>0</v>
      </c>
      <c r="L83" s="49">
        <f>'Avg Week Buwenge-Jinja'!L83+'Avg Week Jinja-Buwenge'!L83</f>
        <v>0</v>
      </c>
      <c r="M83" s="49">
        <f>'Avg Week Buwenge-Jinja'!M83+'Avg Week Jinja-Buwenge'!M83</f>
        <v>7</v>
      </c>
      <c r="N83" s="49">
        <f>'Avg Week Buwenge-Jinja'!N83+'Avg Week Jinja-Buwenge'!N83</f>
        <v>0</v>
      </c>
      <c r="O83" s="15">
        <f t="shared" si="35"/>
        <v>7</v>
      </c>
      <c r="P83" s="15">
        <f t="shared" si="36"/>
        <v>14</v>
      </c>
      <c r="R83" s="8"/>
      <c r="T83"/>
    </row>
    <row r="84" spans="2:20" ht="23.1" customHeight="1" x14ac:dyDescent="0.25">
      <c r="B84" s="25" t="s">
        <v>124</v>
      </c>
      <c r="C84" s="49">
        <f>'Avg Week Buwenge-Jinja'!C84+'Avg Week Jinja-Buwenge'!C84</f>
        <v>2</v>
      </c>
      <c r="D84" s="49">
        <f>'Avg Week Buwenge-Jinja'!D84+'Avg Week Jinja-Buwenge'!D84</f>
        <v>0</v>
      </c>
      <c r="E84" s="49">
        <f>'Avg Week Buwenge-Jinja'!E84+'Avg Week Jinja-Buwenge'!E84</f>
        <v>1</v>
      </c>
      <c r="F84" s="49">
        <f>'Avg Week Buwenge-Jinja'!F84+'Avg Week Jinja-Buwenge'!F84</f>
        <v>1</v>
      </c>
      <c r="G84" s="49">
        <f>'Avg Week Buwenge-Jinja'!G84+'Avg Week Jinja-Buwenge'!G84</f>
        <v>0</v>
      </c>
      <c r="H84" s="49">
        <f>'Avg Week Buwenge-Jinja'!H84+'Avg Week Jinja-Buwenge'!H84</f>
        <v>0.5</v>
      </c>
      <c r="I84" s="49">
        <f>'Avg Week Buwenge-Jinja'!I84+'Avg Week Jinja-Buwenge'!I84</f>
        <v>0.5</v>
      </c>
      <c r="J84" s="49">
        <f>'Avg Week Buwenge-Jinja'!J84+'Avg Week Jinja-Buwenge'!J84</f>
        <v>0</v>
      </c>
      <c r="K84" s="49">
        <f>'Avg Week Buwenge-Jinja'!K84+'Avg Week Jinja-Buwenge'!K84</f>
        <v>0</v>
      </c>
      <c r="L84" s="49">
        <f>'Avg Week Buwenge-Jinja'!L84+'Avg Week Jinja-Buwenge'!L84</f>
        <v>0</v>
      </c>
      <c r="M84" s="49">
        <f>'Avg Week Buwenge-Jinja'!M84+'Avg Week Jinja-Buwenge'!M84</f>
        <v>1.5</v>
      </c>
      <c r="N84" s="49">
        <f>'Avg Week Buwenge-Jinja'!N84+'Avg Week Jinja-Buwenge'!N84</f>
        <v>0</v>
      </c>
      <c r="O84" s="15">
        <f t="shared" si="35"/>
        <v>5</v>
      </c>
      <c r="P84" s="15">
        <f t="shared" si="36"/>
        <v>6.5</v>
      </c>
      <c r="R84" s="8"/>
      <c r="T84"/>
    </row>
    <row r="85" spans="2:20" ht="23.1" customHeight="1" x14ac:dyDescent="0.25">
      <c r="B85" s="23" t="s">
        <v>125</v>
      </c>
      <c r="C85" s="49">
        <f>'Avg Week Buwenge-Jinja'!C85+'Avg Week Jinja-Buwenge'!C85</f>
        <v>1</v>
      </c>
      <c r="D85" s="49">
        <f>'Avg Week Buwenge-Jinja'!D85+'Avg Week Jinja-Buwenge'!D85</f>
        <v>0</v>
      </c>
      <c r="E85" s="49">
        <f>'Avg Week Buwenge-Jinja'!E85+'Avg Week Jinja-Buwenge'!E85</f>
        <v>0.5</v>
      </c>
      <c r="F85" s="49">
        <f>'Avg Week Buwenge-Jinja'!F85+'Avg Week Jinja-Buwenge'!F85</f>
        <v>0</v>
      </c>
      <c r="G85" s="49">
        <f>'Avg Week Buwenge-Jinja'!G85+'Avg Week Jinja-Buwenge'!G85</f>
        <v>0</v>
      </c>
      <c r="H85" s="49">
        <f>'Avg Week Buwenge-Jinja'!H85+'Avg Week Jinja-Buwenge'!H85</f>
        <v>0</v>
      </c>
      <c r="I85" s="49">
        <f>'Avg Week Buwenge-Jinja'!I85+'Avg Week Jinja-Buwenge'!I85</f>
        <v>0.5</v>
      </c>
      <c r="J85" s="49">
        <f>'Avg Week Buwenge-Jinja'!J85+'Avg Week Jinja-Buwenge'!J85</f>
        <v>0</v>
      </c>
      <c r="K85" s="49">
        <f>'Avg Week Buwenge-Jinja'!K85+'Avg Week Jinja-Buwenge'!K85</f>
        <v>0</v>
      </c>
      <c r="L85" s="49">
        <f>'Avg Week Buwenge-Jinja'!L85+'Avg Week Jinja-Buwenge'!L85</f>
        <v>0</v>
      </c>
      <c r="M85" s="49">
        <f>'Avg Week Buwenge-Jinja'!M85+'Avg Week Jinja-Buwenge'!M85</f>
        <v>1.5</v>
      </c>
      <c r="N85" s="49">
        <f>'Avg Week Buwenge-Jinja'!N85+'Avg Week Jinja-Buwenge'!N85</f>
        <v>0</v>
      </c>
      <c r="O85" s="15">
        <f t="shared" si="35"/>
        <v>2</v>
      </c>
      <c r="P85" s="15">
        <f t="shared" si="36"/>
        <v>3.5</v>
      </c>
      <c r="R85" s="8"/>
      <c r="T85"/>
    </row>
    <row r="86" spans="2:20" ht="23.1" customHeight="1" x14ac:dyDescent="0.25">
      <c r="B86" s="24" t="s">
        <v>126</v>
      </c>
      <c r="C86" s="49">
        <f>'Avg Week Buwenge-Jinja'!C86+'Avg Week Jinja-Buwenge'!C86</f>
        <v>0.5</v>
      </c>
      <c r="D86" s="49">
        <f>'Avg Week Buwenge-Jinja'!D86+'Avg Week Jinja-Buwenge'!D86</f>
        <v>0</v>
      </c>
      <c r="E86" s="49">
        <f>'Avg Week Buwenge-Jinja'!E86+'Avg Week Jinja-Buwenge'!E86</f>
        <v>0.5</v>
      </c>
      <c r="F86" s="49">
        <f>'Avg Week Buwenge-Jinja'!F86+'Avg Week Jinja-Buwenge'!F86</f>
        <v>0.5</v>
      </c>
      <c r="G86" s="49">
        <f>'Avg Week Buwenge-Jinja'!G86+'Avg Week Jinja-Buwenge'!G86</f>
        <v>0</v>
      </c>
      <c r="H86" s="49">
        <f>'Avg Week Buwenge-Jinja'!H86+'Avg Week Jinja-Buwenge'!H86</f>
        <v>0</v>
      </c>
      <c r="I86" s="49">
        <f>'Avg Week Buwenge-Jinja'!I86+'Avg Week Jinja-Buwenge'!I86</f>
        <v>2</v>
      </c>
      <c r="J86" s="49">
        <f>'Avg Week Buwenge-Jinja'!J86+'Avg Week Jinja-Buwenge'!J86</f>
        <v>1</v>
      </c>
      <c r="K86" s="49">
        <f>'Avg Week Buwenge-Jinja'!K86+'Avg Week Jinja-Buwenge'!K86</f>
        <v>0</v>
      </c>
      <c r="L86" s="49">
        <f>'Avg Week Buwenge-Jinja'!L86+'Avg Week Jinja-Buwenge'!L86</f>
        <v>0</v>
      </c>
      <c r="M86" s="49">
        <f>'Avg Week Buwenge-Jinja'!M86+'Avg Week Jinja-Buwenge'!M86</f>
        <v>2</v>
      </c>
      <c r="N86" s="49">
        <f>'Avg Week Buwenge-Jinja'!N86+'Avg Week Jinja-Buwenge'!N86</f>
        <v>0</v>
      </c>
      <c r="O86" s="15">
        <f t="shared" si="35"/>
        <v>4.5</v>
      </c>
      <c r="P86" s="15">
        <f t="shared" si="36"/>
        <v>6.5</v>
      </c>
      <c r="R86" s="8"/>
      <c r="T86"/>
    </row>
    <row r="87" spans="2:20" ht="23.1" customHeight="1" x14ac:dyDescent="0.25">
      <c r="B87" s="23" t="s">
        <v>127</v>
      </c>
      <c r="C87" s="49">
        <f>'Avg Week Buwenge-Jinja'!C87+'Avg Week Jinja-Buwenge'!C87</f>
        <v>0.5</v>
      </c>
      <c r="D87" s="49">
        <f>'Avg Week Buwenge-Jinja'!D87+'Avg Week Jinja-Buwenge'!D87</f>
        <v>0</v>
      </c>
      <c r="E87" s="49">
        <f>'Avg Week Buwenge-Jinja'!E87+'Avg Week Jinja-Buwenge'!E87</f>
        <v>1</v>
      </c>
      <c r="F87" s="49">
        <f>'Avg Week Buwenge-Jinja'!F87+'Avg Week Jinja-Buwenge'!F87</f>
        <v>0.5</v>
      </c>
      <c r="G87" s="49">
        <f>'Avg Week Buwenge-Jinja'!G87+'Avg Week Jinja-Buwenge'!G87</f>
        <v>0</v>
      </c>
      <c r="H87" s="49">
        <f>'Avg Week Buwenge-Jinja'!H87+'Avg Week Jinja-Buwenge'!H87</f>
        <v>1</v>
      </c>
      <c r="I87" s="49">
        <f>'Avg Week Buwenge-Jinja'!I87+'Avg Week Jinja-Buwenge'!I87</f>
        <v>0.5</v>
      </c>
      <c r="J87" s="49">
        <f>'Avg Week Buwenge-Jinja'!J87+'Avg Week Jinja-Buwenge'!J87</f>
        <v>0</v>
      </c>
      <c r="K87" s="49">
        <f>'Avg Week Buwenge-Jinja'!K87+'Avg Week Jinja-Buwenge'!K87</f>
        <v>0</v>
      </c>
      <c r="L87" s="49">
        <f>'Avg Week Buwenge-Jinja'!L87+'Avg Week Jinja-Buwenge'!L87</f>
        <v>0</v>
      </c>
      <c r="M87" s="49">
        <f>'Avg Week Buwenge-Jinja'!M87+'Avg Week Jinja-Buwenge'!M87</f>
        <v>0</v>
      </c>
      <c r="N87" s="49">
        <f>'Avg Week Buwenge-Jinja'!N87+'Avg Week Jinja-Buwenge'!N87</f>
        <v>0</v>
      </c>
      <c r="O87" s="15">
        <f t="shared" si="35"/>
        <v>3.5</v>
      </c>
      <c r="P87" s="15">
        <f t="shared" si="36"/>
        <v>3.5</v>
      </c>
      <c r="R87" s="8"/>
      <c r="T87"/>
    </row>
    <row r="88" spans="2:20" ht="23.1" customHeight="1" x14ac:dyDescent="0.25">
      <c r="B88" s="25" t="s">
        <v>128</v>
      </c>
      <c r="C88" s="49">
        <f>'Avg Week Buwenge-Jinja'!C88+'Avg Week Jinja-Buwenge'!C88</f>
        <v>0</v>
      </c>
      <c r="D88" s="49">
        <f>'Avg Week Buwenge-Jinja'!D88+'Avg Week Jinja-Buwenge'!D88</f>
        <v>0</v>
      </c>
      <c r="E88" s="49">
        <f>'Avg Week Buwenge-Jinja'!E88+'Avg Week Jinja-Buwenge'!E88</f>
        <v>0</v>
      </c>
      <c r="F88" s="49">
        <f>'Avg Week Buwenge-Jinja'!F88+'Avg Week Jinja-Buwenge'!F88</f>
        <v>0</v>
      </c>
      <c r="G88" s="49">
        <f>'Avg Week Buwenge-Jinja'!G88+'Avg Week Jinja-Buwenge'!G88</f>
        <v>0</v>
      </c>
      <c r="H88" s="49">
        <f>'Avg Week Buwenge-Jinja'!H88+'Avg Week Jinja-Buwenge'!H88</f>
        <v>0</v>
      </c>
      <c r="I88" s="49">
        <f>'Avg Week Buwenge-Jinja'!I88+'Avg Week Jinja-Buwenge'!I88</f>
        <v>1</v>
      </c>
      <c r="J88" s="49">
        <f>'Avg Week Buwenge-Jinja'!J88+'Avg Week Jinja-Buwenge'!J88</f>
        <v>0</v>
      </c>
      <c r="K88" s="49">
        <f>'Avg Week Buwenge-Jinja'!K88+'Avg Week Jinja-Buwenge'!K88</f>
        <v>0</v>
      </c>
      <c r="L88" s="49">
        <f>'Avg Week Buwenge-Jinja'!L88+'Avg Week Jinja-Buwenge'!L88</f>
        <v>0</v>
      </c>
      <c r="M88" s="49">
        <f>'Avg Week Buwenge-Jinja'!M88+'Avg Week Jinja-Buwenge'!M88</f>
        <v>1.5</v>
      </c>
      <c r="N88" s="49">
        <f>'Avg Week Buwenge-Jinja'!N88+'Avg Week Jinja-Buwenge'!N88</f>
        <v>0</v>
      </c>
      <c r="O88" s="15">
        <f t="shared" si="35"/>
        <v>1</v>
      </c>
      <c r="P88" s="15">
        <f t="shared" si="36"/>
        <v>2.5</v>
      </c>
      <c r="R88" s="8"/>
      <c r="T88"/>
    </row>
    <row r="89" spans="2:20" ht="23.1" customHeight="1" x14ac:dyDescent="0.25">
      <c r="B89" s="23" t="s">
        <v>129</v>
      </c>
      <c r="C89" s="49">
        <f>'Avg Week Buwenge-Jinja'!C89+'Avg Week Jinja-Buwenge'!C89</f>
        <v>0.5</v>
      </c>
      <c r="D89" s="49">
        <f>'Avg Week Buwenge-Jinja'!D89+'Avg Week Jinja-Buwenge'!D89</f>
        <v>0</v>
      </c>
      <c r="E89" s="49">
        <f>'Avg Week Buwenge-Jinja'!E89+'Avg Week Jinja-Buwenge'!E89</f>
        <v>0</v>
      </c>
      <c r="F89" s="49">
        <f>'Avg Week Buwenge-Jinja'!F89+'Avg Week Jinja-Buwenge'!F89</f>
        <v>0</v>
      </c>
      <c r="G89" s="49">
        <f>'Avg Week Buwenge-Jinja'!G89+'Avg Week Jinja-Buwenge'!G89</f>
        <v>0</v>
      </c>
      <c r="H89" s="49">
        <f>'Avg Week Buwenge-Jinja'!H89+'Avg Week Jinja-Buwenge'!H89</f>
        <v>0.5</v>
      </c>
      <c r="I89" s="49">
        <f>'Avg Week Buwenge-Jinja'!I89+'Avg Week Jinja-Buwenge'!I89</f>
        <v>1</v>
      </c>
      <c r="J89" s="49">
        <f>'Avg Week Buwenge-Jinja'!J89+'Avg Week Jinja-Buwenge'!J89</f>
        <v>0</v>
      </c>
      <c r="K89" s="49">
        <f>'Avg Week Buwenge-Jinja'!K89+'Avg Week Jinja-Buwenge'!K89</f>
        <v>0</v>
      </c>
      <c r="L89" s="49">
        <f>'Avg Week Buwenge-Jinja'!L89+'Avg Week Jinja-Buwenge'!L89</f>
        <v>0</v>
      </c>
      <c r="M89" s="49">
        <f>'Avg Week Buwenge-Jinja'!M89+'Avg Week Jinja-Buwenge'!M89</f>
        <v>0</v>
      </c>
      <c r="N89" s="49">
        <f>'Avg Week Buwenge-Jinja'!N89+'Avg Week Jinja-Buwenge'!N89</f>
        <v>0</v>
      </c>
      <c r="O89" s="15">
        <f t="shared" si="35"/>
        <v>2</v>
      </c>
      <c r="P89" s="15">
        <f t="shared" si="36"/>
        <v>2</v>
      </c>
      <c r="R89" s="8"/>
      <c r="T89"/>
    </row>
    <row r="90" spans="2:20" ht="23.1" customHeight="1" x14ac:dyDescent="0.25">
      <c r="B90" s="24" t="s">
        <v>130</v>
      </c>
      <c r="C90" s="49">
        <f>'Avg Week Buwenge-Jinja'!C90+'Avg Week Jinja-Buwenge'!C90</f>
        <v>0.5</v>
      </c>
      <c r="D90" s="49">
        <f>'Avg Week Buwenge-Jinja'!D90+'Avg Week Jinja-Buwenge'!D90</f>
        <v>0</v>
      </c>
      <c r="E90" s="49">
        <f>'Avg Week Buwenge-Jinja'!E90+'Avg Week Jinja-Buwenge'!E90</f>
        <v>0</v>
      </c>
      <c r="F90" s="49">
        <f>'Avg Week Buwenge-Jinja'!F90+'Avg Week Jinja-Buwenge'!F90</f>
        <v>0</v>
      </c>
      <c r="G90" s="49">
        <f>'Avg Week Buwenge-Jinja'!G90+'Avg Week Jinja-Buwenge'!G90</f>
        <v>0</v>
      </c>
      <c r="H90" s="49">
        <f>'Avg Week Buwenge-Jinja'!H90+'Avg Week Jinja-Buwenge'!H90</f>
        <v>0</v>
      </c>
      <c r="I90" s="49">
        <f>'Avg Week Buwenge-Jinja'!I90+'Avg Week Jinja-Buwenge'!I90</f>
        <v>2</v>
      </c>
      <c r="J90" s="49">
        <f>'Avg Week Buwenge-Jinja'!J90+'Avg Week Jinja-Buwenge'!J90</f>
        <v>0.5</v>
      </c>
      <c r="K90" s="49">
        <f>'Avg Week Buwenge-Jinja'!K90+'Avg Week Jinja-Buwenge'!K90</f>
        <v>0.5</v>
      </c>
      <c r="L90" s="49">
        <f>'Avg Week Buwenge-Jinja'!L90+'Avg Week Jinja-Buwenge'!L90</f>
        <v>0</v>
      </c>
      <c r="M90" s="49">
        <f>'Avg Week Buwenge-Jinja'!M90+'Avg Week Jinja-Buwenge'!M90</f>
        <v>0.5</v>
      </c>
      <c r="N90" s="49">
        <f>'Avg Week Buwenge-Jinja'!N90+'Avg Week Jinja-Buwenge'!N90</f>
        <v>0</v>
      </c>
      <c r="O90" s="15">
        <f t="shared" si="35"/>
        <v>3.5</v>
      </c>
      <c r="P90" s="15">
        <f t="shared" si="36"/>
        <v>4</v>
      </c>
      <c r="R90" s="8"/>
      <c r="T90"/>
    </row>
    <row r="91" spans="2:20" ht="23.1" customHeight="1" x14ac:dyDescent="0.25">
      <c r="B91" s="23" t="s">
        <v>131</v>
      </c>
      <c r="C91" s="49">
        <f>'Avg Week Buwenge-Jinja'!C91+'Avg Week Jinja-Buwenge'!C91</f>
        <v>1.5</v>
      </c>
      <c r="D91" s="49">
        <f>'Avg Week Buwenge-Jinja'!D91+'Avg Week Jinja-Buwenge'!D91</f>
        <v>0</v>
      </c>
      <c r="E91" s="49">
        <f>'Avg Week Buwenge-Jinja'!E91+'Avg Week Jinja-Buwenge'!E91</f>
        <v>0</v>
      </c>
      <c r="F91" s="49">
        <f>'Avg Week Buwenge-Jinja'!F91+'Avg Week Jinja-Buwenge'!F91</f>
        <v>1.5</v>
      </c>
      <c r="G91" s="49">
        <f>'Avg Week Buwenge-Jinja'!G91+'Avg Week Jinja-Buwenge'!G91</f>
        <v>0</v>
      </c>
      <c r="H91" s="49">
        <f>'Avg Week Buwenge-Jinja'!H91+'Avg Week Jinja-Buwenge'!H91</f>
        <v>0.5</v>
      </c>
      <c r="I91" s="49">
        <f>'Avg Week Buwenge-Jinja'!I91+'Avg Week Jinja-Buwenge'!I91</f>
        <v>0</v>
      </c>
      <c r="J91" s="49">
        <f>'Avg Week Buwenge-Jinja'!J91+'Avg Week Jinja-Buwenge'!J91</f>
        <v>1</v>
      </c>
      <c r="K91" s="49">
        <f>'Avg Week Buwenge-Jinja'!K91+'Avg Week Jinja-Buwenge'!K91</f>
        <v>0</v>
      </c>
      <c r="L91" s="49">
        <f>'Avg Week Buwenge-Jinja'!L91+'Avg Week Jinja-Buwenge'!L91</f>
        <v>0</v>
      </c>
      <c r="M91" s="49">
        <f>'Avg Week Buwenge-Jinja'!M91+'Avg Week Jinja-Buwenge'!M91</f>
        <v>0.5</v>
      </c>
      <c r="N91" s="49">
        <f>'Avg Week Buwenge-Jinja'!N91+'Avg Week Jinja-Buwenge'!N91</f>
        <v>0</v>
      </c>
      <c r="O91" s="15">
        <f t="shared" si="35"/>
        <v>4.5</v>
      </c>
      <c r="P91" s="15">
        <f t="shared" si="36"/>
        <v>5</v>
      </c>
      <c r="R91" s="8"/>
      <c r="T91"/>
    </row>
    <row r="92" spans="2:20" ht="23.1" customHeight="1" x14ac:dyDescent="0.25">
      <c r="B92" s="25" t="s">
        <v>132</v>
      </c>
      <c r="C92" s="49">
        <f>'Avg Week Buwenge-Jinja'!C92+'Avg Week Jinja-Buwenge'!C92</f>
        <v>1.5</v>
      </c>
      <c r="D92" s="49">
        <f>'Avg Week Buwenge-Jinja'!D92+'Avg Week Jinja-Buwenge'!D92</f>
        <v>0</v>
      </c>
      <c r="E92" s="49">
        <f>'Avg Week Buwenge-Jinja'!E92+'Avg Week Jinja-Buwenge'!E92</f>
        <v>0.5</v>
      </c>
      <c r="F92" s="49">
        <f>'Avg Week Buwenge-Jinja'!F92+'Avg Week Jinja-Buwenge'!F92</f>
        <v>0</v>
      </c>
      <c r="G92" s="49">
        <f>'Avg Week Buwenge-Jinja'!G92+'Avg Week Jinja-Buwenge'!G92</f>
        <v>0.5</v>
      </c>
      <c r="H92" s="49">
        <f>'Avg Week Buwenge-Jinja'!H92+'Avg Week Jinja-Buwenge'!H92</f>
        <v>0</v>
      </c>
      <c r="I92" s="49">
        <f>'Avg Week Buwenge-Jinja'!I92+'Avg Week Jinja-Buwenge'!I92</f>
        <v>1</v>
      </c>
      <c r="J92" s="49">
        <f>'Avg Week Buwenge-Jinja'!J92+'Avg Week Jinja-Buwenge'!J92</f>
        <v>0.5</v>
      </c>
      <c r="K92" s="49">
        <f>'Avg Week Buwenge-Jinja'!K92+'Avg Week Jinja-Buwenge'!K92</f>
        <v>0</v>
      </c>
      <c r="L92" s="49">
        <f>'Avg Week Buwenge-Jinja'!L92+'Avg Week Jinja-Buwenge'!L92</f>
        <v>0</v>
      </c>
      <c r="M92" s="49">
        <f>'Avg Week Buwenge-Jinja'!M92+'Avg Week Jinja-Buwenge'!M92</f>
        <v>0.5</v>
      </c>
      <c r="N92" s="49">
        <f>'Avg Week Buwenge-Jinja'!N92+'Avg Week Jinja-Buwenge'!N92</f>
        <v>0</v>
      </c>
      <c r="O92" s="15">
        <f t="shared" si="35"/>
        <v>4</v>
      </c>
      <c r="P92" s="15">
        <f t="shared" si="36"/>
        <v>4.5</v>
      </c>
      <c r="R92" s="8"/>
      <c r="T92"/>
    </row>
    <row r="93" spans="2:20" ht="23.1" customHeight="1" x14ac:dyDescent="0.25">
      <c r="B93" s="23" t="s">
        <v>133</v>
      </c>
      <c r="C93" s="49">
        <f>'Avg Week Buwenge-Jinja'!C93+'Avg Week Jinja-Buwenge'!C93</f>
        <v>0</v>
      </c>
      <c r="D93" s="49">
        <f>'Avg Week Buwenge-Jinja'!D93+'Avg Week Jinja-Buwenge'!D93</f>
        <v>0</v>
      </c>
      <c r="E93" s="49">
        <f>'Avg Week Buwenge-Jinja'!E93+'Avg Week Jinja-Buwenge'!E93</f>
        <v>0.5</v>
      </c>
      <c r="F93" s="49">
        <f>'Avg Week Buwenge-Jinja'!F93+'Avg Week Jinja-Buwenge'!F93</f>
        <v>0.5</v>
      </c>
      <c r="G93" s="49">
        <f>'Avg Week Buwenge-Jinja'!G93+'Avg Week Jinja-Buwenge'!G93</f>
        <v>0</v>
      </c>
      <c r="H93" s="49">
        <f>'Avg Week Buwenge-Jinja'!H93+'Avg Week Jinja-Buwenge'!H93</f>
        <v>0.5</v>
      </c>
      <c r="I93" s="49">
        <f>'Avg Week Buwenge-Jinja'!I93+'Avg Week Jinja-Buwenge'!I93</f>
        <v>0.5</v>
      </c>
      <c r="J93" s="49">
        <f>'Avg Week Buwenge-Jinja'!J93+'Avg Week Jinja-Buwenge'!J93</f>
        <v>0</v>
      </c>
      <c r="K93" s="49">
        <f>'Avg Week Buwenge-Jinja'!K93+'Avg Week Jinja-Buwenge'!K93</f>
        <v>0</v>
      </c>
      <c r="L93" s="49">
        <f>'Avg Week Buwenge-Jinja'!L93+'Avg Week Jinja-Buwenge'!L93</f>
        <v>0</v>
      </c>
      <c r="M93" s="49">
        <f>'Avg Week Buwenge-Jinja'!M93+'Avg Week Jinja-Buwenge'!M93</f>
        <v>2</v>
      </c>
      <c r="N93" s="49">
        <f>'Avg Week Buwenge-Jinja'!N93+'Avg Week Jinja-Buwenge'!N93</f>
        <v>0</v>
      </c>
      <c r="O93" s="15">
        <f t="shared" si="35"/>
        <v>2</v>
      </c>
      <c r="P93" s="15">
        <f t="shared" si="36"/>
        <v>4</v>
      </c>
      <c r="R93" s="8"/>
      <c r="T93"/>
    </row>
    <row r="94" spans="2:20" ht="23.1" customHeight="1" x14ac:dyDescent="0.25">
      <c r="B94" s="24" t="s">
        <v>134</v>
      </c>
      <c r="C94" s="49">
        <f>'Avg Week Buwenge-Jinja'!C94+'Avg Week Jinja-Buwenge'!C94</f>
        <v>0.5</v>
      </c>
      <c r="D94" s="49">
        <f>'Avg Week Buwenge-Jinja'!D94+'Avg Week Jinja-Buwenge'!D94</f>
        <v>0.5</v>
      </c>
      <c r="E94" s="49">
        <f>'Avg Week Buwenge-Jinja'!E94+'Avg Week Jinja-Buwenge'!E94</f>
        <v>1.5</v>
      </c>
      <c r="F94" s="49">
        <f>'Avg Week Buwenge-Jinja'!F94+'Avg Week Jinja-Buwenge'!F94</f>
        <v>0</v>
      </c>
      <c r="G94" s="49">
        <f>'Avg Week Buwenge-Jinja'!G94+'Avg Week Jinja-Buwenge'!G94</f>
        <v>0</v>
      </c>
      <c r="H94" s="49">
        <f>'Avg Week Buwenge-Jinja'!H94+'Avg Week Jinja-Buwenge'!H94</f>
        <v>0</v>
      </c>
      <c r="I94" s="49">
        <f>'Avg Week Buwenge-Jinja'!I94+'Avg Week Jinja-Buwenge'!I94</f>
        <v>0.5</v>
      </c>
      <c r="J94" s="49">
        <f>'Avg Week Buwenge-Jinja'!J94+'Avg Week Jinja-Buwenge'!J94</f>
        <v>0</v>
      </c>
      <c r="K94" s="49">
        <f>'Avg Week Buwenge-Jinja'!K94+'Avg Week Jinja-Buwenge'!K94</f>
        <v>0</v>
      </c>
      <c r="L94" s="49">
        <f>'Avg Week Buwenge-Jinja'!L94+'Avg Week Jinja-Buwenge'!L94</f>
        <v>0</v>
      </c>
      <c r="M94" s="49">
        <f>'Avg Week Buwenge-Jinja'!M94+'Avg Week Jinja-Buwenge'!M94</f>
        <v>2.5</v>
      </c>
      <c r="N94" s="49">
        <f>'Avg Week Buwenge-Jinja'!N94+'Avg Week Jinja-Buwenge'!N94</f>
        <v>0</v>
      </c>
      <c r="O94" s="15">
        <f t="shared" si="35"/>
        <v>3</v>
      </c>
      <c r="P94" s="15">
        <f t="shared" si="36"/>
        <v>5.5</v>
      </c>
      <c r="R94" s="8"/>
      <c r="T94"/>
    </row>
    <row r="95" spans="2:20" ht="23.1" customHeight="1" x14ac:dyDescent="0.25">
      <c r="B95" s="23" t="s">
        <v>135</v>
      </c>
      <c r="C95" s="49">
        <f>'Avg Week Buwenge-Jinja'!C95+'Avg Week Jinja-Buwenge'!C95</f>
        <v>2</v>
      </c>
      <c r="D95" s="49">
        <f>'Avg Week Buwenge-Jinja'!D95+'Avg Week Jinja-Buwenge'!D95</f>
        <v>0</v>
      </c>
      <c r="E95" s="49">
        <f>'Avg Week Buwenge-Jinja'!E95+'Avg Week Jinja-Buwenge'!E95</f>
        <v>1</v>
      </c>
      <c r="F95" s="49">
        <f>'Avg Week Buwenge-Jinja'!F95+'Avg Week Jinja-Buwenge'!F95</f>
        <v>1</v>
      </c>
      <c r="G95" s="49">
        <f>'Avg Week Buwenge-Jinja'!G95+'Avg Week Jinja-Buwenge'!G95</f>
        <v>0</v>
      </c>
      <c r="H95" s="49">
        <f>'Avg Week Buwenge-Jinja'!H95+'Avg Week Jinja-Buwenge'!H95</f>
        <v>2.5</v>
      </c>
      <c r="I95" s="49">
        <f>'Avg Week Buwenge-Jinja'!I95+'Avg Week Jinja-Buwenge'!I95</f>
        <v>1</v>
      </c>
      <c r="J95" s="49">
        <f>'Avg Week Buwenge-Jinja'!J95+'Avg Week Jinja-Buwenge'!J95</f>
        <v>0.5</v>
      </c>
      <c r="K95" s="49">
        <f>'Avg Week Buwenge-Jinja'!K95+'Avg Week Jinja-Buwenge'!K95</f>
        <v>0.5</v>
      </c>
      <c r="L95" s="49">
        <f>'Avg Week Buwenge-Jinja'!L95+'Avg Week Jinja-Buwenge'!L95</f>
        <v>0</v>
      </c>
      <c r="M95" s="49">
        <f>'Avg Week Buwenge-Jinja'!M95+'Avg Week Jinja-Buwenge'!M95</f>
        <v>6</v>
      </c>
      <c r="N95" s="49">
        <f>'Avg Week Buwenge-Jinja'!N95+'Avg Week Jinja-Buwenge'!N95</f>
        <v>0</v>
      </c>
      <c r="O95" s="15">
        <f t="shared" si="35"/>
        <v>8.5</v>
      </c>
      <c r="P95" s="15">
        <f t="shared" si="36"/>
        <v>14.5</v>
      </c>
      <c r="R95" s="8"/>
      <c r="T95"/>
    </row>
    <row r="96" spans="2:20" ht="23.1" customHeight="1" x14ac:dyDescent="0.25">
      <c r="B96" s="25" t="s">
        <v>136</v>
      </c>
      <c r="C96" s="49">
        <f>'Avg Week Buwenge-Jinja'!C96+'Avg Week Jinja-Buwenge'!C96</f>
        <v>1</v>
      </c>
      <c r="D96" s="49">
        <f>'Avg Week Buwenge-Jinja'!D96+'Avg Week Jinja-Buwenge'!D96</f>
        <v>0</v>
      </c>
      <c r="E96" s="49">
        <f>'Avg Week Buwenge-Jinja'!E96+'Avg Week Jinja-Buwenge'!E96</f>
        <v>1</v>
      </c>
      <c r="F96" s="49">
        <f>'Avg Week Buwenge-Jinja'!F96+'Avg Week Jinja-Buwenge'!F96</f>
        <v>1</v>
      </c>
      <c r="G96" s="49">
        <f>'Avg Week Buwenge-Jinja'!G96+'Avg Week Jinja-Buwenge'!G96</f>
        <v>0</v>
      </c>
      <c r="H96" s="49">
        <f>'Avg Week Buwenge-Jinja'!H96+'Avg Week Jinja-Buwenge'!H96</f>
        <v>1</v>
      </c>
      <c r="I96" s="49">
        <f>'Avg Week Buwenge-Jinja'!I96+'Avg Week Jinja-Buwenge'!I96</f>
        <v>1</v>
      </c>
      <c r="J96" s="49">
        <f>'Avg Week Buwenge-Jinja'!J96+'Avg Week Jinja-Buwenge'!J96</f>
        <v>1.5</v>
      </c>
      <c r="K96" s="49">
        <f>'Avg Week Buwenge-Jinja'!K96+'Avg Week Jinja-Buwenge'!K96</f>
        <v>0</v>
      </c>
      <c r="L96" s="49">
        <f>'Avg Week Buwenge-Jinja'!L96+'Avg Week Jinja-Buwenge'!L96</f>
        <v>0</v>
      </c>
      <c r="M96" s="49">
        <f>'Avg Week Buwenge-Jinja'!M96+'Avg Week Jinja-Buwenge'!M96</f>
        <v>3</v>
      </c>
      <c r="N96" s="49">
        <f>'Avg Week Buwenge-Jinja'!N96+'Avg Week Jinja-Buwenge'!N96</f>
        <v>0</v>
      </c>
      <c r="O96" s="15">
        <f t="shared" si="35"/>
        <v>6.5</v>
      </c>
      <c r="P96" s="15">
        <f t="shared" si="36"/>
        <v>9.5</v>
      </c>
      <c r="R96" s="8"/>
      <c r="T96"/>
    </row>
    <row r="97" spans="2:20" ht="23.1" customHeight="1" x14ac:dyDescent="0.25">
      <c r="B97" s="23" t="s">
        <v>137</v>
      </c>
      <c r="C97" s="49">
        <f>'Avg Week Buwenge-Jinja'!C97+'Avg Week Jinja-Buwenge'!C97</f>
        <v>2.5</v>
      </c>
      <c r="D97" s="49">
        <f>'Avg Week Buwenge-Jinja'!D97+'Avg Week Jinja-Buwenge'!D97</f>
        <v>0</v>
      </c>
      <c r="E97" s="49">
        <f>'Avg Week Buwenge-Jinja'!E97+'Avg Week Jinja-Buwenge'!E97</f>
        <v>1.5</v>
      </c>
      <c r="F97" s="49">
        <f>'Avg Week Buwenge-Jinja'!F97+'Avg Week Jinja-Buwenge'!F97</f>
        <v>3</v>
      </c>
      <c r="G97" s="49">
        <f>'Avg Week Buwenge-Jinja'!G97+'Avg Week Jinja-Buwenge'!G97</f>
        <v>0</v>
      </c>
      <c r="H97" s="49">
        <f>'Avg Week Buwenge-Jinja'!H97+'Avg Week Jinja-Buwenge'!H97</f>
        <v>0.5</v>
      </c>
      <c r="I97" s="49">
        <f>'Avg Week Buwenge-Jinja'!I97+'Avg Week Jinja-Buwenge'!I97</f>
        <v>1</v>
      </c>
      <c r="J97" s="49">
        <f>'Avg Week Buwenge-Jinja'!J97+'Avg Week Jinja-Buwenge'!J97</f>
        <v>0</v>
      </c>
      <c r="K97" s="49">
        <f>'Avg Week Buwenge-Jinja'!K97+'Avg Week Jinja-Buwenge'!K97</f>
        <v>0</v>
      </c>
      <c r="L97" s="49">
        <f>'Avg Week Buwenge-Jinja'!L97+'Avg Week Jinja-Buwenge'!L97</f>
        <v>0</v>
      </c>
      <c r="M97" s="49">
        <f>'Avg Week Buwenge-Jinja'!M97+'Avg Week Jinja-Buwenge'!M97</f>
        <v>0.5</v>
      </c>
      <c r="N97" s="49">
        <f>'Avg Week Buwenge-Jinja'!N97+'Avg Week Jinja-Buwenge'!N97</f>
        <v>0</v>
      </c>
      <c r="O97" s="15">
        <f t="shared" si="35"/>
        <v>8.5</v>
      </c>
      <c r="P97" s="15">
        <f t="shared" si="36"/>
        <v>9</v>
      </c>
      <c r="R97" s="8"/>
      <c r="T97"/>
    </row>
    <row r="98" spans="2:20" ht="23.1" customHeight="1" x14ac:dyDescent="0.25">
      <c r="B98" s="24" t="s">
        <v>138</v>
      </c>
      <c r="C98" s="49">
        <f>'Avg Week Buwenge-Jinja'!C98+'Avg Week Jinja-Buwenge'!C98</f>
        <v>1.5</v>
      </c>
      <c r="D98" s="49">
        <f>'Avg Week Buwenge-Jinja'!D98+'Avg Week Jinja-Buwenge'!D98</f>
        <v>0</v>
      </c>
      <c r="E98" s="49">
        <f>'Avg Week Buwenge-Jinja'!E98+'Avg Week Jinja-Buwenge'!E98</f>
        <v>1.5</v>
      </c>
      <c r="F98" s="49">
        <f>'Avg Week Buwenge-Jinja'!F98+'Avg Week Jinja-Buwenge'!F98</f>
        <v>1.5</v>
      </c>
      <c r="G98" s="49">
        <f>'Avg Week Buwenge-Jinja'!G98+'Avg Week Jinja-Buwenge'!G98</f>
        <v>0</v>
      </c>
      <c r="H98" s="49">
        <f>'Avg Week Buwenge-Jinja'!H98+'Avg Week Jinja-Buwenge'!H98</f>
        <v>0</v>
      </c>
      <c r="I98" s="49">
        <f>'Avg Week Buwenge-Jinja'!I98+'Avg Week Jinja-Buwenge'!I98</f>
        <v>0</v>
      </c>
      <c r="J98" s="49">
        <f>'Avg Week Buwenge-Jinja'!J98+'Avg Week Jinja-Buwenge'!J98</f>
        <v>1</v>
      </c>
      <c r="K98" s="49">
        <f>'Avg Week Buwenge-Jinja'!K98+'Avg Week Jinja-Buwenge'!K98</f>
        <v>0</v>
      </c>
      <c r="L98" s="49">
        <f>'Avg Week Buwenge-Jinja'!L98+'Avg Week Jinja-Buwenge'!L98</f>
        <v>0</v>
      </c>
      <c r="M98" s="49">
        <f>'Avg Week Buwenge-Jinja'!M98+'Avg Week Jinja-Buwenge'!M98</f>
        <v>5.5</v>
      </c>
      <c r="N98" s="49">
        <f>'Avg Week Buwenge-Jinja'!N98+'Avg Week Jinja-Buwenge'!N98</f>
        <v>0</v>
      </c>
      <c r="O98" s="15">
        <f t="shared" si="35"/>
        <v>5.5</v>
      </c>
      <c r="P98" s="15">
        <f t="shared" si="36"/>
        <v>11</v>
      </c>
      <c r="R98" s="8"/>
      <c r="T98"/>
    </row>
    <row r="99" spans="2:20" ht="23.1" customHeight="1" x14ac:dyDescent="0.25">
      <c r="B99" s="23" t="s">
        <v>139</v>
      </c>
      <c r="C99" s="49">
        <f>'Avg Week Buwenge-Jinja'!C99+'Avg Week Jinja-Buwenge'!C99</f>
        <v>1</v>
      </c>
      <c r="D99" s="49">
        <f>'Avg Week Buwenge-Jinja'!D99+'Avg Week Jinja-Buwenge'!D99</f>
        <v>0.5</v>
      </c>
      <c r="E99" s="49">
        <f>'Avg Week Buwenge-Jinja'!E99+'Avg Week Jinja-Buwenge'!E99</f>
        <v>5.5</v>
      </c>
      <c r="F99" s="49">
        <f>'Avg Week Buwenge-Jinja'!F99+'Avg Week Jinja-Buwenge'!F99</f>
        <v>1.5</v>
      </c>
      <c r="G99" s="49">
        <f>'Avg Week Buwenge-Jinja'!G99+'Avg Week Jinja-Buwenge'!G99</f>
        <v>0.5</v>
      </c>
      <c r="H99" s="49">
        <f>'Avg Week Buwenge-Jinja'!H99+'Avg Week Jinja-Buwenge'!H99</f>
        <v>2</v>
      </c>
      <c r="I99" s="49">
        <f>'Avg Week Buwenge-Jinja'!I99+'Avg Week Jinja-Buwenge'!I99</f>
        <v>1</v>
      </c>
      <c r="J99" s="49">
        <f>'Avg Week Buwenge-Jinja'!J99+'Avg Week Jinja-Buwenge'!J99</f>
        <v>0.5</v>
      </c>
      <c r="K99" s="49">
        <f>'Avg Week Buwenge-Jinja'!K99+'Avg Week Jinja-Buwenge'!K99</f>
        <v>0</v>
      </c>
      <c r="L99" s="49">
        <f>'Avg Week Buwenge-Jinja'!L99+'Avg Week Jinja-Buwenge'!L99</f>
        <v>0</v>
      </c>
      <c r="M99" s="49">
        <f>'Avg Week Buwenge-Jinja'!M99+'Avg Week Jinja-Buwenge'!M99</f>
        <v>2</v>
      </c>
      <c r="N99" s="49">
        <f>'Avg Week Buwenge-Jinja'!N99+'Avg Week Jinja-Buwenge'!N99</f>
        <v>0.5</v>
      </c>
      <c r="O99" s="15">
        <f t="shared" si="35"/>
        <v>13</v>
      </c>
      <c r="P99" s="15">
        <f t="shared" si="36"/>
        <v>15</v>
      </c>
      <c r="R99" s="8"/>
      <c r="T99"/>
    </row>
    <row r="100" spans="2:20" ht="23.1" customHeight="1" x14ac:dyDescent="0.25">
      <c r="B100" s="25" t="s">
        <v>140</v>
      </c>
      <c r="C100" s="49">
        <f>'Avg Week Buwenge-Jinja'!C100+'Avg Week Jinja-Buwenge'!C100</f>
        <v>0.5</v>
      </c>
      <c r="D100" s="49">
        <f>'Avg Week Buwenge-Jinja'!D100+'Avg Week Jinja-Buwenge'!D100</f>
        <v>0</v>
      </c>
      <c r="E100" s="49">
        <f>'Avg Week Buwenge-Jinja'!E100+'Avg Week Jinja-Buwenge'!E100</f>
        <v>1.5</v>
      </c>
      <c r="F100" s="49">
        <f>'Avg Week Buwenge-Jinja'!F100+'Avg Week Jinja-Buwenge'!F100</f>
        <v>2</v>
      </c>
      <c r="G100" s="49">
        <f>'Avg Week Buwenge-Jinja'!G100+'Avg Week Jinja-Buwenge'!G100</f>
        <v>3</v>
      </c>
      <c r="H100" s="49">
        <f>'Avg Week Buwenge-Jinja'!H100+'Avg Week Jinja-Buwenge'!H100</f>
        <v>4</v>
      </c>
      <c r="I100" s="49">
        <f>'Avg Week Buwenge-Jinja'!I100+'Avg Week Jinja-Buwenge'!I100</f>
        <v>1.5</v>
      </c>
      <c r="J100" s="49">
        <f>'Avg Week Buwenge-Jinja'!J100+'Avg Week Jinja-Buwenge'!J100</f>
        <v>0</v>
      </c>
      <c r="K100" s="49">
        <f>'Avg Week Buwenge-Jinja'!K100+'Avg Week Jinja-Buwenge'!K100</f>
        <v>0</v>
      </c>
      <c r="L100" s="49">
        <f>'Avg Week Buwenge-Jinja'!L100+'Avg Week Jinja-Buwenge'!L100</f>
        <v>0</v>
      </c>
      <c r="M100" s="49">
        <f>'Avg Week Buwenge-Jinja'!M100+'Avg Week Jinja-Buwenge'!M100</f>
        <v>7</v>
      </c>
      <c r="N100" s="49">
        <f>'Avg Week Buwenge-Jinja'!N100+'Avg Week Jinja-Buwenge'!N100</f>
        <v>0</v>
      </c>
      <c r="O100" s="15">
        <f t="shared" si="35"/>
        <v>12.5</v>
      </c>
      <c r="P100" s="15">
        <f t="shared" si="36"/>
        <v>19.5</v>
      </c>
      <c r="R100" s="8"/>
      <c r="T100"/>
    </row>
    <row r="101" spans="2:20" ht="23.1" customHeight="1" x14ac:dyDescent="0.25">
      <c r="B101" s="23" t="s">
        <v>141</v>
      </c>
      <c r="C101" s="49">
        <f>'Avg Week Buwenge-Jinja'!C101+'Avg Week Jinja-Buwenge'!C101</f>
        <v>0.5</v>
      </c>
      <c r="D101" s="49">
        <f>'Avg Week Buwenge-Jinja'!D101+'Avg Week Jinja-Buwenge'!D101</f>
        <v>0</v>
      </c>
      <c r="E101" s="49">
        <f>'Avg Week Buwenge-Jinja'!E101+'Avg Week Jinja-Buwenge'!E101</f>
        <v>1</v>
      </c>
      <c r="F101" s="49">
        <f>'Avg Week Buwenge-Jinja'!F101+'Avg Week Jinja-Buwenge'!F101</f>
        <v>3.5</v>
      </c>
      <c r="G101" s="49">
        <f>'Avg Week Buwenge-Jinja'!G101+'Avg Week Jinja-Buwenge'!G101</f>
        <v>2</v>
      </c>
      <c r="H101" s="49">
        <f>'Avg Week Buwenge-Jinja'!H101+'Avg Week Jinja-Buwenge'!H101</f>
        <v>1</v>
      </c>
      <c r="I101" s="49">
        <f>'Avg Week Buwenge-Jinja'!I101+'Avg Week Jinja-Buwenge'!I101</f>
        <v>5</v>
      </c>
      <c r="J101" s="49">
        <f>'Avg Week Buwenge-Jinja'!J101+'Avg Week Jinja-Buwenge'!J101</f>
        <v>0</v>
      </c>
      <c r="K101" s="49">
        <f>'Avg Week Buwenge-Jinja'!K101+'Avg Week Jinja-Buwenge'!K101</f>
        <v>0</v>
      </c>
      <c r="L101" s="49">
        <f>'Avg Week Buwenge-Jinja'!L101+'Avg Week Jinja-Buwenge'!L101</f>
        <v>0</v>
      </c>
      <c r="M101" s="49">
        <f>'Avg Week Buwenge-Jinja'!M101+'Avg Week Jinja-Buwenge'!M101</f>
        <v>12.5</v>
      </c>
      <c r="N101" s="49">
        <f>'Avg Week Buwenge-Jinja'!N101+'Avg Week Jinja-Buwenge'!N101</f>
        <v>0</v>
      </c>
      <c r="O101" s="15">
        <f t="shared" si="35"/>
        <v>13</v>
      </c>
      <c r="P101" s="15">
        <f t="shared" si="36"/>
        <v>25.5</v>
      </c>
      <c r="R101" s="8"/>
      <c r="T101"/>
    </row>
    <row r="102" spans="2:20" ht="23.1" customHeight="1" x14ac:dyDescent="0.25">
      <c r="B102" s="24" t="s">
        <v>142</v>
      </c>
      <c r="C102" s="49">
        <f>'Avg Week Buwenge-Jinja'!C102+'Avg Week Jinja-Buwenge'!C102</f>
        <v>1.5</v>
      </c>
      <c r="D102" s="49">
        <f>'Avg Week Buwenge-Jinja'!D102+'Avg Week Jinja-Buwenge'!D102</f>
        <v>0</v>
      </c>
      <c r="E102" s="49">
        <f>'Avg Week Buwenge-Jinja'!E102+'Avg Week Jinja-Buwenge'!E102</f>
        <v>0.5</v>
      </c>
      <c r="F102" s="49">
        <f>'Avg Week Buwenge-Jinja'!F102+'Avg Week Jinja-Buwenge'!F102</f>
        <v>5.5</v>
      </c>
      <c r="G102" s="49">
        <f>'Avg Week Buwenge-Jinja'!G102+'Avg Week Jinja-Buwenge'!G102</f>
        <v>2</v>
      </c>
      <c r="H102" s="49">
        <f>'Avg Week Buwenge-Jinja'!H102+'Avg Week Jinja-Buwenge'!H102</f>
        <v>1.5</v>
      </c>
      <c r="I102" s="49">
        <f>'Avg Week Buwenge-Jinja'!I102+'Avg Week Jinja-Buwenge'!I102</f>
        <v>1</v>
      </c>
      <c r="J102" s="49">
        <f>'Avg Week Buwenge-Jinja'!J102+'Avg Week Jinja-Buwenge'!J102</f>
        <v>0</v>
      </c>
      <c r="K102" s="49">
        <f>'Avg Week Buwenge-Jinja'!K102+'Avg Week Jinja-Buwenge'!K102</f>
        <v>0</v>
      </c>
      <c r="L102" s="49">
        <f>'Avg Week Buwenge-Jinja'!L102+'Avg Week Jinja-Buwenge'!L102</f>
        <v>0</v>
      </c>
      <c r="M102" s="49">
        <f>'Avg Week Buwenge-Jinja'!M102+'Avg Week Jinja-Buwenge'!M102</f>
        <v>15.5</v>
      </c>
      <c r="N102" s="49">
        <f>'Avg Week Buwenge-Jinja'!N102+'Avg Week Jinja-Buwenge'!N102</f>
        <v>0</v>
      </c>
      <c r="O102" s="15">
        <f t="shared" si="35"/>
        <v>12</v>
      </c>
      <c r="P102" s="15">
        <f t="shared" si="36"/>
        <v>27.5</v>
      </c>
      <c r="R102" s="8"/>
      <c r="T102"/>
    </row>
    <row r="103" spans="2:20" ht="23.1" customHeight="1" x14ac:dyDescent="0.25">
      <c r="B103" s="23" t="s">
        <v>143</v>
      </c>
      <c r="C103" s="49">
        <f>'Avg Week Buwenge-Jinja'!C103+'Avg Week Jinja-Buwenge'!C103</f>
        <v>0</v>
      </c>
      <c r="D103" s="49">
        <f>'Avg Week Buwenge-Jinja'!D103+'Avg Week Jinja-Buwenge'!D103</f>
        <v>0</v>
      </c>
      <c r="E103" s="49">
        <f>'Avg Week Buwenge-Jinja'!E103+'Avg Week Jinja-Buwenge'!E103</f>
        <v>2</v>
      </c>
      <c r="F103" s="49">
        <f>'Avg Week Buwenge-Jinja'!F103+'Avg Week Jinja-Buwenge'!F103</f>
        <v>7.5</v>
      </c>
      <c r="G103" s="49">
        <f>'Avg Week Buwenge-Jinja'!G103+'Avg Week Jinja-Buwenge'!G103</f>
        <v>3</v>
      </c>
      <c r="H103" s="49">
        <f>'Avg Week Buwenge-Jinja'!H103+'Avg Week Jinja-Buwenge'!H103</f>
        <v>1</v>
      </c>
      <c r="I103" s="49">
        <f>'Avg Week Buwenge-Jinja'!I103+'Avg Week Jinja-Buwenge'!I103</f>
        <v>1</v>
      </c>
      <c r="J103" s="49">
        <f>'Avg Week Buwenge-Jinja'!J103+'Avg Week Jinja-Buwenge'!J103</f>
        <v>0</v>
      </c>
      <c r="K103" s="49">
        <f>'Avg Week Buwenge-Jinja'!K103+'Avg Week Jinja-Buwenge'!K103</f>
        <v>0</v>
      </c>
      <c r="L103" s="49">
        <f>'Avg Week Buwenge-Jinja'!L103+'Avg Week Jinja-Buwenge'!L103</f>
        <v>0</v>
      </c>
      <c r="M103" s="49">
        <f>'Avg Week Buwenge-Jinja'!M103+'Avg Week Jinja-Buwenge'!M103</f>
        <v>20</v>
      </c>
      <c r="N103" s="49">
        <f>'Avg Week Buwenge-Jinja'!N103+'Avg Week Jinja-Buwenge'!N103</f>
        <v>0</v>
      </c>
      <c r="O103" s="15">
        <f t="shared" si="35"/>
        <v>14.5</v>
      </c>
      <c r="P103" s="15">
        <f t="shared" si="36"/>
        <v>34.5</v>
      </c>
      <c r="R103" s="8"/>
      <c r="T103"/>
    </row>
    <row r="104" spans="2:20" ht="23.1" customHeight="1" x14ac:dyDescent="0.25">
      <c r="B104" s="25" t="s">
        <v>144</v>
      </c>
      <c r="C104" s="49">
        <f>'Avg Week Buwenge-Jinja'!C104+'Avg Week Jinja-Buwenge'!C104</f>
        <v>1</v>
      </c>
      <c r="D104" s="49">
        <f>'Avg Week Buwenge-Jinja'!D104+'Avg Week Jinja-Buwenge'!D104</f>
        <v>0</v>
      </c>
      <c r="E104" s="49">
        <f>'Avg Week Buwenge-Jinja'!E104+'Avg Week Jinja-Buwenge'!E104</f>
        <v>3</v>
      </c>
      <c r="F104" s="49">
        <f>'Avg Week Buwenge-Jinja'!F104+'Avg Week Jinja-Buwenge'!F104</f>
        <v>7.5</v>
      </c>
      <c r="G104" s="49">
        <f>'Avg Week Buwenge-Jinja'!G104+'Avg Week Jinja-Buwenge'!G104</f>
        <v>5.5</v>
      </c>
      <c r="H104" s="49">
        <f>'Avg Week Buwenge-Jinja'!H104+'Avg Week Jinja-Buwenge'!H104</f>
        <v>7.5</v>
      </c>
      <c r="I104" s="49">
        <f>'Avg Week Buwenge-Jinja'!I104+'Avg Week Jinja-Buwenge'!I104</f>
        <v>2</v>
      </c>
      <c r="J104" s="49">
        <f>'Avg Week Buwenge-Jinja'!J104+'Avg Week Jinja-Buwenge'!J104</f>
        <v>0.5</v>
      </c>
      <c r="K104" s="49">
        <f>'Avg Week Buwenge-Jinja'!K104+'Avg Week Jinja-Buwenge'!K104</f>
        <v>0</v>
      </c>
      <c r="L104" s="49">
        <f>'Avg Week Buwenge-Jinja'!L104+'Avg Week Jinja-Buwenge'!L104</f>
        <v>0</v>
      </c>
      <c r="M104" s="49">
        <f>'Avg Week Buwenge-Jinja'!M104+'Avg Week Jinja-Buwenge'!M104</f>
        <v>18.5</v>
      </c>
      <c r="N104" s="49">
        <f>'Avg Week Buwenge-Jinja'!N104+'Avg Week Jinja-Buwenge'!N104</f>
        <v>1</v>
      </c>
      <c r="O104" s="15">
        <f t="shared" si="35"/>
        <v>28</v>
      </c>
      <c r="P104" s="15">
        <f t="shared" si="36"/>
        <v>46.5</v>
      </c>
      <c r="R104" s="8"/>
      <c r="T104"/>
    </row>
    <row r="105" spans="2:20" ht="23.1" customHeight="1" x14ac:dyDescent="0.25">
      <c r="B105" s="23" t="s">
        <v>145</v>
      </c>
      <c r="C105" s="49">
        <f>'Avg Week Buwenge-Jinja'!C105+'Avg Week Jinja-Buwenge'!C105</f>
        <v>3</v>
      </c>
      <c r="D105" s="49">
        <f>'Avg Week Buwenge-Jinja'!D105+'Avg Week Jinja-Buwenge'!D105</f>
        <v>0.5</v>
      </c>
      <c r="E105" s="49">
        <f>'Avg Week Buwenge-Jinja'!E105+'Avg Week Jinja-Buwenge'!E105</f>
        <v>5</v>
      </c>
      <c r="F105" s="49">
        <f>'Avg Week Buwenge-Jinja'!F105+'Avg Week Jinja-Buwenge'!F105</f>
        <v>6.5</v>
      </c>
      <c r="G105" s="49">
        <f>'Avg Week Buwenge-Jinja'!G105+'Avg Week Jinja-Buwenge'!G105</f>
        <v>3.5</v>
      </c>
      <c r="H105" s="49">
        <f>'Avg Week Buwenge-Jinja'!H105+'Avg Week Jinja-Buwenge'!H105</f>
        <v>11</v>
      </c>
      <c r="I105" s="49">
        <f>'Avg Week Buwenge-Jinja'!I105+'Avg Week Jinja-Buwenge'!I105</f>
        <v>4</v>
      </c>
      <c r="J105" s="49">
        <f>'Avg Week Buwenge-Jinja'!J105+'Avg Week Jinja-Buwenge'!J105</f>
        <v>1.5</v>
      </c>
      <c r="K105" s="49">
        <f>'Avg Week Buwenge-Jinja'!K105+'Avg Week Jinja-Buwenge'!K105</f>
        <v>0</v>
      </c>
      <c r="L105" s="49">
        <f>'Avg Week Buwenge-Jinja'!L105+'Avg Week Jinja-Buwenge'!L105</f>
        <v>0</v>
      </c>
      <c r="M105" s="49">
        <f>'Avg Week Buwenge-Jinja'!M105+'Avg Week Jinja-Buwenge'!M105</f>
        <v>17</v>
      </c>
      <c r="N105" s="49">
        <f>'Avg Week Buwenge-Jinja'!N105+'Avg Week Jinja-Buwenge'!N105</f>
        <v>1</v>
      </c>
      <c r="O105" s="15">
        <f t="shared" si="35"/>
        <v>36</v>
      </c>
      <c r="P105" s="15">
        <f t="shared" si="36"/>
        <v>53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842.28571428571422</v>
      </c>
      <c r="D106" s="16">
        <f t="shared" ref="D106:P106" si="37">SUM(D10:D105)</f>
        <v>136.42857142857144</v>
      </c>
      <c r="E106" s="16">
        <f t="shared" si="37"/>
        <v>526.78571428571422</v>
      </c>
      <c r="F106" s="16">
        <f t="shared" si="37"/>
        <v>1265.6428571428571</v>
      </c>
      <c r="G106" s="16">
        <f t="shared" si="37"/>
        <v>226.64285714285708</v>
      </c>
      <c r="H106" s="16">
        <f t="shared" si="37"/>
        <v>237.85714285714286</v>
      </c>
      <c r="I106" s="16">
        <f t="shared" si="37"/>
        <v>371.57142857142861</v>
      </c>
      <c r="J106" s="16">
        <f t="shared" si="37"/>
        <v>44.357142857142861</v>
      </c>
      <c r="K106" s="16">
        <f t="shared" si="37"/>
        <v>6.4999999999999991</v>
      </c>
      <c r="L106" s="16">
        <f t="shared" si="37"/>
        <v>1.5714285714285712</v>
      </c>
      <c r="M106" s="16">
        <f t="shared" si="37"/>
        <v>4616.6428571428578</v>
      </c>
      <c r="N106" s="16">
        <f t="shared" si="37"/>
        <v>9.4285714285714288</v>
      </c>
      <c r="O106" s="16">
        <f t="shared" si="37"/>
        <v>3669.0714285714284</v>
      </c>
      <c r="P106" s="16">
        <f t="shared" si="37"/>
        <v>8285.7142857142862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0.10165517241379309</v>
      </c>
      <c r="D107" s="43">
        <f t="shared" si="38"/>
        <v>1.6465517241379311E-2</v>
      </c>
      <c r="E107" s="43">
        <f t="shared" si="38"/>
        <v>6.3577586206896533E-2</v>
      </c>
      <c r="F107" s="43">
        <f t="shared" si="38"/>
        <v>0.15275</v>
      </c>
      <c r="G107" s="43">
        <f t="shared" si="38"/>
        <v>2.7353448275862061E-2</v>
      </c>
      <c r="H107" s="43">
        <f t="shared" si="38"/>
        <v>2.8706896551724138E-2</v>
      </c>
      <c r="I107" s="43">
        <f t="shared" si="38"/>
        <v>4.4844827586206899E-2</v>
      </c>
      <c r="J107" s="43">
        <f t="shared" si="38"/>
        <v>5.3534482758620695E-3</v>
      </c>
      <c r="K107" s="43">
        <f t="shared" si="38"/>
        <v>7.8448275862068946E-4</v>
      </c>
      <c r="L107" s="43">
        <f t="shared" si="38"/>
        <v>1.8965517241379307E-4</v>
      </c>
      <c r="M107" s="43">
        <f t="shared" si="38"/>
        <v>0.55718103448275869</v>
      </c>
      <c r="N107" s="43">
        <f t="shared" si="38"/>
        <v>1.1379310344827587E-3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0.22956372768508965</v>
      </c>
      <c r="D108" s="44">
        <f t="shared" ref="D108:N108" si="39">D106/$O$106</f>
        <v>3.7183405688477042E-2</v>
      </c>
      <c r="E108" s="44">
        <f t="shared" si="39"/>
        <v>0.14357466856152781</v>
      </c>
      <c r="F108" s="44">
        <f t="shared" si="39"/>
        <v>0.3449490918293846</v>
      </c>
      <c r="G108" s="44">
        <f t="shared" si="39"/>
        <v>6.1771176046878332E-2</v>
      </c>
      <c r="H108" s="44">
        <f t="shared" si="39"/>
        <v>6.4827613058967823E-2</v>
      </c>
      <c r="I108" s="44">
        <f t="shared" si="39"/>
        <v>0.10127124418400921</v>
      </c>
      <c r="J108" s="44">
        <f t="shared" si="39"/>
        <v>1.2089473786672378E-2</v>
      </c>
      <c r="K108" s="44">
        <f t="shared" si="39"/>
        <v>1.771565401911733E-3</v>
      </c>
      <c r="L108" s="44">
        <f t="shared" si="39"/>
        <v>4.2829053672591345E-4</v>
      </c>
      <c r="M108" s="44"/>
      <c r="N108" s="44">
        <f t="shared" si="39"/>
        <v>2.5697432203554815E-3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12.08 Buwenge-Jinja</vt:lpstr>
      <vt:lpstr>12.08 Jinja-Buwenge</vt:lpstr>
      <vt:lpstr>13.08 Buwenge-Jinja</vt:lpstr>
      <vt:lpstr>13.08 Jinja-Buwenge</vt:lpstr>
      <vt:lpstr>14.08 Buwenge-Jinja</vt:lpstr>
      <vt:lpstr>14.08 Jinja-Buwenge</vt:lpstr>
      <vt:lpstr>15.08 Buwenge-Jinja</vt:lpstr>
      <vt:lpstr>15.08 Jinja-Buwenge</vt:lpstr>
      <vt:lpstr>16.08 Buwenge-Jinja-24h</vt:lpstr>
      <vt:lpstr>16.08 Jinja-Buwenge-24h</vt:lpstr>
      <vt:lpstr>17.08 Buwenge-Jinja-24h</vt:lpstr>
      <vt:lpstr>17.08 Jinja-Buwenge-24h</vt:lpstr>
      <vt:lpstr>18.08 Buwenge-Jinja</vt:lpstr>
      <vt:lpstr>18.08 Jinja-Buwenge</vt:lpstr>
      <vt:lpstr>Avg Week Buwenge-Jinja</vt:lpstr>
      <vt:lpstr>Avg Week Jinja-Buwenge</vt:lpstr>
      <vt:lpstr>Avg Week Buwenge-Jinja-2Dir</vt:lpstr>
      <vt:lpstr>'12.08 Buwenge-Jinja'!Print_Area</vt:lpstr>
      <vt:lpstr>'12.08 Jinja-Buwenge'!Print_Area</vt:lpstr>
      <vt:lpstr>'13.08 Buwenge-Jinja'!Print_Area</vt:lpstr>
      <vt:lpstr>'13.08 Jinja-Buwenge'!Print_Area</vt:lpstr>
      <vt:lpstr>'14.08 Buwenge-Jinja'!Print_Area</vt:lpstr>
      <vt:lpstr>'14.08 Jinja-Buwenge'!Print_Area</vt:lpstr>
      <vt:lpstr>'15.08 Buwenge-Jinja'!Print_Area</vt:lpstr>
      <vt:lpstr>'15.08 Jinja-Buwenge'!Print_Area</vt:lpstr>
      <vt:lpstr>'16.08 Buwenge-Jinja-24h'!Print_Area</vt:lpstr>
      <vt:lpstr>'16.08 Jinja-Buwenge-24h'!Print_Area</vt:lpstr>
      <vt:lpstr>'17.08 Buwenge-Jinja-24h'!Print_Area</vt:lpstr>
      <vt:lpstr>'17.08 Jinja-Buwenge-24h'!Print_Area</vt:lpstr>
      <vt:lpstr>'18.08 Buwenge-Jinja'!Print_Area</vt:lpstr>
      <vt:lpstr>'18.08 Jinja-Buwenge'!Print_Area</vt:lpstr>
      <vt:lpstr>'Avg Week Buwenge-Jinja'!Print_Area</vt:lpstr>
      <vt:lpstr>'Avg Week Buwenge-Jinja-2Dir'!Print_Area</vt:lpstr>
      <vt:lpstr>'Avg Week Jinja-Buwenge'!Print_Area</vt:lpstr>
      <vt:lpstr>'12.08 Buwenge-Jinja'!Print_Titles</vt:lpstr>
      <vt:lpstr>'12.08 Jinja-Buwenge'!Print_Titles</vt:lpstr>
      <vt:lpstr>'13.08 Buwenge-Jinja'!Print_Titles</vt:lpstr>
      <vt:lpstr>'13.08 Jinja-Buwenge'!Print_Titles</vt:lpstr>
      <vt:lpstr>'14.08 Buwenge-Jinja'!Print_Titles</vt:lpstr>
      <vt:lpstr>'14.08 Jinja-Buwenge'!Print_Titles</vt:lpstr>
      <vt:lpstr>'15.08 Buwenge-Jinja'!Print_Titles</vt:lpstr>
      <vt:lpstr>'15.08 Jinja-Buwenge'!Print_Titles</vt:lpstr>
      <vt:lpstr>'16.08 Buwenge-Jinja-24h'!Print_Titles</vt:lpstr>
      <vt:lpstr>'16.08 Jinja-Buwenge-24h'!Print_Titles</vt:lpstr>
      <vt:lpstr>'17.08 Buwenge-Jinja-24h'!Print_Titles</vt:lpstr>
      <vt:lpstr>'17.08 Jinja-Buwenge-24h'!Print_Titles</vt:lpstr>
      <vt:lpstr>'18.08 Buwenge-Jinja'!Print_Titles</vt:lpstr>
      <vt:lpstr>'18.08 Jinja-Buwenge'!Print_Titles</vt:lpstr>
      <vt:lpstr>'Avg Week Buwenge-Jinja'!Print_Titles</vt:lpstr>
      <vt:lpstr>'Avg Week Buwenge-Jinja-2Dir'!Print_Titles</vt:lpstr>
      <vt:lpstr>'Avg Week Jinja-Buwenge'!Print_Titles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st</cp:lastModifiedBy>
  <cp:lastPrinted>2019-07-25T18:18:41Z</cp:lastPrinted>
  <dcterms:created xsi:type="dcterms:W3CDTF">2010-07-06T07:39:49Z</dcterms:created>
  <dcterms:modified xsi:type="dcterms:W3CDTF">2019-11-29T06:53:49Z</dcterms:modified>
</cp:coreProperties>
</file>