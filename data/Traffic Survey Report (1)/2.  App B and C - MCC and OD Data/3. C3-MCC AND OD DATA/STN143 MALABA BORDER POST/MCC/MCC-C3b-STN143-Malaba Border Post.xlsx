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\Desktop\C-3 Analysis   Complete-Steve\STN143 MALABA BORDER POST\MCC\"/>
    </mc:Choice>
  </mc:AlternateContent>
  <bookViews>
    <workbookView xWindow="-120" yWindow="-120" windowWidth="20730" windowHeight="11160" tabRatio="917" firstSheet="13" activeTab="16"/>
  </bookViews>
  <sheets>
    <sheet name="12.08 Malaba-Tororo" sheetId="93" r:id="rId1"/>
    <sheet name="12.08 Tororo-Malaba" sheetId="94" r:id="rId2"/>
    <sheet name="13.08 Malaba-Tororo" sheetId="95" r:id="rId3"/>
    <sheet name="13.08 Tororo-Malaba" sheetId="96" r:id="rId4"/>
    <sheet name="14.08 Malaba-Tororo" sheetId="97" r:id="rId5"/>
    <sheet name="14.08 Tororo-Malaba" sheetId="98" r:id="rId6"/>
    <sheet name="15.08 Malaba-Tororo" sheetId="99" r:id="rId7"/>
    <sheet name="15.08 Tororo-Malaba" sheetId="100" r:id="rId8"/>
    <sheet name="16.08 Malaba-Tororo-24h" sheetId="101" r:id="rId9"/>
    <sheet name="16.08 Tororo-Malaba-24h" sheetId="109" r:id="rId10"/>
    <sheet name="17.08 Malaba-Tororo-24h" sheetId="105" r:id="rId11"/>
    <sheet name="17.08 Tororo-Malaba-24h" sheetId="110" r:id="rId12"/>
    <sheet name="18.08 Malaba-Tororo" sheetId="103" r:id="rId13"/>
    <sheet name="18.08 Tororo-Malaba" sheetId="104" r:id="rId14"/>
    <sheet name="Avg Week Malaba-Tororo" sheetId="107" r:id="rId15"/>
    <sheet name="Avg Week Tororo-Malaba" sheetId="108" r:id="rId16"/>
    <sheet name="Avg Week Malaba-Tororo-2Dir" sheetId="111" r:id="rId17"/>
  </sheets>
  <definedNames>
    <definedName name="_xlnm.Print_Area" localSheetId="0">'12.08 Malaba-Tororo'!$A$1:$AF$60</definedName>
    <definedName name="_xlnm.Print_Area" localSheetId="1">'12.08 Tororo-Malaba'!$A$1:$AF$60</definedName>
    <definedName name="_xlnm.Print_Area" localSheetId="2">'13.08 Malaba-Tororo'!$A$1:$AF$60</definedName>
    <definedName name="_xlnm.Print_Area" localSheetId="3">'13.08 Tororo-Malaba'!$A$1:$AF$60</definedName>
    <definedName name="_xlnm.Print_Area" localSheetId="4">'14.08 Malaba-Tororo'!$A$1:$AF$60</definedName>
    <definedName name="_xlnm.Print_Area" localSheetId="5">'14.08 Tororo-Malaba'!$A$1:$AF$60</definedName>
    <definedName name="_xlnm.Print_Area" localSheetId="6">'15.08 Malaba-Tororo'!$A$1:$AF$60</definedName>
    <definedName name="_xlnm.Print_Area" localSheetId="7">'15.08 Tororo-Malaba'!$A$1:$AF$60</definedName>
    <definedName name="_xlnm.Print_Area" localSheetId="8">'16.08 Malaba-Tororo-24h'!$A$1:$AF$108</definedName>
    <definedName name="_xlnm.Print_Area" localSheetId="9">'16.08 Tororo-Malaba-24h'!$A$1:$AF$108</definedName>
    <definedName name="_xlnm.Print_Area" localSheetId="10">'17.08 Malaba-Tororo-24h'!$A$1:$AF$108</definedName>
    <definedName name="_xlnm.Print_Area" localSheetId="11">'17.08 Tororo-Malaba-24h'!$A$1:$AF$108</definedName>
    <definedName name="_xlnm.Print_Area" localSheetId="12">'18.08 Malaba-Tororo'!$A$1:$AF$60</definedName>
    <definedName name="_xlnm.Print_Area" localSheetId="13">'18.08 Tororo-Malaba'!$A$1:$AF$60</definedName>
    <definedName name="_xlnm.Print_Area" localSheetId="14">'Avg Week Malaba-Tororo'!$A$1:$AF$108</definedName>
    <definedName name="_xlnm.Print_Area" localSheetId="16">'Avg Week Malaba-Tororo-2Dir'!$A$1:$AF$108</definedName>
    <definedName name="_xlnm.Print_Area" localSheetId="15">'Avg Week Tororo-Malaba'!$A$1:$AF$108</definedName>
    <definedName name="_xlnm.Print_Titles" localSheetId="0">'12.08 Malaba-Tororo'!$1:$8</definedName>
    <definedName name="_xlnm.Print_Titles" localSheetId="1">'12.08 Tororo-Malaba'!$1:$8</definedName>
    <definedName name="_xlnm.Print_Titles" localSheetId="2">'13.08 Malaba-Tororo'!$1:$8</definedName>
    <definedName name="_xlnm.Print_Titles" localSheetId="3">'13.08 Tororo-Malaba'!$1:$8</definedName>
    <definedName name="_xlnm.Print_Titles" localSheetId="4">'14.08 Malaba-Tororo'!$1:$8</definedName>
    <definedName name="_xlnm.Print_Titles" localSheetId="5">'14.08 Tororo-Malaba'!$1:$8</definedName>
    <definedName name="_xlnm.Print_Titles" localSheetId="6">'15.08 Malaba-Tororo'!$1:$8</definedName>
    <definedName name="_xlnm.Print_Titles" localSheetId="7">'15.08 Tororo-Malaba'!$1:$8</definedName>
    <definedName name="_xlnm.Print_Titles" localSheetId="8">'16.08 Malaba-Tororo-24h'!$1:$8</definedName>
    <definedName name="_xlnm.Print_Titles" localSheetId="9">'16.08 Tororo-Malaba-24h'!$1:$8</definedName>
    <definedName name="_xlnm.Print_Titles" localSheetId="10">'17.08 Malaba-Tororo-24h'!$1:$8</definedName>
    <definedName name="_xlnm.Print_Titles" localSheetId="11">'17.08 Tororo-Malaba-24h'!$1:$8</definedName>
    <definedName name="_xlnm.Print_Titles" localSheetId="12">'18.08 Malaba-Tororo'!$1:$8</definedName>
    <definedName name="_xlnm.Print_Titles" localSheetId="13">'18.08 Tororo-Malaba'!$1:$8</definedName>
    <definedName name="_xlnm.Print_Titles" localSheetId="14">'Avg Week Malaba-Tororo'!$1:$8</definedName>
    <definedName name="_xlnm.Print_Titles" localSheetId="16">'Avg Week Malaba-Tororo-2Dir'!$1:$8</definedName>
    <definedName name="_xlnm.Print_Titles" localSheetId="15">'Avg Week Tororo-Malaba'!$1:$8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F41" i="111" l="1"/>
  <c r="AF42" i="111" s="1"/>
  <c r="AE41" i="111"/>
  <c r="AE42" i="111" s="1"/>
  <c r="AD41" i="111"/>
  <c r="AD42" i="111" s="1"/>
  <c r="AC41" i="111"/>
  <c r="AC42" i="111" s="1"/>
  <c r="AB41" i="111"/>
  <c r="AB42" i="111" s="1"/>
  <c r="AA41" i="111"/>
  <c r="AA42" i="111" s="1"/>
  <c r="Z41" i="111"/>
  <c r="Z42" i="111" s="1"/>
  <c r="Y41" i="111"/>
  <c r="Y42" i="111" s="1"/>
  <c r="X41" i="111"/>
  <c r="X42" i="111" s="1"/>
  <c r="W41" i="111"/>
  <c r="W42" i="111" s="1"/>
  <c r="V41" i="111"/>
  <c r="V42" i="111" s="1"/>
  <c r="U41" i="111"/>
  <c r="U42" i="111" s="1"/>
  <c r="T41" i="111"/>
  <c r="T42" i="111" s="1"/>
  <c r="S41" i="111"/>
  <c r="S42" i="111" s="1"/>
  <c r="T22" i="111"/>
  <c r="U22" i="111"/>
  <c r="V22" i="111"/>
  <c r="W22" i="111"/>
  <c r="X22" i="111"/>
  <c r="Y22" i="111"/>
  <c r="Z22" i="111"/>
  <c r="AA22" i="111"/>
  <c r="AB22" i="111"/>
  <c r="AC22" i="111"/>
  <c r="AD22" i="111"/>
  <c r="AE22" i="111"/>
  <c r="AF22" i="111"/>
  <c r="T23" i="111"/>
  <c r="U23" i="111"/>
  <c r="V23" i="111"/>
  <c r="W23" i="111"/>
  <c r="X23" i="111"/>
  <c r="Y23" i="111"/>
  <c r="Z23" i="111"/>
  <c r="AA23" i="111"/>
  <c r="AB23" i="111"/>
  <c r="AC23" i="111"/>
  <c r="AD23" i="111"/>
  <c r="AE23" i="111"/>
  <c r="AF23" i="111"/>
  <c r="T24" i="111"/>
  <c r="U24" i="111"/>
  <c r="V24" i="111"/>
  <c r="W24" i="111"/>
  <c r="X24" i="111"/>
  <c r="Y24" i="111"/>
  <c r="Z24" i="111"/>
  <c r="AA24" i="111"/>
  <c r="AB24" i="111"/>
  <c r="AC24" i="111"/>
  <c r="AD24" i="111"/>
  <c r="AE24" i="111"/>
  <c r="AF24" i="111"/>
  <c r="T25" i="111"/>
  <c r="U25" i="111"/>
  <c r="V25" i="111"/>
  <c r="W25" i="111"/>
  <c r="X25" i="111"/>
  <c r="Y25" i="111"/>
  <c r="Z25" i="111"/>
  <c r="AA25" i="111"/>
  <c r="AB25" i="111"/>
  <c r="AC25" i="111"/>
  <c r="AD25" i="111"/>
  <c r="AE25" i="111"/>
  <c r="AF25" i="111"/>
  <c r="T26" i="111"/>
  <c r="U26" i="111"/>
  <c r="V26" i="111"/>
  <c r="W26" i="111"/>
  <c r="X26" i="111"/>
  <c r="Y26" i="111"/>
  <c r="Z26" i="111"/>
  <c r="AA26" i="111"/>
  <c r="AB26" i="111"/>
  <c r="AC26" i="111"/>
  <c r="AD26" i="111"/>
  <c r="AE26" i="111"/>
  <c r="AF26" i="111"/>
  <c r="T27" i="111"/>
  <c r="U27" i="111"/>
  <c r="V27" i="111"/>
  <c r="W27" i="111"/>
  <c r="X27" i="111"/>
  <c r="Y27" i="111"/>
  <c r="Z27" i="111"/>
  <c r="AA27" i="111"/>
  <c r="AB27" i="111"/>
  <c r="AC27" i="111"/>
  <c r="AD27" i="111"/>
  <c r="AE27" i="111"/>
  <c r="AF27" i="111"/>
  <c r="T28" i="111"/>
  <c r="U28" i="111"/>
  <c r="V28" i="111"/>
  <c r="W28" i="111"/>
  <c r="X28" i="111"/>
  <c r="Y28" i="111"/>
  <c r="Z28" i="111"/>
  <c r="AA28" i="111"/>
  <c r="AB28" i="111"/>
  <c r="AC28" i="111"/>
  <c r="AD28" i="111"/>
  <c r="AE28" i="111"/>
  <c r="AF28" i="111"/>
  <c r="T29" i="111"/>
  <c r="U29" i="111"/>
  <c r="V29" i="111"/>
  <c r="W29" i="111"/>
  <c r="X29" i="111"/>
  <c r="Y29" i="111"/>
  <c r="Z29" i="111"/>
  <c r="AA29" i="111"/>
  <c r="AB29" i="111"/>
  <c r="AC29" i="111"/>
  <c r="AD29" i="111"/>
  <c r="AE29" i="111"/>
  <c r="AF29" i="111"/>
  <c r="T30" i="111"/>
  <c r="U30" i="111"/>
  <c r="V30" i="111"/>
  <c r="W30" i="111"/>
  <c r="X30" i="111"/>
  <c r="Y30" i="111"/>
  <c r="Z30" i="111"/>
  <c r="AA30" i="111"/>
  <c r="AB30" i="111"/>
  <c r="AC30" i="111"/>
  <c r="AD30" i="111"/>
  <c r="AE30" i="111"/>
  <c r="AF30" i="111"/>
  <c r="T31" i="111"/>
  <c r="U31" i="111"/>
  <c r="V31" i="111"/>
  <c r="W31" i="111"/>
  <c r="X31" i="111"/>
  <c r="Y31" i="111"/>
  <c r="Z31" i="111"/>
  <c r="AA31" i="111"/>
  <c r="AB31" i="111"/>
  <c r="AC31" i="111"/>
  <c r="AD31" i="111"/>
  <c r="AE31" i="111"/>
  <c r="AF31" i="111"/>
  <c r="T32" i="111"/>
  <c r="U32" i="111"/>
  <c r="V32" i="111"/>
  <c r="W32" i="111"/>
  <c r="X32" i="111"/>
  <c r="Y32" i="111"/>
  <c r="Z32" i="111"/>
  <c r="AA32" i="111"/>
  <c r="AB32" i="111"/>
  <c r="AC32" i="111"/>
  <c r="AD32" i="111"/>
  <c r="AE32" i="111"/>
  <c r="AF32" i="111"/>
  <c r="T33" i="111"/>
  <c r="U33" i="111"/>
  <c r="V33" i="111"/>
  <c r="W33" i="111"/>
  <c r="X33" i="111"/>
  <c r="Y33" i="111"/>
  <c r="Z33" i="111"/>
  <c r="AA33" i="111"/>
  <c r="AB33" i="111"/>
  <c r="AC33" i="111"/>
  <c r="AD33" i="111"/>
  <c r="AE33" i="111"/>
  <c r="AF33" i="111"/>
  <c r="S33" i="111"/>
  <c r="S32" i="111"/>
  <c r="S31" i="111"/>
  <c r="S30" i="111"/>
  <c r="S29" i="111"/>
  <c r="S28" i="111"/>
  <c r="S27" i="111"/>
  <c r="S26" i="111"/>
  <c r="S25" i="111"/>
  <c r="S24" i="111"/>
  <c r="S23" i="111"/>
  <c r="S22" i="111"/>
  <c r="AF41" i="108"/>
  <c r="AF42" i="108" s="1"/>
  <c r="AE41" i="108"/>
  <c r="AE42" i="108" s="1"/>
  <c r="AD41" i="108"/>
  <c r="AD42" i="108" s="1"/>
  <c r="AC41" i="108"/>
  <c r="AC42" i="108" s="1"/>
  <c r="AB41" i="108"/>
  <c r="AB42" i="108" s="1"/>
  <c r="AA41" i="108"/>
  <c r="AA42" i="108" s="1"/>
  <c r="Z41" i="108"/>
  <c r="Z42" i="108" s="1"/>
  <c r="Y41" i="108"/>
  <c r="Y42" i="108" s="1"/>
  <c r="X41" i="108"/>
  <c r="X42" i="108" s="1"/>
  <c r="W41" i="108"/>
  <c r="W42" i="108" s="1"/>
  <c r="V41" i="108"/>
  <c r="V42" i="108" s="1"/>
  <c r="U41" i="108"/>
  <c r="U42" i="108" s="1"/>
  <c r="T41" i="108"/>
  <c r="T42" i="108" s="1"/>
  <c r="S41" i="108"/>
  <c r="S42" i="108" s="1"/>
  <c r="T22" i="108"/>
  <c r="U22" i="108"/>
  <c r="V22" i="108"/>
  <c r="W22" i="108"/>
  <c r="X22" i="108"/>
  <c r="Y22" i="108"/>
  <c r="Z22" i="108"/>
  <c r="AA22" i="108"/>
  <c r="AB22" i="108"/>
  <c r="AC22" i="108"/>
  <c r="AD22" i="108"/>
  <c r="AE22" i="108"/>
  <c r="AF22" i="108"/>
  <c r="T23" i="108"/>
  <c r="U23" i="108"/>
  <c r="V23" i="108"/>
  <c r="W23" i="108"/>
  <c r="X23" i="108"/>
  <c r="Y23" i="108"/>
  <c r="Z23" i="108"/>
  <c r="AA23" i="108"/>
  <c r="AB23" i="108"/>
  <c r="AC23" i="108"/>
  <c r="AD23" i="108"/>
  <c r="AE23" i="108"/>
  <c r="AF23" i="108"/>
  <c r="T24" i="108"/>
  <c r="U24" i="108"/>
  <c r="V24" i="108"/>
  <c r="W24" i="108"/>
  <c r="X24" i="108"/>
  <c r="Y24" i="108"/>
  <c r="Z24" i="108"/>
  <c r="AA24" i="108"/>
  <c r="AB24" i="108"/>
  <c r="AC24" i="108"/>
  <c r="AD24" i="108"/>
  <c r="AE24" i="108"/>
  <c r="AF24" i="108"/>
  <c r="T25" i="108"/>
  <c r="U25" i="108"/>
  <c r="V25" i="108"/>
  <c r="W25" i="108"/>
  <c r="X25" i="108"/>
  <c r="Y25" i="108"/>
  <c r="Z25" i="108"/>
  <c r="AA25" i="108"/>
  <c r="AB25" i="108"/>
  <c r="AC25" i="108"/>
  <c r="AD25" i="108"/>
  <c r="AE25" i="108"/>
  <c r="AF25" i="108"/>
  <c r="T26" i="108"/>
  <c r="U26" i="108"/>
  <c r="V26" i="108"/>
  <c r="W26" i="108"/>
  <c r="X26" i="108"/>
  <c r="Y26" i="108"/>
  <c r="Z26" i="108"/>
  <c r="AA26" i="108"/>
  <c r="AB26" i="108"/>
  <c r="AC26" i="108"/>
  <c r="AD26" i="108"/>
  <c r="AE26" i="108"/>
  <c r="AF26" i="108"/>
  <c r="T27" i="108"/>
  <c r="U27" i="108"/>
  <c r="V27" i="108"/>
  <c r="W27" i="108"/>
  <c r="X27" i="108"/>
  <c r="Y27" i="108"/>
  <c r="Z27" i="108"/>
  <c r="AA27" i="108"/>
  <c r="AB27" i="108"/>
  <c r="AC27" i="108"/>
  <c r="AD27" i="108"/>
  <c r="AE27" i="108"/>
  <c r="AF27" i="108"/>
  <c r="T28" i="108"/>
  <c r="U28" i="108"/>
  <c r="V28" i="108"/>
  <c r="W28" i="108"/>
  <c r="X28" i="108"/>
  <c r="Y28" i="108"/>
  <c r="Z28" i="108"/>
  <c r="AA28" i="108"/>
  <c r="AB28" i="108"/>
  <c r="AC28" i="108"/>
  <c r="AD28" i="108"/>
  <c r="AE28" i="108"/>
  <c r="AF28" i="108"/>
  <c r="T29" i="108"/>
  <c r="U29" i="108"/>
  <c r="V29" i="108"/>
  <c r="W29" i="108"/>
  <c r="X29" i="108"/>
  <c r="Y29" i="108"/>
  <c r="Z29" i="108"/>
  <c r="AA29" i="108"/>
  <c r="AB29" i="108"/>
  <c r="AC29" i="108"/>
  <c r="AD29" i="108"/>
  <c r="AE29" i="108"/>
  <c r="AF29" i="108"/>
  <c r="T30" i="108"/>
  <c r="U30" i="108"/>
  <c r="V30" i="108"/>
  <c r="W30" i="108"/>
  <c r="X30" i="108"/>
  <c r="Y30" i="108"/>
  <c r="Z30" i="108"/>
  <c r="AA30" i="108"/>
  <c r="AB30" i="108"/>
  <c r="AC30" i="108"/>
  <c r="AD30" i="108"/>
  <c r="AE30" i="108"/>
  <c r="AF30" i="108"/>
  <c r="T31" i="108"/>
  <c r="U31" i="108"/>
  <c r="V31" i="108"/>
  <c r="W31" i="108"/>
  <c r="X31" i="108"/>
  <c r="Y31" i="108"/>
  <c r="Z31" i="108"/>
  <c r="AA31" i="108"/>
  <c r="AB31" i="108"/>
  <c r="AC31" i="108"/>
  <c r="AD31" i="108"/>
  <c r="AE31" i="108"/>
  <c r="AF31" i="108"/>
  <c r="T32" i="108"/>
  <c r="U32" i="108"/>
  <c r="V32" i="108"/>
  <c r="W32" i="108"/>
  <c r="X32" i="108"/>
  <c r="Y32" i="108"/>
  <c r="Z32" i="108"/>
  <c r="AA32" i="108"/>
  <c r="AB32" i="108"/>
  <c r="AC32" i="108"/>
  <c r="AD32" i="108"/>
  <c r="AE32" i="108"/>
  <c r="AF32" i="108"/>
  <c r="T33" i="108"/>
  <c r="U33" i="108"/>
  <c r="V33" i="108"/>
  <c r="W33" i="108"/>
  <c r="X33" i="108"/>
  <c r="Y33" i="108"/>
  <c r="Z33" i="108"/>
  <c r="AA33" i="108"/>
  <c r="AB33" i="108"/>
  <c r="AC33" i="108"/>
  <c r="AD33" i="108"/>
  <c r="AE33" i="108"/>
  <c r="AF33" i="108"/>
  <c r="S33" i="108"/>
  <c r="S32" i="108"/>
  <c r="S31" i="108"/>
  <c r="S30" i="108"/>
  <c r="S29" i="108"/>
  <c r="S28" i="108"/>
  <c r="S27" i="108"/>
  <c r="S26" i="108"/>
  <c r="S25" i="108"/>
  <c r="S24" i="108"/>
  <c r="S23" i="108"/>
  <c r="S22" i="108"/>
  <c r="AF41" i="107"/>
  <c r="AF42" i="107" s="1"/>
  <c r="AE41" i="107"/>
  <c r="AE42" i="107" s="1"/>
  <c r="AD41" i="107"/>
  <c r="AD42" i="107" s="1"/>
  <c r="AC41" i="107"/>
  <c r="AC42" i="107" s="1"/>
  <c r="AB41" i="107"/>
  <c r="AB42" i="107" s="1"/>
  <c r="AA41" i="107"/>
  <c r="AA42" i="107" s="1"/>
  <c r="Z41" i="107"/>
  <c r="Z42" i="107" s="1"/>
  <c r="Y41" i="107"/>
  <c r="Y42" i="107" s="1"/>
  <c r="X41" i="107"/>
  <c r="X42" i="107" s="1"/>
  <c r="W41" i="107"/>
  <c r="W42" i="107" s="1"/>
  <c r="V41" i="107"/>
  <c r="V42" i="107" s="1"/>
  <c r="U41" i="107"/>
  <c r="U42" i="107" s="1"/>
  <c r="T41" i="107"/>
  <c r="T42" i="107" s="1"/>
  <c r="S41" i="107"/>
  <c r="S42" i="107" s="1"/>
  <c r="T22" i="107"/>
  <c r="U22" i="107"/>
  <c r="V22" i="107"/>
  <c r="W22" i="107"/>
  <c r="X22" i="107"/>
  <c r="Y22" i="107"/>
  <c r="Z22" i="107"/>
  <c r="AA22" i="107"/>
  <c r="AB22" i="107"/>
  <c r="AC22" i="107"/>
  <c r="AD22" i="107"/>
  <c r="AE22" i="107"/>
  <c r="AF22" i="107"/>
  <c r="T23" i="107"/>
  <c r="U23" i="107"/>
  <c r="V23" i="107"/>
  <c r="W23" i="107"/>
  <c r="X23" i="107"/>
  <c r="Y23" i="107"/>
  <c r="Z23" i="107"/>
  <c r="AA23" i="107"/>
  <c r="AB23" i="107"/>
  <c r="AC23" i="107"/>
  <c r="AD23" i="107"/>
  <c r="AE23" i="107"/>
  <c r="AF23" i="107"/>
  <c r="T24" i="107"/>
  <c r="U24" i="107"/>
  <c r="V24" i="107"/>
  <c r="W24" i="107"/>
  <c r="X24" i="107"/>
  <c r="Y24" i="107"/>
  <c r="Z24" i="107"/>
  <c r="AA24" i="107"/>
  <c r="AB24" i="107"/>
  <c r="AC24" i="107"/>
  <c r="AD24" i="107"/>
  <c r="AE24" i="107"/>
  <c r="AF24" i="107"/>
  <c r="T25" i="107"/>
  <c r="U25" i="107"/>
  <c r="V25" i="107"/>
  <c r="W25" i="107"/>
  <c r="X25" i="107"/>
  <c r="Y25" i="107"/>
  <c r="Z25" i="107"/>
  <c r="AA25" i="107"/>
  <c r="AB25" i="107"/>
  <c r="AC25" i="107"/>
  <c r="AD25" i="107"/>
  <c r="AE25" i="107"/>
  <c r="AF25" i="107"/>
  <c r="T26" i="107"/>
  <c r="U26" i="107"/>
  <c r="V26" i="107"/>
  <c r="W26" i="107"/>
  <c r="X26" i="107"/>
  <c r="Y26" i="107"/>
  <c r="Z26" i="107"/>
  <c r="AA26" i="107"/>
  <c r="AB26" i="107"/>
  <c r="AC26" i="107"/>
  <c r="AD26" i="107"/>
  <c r="AE26" i="107"/>
  <c r="AF26" i="107"/>
  <c r="T27" i="107"/>
  <c r="U27" i="107"/>
  <c r="V27" i="107"/>
  <c r="W27" i="107"/>
  <c r="X27" i="107"/>
  <c r="Y27" i="107"/>
  <c r="Z27" i="107"/>
  <c r="AA27" i="107"/>
  <c r="AB27" i="107"/>
  <c r="AC27" i="107"/>
  <c r="AD27" i="107"/>
  <c r="AE27" i="107"/>
  <c r="AF27" i="107"/>
  <c r="T28" i="107"/>
  <c r="U28" i="107"/>
  <c r="V28" i="107"/>
  <c r="W28" i="107"/>
  <c r="X28" i="107"/>
  <c r="Y28" i="107"/>
  <c r="Z28" i="107"/>
  <c r="AA28" i="107"/>
  <c r="AB28" i="107"/>
  <c r="AC28" i="107"/>
  <c r="AD28" i="107"/>
  <c r="AE28" i="107"/>
  <c r="AF28" i="107"/>
  <c r="T29" i="107"/>
  <c r="U29" i="107"/>
  <c r="V29" i="107"/>
  <c r="W29" i="107"/>
  <c r="X29" i="107"/>
  <c r="Y29" i="107"/>
  <c r="Z29" i="107"/>
  <c r="AA29" i="107"/>
  <c r="AB29" i="107"/>
  <c r="AC29" i="107"/>
  <c r="AD29" i="107"/>
  <c r="AE29" i="107"/>
  <c r="AF29" i="107"/>
  <c r="T30" i="107"/>
  <c r="U30" i="107"/>
  <c r="V30" i="107"/>
  <c r="W30" i="107"/>
  <c r="X30" i="107"/>
  <c r="Y30" i="107"/>
  <c r="Z30" i="107"/>
  <c r="AA30" i="107"/>
  <c r="AB30" i="107"/>
  <c r="AC30" i="107"/>
  <c r="AD30" i="107"/>
  <c r="AE30" i="107"/>
  <c r="AF30" i="107"/>
  <c r="T31" i="107"/>
  <c r="U31" i="107"/>
  <c r="V31" i="107"/>
  <c r="W31" i="107"/>
  <c r="X31" i="107"/>
  <c r="Y31" i="107"/>
  <c r="Z31" i="107"/>
  <c r="AA31" i="107"/>
  <c r="AB31" i="107"/>
  <c r="AC31" i="107"/>
  <c r="AD31" i="107"/>
  <c r="AE31" i="107"/>
  <c r="AF31" i="107"/>
  <c r="T32" i="107"/>
  <c r="U32" i="107"/>
  <c r="V32" i="107"/>
  <c r="W32" i="107"/>
  <c r="X32" i="107"/>
  <c r="Y32" i="107"/>
  <c r="Z32" i="107"/>
  <c r="AA32" i="107"/>
  <c r="AB32" i="107"/>
  <c r="AC32" i="107"/>
  <c r="AD32" i="107"/>
  <c r="AE32" i="107"/>
  <c r="AF32" i="107"/>
  <c r="T33" i="107"/>
  <c r="U33" i="107"/>
  <c r="V33" i="107"/>
  <c r="W33" i="107"/>
  <c r="X33" i="107"/>
  <c r="Y33" i="107"/>
  <c r="Z33" i="107"/>
  <c r="AA33" i="107"/>
  <c r="AB33" i="107"/>
  <c r="AC33" i="107"/>
  <c r="AD33" i="107"/>
  <c r="AE33" i="107"/>
  <c r="AF33" i="107"/>
  <c r="S33" i="107"/>
  <c r="S32" i="107"/>
  <c r="S31" i="107"/>
  <c r="S30" i="107"/>
  <c r="S29" i="107"/>
  <c r="S28" i="107"/>
  <c r="S27" i="107"/>
  <c r="S26" i="107"/>
  <c r="S25" i="107"/>
  <c r="S24" i="107"/>
  <c r="S23" i="107"/>
  <c r="S22" i="107"/>
  <c r="P105" i="108"/>
  <c r="O105" i="108"/>
  <c r="P104" i="108"/>
  <c r="O104" i="108"/>
  <c r="P103" i="108"/>
  <c r="O103" i="108"/>
  <c r="P102" i="108"/>
  <c r="O102" i="108"/>
  <c r="P101" i="108"/>
  <c r="O101" i="108"/>
  <c r="P100" i="108"/>
  <c r="O100" i="108"/>
  <c r="P99" i="108"/>
  <c r="O99" i="108"/>
  <c r="P98" i="108"/>
  <c r="O98" i="108"/>
  <c r="P97" i="108"/>
  <c r="O97" i="108"/>
  <c r="P96" i="108"/>
  <c r="O96" i="108"/>
  <c r="P95" i="108"/>
  <c r="O95" i="108"/>
  <c r="P94" i="108"/>
  <c r="O94" i="108"/>
  <c r="P93" i="108"/>
  <c r="O93" i="108"/>
  <c r="P92" i="108"/>
  <c r="O92" i="108"/>
  <c r="P91" i="108"/>
  <c r="O91" i="108"/>
  <c r="P90" i="108"/>
  <c r="O90" i="108"/>
  <c r="P89" i="108"/>
  <c r="O89" i="108"/>
  <c r="P88" i="108"/>
  <c r="O88" i="108"/>
  <c r="P87" i="108"/>
  <c r="O87" i="108"/>
  <c r="P86" i="108"/>
  <c r="O86" i="108"/>
  <c r="P85" i="108"/>
  <c r="O85" i="108"/>
  <c r="P84" i="108"/>
  <c r="O84" i="108"/>
  <c r="P83" i="108"/>
  <c r="O83" i="108"/>
  <c r="P82" i="108"/>
  <c r="O82" i="108"/>
  <c r="P81" i="108"/>
  <c r="O81" i="108"/>
  <c r="P80" i="108"/>
  <c r="O80" i="108"/>
  <c r="P79" i="108"/>
  <c r="O79" i="108"/>
  <c r="P78" i="108"/>
  <c r="O78" i="108"/>
  <c r="P77" i="108"/>
  <c r="O77" i="108"/>
  <c r="P76" i="108"/>
  <c r="O76" i="108"/>
  <c r="P75" i="108"/>
  <c r="O75" i="108"/>
  <c r="P74" i="108"/>
  <c r="O74" i="108"/>
  <c r="P73" i="108"/>
  <c r="O73" i="108"/>
  <c r="P72" i="108"/>
  <c r="O72" i="108"/>
  <c r="P71" i="108"/>
  <c r="O71" i="108"/>
  <c r="P70" i="108"/>
  <c r="O70" i="108"/>
  <c r="P69" i="108"/>
  <c r="O69" i="108"/>
  <c r="P68" i="108"/>
  <c r="O68" i="108"/>
  <c r="P67" i="108"/>
  <c r="O67" i="108"/>
  <c r="P66" i="108"/>
  <c r="O66" i="108"/>
  <c r="P65" i="108"/>
  <c r="O65" i="108"/>
  <c r="P64" i="108"/>
  <c r="O64" i="108"/>
  <c r="P63" i="108"/>
  <c r="O63" i="108"/>
  <c r="P62" i="108"/>
  <c r="O62" i="108"/>
  <c r="P61" i="108"/>
  <c r="O61" i="108"/>
  <c r="P60" i="108"/>
  <c r="O60" i="108"/>
  <c r="P59" i="108"/>
  <c r="O59" i="108"/>
  <c r="P58" i="108"/>
  <c r="O58" i="108"/>
  <c r="P105" i="107"/>
  <c r="O105" i="107"/>
  <c r="P104" i="107"/>
  <c r="O104" i="107"/>
  <c r="P103" i="107"/>
  <c r="O103" i="107"/>
  <c r="P102" i="107"/>
  <c r="O102" i="107"/>
  <c r="P101" i="107"/>
  <c r="O101" i="107"/>
  <c r="P100" i="107"/>
  <c r="O100" i="107"/>
  <c r="P99" i="107"/>
  <c r="O99" i="107"/>
  <c r="P98" i="107"/>
  <c r="O98" i="107"/>
  <c r="P97" i="107"/>
  <c r="O97" i="107"/>
  <c r="P96" i="107"/>
  <c r="O96" i="107"/>
  <c r="P95" i="107"/>
  <c r="O95" i="107"/>
  <c r="P94" i="107"/>
  <c r="O94" i="107"/>
  <c r="P93" i="107"/>
  <c r="O93" i="107"/>
  <c r="P92" i="107"/>
  <c r="O92" i="107"/>
  <c r="P91" i="107"/>
  <c r="O91" i="107"/>
  <c r="P90" i="107"/>
  <c r="O90" i="107"/>
  <c r="P89" i="107"/>
  <c r="O89" i="107"/>
  <c r="P88" i="107"/>
  <c r="O88" i="107"/>
  <c r="P87" i="107"/>
  <c r="O87" i="107"/>
  <c r="P86" i="107"/>
  <c r="O86" i="107"/>
  <c r="P85" i="107"/>
  <c r="O85" i="107"/>
  <c r="P84" i="107"/>
  <c r="O84" i="107"/>
  <c r="P83" i="107"/>
  <c r="O83" i="107"/>
  <c r="P82" i="107"/>
  <c r="O82" i="107"/>
  <c r="P81" i="107"/>
  <c r="O81" i="107"/>
  <c r="P80" i="107"/>
  <c r="O80" i="107"/>
  <c r="P79" i="107"/>
  <c r="O79" i="107"/>
  <c r="P78" i="107"/>
  <c r="O78" i="107"/>
  <c r="P77" i="107"/>
  <c r="O77" i="107"/>
  <c r="P76" i="107"/>
  <c r="O76" i="107"/>
  <c r="P75" i="107"/>
  <c r="O75" i="107"/>
  <c r="P74" i="107"/>
  <c r="O74" i="107"/>
  <c r="P73" i="107"/>
  <c r="O73" i="107"/>
  <c r="P72" i="107"/>
  <c r="O72" i="107"/>
  <c r="P71" i="107"/>
  <c r="O71" i="107"/>
  <c r="P70" i="107"/>
  <c r="O70" i="107"/>
  <c r="P69" i="107"/>
  <c r="O69" i="107"/>
  <c r="P68" i="107"/>
  <c r="O68" i="107"/>
  <c r="P67" i="107"/>
  <c r="O67" i="107"/>
  <c r="P66" i="107"/>
  <c r="O66" i="107"/>
  <c r="P65" i="107"/>
  <c r="O65" i="107"/>
  <c r="P64" i="107"/>
  <c r="O64" i="107"/>
  <c r="P63" i="107"/>
  <c r="O63" i="107"/>
  <c r="P62" i="107"/>
  <c r="O62" i="107"/>
  <c r="P61" i="107"/>
  <c r="O61" i="107"/>
  <c r="P60" i="107"/>
  <c r="O60" i="107"/>
  <c r="P59" i="107"/>
  <c r="O59" i="107"/>
  <c r="P58" i="107"/>
  <c r="O58" i="107"/>
  <c r="D58" i="111"/>
  <c r="E58" i="111"/>
  <c r="F58" i="111"/>
  <c r="G58" i="111"/>
  <c r="H58" i="111"/>
  <c r="I58" i="111"/>
  <c r="J58" i="111"/>
  <c r="K58" i="111"/>
  <c r="L58" i="111"/>
  <c r="M58" i="111"/>
  <c r="N58" i="111"/>
  <c r="D59" i="111"/>
  <c r="E59" i="111"/>
  <c r="F59" i="111"/>
  <c r="G59" i="111"/>
  <c r="H59" i="111"/>
  <c r="I59" i="111"/>
  <c r="J59" i="111"/>
  <c r="K59" i="111"/>
  <c r="L59" i="111"/>
  <c r="M59" i="111"/>
  <c r="N59" i="111"/>
  <c r="D60" i="111"/>
  <c r="O60" i="111" s="1"/>
  <c r="E60" i="111"/>
  <c r="F60" i="111"/>
  <c r="G60" i="111"/>
  <c r="H60" i="111"/>
  <c r="I60" i="111"/>
  <c r="J60" i="111"/>
  <c r="K60" i="111"/>
  <c r="L60" i="111"/>
  <c r="M60" i="111"/>
  <c r="N60" i="111"/>
  <c r="D61" i="111"/>
  <c r="E61" i="111"/>
  <c r="F61" i="111"/>
  <c r="G61" i="111"/>
  <c r="H61" i="111"/>
  <c r="I61" i="111"/>
  <c r="J61" i="111"/>
  <c r="K61" i="111"/>
  <c r="L61" i="111"/>
  <c r="M61" i="111"/>
  <c r="N61" i="111"/>
  <c r="D62" i="111"/>
  <c r="E62" i="111"/>
  <c r="F62" i="111"/>
  <c r="G62" i="111"/>
  <c r="H62" i="111"/>
  <c r="I62" i="111"/>
  <c r="J62" i="111"/>
  <c r="K62" i="111"/>
  <c r="L62" i="111"/>
  <c r="M62" i="111"/>
  <c r="N62" i="111"/>
  <c r="D63" i="111"/>
  <c r="E63" i="111"/>
  <c r="F63" i="111"/>
  <c r="G63" i="111"/>
  <c r="H63" i="111"/>
  <c r="I63" i="111"/>
  <c r="J63" i="111"/>
  <c r="K63" i="111"/>
  <c r="L63" i="111"/>
  <c r="M63" i="111"/>
  <c r="N63" i="111"/>
  <c r="D64" i="111"/>
  <c r="O64" i="111" s="1"/>
  <c r="E64" i="111"/>
  <c r="F64" i="111"/>
  <c r="G64" i="111"/>
  <c r="H64" i="111"/>
  <c r="I64" i="111"/>
  <c r="J64" i="111"/>
  <c r="K64" i="111"/>
  <c r="L64" i="111"/>
  <c r="M64" i="111"/>
  <c r="N64" i="111"/>
  <c r="D65" i="111"/>
  <c r="E65" i="111"/>
  <c r="F65" i="111"/>
  <c r="G65" i="111"/>
  <c r="H65" i="111"/>
  <c r="I65" i="111"/>
  <c r="J65" i="111"/>
  <c r="K65" i="111"/>
  <c r="L65" i="111"/>
  <c r="M65" i="111"/>
  <c r="N65" i="111"/>
  <c r="D66" i="111"/>
  <c r="E66" i="111"/>
  <c r="F66" i="111"/>
  <c r="G66" i="111"/>
  <c r="H66" i="111"/>
  <c r="I66" i="111"/>
  <c r="J66" i="111"/>
  <c r="K66" i="111"/>
  <c r="L66" i="111"/>
  <c r="M66" i="111"/>
  <c r="N66" i="111"/>
  <c r="D67" i="111"/>
  <c r="E67" i="111"/>
  <c r="F67" i="111"/>
  <c r="G67" i="111"/>
  <c r="H67" i="111"/>
  <c r="I67" i="111"/>
  <c r="J67" i="111"/>
  <c r="K67" i="111"/>
  <c r="L67" i="111"/>
  <c r="M67" i="111"/>
  <c r="N67" i="111"/>
  <c r="D68" i="111"/>
  <c r="O68" i="111" s="1"/>
  <c r="E68" i="111"/>
  <c r="F68" i="111"/>
  <c r="G68" i="111"/>
  <c r="H68" i="111"/>
  <c r="I68" i="111"/>
  <c r="J68" i="111"/>
  <c r="K68" i="111"/>
  <c r="L68" i="111"/>
  <c r="M68" i="111"/>
  <c r="N68" i="111"/>
  <c r="D69" i="111"/>
  <c r="E69" i="111"/>
  <c r="F69" i="111"/>
  <c r="G69" i="111"/>
  <c r="H69" i="111"/>
  <c r="I69" i="111"/>
  <c r="J69" i="111"/>
  <c r="K69" i="111"/>
  <c r="L69" i="111"/>
  <c r="M69" i="111"/>
  <c r="N69" i="111"/>
  <c r="D70" i="111"/>
  <c r="E70" i="111"/>
  <c r="F70" i="111"/>
  <c r="G70" i="111"/>
  <c r="H70" i="111"/>
  <c r="I70" i="111"/>
  <c r="J70" i="111"/>
  <c r="K70" i="111"/>
  <c r="L70" i="111"/>
  <c r="M70" i="111"/>
  <c r="N70" i="111"/>
  <c r="D71" i="111"/>
  <c r="E71" i="111"/>
  <c r="F71" i="111"/>
  <c r="G71" i="111"/>
  <c r="H71" i="111"/>
  <c r="I71" i="111"/>
  <c r="J71" i="111"/>
  <c r="K71" i="111"/>
  <c r="L71" i="111"/>
  <c r="M71" i="111"/>
  <c r="N71" i="111"/>
  <c r="D72" i="111"/>
  <c r="O72" i="111" s="1"/>
  <c r="E72" i="111"/>
  <c r="F72" i="111"/>
  <c r="G72" i="111"/>
  <c r="H72" i="111"/>
  <c r="I72" i="111"/>
  <c r="J72" i="111"/>
  <c r="K72" i="111"/>
  <c r="L72" i="111"/>
  <c r="M72" i="111"/>
  <c r="N72" i="111"/>
  <c r="D73" i="111"/>
  <c r="E73" i="111"/>
  <c r="F73" i="111"/>
  <c r="G73" i="111"/>
  <c r="H73" i="111"/>
  <c r="I73" i="111"/>
  <c r="J73" i="111"/>
  <c r="K73" i="111"/>
  <c r="L73" i="111"/>
  <c r="M73" i="111"/>
  <c r="N73" i="111"/>
  <c r="D74" i="111"/>
  <c r="E74" i="111"/>
  <c r="F74" i="111"/>
  <c r="G74" i="111"/>
  <c r="H74" i="111"/>
  <c r="I74" i="111"/>
  <c r="J74" i="111"/>
  <c r="K74" i="111"/>
  <c r="L74" i="111"/>
  <c r="M74" i="111"/>
  <c r="N74" i="111"/>
  <c r="D75" i="111"/>
  <c r="E75" i="111"/>
  <c r="F75" i="111"/>
  <c r="G75" i="111"/>
  <c r="H75" i="111"/>
  <c r="I75" i="111"/>
  <c r="J75" i="111"/>
  <c r="K75" i="111"/>
  <c r="L75" i="111"/>
  <c r="M75" i="111"/>
  <c r="N75" i="111"/>
  <c r="D76" i="111"/>
  <c r="E76" i="111"/>
  <c r="F76" i="111"/>
  <c r="G76" i="111"/>
  <c r="H76" i="111"/>
  <c r="I76" i="111"/>
  <c r="J76" i="111"/>
  <c r="K76" i="111"/>
  <c r="L76" i="111"/>
  <c r="M76" i="111"/>
  <c r="N76" i="111"/>
  <c r="D77" i="111"/>
  <c r="E77" i="111"/>
  <c r="F77" i="111"/>
  <c r="G77" i="111"/>
  <c r="H77" i="111"/>
  <c r="I77" i="111"/>
  <c r="J77" i="111"/>
  <c r="K77" i="111"/>
  <c r="L77" i="111"/>
  <c r="M77" i="111"/>
  <c r="N77" i="111"/>
  <c r="D78" i="111"/>
  <c r="E78" i="111"/>
  <c r="F78" i="111"/>
  <c r="G78" i="111"/>
  <c r="H78" i="111"/>
  <c r="I78" i="111"/>
  <c r="J78" i="111"/>
  <c r="K78" i="111"/>
  <c r="L78" i="111"/>
  <c r="M78" i="111"/>
  <c r="N78" i="111"/>
  <c r="D79" i="111"/>
  <c r="E79" i="111"/>
  <c r="F79" i="111"/>
  <c r="G79" i="111"/>
  <c r="H79" i="111"/>
  <c r="I79" i="111"/>
  <c r="J79" i="111"/>
  <c r="K79" i="111"/>
  <c r="L79" i="111"/>
  <c r="M79" i="111"/>
  <c r="N79" i="111"/>
  <c r="D80" i="111"/>
  <c r="E80" i="111"/>
  <c r="F80" i="111"/>
  <c r="G80" i="111"/>
  <c r="H80" i="111"/>
  <c r="I80" i="111"/>
  <c r="J80" i="111"/>
  <c r="K80" i="111"/>
  <c r="L80" i="111"/>
  <c r="M80" i="111"/>
  <c r="N80" i="111"/>
  <c r="D81" i="111"/>
  <c r="E81" i="111"/>
  <c r="F81" i="111"/>
  <c r="G81" i="111"/>
  <c r="H81" i="111"/>
  <c r="I81" i="111"/>
  <c r="J81" i="111"/>
  <c r="K81" i="111"/>
  <c r="L81" i="111"/>
  <c r="M81" i="111"/>
  <c r="N81" i="111"/>
  <c r="D82" i="111"/>
  <c r="E82" i="111"/>
  <c r="F82" i="111"/>
  <c r="G82" i="111"/>
  <c r="H82" i="111"/>
  <c r="I82" i="111"/>
  <c r="J82" i="111"/>
  <c r="K82" i="111"/>
  <c r="L82" i="111"/>
  <c r="M82" i="111"/>
  <c r="N82" i="111"/>
  <c r="D83" i="111"/>
  <c r="E83" i="111"/>
  <c r="F83" i="111"/>
  <c r="G83" i="111"/>
  <c r="H83" i="111"/>
  <c r="I83" i="111"/>
  <c r="J83" i="111"/>
  <c r="K83" i="111"/>
  <c r="L83" i="111"/>
  <c r="M83" i="111"/>
  <c r="N83" i="111"/>
  <c r="D84" i="111"/>
  <c r="E84" i="111"/>
  <c r="F84" i="111"/>
  <c r="G84" i="111"/>
  <c r="H84" i="111"/>
  <c r="I84" i="111"/>
  <c r="J84" i="111"/>
  <c r="K84" i="111"/>
  <c r="L84" i="111"/>
  <c r="M84" i="111"/>
  <c r="N84" i="111"/>
  <c r="D85" i="111"/>
  <c r="E85" i="111"/>
  <c r="F85" i="111"/>
  <c r="G85" i="111"/>
  <c r="H85" i="111"/>
  <c r="I85" i="111"/>
  <c r="J85" i="111"/>
  <c r="K85" i="111"/>
  <c r="L85" i="111"/>
  <c r="M85" i="111"/>
  <c r="N85" i="111"/>
  <c r="D86" i="111"/>
  <c r="E86" i="111"/>
  <c r="F86" i="111"/>
  <c r="G86" i="111"/>
  <c r="H86" i="111"/>
  <c r="I86" i="111"/>
  <c r="J86" i="111"/>
  <c r="K86" i="111"/>
  <c r="L86" i="111"/>
  <c r="M86" i="111"/>
  <c r="N86" i="111"/>
  <c r="D87" i="111"/>
  <c r="E87" i="111"/>
  <c r="F87" i="111"/>
  <c r="G87" i="111"/>
  <c r="H87" i="111"/>
  <c r="I87" i="111"/>
  <c r="J87" i="111"/>
  <c r="K87" i="111"/>
  <c r="L87" i="111"/>
  <c r="M87" i="111"/>
  <c r="N87" i="111"/>
  <c r="D88" i="111"/>
  <c r="E88" i="111"/>
  <c r="F88" i="111"/>
  <c r="G88" i="111"/>
  <c r="H88" i="111"/>
  <c r="I88" i="111"/>
  <c r="J88" i="111"/>
  <c r="K88" i="111"/>
  <c r="L88" i="111"/>
  <c r="M88" i="111"/>
  <c r="N88" i="111"/>
  <c r="D89" i="111"/>
  <c r="E89" i="111"/>
  <c r="F89" i="111"/>
  <c r="G89" i="111"/>
  <c r="H89" i="111"/>
  <c r="I89" i="111"/>
  <c r="J89" i="111"/>
  <c r="K89" i="111"/>
  <c r="L89" i="111"/>
  <c r="M89" i="111"/>
  <c r="N89" i="111"/>
  <c r="D90" i="111"/>
  <c r="E90" i="111"/>
  <c r="F90" i="111"/>
  <c r="G90" i="111"/>
  <c r="H90" i="111"/>
  <c r="I90" i="111"/>
  <c r="J90" i="111"/>
  <c r="K90" i="111"/>
  <c r="L90" i="111"/>
  <c r="M90" i="111"/>
  <c r="N90" i="111"/>
  <c r="D91" i="111"/>
  <c r="E91" i="111"/>
  <c r="F91" i="111"/>
  <c r="G91" i="111"/>
  <c r="H91" i="111"/>
  <c r="I91" i="111"/>
  <c r="J91" i="111"/>
  <c r="K91" i="111"/>
  <c r="L91" i="111"/>
  <c r="M91" i="111"/>
  <c r="N91" i="111"/>
  <c r="D92" i="111"/>
  <c r="E92" i="111"/>
  <c r="F92" i="111"/>
  <c r="G92" i="111"/>
  <c r="H92" i="111"/>
  <c r="I92" i="111"/>
  <c r="J92" i="111"/>
  <c r="K92" i="111"/>
  <c r="L92" i="111"/>
  <c r="M92" i="111"/>
  <c r="N92" i="111"/>
  <c r="D93" i="111"/>
  <c r="E93" i="111"/>
  <c r="F93" i="111"/>
  <c r="G93" i="111"/>
  <c r="H93" i="111"/>
  <c r="I93" i="111"/>
  <c r="J93" i="111"/>
  <c r="K93" i="111"/>
  <c r="L93" i="111"/>
  <c r="M93" i="111"/>
  <c r="N93" i="111"/>
  <c r="D94" i="111"/>
  <c r="E94" i="111"/>
  <c r="F94" i="111"/>
  <c r="G94" i="111"/>
  <c r="H94" i="111"/>
  <c r="I94" i="111"/>
  <c r="J94" i="111"/>
  <c r="K94" i="111"/>
  <c r="L94" i="111"/>
  <c r="M94" i="111"/>
  <c r="N94" i="111"/>
  <c r="D95" i="111"/>
  <c r="E95" i="111"/>
  <c r="F95" i="111"/>
  <c r="G95" i="111"/>
  <c r="H95" i="111"/>
  <c r="I95" i="111"/>
  <c r="J95" i="111"/>
  <c r="K95" i="111"/>
  <c r="L95" i="111"/>
  <c r="M95" i="111"/>
  <c r="N95" i="111"/>
  <c r="D96" i="111"/>
  <c r="E96" i="111"/>
  <c r="F96" i="111"/>
  <c r="G96" i="111"/>
  <c r="H96" i="111"/>
  <c r="I96" i="111"/>
  <c r="J96" i="111"/>
  <c r="K96" i="111"/>
  <c r="L96" i="111"/>
  <c r="M96" i="111"/>
  <c r="N96" i="111"/>
  <c r="D97" i="111"/>
  <c r="E97" i="111"/>
  <c r="F97" i="111"/>
  <c r="G97" i="111"/>
  <c r="H97" i="111"/>
  <c r="I97" i="111"/>
  <c r="J97" i="111"/>
  <c r="K97" i="111"/>
  <c r="L97" i="111"/>
  <c r="M97" i="111"/>
  <c r="N97" i="111"/>
  <c r="D98" i="111"/>
  <c r="E98" i="111"/>
  <c r="F98" i="111"/>
  <c r="G98" i="111"/>
  <c r="H98" i="111"/>
  <c r="I98" i="111"/>
  <c r="J98" i="111"/>
  <c r="K98" i="111"/>
  <c r="L98" i="111"/>
  <c r="M98" i="111"/>
  <c r="N98" i="111"/>
  <c r="D99" i="111"/>
  <c r="E99" i="111"/>
  <c r="F99" i="111"/>
  <c r="G99" i="111"/>
  <c r="H99" i="111"/>
  <c r="I99" i="111"/>
  <c r="J99" i="111"/>
  <c r="K99" i="111"/>
  <c r="L99" i="111"/>
  <c r="M99" i="111"/>
  <c r="N99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D102" i="111"/>
  <c r="E102" i="111"/>
  <c r="F102" i="111"/>
  <c r="G102" i="111"/>
  <c r="H102" i="111"/>
  <c r="I102" i="111"/>
  <c r="J102" i="111"/>
  <c r="K102" i="111"/>
  <c r="L102" i="111"/>
  <c r="M102" i="111"/>
  <c r="N102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C59" i="111"/>
  <c r="P59" i="111" s="1"/>
  <c r="C60" i="111"/>
  <c r="C61" i="111"/>
  <c r="P61" i="111" s="1"/>
  <c r="C62" i="111"/>
  <c r="C63" i="111"/>
  <c r="P63" i="111" s="1"/>
  <c r="C64" i="111"/>
  <c r="C65" i="111"/>
  <c r="P65" i="111" s="1"/>
  <c r="C66" i="111"/>
  <c r="C67" i="111"/>
  <c r="P67" i="111" s="1"/>
  <c r="C68" i="111"/>
  <c r="C69" i="111"/>
  <c r="P69" i="111" s="1"/>
  <c r="C70" i="111"/>
  <c r="C71" i="111"/>
  <c r="P71" i="111" s="1"/>
  <c r="C72" i="111"/>
  <c r="C73" i="111"/>
  <c r="P73" i="111" s="1"/>
  <c r="C74" i="111"/>
  <c r="C75" i="111"/>
  <c r="P75" i="111" s="1"/>
  <c r="C76" i="111"/>
  <c r="C77" i="111"/>
  <c r="P77" i="111" s="1"/>
  <c r="C78" i="111"/>
  <c r="C79" i="111"/>
  <c r="P79" i="111" s="1"/>
  <c r="C80" i="111"/>
  <c r="C81" i="111"/>
  <c r="P81" i="111" s="1"/>
  <c r="C82" i="111"/>
  <c r="C83" i="111"/>
  <c r="P83" i="111" s="1"/>
  <c r="C84" i="111"/>
  <c r="C85" i="111"/>
  <c r="P85" i="111" s="1"/>
  <c r="C86" i="111"/>
  <c r="C87" i="111"/>
  <c r="P87" i="111" s="1"/>
  <c r="C88" i="111"/>
  <c r="C89" i="111"/>
  <c r="P89" i="111" s="1"/>
  <c r="C90" i="111"/>
  <c r="C91" i="111"/>
  <c r="P91" i="111" s="1"/>
  <c r="C92" i="111"/>
  <c r="C93" i="111"/>
  <c r="P93" i="111" s="1"/>
  <c r="C94" i="111"/>
  <c r="C95" i="111"/>
  <c r="P95" i="111" s="1"/>
  <c r="C96" i="111"/>
  <c r="C97" i="111"/>
  <c r="P97" i="111" s="1"/>
  <c r="C98" i="111"/>
  <c r="C99" i="111"/>
  <c r="P99" i="111" s="1"/>
  <c r="C100" i="111"/>
  <c r="C101" i="111"/>
  <c r="P101" i="111" s="1"/>
  <c r="C102" i="111"/>
  <c r="C103" i="111"/>
  <c r="P103" i="111" s="1"/>
  <c r="C104" i="111"/>
  <c r="C105" i="111"/>
  <c r="P105" i="111" s="1"/>
  <c r="C58" i="111"/>
  <c r="D106" i="108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D58" i="108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D106" i="107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E59" i="107"/>
  <c r="F59" i="107"/>
  <c r="G59" i="107"/>
  <c r="H59" i="107"/>
  <c r="I59" i="107"/>
  <c r="J59" i="107"/>
  <c r="K59" i="107"/>
  <c r="L59" i="107"/>
  <c r="M59" i="107"/>
  <c r="N59" i="107"/>
  <c r="D60" i="107"/>
  <c r="E60" i="107"/>
  <c r="F60" i="107"/>
  <c r="G60" i="107"/>
  <c r="H60" i="107"/>
  <c r="I60" i="107"/>
  <c r="J60" i="107"/>
  <c r="K60" i="107"/>
  <c r="L60" i="107"/>
  <c r="M60" i="107"/>
  <c r="N60" i="107"/>
  <c r="D61" i="107"/>
  <c r="E61" i="107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E64" i="107"/>
  <c r="F64" i="107"/>
  <c r="G64" i="107"/>
  <c r="H64" i="107"/>
  <c r="I64" i="107"/>
  <c r="J64" i="107"/>
  <c r="K64" i="107"/>
  <c r="L64" i="107"/>
  <c r="M64" i="107"/>
  <c r="N64" i="107"/>
  <c r="D65" i="107"/>
  <c r="E65" i="107"/>
  <c r="F65" i="107"/>
  <c r="G65" i="107"/>
  <c r="H65" i="107"/>
  <c r="I65" i="107"/>
  <c r="J65" i="107"/>
  <c r="K65" i="107"/>
  <c r="L65" i="107"/>
  <c r="M65" i="107"/>
  <c r="N65" i="107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K69" i="107"/>
  <c r="L69" i="107"/>
  <c r="M69" i="107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E71" i="107"/>
  <c r="F71" i="107"/>
  <c r="G71" i="107"/>
  <c r="H71" i="107"/>
  <c r="I71" i="107"/>
  <c r="J71" i="107"/>
  <c r="K71" i="107"/>
  <c r="L71" i="107"/>
  <c r="M71" i="107"/>
  <c r="N71" i="107"/>
  <c r="D72" i="107"/>
  <c r="E72" i="107"/>
  <c r="F72" i="107"/>
  <c r="G72" i="107"/>
  <c r="H72" i="107"/>
  <c r="I72" i="107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E75" i="107"/>
  <c r="F75" i="107"/>
  <c r="G75" i="107"/>
  <c r="H75" i="107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K77" i="107"/>
  <c r="L77" i="107"/>
  <c r="M77" i="107"/>
  <c r="N77" i="107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E79" i="107"/>
  <c r="F79" i="107"/>
  <c r="G79" i="107"/>
  <c r="H79" i="107"/>
  <c r="I79" i="107"/>
  <c r="J79" i="107"/>
  <c r="K79" i="107"/>
  <c r="L79" i="107"/>
  <c r="M79" i="107"/>
  <c r="N79" i="107"/>
  <c r="D80" i="107"/>
  <c r="E80" i="107"/>
  <c r="F80" i="107"/>
  <c r="G80" i="107"/>
  <c r="H80" i="107"/>
  <c r="I80" i="107"/>
  <c r="J80" i="107"/>
  <c r="K80" i="107"/>
  <c r="L80" i="107"/>
  <c r="M80" i="107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G85" i="107"/>
  <c r="H85" i="107"/>
  <c r="I85" i="107"/>
  <c r="J85" i="107"/>
  <c r="K85" i="107"/>
  <c r="L85" i="107"/>
  <c r="M85" i="107"/>
  <c r="N85" i="107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G91" i="107"/>
  <c r="H91" i="107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G99" i="107"/>
  <c r="H99" i="107"/>
  <c r="I99" i="107"/>
  <c r="J99" i="107"/>
  <c r="K99" i="107"/>
  <c r="L99" i="107"/>
  <c r="M99" i="107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C58" i="107"/>
  <c r="P58" i="111" l="1"/>
  <c r="P74" i="111"/>
  <c r="P72" i="111"/>
  <c r="P70" i="111"/>
  <c r="P68" i="111"/>
  <c r="P66" i="111"/>
  <c r="P64" i="111"/>
  <c r="P62" i="111"/>
  <c r="P60" i="111"/>
  <c r="O75" i="111"/>
  <c r="O73" i="111"/>
  <c r="O71" i="111"/>
  <c r="O69" i="111"/>
  <c r="O67" i="111"/>
  <c r="O65" i="111"/>
  <c r="O63" i="111"/>
  <c r="O61" i="111"/>
  <c r="O59" i="111"/>
  <c r="O58" i="111"/>
  <c r="O62" i="111"/>
  <c r="O66" i="111"/>
  <c r="O70" i="111"/>
  <c r="O74" i="111"/>
  <c r="P104" i="111"/>
  <c r="O104" i="111"/>
  <c r="P102" i="111"/>
  <c r="O102" i="111"/>
  <c r="P100" i="111"/>
  <c r="O100" i="111"/>
  <c r="P98" i="111"/>
  <c r="O98" i="111"/>
  <c r="P96" i="111"/>
  <c r="O96" i="111"/>
  <c r="P94" i="111"/>
  <c r="O94" i="111"/>
  <c r="P92" i="111"/>
  <c r="O92" i="111"/>
  <c r="P90" i="111"/>
  <c r="O90" i="111"/>
  <c r="P88" i="111"/>
  <c r="O88" i="111"/>
  <c r="P86" i="111"/>
  <c r="O86" i="111"/>
  <c r="P84" i="111"/>
  <c r="O84" i="111"/>
  <c r="P82" i="111"/>
  <c r="O82" i="111"/>
  <c r="P80" i="111"/>
  <c r="O80" i="111"/>
  <c r="P78" i="111"/>
  <c r="O78" i="111"/>
  <c r="P76" i="111"/>
  <c r="O76" i="111"/>
  <c r="O105" i="111"/>
  <c r="O103" i="111"/>
  <c r="O101" i="111"/>
  <c r="O99" i="111"/>
  <c r="O97" i="111"/>
  <c r="O95" i="111"/>
  <c r="O93" i="111"/>
  <c r="O91" i="111"/>
  <c r="O89" i="111"/>
  <c r="O87" i="111"/>
  <c r="O85" i="111"/>
  <c r="O83" i="111"/>
  <c r="O81" i="111"/>
  <c r="O79" i="111"/>
  <c r="O77" i="111"/>
  <c r="C3" i="94"/>
  <c r="K6" i="98" l="1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5" i="104" l="1"/>
  <c r="K5" i="108" s="1"/>
  <c r="K5" i="111" s="1"/>
  <c r="K5" i="107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AA26" i="95" s="1"/>
  <c r="W13" i="95"/>
  <c r="V13" i="95"/>
  <c r="U13" i="95"/>
  <c r="T13" i="95"/>
  <c r="AD21" i="95"/>
  <c r="AC20" i="95"/>
  <c r="T19" i="95"/>
  <c r="S27" i="103" l="1"/>
  <c r="Y39" i="109"/>
  <c r="AA39" i="101"/>
  <c r="AD38" i="101"/>
  <c r="AA27" i="99"/>
  <c r="X26" i="98"/>
  <c r="X39" i="10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T36" i="105" l="1"/>
  <c r="X26" i="96"/>
  <c r="AB26" i="98"/>
  <c r="S35" i="110"/>
  <c r="S38" i="105"/>
  <c r="X36" i="101"/>
  <c r="AF25" i="101"/>
  <c r="AF28" i="101"/>
  <c r="Z26" i="95"/>
  <c r="AF32" i="101"/>
  <c r="AF33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N106" i="111" s="1"/>
  <c r="H10" i="111"/>
  <c r="F10" i="111"/>
  <c r="F106" i="111" s="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K106" i="111" s="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E106" i="111" l="1"/>
  <c r="M106" i="111"/>
  <c r="D106" i="111"/>
  <c r="L106" i="111"/>
  <c r="G106" i="111"/>
  <c r="H106" i="111"/>
  <c r="I106" i="111"/>
  <c r="C106" i="111"/>
  <c r="J106" i="111"/>
  <c r="T12" i="111"/>
  <c r="T13" i="111"/>
  <c r="V22" i="93"/>
  <c r="S42" i="110"/>
  <c r="U39" i="107"/>
  <c r="Y34" i="108"/>
  <c r="AD39" i="107"/>
  <c r="AD12" i="111"/>
  <c r="AE24" i="98"/>
  <c r="V39" i="107"/>
  <c r="AF10" i="108"/>
  <c r="U36" i="107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O106" i="111" l="1"/>
  <c r="P106" i="111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AF34" i="111"/>
  <c r="AF3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</calcChain>
</file>

<file path=xl/sharedStrings.xml><?xml version="1.0" encoding="utf-8"?>
<sst xmlns="http://schemas.openxmlformats.org/spreadsheetml/2006/main" count="2324" uniqueCount="175">
  <si>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</si>
  <si>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</si>
  <si>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</si>
  <si>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</si>
  <si>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</si>
  <si>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</si>
  <si>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</si>
  <si>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</si>
  <si>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</si>
  <si>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</si>
  <si>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</si>
  <si>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</si>
  <si>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</si>
  <si>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</si>
  <si>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</si>
  <si>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</si>
  <si>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</si>
  <si>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</si>
  <si>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</si>
  <si>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</si>
  <si>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</si>
  <si>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</si>
  <si>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</si>
  <si>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</si>
  <si>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</si>
  <si>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</si>
  <si>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</si>
  <si>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</si>
  <si>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</si>
  <si>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</si>
  <si>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</si>
  <si>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</si>
  <si>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</si>
  <si>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</si>
  <si>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</si>
  <si>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</si>
  <si>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</si>
  <si>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</si>
  <si>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</si>
  <si>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</si>
  <si>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</si>
  <si>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</si>
  <si>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</si>
  <si>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</si>
  <si>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</si>
  <si>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</si>
  <si>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</si>
  <si>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</si>
  <si>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</si>
  <si>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</si>
  <si>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</si>
  <si>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</si>
  <si>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</si>
  <si>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</si>
  <si>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</si>
  <si>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</si>
  <si>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</si>
  <si>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</si>
  <si>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</si>
  <si>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</si>
  <si>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</si>
  <si>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</si>
  <si>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</si>
  <si>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</si>
  <si>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</si>
  <si>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</si>
  <si>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</si>
  <si>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</si>
  <si>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</si>
  <si>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</si>
  <si>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</si>
  <si>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</si>
  <si>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</si>
  <si>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</si>
  <si>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</si>
  <si>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</si>
  <si>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</si>
  <si>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</si>
  <si>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</si>
  <si>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</si>
  <si>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</si>
  <si>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</si>
  <si>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</si>
  <si>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</si>
  <si>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</si>
  <si>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</si>
  <si>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</si>
  <si>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</si>
  <si>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</si>
  <si>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</si>
  <si>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</si>
  <si>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</si>
  <si>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</si>
  <si>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</si>
  <si>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</si>
  <si>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</si>
  <si>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</si>
  <si>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</si>
  <si>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</si>
  <si>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</si>
  <si>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</si>
  <si>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</si>
  <si>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</si>
  <si>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</si>
  <si>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</si>
  <si>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</si>
  <si>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</si>
  <si>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</si>
  <si>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</si>
  <si>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</si>
  <si>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</si>
  <si>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</si>
  <si>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</si>
  <si>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</si>
  <si>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</si>
  <si>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</si>
  <si>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</si>
  <si>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</si>
  <si>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</si>
  <si>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</si>
  <si>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</si>
  <si>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</si>
  <si>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</si>
  <si>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</si>
  <si>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</si>
  <si>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</si>
  <si>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</si>
  <si>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</si>
  <si>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</si>
  <si>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</si>
  <si>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</si>
  <si>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</si>
  <si>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</si>
  <si>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</si>
  <si>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</si>
  <si>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</si>
  <si>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</si>
  <si>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</si>
  <si>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</si>
  <si>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</si>
  <si>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</si>
  <si>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</si>
  <si>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</si>
  <si>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</si>
  <si>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</si>
  <si>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</si>
  <si>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</si>
  <si>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</si>
  <si>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</si>
  <si>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</si>
  <si>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</si>
  <si>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</si>
  <si>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</si>
  <si>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</si>
  <si>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</si>
  <si>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</si>
  <si>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</si>
  <si>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</si>
  <si>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</si>
  <si>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</si>
  <si>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</si>
  <si>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</si>
  <si>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xxx</t>
  </si>
  <si>
    <t>AVERAGE WEEK</t>
  </si>
  <si>
    <t>Malaba</t>
  </si>
  <si>
    <t>Tororo</t>
  </si>
  <si>
    <t>12.08.19</t>
  </si>
  <si>
    <t>13.08.19</t>
  </si>
  <si>
    <t>14.08.19</t>
  </si>
  <si>
    <t>15.08.19</t>
  </si>
  <si>
    <t>16.08.19</t>
  </si>
  <si>
    <t>17.08.19</t>
  </si>
  <si>
    <t>18.08.19</t>
  </si>
  <si>
    <t>MCC - C3b- STN143 - TORORO-MALABA ROAD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</si>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</sst>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Malaba-Tororo'!$AE$9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Malaba-Tororo'!$AE$10:$AE$21</c:f>
              <c:numCache>
                <c:formatCode>0</c:formatCode>
                <c:ptCount val="12"/>
                <c:pt idx="0">
                  <c:v>11</c:v>
                </c:pt>
                <c:pt idx="1">
                  <c:v>20</c:v>
                </c:pt>
                <c:pt idx="2">
                  <c:v>33</c:v>
                </c:pt>
                <c:pt idx="3">
                  <c:v>41</c:v>
                </c:pt>
                <c:pt idx="4">
                  <c:v>30</c:v>
                </c:pt>
                <c:pt idx="5">
                  <c:v>47</c:v>
                </c:pt>
                <c:pt idx="6">
                  <c:v>30</c:v>
                </c:pt>
                <c:pt idx="7">
                  <c:v>44</c:v>
                </c:pt>
                <c:pt idx="8">
                  <c:v>36</c:v>
                </c:pt>
                <c:pt idx="9">
                  <c:v>59</c:v>
                </c:pt>
                <c:pt idx="10">
                  <c:v>49</c:v>
                </c:pt>
                <c:pt idx="11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'12.08 Malaba-Tororo'!$AF$9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Malaba-Tororo'!$AF$10:$AF$21</c:f>
              <c:numCache>
                <c:formatCode>0</c:formatCode>
                <c:ptCount val="12"/>
                <c:pt idx="0">
                  <c:v>84</c:v>
                </c:pt>
                <c:pt idx="1">
                  <c:v>114</c:v>
                </c:pt>
                <c:pt idx="2">
                  <c:v>118</c:v>
                </c:pt>
                <c:pt idx="3">
                  <c:v>143</c:v>
                </c:pt>
                <c:pt idx="4">
                  <c:v>150</c:v>
                </c:pt>
                <c:pt idx="5">
                  <c:v>149</c:v>
                </c:pt>
                <c:pt idx="6">
                  <c:v>145</c:v>
                </c:pt>
                <c:pt idx="7">
                  <c:v>138</c:v>
                </c:pt>
                <c:pt idx="8">
                  <c:v>136</c:v>
                </c:pt>
                <c:pt idx="9">
                  <c:v>167</c:v>
                </c:pt>
                <c:pt idx="10">
                  <c:v>89</c:v>
                </c:pt>
                <c:pt idx="11">
                  <c:v>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68600"/>
        <c:axId val="172643200"/>
      </c:lineChart>
      <c:catAx>
        <c:axId val="2093686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643200"/>
        <c:crosses val="autoZero"/>
        <c:auto val="1"/>
        <c:lblAlgn val="ctr"/>
        <c:lblOffset val="100"/>
        <c:noMultiLvlLbl val="0"/>
      </c:catAx>
      <c:valAx>
        <c:axId val="1726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36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Malaba-Tororo'!$C$9:$N$9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Malaba-Tororo'!$C$59:$N$59</c:f>
              <c:numCache>
                <c:formatCode>0.0%</c:formatCode>
                <c:ptCount val="12"/>
                <c:pt idx="0">
                  <c:v>7.2528883183568676E-2</c:v>
                </c:pt>
                <c:pt idx="1">
                  <c:v>1.0911424903722721E-2</c:v>
                </c:pt>
                <c:pt idx="2">
                  <c:v>8.2156611039794603E-2</c:v>
                </c:pt>
                <c:pt idx="3">
                  <c:v>6.3543003851091143E-2</c:v>
                </c:pt>
                <c:pt idx="4">
                  <c:v>3.8510911424903724E-3</c:v>
                </c:pt>
                <c:pt idx="5">
                  <c:v>1.2836970474967907E-3</c:v>
                </c:pt>
                <c:pt idx="6">
                  <c:v>4.4929396662387676E-2</c:v>
                </c:pt>
                <c:pt idx="7">
                  <c:v>6.4184852374839542E-3</c:v>
                </c:pt>
                <c:pt idx="8">
                  <c:v>6.4184852374839533E-4</c:v>
                </c:pt>
                <c:pt idx="9">
                  <c:v>0</c:v>
                </c:pt>
                <c:pt idx="10">
                  <c:v>0.71181001283697043</c:v>
                </c:pt>
                <c:pt idx="11">
                  <c:v>1.9255455712451862E-3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Malaba-Tororo'!$C$9:$N$9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Malaba-Tororo'!$C$60:$N$60</c:f>
              <c:numCache>
                <c:formatCode>0.00%</c:formatCode>
                <c:ptCount val="12"/>
                <c:pt idx="0">
                  <c:v>0.2516703786191537</c:v>
                </c:pt>
                <c:pt idx="1">
                  <c:v>3.7861915367483297E-2</c:v>
                </c:pt>
                <c:pt idx="2">
                  <c:v>0.28507795100222716</c:v>
                </c:pt>
                <c:pt idx="3">
                  <c:v>0.22048997772828507</c:v>
                </c:pt>
                <c:pt idx="4">
                  <c:v>1.3363028953229399E-2</c:v>
                </c:pt>
                <c:pt idx="5">
                  <c:v>4.4543429844097994E-3</c:v>
                </c:pt>
                <c:pt idx="6">
                  <c:v>0.15590200445434299</c:v>
                </c:pt>
                <c:pt idx="7">
                  <c:v>2.2271714922048998E-2</c:v>
                </c:pt>
                <c:pt idx="8">
                  <c:v>2.2271714922048997E-3</c:v>
                </c:pt>
                <c:pt idx="9">
                  <c:v>0</c:v>
                </c:pt>
                <c:pt idx="11">
                  <c:v>6.6815144766146995E-3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Tororo-Malaba'!$AE$9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Tororo-Malaba'!$AE$10:$AE$21</c:f>
              <c:numCache>
                <c:formatCode>0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28</c:v>
                </c:pt>
                <c:pt idx="3">
                  <c:v>23</c:v>
                </c:pt>
                <c:pt idx="4">
                  <c:v>39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22</c:v>
                </c:pt>
                <c:pt idx="9">
                  <c:v>48</c:v>
                </c:pt>
                <c:pt idx="10">
                  <c:v>37</c:v>
                </c:pt>
                <c:pt idx="11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'12.08 Tororo-Malaba'!$AF$9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Tororo-Malaba'!$AF$10:$AF$21</c:f>
              <c:numCache>
                <c:formatCode>0</c:formatCode>
                <c:ptCount val="12"/>
                <c:pt idx="0">
                  <c:v>75</c:v>
                </c:pt>
                <c:pt idx="1">
                  <c:v>111</c:v>
                </c:pt>
                <c:pt idx="2">
                  <c:v>121</c:v>
                </c:pt>
                <c:pt idx="3">
                  <c:v>136</c:v>
                </c:pt>
                <c:pt idx="4">
                  <c:v>143</c:v>
                </c:pt>
                <c:pt idx="5">
                  <c:v>139</c:v>
                </c:pt>
                <c:pt idx="6">
                  <c:v>111</c:v>
                </c:pt>
                <c:pt idx="7">
                  <c:v>129</c:v>
                </c:pt>
                <c:pt idx="8">
                  <c:v>113</c:v>
                </c:pt>
                <c:pt idx="9">
                  <c:v>153</c:v>
                </c:pt>
                <c:pt idx="10">
                  <c:v>83</c:v>
                </c:pt>
                <c:pt idx="11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64992"/>
        <c:axId val="208463424"/>
      </c:lineChart>
      <c:catAx>
        <c:axId val="2084649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63424"/>
        <c:crosses val="autoZero"/>
        <c:auto val="1"/>
        <c:lblAlgn val="ctr"/>
        <c:lblOffset val="100"/>
        <c:noMultiLvlLbl val="0"/>
      </c:catAx>
      <c:valAx>
        <c:axId val="2084634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6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Tororo-Malaba'!$C$9:$N$9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Tororo-Malaba'!$C$59:$N$59</c:f>
              <c:numCache>
                <c:formatCode>0.0%</c:formatCode>
                <c:ptCount val="12"/>
                <c:pt idx="0">
                  <c:v>8.7866108786610872E-2</c:v>
                </c:pt>
                <c:pt idx="1">
                  <c:v>3.4867503486750349E-3</c:v>
                </c:pt>
                <c:pt idx="2">
                  <c:v>5.5090655509065549E-2</c:v>
                </c:pt>
                <c:pt idx="3">
                  <c:v>7.3221757322175729E-2</c:v>
                </c:pt>
                <c:pt idx="4">
                  <c:v>2.7894002789400278E-3</c:v>
                </c:pt>
                <c:pt idx="5">
                  <c:v>1.3947001394700139E-3</c:v>
                </c:pt>
                <c:pt idx="6">
                  <c:v>2.4407252440725245E-2</c:v>
                </c:pt>
                <c:pt idx="7">
                  <c:v>2.7894002789400278E-3</c:v>
                </c:pt>
                <c:pt idx="8">
                  <c:v>6.9735006973500695E-4</c:v>
                </c:pt>
                <c:pt idx="9">
                  <c:v>0</c:v>
                </c:pt>
                <c:pt idx="10">
                  <c:v>0.74825662482566246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Tororo-Malaba'!$S$9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'12.08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Tororo-Malaba'!$S$10:$S$21</c:f>
              <c:numCache>
                <c:formatCode>0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9</c:v>
                </c:pt>
                <c:pt idx="4">
                  <c:v>13</c:v>
                </c:pt>
                <c:pt idx="5">
                  <c:v>10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19</c:v>
                </c:pt>
                <c:pt idx="10">
                  <c:v>16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'12.08 Tororo-Malaba'!$T$9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'12.08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Tororo-Malaba'!$T$10:$T$21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'12.08 Tororo-Malaba'!$U$9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'12.08 Tororo-Malaba'!$U$10:$U$21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12</c:v>
                </c:pt>
                <c:pt idx="3">
                  <c:v>7</c:v>
                </c:pt>
                <c:pt idx="4">
                  <c:v>12</c:v>
                </c:pt>
                <c:pt idx="5">
                  <c:v>7</c:v>
                </c:pt>
                <c:pt idx="6">
                  <c:v>4</c:v>
                </c:pt>
                <c:pt idx="7">
                  <c:v>9</c:v>
                </c:pt>
                <c:pt idx="8">
                  <c:v>2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'12.08 Tororo-Malaba'!$V$9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'12.08 Tororo-Malaba'!$V$10:$V$21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10</c:v>
                </c:pt>
                <c:pt idx="3">
                  <c:v>4</c:v>
                </c:pt>
                <c:pt idx="4">
                  <c:v>9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13</c:v>
                </c:pt>
                <c:pt idx="10">
                  <c:v>9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'12.08 Tororo-Malaba'!$W$9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'12.08 Tororo-Malaba'!$W$10:$W$21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'12.08 Tororo-Malaba'!$X$9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'12.08 Tororo-Malaba'!$X$10:$X$21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'12.08 Tororo-Malaba'!$Y$9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Tororo-Malaba'!$Y$10:$Y$21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0</c:v>
                </c:pt>
                <c:pt idx="6">
                  <c:v>7</c:v>
                </c:pt>
                <c:pt idx="7">
                  <c:v>3</c:v>
                </c:pt>
                <c:pt idx="8">
                  <c:v>4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'12.08 Tororo-Malaba'!$Z$9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Tororo-Malaba'!$Z$10:$Z$21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'12.08 Tororo-Malaba'!$AA$9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Tororo-Malaba'!$AA$10:$AA$21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'12.08 Tororo-Malaba'!$AB$9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Tororo-Malaba'!$AB$10:$AB$21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'12.08 Tororo-Malaba'!$AC$9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Tororo-Malaba'!$AC$10:$AC$21</c:f>
              <c:numCache>
                <c:formatCode>0</c:formatCode>
                <c:ptCount val="12"/>
                <c:pt idx="0">
                  <c:v>59</c:v>
                </c:pt>
                <c:pt idx="1">
                  <c:v>96</c:v>
                </c:pt>
                <c:pt idx="2">
                  <c:v>93</c:v>
                </c:pt>
                <c:pt idx="3">
                  <c:v>113</c:v>
                </c:pt>
                <c:pt idx="4">
                  <c:v>104</c:v>
                </c:pt>
                <c:pt idx="5">
                  <c:v>110</c:v>
                </c:pt>
                <c:pt idx="6">
                  <c:v>84</c:v>
                </c:pt>
                <c:pt idx="7">
                  <c:v>95</c:v>
                </c:pt>
                <c:pt idx="8">
                  <c:v>91</c:v>
                </c:pt>
                <c:pt idx="9">
                  <c:v>105</c:v>
                </c:pt>
                <c:pt idx="10">
                  <c:v>46</c:v>
                </c:pt>
                <c:pt idx="1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'12.08 Tororo-Malaba'!$AD$9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Tororo-Malaba'!$AD$10:$AD$21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464208"/>
        <c:axId val="208465776"/>
      </c:lineChart>
      <c:catAx>
        <c:axId val="20846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65776"/>
        <c:crosses val="autoZero"/>
        <c:auto val="1"/>
        <c:lblAlgn val="ctr"/>
        <c:lblOffset val="100"/>
        <c:noMultiLvlLbl val="0"/>
      </c:catAx>
      <c:valAx>
        <c:axId val="20846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6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Tororo-Malaba'!$C$9:$N$9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Tororo-Malaba'!$C$60:$N$60</c:f>
              <c:numCache>
                <c:formatCode>0.00%</c:formatCode>
                <c:ptCount val="12"/>
                <c:pt idx="0">
                  <c:v>0.34903047091412742</c:v>
                </c:pt>
                <c:pt idx="1">
                  <c:v>1.3850415512465374E-2</c:v>
                </c:pt>
                <c:pt idx="2">
                  <c:v>0.2188365650969529</c:v>
                </c:pt>
                <c:pt idx="3">
                  <c:v>0.29085872576177285</c:v>
                </c:pt>
                <c:pt idx="4">
                  <c:v>1.1080332409972299E-2</c:v>
                </c:pt>
                <c:pt idx="5">
                  <c:v>5.5401662049861496E-3</c:v>
                </c:pt>
                <c:pt idx="6">
                  <c:v>9.6952908587257622E-2</c:v>
                </c:pt>
                <c:pt idx="7">
                  <c:v>1.1080332409972299E-2</c:v>
                </c:pt>
                <c:pt idx="8">
                  <c:v>2.7700831024930748E-3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Malaba-Tororo'!$AE$9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Malaba-Tororo'!$AE$10:$AE$21</c:f>
              <c:numCache>
                <c:formatCode>0</c:formatCode>
                <c:ptCount val="12"/>
                <c:pt idx="0">
                  <c:v>16</c:v>
                </c:pt>
                <c:pt idx="1">
                  <c:v>26</c:v>
                </c:pt>
                <c:pt idx="2">
                  <c:v>31</c:v>
                </c:pt>
                <c:pt idx="3">
                  <c:v>55</c:v>
                </c:pt>
                <c:pt idx="4">
                  <c:v>35</c:v>
                </c:pt>
                <c:pt idx="5">
                  <c:v>30</c:v>
                </c:pt>
                <c:pt idx="6">
                  <c:v>53</c:v>
                </c:pt>
                <c:pt idx="7">
                  <c:v>36</c:v>
                </c:pt>
                <c:pt idx="8">
                  <c:v>36</c:v>
                </c:pt>
                <c:pt idx="9">
                  <c:v>48</c:v>
                </c:pt>
                <c:pt idx="10">
                  <c:v>50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'13.08 Malaba-Tororo'!$AF$9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Malaba-Tororo'!$AF$10:$AF$21</c:f>
              <c:numCache>
                <c:formatCode>0</c:formatCode>
                <c:ptCount val="12"/>
                <c:pt idx="0">
                  <c:v>85</c:v>
                </c:pt>
                <c:pt idx="1">
                  <c:v>120</c:v>
                </c:pt>
                <c:pt idx="2">
                  <c:v>147</c:v>
                </c:pt>
                <c:pt idx="3">
                  <c:v>184</c:v>
                </c:pt>
                <c:pt idx="4">
                  <c:v>134</c:v>
                </c:pt>
                <c:pt idx="5">
                  <c:v>134</c:v>
                </c:pt>
                <c:pt idx="6">
                  <c:v>153</c:v>
                </c:pt>
                <c:pt idx="7">
                  <c:v>132</c:v>
                </c:pt>
                <c:pt idx="8">
                  <c:v>150</c:v>
                </c:pt>
                <c:pt idx="9">
                  <c:v>155</c:v>
                </c:pt>
                <c:pt idx="10">
                  <c:v>139</c:v>
                </c:pt>
                <c:pt idx="11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61072"/>
        <c:axId val="208459112"/>
      </c:lineChart>
      <c:catAx>
        <c:axId val="2084610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59112"/>
        <c:crosses val="autoZero"/>
        <c:auto val="1"/>
        <c:lblAlgn val="ctr"/>
        <c:lblOffset val="100"/>
        <c:noMultiLvlLbl val="0"/>
      </c:catAx>
      <c:valAx>
        <c:axId val="208459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6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Malaba-Tororo'!$C$9:$N$9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Malaba-Tororo'!$C$59:$N$59</c:f>
              <c:numCache>
                <c:formatCode>0.0%</c:formatCode>
                <c:ptCount val="12"/>
                <c:pt idx="0">
                  <c:v>7.2971395213076468E-2</c:v>
                </c:pt>
                <c:pt idx="1">
                  <c:v>8.1727962638645651E-3</c:v>
                </c:pt>
                <c:pt idx="2">
                  <c:v>7.6474022183304138E-2</c:v>
                </c:pt>
                <c:pt idx="3">
                  <c:v>5.9544658493870403E-2</c:v>
                </c:pt>
                <c:pt idx="4">
                  <c:v>2.3350846468184472E-3</c:v>
                </c:pt>
                <c:pt idx="5">
                  <c:v>1.7513134851138354E-3</c:v>
                </c:pt>
                <c:pt idx="6">
                  <c:v>3.8528896672504379E-2</c:v>
                </c:pt>
                <c:pt idx="7">
                  <c:v>1.6929363689433742E-2</c:v>
                </c:pt>
                <c:pt idx="8">
                  <c:v>1.1675423234092236E-3</c:v>
                </c:pt>
                <c:pt idx="9">
                  <c:v>0</c:v>
                </c:pt>
                <c:pt idx="10">
                  <c:v>0.72154115586690015</c:v>
                </c:pt>
                <c:pt idx="11">
                  <c:v>5.837711617046118E-4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Malaba-Tororo'!$S$9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'13.08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Malaba-Tororo'!$S$10:$S$21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12</c:v>
                </c:pt>
                <c:pt idx="3">
                  <c:v>11</c:v>
                </c:pt>
                <c:pt idx="4">
                  <c:v>8</c:v>
                </c:pt>
                <c:pt idx="5">
                  <c:v>7</c:v>
                </c:pt>
                <c:pt idx="6">
                  <c:v>11</c:v>
                </c:pt>
                <c:pt idx="7">
                  <c:v>5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'13.08 Malaba-Tororo'!$T$9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'13.08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Malaba-Tororo'!$T$10:$T$21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'13.08 Malaba-Tororo'!$U$9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'13.08 Malaba-Tororo'!$U$10:$U$21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17</c:v>
                </c:pt>
                <c:pt idx="7">
                  <c:v>13</c:v>
                </c:pt>
                <c:pt idx="8">
                  <c:v>10</c:v>
                </c:pt>
                <c:pt idx="9">
                  <c:v>15</c:v>
                </c:pt>
                <c:pt idx="10">
                  <c:v>15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'13.08 Malaba-Tororo'!$V$9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'13.08 Malaba-Tororo'!$V$10:$V$21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  <c:pt idx="7">
                  <c:v>9</c:v>
                </c:pt>
                <c:pt idx="8">
                  <c:v>6</c:v>
                </c:pt>
                <c:pt idx="9">
                  <c:v>12</c:v>
                </c:pt>
                <c:pt idx="10">
                  <c:v>14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'13.08 Malaba-Tororo'!$W$9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'13.08 Malaba-Tororo'!$W$10:$W$21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'13.08 Malaba-Tororo'!$X$9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'13.08 Malaba-Tororo'!$X$10:$X$21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'13.08 Malaba-Tororo'!$Y$9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Malaba-Tororo'!$Y$10:$Y$21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'13.08 Malaba-Tororo'!$Z$9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Malaba-Tororo'!$Z$10:$Z$21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'13.08 Malaba-Tororo'!$AA$9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Malaba-Tororo'!$AA$10:$AA$21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'13.08 Malaba-Tororo'!$AB$9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Malaba-Tororo'!$AB$10:$AB$21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'13.08 Malaba-Tororo'!$AC$9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Malaba-Tororo'!$AC$10:$AC$21</c:f>
              <c:numCache>
                <c:formatCode>0</c:formatCode>
                <c:ptCount val="12"/>
                <c:pt idx="0">
                  <c:v>69</c:v>
                </c:pt>
                <c:pt idx="1">
                  <c:v>94</c:v>
                </c:pt>
                <c:pt idx="2">
                  <c:v>116</c:v>
                </c:pt>
                <c:pt idx="3">
                  <c:v>129</c:v>
                </c:pt>
                <c:pt idx="4">
                  <c:v>99</c:v>
                </c:pt>
                <c:pt idx="5">
                  <c:v>104</c:v>
                </c:pt>
                <c:pt idx="6">
                  <c:v>100</c:v>
                </c:pt>
                <c:pt idx="7">
                  <c:v>96</c:v>
                </c:pt>
                <c:pt idx="8">
                  <c:v>114</c:v>
                </c:pt>
                <c:pt idx="9">
                  <c:v>107</c:v>
                </c:pt>
                <c:pt idx="10">
                  <c:v>89</c:v>
                </c:pt>
                <c:pt idx="1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'13.08 Malaba-Tororo'!$AD$9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Malaba-Tororo'!$AD$10:$AD$21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461464"/>
        <c:axId val="208461856"/>
      </c:lineChart>
      <c:catAx>
        <c:axId val="208461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61856"/>
        <c:crosses val="autoZero"/>
        <c:auto val="1"/>
        <c:lblAlgn val="ctr"/>
        <c:lblOffset val="100"/>
        <c:noMultiLvlLbl val="0"/>
      </c:catAx>
      <c:valAx>
        <c:axId val="20846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61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Malaba-Tororo'!$C$9:$N$9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Malaba-Tororo'!$C$60:$N$60</c:f>
              <c:numCache>
                <c:formatCode>0.00%</c:formatCode>
                <c:ptCount val="12"/>
                <c:pt idx="0">
                  <c:v>0.26205450733752622</c:v>
                </c:pt>
                <c:pt idx="1">
                  <c:v>2.9350104821802937E-2</c:v>
                </c:pt>
                <c:pt idx="2">
                  <c:v>0.27463312368972748</c:v>
                </c:pt>
                <c:pt idx="3">
                  <c:v>0.21383647798742139</c:v>
                </c:pt>
                <c:pt idx="4">
                  <c:v>8.385744234800839E-3</c:v>
                </c:pt>
                <c:pt idx="5">
                  <c:v>6.2893081761006293E-3</c:v>
                </c:pt>
                <c:pt idx="6">
                  <c:v>0.13836477987421383</c:v>
                </c:pt>
                <c:pt idx="7">
                  <c:v>6.0796645702306078E-2</c:v>
                </c:pt>
                <c:pt idx="8">
                  <c:v>4.1928721174004195E-3</c:v>
                </c:pt>
                <c:pt idx="9">
                  <c:v>0</c:v>
                </c:pt>
                <c:pt idx="11">
                  <c:v>2.0964360587002098E-3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Tororo-Malaba'!$AE$9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Tororo-Malaba'!$AE$10:$AE$21</c:f>
              <c:numCache>
                <c:formatCode>0</c:formatCode>
                <c:ptCount val="12"/>
                <c:pt idx="0">
                  <c:v>16</c:v>
                </c:pt>
                <c:pt idx="1">
                  <c:v>23</c:v>
                </c:pt>
                <c:pt idx="2">
                  <c:v>25</c:v>
                </c:pt>
                <c:pt idx="3">
                  <c:v>36</c:v>
                </c:pt>
                <c:pt idx="4">
                  <c:v>40</c:v>
                </c:pt>
                <c:pt idx="5">
                  <c:v>36</c:v>
                </c:pt>
                <c:pt idx="6">
                  <c:v>51</c:v>
                </c:pt>
                <c:pt idx="7">
                  <c:v>57</c:v>
                </c:pt>
                <c:pt idx="8">
                  <c:v>41</c:v>
                </c:pt>
                <c:pt idx="9">
                  <c:v>32</c:v>
                </c:pt>
                <c:pt idx="10">
                  <c:v>36</c:v>
                </c:pt>
                <c:pt idx="11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'13.08 Tororo-Malaba'!$AF$9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Tororo-Malaba'!$AF$10:$AF$21</c:f>
              <c:numCache>
                <c:formatCode>0</c:formatCode>
                <c:ptCount val="12"/>
                <c:pt idx="0">
                  <c:v>99</c:v>
                </c:pt>
                <c:pt idx="1">
                  <c:v>107</c:v>
                </c:pt>
                <c:pt idx="2">
                  <c:v>148</c:v>
                </c:pt>
                <c:pt idx="3">
                  <c:v>137</c:v>
                </c:pt>
                <c:pt idx="4">
                  <c:v>137</c:v>
                </c:pt>
                <c:pt idx="5">
                  <c:v>160</c:v>
                </c:pt>
                <c:pt idx="6">
                  <c:v>169</c:v>
                </c:pt>
                <c:pt idx="7">
                  <c:v>162</c:v>
                </c:pt>
                <c:pt idx="8">
                  <c:v>143</c:v>
                </c:pt>
                <c:pt idx="9">
                  <c:v>126</c:v>
                </c:pt>
                <c:pt idx="10">
                  <c:v>139</c:v>
                </c:pt>
                <c:pt idx="11">
                  <c:v>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99056"/>
        <c:axId val="211097880"/>
      </c:lineChart>
      <c:catAx>
        <c:axId val="2110990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097880"/>
        <c:crosses val="autoZero"/>
        <c:auto val="1"/>
        <c:lblAlgn val="ctr"/>
        <c:lblOffset val="100"/>
        <c:noMultiLvlLbl val="0"/>
      </c:catAx>
      <c:valAx>
        <c:axId val="2110978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09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Tororo-Malaba'!$C$9:$N$9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Tororo-Malaba'!$C$59:$N$59</c:f>
              <c:numCache>
                <c:formatCode>0.0%</c:formatCode>
                <c:ptCount val="12"/>
                <c:pt idx="0">
                  <c:v>8.1325301204819275E-2</c:v>
                </c:pt>
                <c:pt idx="1">
                  <c:v>8.4337349397590362E-3</c:v>
                </c:pt>
                <c:pt idx="2">
                  <c:v>7.1084337349397592E-2</c:v>
                </c:pt>
                <c:pt idx="3">
                  <c:v>6.2650602409638559E-2</c:v>
                </c:pt>
                <c:pt idx="4">
                  <c:v>2.4096385542168677E-3</c:v>
                </c:pt>
                <c:pt idx="5">
                  <c:v>6.0240963855421692E-4</c:v>
                </c:pt>
                <c:pt idx="6">
                  <c:v>2.5903614457831327E-2</c:v>
                </c:pt>
                <c:pt idx="7">
                  <c:v>3.0120481927710845E-3</c:v>
                </c:pt>
                <c:pt idx="8">
                  <c:v>0</c:v>
                </c:pt>
                <c:pt idx="9">
                  <c:v>0</c:v>
                </c:pt>
                <c:pt idx="10">
                  <c:v>0.74397590361445787</c:v>
                </c:pt>
                <c:pt idx="11">
                  <c:v>6.0240963855421692E-4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Tororo-Malaba'!$S$9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'13.08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Tororo-Malaba'!$S$10:$S$21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11</c:v>
                </c:pt>
                <c:pt idx="3">
                  <c:v>11</c:v>
                </c:pt>
                <c:pt idx="4">
                  <c:v>20</c:v>
                </c:pt>
                <c:pt idx="5">
                  <c:v>11</c:v>
                </c:pt>
                <c:pt idx="6">
                  <c:v>15</c:v>
                </c:pt>
                <c:pt idx="7">
                  <c:v>20</c:v>
                </c:pt>
                <c:pt idx="8">
                  <c:v>12</c:v>
                </c:pt>
                <c:pt idx="9">
                  <c:v>9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'13.08 Tororo-Malaba'!$T$9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'13.08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Tororo-Malaba'!$T$10:$T$21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'13.08 Tororo-Malaba'!$U$9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'13.08 Tororo-Malaba'!$U$10:$U$21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9</c:v>
                </c:pt>
                <c:pt idx="4">
                  <c:v>9</c:v>
                </c:pt>
                <c:pt idx="5">
                  <c:v>14</c:v>
                </c:pt>
                <c:pt idx="6">
                  <c:v>16</c:v>
                </c:pt>
                <c:pt idx="7">
                  <c:v>20</c:v>
                </c:pt>
                <c:pt idx="8">
                  <c:v>9</c:v>
                </c:pt>
                <c:pt idx="9">
                  <c:v>6</c:v>
                </c:pt>
                <c:pt idx="10">
                  <c:v>11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'13.08 Tororo-Malaba'!$V$9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'13.08 Tororo-Malaba'!$V$10:$V$21</c:f>
              <c:numCache>
                <c:formatCode>0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12</c:v>
                </c:pt>
                <c:pt idx="7">
                  <c:v>10</c:v>
                </c:pt>
                <c:pt idx="8">
                  <c:v>15</c:v>
                </c:pt>
                <c:pt idx="9">
                  <c:v>12</c:v>
                </c:pt>
                <c:pt idx="10">
                  <c:v>7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'13.08 Tororo-Malaba'!$W$9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'13.08 Tororo-Malaba'!$W$10:$W$21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'13.08 Tororo-Malaba'!$X$9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'13.08 Tororo-Malaba'!$X$10:$X$21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'13.08 Tororo-Malaba'!$Y$9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Tororo-Malaba'!$Y$10:$Y$21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'13.08 Tororo-Malaba'!$Z$9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Tororo-Malaba'!$Z$10:$Z$21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'13.08 Tororo-Malaba'!$AA$9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Tororo-Malaba'!$AA$10:$AA$21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'13.08 Tororo-Malaba'!$AB$9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Tororo-Malaba'!$AB$10:$AB$21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'13.08 Tororo-Malaba'!$AC$9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Tororo-Malaba'!$AC$10:$AC$21</c:f>
              <c:numCache>
                <c:formatCode>0</c:formatCode>
                <c:ptCount val="12"/>
                <c:pt idx="0">
                  <c:v>83</c:v>
                </c:pt>
                <c:pt idx="1">
                  <c:v>84</c:v>
                </c:pt>
                <c:pt idx="2">
                  <c:v>123</c:v>
                </c:pt>
                <c:pt idx="3">
                  <c:v>101</c:v>
                </c:pt>
                <c:pt idx="4">
                  <c:v>97</c:v>
                </c:pt>
                <c:pt idx="5">
                  <c:v>124</c:v>
                </c:pt>
                <c:pt idx="6">
                  <c:v>118</c:v>
                </c:pt>
                <c:pt idx="7">
                  <c:v>105</c:v>
                </c:pt>
                <c:pt idx="8">
                  <c:v>102</c:v>
                </c:pt>
                <c:pt idx="9">
                  <c:v>94</c:v>
                </c:pt>
                <c:pt idx="10">
                  <c:v>103</c:v>
                </c:pt>
                <c:pt idx="11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'13.08 Tororo-Malaba'!$AD$9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Tororo-Malaba'!$AD$10:$AD$21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99840"/>
        <c:axId val="211101408"/>
      </c:lineChart>
      <c:catAx>
        <c:axId val="21109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101408"/>
        <c:crosses val="autoZero"/>
        <c:auto val="1"/>
        <c:lblAlgn val="ctr"/>
        <c:lblOffset val="100"/>
        <c:noMultiLvlLbl val="0"/>
      </c:catAx>
      <c:valAx>
        <c:axId val="2111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09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Tororo-Malaba'!$C$9:$N$9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Tororo-Malaba'!$C$60:$N$60</c:f>
              <c:numCache>
                <c:formatCode>0.00%</c:formatCode>
                <c:ptCount val="12"/>
                <c:pt idx="0">
                  <c:v>0.31764705882352939</c:v>
                </c:pt>
                <c:pt idx="1">
                  <c:v>3.2941176470588238E-2</c:v>
                </c:pt>
                <c:pt idx="2">
                  <c:v>0.27764705882352941</c:v>
                </c:pt>
                <c:pt idx="3">
                  <c:v>0.24470588235294119</c:v>
                </c:pt>
                <c:pt idx="4">
                  <c:v>9.4117647058823521E-3</c:v>
                </c:pt>
                <c:pt idx="5">
                  <c:v>2.352941176470588E-3</c:v>
                </c:pt>
                <c:pt idx="6">
                  <c:v>0.1011764705882353</c:v>
                </c:pt>
                <c:pt idx="7">
                  <c:v>1.1764705882352941E-2</c:v>
                </c:pt>
                <c:pt idx="8">
                  <c:v>0</c:v>
                </c:pt>
                <c:pt idx="9">
                  <c:v>0</c:v>
                </c:pt>
                <c:pt idx="11">
                  <c:v>2.352941176470588E-3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Malaba-Tororo'!$AE$9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Malaba-Tororo'!$AE$10:$AE$21</c:f>
              <c:numCache>
                <c:formatCode>0</c:formatCode>
                <c:ptCount val="12"/>
                <c:pt idx="0">
                  <c:v>25</c:v>
                </c:pt>
                <c:pt idx="1">
                  <c:v>19</c:v>
                </c:pt>
                <c:pt idx="2">
                  <c:v>30</c:v>
                </c:pt>
                <c:pt idx="3">
                  <c:v>43</c:v>
                </c:pt>
                <c:pt idx="4">
                  <c:v>40</c:v>
                </c:pt>
                <c:pt idx="5">
                  <c:v>49</c:v>
                </c:pt>
                <c:pt idx="6">
                  <c:v>39</c:v>
                </c:pt>
                <c:pt idx="7">
                  <c:v>26</c:v>
                </c:pt>
                <c:pt idx="8">
                  <c:v>37</c:v>
                </c:pt>
                <c:pt idx="9">
                  <c:v>59</c:v>
                </c:pt>
                <c:pt idx="10">
                  <c:v>45</c:v>
                </c:pt>
                <c:pt idx="11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'14.08 Malaba-Tororo'!$AF$9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Malaba-Tororo'!$AF$10:$AF$21</c:f>
              <c:numCache>
                <c:formatCode>0</c:formatCode>
                <c:ptCount val="12"/>
                <c:pt idx="0">
                  <c:v>100</c:v>
                </c:pt>
                <c:pt idx="1">
                  <c:v>132</c:v>
                </c:pt>
                <c:pt idx="2">
                  <c:v>138</c:v>
                </c:pt>
                <c:pt idx="3">
                  <c:v>163</c:v>
                </c:pt>
                <c:pt idx="4">
                  <c:v>177</c:v>
                </c:pt>
                <c:pt idx="5">
                  <c:v>173</c:v>
                </c:pt>
                <c:pt idx="6">
                  <c:v>160</c:v>
                </c:pt>
                <c:pt idx="7">
                  <c:v>123</c:v>
                </c:pt>
                <c:pt idx="8">
                  <c:v>142</c:v>
                </c:pt>
                <c:pt idx="9">
                  <c:v>154</c:v>
                </c:pt>
                <c:pt idx="10">
                  <c:v>136</c:v>
                </c:pt>
                <c:pt idx="11">
                  <c:v>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100232"/>
        <c:axId val="211096704"/>
      </c:lineChart>
      <c:catAx>
        <c:axId val="2111002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096704"/>
        <c:crosses val="autoZero"/>
        <c:auto val="1"/>
        <c:lblAlgn val="ctr"/>
        <c:lblOffset val="100"/>
        <c:noMultiLvlLbl val="0"/>
      </c:catAx>
      <c:valAx>
        <c:axId val="211096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10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Malaba-Tororo'!$C$9:$N$9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Malaba-Tororo'!$C$59:$N$59</c:f>
              <c:numCache>
                <c:formatCode>0.0%</c:formatCode>
                <c:ptCount val="12"/>
                <c:pt idx="0">
                  <c:v>7.7497129735935699E-2</c:v>
                </c:pt>
                <c:pt idx="1">
                  <c:v>7.462686567164179E-3</c:v>
                </c:pt>
                <c:pt idx="2">
                  <c:v>6.4293915040183697E-2</c:v>
                </c:pt>
                <c:pt idx="3">
                  <c:v>7.175660160734787E-2</c:v>
                </c:pt>
                <c:pt idx="4">
                  <c:v>1.722158438576349E-3</c:v>
                </c:pt>
                <c:pt idx="5">
                  <c:v>2.2962112514351321E-3</c:v>
                </c:pt>
                <c:pt idx="6">
                  <c:v>2.6406429391504019E-2</c:v>
                </c:pt>
                <c:pt idx="7">
                  <c:v>5.7405281285878304E-3</c:v>
                </c:pt>
                <c:pt idx="8">
                  <c:v>1.148105625717566E-3</c:v>
                </c:pt>
                <c:pt idx="9">
                  <c:v>0</c:v>
                </c:pt>
                <c:pt idx="10">
                  <c:v>0.74167623421354767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Malaba-Tororo'!$S$9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'14.08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Malaba-Tororo'!$S$10:$S$21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18</c:v>
                </c:pt>
                <c:pt idx="4">
                  <c:v>9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8</c:v>
                </c:pt>
                <c:pt idx="9">
                  <c:v>24</c:v>
                </c:pt>
                <c:pt idx="10">
                  <c:v>7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'14.08 Malaba-Tororo'!$T$9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'14.08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Malaba-Tororo'!$T$10:$T$21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'14.08 Malaba-Tororo'!$U$9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'14.08 Malaba-Tororo'!$U$10:$U$21</c:f>
              <c:numCache>
                <c:formatCode>0</c:formatCode>
                <c:ptCount val="12"/>
                <c:pt idx="0">
                  <c:v>9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16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'14.08 Malaba-Tororo'!$V$9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'14.08 Malaba-Tororo'!$V$10:$V$21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  <c:pt idx="4">
                  <c:v>12</c:v>
                </c:pt>
                <c:pt idx="5">
                  <c:v>14</c:v>
                </c:pt>
                <c:pt idx="6">
                  <c:v>12</c:v>
                </c:pt>
                <c:pt idx="7">
                  <c:v>5</c:v>
                </c:pt>
                <c:pt idx="8">
                  <c:v>12</c:v>
                </c:pt>
                <c:pt idx="9">
                  <c:v>12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'14.08 Malaba-Tororo'!$W$9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'14.08 Malaba-Tororo'!$W$10:$W$21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'14.08 Malaba-Tororo'!$X$9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'14.08 Malaba-Tororo'!$X$10:$X$21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'14.08 Malaba-Tororo'!$Y$9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Malaba-Tororo'!$Y$10:$Y$21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7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'14.08 Malaba-Tororo'!$Z$9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Malaba-Tororo'!$Z$10:$Z$21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'14.08 Malaba-Tororo'!$AA$9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Malaba-Tororo'!$AA$10:$AA$21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'14.08 Malaba-Tororo'!$AB$9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Malaba-Tororo'!$AB$10:$AB$21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'14.08 Malaba-Tororo'!$AC$9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Malaba-Tororo'!$AC$10:$AC$21</c:f>
              <c:numCache>
                <c:formatCode>0</c:formatCode>
                <c:ptCount val="12"/>
                <c:pt idx="0">
                  <c:v>75</c:v>
                </c:pt>
                <c:pt idx="1">
                  <c:v>113</c:v>
                </c:pt>
                <c:pt idx="2">
                  <c:v>108</c:v>
                </c:pt>
                <c:pt idx="3">
                  <c:v>120</c:v>
                </c:pt>
                <c:pt idx="4">
                  <c:v>137</c:v>
                </c:pt>
                <c:pt idx="5">
                  <c:v>124</c:v>
                </c:pt>
                <c:pt idx="6">
                  <c:v>121</c:v>
                </c:pt>
                <c:pt idx="7">
                  <c:v>97</c:v>
                </c:pt>
                <c:pt idx="8">
                  <c:v>105</c:v>
                </c:pt>
                <c:pt idx="9">
                  <c:v>95</c:v>
                </c:pt>
                <c:pt idx="10">
                  <c:v>91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'14.08 Malaba-Tororo'!$AD$9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Malaba-Tororo'!$AD$10:$AD$21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95136"/>
        <c:axId val="211094352"/>
      </c:lineChart>
      <c:catAx>
        <c:axId val="21109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094352"/>
        <c:crosses val="autoZero"/>
        <c:auto val="1"/>
        <c:lblAlgn val="ctr"/>
        <c:lblOffset val="100"/>
        <c:noMultiLvlLbl val="0"/>
      </c:catAx>
      <c:valAx>
        <c:axId val="2110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09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Malaba-Tororo'!$C$9:$N$9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Malaba-Tororo'!$C$60:$N$60</c:f>
              <c:numCache>
                <c:formatCode>0.00%</c:formatCode>
                <c:ptCount val="12"/>
                <c:pt idx="0">
                  <c:v>0.3</c:v>
                </c:pt>
                <c:pt idx="1">
                  <c:v>2.8888888888888888E-2</c:v>
                </c:pt>
                <c:pt idx="2">
                  <c:v>0.24888888888888888</c:v>
                </c:pt>
                <c:pt idx="3">
                  <c:v>0.27777777777777779</c:v>
                </c:pt>
                <c:pt idx="4">
                  <c:v>6.6666666666666671E-3</c:v>
                </c:pt>
                <c:pt idx="5">
                  <c:v>8.8888888888888889E-3</c:v>
                </c:pt>
                <c:pt idx="6">
                  <c:v>0.10222222222222223</c:v>
                </c:pt>
                <c:pt idx="7">
                  <c:v>2.2222222222222223E-2</c:v>
                </c:pt>
                <c:pt idx="8">
                  <c:v>4.4444444444444444E-3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Tororo-Malaba'!$AE$9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Tororo-Malaba'!$AE$10:$AE$21</c:f>
              <c:numCache>
                <c:formatCode>0</c:formatCode>
                <c:ptCount val="12"/>
                <c:pt idx="0">
                  <c:v>24</c:v>
                </c:pt>
                <c:pt idx="1">
                  <c:v>23</c:v>
                </c:pt>
                <c:pt idx="2">
                  <c:v>29</c:v>
                </c:pt>
                <c:pt idx="3">
                  <c:v>32</c:v>
                </c:pt>
                <c:pt idx="4">
                  <c:v>40</c:v>
                </c:pt>
                <c:pt idx="5">
                  <c:v>25</c:v>
                </c:pt>
                <c:pt idx="6">
                  <c:v>35</c:v>
                </c:pt>
                <c:pt idx="7">
                  <c:v>42</c:v>
                </c:pt>
                <c:pt idx="8">
                  <c:v>37</c:v>
                </c:pt>
                <c:pt idx="9">
                  <c:v>26</c:v>
                </c:pt>
                <c:pt idx="10">
                  <c:v>44</c:v>
                </c:pt>
                <c:pt idx="11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'14.08 Tororo-Malaba'!$AF$9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Tororo-Malaba'!$AF$10:$AF$21</c:f>
              <c:numCache>
                <c:formatCode>0</c:formatCode>
                <c:ptCount val="12"/>
                <c:pt idx="0">
                  <c:v>83</c:v>
                </c:pt>
                <c:pt idx="1">
                  <c:v>140</c:v>
                </c:pt>
                <c:pt idx="2">
                  <c:v>134</c:v>
                </c:pt>
                <c:pt idx="3">
                  <c:v>131</c:v>
                </c:pt>
                <c:pt idx="4">
                  <c:v>158</c:v>
                </c:pt>
                <c:pt idx="5">
                  <c:v>140</c:v>
                </c:pt>
                <c:pt idx="6">
                  <c:v>144</c:v>
                </c:pt>
                <c:pt idx="7">
                  <c:v>147</c:v>
                </c:pt>
                <c:pt idx="8">
                  <c:v>147</c:v>
                </c:pt>
                <c:pt idx="9">
                  <c:v>151</c:v>
                </c:pt>
                <c:pt idx="10">
                  <c:v>142</c:v>
                </c:pt>
                <c:pt idx="11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96312"/>
        <c:axId val="172642024"/>
      </c:lineChart>
      <c:catAx>
        <c:axId val="2110963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642024"/>
        <c:crosses val="autoZero"/>
        <c:auto val="1"/>
        <c:lblAlgn val="ctr"/>
        <c:lblOffset val="100"/>
        <c:noMultiLvlLbl val="0"/>
      </c:catAx>
      <c:valAx>
        <c:axId val="172642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09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Tororo-Malaba'!$C$9:$N$9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Tororo-Malaba'!$C$59:$N$59</c:f>
              <c:numCache>
                <c:formatCode>0.0%</c:formatCode>
                <c:ptCount val="12"/>
                <c:pt idx="0">
                  <c:v>8.9416058394160586E-2</c:v>
                </c:pt>
                <c:pt idx="1">
                  <c:v>3.6496350364963502E-3</c:v>
                </c:pt>
                <c:pt idx="2">
                  <c:v>5.3527980535279802E-2</c:v>
                </c:pt>
                <c:pt idx="3">
                  <c:v>6.4476885644768861E-2</c:v>
                </c:pt>
                <c:pt idx="4">
                  <c:v>1.8248175182481751E-3</c:v>
                </c:pt>
                <c:pt idx="5">
                  <c:v>1.2165450121654502E-3</c:v>
                </c:pt>
                <c:pt idx="6">
                  <c:v>2.0072992700729927E-2</c:v>
                </c:pt>
                <c:pt idx="7">
                  <c:v>4.2579075425790754E-3</c:v>
                </c:pt>
                <c:pt idx="8">
                  <c:v>0</c:v>
                </c:pt>
                <c:pt idx="9">
                  <c:v>0</c:v>
                </c:pt>
                <c:pt idx="10">
                  <c:v>0.76094890510948909</c:v>
                </c:pt>
                <c:pt idx="11">
                  <c:v>6.0827250608272508E-4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Tororo-Malaba'!$C$9:$N$9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Tororo-Malaba'!$C$60:$N$60</c:f>
              <c:numCache>
                <c:formatCode>0.00%</c:formatCode>
                <c:ptCount val="12"/>
                <c:pt idx="0">
                  <c:v>0.37404580152671757</c:v>
                </c:pt>
                <c:pt idx="1">
                  <c:v>1.5267175572519083E-2</c:v>
                </c:pt>
                <c:pt idx="2">
                  <c:v>0.22391857506361323</c:v>
                </c:pt>
                <c:pt idx="3">
                  <c:v>0.26972010178117051</c:v>
                </c:pt>
                <c:pt idx="4">
                  <c:v>7.6335877862595417E-3</c:v>
                </c:pt>
                <c:pt idx="5">
                  <c:v>5.0890585241730284E-3</c:v>
                </c:pt>
                <c:pt idx="6">
                  <c:v>8.3969465648854963E-2</c:v>
                </c:pt>
                <c:pt idx="7">
                  <c:v>1.7811704834605598E-2</c:v>
                </c:pt>
                <c:pt idx="8">
                  <c:v>0</c:v>
                </c:pt>
                <c:pt idx="9">
                  <c:v>0</c:v>
                </c:pt>
                <c:pt idx="11">
                  <c:v>2.5445292620865142E-3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Malaba-Tororo'!$AE$9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Malaba-Tororo'!$AE$10:$AE$21</c:f>
              <c:numCache>
                <c:formatCode>0</c:formatCode>
                <c:ptCount val="12"/>
                <c:pt idx="0">
                  <c:v>27</c:v>
                </c:pt>
                <c:pt idx="1">
                  <c:v>28</c:v>
                </c:pt>
                <c:pt idx="2">
                  <c:v>34</c:v>
                </c:pt>
                <c:pt idx="3">
                  <c:v>56</c:v>
                </c:pt>
                <c:pt idx="4">
                  <c:v>43</c:v>
                </c:pt>
                <c:pt idx="5">
                  <c:v>42</c:v>
                </c:pt>
                <c:pt idx="6">
                  <c:v>52</c:v>
                </c:pt>
                <c:pt idx="7">
                  <c:v>37</c:v>
                </c:pt>
                <c:pt idx="8">
                  <c:v>39</c:v>
                </c:pt>
                <c:pt idx="9">
                  <c:v>59</c:v>
                </c:pt>
                <c:pt idx="10">
                  <c:v>53</c:v>
                </c:pt>
                <c:pt idx="11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'15.08 Malaba-Tororo'!$AF$9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Malaba-Tororo'!$AF$10:$AF$21</c:f>
              <c:numCache>
                <c:formatCode>0</c:formatCode>
                <c:ptCount val="12"/>
                <c:pt idx="0">
                  <c:v>100</c:v>
                </c:pt>
                <c:pt idx="1">
                  <c:v>133</c:v>
                </c:pt>
                <c:pt idx="2">
                  <c:v>147</c:v>
                </c:pt>
                <c:pt idx="3">
                  <c:v>181</c:v>
                </c:pt>
                <c:pt idx="4">
                  <c:v>162</c:v>
                </c:pt>
                <c:pt idx="5">
                  <c:v>157</c:v>
                </c:pt>
                <c:pt idx="6">
                  <c:v>163</c:v>
                </c:pt>
                <c:pt idx="7">
                  <c:v>135</c:v>
                </c:pt>
                <c:pt idx="8">
                  <c:v>149</c:v>
                </c:pt>
                <c:pt idx="9">
                  <c:v>162</c:v>
                </c:pt>
                <c:pt idx="10">
                  <c:v>144</c:v>
                </c:pt>
                <c:pt idx="11">
                  <c:v>166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90928"/>
        <c:axId val="210591712"/>
      </c:lineChart>
      <c:catAx>
        <c:axId val="2105909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591712"/>
        <c:crosses val="autoZero"/>
        <c:auto val="1"/>
        <c:lblAlgn val="ctr"/>
        <c:lblOffset val="100"/>
        <c:noMultiLvlLbl val="0"/>
      </c:catAx>
      <c:valAx>
        <c:axId val="210591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59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Malaba-Tororo'!$C$9:$N$9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Malaba-Tororo'!$C$59:$N$59</c:f>
              <c:numCache>
                <c:formatCode>0.0%</c:formatCode>
                <c:ptCount val="12"/>
                <c:pt idx="0">
                  <c:v>7.893274041133963E-2</c:v>
                </c:pt>
                <c:pt idx="1">
                  <c:v>8.337965536409116E-3</c:v>
                </c:pt>
                <c:pt idx="2">
                  <c:v>7.4485825458588104E-2</c:v>
                </c:pt>
                <c:pt idx="3">
                  <c:v>7.0594774874930516E-2</c:v>
                </c:pt>
                <c:pt idx="4">
                  <c:v>3.8910505836575876E-3</c:v>
                </c:pt>
                <c:pt idx="5">
                  <c:v>3.3351862145636463E-3</c:v>
                </c:pt>
                <c:pt idx="6">
                  <c:v>3.6131183991106167E-2</c:v>
                </c:pt>
                <c:pt idx="7">
                  <c:v>1.3340744858254585E-2</c:v>
                </c:pt>
                <c:pt idx="8">
                  <c:v>1.1117287381878821E-3</c:v>
                </c:pt>
                <c:pt idx="9">
                  <c:v>0</c:v>
                </c:pt>
                <c:pt idx="10">
                  <c:v>0.70928293496386885</c:v>
                </c:pt>
                <c:pt idx="11">
                  <c:v>5.5586436909394106E-4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Malaba-Tororo'!$S$9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'15.08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Malaba-Tororo'!$S$10:$S$21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11</c:v>
                </c:pt>
                <c:pt idx="3">
                  <c:v>16</c:v>
                </c:pt>
                <c:pt idx="4">
                  <c:v>10</c:v>
                </c:pt>
                <c:pt idx="5">
                  <c:v>11</c:v>
                </c:pt>
                <c:pt idx="6">
                  <c:v>13</c:v>
                </c:pt>
                <c:pt idx="7">
                  <c:v>9</c:v>
                </c:pt>
                <c:pt idx="8">
                  <c:v>11</c:v>
                </c:pt>
                <c:pt idx="9">
                  <c:v>19</c:v>
                </c:pt>
                <c:pt idx="10">
                  <c:v>10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'15.08 Malaba-Tororo'!$T$9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'15.08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Malaba-Tororo'!$T$10:$T$21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'15.08 Malaba-Tororo'!$U$9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'15.08 Malaba-Tororo'!$U$10:$U$21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11</c:v>
                </c:pt>
                <c:pt idx="4">
                  <c:v>12</c:v>
                </c:pt>
                <c:pt idx="5">
                  <c:v>11</c:v>
                </c:pt>
                <c:pt idx="6">
                  <c:v>14</c:v>
                </c:pt>
                <c:pt idx="7">
                  <c:v>12</c:v>
                </c:pt>
                <c:pt idx="8">
                  <c:v>11</c:v>
                </c:pt>
                <c:pt idx="9">
                  <c:v>13</c:v>
                </c:pt>
                <c:pt idx="10">
                  <c:v>17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'15.08 Malaba-Tororo'!$V$9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'15.08 Malaba-Tororo'!$V$10:$V$21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13</c:v>
                </c:pt>
                <c:pt idx="7">
                  <c:v>9</c:v>
                </c:pt>
                <c:pt idx="8">
                  <c:v>10</c:v>
                </c:pt>
                <c:pt idx="9">
                  <c:v>13</c:v>
                </c:pt>
                <c:pt idx="10">
                  <c:v>15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'15.08 Malaba-Tororo'!$W$9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'15.08 Malaba-Tororo'!$W$10:$W$21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'15.08 Malaba-Tororo'!$X$9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'15.08 Malaba-Tororo'!$X$10:$X$21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'15.08 Malaba-Tororo'!$Y$9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Malaba-Tororo'!$Y$10:$Y$21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4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'15.08 Malaba-Tororo'!$Z$9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Malaba-Tororo'!$Z$10:$Z$21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'15.08 Malaba-Tororo'!$AA$9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Malaba-Tororo'!$AA$10:$AA$21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'15.08 Malaba-Tororo'!$AB$9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Malaba-Tororo'!$AB$10:$AB$21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'15.08 Malaba-Tororo'!$AC$9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Malaba-Tororo'!$AC$10:$AC$21</c:f>
              <c:numCache>
                <c:formatCode>0</c:formatCode>
                <c:ptCount val="12"/>
                <c:pt idx="0">
                  <c:v>73</c:v>
                </c:pt>
                <c:pt idx="1">
                  <c:v>105</c:v>
                </c:pt>
                <c:pt idx="2">
                  <c:v>113</c:v>
                </c:pt>
                <c:pt idx="3">
                  <c:v>125</c:v>
                </c:pt>
                <c:pt idx="4">
                  <c:v>119</c:v>
                </c:pt>
                <c:pt idx="5">
                  <c:v>115</c:v>
                </c:pt>
                <c:pt idx="6">
                  <c:v>111</c:v>
                </c:pt>
                <c:pt idx="7">
                  <c:v>98</c:v>
                </c:pt>
                <c:pt idx="8">
                  <c:v>110</c:v>
                </c:pt>
                <c:pt idx="9">
                  <c:v>103</c:v>
                </c:pt>
                <c:pt idx="10">
                  <c:v>91</c:v>
                </c:pt>
                <c:pt idx="11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'15.08 Malaba-Tororo'!$AD$9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Malaba-Tororo'!$AD$10:$AD$21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96024"/>
        <c:axId val="210596808"/>
      </c:lineChart>
      <c:catAx>
        <c:axId val="210596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596808"/>
        <c:crosses val="autoZero"/>
        <c:auto val="1"/>
        <c:lblAlgn val="ctr"/>
        <c:lblOffset val="100"/>
        <c:noMultiLvlLbl val="0"/>
      </c:catAx>
      <c:valAx>
        <c:axId val="21059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59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Malaba-Tororo'!$C$9:$N$9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Malaba-Tororo'!$C$60:$N$60</c:f>
              <c:numCache>
                <c:formatCode>0.00%</c:formatCode>
                <c:ptCount val="12"/>
                <c:pt idx="0">
                  <c:v>0.27151051625239003</c:v>
                </c:pt>
                <c:pt idx="1">
                  <c:v>2.8680688336520075E-2</c:v>
                </c:pt>
                <c:pt idx="2">
                  <c:v>0.25621414913957935</c:v>
                </c:pt>
                <c:pt idx="3">
                  <c:v>0.24282982791586999</c:v>
                </c:pt>
                <c:pt idx="4">
                  <c:v>1.338432122370937E-2</c:v>
                </c:pt>
                <c:pt idx="5">
                  <c:v>1.1472275334608031E-2</c:v>
                </c:pt>
                <c:pt idx="6">
                  <c:v>0.124282982791587</c:v>
                </c:pt>
                <c:pt idx="7">
                  <c:v>4.5889101338432124E-2</c:v>
                </c:pt>
                <c:pt idx="8">
                  <c:v>3.8240917782026767E-3</c:v>
                </c:pt>
                <c:pt idx="9">
                  <c:v>0</c:v>
                </c:pt>
                <c:pt idx="11">
                  <c:v>1.9120458891013384E-3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Tororo-Malaba'!$AE$9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Tororo-Malaba'!$AE$10:$AE$21</c:f>
              <c:numCache>
                <c:formatCode>0</c:formatCode>
                <c:ptCount val="12"/>
                <c:pt idx="0">
                  <c:v>26</c:v>
                </c:pt>
                <c:pt idx="1">
                  <c:v>29</c:v>
                </c:pt>
                <c:pt idx="2">
                  <c:v>31</c:v>
                </c:pt>
                <c:pt idx="3">
                  <c:v>37</c:v>
                </c:pt>
                <c:pt idx="4">
                  <c:v>45</c:v>
                </c:pt>
                <c:pt idx="5">
                  <c:v>35</c:v>
                </c:pt>
                <c:pt idx="6">
                  <c:v>46</c:v>
                </c:pt>
                <c:pt idx="7">
                  <c:v>53</c:v>
                </c:pt>
                <c:pt idx="8">
                  <c:v>44</c:v>
                </c:pt>
                <c:pt idx="9">
                  <c:v>35</c:v>
                </c:pt>
                <c:pt idx="10">
                  <c:v>46</c:v>
                </c:pt>
                <c:pt idx="11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'15.08 Tororo-Malaba'!$AF$9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Tororo-Malaba'!$AF$10:$AF$21</c:f>
              <c:numCache>
                <c:formatCode>0</c:formatCode>
                <c:ptCount val="12"/>
                <c:pt idx="0">
                  <c:v>98</c:v>
                </c:pt>
                <c:pt idx="1">
                  <c:v>131</c:v>
                </c:pt>
                <c:pt idx="2">
                  <c:v>146</c:v>
                </c:pt>
                <c:pt idx="3">
                  <c:v>138</c:v>
                </c:pt>
                <c:pt idx="4">
                  <c:v>153</c:v>
                </c:pt>
                <c:pt idx="5">
                  <c:v>156</c:v>
                </c:pt>
                <c:pt idx="6">
                  <c:v>160</c:v>
                </c:pt>
                <c:pt idx="7">
                  <c:v>159</c:v>
                </c:pt>
                <c:pt idx="8">
                  <c:v>151</c:v>
                </c:pt>
                <c:pt idx="9">
                  <c:v>146</c:v>
                </c:pt>
                <c:pt idx="10">
                  <c:v>148</c:v>
                </c:pt>
                <c:pt idx="11">
                  <c:v>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97592"/>
        <c:axId val="210597984"/>
      </c:lineChart>
      <c:catAx>
        <c:axId val="2105975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597984"/>
        <c:crosses val="autoZero"/>
        <c:auto val="1"/>
        <c:lblAlgn val="ctr"/>
        <c:lblOffset val="100"/>
        <c:noMultiLvlLbl val="0"/>
      </c:catAx>
      <c:valAx>
        <c:axId val="210597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59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Tororo-Malaba'!$C$9:$N$9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Tororo-Malaba'!$C$59:$N$59</c:f>
              <c:numCache>
                <c:formatCode>0.0%</c:formatCode>
                <c:ptCount val="12"/>
                <c:pt idx="0">
                  <c:v>9.0592334494773524E-2</c:v>
                </c:pt>
                <c:pt idx="1">
                  <c:v>5.8072009291521487E-3</c:v>
                </c:pt>
                <c:pt idx="2">
                  <c:v>6.7363530778164926E-2</c:v>
                </c:pt>
                <c:pt idx="3">
                  <c:v>6.7944250871080136E-2</c:v>
                </c:pt>
                <c:pt idx="4">
                  <c:v>3.4843205574912892E-3</c:v>
                </c:pt>
                <c:pt idx="5">
                  <c:v>1.1614401858304297E-3</c:v>
                </c:pt>
                <c:pt idx="6">
                  <c:v>2.7874564459930314E-2</c:v>
                </c:pt>
                <c:pt idx="7">
                  <c:v>5.2264808362369342E-3</c:v>
                </c:pt>
                <c:pt idx="8">
                  <c:v>0</c:v>
                </c:pt>
                <c:pt idx="9">
                  <c:v>0</c:v>
                </c:pt>
                <c:pt idx="10">
                  <c:v>0.72938443670150988</c:v>
                </c:pt>
                <c:pt idx="11">
                  <c:v>1.1614401858304297E-3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Tororo-Malaba'!$S$9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'15.08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Tororo-Malaba'!$S$10:$S$21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13</c:v>
                </c:pt>
                <c:pt idx="4">
                  <c:v>19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14</c:v>
                </c:pt>
                <c:pt idx="9">
                  <c:v>9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'15.08 Tororo-Malaba'!$T$9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'15.08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Tororo-Malaba'!$T$10:$T$21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'15.08 Tororo-Malaba'!$U$9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'15.08 Tororo-Malaba'!$U$10:$U$21</c:f>
              <c:numCache>
                <c:formatCode>0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11</c:v>
                </c:pt>
                <c:pt idx="9">
                  <c:v>6</c:v>
                </c:pt>
                <c:pt idx="10">
                  <c:v>11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'15.08 Tororo-Malaba'!$V$9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'15.08 Tororo-Malaba'!$V$10:$V$21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13</c:v>
                </c:pt>
                <c:pt idx="5">
                  <c:v>7</c:v>
                </c:pt>
                <c:pt idx="6">
                  <c:v>12</c:v>
                </c:pt>
                <c:pt idx="7">
                  <c:v>11</c:v>
                </c:pt>
                <c:pt idx="8">
                  <c:v>13</c:v>
                </c:pt>
                <c:pt idx="9">
                  <c:v>13</c:v>
                </c:pt>
                <c:pt idx="10">
                  <c:v>8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'15.08 Tororo-Malaba'!$W$9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'15.08 Tororo-Malaba'!$W$10:$W$21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'15.08 Tororo-Malaba'!$X$9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'15.08 Tororo-Malaba'!$X$10:$X$21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'15.08 Tororo-Malaba'!$Y$9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Tororo-Malaba'!$Y$10:$Y$21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'15.08 Tororo-Malaba'!$Z$9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Tororo-Malaba'!$Z$10:$Z$21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'15.08 Tororo-Malaba'!$AA$9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Tororo-Malaba'!$AA$10:$AA$21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'15.08 Tororo-Malaba'!$AB$9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Tororo-Malaba'!$AB$10:$AB$21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'15.08 Tororo-Malaba'!$AC$9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Tororo-Malaba'!$AC$10:$AC$21</c:f>
              <c:numCache>
                <c:formatCode>0</c:formatCode>
                <c:ptCount val="12"/>
                <c:pt idx="0">
                  <c:v>72</c:v>
                </c:pt>
                <c:pt idx="1">
                  <c:v>102</c:v>
                </c:pt>
                <c:pt idx="2">
                  <c:v>115</c:v>
                </c:pt>
                <c:pt idx="3">
                  <c:v>101</c:v>
                </c:pt>
                <c:pt idx="4">
                  <c:v>108</c:v>
                </c:pt>
                <c:pt idx="5">
                  <c:v>121</c:v>
                </c:pt>
                <c:pt idx="6">
                  <c:v>114</c:v>
                </c:pt>
                <c:pt idx="7">
                  <c:v>106</c:v>
                </c:pt>
                <c:pt idx="8">
                  <c:v>107</c:v>
                </c:pt>
                <c:pt idx="9">
                  <c:v>111</c:v>
                </c:pt>
                <c:pt idx="10">
                  <c:v>102</c:v>
                </c:pt>
                <c:pt idx="1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'15.08 Tororo-Malaba'!$AD$9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Tororo-Malaba'!$AD$10:$AD$21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95240"/>
        <c:axId val="210595632"/>
      </c:lineChart>
      <c:catAx>
        <c:axId val="210595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595632"/>
        <c:crosses val="autoZero"/>
        <c:auto val="1"/>
        <c:lblAlgn val="ctr"/>
        <c:lblOffset val="100"/>
        <c:noMultiLvlLbl val="0"/>
      </c:catAx>
      <c:valAx>
        <c:axId val="2105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59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Tororo-Malaba'!$C$9:$N$9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Tororo-Malaba'!$C$60:$N$60</c:f>
              <c:numCache>
                <c:formatCode>0.00%</c:formatCode>
                <c:ptCount val="12"/>
                <c:pt idx="0">
                  <c:v>0.33476394849785407</c:v>
                </c:pt>
                <c:pt idx="1">
                  <c:v>2.1459227467811159E-2</c:v>
                </c:pt>
                <c:pt idx="2">
                  <c:v>0.24892703862660945</c:v>
                </c:pt>
                <c:pt idx="3">
                  <c:v>0.25107296137339058</c:v>
                </c:pt>
                <c:pt idx="4">
                  <c:v>1.2875536480686695E-2</c:v>
                </c:pt>
                <c:pt idx="5">
                  <c:v>4.2918454935622317E-3</c:v>
                </c:pt>
                <c:pt idx="6">
                  <c:v>0.10300429184549356</c:v>
                </c:pt>
                <c:pt idx="7">
                  <c:v>1.9313304721030045E-2</c:v>
                </c:pt>
                <c:pt idx="8">
                  <c:v>0</c:v>
                </c:pt>
                <c:pt idx="9">
                  <c:v>0</c:v>
                </c:pt>
                <c:pt idx="11">
                  <c:v>4.2918454935622317E-3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'16.08 Malaba-Tororo-24h'!$AE$9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'16.08 Malaba-Tororo-24h'!$R$10:$R$33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Malaba-Tororo-24h'!$AE$10:$AE$33</c:f>
              <c:numCache>
                <c:formatCode>0</c:formatCode>
                <c:ptCount val="24"/>
                <c:pt idx="0">
                  <c:v>18</c:v>
                </c:pt>
                <c:pt idx="1">
                  <c:v>23</c:v>
                </c:pt>
                <c:pt idx="2">
                  <c:v>36</c:v>
                </c:pt>
                <c:pt idx="3">
                  <c:v>43</c:v>
                </c:pt>
                <c:pt idx="4">
                  <c:v>72</c:v>
                </c:pt>
                <c:pt idx="5">
                  <c:v>41</c:v>
                </c:pt>
                <c:pt idx="6">
                  <c:v>56</c:v>
                </c:pt>
                <c:pt idx="7">
                  <c:v>45</c:v>
                </c:pt>
                <c:pt idx="8">
                  <c:v>41</c:v>
                </c:pt>
                <c:pt idx="9">
                  <c:v>40</c:v>
                </c:pt>
                <c:pt idx="10">
                  <c:v>56</c:v>
                </c:pt>
                <c:pt idx="11">
                  <c:v>33</c:v>
                </c:pt>
                <c:pt idx="12">
                  <c:v>59</c:v>
                </c:pt>
                <c:pt idx="13">
                  <c:v>37</c:v>
                </c:pt>
                <c:pt idx="14">
                  <c:v>20</c:v>
                </c:pt>
                <c:pt idx="15">
                  <c:v>13</c:v>
                </c:pt>
                <c:pt idx="16">
                  <c:v>12</c:v>
                </c:pt>
                <c:pt idx="17">
                  <c:v>4</c:v>
                </c:pt>
                <c:pt idx="18">
                  <c:v>1</c:v>
                </c:pt>
                <c:pt idx="19">
                  <c:v>5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'16.08 Malaba-Tororo-24h'!$AF$9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'16.08 Malaba-Tororo-24h'!$R$10:$R$33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Malaba-Tororo-24h'!$AF$10:$AF$33</c:f>
              <c:numCache>
                <c:formatCode>0</c:formatCode>
                <c:ptCount val="24"/>
                <c:pt idx="0">
                  <c:v>106</c:v>
                </c:pt>
                <c:pt idx="1">
                  <c:v>142</c:v>
                </c:pt>
                <c:pt idx="2">
                  <c:v>179</c:v>
                </c:pt>
                <c:pt idx="3">
                  <c:v>185</c:v>
                </c:pt>
                <c:pt idx="4">
                  <c:v>201</c:v>
                </c:pt>
                <c:pt idx="5">
                  <c:v>152</c:v>
                </c:pt>
                <c:pt idx="6">
                  <c:v>160</c:v>
                </c:pt>
                <c:pt idx="7">
                  <c:v>139</c:v>
                </c:pt>
                <c:pt idx="8">
                  <c:v>136</c:v>
                </c:pt>
                <c:pt idx="9">
                  <c:v>138</c:v>
                </c:pt>
                <c:pt idx="10">
                  <c:v>159</c:v>
                </c:pt>
                <c:pt idx="11">
                  <c:v>157</c:v>
                </c:pt>
                <c:pt idx="12">
                  <c:v>134</c:v>
                </c:pt>
                <c:pt idx="13">
                  <c:v>60</c:v>
                </c:pt>
                <c:pt idx="14">
                  <c:v>35</c:v>
                </c:pt>
                <c:pt idx="15">
                  <c:v>30</c:v>
                </c:pt>
                <c:pt idx="16">
                  <c:v>21</c:v>
                </c:pt>
                <c:pt idx="17">
                  <c:v>8</c:v>
                </c:pt>
                <c:pt idx="18">
                  <c:v>3</c:v>
                </c:pt>
                <c:pt idx="19">
                  <c:v>6</c:v>
                </c:pt>
                <c:pt idx="20">
                  <c:v>10</c:v>
                </c:pt>
                <c:pt idx="21">
                  <c:v>9</c:v>
                </c:pt>
                <c:pt idx="22">
                  <c:v>20</c:v>
                </c:pt>
                <c:pt idx="23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629792"/>
        <c:axId val="219628616"/>
      </c:lineChart>
      <c:catAx>
        <c:axId val="219629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628616"/>
        <c:crosses val="autoZero"/>
        <c:auto val="1"/>
        <c:lblAlgn val="ctr"/>
        <c:lblOffset val="100"/>
        <c:noMultiLvlLbl val="0"/>
      </c:catAx>
      <c:valAx>
        <c:axId val="219628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62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Malaba-Tororo-24h'!$C$9:$N$9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Malaba-Tororo-24h'!$C$107:$N$107</c:f>
              <c:numCache>
                <c:formatCode>0.0%</c:formatCode>
                <c:ptCount val="12"/>
                <c:pt idx="0">
                  <c:v>9.969257795344752E-2</c:v>
                </c:pt>
                <c:pt idx="1">
                  <c:v>9.6618357487922701E-3</c:v>
                </c:pt>
                <c:pt idx="2">
                  <c:v>7.6855511638120336E-2</c:v>
                </c:pt>
                <c:pt idx="3">
                  <c:v>7.4220465524813345E-2</c:v>
                </c:pt>
                <c:pt idx="4">
                  <c:v>4.830917874396135E-3</c:v>
                </c:pt>
                <c:pt idx="5">
                  <c:v>3.513394817742644E-3</c:v>
                </c:pt>
                <c:pt idx="6">
                  <c:v>3.0303030303030304E-2</c:v>
                </c:pt>
                <c:pt idx="7">
                  <c:v>5.270092226613966E-3</c:v>
                </c:pt>
                <c:pt idx="8">
                  <c:v>3.0742204655248135E-3</c:v>
                </c:pt>
                <c:pt idx="9">
                  <c:v>0</c:v>
                </c:pt>
                <c:pt idx="10">
                  <c:v>0.69169960474308301</c:v>
                </c:pt>
                <c:pt idx="11">
                  <c:v>8.7834870443566099E-4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Malaba-Tororo-24h'!$C$9:$N$9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Malaba-Tororo-24h'!$C$108:$N$108</c:f>
              <c:numCache>
                <c:formatCode>0.00%</c:formatCode>
                <c:ptCount val="12"/>
                <c:pt idx="0">
                  <c:v>0.32336182336182334</c:v>
                </c:pt>
                <c:pt idx="1">
                  <c:v>3.1339031339031341E-2</c:v>
                </c:pt>
                <c:pt idx="2">
                  <c:v>0.2492877492877493</c:v>
                </c:pt>
                <c:pt idx="3">
                  <c:v>0.24074074074074073</c:v>
                </c:pt>
                <c:pt idx="4">
                  <c:v>1.5669515669515671E-2</c:v>
                </c:pt>
                <c:pt idx="5">
                  <c:v>1.1396011396011397E-2</c:v>
                </c:pt>
                <c:pt idx="6">
                  <c:v>9.8290598290598288E-2</c:v>
                </c:pt>
                <c:pt idx="7">
                  <c:v>1.7094017094017096E-2</c:v>
                </c:pt>
                <c:pt idx="8">
                  <c:v>9.9715099715099714E-3</c:v>
                </c:pt>
                <c:pt idx="9">
                  <c:v>0</c:v>
                </c:pt>
                <c:pt idx="11">
                  <c:v>2.8490028490028491E-3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'16.08 Tororo-Malaba-24h'!$AE$9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'16.08 Tororo-Malaba-24h'!$R$10:$R$33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Tororo-Malaba-24h'!$AE$10:$AE$33</c:f>
              <c:numCache>
                <c:formatCode>0</c:formatCode>
                <c:ptCount val="24"/>
                <c:pt idx="0">
                  <c:v>20</c:v>
                </c:pt>
                <c:pt idx="1">
                  <c:v>22</c:v>
                </c:pt>
                <c:pt idx="2">
                  <c:v>27</c:v>
                </c:pt>
                <c:pt idx="3">
                  <c:v>26</c:v>
                </c:pt>
                <c:pt idx="4">
                  <c:v>24</c:v>
                </c:pt>
                <c:pt idx="5">
                  <c:v>29</c:v>
                </c:pt>
                <c:pt idx="6">
                  <c:v>34</c:v>
                </c:pt>
                <c:pt idx="7">
                  <c:v>30</c:v>
                </c:pt>
                <c:pt idx="8">
                  <c:v>27</c:v>
                </c:pt>
                <c:pt idx="9">
                  <c:v>38</c:v>
                </c:pt>
                <c:pt idx="10">
                  <c:v>26</c:v>
                </c:pt>
                <c:pt idx="11">
                  <c:v>38</c:v>
                </c:pt>
                <c:pt idx="12">
                  <c:v>41</c:v>
                </c:pt>
                <c:pt idx="13">
                  <c:v>28</c:v>
                </c:pt>
                <c:pt idx="14">
                  <c:v>21</c:v>
                </c:pt>
                <c:pt idx="15">
                  <c:v>20</c:v>
                </c:pt>
                <c:pt idx="16">
                  <c:v>6</c:v>
                </c:pt>
                <c:pt idx="17">
                  <c:v>4</c:v>
                </c:pt>
                <c:pt idx="18">
                  <c:v>9</c:v>
                </c:pt>
                <c:pt idx="19">
                  <c:v>6</c:v>
                </c:pt>
                <c:pt idx="20">
                  <c:v>3</c:v>
                </c:pt>
                <c:pt idx="21">
                  <c:v>6</c:v>
                </c:pt>
                <c:pt idx="22">
                  <c:v>8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'16.08 Tororo-Malaba-24h'!$AF$9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'16.08 Tororo-Malaba-24h'!$R$10:$R$33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Tororo-Malaba-24h'!$AF$10:$AF$33</c:f>
              <c:numCache>
                <c:formatCode>0</c:formatCode>
                <c:ptCount val="24"/>
                <c:pt idx="0">
                  <c:v>97</c:v>
                </c:pt>
                <c:pt idx="1">
                  <c:v>122</c:v>
                </c:pt>
                <c:pt idx="2">
                  <c:v>152</c:v>
                </c:pt>
                <c:pt idx="3">
                  <c:v>135</c:v>
                </c:pt>
                <c:pt idx="4">
                  <c:v>154</c:v>
                </c:pt>
                <c:pt idx="5">
                  <c:v>116</c:v>
                </c:pt>
                <c:pt idx="6">
                  <c:v>123</c:v>
                </c:pt>
                <c:pt idx="7">
                  <c:v>148</c:v>
                </c:pt>
                <c:pt idx="8">
                  <c:v>153</c:v>
                </c:pt>
                <c:pt idx="9">
                  <c:v>128</c:v>
                </c:pt>
                <c:pt idx="10">
                  <c:v>119</c:v>
                </c:pt>
                <c:pt idx="11">
                  <c:v>136</c:v>
                </c:pt>
                <c:pt idx="12">
                  <c:v>118</c:v>
                </c:pt>
                <c:pt idx="13">
                  <c:v>66</c:v>
                </c:pt>
                <c:pt idx="14">
                  <c:v>43</c:v>
                </c:pt>
                <c:pt idx="15">
                  <c:v>33</c:v>
                </c:pt>
                <c:pt idx="16">
                  <c:v>13</c:v>
                </c:pt>
                <c:pt idx="17">
                  <c:v>4</c:v>
                </c:pt>
                <c:pt idx="18">
                  <c:v>11</c:v>
                </c:pt>
                <c:pt idx="19">
                  <c:v>6</c:v>
                </c:pt>
                <c:pt idx="20">
                  <c:v>7</c:v>
                </c:pt>
                <c:pt idx="21">
                  <c:v>14</c:v>
                </c:pt>
                <c:pt idx="22">
                  <c:v>33</c:v>
                </c:pt>
                <c:pt idx="23">
                  <c:v>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627440"/>
        <c:axId val="219627832"/>
      </c:lineChart>
      <c:catAx>
        <c:axId val="219627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627832"/>
        <c:crosses val="autoZero"/>
        <c:auto val="1"/>
        <c:lblAlgn val="ctr"/>
        <c:lblOffset val="100"/>
        <c:noMultiLvlLbl val="0"/>
      </c:catAx>
      <c:valAx>
        <c:axId val="219627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62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Tororo-Malaba-24h'!$C$9:$N$9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Tororo-Malaba-24h'!$C$107:$N$107</c:f>
              <c:numCache>
                <c:formatCode>0.0%</c:formatCode>
                <c:ptCount val="12"/>
                <c:pt idx="0">
                  <c:v>8.6614173228346455E-2</c:v>
                </c:pt>
                <c:pt idx="1">
                  <c:v>3.937007874015748E-3</c:v>
                </c:pt>
                <c:pt idx="2">
                  <c:v>4.5275590551181105E-2</c:v>
                </c:pt>
                <c:pt idx="3">
                  <c:v>6.8897637795275593E-2</c:v>
                </c:pt>
                <c:pt idx="4">
                  <c:v>6.3976377952755905E-3</c:v>
                </c:pt>
                <c:pt idx="5">
                  <c:v>6.889763779527559E-3</c:v>
                </c:pt>
                <c:pt idx="6">
                  <c:v>2.7066929133858268E-2</c:v>
                </c:pt>
                <c:pt idx="7">
                  <c:v>3.4448818897637795E-3</c:v>
                </c:pt>
                <c:pt idx="8">
                  <c:v>0</c:v>
                </c:pt>
                <c:pt idx="9">
                  <c:v>0</c:v>
                </c:pt>
                <c:pt idx="10">
                  <c:v>0.75049212598425197</c:v>
                </c:pt>
                <c:pt idx="11">
                  <c:v>9.8425196850393699E-4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Tororo-Malaba-24h'!$C$9:$N$9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Tororo-Malaba-24h'!$C$108:$N$108</c:f>
              <c:numCache>
                <c:formatCode>0.00%</c:formatCode>
                <c:ptCount val="12"/>
                <c:pt idx="0">
                  <c:v>0.34714003944773175</c:v>
                </c:pt>
                <c:pt idx="1">
                  <c:v>1.5779092702169626E-2</c:v>
                </c:pt>
                <c:pt idx="2">
                  <c:v>0.1814595660749507</c:v>
                </c:pt>
                <c:pt idx="3">
                  <c:v>0.27613412228796846</c:v>
                </c:pt>
                <c:pt idx="4">
                  <c:v>2.564102564102564E-2</c:v>
                </c:pt>
                <c:pt idx="5">
                  <c:v>2.7613412228796843E-2</c:v>
                </c:pt>
                <c:pt idx="6">
                  <c:v>0.10848126232741617</c:v>
                </c:pt>
                <c:pt idx="7">
                  <c:v>1.3806706114398421E-2</c:v>
                </c:pt>
                <c:pt idx="8">
                  <c:v>0</c:v>
                </c:pt>
                <c:pt idx="9">
                  <c:v>0</c:v>
                </c:pt>
                <c:pt idx="11">
                  <c:v>3.9447731755424065E-3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'17.08 Malaba-Tororo-24h'!$AE$9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'17.08 Malaba-Tororo-24h'!$R$10:$R$33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Malaba-Tororo-24h'!$AE$10:$AE$33</c:f>
              <c:numCache>
                <c:formatCode>0</c:formatCode>
                <c:ptCount val="24"/>
                <c:pt idx="0">
                  <c:v>21</c:v>
                </c:pt>
                <c:pt idx="1">
                  <c:v>22</c:v>
                </c:pt>
                <c:pt idx="2">
                  <c:v>31</c:v>
                </c:pt>
                <c:pt idx="3">
                  <c:v>36</c:v>
                </c:pt>
                <c:pt idx="4">
                  <c:v>46</c:v>
                </c:pt>
                <c:pt idx="5">
                  <c:v>35</c:v>
                </c:pt>
                <c:pt idx="6">
                  <c:v>26</c:v>
                </c:pt>
                <c:pt idx="7">
                  <c:v>25</c:v>
                </c:pt>
                <c:pt idx="8">
                  <c:v>16</c:v>
                </c:pt>
                <c:pt idx="9">
                  <c:v>52</c:v>
                </c:pt>
                <c:pt idx="10">
                  <c:v>38</c:v>
                </c:pt>
                <c:pt idx="11">
                  <c:v>41</c:v>
                </c:pt>
                <c:pt idx="12">
                  <c:v>14</c:v>
                </c:pt>
                <c:pt idx="13">
                  <c:v>32</c:v>
                </c:pt>
                <c:pt idx="14">
                  <c:v>22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5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7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'17.08 Malaba-Tororo-24h'!$AF$9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'17.08 Malaba-Tororo-24h'!$R$10:$R$33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Malaba-Tororo-24h'!$AF$10:$AF$33</c:f>
              <c:numCache>
                <c:formatCode>0</c:formatCode>
                <c:ptCount val="24"/>
                <c:pt idx="0">
                  <c:v>127</c:v>
                </c:pt>
                <c:pt idx="1">
                  <c:v>137</c:v>
                </c:pt>
                <c:pt idx="2">
                  <c:v>131</c:v>
                </c:pt>
                <c:pt idx="3">
                  <c:v>136</c:v>
                </c:pt>
                <c:pt idx="4">
                  <c:v>164</c:v>
                </c:pt>
                <c:pt idx="5">
                  <c:v>147</c:v>
                </c:pt>
                <c:pt idx="6">
                  <c:v>108</c:v>
                </c:pt>
                <c:pt idx="7">
                  <c:v>67</c:v>
                </c:pt>
                <c:pt idx="8">
                  <c:v>76</c:v>
                </c:pt>
                <c:pt idx="9">
                  <c:v>133</c:v>
                </c:pt>
                <c:pt idx="10">
                  <c:v>136</c:v>
                </c:pt>
                <c:pt idx="11">
                  <c:v>124</c:v>
                </c:pt>
                <c:pt idx="12">
                  <c:v>71</c:v>
                </c:pt>
                <c:pt idx="13">
                  <c:v>59</c:v>
                </c:pt>
                <c:pt idx="14">
                  <c:v>60</c:v>
                </c:pt>
                <c:pt idx="15">
                  <c:v>31</c:v>
                </c:pt>
                <c:pt idx="16">
                  <c:v>20</c:v>
                </c:pt>
                <c:pt idx="17">
                  <c:v>6</c:v>
                </c:pt>
                <c:pt idx="18">
                  <c:v>5</c:v>
                </c:pt>
                <c:pt idx="19">
                  <c:v>9</c:v>
                </c:pt>
                <c:pt idx="20">
                  <c:v>50</c:v>
                </c:pt>
                <c:pt idx="21">
                  <c:v>45</c:v>
                </c:pt>
                <c:pt idx="22">
                  <c:v>27</c:v>
                </c:pt>
                <c:pt idx="23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412304"/>
        <c:axId val="220409952"/>
      </c:lineChart>
      <c:catAx>
        <c:axId val="2204123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409952"/>
        <c:crosses val="autoZero"/>
        <c:auto val="1"/>
        <c:lblAlgn val="ctr"/>
        <c:lblOffset val="100"/>
        <c:noMultiLvlLbl val="0"/>
      </c:catAx>
      <c:valAx>
        <c:axId val="220409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4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Malaba-Tororo-24h'!$C$9:$N$9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Malaba-Tororo-24h'!$C$107:$N$107</c:f>
              <c:numCache>
                <c:formatCode>0.0%</c:formatCode>
                <c:ptCount val="12"/>
                <c:pt idx="0">
                  <c:v>7.6075550891920252E-2</c:v>
                </c:pt>
                <c:pt idx="1">
                  <c:v>7.8698845750262321E-3</c:v>
                </c:pt>
                <c:pt idx="2">
                  <c:v>7.7124868835257085E-2</c:v>
                </c:pt>
                <c:pt idx="3">
                  <c:v>7.3976915005246585E-2</c:v>
                </c:pt>
                <c:pt idx="4">
                  <c:v>5.246589716684155E-3</c:v>
                </c:pt>
                <c:pt idx="5">
                  <c:v>5.7712486883525708E-3</c:v>
                </c:pt>
                <c:pt idx="6">
                  <c:v>2.6232948583420776E-2</c:v>
                </c:pt>
                <c:pt idx="7">
                  <c:v>5.246589716684155E-3</c:v>
                </c:pt>
                <c:pt idx="8">
                  <c:v>5.2465897166841555E-4</c:v>
                </c:pt>
                <c:pt idx="9">
                  <c:v>0</c:v>
                </c:pt>
                <c:pt idx="10">
                  <c:v>0.7214060860440713</c:v>
                </c:pt>
                <c:pt idx="11">
                  <c:v>5.2465897166841555E-4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Malaba-Tororo-24h'!$C$9:$N$9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Malaba-Tororo-24h'!$C$108:$N$108</c:f>
              <c:numCache>
                <c:formatCode>0.00%</c:formatCode>
                <c:ptCount val="12"/>
                <c:pt idx="0">
                  <c:v>0.27306967984934089</c:v>
                </c:pt>
                <c:pt idx="1">
                  <c:v>2.8248587570621469E-2</c:v>
                </c:pt>
                <c:pt idx="2">
                  <c:v>0.2768361581920904</c:v>
                </c:pt>
                <c:pt idx="3">
                  <c:v>0.2655367231638418</c:v>
                </c:pt>
                <c:pt idx="4">
                  <c:v>1.8832391713747645E-2</c:v>
                </c:pt>
                <c:pt idx="5">
                  <c:v>2.0715630885122412E-2</c:v>
                </c:pt>
                <c:pt idx="6">
                  <c:v>9.4161958568738227E-2</c:v>
                </c:pt>
                <c:pt idx="7">
                  <c:v>1.8832391713747645E-2</c:v>
                </c:pt>
                <c:pt idx="8">
                  <c:v>1.8832391713747645E-3</c:v>
                </c:pt>
                <c:pt idx="9">
                  <c:v>0</c:v>
                </c:pt>
                <c:pt idx="11">
                  <c:v>1.8832391713747645E-3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'17.08 Tororo-Malaba-24h'!$AE$9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'17.08 Tororo-Malaba-24h'!$R$10:$R$33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Tororo-Malaba-24h'!$AE$10:$AE$33</c:f>
              <c:numCache>
                <c:formatCode>0</c:formatCode>
                <c:ptCount val="24"/>
                <c:pt idx="0">
                  <c:v>18</c:v>
                </c:pt>
                <c:pt idx="1">
                  <c:v>25</c:v>
                </c:pt>
                <c:pt idx="2">
                  <c:v>28</c:v>
                </c:pt>
                <c:pt idx="3">
                  <c:v>13</c:v>
                </c:pt>
                <c:pt idx="4">
                  <c:v>24</c:v>
                </c:pt>
                <c:pt idx="5">
                  <c:v>21</c:v>
                </c:pt>
                <c:pt idx="6">
                  <c:v>32</c:v>
                </c:pt>
                <c:pt idx="7">
                  <c:v>25</c:v>
                </c:pt>
                <c:pt idx="8">
                  <c:v>24</c:v>
                </c:pt>
                <c:pt idx="9">
                  <c:v>32</c:v>
                </c:pt>
                <c:pt idx="10">
                  <c:v>37</c:v>
                </c:pt>
                <c:pt idx="11">
                  <c:v>33</c:v>
                </c:pt>
                <c:pt idx="12">
                  <c:v>43</c:v>
                </c:pt>
                <c:pt idx="13">
                  <c:v>25</c:v>
                </c:pt>
                <c:pt idx="14">
                  <c:v>26</c:v>
                </c:pt>
                <c:pt idx="15">
                  <c:v>24</c:v>
                </c:pt>
                <c:pt idx="16">
                  <c:v>18</c:v>
                </c:pt>
                <c:pt idx="17">
                  <c:v>6</c:v>
                </c:pt>
                <c:pt idx="18">
                  <c:v>2</c:v>
                </c:pt>
                <c:pt idx="19">
                  <c:v>6</c:v>
                </c:pt>
                <c:pt idx="20">
                  <c:v>8</c:v>
                </c:pt>
                <c:pt idx="21">
                  <c:v>3</c:v>
                </c:pt>
                <c:pt idx="22">
                  <c:v>2</c:v>
                </c:pt>
                <c:pt idx="2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'17.08 Tororo-Malaba-24h'!$AF$9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'17.08 Tororo-Malaba-24h'!$R$10:$R$33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Tororo-Malaba-24h'!$AF$10:$AF$33</c:f>
              <c:numCache>
                <c:formatCode>0</c:formatCode>
                <c:ptCount val="24"/>
                <c:pt idx="0">
                  <c:v>122</c:v>
                </c:pt>
                <c:pt idx="1">
                  <c:v>140</c:v>
                </c:pt>
                <c:pt idx="2">
                  <c:v>131</c:v>
                </c:pt>
                <c:pt idx="3">
                  <c:v>116</c:v>
                </c:pt>
                <c:pt idx="4">
                  <c:v>110</c:v>
                </c:pt>
                <c:pt idx="5">
                  <c:v>118</c:v>
                </c:pt>
                <c:pt idx="6">
                  <c:v>114</c:v>
                </c:pt>
                <c:pt idx="7">
                  <c:v>81</c:v>
                </c:pt>
                <c:pt idx="8">
                  <c:v>81</c:v>
                </c:pt>
                <c:pt idx="9">
                  <c:v>114</c:v>
                </c:pt>
                <c:pt idx="10">
                  <c:v>128</c:v>
                </c:pt>
                <c:pt idx="11">
                  <c:v>128</c:v>
                </c:pt>
                <c:pt idx="12">
                  <c:v>129</c:v>
                </c:pt>
                <c:pt idx="13">
                  <c:v>73</c:v>
                </c:pt>
                <c:pt idx="14">
                  <c:v>44</c:v>
                </c:pt>
                <c:pt idx="15">
                  <c:v>47</c:v>
                </c:pt>
                <c:pt idx="16">
                  <c:v>35</c:v>
                </c:pt>
                <c:pt idx="17">
                  <c:v>21</c:v>
                </c:pt>
                <c:pt idx="18">
                  <c:v>2</c:v>
                </c:pt>
                <c:pt idx="19">
                  <c:v>6</c:v>
                </c:pt>
                <c:pt idx="20">
                  <c:v>48</c:v>
                </c:pt>
                <c:pt idx="21">
                  <c:v>41</c:v>
                </c:pt>
                <c:pt idx="22">
                  <c:v>17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417400"/>
        <c:axId val="220413088"/>
      </c:lineChart>
      <c:catAx>
        <c:axId val="2204174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413088"/>
        <c:crosses val="autoZero"/>
        <c:auto val="1"/>
        <c:lblAlgn val="ctr"/>
        <c:lblOffset val="100"/>
        <c:noMultiLvlLbl val="0"/>
      </c:catAx>
      <c:valAx>
        <c:axId val="2204130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41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Tororo-Malaba-24h'!$C$9:$N$9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Tororo-Malaba-24h'!$C$107:$N$107</c:f>
              <c:numCache>
                <c:formatCode>0.0%</c:formatCode>
                <c:ptCount val="12"/>
                <c:pt idx="0">
                  <c:v>8.7072649572649569E-2</c:v>
                </c:pt>
                <c:pt idx="1">
                  <c:v>2.670940170940171E-3</c:v>
                </c:pt>
                <c:pt idx="2">
                  <c:v>4.9145299145299144E-2</c:v>
                </c:pt>
                <c:pt idx="3">
                  <c:v>8.8675213675213679E-2</c:v>
                </c:pt>
                <c:pt idx="4">
                  <c:v>0</c:v>
                </c:pt>
                <c:pt idx="5">
                  <c:v>5.341880341880342E-3</c:v>
                </c:pt>
                <c:pt idx="6">
                  <c:v>1.9230769230769232E-2</c:v>
                </c:pt>
                <c:pt idx="7">
                  <c:v>3.7393162393162395E-3</c:v>
                </c:pt>
                <c:pt idx="8">
                  <c:v>5.3418803418803424E-4</c:v>
                </c:pt>
                <c:pt idx="9">
                  <c:v>0</c:v>
                </c:pt>
                <c:pt idx="10">
                  <c:v>0.74305555555555558</c:v>
                </c:pt>
                <c:pt idx="11">
                  <c:v>5.3418803418803424E-4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Tororo-Malaba-24h'!$C$9:$N$9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Tororo-Malaba-24h'!$C$108:$N$108</c:f>
              <c:numCache>
                <c:formatCode>0.00%</c:formatCode>
                <c:ptCount val="12"/>
                <c:pt idx="0">
                  <c:v>0.3388773388773389</c:v>
                </c:pt>
                <c:pt idx="1">
                  <c:v>1.0395010395010396E-2</c:v>
                </c:pt>
                <c:pt idx="2">
                  <c:v>0.19126819126819128</c:v>
                </c:pt>
                <c:pt idx="3">
                  <c:v>0.34511434511434513</c:v>
                </c:pt>
                <c:pt idx="4">
                  <c:v>0</c:v>
                </c:pt>
                <c:pt idx="5">
                  <c:v>2.0790020790020791E-2</c:v>
                </c:pt>
                <c:pt idx="6">
                  <c:v>7.4844074844074848E-2</c:v>
                </c:pt>
                <c:pt idx="7">
                  <c:v>1.4553014553014554E-2</c:v>
                </c:pt>
                <c:pt idx="8">
                  <c:v>2.0790020790020791E-3</c:v>
                </c:pt>
                <c:pt idx="9">
                  <c:v>0</c:v>
                </c:pt>
                <c:pt idx="11">
                  <c:v>2.0790020790020791E-3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'18.08 Malaba-Tororo'!$AE$9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Malaba-Tororo'!$AE$10:$AE$21</c:f>
              <c:numCache>
                <c:formatCode>0</c:formatCode>
                <c:ptCount val="12"/>
                <c:pt idx="0">
                  <c:v>14</c:v>
                </c:pt>
                <c:pt idx="1">
                  <c:v>11</c:v>
                </c:pt>
                <c:pt idx="2">
                  <c:v>27</c:v>
                </c:pt>
                <c:pt idx="3">
                  <c:v>35</c:v>
                </c:pt>
                <c:pt idx="4">
                  <c:v>42</c:v>
                </c:pt>
                <c:pt idx="5">
                  <c:v>44</c:v>
                </c:pt>
                <c:pt idx="6">
                  <c:v>68</c:v>
                </c:pt>
                <c:pt idx="7">
                  <c:v>53</c:v>
                </c:pt>
                <c:pt idx="8">
                  <c:v>57</c:v>
                </c:pt>
                <c:pt idx="9">
                  <c:v>49</c:v>
                </c:pt>
                <c:pt idx="10">
                  <c:v>42</c:v>
                </c:pt>
                <c:pt idx="11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'18.08 Malaba-Tororo'!$AF$9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Malaba-Tororo'!$AF$10:$AF$21</c:f>
              <c:numCache>
                <c:formatCode>0</c:formatCode>
                <c:ptCount val="12"/>
                <c:pt idx="0">
                  <c:v>48</c:v>
                </c:pt>
                <c:pt idx="1">
                  <c:v>68</c:v>
                </c:pt>
                <c:pt idx="2">
                  <c:v>101</c:v>
                </c:pt>
                <c:pt idx="3">
                  <c:v>117</c:v>
                </c:pt>
                <c:pt idx="4">
                  <c:v>134</c:v>
                </c:pt>
                <c:pt idx="5">
                  <c:v>142</c:v>
                </c:pt>
                <c:pt idx="6">
                  <c:v>158</c:v>
                </c:pt>
                <c:pt idx="7">
                  <c:v>146</c:v>
                </c:pt>
                <c:pt idx="8">
                  <c:v>143</c:v>
                </c:pt>
                <c:pt idx="9">
                  <c:v>132</c:v>
                </c:pt>
                <c:pt idx="10">
                  <c:v>119</c:v>
                </c:pt>
                <c:pt idx="11">
                  <c:v>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417008"/>
        <c:axId val="220413480"/>
      </c:lineChart>
      <c:catAx>
        <c:axId val="220417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413480"/>
        <c:crosses val="autoZero"/>
        <c:auto val="1"/>
        <c:lblAlgn val="ctr"/>
        <c:lblOffset val="100"/>
        <c:noMultiLvlLbl val="0"/>
      </c:catAx>
      <c:valAx>
        <c:axId val="220413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41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'18.08 Malaba-Tororo'!$C$9:$N$9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'18.08 Malaba-Tororo'!$C$59:$N$59</c:f>
              <c:numCache>
                <c:formatCode>0.0%</c:formatCode>
                <c:ptCount val="12"/>
                <c:pt idx="0">
                  <c:v>0.13058659217877094</c:v>
                </c:pt>
                <c:pt idx="1">
                  <c:v>9.7765363128491621E-3</c:v>
                </c:pt>
                <c:pt idx="2">
                  <c:v>7.7513966480446922E-2</c:v>
                </c:pt>
                <c:pt idx="3">
                  <c:v>7.5418994413407825E-2</c:v>
                </c:pt>
                <c:pt idx="4">
                  <c:v>2.0949720670391061E-3</c:v>
                </c:pt>
                <c:pt idx="5">
                  <c:v>6.9832402234636874E-4</c:v>
                </c:pt>
                <c:pt idx="6">
                  <c:v>3.7011173184357544E-2</c:v>
                </c:pt>
                <c:pt idx="7">
                  <c:v>4.8882681564245811E-3</c:v>
                </c:pt>
                <c:pt idx="8">
                  <c:v>6.9832402234636874E-4</c:v>
                </c:pt>
                <c:pt idx="9">
                  <c:v>0</c:v>
                </c:pt>
                <c:pt idx="10">
                  <c:v>0.66131284916201116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'18.08 Malaba-Tororo'!$S$9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Malaba-Tororo'!$S$10:$S$21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11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30</c:v>
                </c:pt>
                <c:pt idx="7">
                  <c:v>19</c:v>
                </c:pt>
                <c:pt idx="8">
                  <c:v>26</c:v>
                </c:pt>
                <c:pt idx="9">
                  <c:v>19</c:v>
                </c:pt>
                <c:pt idx="10">
                  <c:v>13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'18.08 Malaba-Tororo'!$T$9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'18.08 Malaba-Tororo'!$R$10:$R$21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Malaba-Tororo'!$T$10:$T$21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'18.08 Malaba-Tororo'!$U$9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'18.08 Malaba-Tororo'!$U$10:$U$21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9</c:v>
                </c:pt>
                <c:pt idx="4">
                  <c:v>7</c:v>
                </c:pt>
                <c:pt idx="5">
                  <c:v>8</c:v>
                </c:pt>
                <c:pt idx="6">
                  <c:v>15</c:v>
                </c:pt>
                <c:pt idx="7">
                  <c:v>17</c:v>
                </c:pt>
                <c:pt idx="8">
                  <c:v>12</c:v>
                </c:pt>
                <c:pt idx="9">
                  <c:v>14</c:v>
                </c:pt>
                <c:pt idx="10">
                  <c:v>7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'18.08 Malaba-Tororo'!$V$9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'18.08 Malaba-Tororo'!$V$10:$V$21</c:f>
              <c:numCache>
                <c:formatCode>0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13</c:v>
                </c:pt>
                <c:pt idx="5">
                  <c:v>12</c:v>
                </c:pt>
                <c:pt idx="6">
                  <c:v>15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'18.08 Malaba-Tororo'!$W$9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'18.08 Malaba-Tororo'!$W$10:$W$21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'18.08 Malaba-Tororo'!$X$9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'18.08 Malaba-Tororo'!$X$10:$X$21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'18.08 Malaba-Tororo'!$Y$9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Malaba-Tororo'!$Y$10:$Y$21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5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'18.08 Malaba-Tororo'!$Z$9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Malaba-Tororo'!$Z$10:$Z$21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'18.08 Malaba-Tororo'!$AA$9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Malaba-Tororo'!$AA$10:$AA$21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'18.08 Malaba-Tororo'!$AB$9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Malaba-Tororo'!$AB$10:$AB$21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'18.08 Malaba-Tororo'!$AC$9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Malaba-Tororo'!$AC$10:$AC$21</c:f>
              <c:numCache>
                <c:formatCode>0</c:formatCode>
                <c:ptCount val="12"/>
                <c:pt idx="0">
                  <c:v>34</c:v>
                </c:pt>
                <c:pt idx="1">
                  <c:v>57</c:v>
                </c:pt>
                <c:pt idx="2">
                  <c:v>74</c:v>
                </c:pt>
                <c:pt idx="3">
                  <c:v>82</c:v>
                </c:pt>
                <c:pt idx="4">
                  <c:v>92</c:v>
                </c:pt>
                <c:pt idx="5">
                  <c:v>98</c:v>
                </c:pt>
                <c:pt idx="6">
                  <c:v>90</c:v>
                </c:pt>
                <c:pt idx="7">
                  <c:v>93</c:v>
                </c:pt>
                <c:pt idx="8">
                  <c:v>86</c:v>
                </c:pt>
                <c:pt idx="9">
                  <c:v>83</c:v>
                </c:pt>
                <c:pt idx="10">
                  <c:v>77</c:v>
                </c:pt>
                <c:pt idx="1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'18.08 Malaba-Tororo'!$AD$9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Malaba-Tororo'!$AD$10:$AD$21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411128"/>
        <c:axId val="219628224"/>
      </c:lineChart>
      <c:catAx>
        <c:axId val="22041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628224"/>
        <c:crosses val="autoZero"/>
        <c:auto val="1"/>
        <c:lblAlgn val="ctr"/>
        <c:lblOffset val="100"/>
        <c:noMultiLvlLbl val="0"/>
      </c:catAx>
      <c:valAx>
        <c:axId val="21962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41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'18.08 Malaba-Tororo'!$C$9:$N$9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'18.08 Malaba-Tororo'!$C$60:$N$60</c:f>
              <c:numCache>
                <c:formatCode>0.00%</c:formatCode>
                <c:ptCount val="12"/>
                <c:pt idx="0">
                  <c:v>0.38556701030927837</c:v>
                </c:pt>
                <c:pt idx="1">
                  <c:v>2.88659793814433E-2</c:v>
                </c:pt>
                <c:pt idx="2">
                  <c:v>0.22886597938144329</c:v>
                </c:pt>
                <c:pt idx="3">
                  <c:v>0.22268041237113403</c:v>
                </c:pt>
                <c:pt idx="4">
                  <c:v>6.1855670103092781E-3</c:v>
                </c:pt>
                <c:pt idx="5">
                  <c:v>2.0618556701030928E-3</c:v>
                </c:pt>
                <c:pt idx="6">
                  <c:v>0.10927835051546392</c:v>
                </c:pt>
                <c:pt idx="7">
                  <c:v>1.443298969072165E-2</c:v>
                </c:pt>
                <c:pt idx="8">
                  <c:v>2.0618556701030928E-3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'18.08 Tororo-Malaba'!$AE$9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Tororo-Malaba'!$AE$10:$AE$21</c:f>
              <c:numCache>
                <c:formatCode>0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18</c:v>
                </c:pt>
                <c:pt idx="3">
                  <c:v>29</c:v>
                </c:pt>
                <c:pt idx="4">
                  <c:v>26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27</c:v>
                </c:pt>
                <c:pt idx="9">
                  <c:v>34</c:v>
                </c:pt>
                <c:pt idx="10">
                  <c:v>28</c:v>
                </c:pt>
                <c:pt idx="11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'18.08 Tororo-Malaba'!$AF$9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Tororo-Malaba'!$AF$10:$AF$21</c:f>
              <c:numCache>
                <c:formatCode>0</c:formatCode>
                <c:ptCount val="12"/>
                <c:pt idx="0">
                  <c:v>57</c:v>
                </c:pt>
                <c:pt idx="1">
                  <c:v>85</c:v>
                </c:pt>
                <c:pt idx="2">
                  <c:v>81</c:v>
                </c:pt>
                <c:pt idx="3">
                  <c:v>117</c:v>
                </c:pt>
                <c:pt idx="4">
                  <c:v>132</c:v>
                </c:pt>
                <c:pt idx="5">
                  <c:v>123</c:v>
                </c:pt>
                <c:pt idx="6">
                  <c:v>124</c:v>
                </c:pt>
                <c:pt idx="7">
                  <c:v>121</c:v>
                </c:pt>
                <c:pt idx="8">
                  <c:v>106</c:v>
                </c:pt>
                <c:pt idx="9">
                  <c:v>116</c:v>
                </c:pt>
                <c:pt idx="10">
                  <c:v>124</c:v>
                </c:pt>
                <c:pt idx="11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091104"/>
        <c:axId val="220089144"/>
      </c:lineChart>
      <c:catAx>
        <c:axId val="220091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089144"/>
        <c:crosses val="autoZero"/>
        <c:auto val="1"/>
        <c:lblAlgn val="ctr"/>
        <c:lblOffset val="100"/>
        <c:noMultiLvlLbl val="0"/>
      </c:catAx>
      <c:valAx>
        <c:axId val="220089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09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'18.08 Tororo-Malaba'!$C$9:$N$9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'18.08 Tororo-Malaba'!$C$59:$N$59</c:f>
              <c:numCache>
                <c:formatCode>0.0%</c:formatCode>
                <c:ptCount val="12"/>
                <c:pt idx="0">
                  <c:v>8.4104938271604937E-2</c:v>
                </c:pt>
                <c:pt idx="1">
                  <c:v>1.5432098765432098E-3</c:v>
                </c:pt>
                <c:pt idx="2">
                  <c:v>4.4753086419753084E-2</c:v>
                </c:pt>
                <c:pt idx="3">
                  <c:v>8.0246913580246909E-2</c:v>
                </c:pt>
                <c:pt idx="4">
                  <c:v>0</c:v>
                </c:pt>
                <c:pt idx="5">
                  <c:v>3.8580246913580245E-3</c:v>
                </c:pt>
                <c:pt idx="6">
                  <c:v>2.2376543209876542E-2</c:v>
                </c:pt>
                <c:pt idx="7">
                  <c:v>2.3148148148148147E-3</c:v>
                </c:pt>
                <c:pt idx="8">
                  <c:v>7.716049382716049E-4</c:v>
                </c:pt>
                <c:pt idx="9">
                  <c:v>0</c:v>
                </c:pt>
                <c:pt idx="10">
                  <c:v>0.76003086419753085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'18.08 Tororo-Malaba'!$S$9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Tororo-Malaba'!$S$10:$S$21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12</c:v>
                </c:pt>
                <c:pt idx="6">
                  <c:v>15</c:v>
                </c:pt>
                <c:pt idx="7">
                  <c:v>8</c:v>
                </c:pt>
                <c:pt idx="8">
                  <c:v>6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'18.08 Tororo-Malaba'!$T$9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'18.08 Tororo-Malaba'!$R$10:$R$21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Tororo-Malaba'!$T$10:$T$21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'18.08 Tororo-Malaba'!$U$9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'18.08 Tororo-Malaba'!$U$10:$U$21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'18.08 Tororo-Malaba'!$V$9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'18.08 Tororo-Malaba'!$V$10:$V$21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'18.08 Tororo-Malaba'!$W$9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'18.08 Tororo-Malaba'!$W$10:$W$21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'18.08 Tororo-Malaba'!$X$9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'18.08 Tororo-Malaba'!$X$10:$X$21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'18.08 Tororo-Malaba'!$Y$9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Tororo-Malaba'!$Y$10:$Y$21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'18.08 Tororo-Malaba'!$Z$9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Tororo-Malaba'!$Z$10:$Z$21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'18.08 Tororo-Malaba'!$AA$9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Tororo-Malaba'!$AA$10:$AA$21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'18.08 Tororo-Malaba'!$AB$9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Tororo-Malaba'!$AB$10:$AB$21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'18.08 Tororo-Malaba'!$AC$9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Tororo-Malaba'!$AC$10:$AC$21</c:f>
              <c:numCache>
                <c:formatCode>0</c:formatCode>
                <c:ptCount val="12"/>
                <c:pt idx="0">
                  <c:v>47</c:v>
                </c:pt>
                <c:pt idx="1">
                  <c:v>73</c:v>
                </c:pt>
                <c:pt idx="2">
                  <c:v>63</c:v>
                </c:pt>
                <c:pt idx="3">
                  <c:v>88</c:v>
                </c:pt>
                <c:pt idx="4">
                  <c:v>106</c:v>
                </c:pt>
                <c:pt idx="5">
                  <c:v>93</c:v>
                </c:pt>
                <c:pt idx="6">
                  <c:v>93</c:v>
                </c:pt>
                <c:pt idx="7">
                  <c:v>89</c:v>
                </c:pt>
                <c:pt idx="8">
                  <c:v>79</c:v>
                </c:pt>
                <c:pt idx="9">
                  <c:v>82</c:v>
                </c:pt>
                <c:pt idx="10">
                  <c:v>96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'18.08 Tororo-Malaba'!$AD$9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Tororo-Malaba'!$AD$10:$AD$21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092672"/>
        <c:axId val="220090712"/>
      </c:lineChart>
      <c:catAx>
        <c:axId val="22009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090712"/>
        <c:crosses val="autoZero"/>
        <c:auto val="1"/>
        <c:lblAlgn val="ctr"/>
        <c:lblOffset val="100"/>
        <c:noMultiLvlLbl val="0"/>
      </c:catAx>
      <c:valAx>
        <c:axId val="22009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09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'18.08 Tororo-Malaba'!$C$9:$N$9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'18.08 Tororo-Malaba'!$C$60:$N$60</c:f>
              <c:numCache>
                <c:formatCode>0.00%</c:formatCode>
                <c:ptCount val="12"/>
                <c:pt idx="0">
                  <c:v>0.35048231511254019</c:v>
                </c:pt>
                <c:pt idx="1">
                  <c:v>6.4308681672025723E-3</c:v>
                </c:pt>
                <c:pt idx="2">
                  <c:v>0.18649517684887459</c:v>
                </c:pt>
                <c:pt idx="3">
                  <c:v>0.33440514469453375</c:v>
                </c:pt>
                <c:pt idx="4">
                  <c:v>0</c:v>
                </c:pt>
                <c:pt idx="5">
                  <c:v>1.607717041800643E-2</c:v>
                </c:pt>
                <c:pt idx="6">
                  <c:v>9.3247588424437297E-2</c:v>
                </c:pt>
                <c:pt idx="7">
                  <c:v>9.6463022508038593E-3</c:v>
                </c:pt>
                <c:pt idx="8">
                  <c:v>3.2154340836012861E-3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Malaba-Tororo'!$AE$9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Malaba-Tororo'!$R$10:$R$33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Malaba-Tororo'!$AE$10:$AE$33</c:f>
              <c:numCache>
                <c:formatCode>0</c:formatCode>
                <c:ptCount val="24"/>
                <c:pt idx="0">
                  <c:v>18.857142857142858</c:v>
                </c:pt>
                <c:pt idx="1">
                  <c:v>21.285714285714285</c:v>
                </c:pt>
                <c:pt idx="2">
                  <c:v>31.714285714285712</c:v>
                </c:pt>
                <c:pt idx="3">
                  <c:v>44.142857142857146</c:v>
                </c:pt>
                <c:pt idx="4">
                  <c:v>44</c:v>
                </c:pt>
                <c:pt idx="5">
                  <c:v>41.142857142857139</c:v>
                </c:pt>
                <c:pt idx="6">
                  <c:v>46.285714285714292</c:v>
                </c:pt>
                <c:pt idx="7">
                  <c:v>38</c:v>
                </c:pt>
                <c:pt idx="8">
                  <c:v>37.428571428571431</c:v>
                </c:pt>
                <c:pt idx="9">
                  <c:v>52.285714285714292</c:v>
                </c:pt>
                <c:pt idx="10">
                  <c:v>47.571428571428569</c:v>
                </c:pt>
                <c:pt idx="11">
                  <c:v>45.428571428571423</c:v>
                </c:pt>
                <c:pt idx="12">
                  <c:v>36.5</c:v>
                </c:pt>
                <c:pt idx="13">
                  <c:v>34.5</c:v>
                </c:pt>
                <c:pt idx="14">
                  <c:v>21</c:v>
                </c:pt>
                <c:pt idx="15">
                  <c:v>11.5</c:v>
                </c:pt>
                <c:pt idx="16">
                  <c:v>9</c:v>
                </c:pt>
                <c:pt idx="17">
                  <c:v>2.5</c:v>
                </c:pt>
                <c:pt idx="18">
                  <c:v>3</c:v>
                </c:pt>
                <c:pt idx="19">
                  <c:v>7</c:v>
                </c:pt>
                <c:pt idx="20">
                  <c:v>8.5</c:v>
                </c:pt>
                <c:pt idx="21">
                  <c:v>9</c:v>
                </c:pt>
                <c:pt idx="22">
                  <c:v>7.5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Malaba-Tororo'!$AF$9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Malaba-Tororo'!$R$10:$R$33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Malaba-Tororo'!$AF$10:$AF$33</c:f>
              <c:numCache>
                <c:formatCode>0</c:formatCode>
                <c:ptCount val="24"/>
                <c:pt idx="0">
                  <c:v>92.857142857142861</c:v>
                </c:pt>
                <c:pt idx="1">
                  <c:v>120.85714285714286</c:v>
                </c:pt>
                <c:pt idx="2">
                  <c:v>137.28571428571428</c:v>
                </c:pt>
                <c:pt idx="3">
                  <c:v>158.42857142857144</c:v>
                </c:pt>
                <c:pt idx="4">
                  <c:v>160.28571428571428</c:v>
                </c:pt>
                <c:pt idx="5">
                  <c:v>150.57142857142856</c:v>
                </c:pt>
                <c:pt idx="6">
                  <c:v>149.57142857142858</c:v>
                </c:pt>
                <c:pt idx="7">
                  <c:v>125.71428571428569</c:v>
                </c:pt>
                <c:pt idx="8">
                  <c:v>133.14285714285714</c:v>
                </c:pt>
                <c:pt idx="9">
                  <c:v>148.71428571428572</c:v>
                </c:pt>
                <c:pt idx="10">
                  <c:v>131.71428571428572</c:v>
                </c:pt>
                <c:pt idx="11">
                  <c:v>145.71428571428572</c:v>
                </c:pt>
                <c:pt idx="12">
                  <c:v>102.5</c:v>
                </c:pt>
                <c:pt idx="13">
                  <c:v>59.5</c:v>
                </c:pt>
                <c:pt idx="14">
                  <c:v>47.5</c:v>
                </c:pt>
                <c:pt idx="15">
                  <c:v>30.5</c:v>
                </c:pt>
                <c:pt idx="16">
                  <c:v>20.5</c:v>
                </c:pt>
                <c:pt idx="17">
                  <c:v>7</c:v>
                </c:pt>
                <c:pt idx="18">
                  <c:v>4</c:v>
                </c:pt>
                <c:pt idx="19">
                  <c:v>7.5</c:v>
                </c:pt>
                <c:pt idx="20">
                  <c:v>30</c:v>
                </c:pt>
                <c:pt idx="21">
                  <c:v>27</c:v>
                </c:pt>
                <c:pt idx="22">
                  <c:v>23.5</c:v>
                </c:pt>
                <c:pt idx="23">
                  <c:v>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087184"/>
        <c:axId val="220088752"/>
      </c:lineChart>
      <c:catAx>
        <c:axId val="2200871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088752"/>
        <c:crosses val="autoZero"/>
        <c:auto val="1"/>
        <c:lblAlgn val="ctr"/>
        <c:lblOffset val="100"/>
        <c:noMultiLvlLbl val="0"/>
      </c:catAx>
      <c:valAx>
        <c:axId val="220088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0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493858169916063E-2"/>
          <c:y val="0.15692014022722683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Malaba-Tororo'!$C$9:$N$9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Malaba-Tororo'!$C$107:$N$107</c:f>
              <c:numCache>
                <c:formatCode>0.0%</c:formatCode>
                <c:ptCount val="12"/>
                <c:pt idx="0">
                  <c:v>9.1953627575767985E-2</c:v>
                </c:pt>
                <c:pt idx="1">
                  <c:v>8.6002270459940126E-3</c:v>
                </c:pt>
                <c:pt idx="2">
                  <c:v>7.8984485190409043E-2</c:v>
                </c:pt>
                <c:pt idx="3">
                  <c:v>7.2826722625477305E-2</c:v>
                </c:pt>
                <c:pt idx="4">
                  <c:v>3.8873026247892946E-3</c:v>
                </c:pt>
                <c:pt idx="5">
                  <c:v>4.4721180639168863E-3</c:v>
                </c:pt>
                <c:pt idx="6">
                  <c:v>3.6912174481406303E-2</c:v>
                </c:pt>
                <c:pt idx="7">
                  <c:v>8.0498125150503964E-3</c:v>
                </c:pt>
                <c:pt idx="8">
                  <c:v>1.1008290618872336E-3</c:v>
                </c:pt>
                <c:pt idx="9">
                  <c:v>0</c:v>
                </c:pt>
                <c:pt idx="10">
                  <c:v>0.69266228628435778</c:v>
                </c:pt>
                <c:pt idx="11">
                  <c:v>5.5041453094361681E-4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Malaba-Tororo'!$C$9:$N$9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Malaba-Tororo'!$C$108:$N$108</c:f>
              <c:numCache>
                <c:formatCode>0.00%</c:formatCode>
                <c:ptCount val="12"/>
                <c:pt idx="0">
                  <c:v>0.29919408999328406</c:v>
                </c:pt>
                <c:pt idx="1">
                  <c:v>2.7982986344302668E-2</c:v>
                </c:pt>
                <c:pt idx="2">
                  <c:v>0.25699574658607577</c:v>
                </c:pt>
                <c:pt idx="3">
                  <c:v>0.23695992836355498</c:v>
                </c:pt>
                <c:pt idx="4">
                  <c:v>1.2648309827624807E-2</c:v>
                </c:pt>
                <c:pt idx="5">
                  <c:v>1.4551152899037384E-2</c:v>
                </c:pt>
                <c:pt idx="6">
                  <c:v>0.12010297738974704</c:v>
                </c:pt>
                <c:pt idx="7">
                  <c:v>2.6192075218267295E-2</c:v>
                </c:pt>
                <c:pt idx="8">
                  <c:v>3.5818222520707411E-3</c:v>
                </c:pt>
                <c:pt idx="9">
                  <c:v>0</c:v>
                </c:pt>
                <c:pt idx="11">
                  <c:v>1.7909111260353706E-3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Tororo-Malaba'!$AE$9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Tororo-Malaba'!$R$10:$R$33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Tororo-Malaba'!$AE$10:$AE$33</c:f>
              <c:numCache>
                <c:formatCode>0</c:formatCode>
                <c:ptCount val="24"/>
                <c:pt idx="0">
                  <c:v>18.571428571428569</c:v>
                </c:pt>
                <c:pt idx="1">
                  <c:v>21.285714285714285</c:v>
                </c:pt>
                <c:pt idx="2">
                  <c:v>26.571428571428573</c:v>
                </c:pt>
                <c:pt idx="3">
                  <c:v>28</c:v>
                </c:pt>
                <c:pt idx="4">
                  <c:v>34</c:v>
                </c:pt>
                <c:pt idx="5">
                  <c:v>29.285714285714285</c:v>
                </c:pt>
                <c:pt idx="6">
                  <c:v>36.571428571428569</c:v>
                </c:pt>
                <c:pt idx="7">
                  <c:v>39</c:v>
                </c:pt>
                <c:pt idx="8">
                  <c:v>31.714285714285712</c:v>
                </c:pt>
                <c:pt idx="9">
                  <c:v>35</c:v>
                </c:pt>
                <c:pt idx="10">
                  <c:v>36.285714285714285</c:v>
                </c:pt>
                <c:pt idx="11">
                  <c:v>36.428571428571431</c:v>
                </c:pt>
                <c:pt idx="12">
                  <c:v>42</c:v>
                </c:pt>
                <c:pt idx="13">
                  <c:v>26.5</c:v>
                </c:pt>
                <c:pt idx="14">
                  <c:v>23.5</c:v>
                </c:pt>
                <c:pt idx="15">
                  <c:v>22</c:v>
                </c:pt>
                <c:pt idx="16">
                  <c:v>12</c:v>
                </c:pt>
                <c:pt idx="17">
                  <c:v>5</c:v>
                </c:pt>
                <c:pt idx="18">
                  <c:v>5.5</c:v>
                </c:pt>
                <c:pt idx="19">
                  <c:v>6</c:v>
                </c:pt>
                <c:pt idx="20">
                  <c:v>5.5</c:v>
                </c:pt>
                <c:pt idx="21">
                  <c:v>4.5</c:v>
                </c:pt>
                <c:pt idx="22">
                  <c:v>5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Tororo-Malaba'!$AF$9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Tororo-Malaba'!$R$10:$R$33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Tororo-Malaba'!$AF$10:$AF$33</c:f>
              <c:numCache>
                <c:formatCode>0</c:formatCode>
                <c:ptCount val="24"/>
                <c:pt idx="0">
                  <c:v>90.142857142857139</c:v>
                </c:pt>
                <c:pt idx="1">
                  <c:v>119.42857142857143</c:v>
                </c:pt>
                <c:pt idx="2">
                  <c:v>130.42857142857144</c:v>
                </c:pt>
                <c:pt idx="3">
                  <c:v>130</c:v>
                </c:pt>
                <c:pt idx="4">
                  <c:v>141</c:v>
                </c:pt>
                <c:pt idx="5">
                  <c:v>136</c:v>
                </c:pt>
                <c:pt idx="6">
                  <c:v>135</c:v>
                </c:pt>
                <c:pt idx="7">
                  <c:v>135.28571428571428</c:v>
                </c:pt>
                <c:pt idx="8">
                  <c:v>127.71428571428569</c:v>
                </c:pt>
                <c:pt idx="9">
                  <c:v>133.42857142857144</c:v>
                </c:pt>
                <c:pt idx="10">
                  <c:v>126.14285714285714</c:v>
                </c:pt>
                <c:pt idx="11">
                  <c:v>127.14285714285715</c:v>
                </c:pt>
                <c:pt idx="12">
                  <c:v>123.5</c:v>
                </c:pt>
                <c:pt idx="13">
                  <c:v>69.5</c:v>
                </c:pt>
                <c:pt idx="14">
                  <c:v>43.5</c:v>
                </c:pt>
                <c:pt idx="15">
                  <c:v>40</c:v>
                </c:pt>
                <c:pt idx="16">
                  <c:v>24</c:v>
                </c:pt>
                <c:pt idx="17">
                  <c:v>12.5</c:v>
                </c:pt>
                <c:pt idx="18">
                  <c:v>6.5</c:v>
                </c:pt>
                <c:pt idx="19">
                  <c:v>6</c:v>
                </c:pt>
                <c:pt idx="20">
                  <c:v>27.5</c:v>
                </c:pt>
                <c:pt idx="21">
                  <c:v>27.5</c:v>
                </c:pt>
                <c:pt idx="22">
                  <c:v>25</c:v>
                </c:pt>
                <c:pt idx="23">
                  <c:v>63.5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086008"/>
        <c:axId val="222738392"/>
      </c:lineChart>
      <c:catAx>
        <c:axId val="220086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2738392"/>
        <c:crosses val="autoZero"/>
        <c:auto val="1"/>
        <c:lblAlgn val="ctr"/>
        <c:lblOffset val="100"/>
        <c:noMultiLvlLbl val="0"/>
      </c:catAx>
      <c:valAx>
        <c:axId val="222738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08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Tororo-Malaba'!$C$9:$N$9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Tororo-Malaba'!$C$107:$N$107</c:f>
              <c:numCache>
                <c:formatCode>0.0%</c:formatCode>
                <c:ptCount val="12"/>
                <c:pt idx="0">
                  <c:v>9.4037843627275963E-2</c:v>
                </c:pt>
                <c:pt idx="1">
                  <c:v>4.4626918957515168E-3</c:v>
                </c:pt>
                <c:pt idx="2">
                  <c:v>5.7336665476615478E-2</c:v>
                </c:pt>
                <c:pt idx="3">
                  <c:v>7.5830060692609766E-2</c:v>
                </c:pt>
                <c:pt idx="4">
                  <c:v>2.1420921099607271E-3</c:v>
                </c:pt>
                <c:pt idx="5">
                  <c:v>4.891110317743661E-3</c:v>
                </c:pt>
                <c:pt idx="6">
                  <c:v>2.5990717600856833E-2</c:v>
                </c:pt>
                <c:pt idx="7">
                  <c:v>4.4269903605855037E-3</c:v>
                </c:pt>
                <c:pt idx="8">
                  <c:v>3.927168868261334E-4</c:v>
                </c:pt>
                <c:pt idx="9">
                  <c:v>0</c:v>
                </c:pt>
                <c:pt idx="10">
                  <c:v>0.72998928953945019</c:v>
                </c:pt>
                <c:pt idx="11">
                  <c:v>4.9982149232416972E-4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Tororo-Malaba'!$C$9:$N$9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Tororo-Malaba'!$C$108:$N$108</c:f>
              <c:numCache>
                <c:formatCode>0.00%</c:formatCode>
                <c:ptCount val="12"/>
                <c:pt idx="0">
                  <c:v>0.34827449424831414</c:v>
                </c:pt>
                <c:pt idx="1">
                  <c:v>1.6527832870554014E-2</c:v>
                </c:pt>
                <c:pt idx="2">
                  <c:v>0.21234959672087791</c:v>
                </c:pt>
                <c:pt idx="3">
                  <c:v>0.28084093613645378</c:v>
                </c:pt>
                <c:pt idx="4">
                  <c:v>7.9333597778659237E-3</c:v>
                </c:pt>
                <c:pt idx="5">
                  <c:v>1.8114504826127194E-2</c:v>
                </c:pt>
                <c:pt idx="6">
                  <c:v>9.6258098638106568E-2</c:v>
                </c:pt>
                <c:pt idx="7">
                  <c:v>1.6395610207589575E-2</c:v>
                </c:pt>
                <c:pt idx="8">
                  <c:v>1.454449292608753E-3</c:v>
                </c:pt>
                <c:pt idx="9">
                  <c:v>0</c:v>
                </c:pt>
                <c:pt idx="11">
                  <c:v>1.8511172815020489E-3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Malaba-Tororo-2Dir'!$C$9:$N$9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Malaba-Tororo-2Dir'!$C$107:$N$107</c:f>
              <c:numCache>
                <c:formatCode>0.0%</c:formatCode>
                <c:ptCount val="12"/>
                <c:pt idx="0">
                  <c:v>9.2976401128260847E-2</c:v>
                </c:pt>
                <c:pt idx="1">
                  <c:v>6.569841798209501E-3</c:v>
                </c:pt>
                <c:pt idx="2">
                  <c:v>6.8361393857635899E-2</c:v>
                </c:pt>
                <c:pt idx="3">
                  <c:v>7.4300530843217277E-2</c:v>
                </c:pt>
                <c:pt idx="4">
                  <c:v>3.0308870162406494E-3</c:v>
                </c:pt>
                <c:pt idx="5">
                  <c:v>4.6777273603251634E-3</c:v>
                </c:pt>
                <c:pt idx="6">
                  <c:v>3.155276020953416E-2</c:v>
                </c:pt>
                <c:pt idx="7">
                  <c:v>6.2720089700240029E-3</c:v>
                </c:pt>
                <c:pt idx="8">
                  <c:v>7.5334185952802258E-4</c:v>
                </c:pt>
                <c:pt idx="9">
                  <c:v>0</c:v>
                </c:pt>
                <c:pt idx="10">
                  <c:v>0.71097951961316785</c:v>
                </c:pt>
                <c:pt idx="11">
                  <c:v>5.255873438567599E-4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401834578394184E-2"/>
          <c:y val="0.12856245337753835"/>
          <c:w val="0.82101228366016787"/>
          <c:h val="0.7866751761292996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Malaba-Tororo-2Dir'!$C$9:$N$9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Malaba-Tororo-2Dir'!$C$108:$N$108</c:f>
              <c:numCache>
                <c:formatCode>0.00%</c:formatCode>
                <c:ptCount val="12"/>
                <c:pt idx="0">
                  <c:v>0.32169485360974714</c:v>
                </c:pt>
                <c:pt idx="1">
                  <c:v>2.2731405710129111E-2</c:v>
                </c:pt>
                <c:pt idx="2">
                  <c:v>0.23652785354913006</c:v>
                </c:pt>
                <c:pt idx="3">
                  <c:v>0.25707704431108674</c:v>
                </c:pt>
                <c:pt idx="4">
                  <c:v>1.048675516760623E-2</c:v>
                </c:pt>
                <c:pt idx="5">
                  <c:v>1.6184760865611925E-2</c:v>
                </c:pt>
                <c:pt idx="6">
                  <c:v>0.1091713644905134</c:v>
                </c:pt>
                <c:pt idx="7">
                  <c:v>2.1700915317936591E-2</c:v>
                </c:pt>
                <c:pt idx="8">
                  <c:v>2.6065345214281378E-3</c:v>
                </c:pt>
                <c:pt idx="9">
                  <c:v>0</c:v>
                </c:pt>
                <c:pt idx="11">
                  <c:v>1.8185124568103283E-3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Malaba-Tororo-2Dir'!$AE$9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Malaba-Tororo-2Dir'!$R$10:$R$33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Malaba-Tororo-2Dir'!$AE$10:$AE$33</c:f>
              <c:numCache>
                <c:formatCode>0</c:formatCode>
                <c:ptCount val="24"/>
                <c:pt idx="0">
                  <c:v>37.428571428571431</c:v>
                </c:pt>
                <c:pt idx="1">
                  <c:v>42.571428571428569</c:v>
                </c:pt>
                <c:pt idx="2">
                  <c:v>58.285714285714278</c:v>
                </c:pt>
                <c:pt idx="3">
                  <c:v>72.142857142857153</c:v>
                </c:pt>
                <c:pt idx="4">
                  <c:v>78</c:v>
                </c:pt>
                <c:pt idx="5">
                  <c:v>70.428571428571431</c:v>
                </c:pt>
                <c:pt idx="6">
                  <c:v>82.857142857142861</c:v>
                </c:pt>
                <c:pt idx="7">
                  <c:v>77</c:v>
                </c:pt>
                <c:pt idx="8">
                  <c:v>69.142857142857139</c:v>
                </c:pt>
                <c:pt idx="9">
                  <c:v>87.285714285714263</c:v>
                </c:pt>
                <c:pt idx="10">
                  <c:v>83.857142857142861</c:v>
                </c:pt>
                <c:pt idx="11">
                  <c:v>81.857142857142861</c:v>
                </c:pt>
                <c:pt idx="12">
                  <c:v>78.5</c:v>
                </c:pt>
                <c:pt idx="13">
                  <c:v>61</c:v>
                </c:pt>
                <c:pt idx="14">
                  <c:v>44.5</c:v>
                </c:pt>
                <c:pt idx="15">
                  <c:v>33.5</c:v>
                </c:pt>
                <c:pt idx="16">
                  <c:v>21</c:v>
                </c:pt>
                <c:pt idx="17">
                  <c:v>7.5</c:v>
                </c:pt>
                <c:pt idx="18">
                  <c:v>8.5</c:v>
                </c:pt>
                <c:pt idx="19">
                  <c:v>13</c:v>
                </c:pt>
                <c:pt idx="20">
                  <c:v>14</c:v>
                </c:pt>
                <c:pt idx="21">
                  <c:v>13.5</c:v>
                </c:pt>
                <c:pt idx="22">
                  <c:v>12.5</c:v>
                </c:pt>
                <c:pt idx="23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11-4988-B540-E3C697C7AD10}"/>
            </c:ext>
          </c:extLst>
        </c:ser>
        <c:ser>
          <c:idx val="1"/>
          <c:order val="1"/>
          <c:tx>
            <c:strRef>
              <c:f>'Avg Week Malaba-Tororo-2Dir'!$AF$9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Malaba-Tororo-2Dir'!$R$10:$R$33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Malaba-Tororo-2Dir'!$AF$10:$AF$33</c:f>
              <c:numCache>
                <c:formatCode>0</c:formatCode>
                <c:ptCount val="24"/>
                <c:pt idx="0">
                  <c:v>183</c:v>
                </c:pt>
                <c:pt idx="1">
                  <c:v>240.28571428571428</c:v>
                </c:pt>
                <c:pt idx="2">
                  <c:v>267.71428571428572</c:v>
                </c:pt>
                <c:pt idx="3">
                  <c:v>288.42857142857144</c:v>
                </c:pt>
                <c:pt idx="4">
                  <c:v>301.28571428571428</c:v>
                </c:pt>
                <c:pt idx="5">
                  <c:v>286.57142857142861</c:v>
                </c:pt>
                <c:pt idx="6">
                  <c:v>284.57142857142861</c:v>
                </c:pt>
                <c:pt idx="7">
                  <c:v>261</c:v>
                </c:pt>
                <c:pt idx="8">
                  <c:v>260.85714285714289</c:v>
                </c:pt>
                <c:pt idx="9">
                  <c:v>282.14285714285711</c:v>
                </c:pt>
                <c:pt idx="10">
                  <c:v>257.85714285714289</c:v>
                </c:pt>
                <c:pt idx="11">
                  <c:v>272.85714285714283</c:v>
                </c:pt>
                <c:pt idx="12">
                  <c:v>226</c:v>
                </c:pt>
                <c:pt idx="13">
                  <c:v>129</c:v>
                </c:pt>
                <c:pt idx="14">
                  <c:v>91</c:v>
                </c:pt>
                <c:pt idx="15">
                  <c:v>70.5</c:v>
                </c:pt>
                <c:pt idx="16">
                  <c:v>44.5</c:v>
                </c:pt>
                <c:pt idx="17">
                  <c:v>19.5</c:v>
                </c:pt>
                <c:pt idx="18">
                  <c:v>10.5</c:v>
                </c:pt>
                <c:pt idx="19">
                  <c:v>13.5</c:v>
                </c:pt>
                <c:pt idx="20">
                  <c:v>57.5</c:v>
                </c:pt>
                <c:pt idx="21">
                  <c:v>54.5</c:v>
                </c:pt>
                <c:pt idx="22">
                  <c:v>48.5</c:v>
                </c:pt>
                <c:pt idx="23">
                  <c:v>125.5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11-4988-B540-E3C697C7AD10}"/>
            </c:ext>
          </c:extLst>
        </c:ser>
        <c:ser>
          <c:idx val="5"/>
          <c:order val="2"/>
          <c:tx>
            <c:strRef>
              <c:f>'Avg Week Malaba-Tororo-2Dir'!$AC$9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Malaba-Tororo-2Dir'!$R$10:$R$33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Malaba-Tororo-2Dir'!$AC$10:$AC$33</c:f>
              <c:numCache>
                <c:formatCode>0</c:formatCode>
                <c:ptCount val="24"/>
                <c:pt idx="0">
                  <c:v>145.57142857142856</c:v>
                </c:pt>
                <c:pt idx="1">
                  <c:v>197.71428571428572</c:v>
                </c:pt>
                <c:pt idx="2">
                  <c:v>209.42857142857144</c:v>
                </c:pt>
                <c:pt idx="3">
                  <c:v>216.28571428571431</c:v>
                </c:pt>
                <c:pt idx="4">
                  <c:v>223.28571428571428</c:v>
                </c:pt>
                <c:pt idx="5">
                  <c:v>216.14285714285711</c:v>
                </c:pt>
                <c:pt idx="6">
                  <c:v>201.71428571428572</c:v>
                </c:pt>
                <c:pt idx="7">
                  <c:v>184</c:v>
                </c:pt>
                <c:pt idx="8">
                  <c:v>191.71428571428572</c:v>
                </c:pt>
                <c:pt idx="9">
                  <c:v>194.85714285714286</c:v>
                </c:pt>
                <c:pt idx="10">
                  <c:v>174</c:v>
                </c:pt>
                <c:pt idx="11">
                  <c:v>191</c:v>
                </c:pt>
                <c:pt idx="12">
                  <c:v>147.5</c:v>
                </c:pt>
                <c:pt idx="13">
                  <c:v>68</c:v>
                </c:pt>
                <c:pt idx="14">
                  <c:v>46.5</c:v>
                </c:pt>
                <c:pt idx="15">
                  <c:v>37</c:v>
                </c:pt>
                <c:pt idx="16">
                  <c:v>23.5</c:v>
                </c:pt>
                <c:pt idx="17">
                  <c:v>12</c:v>
                </c:pt>
                <c:pt idx="18">
                  <c:v>2</c:v>
                </c:pt>
                <c:pt idx="19">
                  <c:v>0.5</c:v>
                </c:pt>
                <c:pt idx="20">
                  <c:v>43.5</c:v>
                </c:pt>
                <c:pt idx="21">
                  <c:v>41</c:v>
                </c:pt>
                <c:pt idx="22">
                  <c:v>36</c:v>
                </c:pt>
                <c:pt idx="23">
                  <c:v>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11-4988-B540-E3C697C7A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Malaba-Tororo-2Dir'!$S$9:$AF$9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Malaba-Tororo-2Dir'!$S$41:$AF$41</c:f>
              <c:numCache>
                <c:formatCode>_(* #,##0_);_(* \(#,##0\);_(* "-"_);_(@_)</c:formatCode>
                <c:ptCount val="14"/>
                <c:pt idx="0">
                  <c:v>379.07142857142856</c:v>
                </c:pt>
                <c:pt idx="1">
                  <c:v>26.785714285714285</c:v>
                </c:pt>
                <c:pt idx="2">
                  <c:v>278.71428571428567</c:v>
                </c:pt>
                <c:pt idx="3">
                  <c:v>302.92857142857144</c:v>
                </c:pt>
                <c:pt idx="4">
                  <c:v>12.357142857142858</c:v>
                </c:pt>
                <c:pt idx="5">
                  <c:v>19.071428571428569</c:v>
                </c:pt>
                <c:pt idx="6">
                  <c:v>128.64285714285714</c:v>
                </c:pt>
                <c:pt idx="7">
                  <c:v>25.571428571428573</c:v>
                </c:pt>
                <c:pt idx="8">
                  <c:v>3.0714285714285712</c:v>
                </c:pt>
                <c:pt idx="9">
                  <c:v>0</c:v>
                </c:pt>
                <c:pt idx="10">
                  <c:v>2898.7142857142862</c:v>
                </c:pt>
                <c:pt idx="11">
                  <c:v>2.1428571428571428</c:v>
                </c:pt>
                <c:pt idx="12">
                  <c:v>1178.3571428571429</c:v>
                </c:pt>
                <c:pt idx="13">
                  <c:v>4077.0714285714289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7-45CC-87BD-8024784C2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Malaba-Tororo-2Dir'!$S$9:$AF$9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Malaba-Tororo-2Dir'!$S$42:$AF$42</c:f>
              <c:numCache>
                <c:formatCode>0.000</c:formatCode>
                <c:ptCount val="14"/>
                <c:pt idx="0">
                  <c:v>1.4273803119956967</c:v>
                </c:pt>
                <c:pt idx="1">
                  <c:v>1.2583892617449663</c:v>
                </c:pt>
                <c:pt idx="2">
                  <c:v>1.3614794138171666</c:v>
                </c:pt>
                <c:pt idx="3">
                  <c:v>1.3680645161290323</c:v>
                </c:pt>
                <c:pt idx="4">
                  <c:v>1.2536231884057971</c:v>
                </c:pt>
                <c:pt idx="5">
                  <c:v>2.902173913043478</c:v>
                </c:pt>
                <c:pt idx="6">
                  <c:v>1.4594813614262561</c:v>
                </c:pt>
                <c:pt idx="7">
                  <c:v>1.3769230769230769</c:v>
                </c:pt>
                <c:pt idx="8">
                  <c:v>1.1944444444444444</c:v>
                </c:pt>
                <c:pt idx="9">
                  <c:v>0</c:v>
                </c:pt>
                <c:pt idx="10">
                  <c:v>1.2357490864799026</c:v>
                </c:pt>
                <c:pt idx="11">
                  <c:v>1</c:v>
                </c:pt>
                <c:pt idx="12">
                  <c:v>1.4013761467889909</c:v>
                </c:pt>
                <c:pt idx="13">
                  <c:v>1.2794539585761677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A-49C9-9082-937BD1E3B7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22224</xdr:rowOff>
    </xdr:from>
    <xdr:to>
      <xdr:col>28</xdr:col>
      <xdr:colOff>0</xdr:colOff>
      <xdr:row>57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59</xdr:row>
      <xdr:rowOff>31750</xdr:rowOff>
    </xdr:from>
    <xdr:to>
      <xdr:col>23</xdr:col>
      <xdr:colOff>0</xdr:colOff>
      <xdr:row>73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698500</xdr:colOff>
      <xdr:row>59</xdr:row>
      <xdr:rowOff>0</xdr:rowOff>
    </xdr:from>
    <xdr:to>
      <xdr:col>31</xdr:col>
      <xdr:colOff>15875</xdr:colOff>
      <xdr:row>72</xdr:row>
      <xdr:rowOff>269874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22224</xdr:rowOff>
    </xdr:from>
    <xdr:to>
      <xdr:col>28</xdr:col>
      <xdr:colOff>0</xdr:colOff>
      <xdr:row>58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60</xdr:row>
      <xdr:rowOff>1</xdr:rowOff>
    </xdr:from>
    <xdr:to>
      <xdr:col>23</xdr:col>
      <xdr:colOff>31750</xdr:colOff>
      <xdr:row>73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59</xdr:row>
      <xdr:rowOff>269874</xdr:rowOff>
    </xdr:from>
    <xdr:to>
      <xdr:col>31</xdr:col>
      <xdr:colOff>15875</xdr:colOff>
      <xdr:row>73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9525</xdr:rowOff>
    </xdr:from>
    <xdr:to>
      <xdr:col>23</xdr:col>
      <xdr:colOff>650874</xdr:colOff>
      <xdr:row>74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74</xdr:row>
      <xdr:rowOff>269876</xdr:rowOff>
    </xdr:from>
    <xdr:to>
      <xdr:col>23</xdr:col>
      <xdr:colOff>650874</xdr:colOff>
      <xdr:row>91</xdr:row>
      <xdr:rowOff>31750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43</xdr:row>
      <xdr:rowOff>0</xdr:rowOff>
    </xdr:from>
    <xdr:to>
      <xdr:col>28</xdr:col>
      <xdr:colOff>186414</xdr:colOff>
      <xdr:row>58</xdr:row>
      <xdr:rowOff>269875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666750</xdr:colOff>
      <xdr:row>59</xdr:row>
      <xdr:rowOff>0</xdr:rowOff>
    </xdr:from>
    <xdr:to>
      <xdr:col>30</xdr:col>
      <xdr:colOff>650875</xdr:colOff>
      <xdr:row>74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666750</xdr:colOff>
      <xdr:row>75</xdr:row>
      <xdr:rowOff>15875</xdr:rowOff>
    </xdr:from>
    <xdr:to>
      <xdr:col>30</xdr:col>
      <xdr:colOff>650875</xdr:colOff>
      <xdr:row>91</xdr:row>
      <xdr:rowOff>30163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2" zoomScale="60" workbookViewId="0">
      <selection activeCell="M5" sqref="M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173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54" t="s">
        <v>162</v>
      </c>
      <c r="H5" s="55"/>
      <c r="I5" s="14"/>
      <c r="J5" s="2" t="s">
        <v>5</v>
      </c>
      <c r="K5" s="54" t="s">
        <v>162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164</v>
      </c>
      <c r="E6" s="55"/>
      <c r="F6" s="2" t="s">
        <v>2</v>
      </c>
      <c r="G6" s="54" t="s">
        <v>165</v>
      </c>
      <c r="H6" s="55"/>
      <c r="J6" s="2" t="s">
        <v>21</v>
      </c>
      <c r="K6" s="54" t="s">
        <v>162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16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18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1</v>
      </c>
      <c r="V10" s="17">
        <f t="shared" si="2"/>
        <v>7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73</v>
      </c>
      <c r="AD10" s="17">
        <f t="shared" si="2"/>
        <v>0</v>
      </c>
      <c r="AE10" s="31">
        <f t="shared" si="2"/>
        <v>11</v>
      </c>
      <c r="AF10" s="31">
        <f t="shared" si="2"/>
        <v>84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15</v>
      </c>
      <c r="N11" s="50">
        <v>0</v>
      </c>
      <c r="O11" s="15">
        <f t="shared" si="0"/>
        <v>2</v>
      </c>
      <c r="P11" s="15">
        <f t="shared" si="1"/>
        <v>17</v>
      </c>
      <c r="R11" s="1" t="s">
        <v>7</v>
      </c>
      <c r="S11" s="17">
        <f t="shared" ref="S11:AF11" si="3">SUM(C14:C17)</f>
        <v>3</v>
      </c>
      <c r="T11" s="17">
        <f t="shared" si="3"/>
        <v>1</v>
      </c>
      <c r="U11" s="17">
        <f t="shared" si="3"/>
        <v>10</v>
      </c>
      <c r="V11" s="17">
        <f t="shared" si="3"/>
        <v>4</v>
      </c>
      <c r="W11" s="17">
        <f t="shared" si="3"/>
        <v>0</v>
      </c>
      <c r="X11" s="17">
        <f t="shared" si="3"/>
        <v>1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94</v>
      </c>
      <c r="AD11" s="17">
        <f t="shared" si="3"/>
        <v>0</v>
      </c>
      <c r="AE11" s="31">
        <f t="shared" si="3"/>
        <v>20</v>
      </c>
      <c r="AF11" s="31">
        <f t="shared" si="3"/>
        <v>114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4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17</v>
      </c>
      <c r="N12" s="50">
        <v>0</v>
      </c>
      <c r="O12" s="15">
        <f t="shared" si="0"/>
        <v>5</v>
      </c>
      <c r="P12" s="15">
        <f t="shared" si="1"/>
        <v>22</v>
      </c>
      <c r="R12" s="1" t="s">
        <v>8</v>
      </c>
      <c r="S12" s="17">
        <f t="shared" ref="S12:AF12" si="4">SUM(C18:C21)</f>
        <v>5</v>
      </c>
      <c r="T12" s="17">
        <f t="shared" si="4"/>
        <v>3</v>
      </c>
      <c r="U12" s="17">
        <f t="shared" si="4"/>
        <v>14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85</v>
      </c>
      <c r="AD12" s="17">
        <f t="shared" si="4"/>
        <v>1</v>
      </c>
      <c r="AE12" s="31">
        <f t="shared" si="4"/>
        <v>33</v>
      </c>
      <c r="AF12" s="31">
        <f t="shared" si="4"/>
        <v>118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25</v>
      </c>
      <c r="N13" s="50">
        <v>0</v>
      </c>
      <c r="O13" s="15">
        <f t="shared" si="0"/>
        <v>2</v>
      </c>
      <c r="P13" s="15">
        <f t="shared" si="1"/>
        <v>27</v>
      </c>
      <c r="R13" s="1" t="s">
        <v>9</v>
      </c>
      <c r="S13" s="17">
        <f t="shared" ref="S13:AF13" si="5">SUM(C22:C25)</f>
        <v>12</v>
      </c>
      <c r="T13" s="17">
        <f t="shared" si="5"/>
        <v>0</v>
      </c>
      <c r="U13" s="17">
        <f t="shared" si="5"/>
        <v>11</v>
      </c>
      <c r="V13" s="17">
        <f t="shared" si="5"/>
        <v>7</v>
      </c>
      <c r="W13" s="17">
        <f t="shared" si="5"/>
        <v>0</v>
      </c>
      <c r="X13" s="17">
        <f t="shared" si="5"/>
        <v>1</v>
      </c>
      <c r="Y13" s="17">
        <f t="shared" si="5"/>
        <v>10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102</v>
      </c>
      <c r="AD13" s="17">
        <f t="shared" si="5"/>
        <v>0</v>
      </c>
      <c r="AE13" s="31">
        <f t="shared" si="5"/>
        <v>41</v>
      </c>
      <c r="AF13" s="31">
        <f t="shared" si="5"/>
        <v>143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26</v>
      </c>
      <c r="N14" s="50">
        <v>0</v>
      </c>
      <c r="O14" s="15">
        <f t="shared" si="0"/>
        <v>2</v>
      </c>
      <c r="P14" s="15">
        <f t="shared" si="1"/>
        <v>28</v>
      </c>
      <c r="R14" s="1" t="s">
        <v>10</v>
      </c>
      <c r="S14" s="17">
        <f t="shared" ref="S14:AF14" si="6">SUM(C26:C29)</f>
        <v>7</v>
      </c>
      <c r="T14" s="17">
        <f t="shared" si="6"/>
        <v>1</v>
      </c>
      <c r="U14" s="17">
        <f t="shared" si="6"/>
        <v>11</v>
      </c>
      <c r="V14" s="17">
        <f t="shared" si="6"/>
        <v>5</v>
      </c>
      <c r="W14" s="17">
        <f t="shared" si="6"/>
        <v>1</v>
      </c>
      <c r="X14" s="17">
        <f t="shared" si="6"/>
        <v>0</v>
      </c>
      <c r="Y14" s="17">
        <f t="shared" si="6"/>
        <v>4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120</v>
      </c>
      <c r="AD14" s="17">
        <f t="shared" si="6"/>
        <v>0</v>
      </c>
      <c r="AE14" s="31">
        <f t="shared" si="6"/>
        <v>30</v>
      </c>
      <c r="AF14" s="31">
        <f t="shared" si="6"/>
        <v>150</v>
      </c>
    </row>
    <row r="15" spans="2:32" ht="23.1" customHeight="1" x14ac:dyDescent="0.25">
      <c r="B15" s="23" t="s">
        <v>42</v>
      </c>
      <c r="C15" s="50">
        <v>1</v>
      </c>
      <c r="D15" s="50">
        <v>1</v>
      </c>
      <c r="E15" s="50">
        <v>3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14</v>
      </c>
      <c r="N15" s="50">
        <v>0</v>
      </c>
      <c r="O15" s="15">
        <f t="shared" si="0"/>
        <v>8</v>
      </c>
      <c r="P15" s="15">
        <f t="shared" si="1"/>
        <v>22</v>
      </c>
      <c r="R15" s="1" t="s">
        <v>11</v>
      </c>
      <c r="S15" s="17">
        <f t="shared" ref="S15:AF15" si="7">SUM(C30:C33)</f>
        <v>4</v>
      </c>
      <c r="T15" s="17">
        <f t="shared" si="7"/>
        <v>2</v>
      </c>
      <c r="U15" s="17">
        <f t="shared" si="7"/>
        <v>12</v>
      </c>
      <c r="V15" s="17">
        <f t="shared" si="7"/>
        <v>8</v>
      </c>
      <c r="W15" s="17">
        <f t="shared" si="7"/>
        <v>0</v>
      </c>
      <c r="X15" s="17">
        <f t="shared" si="7"/>
        <v>0</v>
      </c>
      <c r="Y15" s="17">
        <f t="shared" si="7"/>
        <v>17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102</v>
      </c>
      <c r="AD15" s="17">
        <f t="shared" si="7"/>
        <v>2</v>
      </c>
      <c r="AE15" s="31">
        <f t="shared" si="7"/>
        <v>47</v>
      </c>
      <c r="AF15" s="31">
        <f t="shared" si="7"/>
        <v>149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2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34</v>
      </c>
      <c r="N16" s="50">
        <v>0</v>
      </c>
      <c r="O16" s="15">
        <f t="shared" si="0"/>
        <v>3</v>
      </c>
      <c r="P16" s="15">
        <f t="shared" si="1"/>
        <v>37</v>
      </c>
      <c r="R16" s="1" t="s">
        <v>12</v>
      </c>
      <c r="S16" s="17">
        <f t="shared" ref="S16:AF16" si="8">SUM(C34:C37)</f>
        <v>11</v>
      </c>
      <c r="T16" s="17">
        <f t="shared" si="8"/>
        <v>0</v>
      </c>
      <c r="U16" s="17">
        <f t="shared" si="8"/>
        <v>11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115</v>
      </c>
      <c r="AD16" s="17">
        <f t="shared" si="8"/>
        <v>0</v>
      </c>
      <c r="AE16" s="31">
        <f t="shared" si="8"/>
        <v>30</v>
      </c>
      <c r="AF16" s="31">
        <f t="shared" si="8"/>
        <v>145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3</v>
      </c>
      <c r="F17" s="50">
        <v>1</v>
      </c>
      <c r="G17" s="50">
        <v>0</v>
      </c>
      <c r="H17" s="50">
        <v>1</v>
      </c>
      <c r="I17" s="50">
        <v>0</v>
      </c>
      <c r="J17" s="50">
        <v>0</v>
      </c>
      <c r="K17" s="50">
        <v>0</v>
      </c>
      <c r="L17" s="50">
        <v>0</v>
      </c>
      <c r="M17" s="50">
        <v>20</v>
      </c>
      <c r="N17" s="50">
        <v>0</v>
      </c>
      <c r="O17" s="15">
        <f t="shared" si="0"/>
        <v>7</v>
      </c>
      <c r="P17" s="15">
        <f t="shared" si="1"/>
        <v>27</v>
      </c>
      <c r="R17" s="1" t="s">
        <v>13</v>
      </c>
      <c r="S17" s="17">
        <f t="shared" ref="S17:AF17" si="9">SUM(C38:C41)</f>
        <v>8</v>
      </c>
      <c r="T17" s="17">
        <f t="shared" si="9"/>
        <v>2</v>
      </c>
      <c r="U17" s="17">
        <f t="shared" si="9"/>
        <v>11</v>
      </c>
      <c r="V17" s="17">
        <f t="shared" si="9"/>
        <v>11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94</v>
      </c>
      <c r="AD17" s="17">
        <f t="shared" si="9"/>
        <v>0</v>
      </c>
      <c r="AE17" s="31">
        <f t="shared" si="9"/>
        <v>44</v>
      </c>
      <c r="AF17" s="31">
        <f t="shared" si="9"/>
        <v>138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2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20</v>
      </c>
      <c r="N18" s="50">
        <v>0</v>
      </c>
      <c r="O18" s="15">
        <f t="shared" si="0"/>
        <v>3</v>
      </c>
      <c r="P18" s="15">
        <f t="shared" si="1"/>
        <v>23</v>
      </c>
      <c r="R18" s="1" t="s">
        <v>14</v>
      </c>
      <c r="S18" s="17">
        <f t="shared" ref="S18:AF18" si="10">SUM(C42:C45)</f>
        <v>7</v>
      </c>
      <c r="T18" s="17">
        <f t="shared" si="10"/>
        <v>2</v>
      </c>
      <c r="U18" s="17">
        <f t="shared" si="10"/>
        <v>13</v>
      </c>
      <c r="V18" s="17">
        <f t="shared" si="10"/>
        <v>10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100</v>
      </c>
      <c r="AD18" s="17">
        <f t="shared" si="10"/>
        <v>0</v>
      </c>
      <c r="AE18" s="31">
        <f t="shared" si="10"/>
        <v>36</v>
      </c>
      <c r="AF18" s="31">
        <f t="shared" si="10"/>
        <v>136</v>
      </c>
    </row>
    <row r="19" spans="2:32" ht="23.1" customHeight="1" x14ac:dyDescent="0.25">
      <c r="B19" s="23" t="s">
        <v>46</v>
      </c>
      <c r="C19" s="50">
        <v>1</v>
      </c>
      <c r="D19" s="50">
        <v>1</v>
      </c>
      <c r="E19" s="50">
        <v>3</v>
      </c>
      <c r="F19" s="50">
        <v>3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23</v>
      </c>
      <c r="N19" s="50">
        <v>1</v>
      </c>
      <c r="O19" s="15">
        <f t="shared" si="0"/>
        <v>9</v>
      </c>
      <c r="P19" s="15">
        <f t="shared" si="1"/>
        <v>32</v>
      </c>
      <c r="R19" s="1" t="s">
        <v>15</v>
      </c>
      <c r="S19" s="17">
        <f t="shared" ref="S19:AF19" si="11">SUM(C46:C49)</f>
        <v>22</v>
      </c>
      <c r="T19" s="17">
        <f t="shared" si="11"/>
        <v>3</v>
      </c>
      <c r="U19" s="17">
        <f t="shared" si="11"/>
        <v>12</v>
      </c>
      <c r="V19" s="17">
        <f t="shared" si="11"/>
        <v>11</v>
      </c>
      <c r="W19" s="17">
        <f t="shared" si="11"/>
        <v>3</v>
      </c>
      <c r="X19" s="17">
        <f t="shared" si="11"/>
        <v>0</v>
      </c>
      <c r="Y19" s="17">
        <f t="shared" si="11"/>
        <v>8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108</v>
      </c>
      <c r="AD19" s="17">
        <f t="shared" si="11"/>
        <v>0</v>
      </c>
      <c r="AE19" s="31">
        <f t="shared" si="11"/>
        <v>59</v>
      </c>
      <c r="AF19" s="31">
        <f t="shared" si="11"/>
        <v>167</v>
      </c>
    </row>
    <row r="20" spans="2:32" ht="23.1" customHeight="1" x14ac:dyDescent="0.25">
      <c r="B20" s="23" t="s">
        <v>47</v>
      </c>
      <c r="C20" s="50">
        <v>2</v>
      </c>
      <c r="D20" s="50">
        <v>1</v>
      </c>
      <c r="E20" s="50">
        <v>4</v>
      </c>
      <c r="F20" s="50">
        <v>3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15</v>
      </c>
      <c r="N20" s="50">
        <v>0</v>
      </c>
      <c r="O20" s="15">
        <f t="shared" si="0"/>
        <v>13</v>
      </c>
      <c r="P20" s="15">
        <f t="shared" si="1"/>
        <v>28</v>
      </c>
      <c r="R20" s="1" t="s">
        <v>16</v>
      </c>
      <c r="S20" s="17">
        <f t="shared" ref="S20:AF20" si="12">SUM(C50:C53)</f>
        <v>12</v>
      </c>
      <c r="T20" s="17">
        <f t="shared" si="12"/>
        <v>2</v>
      </c>
      <c r="U20" s="17">
        <f t="shared" si="12"/>
        <v>12</v>
      </c>
      <c r="V20" s="17">
        <f t="shared" si="12"/>
        <v>11</v>
      </c>
      <c r="W20" s="17">
        <f t="shared" si="12"/>
        <v>2</v>
      </c>
      <c r="X20" s="17">
        <f t="shared" si="12"/>
        <v>0</v>
      </c>
      <c r="Y20" s="17">
        <f t="shared" si="12"/>
        <v>7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40</v>
      </c>
      <c r="AD20" s="17">
        <f t="shared" si="12"/>
        <v>0</v>
      </c>
      <c r="AE20" s="31">
        <f t="shared" si="12"/>
        <v>49</v>
      </c>
      <c r="AF20" s="31">
        <f t="shared" si="12"/>
        <v>89</v>
      </c>
    </row>
    <row r="21" spans="2:32" ht="23.1" customHeight="1" x14ac:dyDescent="0.25">
      <c r="B21" s="23" t="s">
        <v>48</v>
      </c>
      <c r="C21" s="50">
        <v>1</v>
      </c>
      <c r="D21" s="50">
        <v>1</v>
      </c>
      <c r="E21" s="50">
        <v>5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27</v>
      </c>
      <c r="N21" s="50">
        <v>0</v>
      </c>
      <c r="O21" s="15">
        <f t="shared" si="0"/>
        <v>8</v>
      </c>
      <c r="P21" s="15">
        <f t="shared" si="1"/>
        <v>35</v>
      </c>
      <c r="R21" s="36" t="s">
        <v>20</v>
      </c>
      <c r="S21" s="34">
        <f t="shared" ref="S21:AF21" si="13">SUM(C54:C57)</f>
        <v>19</v>
      </c>
      <c r="T21" s="17">
        <f t="shared" si="13"/>
        <v>1</v>
      </c>
      <c r="U21" s="17">
        <f t="shared" si="13"/>
        <v>10</v>
      </c>
      <c r="V21" s="17">
        <f t="shared" si="13"/>
        <v>12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76</v>
      </c>
      <c r="AD21" s="17">
        <f t="shared" si="13"/>
        <v>0</v>
      </c>
      <c r="AE21" s="31">
        <f t="shared" si="13"/>
        <v>49</v>
      </c>
      <c r="AF21" s="31">
        <f t="shared" si="13"/>
        <v>125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2</v>
      </c>
      <c r="F22" s="50">
        <v>1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21</v>
      </c>
      <c r="N22" s="50">
        <v>0</v>
      </c>
      <c r="O22" s="15">
        <f t="shared" si="0"/>
        <v>7</v>
      </c>
      <c r="P22" s="15">
        <f t="shared" si="1"/>
        <v>28</v>
      </c>
      <c r="R22" s="38" t="s">
        <v>90</v>
      </c>
      <c r="S22" s="39">
        <f>MAX(S10:S12)</f>
        <v>5</v>
      </c>
      <c r="T22" s="39">
        <f t="shared" ref="T22:AF22" si="14">MAX(T10:T12)</f>
        <v>3</v>
      </c>
      <c r="U22" s="39">
        <f t="shared" si="14"/>
        <v>14</v>
      </c>
      <c r="V22" s="39">
        <f t="shared" si="14"/>
        <v>7</v>
      </c>
      <c r="W22" s="39">
        <f t="shared" si="14"/>
        <v>0</v>
      </c>
      <c r="X22" s="39">
        <f t="shared" si="14"/>
        <v>1</v>
      </c>
      <c r="Y22" s="39">
        <f t="shared" si="14"/>
        <v>3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94</v>
      </c>
      <c r="AD22" s="39">
        <f t="shared" si="14"/>
        <v>1</v>
      </c>
      <c r="AE22" s="40">
        <f t="shared" si="14"/>
        <v>33</v>
      </c>
      <c r="AF22" s="40">
        <f t="shared" si="14"/>
        <v>118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3</v>
      </c>
      <c r="F23" s="50">
        <v>4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22</v>
      </c>
      <c r="N23" s="50">
        <v>0</v>
      </c>
      <c r="O23" s="15">
        <f t="shared" si="0"/>
        <v>11</v>
      </c>
      <c r="P23" s="15">
        <f t="shared" si="1"/>
        <v>33</v>
      </c>
      <c r="R23" s="38" t="s">
        <v>91</v>
      </c>
      <c r="S23" s="39">
        <f>MAX(S13:S18)</f>
        <v>12</v>
      </c>
      <c r="T23" s="39">
        <f t="shared" ref="T23:AF23" si="15">MAX(T13:T18)</f>
        <v>2</v>
      </c>
      <c r="U23" s="39">
        <f t="shared" si="15"/>
        <v>13</v>
      </c>
      <c r="V23" s="39">
        <f t="shared" si="15"/>
        <v>11</v>
      </c>
      <c r="W23" s="39">
        <f t="shared" si="15"/>
        <v>1</v>
      </c>
      <c r="X23" s="39">
        <f t="shared" si="15"/>
        <v>1</v>
      </c>
      <c r="Y23" s="39">
        <f t="shared" si="15"/>
        <v>17</v>
      </c>
      <c r="Z23" s="39">
        <f t="shared" si="15"/>
        <v>3</v>
      </c>
      <c r="AA23" s="39">
        <f t="shared" si="15"/>
        <v>1</v>
      </c>
      <c r="AB23" s="39">
        <f t="shared" si="15"/>
        <v>0</v>
      </c>
      <c r="AC23" s="39">
        <f t="shared" si="15"/>
        <v>120</v>
      </c>
      <c r="AD23" s="39">
        <f t="shared" si="15"/>
        <v>2</v>
      </c>
      <c r="AE23" s="40">
        <f t="shared" si="15"/>
        <v>47</v>
      </c>
      <c r="AF23" s="40">
        <f t="shared" si="15"/>
        <v>150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3</v>
      </c>
      <c r="F24" s="50">
        <v>0</v>
      </c>
      <c r="G24" s="50">
        <v>0</v>
      </c>
      <c r="H24" s="50">
        <v>1</v>
      </c>
      <c r="I24" s="50">
        <v>4</v>
      </c>
      <c r="J24" s="50">
        <v>0</v>
      </c>
      <c r="K24" s="50">
        <v>0</v>
      </c>
      <c r="L24" s="50">
        <v>0</v>
      </c>
      <c r="M24" s="50">
        <v>31</v>
      </c>
      <c r="N24" s="50">
        <v>0</v>
      </c>
      <c r="O24" s="15">
        <f t="shared" si="0"/>
        <v>12</v>
      </c>
      <c r="P24" s="15">
        <f t="shared" si="1"/>
        <v>43</v>
      </c>
      <c r="R24" s="38" t="s">
        <v>92</v>
      </c>
      <c r="S24" s="39">
        <f>MAX(S19:S21)</f>
        <v>22</v>
      </c>
      <c r="T24" s="39">
        <f t="shared" ref="T24:AF24" si="16">MAX(T19:T21)</f>
        <v>3</v>
      </c>
      <c r="U24" s="39">
        <f t="shared" si="16"/>
        <v>12</v>
      </c>
      <c r="V24" s="39">
        <f t="shared" si="16"/>
        <v>12</v>
      </c>
      <c r="W24" s="39">
        <f t="shared" si="16"/>
        <v>3</v>
      </c>
      <c r="X24" s="39">
        <f t="shared" si="16"/>
        <v>0</v>
      </c>
      <c r="Y24" s="39">
        <f t="shared" si="16"/>
        <v>8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108</v>
      </c>
      <c r="AD24" s="39">
        <f t="shared" si="16"/>
        <v>0</v>
      </c>
      <c r="AE24" s="40">
        <f t="shared" si="16"/>
        <v>59</v>
      </c>
      <c r="AF24" s="40">
        <f t="shared" si="16"/>
        <v>167</v>
      </c>
    </row>
    <row r="25" spans="2:32" ht="23.1" customHeight="1" x14ac:dyDescent="0.25">
      <c r="B25" s="23" t="s">
        <v>52</v>
      </c>
      <c r="C25" s="50">
        <v>5</v>
      </c>
      <c r="D25" s="50">
        <v>0</v>
      </c>
      <c r="E25" s="50">
        <v>3</v>
      </c>
      <c r="F25" s="50">
        <v>2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28</v>
      </c>
      <c r="N25" s="50">
        <v>0</v>
      </c>
      <c r="O25" s="15">
        <f t="shared" si="0"/>
        <v>11</v>
      </c>
      <c r="P25" s="15">
        <f t="shared" si="1"/>
        <v>39</v>
      </c>
      <c r="R25" s="37" t="s">
        <v>85</v>
      </c>
      <c r="S25" s="35">
        <f t="shared" ref="S25:AF25" si="17">SUM(S10:S12)</f>
        <v>11</v>
      </c>
      <c r="T25" s="16">
        <f t="shared" si="17"/>
        <v>4</v>
      </c>
      <c r="U25" s="16">
        <f t="shared" si="17"/>
        <v>25</v>
      </c>
      <c r="V25" s="16">
        <f t="shared" si="17"/>
        <v>18</v>
      </c>
      <c r="W25" s="16">
        <f t="shared" si="17"/>
        <v>0</v>
      </c>
      <c r="X25" s="16">
        <f t="shared" si="17"/>
        <v>1</v>
      </c>
      <c r="Y25" s="16">
        <f t="shared" si="17"/>
        <v>4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252</v>
      </c>
      <c r="AD25" s="16">
        <f t="shared" si="17"/>
        <v>1</v>
      </c>
      <c r="AE25" s="32">
        <f t="shared" si="17"/>
        <v>64</v>
      </c>
      <c r="AF25" s="32">
        <f t="shared" si="17"/>
        <v>316</v>
      </c>
    </row>
    <row r="26" spans="2:32" ht="23.1" customHeight="1" x14ac:dyDescent="0.25">
      <c r="B26" s="23" t="s">
        <v>53</v>
      </c>
      <c r="C26" s="50">
        <v>3</v>
      </c>
      <c r="D26" s="50">
        <v>1</v>
      </c>
      <c r="E26" s="50">
        <v>3</v>
      </c>
      <c r="F26" s="50">
        <v>3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26</v>
      </c>
      <c r="N26" s="50">
        <v>0</v>
      </c>
      <c r="O26" s="15">
        <f t="shared" si="0"/>
        <v>12</v>
      </c>
      <c r="P26" s="15">
        <f t="shared" si="1"/>
        <v>38</v>
      </c>
      <c r="R26" s="28" t="s">
        <v>86</v>
      </c>
      <c r="S26" s="16">
        <f t="shared" ref="S26:AF26" si="18">SUM(S13:S18)</f>
        <v>49</v>
      </c>
      <c r="T26" s="16">
        <f t="shared" si="18"/>
        <v>7</v>
      </c>
      <c r="U26" s="16">
        <f t="shared" si="18"/>
        <v>69</v>
      </c>
      <c r="V26" s="16">
        <f t="shared" si="18"/>
        <v>47</v>
      </c>
      <c r="W26" s="16">
        <f t="shared" si="18"/>
        <v>1</v>
      </c>
      <c r="X26" s="16">
        <f t="shared" si="18"/>
        <v>1</v>
      </c>
      <c r="Y26" s="16">
        <f t="shared" si="18"/>
        <v>45</v>
      </c>
      <c r="Z26" s="16">
        <f t="shared" si="18"/>
        <v>6</v>
      </c>
      <c r="AA26" s="16">
        <f t="shared" si="18"/>
        <v>1</v>
      </c>
      <c r="AB26" s="16">
        <f t="shared" si="18"/>
        <v>0</v>
      </c>
      <c r="AC26" s="16">
        <f t="shared" si="18"/>
        <v>633</v>
      </c>
      <c r="AD26" s="16">
        <f t="shared" si="18"/>
        <v>2</v>
      </c>
      <c r="AE26" s="32">
        <f t="shared" si="18"/>
        <v>228</v>
      </c>
      <c r="AF26" s="32">
        <f t="shared" si="18"/>
        <v>861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3</v>
      </c>
      <c r="F27" s="50">
        <v>1</v>
      </c>
      <c r="G27" s="50">
        <v>1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32</v>
      </c>
      <c r="N27" s="50">
        <v>0</v>
      </c>
      <c r="O27" s="15">
        <f t="shared" si="0"/>
        <v>6</v>
      </c>
      <c r="P27" s="15">
        <f t="shared" si="1"/>
        <v>38</v>
      </c>
      <c r="R27" s="29" t="s">
        <v>87</v>
      </c>
      <c r="S27" s="16">
        <f t="shared" ref="S27:AF27" si="19">SUM(S19:S21)</f>
        <v>53</v>
      </c>
      <c r="T27" s="16">
        <f t="shared" si="19"/>
        <v>6</v>
      </c>
      <c r="U27" s="16">
        <f t="shared" si="19"/>
        <v>34</v>
      </c>
      <c r="V27" s="16">
        <f t="shared" si="19"/>
        <v>34</v>
      </c>
      <c r="W27" s="16">
        <f t="shared" si="19"/>
        <v>5</v>
      </c>
      <c r="X27" s="16">
        <f t="shared" si="19"/>
        <v>0</v>
      </c>
      <c r="Y27" s="16">
        <f t="shared" si="19"/>
        <v>21</v>
      </c>
      <c r="Z27" s="16">
        <f t="shared" si="19"/>
        <v>4</v>
      </c>
      <c r="AA27" s="16">
        <f t="shared" si="19"/>
        <v>0</v>
      </c>
      <c r="AB27" s="16">
        <f t="shared" si="19"/>
        <v>0</v>
      </c>
      <c r="AC27" s="16">
        <f t="shared" si="19"/>
        <v>224</v>
      </c>
      <c r="AD27" s="16">
        <f t="shared" si="19"/>
        <v>0</v>
      </c>
      <c r="AE27" s="32">
        <f t="shared" si="19"/>
        <v>157</v>
      </c>
      <c r="AF27" s="32">
        <f t="shared" si="19"/>
        <v>381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2</v>
      </c>
      <c r="F28" s="50">
        <v>1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33</v>
      </c>
      <c r="N28" s="50">
        <v>0</v>
      </c>
      <c r="O28" s="15">
        <f t="shared" si="0"/>
        <v>8</v>
      </c>
      <c r="P28" s="15">
        <f t="shared" si="1"/>
        <v>41</v>
      </c>
      <c r="R28" s="5" t="s">
        <v>17</v>
      </c>
      <c r="S28" s="16">
        <f t="shared" ref="S28:AF28" si="20">SUM(S10:S21)</f>
        <v>113</v>
      </c>
      <c r="T28" s="16">
        <f t="shared" si="20"/>
        <v>17</v>
      </c>
      <c r="U28" s="16">
        <f t="shared" si="20"/>
        <v>128</v>
      </c>
      <c r="V28" s="16">
        <f t="shared" si="20"/>
        <v>99</v>
      </c>
      <c r="W28" s="16">
        <f t="shared" si="20"/>
        <v>6</v>
      </c>
      <c r="X28" s="16">
        <f t="shared" si="20"/>
        <v>2</v>
      </c>
      <c r="Y28" s="16">
        <f t="shared" si="20"/>
        <v>70</v>
      </c>
      <c r="Z28" s="16">
        <f t="shared" si="20"/>
        <v>10</v>
      </c>
      <c r="AA28" s="16">
        <f t="shared" si="20"/>
        <v>1</v>
      </c>
      <c r="AB28" s="16">
        <f t="shared" si="20"/>
        <v>0</v>
      </c>
      <c r="AC28" s="16">
        <f t="shared" si="20"/>
        <v>1109</v>
      </c>
      <c r="AD28" s="16">
        <f t="shared" si="20"/>
        <v>3</v>
      </c>
      <c r="AE28" s="32">
        <f t="shared" si="20"/>
        <v>449</v>
      </c>
      <c r="AF28" s="32">
        <f t="shared" si="20"/>
        <v>1558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3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29</v>
      </c>
      <c r="N29" s="50">
        <v>0</v>
      </c>
      <c r="O29" s="15">
        <f t="shared" si="0"/>
        <v>4</v>
      </c>
      <c r="P29" s="15">
        <f t="shared" si="1"/>
        <v>33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1</v>
      </c>
      <c r="E30" s="50">
        <v>4</v>
      </c>
      <c r="F30" s="50">
        <v>4</v>
      </c>
      <c r="G30" s="50">
        <v>0</v>
      </c>
      <c r="H30" s="50">
        <v>0</v>
      </c>
      <c r="I30" s="50">
        <v>5</v>
      </c>
      <c r="J30" s="50">
        <v>0</v>
      </c>
      <c r="K30" s="50">
        <v>0</v>
      </c>
      <c r="L30" s="50">
        <v>0</v>
      </c>
      <c r="M30" s="50">
        <v>31</v>
      </c>
      <c r="N30" s="50">
        <v>0</v>
      </c>
      <c r="O30" s="15">
        <f t="shared" si="0"/>
        <v>14</v>
      </c>
      <c r="P30" s="15">
        <f t="shared" si="1"/>
        <v>45</v>
      </c>
    </row>
    <row r="31" spans="2:32" ht="23.1" customHeight="1" x14ac:dyDescent="0.25">
      <c r="B31" s="24" t="s">
        <v>58</v>
      </c>
      <c r="C31" s="50">
        <v>0</v>
      </c>
      <c r="D31" s="50">
        <v>1</v>
      </c>
      <c r="E31" s="50">
        <v>4</v>
      </c>
      <c r="F31" s="50">
        <v>3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20</v>
      </c>
      <c r="N31" s="50">
        <v>0</v>
      </c>
      <c r="O31" s="15">
        <f t="shared" si="0"/>
        <v>13</v>
      </c>
      <c r="P31" s="15">
        <f t="shared" si="1"/>
        <v>33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3</v>
      </c>
      <c r="F32" s="50">
        <v>0</v>
      </c>
      <c r="G32" s="50">
        <v>0</v>
      </c>
      <c r="H32" s="50">
        <v>0</v>
      </c>
      <c r="I32" s="50">
        <v>5</v>
      </c>
      <c r="J32" s="50">
        <v>1</v>
      </c>
      <c r="K32" s="50">
        <v>0</v>
      </c>
      <c r="L32" s="50">
        <v>0</v>
      </c>
      <c r="M32" s="50">
        <v>24</v>
      </c>
      <c r="N32" s="50">
        <v>2</v>
      </c>
      <c r="O32" s="15">
        <f t="shared" si="0"/>
        <v>12</v>
      </c>
      <c r="P32" s="15">
        <f t="shared" si="1"/>
        <v>36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27</v>
      </c>
      <c r="N33" s="50">
        <v>0</v>
      </c>
      <c r="O33" s="15">
        <f t="shared" si="0"/>
        <v>8</v>
      </c>
      <c r="P33" s="15">
        <f t="shared" si="1"/>
        <v>35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3</v>
      </c>
      <c r="F34" s="50">
        <v>3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35</v>
      </c>
      <c r="N34" s="50">
        <v>0</v>
      </c>
      <c r="O34" s="15">
        <f t="shared" si="0"/>
        <v>11</v>
      </c>
      <c r="P34" s="15">
        <f t="shared" si="1"/>
        <v>46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2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43</v>
      </c>
      <c r="N35" s="50">
        <v>0</v>
      </c>
      <c r="O35" s="15">
        <f t="shared" si="0"/>
        <v>8</v>
      </c>
      <c r="P35" s="15">
        <f t="shared" si="1"/>
        <v>51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3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5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3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1</v>
      </c>
      <c r="L37" s="50">
        <v>0</v>
      </c>
      <c r="M37" s="50">
        <v>27</v>
      </c>
      <c r="N37" s="50">
        <v>0</v>
      </c>
      <c r="O37" s="15">
        <f t="shared" si="0"/>
        <v>6</v>
      </c>
      <c r="P37" s="15">
        <f t="shared" si="1"/>
        <v>33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3</v>
      </c>
      <c r="J38" s="50">
        <v>1</v>
      </c>
      <c r="K38" s="50">
        <v>0</v>
      </c>
      <c r="L38" s="50">
        <v>0</v>
      </c>
      <c r="M38" s="50">
        <v>29</v>
      </c>
      <c r="N38" s="50">
        <v>0</v>
      </c>
      <c r="O38" s="15">
        <f t="shared" si="0"/>
        <v>10</v>
      </c>
      <c r="P38" s="15">
        <f t="shared" si="1"/>
        <v>39</v>
      </c>
    </row>
    <row r="39" spans="2:20" ht="23.1" customHeight="1" x14ac:dyDescent="0.25">
      <c r="B39" s="24" t="s">
        <v>66</v>
      </c>
      <c r="C39" s="50">
        <v>1</v>
      </c>
      <c r="D39" s="50">
        <v>1</v>
      </c>
      <c r="E39" s="50">
        <v>4</v>
      </c>
      <c r="F39" s="50">
        <v>5</v>
      </c>
      <c r="G39" s="50">
        <v>0</v>
      </c>
      <c r="H39" s="50">
        <v>0</v>
      </c>
      <c r="I39" s="50">
        <v>3</v>
      </c>
      <c r="J39" s="50">
        <v>1</v>
      </c>
      <c r="K39" s="50">
        <v>0</v>
      </c>
      <c r="L39" s="50">
        <v>0</v>
      </c>
      <c r="M39" s="50">
        <v>27</v>
      </c>
      <c r="N39" s="50">
        <v>0</v>
      </c>
      <c r="O39" s="15">
        <f t="shared" si="0"/>
        <v>15</v>
      </c>
      <c r="P39" s="15">
        <f t="shared" si="1"/>
        <v>42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3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20</v>
      </c>
      <c r="N40" s="50">
        <v>0</v>
      </c>
      <c r="O40" s="15">
        <f t="shared" si="0"/>
        <v>6</v>
      </c>
      <c r="P40" s="15">
        <f t="shared" si="1"/>
        <v>26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4</v>
      </c>
      <c r="F41" s="50">
        <v>4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18</v>
      </c>
      <c r="N41" s="50">
        <v>0</v>
      </c>
      <c r="O41" s="15">
        <f t="shared" si="0"/>
        <v>13</v>
      </c>
      <c r="P41" s="15">
        <f t="shared" si="1"/>
        <v>31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3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5</v>
      </c>
      <c r="P42" s="15">
        <f t="shared" si="1"/>
        <v>25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4</v>
      </c>
      <c r="F43" s="50">
        <v>4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30</v>
      </c>
      <c r="N43" s="50">
        <v>0</v>
      </c>
      <c r="O43" s="15">
        <f t="shared" si="0"/>
        <v>9</v>
      </c>
      <c r="P43" s="15">
        <f t="shared" si="1"/>
        <v>39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2</v>
      </c>
      <c r="F44" s="50">
        <v>3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29</v>
      </c>
      <c r="N44" s="50">
        <v>0</v>
      </c>
      <c r="O44" s="15">
        <f t="shared" si="0"/>
        <v>10</v>
      </c>
      <c r="P44" s="15">
        <f t="shared" si="1"/>
        <v>39</v>
      </c>
    </row>
    <row r="45" spans="2:20" ht="23.1" customHeight="1" x14ac:dyDescent="0.25">
      <c r="B45" s="23" t="s">
        <v>72</v>
      </c>
      <c r="C45" s="50">
        <v>3</v>
      </c>
      <c r="D45" s="50">
        <v>1</v>
      </c>
      <c r="E45" s="50">
        <v>4</v>
      </c>
      <c r="F45" s="50">
        <v>2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21</v>
      </c>
      <c r="N45" s="50">
        <v>0</v>
      </c>
      <c r="O45" s="15">
        <f t="shared" si="0"/>
        <v>12</v>
      </c>
      <c r="P45" s="15">
        <f t="shared" si="1"/>
        <v>33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2</v>
      </c>
      <c r="F46" s="50">
        <v>4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27</v>
      </c>
      <c r="N46" s="50">
        <v>0</v>
      </c>
      <c r="O46" s="15">
        <f t="shared" si="0"/>
        <v>8</v>
      </c>
      <c r="P46" s="15">
        <f t="shared" si="1"/>
        <v>35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1</v>
      </c>
      <c r="E47" s="50">
        <v>3</v>
      </c>
      <c r="F47" s="50">
        <v>2</v>
      </c>
      <c r="G47" s="50">
        <v>1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28</v>
      </c>
      <c r="N47" s="50">
        <v>0</v>
      </c>
      <c r="O47" s="15">
        <f t="shared" si="0"/>
        <v>15</v>
      </c>
      <c r="P47" s="15">
        <f t="shared" si="1"/>
        <v>43</v>
      </c>
      <c r="R47" s="8"/>
      <c r="T47"/>
    </row>
    <row r="48" spans="2:20" ht="23.1" customHeight="1" x14ac:dyDescent="0.25">
      <c r="B48" s="24" t="s">
        <v>75</v>
      </c>
      <c r="C48" s="50">
        <v>9</v>
      </c>
      <c r="D48" s="50">
        <v>1</v>
      </c>
      <c r="E48" s="50">
        <v>4</v>
      </c>
      <c r="F48" s="50">
        <v>2</v>
      </c>
      <c r="G48" s="50">
        <v>1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27</v>
      </c>
      <c r="N48" s="50">
        <v>0</v>
      </c>
      <c r="O48" s="15">
        <f t="shared" si="0"/>
        <v>22</v>
      </c>
      <c r="P48" s="15">
        <f t="shared" si="1"/>
        <v>49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1</v>
      </c>
      <c r="E49" s="50">
        <v>3</v>
      </c>
      <c r="F49" s="50">
        <v>3</v>
      </c>
      <c r="G49" s="50">
        <v>1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26</v>
      </c>
      <c r="N49" s="50">
        <v>0</v>
      </c>
      <c r="O49" s="15">
        <f t="shared" si="0"/>
        <v>14</v>
      </c>
      <c r="P49" s="15">
        <f t="shared" si="1"/>
        <v>40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1</v>
      </c>
      <c r="E50" s="50">
        <v>4</v>
      </c>
      <c r="F50" s="50">
        <v>5</v>
      </c>
      <c r="G50" s="50">
        <v>1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14</v>
      </c>
      <c r="N50" s="50">
        <v>0</v>
      </c>
      <c r="O50" s="15">
        <f t="shared" si="0"/>
        <v>17</v>
      </c>
      <c r="P50" s="15">
        <f t="shared" si="1"/>
        <v>31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1</v>
      </c>
      <c r="E51" s="50">
        <v>3</v>
      </c>
      <c r="F51" s="50">
        <v>3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15">
        <f t="shared" si="0"/>
        <v>8</v>
      </c>
      <c r="P51" s="15">
        <f t="shared" si="1"/>
        <v>8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2</v>
      </c>
      <c r="F52" s="50">
        <v>2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6</v>
      </c>
      <c r="N52" s="50">
        <v>0</v>
      </c>
      <c r="O52" s="15">
        <f t="shared" si="0"/>
        <v>8</v>
      </c>
      <c r="P52" s="15">
        <f t="shared" si="1"/>
        <v>14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0</v>
      </c>
      <c r="E53" s="50">
        <v>3</v>
      </c>
      <c r="F53" s="50">
        <v>1</v>
      </c>
      <c r="G53" s="50">
        <v>1</v>
      </c>
      <c r="H53" s="50">
        <v>0</v>
      </c>
      <c r="I53" s="50">
        <v>3</v>
      </c>
      <c r="J53" s="50">
        <v>2</v>
      </c>
      <c r="K53" s="50">
        <v>0</v>
      </c>
      <c r="L53" s="50">
        <v>0</v>
      </c>
      <c r="M53" s="50">
        <v>20</v>
      </c>
      <c r="N53" s="50">
        <v>0</v>
      </c>
      <c r="O53" s="15">
        <f t="shared" si="0"/>
        <v>16</v>
      </c>
      <c r="P53" s="15">
        <f t="shared" si="1"/>
        <v>36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0</v>
      </c>
      <c r="F54" s="50">
        <v>3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20</v>
      </c>
      <c r="N54" s="50">
        <v>0</v>
      </c>
      <c r="O54" s="15">
        <f t="shared" si="0"/>
        <v>7</v>
      </c>
      <c r="P54" s="15">
        <f t="shared" si="1"/>
        <v>27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0</v>
      </c>
      <c r="E55" s="50">
        <v>2</v>
      </c>
      <c r="F55" s="50">
        <v>5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10</v>
      </c>
      <c r="N55" s="50">
        <v>0</v>
      </c>
      <c r="O55" s="15">
        <f t="shared" si="0"/>
        <v>16</v>
      </c>
      <c r="P55" s="15">
        <f t="shared" si="1"/>
        <v>26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3</v>
      </c>
      <c r="F56" s="50">
        <v>0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18</v>
      </c>
      <c r="N56" s="50">
        <v>0</v>
      </c>
      <c r="O56" s="15">
        <f t="shared" si="0"/>
        <v>9</v>
      </c>
      <c r="P56" s="15">
        <f t="shared" si="1"/>
        <v>27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1</v>
      </c>
      <c r="E57" s="50">
        <v>5</v>
      </c>
      <c r="F57" s="50">
        <v>4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17</v>
      </c>
      <c r="P57" s="15">
        <f t="shared" si="1"/>
        <v>45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113</v>
      </c>
      <c r="D58" s="16">
        <f t="shared" si="21"/>
        <v>17</v>
      </c>
      <c r="E58" s="16">
        <f t="shared" si="21"/>
        <v>128</v>
      </c>
      <c r="F58" s="16">
        <f t="shared" si="21"/>
        <v>99</v>
      </c>
      <c r="G58" s="16">
        <f t="shared" si="21"/>
        <v>6</v>
      </c>
      <c r="H58" s="16">
        <f t="shared" si="21"/>
        <v>2</v>
      </c>
      <c r="I58" s="16">
        <f t="shared" si="21"/>
        <v>70</v>
      </c>
      <c r="J58" s="16">
        <f t="shared" si="21"/>
        <v>10</v>
      </c>
      <c r="K58" s="16">
        <f t="shared" si="21"/>
        <v>1</v>
      </c>
      <c r="L58" s="16">
        <f t="shared" si="21"/>
        <v>0</v>
      </c>
      <c r="M58" s="16">
        <f t="shared" si="21"/>
        <v>1109</v>
      </c>
      <c r="N58" s="16">
        <f t="shared" si="21"/>
        <v>3</v>
      </c>
      <c r="O58" s="16">
        <f t="shared" si="21"/>
        <v>449</v>
      </c>
      <c r="P58" s="16">
        <f t="shared" si="21"/>
        <v>1558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7.2528883183568676E-2</v>
      </c>
      <c r="D59" s="43">
        <f t="shared" si="22"/>
        <v>1.0911424903722721E-2</v>
      </c>
      <c r="E59" s="43">
        <f t="shared" si="22"/>
        <v>8.2156611039794603E-2</v>
      </c>
      <c r="F59" s="43">
        <f t="shared" si="22"/>
        <v>6.3543003851091143E-2</v>
      </c>
      <c r="G59" s="43">
        <f t="shared" si="22"/>
        <v>3.8510911424903724E-3</v>
      </c>
      <c r="H59" s="43">
        <f t="shared" si="22"/>
        <v>1.2836970474967907E-3</v>
      </c>
      <c r="I59" s="43">
        <f t="shared" si="22"/>
        <v>4.4929396662387676E-2</v>
      </c>
      <c r="J59" s="43">
        <f t="shared" si="22"/>
        <v>6.4184852374839542E-3</v>
      </c>
      <c r="K59" s="43">
        <f t="shared" si="22"/>
        <v>6.4184852374839533E-4</v>
      </c>
      <c r="L59" s="43">
        <f t="shared" si="22"/>
        <v>0</v>
      </c>
      <c r="M59" s="43">
        <f t="shared" si="22"/>
        <v>0.71181001283697043</v>
      </c>
      <c r="N59" s="43">
        <f t="shared" si="22"/>
        <v>1.9255455712451862E-3</v>
      </c>
      <c r="R59" s="8"/>
      <c r="T59"/>
    </row>
    <row r="60" spans="2:20" ht="23.1" customHeight="1" x14ac:dyDescent="0.25">
      <c r="B60" s="42" t="s">
        <v>94</v>
      </c>
      <c r="C60" s="44">
        <f>C58/$O$58</f>
        <v>0.2516703786191537</v>
      </c>
      <c r="D60" s="44">
        <f t="shared" ref="D60:N60" si="23">D58/$O$58</f>
        <v>3.7861915367483297E-2</v>
      </c>
      <c r="E60" s="44">
        <f t="shared" si="23"/>
        <v>0.28507795100222716</v>
      </c>
      <c r="F60" s="44">
        <f t="shared" si="23"/>
        <v>0.22048997772828507</v>
      </c>
      <c r="G60" s="44">
        <f t="shared" si="23"/>
        <v>1.3363028953229399E-2</v>
      </c>
      <c r="H60" s="44">
        <f t="shared" si="23"/>
        <v>4.4543429844097994E-3</v>
      </c>
      <c r="I60" s="44">
        <f t="shared" si="23"/>
        <v>0.15590200445434299</v>
      </c>
      <c r="J60" s="44">
        <f t="shared" si="23"/>
        <v>2.2271714922048998E-2</v>
      </c>
      <c r="K60" s="44">
        <f t="shared" si="23"/>
        <v>2.2271714922048997E-3</v>
      </c>
      <c r="L60" s="44">
        <f t="shared" si="23"/>
        <v>0</v>
      </c>
      <c r="M60" s="44"/>
      <c r="N60" s="44">
        <f t="shared" si="23"/>
        <v>6.6815144766146995E-3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12" sqref="D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Malaba-Tororo'!C3:G3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'12.08 Malaba-Tororo'!D5</f>
        <v>12.08.19</v>
      </c>
      <c r="E5" s="3"/>
      <c r="F5" s="41" t="s">
        <v>1</v>
      </c>
      <c r="G5" s="60" t="str">
        <f>'12.08 Malaba-Tororo'!G5:H5</f>
        <v>xxx</v>
      </c>
      <c r="H5" s="61"/>
      <c r="I5" s="14"/>
      <c r="J5" s="2" t="s">
        <v>5</v>
      </c>
      <c r="K5" s="60" t="str">
        <f>'12.08 Malaba-Tororo'!K5:L5</f>
        <v>xxx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165</v>
      </c>
      <c r="E6" s="55"/>
      <c r="F6" s="2" t="s">
        <v>2</v>
      </c>
      <c r="G6" s="54" t="s">
        <v>164</v>
      </c>
      <c r="H6" s="55"/>
      <c r="J6" s="2" t="s">
        <v>21</v>
      </c>
      <c r="K6" s="60" t="str">
        <f>'12.08 Malaba-Tororo'!K6:L6</f>
        <v>xxx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3</v>
      </c>
      <c r="V10" s="17">
        <f t="shared" si="2"/>
        <v>4</v>
      </c>
      <c r="W10" s="17">
        <f t="shared" si="2"/>
        <v>1</v>
      </c>
      <c r="X10" s="17">
        <f t="shared" si="2"/>
        <v>0</v>
      </c>
      <c r="Y10" s="17">
        <f t="shared" si="2"/>
        <v>1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59</v>
      </c>
      <c r="AD10" s="17">
        <f t="shared" si="2"/>
        <v>0</v>
      </c>
      <c r="AE10" s="31">
        <f t="shared" si="2"/>
        <v>16</v>
      </c>
      <c r="AF10" s="31">
        <f t="shared" si="2"/>
        <v>75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14</v>
      </c>
      <c r="N11" s="50">
        <v>0</v>
      </c>
      <c r="O11" s="15">
        <f t="shared" si="0"/>
        <v>3</v>
      </c>
      <c r="P11" s="15">
        <f t="shared" si="1"/>
        <v>17</v>
      </c>
      <c r="R11" s="1" t="s">
        <v>7</v>
      </c>
      <c r="S11" s="17">
        <f t="shared" ref="S11:AF11" si="3">SUM(C14:C17)</f>
        <v>8</v>
      </c>
      <c r="T11" s="17">
        <f t="shared" si="3"/>
        <v>0</v>
      </c>
      <c r="U11" s="17">
        <f t="shared" si="3"/>
        <v>2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96</v>
      </c>
      <c r="AD11" s="17">
        <f t="shared" si="3"/>
        <v>0</v>
      </c>
      <c r="AE11" s="31">
        <f t="shared" si="3"/>
        <v>15</v>
      </c>
      <c r="AF11" s="31">
        <f t="shared" si="3"/>
        <v>111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15</v>
      </c>
      <c r="N12" s="50">
        <v>0</v>
      </c>
      <c r="O12" s="15">
        <f t="shared" si="0"/>
        <v>7</v>
      </c>
      <c r="P12" s="15">
        <f t="shared" si="1"/>
        <v>22</v>
      </c>
      <c r="R12" s="1" t="s">
        <v>8</v>
      </c>
      <c r="S12" s="17">
        <f t="shared" ref="S12:AF12" si="4">SUM(C18:C21)</f>
        <v>4</v>
      </c>
      <c r="T12" s="17">
        <f t="shared" si="4"/>
        <v>1</v>
      </c>
      <c r="U12" s="17">
        <f t="shared" si="4"/>
        <v>12</v>
      </c>
      <c r="V12" s="17">
        <f t="shared" si="4"/>
        <v>10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93</v>
      </c>
      <c r="AD12" s="17">
        <f t="shared" si="4"/>
        <v>0</v>
      </c>
      <c r="AE12" s="31">
        <f t="shared" si="4"/>
        <v>28</v>
      </c>
      <c r="AF12" s="31">
        <f t="shared" si="4"/>
        <v>121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1</v>
      </c>
      <c r="G13" s="50">
        <v>1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24</v>
      </c>
      <c r="N13" s="50">
        <v>0</v>
      </c>
      <c r="O13" s="15">
        <f t="shared" si="0"/>
        <v>4</v>
      </c>
      <c r="P13" s="15">
        <f t="shared" si="1"/>
        <v>28</v>
      </c>
      <c r="R13" s="1" t="s">
        <v>9</v>
      </c>
      <c r="S13" s="17">
        <f t="shared" ref="S13:AF13" si="5">SUM(C22:C25)</f>
        <v>9</v>
      </c>
      <c r="T13" s="17">
        <f t="shared" si="5"/>
        <v>1</v>
      </c>
      <c r="U13" s="17">
        <f t="shared" si="5"/>
        <v>7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113</v>
      </c>
      <c r="AD13" s="17">
        <f t="shared" si="5"/>
        <v>0</v>
      </c>
      <c r="AE13" s="31">
        <f t="shared" si="5"/>
        <v>23</v>
      </c>
      <c r="AF13" s="31">
        <f t="shared" si="5"/>
        <v>136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29</v>
      </c>
      <c r="N14" s="50">
        <v>0</v>
      </c>
      <c r="O14" s="15">
        <f t="shared" si="0"/>
        <v>4</v>
      </c>
      <c r="P14" s="15">
        <f t="shared" si="1"/>
        <v>33</v>
      </c>
      <c r="R14" s="1" t="s">
        <v>10</v>
      </c>
      <c r="S14" s="17">
        <f t="shared" ref="S14:AF14" si="6">SUM(C26:C29)</f>
        <v>13</v>
      </c>
      <c r="T14" s="17">
        <f t="shared" si="6"/>
        <v>1</v>
      </c>
      <c r="U14" s="17">
        <f t="shared" si="6"/>
        <v>12</v>
      </c>
      <c r="V14" s="17">
        <f t="shared" si="6"/>
        <v>9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104</v>
      </c>
      <c r="AD14" s="17">
        <f t="shared" si="6"/>
        <v>0</v>
      </c>
      <c r="AE14" s="31">
        <f t="shared" si="6"/>
        <v>39</v>
      </c>
      <c r="AF14" s="31">
        <f t="shared" si="6"/>
        <v>143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28</v>
      </c>
      <c r="N15" s="50">
        <v>0</v>
      </c>
      <c r="O15" s="15">
        <f t="shared" si="0"/>
        <v>3</v>
      </c>
      <c r="P15" s="15">
        <f t="shared" si="1"/>
        <v>31</v>
      </c>
      <c r="R15" s="1" t="s">
        <v>11</v>
      </c>
      <c r="S15" s="17">
        <f t="shared" ref="S15:AF15" si="7">SUM(C30:C33)</f>
        <v>10</v>
      </c>
      <c r="T15" s="17">
        <f t="shared" si="7"/>
        <v>0</v>
      </c>
      <c r="U15" s="17">
        <f t="shared" si="7"/>
        <v>7</v>
      </c>
      <c r="V15" s="17">
        <f t="shared" si="7"/>
        <v>11</v>
      </c>
      <c r="W15" s="17">
        <f t="shared" si="7"/>
        <v>1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110</v>
      </c>
      <c r="AD15" s="17">
        <f t="shared" si="7"/>
        <v>0</v>
      </c>
      <c r="AE15" s="31">
        <f t="shared" si="7"/>
        <v>29</v>
      </c>
      <c r="AF15" s="31">
        <f t="shared" si="7"/>
        <v>139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24</v>
      </c>
      <c r="N16" s="50">
        <v>0</v>
      </c>
      <c r="O16" s="15">
        <f t="shared" si="0"/>
        <v>3</v>
      </c>
      <c r="P16" s="15">
        <f t="shared" si="1"/>
        <v>27</v>
      </c>
      <c r="R16" s="1" t="s">
        <v>12</v>
      </c>
      <c r="S16" s="17">
        <f t="shared" ref="S16:AF16" si="8">SUM(C34:C37)</f>
        <v>6</v>
      </c>
      <c r="T16" s="17">
        <f t="shared" si="8"/>
        <v>0</v>
      </c>
      <c r="U16" s="17">
        <f t="shared" si="8"/>
        <v>4</v>
      </c>
      <c r="V16" s="17">
        <f t="shared" si="8"/>
        <v>10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84</v>
      </c>
      <c r="AD16" s="17">
        <f t="shared" si="8"/>
        <v>0</v>
      </c>
      <c r="AE16" s="31">
        <f t="shared" si="8"/>
        <v>27</v>
      </c>
      <c r="AF16" s="31">
        <f t="shared" si="8"/>
        <v>111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1</v>
      </c>
      <c r="F17" s="50">
        <v>1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5</v>
      </c>
      <c r="P17" s="15">
        <f t="shared" si="1"/>
        <v>20</v>
      </c>
      <c r="R17" s="1" t="s">
        <v>13</v>
      </c>
      <c r="S17" s="17">
        <f t="shared" ref="S17:AF17" si="9">SUM(C38:C41)</f>
        <v>10</v>
      </c>
      <c r="T17" s="17">
        <f t="shared" si="9"/>
        <v>1</v>
      </c>
      <c r="U17" s="17">
        <f t="shared" si="9"/>
        <v>9</v>
      </c>
      <c r="V17" s="17">
        <f t="shared" si="9"/>
        <v>10</v>
      </c>
      <c r="W17" s="17">
        <f t="shared" si="9"/>
        <v>1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95</v>
      </c>
      <c r="AD17" s="17">
        <f t="shared" si="9"/>
        <v>0</v>
      </c>
      <c r="AE17" s="31">
        <f t="shared" si="9"/>
        <v>34</v>
      </c>
      <c r="AF17" s="31">
        <f t="shared" si="9"/>
        <v>129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3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20</v>
      </c>
      <c r="N18" s="50">
        <v>0</v>
      </c>
      <c r="O18" s="15">
        <f t="shared" si="0"/>
        <v>6</v>
      </c>
      <c r="P18" s="15">
        <f t="shared" si="1"/>
        <v>26</v>
      </c>
      <c r="R18" s="1" t="s">
        <v>14</v>
      </c>
      <c r="S18" s="17">
        <f t="shared" ref="S18:AF18" si="10">SUM(C42:C45)</f>
        <v>8</v>
      </c>
      <c r="T18" s="17">
        <f t="shared" si="10"/>
        <v>0</v>
      </c>
      <c r="U18" s="17">
        <f t="shared" si="10"/>
        <v>2</v>
      </c>
      <c r="V18" s="17">
        <f t="shared" si="10"/>
        <v>8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91</v>
      </c>
      <c r="AD18" s="17">
        <f t="shared" si="10"/>
        <v>0</v>
      </c>
      <c r="AE18" s="31">
        <f t="shared" si="10"/>
        <v>22</v>
      </c>
      <c r="AF18" s="31">
        <f t="shared" si="10"/>
        <v>113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2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23</v>
      </c>
      <c r="N19" s="50">
        <v>0</v>
      </c>
      <c r="O19" s="15">
        <f t="shared" si="0"/>
        <v>6</v>
      </c>
      <c r="P19" s="15">
        <f t="shared" si="1"/>
        <v>29</v>
      </c>
      <c r="R19" s="1" t="s">
        <v>15</v>
      </c>
      <c r="S19" s="17">
        <f t="shared" ref="S19:AF19" si="11">SUM(C46:C49)</f>
        <v>19</v>
      </c>
      <c r="T19" s="17">
        <f t="shared" si="11"/>
        <v>1</v>
      </c>
      <c r="U19" s="17">
        <f t="shared" si="11"/>
        <v>8</v>
      </c>
      <c r="V19" s="17">
        <f t="shared" si="11"/>
        <v>13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105</v>
      </c>
      <c r="AD19" s="17">
        <f t="shared" si="11"/>
        <v>0</v>
      </c>
      <c r="AE19" s="31">
        <f t="shared" si="11"/>
        <v>48</v>
      </c>
      <c r="AF19" s="31">
        <f t="shared" si="11"/>
        <v>153</v>
      </c>
    </row>
    <row r="20" spans="2:32" ht="23.1" customHeight="1" x14ac:dyDescent="0.25">
      <c r="B20" s="23" t="s">
        <v>47</v>
      </c>
      <c r="C20" s="50">
        <v>1</v>
      </c>
      <c r="D20" s="50">
        <v>1</v>
      </c>
      <c r="E20" s="50">
        <v>4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30</v>
      </c>
      <c r="N20" s="50">
        <v>0</v>
      </c>
      <c r="O20" s="15">
        <f t="shared" si="0"/>
        <v>7</v>
      </c>
      <c r="P20" s="15">
        <f t="shared" si="1"/>
        <v>37</v>
      </c>
      <c r="R20" s="1" t="s">
        <v>16</v>
      </c>
      <c r="S20" s="17">
        <f t="shared" ref="S20:AF20" si="12">SUM(C50:C53)</f>
        <v>16</v>
      </c>
      <c r="T20" s="17">
        <f t="shared" si="12"/>
        <v>0</v>
      </c>
      <c r="U20" s="17">
        <f t="shared" si="12"/>
        <v>7</v>
      </c>
      <c r="V20" s="17">
        <f t="shared" si="12"/>
        <v>9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46</v>
      </c>
      <c r="AD20" s="17">
        <f t="shared" si="12"/>
        <v>0</v>
      </c>
      <c r="AE20" s="31">
        <f t="shared" si="12"/>
        <v>37</v>
      </c>
      <c r="AF20" s="31">
        <f t="shared" si="12"/>
        <v>83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3</v>
      </c>
      <c r="F21" s="50">
        <v>5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20</v>
      </c>
      <c r="N21" s="50">
        <v>0</v>
      </c>
      <c r="O21" s="15">
        <f t="shared" si="0"/>
        <v>9</v>
      </c>
      <c r="P21" s="15">
        <f t="shared" si="1"/>
        <v>29</v>
      </c>
      <c r="R21" s="36" t="s">
        <v>20</v>
      </c>
      <c r="S21" s="34">
        <f t="shared" ref="S21:AF21" si="13">SUM(C54:C57)</f>
        <v>17</v>
      </c>
      <c r="T21" s="17">
        <f t="shared" si="13"/>
        <v>0</v>
      </c>
      <c r="U21" s="17">
        <f t="shared" si="13"/>
        <v>6</v>
      </c>
      <c r="V21" s="17">
        <f t="shared" si="13"/>
        <v>13</v>
      </c>
      <c r="W21" s="17">
        <f t="shared" si="13"/>
        <v>1</v>
      </c>
      <c r="X21" s="17">
        <f t="shared" si="13"/>
        <v>2</v>
      </c>
      <c r="Y21" s="17">
        <f t="shared" si="13"/>
        <v>3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77</v>
      </c>
      <c r="AD21" s="17">
        <f t="shared" si="13"/>
        <v>0</v>
      </c>
      <c r="AE21" s="31">
        <f t="shared" si="13"/>
        <v>43</v>
      </c>
      <c r="AF21" s="31">
        <f t="shared" si="13"/>
        <v>120</v>
      </c>
    </row>
    <row r="22" spans="2:32" ht="23.1" customHeight="1" x14ac:dyDescent="0.25">
      <c r="B22" s="23" t="s">
        <v>49</v>
      </c>
      <c r="C22" s="50">
        <v>1</v>
      </c>
      <c r="D22" s="50">
        <v>1</v>
      </c>
      <c r="E22" s="50">
        <v>6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35</v>
      </c>
      <c r="N22" s="50">
        <v>0</v>
      </c>
      <c r="O22" s="15">
        <f t="shared" si="0"/>
        <v>9</v>
      </c>
      <c r="P22" s="15">
        <f t="shared" si="1"/>
        <v>44</v>
      </c>
      <c r="R22" s="38" t="s">
        <v>90</v>
      </c>
      <c r="S22" s="39">
        <f>MAX(S10:S12)</f>
        <v>8</v>
      </c>
      <c r="T22" s="39">
        <f t="shared" ref="T22:AF22" si="14">MAX(T10:T12)</f>
        <v>1</v>
      </c>
      <c r="U22" s="39">
        <f t="shared" si="14"/>
        <v>12</v>
      </c>
      <c r="V22" s="39">
        <f t="shared" si="14"/>
        <v>10</v>
      </c>
      <c r="W22" s="39">
        <f t="shared" si="14"/>
        <v>1</v>
      </c>
      <c r="X22" s="39">
        <f t="shared" si="14"/>
        <v>0</v>
      </c>
      <c r="Y22" s="39">
        <f t="shared" si="14"/>
        <v>1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96</v>
      </c>
      <c r="AD22" s="39">
        <f t="shared" si="14"/>
        <v>0</v>
      </c>
      <c r="AE22" s="40">
        <f t="shared" si="14"/>
        <v>28</v>
      </c>
      <c r="AF22" s="40">
        <f t="shared" si="14"/>
        <v>121</v>
      </c>
    </row>
    <row r="23" spans="2:32" ht="23.1" customHeight="1" x14ac:dyDescent="0.25">
      <c r="B23" s="23" t="s">
        <v>50</v>
      </c>
      <c r="C23" s="50">
        <v>4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24</v>
      </c>
      <c r="N23" s="50">
        <v>0</v>
      </c>
      <c r="O23" s="15">
        <f t="shared" si="0"/>
        <v>7</v>
      </c>
      <c r="P23" s="15">
        <f t="shared" si="1"/>
        <v>31</v>
      </c>
      <c r="R23" s="38" t="s">
        <v>91</v>
      </c>
      <c r="S23" s="39">
        <f>MAX(S13:S18)</f>
        <v>13</v>
      </c>
      <c r="T23" s="39">
        <f t="shared" ref="T23:AF23" si="15">MAX(T13:T18)</f>
        <v>1</v>
      </c>
      <c r="U23" s="39">
        <f t="shared" si="15"/>
        <v>12</v>
      </c>
      <c r="V23" s="39">
        <f t="shared" si="15"/>
        <v>11</v>
      </c>
      <c r="W23" s="39">
        <f t="shared" si="15"/>
        <v>1</v>
      </c>
      <c r="X23" s="39">
        <f t="shared" si="15"/>
        <v>0</v>
      </c>
      <c r="Y23" s="39">
        <f t="shared" si="15"/>
        <v>7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113</v>
      </c>
      <c r="AD23" s="39">
        <f t="shared" si="15"/>
        <v>0</v>
      </c>
      <c r="AE23" s="40">
        <f t="shared" si="15"/>
        <v>39</v>
      </c>
      <c r="AF23" s="40">
        <f t="shared" si="15"/>
        <v>143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29</v>
      </c>
      <c r="N24" s="50">
        <v>0</v>
      </c>
      <c r="O24" s="15">
        <f t="shared" si="0"/>
        <v>3</v>
      </c>
      <c r="P24" s="15">
        <f t="shared" si="1"/>
        <v>32</v>
      </c>
      <c r="R24" s="38" t="s">
        <v>92</v>
      </c>
      <c r="S24" s="39">
        <f>MAX(S19:S21)</f>
        <v>19</v>
      </c>
      <c r="T24" s="39">
        <f t="shared" ref="T24:AF24" si="16">MAX(T19:T21)</f>
        <v>1</v>
      </c>
      <c r="U24" s="39">
        <f t="shared" si="16"/>
        <v>8</v>
      </c>
      <c r="V24" s="39">
        <f t="shared" si="16"/>
        <v>13</v>
      </c>
      <c r="W24" s="39">
        <f t="shared" si="16"/>
        <v>1</v>
      </c>
      <c r="X24" s="39">
        <f t="shared" si="16"/>
        <v>2</v>
      </c>
      <c r="Y24" s="39">
        <f t="shared" si="16"/>
        <v>6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105</v>
      </c>
      <c r="AD24" s="39">
        <f t="shared" si="16"/>
        <v>0</v>
      </c>
      <c r="AE24" s="40">
        <f t="shared" si="16"/>
        <v>48</v>
      </c>
      <c r="AF24" s="40">
        <f t="shared" si="16"/>
        <v>153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25</v>
      </c>
      <c r="N25" s="50">
        <v>0</v>
      </c>
      <c r="O25" s="15">
        <f t="shared" si="0"/>
        <v>4</v>
      </c>
      <c r="P25" s="15">
        <f t="shared" si="1"/>
        <v>29</v>
      </c>
      <c r="R25" s="37" t="s">
        <v>85</v>
      </c>
      <c r="S25" s="35">
        <f t="shared" ref="S25:AF25" si="17">SUM(S10:S12)</f>
        <v>18</v>
      </c>
      <c r="T25" s="16">
        <f t="shared" si="17"/>
        <v>1</v>
      </c>
      <c r="U25" s="16">
        <f t="shared" si="17"/>
        <v>17</v>
      </c>
      <c r="V25" s="16">
        <f t="shared" si="17"/>
        <v>18</v>
      </c>
      <c r="W25" s="16">
        <f t="shared" si="17"/>
        <v>1</v>
      </c>
      <c r="X25" s="16">
        <f t="shared" si="17"/>
        <v>0</v>
      </c>
      <c r="Y25" s="16">
        <f t="shared" si="17"/>
        <v>2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248</v>
      </c>
      <c r="AD25" s="16">
        <f t="shared" si="17"/>
        <v>0</v>
      </c>
      <c r="AE25" s="32">
        <f t="shared" si="17"/>
        <v>59</v>
      </c>
      <c r="AF25" s="32">
        <f t="shared" si="17"/>
        <v>307</v>
      </c>
    </row>
    <row r="26" spans="2:32" ht="23.1" customHeight="1" x14ac:dyDescent="0.25">
      <c r="B26" s="23" t="s">
        <v>53</v>
      </c>
      <c r="C26" s="50">
        <v>1</v>
      </c>
      <c r="D26" s="50">
        <v>1</v>
      </c>
      <c r="E26" s="50">
        <v>4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31</v>
      </c>
      <c r="N26" s="50">
        <v>0</v>
      </c>
      <c r="O26" s="15">
        <f t="shared" si="0"/>
        <v>7</v>
      </c>
      <c r="P26" s="15">
        <f t="shared" si="1"/>
        <v>38</v>
      </c>
      <c r="R26" s="28" t="s">
        <v>86</v>
      </c>
      <c r="S26" s="16">
        <f t="shared" ref="S26:AF26" si="18">SUM(S13:S18)</f>
        <v>56</v>
      </c>
      <c r="T26" s="16">
        <f t="shared" si="18"/>
        <v>3</v>
      </c>
      <c r="U26" s="16">
        <f t="shared" si="18"/>
        <v>41</v>
      </c>
      <c r="V26" s="16">
        <f t="shared" si="18"/>
        <v>52</v>
      </c>
      <c r="W26" s="16">
        <f t="shared" si="18"/>
        <v>2</v>
      </c>
      <c r="X26" s="16">
        <f t="shared" si="18"/>
        <v>0</v>
      </c>
      <c r="Y26" s="16">
        <f t="shared" si="18"/>
        <v>19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597</v>
      </c>
      <c r="AD26" s="16">
        <f t="shared" si="18"/>
        <v>0</v>
      </c>
      <c r="AE26" s="32">
        <f t="shared" si="18"/>
        <v>174</v>
      </c>
      <c r="AF26" s="32">
        <f t="shared" si="18"/>
        <v>771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3</v>
      </c>
      <c r="F27" s="50">
        <v>4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24</v>
      </c>
      <c r="N27" s="50">
        <v>0</v>
      </c>
      <c r="O27" s="15">
        <f t="shared" si="0"/>
        <v>13</v>
      </c>
      <c r="P27" s="15">
        <f t="shared" si="1"/>
        <v>37</v>
      </c>
      <c r="R27" s="29" t="s">
        <v>87</v>
      </c>
      <c r="S27" s="16">
        <f t="shared" ref="S27:AF27" si="19">SUM(S19:S21)</f>
        <v>52</v>
      </c>
      <c r="T27" s="16">
        <f t="shared" si="19"/>
        <v>1</v>
      </c>
      <c r="U27" s="16">
        <f t="shared" si="19"/>
        <v>21</v>
      </c>
      <c r="V27" s="16">
        <f t="shared" si="19"/>
        <v>35</v>
      </c>
      <c r="W27" s="16">
        <f t="shared" si="19"/>
        <v>1</v>
      </c>
      <c r="X27" s="16">
        <f t="shared" si="19"/>
        <v>2</v>
      </c>
      <c r="Y27" s="16">
        <f t="shared" si="19"/>
        <v>14</v>
      </c>
      <c r="Z27" s="16">
        <f t="shared" si="19"/>
        <v>1</v>
      </c>
      <c r="AA27" s="16">
        <f t="shared" si="19"/>
        <v>1</v>
      </c>
      <c r="AB27" s="16">
        <f t="shared" si="19"/>
        <v>0</v>
      </c>
      <c r="AC27" s="16">
        <f t="shared" si="19"/>
        <v>228</v>
      </c>
      <c r="AD27" s="16">
        <f t="shared" si="19"/>
        <v>0</v>
      </c>
      <c r="AE27" s="32">
        <f t="shared" si="19"/>
        <v>128</v>
      </c>
      <c r="AF27" s="32">
        <f t="shared" si="19"/>
        <v>356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3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25</v>
      </c>
      <c r="N28" s="50">
        <v>0</v>
      </c>
      <c r="O28" s="15">
        <f t="shared" si="0"/>
        <v>10</v>
      </c>
      <c r="P28" s="15">
        <f t="shared" si="1"/>
        <v>35</v>
      </c>
      <c r="R28" s="5" t="s">
        <v>17</v>
      </c>
      <c r="S28" s="16">
        <f t="shared" ref="S28:AF28" si="20">SUM(S10:S21)</f>
        <v>126</v>
      </c>
      <c r="T28" s="16">
        <f t="shared" si="20"/>
        <v>5</v>
      </c>
      <c r="U28" s="16">
        <f t="shared" si="20"/>
        <v>79</v>
      </c>
      <c r="V28" s="16">
        <f t="shared" si="20"/>
        <v>105</v>
      </c>
      <c r="W28" s="16">
        <f t="shared" si="20"/>
        <v>4</v>
      </c>
      <c r="X28" s="16">
        <f t="shared" si="20"/>
        <v>2</v>
      </c>
      <c r="Y28" s="16">
        <f t="shared" si="20"/>
        <v>35</v>
      </c>
      <c r="Z28" s="16">
        <f t="shared" si="20"/>
        <v>4</v>
      </c>
      <c r="AA28" s="16">
        <f t="shared" si="20"/>
        <v>1</v>
      </c>
      <c r="AB28" s="16">
        <f t="shared" si="20"/>
        <v>0</v>
      </c>
      <c r="AC28" s="16">
        <f t="shared" si="20"/>
        <v>1073</v>
      </c>
      <c r="AD28" s="16">
        <f t="shared" si="20"/>
        <v>0</v>
      </c>
      <c r="AE28" s="32">
        <f t="shared" si="20"/>
        <v>361</v>
      </c>
      <c r="AF28" s="32">
        <f t="shared" si="20"/>
        <v>1434</v>
      </c>
    </row>
    <row r="29" spans="2:32" ht="23.1" customHeight="1" x14ac:dyDescent="0.25">
      <c r="B29" s="23" t="s">
        <v>56</v>
      </c>
      <c r="C29" s="50">
        <v>4</v>
      </c>
      <c r="D29" s="50">
        <v>0</v>
      </c>
      <c r="E29" s="50">
        <v>2</v>
      </c>
      <c r="F29" s="50">
        <v>2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24</v>
      </c>
      <c r="N29" s="50">
        <v>0</v>
      </c>
      <c r="O29" s="15">
        <f t="shared" si="0"/>
        <v>9</v>
      </c>
      <c r="P29" s="15">
        <f t="shared" si="1"/>
        <v>33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1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34</v>
      </c>
      <c r="N30" s="50">
        <v>0</v>
      </c>
      <c r="O30" s="15">
        <f t="shared" si="0"/>
        <v>5</v>
      </c>
      <c r="P30" s="15">
        <f t="shared" si="1"/>
        <v>39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2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30</v>
      </c>
      <c r="N31" s="50">
        <v>0</v>
      </c>
      <c r="O31" s="15">
        <f t="shared" si="0"/>
        <v>3</v>
      </c>
      <c r="P31" s="15">
        <f t="shared" si="1"/>
        <v>33</v>
      </c>
    </row>
    <row r="32" spans="2:32" ht="23.1" customHeight="1" x14ac:dyDescent="0.25">
      <c r="B32" s="24" t="s">
        <v>59</v>
      </c>
      <c r="C32" s="50">
        <v>5</v>
      </c>
      <c r="D32" s="50">
        <v>0</v>
      </c>
      <c r="E32" s="50">
        <v>2</v>
      </c>
      <c r="F32" s="50">
        <v>3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23</v>
      </c>
      <c r="N32" s="50">
        <v>0</v>
      </c>
      <c r="O32" s="15">
        <f t="shared" si="0"/>
        <v>10</v>
      </c>
      <c r="P32" s="15">
        <f t="shared" si="1"/>
        <v>33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2</v>
      </c>
      <c r="F33" s="50">
        <v>5</v>
      </c>
      <c r="G33" s="50">
        <v>1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23</v>
      </c>
      <c r="N33" s="50">
        <v>0</v>
      </c>
      <c r="O33" s="15">
        <f t="shared" si="0"/>
        <v>11</v>
      </c>
      <c r="P33" s="15">
        <f t="shared" si="1"/>
        <v>34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2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18</v>
      </c>
      <c r="N34" s="50">
        <v>0</v>
      </c>
      <c r="O34" s="15">
        <f t="shared" si="0"/>
        <v>5</v>
      </c>
      <c r="P34" s="15">
        <f t="shared" si="1"/>
        <v>23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3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26</v>
      </c>
      <c r="N35" s="50">
        <v>0</v>
      </c>
      <c r="O35" s="15">
        <f t="shared" si="0"/>
        <v>5</v>
      </c>
      <c r="P35" s="15">
        <f t="shared" si="1"/>
        <v>31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1</v>
      </c>
      <c r="F36" s="50">
        <v>3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17</v>
      </c>
      <c r="N36" s="50">
        <v>0</v>
      </c>
      <c r="O36" s="15">
        <f t="shared" si="0"/>
        <v>7</v>
      </c>
      <c r="P36" s="15">
        <f t="shared" si="1"/>
        <v>24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2</v>
      </c>
      <c r="F37" s="50">
        <v>2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23</v>
      </c>
      <c r="N37" s="50">
        <v>0</v>
      </c>
      <c r="O37" s="15">
        <f t="shared" si="0"/>
        <v>10</v>
      </c>
      <c r="P37" s="15">
        <f t="shared" si="1"/>
        <v>33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26</v>
      </c>
      <c r="N38" s="50">
        <v>0</v>
      </c>
      <c r="O38" s="15">
        <f t="shared" si="0"/>
        <v>3</v>
      </c>
      <c r="P38" s="15">
        <f t="shared" si="1"/>
        <v>29</v>
      </c>
    </row>
    <row r="39" spans="2:20" ht="23.1" customHeight="1" x14ac:dyDescent="0.25">
      <c r="B39" s="24" t="s">
        <v>66</v>
      </c>
      <c r="C39" s="50">
        <v>2</v>
      </c>
      <c r="D39" s="50">
        <v>1</v>
      </c>
      <c r="E39" s="50">
        <v>4</v>
      </c>
      <c r="F39" s="50">
        <v>6</v>
      </c>
      <c r="G39" s="50">
        <v>1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17</v>
      </c>
      <c r="N39" s="50">
        <v>0</v>
      </c>
      <c r="O39" s="15">
        <f t="shared" si="0"/>
        <v>16</v>
      </c>
      <c r="P39" s="15">
        <f t="shared" si="1"/>
        <v>33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2</v>
      </c>
      <c r="F40" s="50">
        <v>3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33</v>
      </c>
      <c r="N40" s="50">
        <v>0</v>
      </c>
      <c r="O40" s="15">
        <f t="shared" si="0"/>
        <v>9</v>
      </c>
      <c r="P40" s="15">
        <f t="shared" si="1"/>
        <v>42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2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19</v>
      </c>
      <c r="N41" s="50">
        <v>0</v>
      </c>
      <c r="O41" s="15">
        <f t="shared" si="0"/>
        <v>6</v>
      </c>
      <c r="P41" s="15">
        <f t="shared" si="1"/>
        <v>25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1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22</v>
      </c>
      <c r="N42" s="50">
        <v>0</v>
      </c>
      <c r="O42" s="15">
        <f t="shared" si="0"/>
        <v>5</v>
      </c>
      <c r="P42" s="15">
        <f t="shared" si="1"/>
        <v>27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29</v>
      </c>
      <c r="N43" s="50">
        <v>0</v>
      </c>
      <c r="O43" s="15">
        <f t="shared" si="0"/>
        <v>8</v>
      </c>
      <c r="P43" s="15">
        <f t="shared" si="1"/>
        <v>37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4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21</v>
      </c>
      <c r="N44" s="50">
        <v>0</v>
      </c>
      <c r="O44" s="15">
        <f t="shared" si="0"/>
        <v>6</v>
      </c>
      <c r="P44" s="15">
        <f t="shared" si="1"/>
        <v>27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19</v>
      </c>
      <c r="N45" s="50">
        <v>0</v>
      </c>
      <c r="O45" s="15">
        <f t="shared" si="0"/>
        <v>3</v>
      </c>
      <c r="P45" s="15">
        <f t="shared" si="1"/>
        <v>22</v>
      </c>
    </row>
    <row r="46" spans="2:20" ht="23.1" customHeight="1" x14ac:dyDescent="0.25">
      <c r="B46" s="24" t="s">
        <v>73</v>
      </c>
      <c r="C46" s="50">
        <v>5</v>
      </c>
      <c r="D46" s="50">
        <v>1</v>
      </c>
      <c r="E46" s="50">
        <v>4</v>
      </c>
      <c r="F46" s="50">
        <v>2</v>
      </c>
      <c r="G46" s="50">
        <v>0</v>
      </c>
      <c r="H46" s="50">
        <v>0</v>
      </c>
      <c r="I46" s="50">
        <v>4</v>
      </c>
      <c r="J46" s="50">
        <v>0</v>
      </c>
      <c r="K46" s="50">
        <v>0</v>
      </c>
      <c r="L46" s="50">
        <v>0</v>
      </c>
      <c r="M46" s="50">
        <v>29</v>
      </c>
      <c r="N46" s="50">
        <v>0</v>
      </c>
      <c r="O46" s="15">
        <f t="shared" si="0"/>
        <v>16</v>
      </c>
      <c r="P46" s="15">
        <f t="shared" si="1"/>
        <v>45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0</v>
      </c>
      <c r="E47" s="50">
        <v>0</v>
      </c>
      <c r="F47" s="50">
        <v>3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28</v>
      </c>
      <c r="N47" s="50">
        <v>0</v>
      </c>
      <c r="O47" s="15">
        <f t="shared" si="0"/>
        <v>9</v>
      </c>
      <c r="P47" s="15">
        <f t="shared" si="1"/>
        <v>37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3</v>
      </c>
      <c r="F48" s="50">
        <v>4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23</v>
      </c>
      <c r="N48" s="50">
        <v>0</v>
      </c>
      <c r="O48" s="15">
        <f t="shared" si="0"/>
        <v>13</v>
      </c>
      <c r="P48" s="15">
        <f t="shared" si="1"/>
        <v>36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1</v>
      </c>
      <c r="F49" s="50">
        <v>4</v>
      </c>
      <c r="G49" s="50">
        <v>0</v>
      </c>
      <c r="H49" s="50">
        <v>0</v>
      </c>
      <c r="I49" s="50">
        <v>0</v>
      </c>
      <c r="J49" s="50">
        <v>0</v>
      </c>
      <c r="K49" s="50">
        <v>1</v>
      </c>
      <c r="L49" s="50">
        <v>0</v>
      </c>
      <c r="M49" s="50">
        <v>25</v>
      </c>
      <c r="N49" s="50">
        <v>0</v>
      </c>
      <c r="O49" s="15">
        <f t="shared" si="0"/>
        <v>10</v>
      </c>
      <c r="P49" s="15">
        <f t="shared" si="1"/>
        <v>35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1</v>
      </c>
      <c r="F50" s="50">
        <v>2</v>
      </c>
      <c r="G50" s="50">
        <v>0</v>
      </c>
      <c r="H50" s="50">
        <v>0</v>
      </c>
      <c r="I50" s="50">
        <v>5</v>
      </c>
      <c r="J50" s="50">
        <v>0</v>
      </c>
      <c r="K50" s="50">
        <v>0</v>
      </c>
      <c r="L50" s="50">
        <v>0</v>
      </c>
      <c r="M50" s="50">
        <v>17</v>
      </c>
      <c r="N50" s="50">
        <v>0</v>
      </c>
      <c r="O50" s="15">
        <f t="shared" si="0"/>
        <v>11</v>
      </c>
      <c r="P50" s="15">
        <f t="shared" si="1"/>
        <v>28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0</v>
      </c>
      <c r="E51" s="50">
        <v>3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9</v>
      </c>
      <c r="P51" s="15">
        <f t="shared" si="1"/>
        <v>10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0</v>
      </c>
      <c r="E52" s="50">
        <v>2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6</v>
      </c>
      <c r="N52" s="50">
        <v>0</v>
      </c>
      <c r="O52" s="15">
        <f t="shared" si="0"/>
        <v>9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1</v>
      </c>
      <c r="F53" s="50">
        <v>4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22</v>
      </c>
      <c r="N53" s="50">
        <v>0</v>
      </c>
      <c r="O53" s="15">
        <f t="shared" si="0"/>
        <v>8</v>
      </c>
      <c r="P53" s="15">
        <f t="shared" si="1"/>
        <v>30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0</v>
      </c>
      <c r="E54" s="50">
        <v>1</v>
      </c>
      <c r="F54" s="50">
        <v>4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25</v>
      </c>
      <c r="N54" s="50">
        <v>0</v>
      </c>
      <c r="O54" s="15">
        <f t="shared" si="0"/>
        <v>15</v>
      </c>
      <c r="P54" s="15">
        <f t="shared" si="1"/>
        <v>40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0</v>
      </c>
      <c r="E55" s="50">
        <v>1</v>
      </c>
      <c r="F55" s="50">
        <v>5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28</v>
      </c>
      <c r="N55" s="50">
        <v>0</v>
      </c>
      <c r="O55" s="15">
        <f t="shared" si="0"/>
        <v>12</v>
      </c>
      <c r="P55" s="15">
        <f t="shared" si="1"/>
        <v>40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3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8</v>
      </c>
      <c r="N56" s="50">
        <v>0</v>
      </c>
      <c r="O56" s="15">
        <f t="shared" si="0"/>
        <v>7</v>
      </c>
      <c r="P56" s="15">
        <f t="shared" si="1"/>
        <v>15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1</v>
      </c>
      <c r="F57" s="50">
        <v>3</v>
      </c>
      <c r="G57" s="50">
        <v>1</v>
      </c>
      <c r="H57" s="50">
        <v>2</v>
      </c>
      <c r="I57" s="50">
        <v>1</v>
      </c>
      <c r="J57" s="50">
        <v>0</v>
      </c>
      <c r="K57" s="50">
        <v>0</v>
      </c>
      <c r="L57" s="50">
        <v>0</v>
      </c>
      <c r="M57" s="50">
        <v>16</v>
      </c>
      <c r="N57" s="50">
        <v>0</v>
      </c>
      <c r="O57" s="15">
        <f t="shared" si="0"/>
        <v>9</v>
      </c>
      <c r="P57" s="15">
        <f t="shared" si="1"/>
        <v>25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126</v>
      </c>
      <c r="D58" s="16">
        <f t="shared" si="21"/>
        <v>5</v>
      </c>
      <c r="E58" s="16">
        <f t="shared" si="21"/>
        <v>79</v>
      </c>
      <c r="F58" s="16">
        <f t="shared" si="21"/>
        <v>105</v>
      </c>
      <c r="G58" s="16">
        <f t="shared" si="21"/>
        <v>4</v>
      </c>
      <c r="H58" s="16">
        <f t="shared" si="21"/>
        <v>2</v>
      </c>
      <c r="I58" s="16">
        <f t="shared" si="21"/>
        <v>35</v>
      </c>
      <c r="J58" s="16">
        <f t="shared" si="21"/>
        <v>4</v>
      </c>
      <c r="K58" s="16">
        <f t="shared" si="21"/>
        <v>1</v>
      </c>
      <c r="L58" s="16">
        <f t="shared" si="21"/>
        <v>0</v>
      </c>
      <c r="M58" s="16">
        <f t="shared" si="21"/>
        <v>1073</v>
      </c>
      <c r="N58" s="16">
        <f t="shared" si="21"/>
        <v>0</v>
      </c>
      <c r="O58" s="16">
        <f t="shared" si="21"/>
        <v>361</v>
      </c>
      <c r="P58" s="16">
        <f t="shared" si="21"/>
        <v>1434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8.7866108786610872E-2</v>
      </c>
      <c r="D59" s="43">
        <f t="shared" si="22"/>
        <v>3.4867503486750349E-3</v>
      </c>
      <c r="E59" s="43">
        <f t="shared" si="22"/>
        <v>5.5090655509065549E-2</v>
      </c>
      <c r="F59" s="43">
        <f t="shared" si="22"/>
        <v>7.3221757322175729E-2</v>
      </c>
      <c r="G59" s="43">
        <f t="shared" si="22"/>
        <v>2.7894002789400278E-3</v>
      </c>
      <c r="H59" s="43">
        <f t="shared" si="22"/>
        <v>1.3947001394700139E-3</v>
      </c>
      <c r="I59" s="43">
        <f t="shared" si="22"/>
        <v>2.4407252440725245E-2</v>
      </c>
      <c r="J59" s="43">
        <f t="shared" si="22"/>
        <v>2.7894002789400278E-3</v>
      </c>
      <c r="K59" s="43">
        <f t="shared" si="22"/>
        <v>6.9735006973500695E-4</v>
      </c>
      <c r="L59" s="43">
        <f t="shared" si="22"/>
        <v>0</v>
      </c>
      <c r="M59" s="43">
        <f t="shared" si="22"/>
        <v>0.74825662482566246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0.34903047091412742</v>
      </c>
      <c r="D60" s="44">
        <f t="shared" ref="D60:N60" si="23">D58/$O$58</f>
        <v>1.3850415512465374E-2</v>
      </c>
      <c r="E60" s="44">
        <f t="shared" si="23"/>
        <v>0.2188365650969529</v>
      </c>
      <c r="F60" s="44">
        <f t="shared" si="23"/>
        <v>0.29085872576177285</v>
      </c>
      <c r="G60" s="44">
        <f t="shared" si="23"/>
        <v>1.1080332409972299E-2</v>
      </c>
      <c r="H60" s="44">
        <f t="shared" si="23"/>
        <v>5.5401662049861496E-3</v>
      </c>
      <c r="I60" s="44">
        <f t="shared" si="23"/>
        <v>9.6952908587257622E-2</v>
      </c>
      <c r="J60" s="44">
        <f t="shared" si="23"/>
        <v>1.1080332409972299E-2</v>
      </c>
      <c r="K60" s="44">
        <f t="shared" si="23"/>
        <v>2.7700831024930748E-3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Malaba-Tororo'!C3:G3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3" t="str">
        <f>'12.08 Malaba-Tororo'!G5:H5</f>
        <v>xxx</v>
      </c>
      <c r="H5" s="64"/>
      <c r="I5" s="14"/>
      <c r="J5" s="2" t="s">
        <v>5</v>
      </c>
      <c r="K5" s="63" t="str">
        <f>'12.08 Malaba-Tororo'!K5:L5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Malaba-Tororo'!D6:E6</f>
        <v>Malaba</v>
      </c>
      <c r="E6" s="64"/>
      <c r="F6" s="2" t="s">
        <v>2</v>
      </c>
      <c r="G6" s="63" t="str">
        <f>'12.08 Malaba-Tororo'!G6:H6</f>
        <v>Tororo</v>
      </c>
      <c r="H6" s="64"/>
      <c r="J6" s="2" t="s">
        <v>21</v>
      </c>
      <c r="K6" s="63" t="str">
        <f>'12.08 Malaba-Tororo'!K6:L6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1</v>
      </c>
      <c r="G10" s="50">
        <v>0</v>
      </c>
      <c r="H10" s="50">
        <v>1</v>
      </c>
      <c r="I10" s="50">
        <v>0</v>
      </c>
      <c r="J10" s="50">
        <v>0</v>
      </c>
      <c r="K10" s="50">
        <v>0</v>
      </c>
      <c r="L10" s="50">
        <v>0</v>
      </c>
      <c r="M10" s="50">
        <v>15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18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2</v>
      </c>
      <c r="V10" s="17">
        <f t="shared" si="2"/>
        <v>5</v>
      </c>
      <c r="W10" s="17">
        <f t="shared" si="2"/>
        <v>0</v>
      </c>
      <c r="X10" s="17">
        <f t="shared" si="2"/>
        <v>2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69</v>
      </c>
      <c r="AD10" s="17">
        <f t="shared" si="2"/>
        <v>0</v>
      </c>
      <c r="AE10" s="31">
        <f t="shared" si="2"/>
        <v>16</v>
      </c>
      <c r="AF10" s="31">
        <f t="shared" si="2"/>
        <v>85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1</v>
      </c>
      <c r="G11" s="50">
        <v>0</v>
      </c>
      <c r="H11" s="50">
        <v>1</v>
      </c>
      <c r="I11" s="50">
        <v>1</v>
      </c>
      <c r="J11" s="50">
        <v>0</v>
      </c>
      <c r="K11" s="50">
        <v>0</v>
      </c>
      <c r="L11" s="50">
        <v>0</v>
      </c>
      <c r="M11" s="50">
        <v>20</v>
      </c>
      <c r="N11" s="50">
        <v>0</v>
      </c>
      <c r="O11" s="15">
        <f t="shared" si="0"/>
        <v>5</v>
      </c>
      <c r="P11" s="15">
        <f t="shared" si="1"/>
        <v>25</v>
      </c>
      <c r="R11" s="1" t="s">
        <v>7</v>
      </c>
      <c r="S11" s="17">
        <f t="shared" ref="S11:AF11" si="3">SUM(C14:C17)</f>
        <v>7</v>
      </c>
      <c r="T11" s="17">
        <f t="shared" si="3"/>
        <v>0</v>
      </c>
      <c r="U11" s="17">
        <f t="shared" si="3"/>
        <v>7</v>
      </c>
      <c r="V11" s="17">
        <f t="shared" si="3"/>
        <v>7</v>
      </c>
      <c r="W11" s="17">
        <f t="shared" si="3"/>
        <v>0</v>
      </c>
      <c r="X11" s="17">
        <f t="shared" si="3"/>
        <v>1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94</v>
      </c>
      <c r="AD11" s="17">
        <f t="shared" si="3"/>
        <v>0</v>
      </c>
      <c r="AE11" s="31">
        <f t="shared" si="3"/>
        <v>26</v>
      </c>
      <c r="AF11" s="31">
        <f t="shared" si="3"/>
        <v>120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13</v>
      </c>
      <c r="N12" s="50">
        <v>0</v>
      </c>
      <c r="O12" s="15">
        <f t="shared" si="0"/>
        <v>5</v>
      </c>
      <c r="P12" s="15">
        <f t="shared" si="1"/>
        <v>18</v>
      </c>
      <c r="R12" s="1" t="s">
        <v>8</v>
      </c>
      <c r="S12" s="17">
        <f t="shared" ref="S12:AF12" si="4">SUM(C18:C21)</f>
        <v>12</v>
      </c>
      <c r="T12" s="17">
        <f t="shared" si="4"/>
        <v>0</v>
      </c>
      <c r="U12" s="17">
        <f t="shared" si="4"/>
        <v>7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116</v>
      </c>
      <c r="AD12" s="17">
        <f t="shared" si="4"/>
        <v>0</v>
      </c>
      <c r="AE12" s="31">
        <f t="shared" si="4"/>
        <v>31</v>
      </c>
      <c r="AF12" s="31">
        <f t="shared" si="4"/>
        <v>147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21</v>
      </c>
      <c r="N13" s="50">
        <v>0</v>
      </c>
      <c r="O13" s="15">
        <f t="shared" si="0"/>
        <v>3</v>
      </c>
      <c r="P13" s="15">
        <f t="shared" si="1"/>
        <v>24</v>
      </c>
      <c r="R13" s="1" t="s">
        <v>9</v>
      </c>
      <c r="S13" s="17">
        <f t="shared" ref="S13:AF13" si="5">SUM(C22:C25)</f>
        <v>11</v>
      </c>
      <c r="T13" s="17">
        <f t="shared" si="5"/>
        <v>1</v>
      </c>
      <c r="U13" s="17">
        <f t="shared" si="5"/>
        <v>11</v>
      </c>
      <c r="V13" s="17">
        <f t="shared" si="5"/>
        <v>9</v>
      </c>
      <c r="W13" s="17">
        <f t="shared" si="5"/>
        <v>2</v>
      </c>
      <c r="X13" s="17">
        <f t="shared" si="5"/>
        <v>0</v>
      </c>
      <c r="Y13" s="17">
        <f t="shared" si="5"/>
        <v>4</v>
      </c>
      <c r="Z13" s="17">
        <f t="shared" si="5"/>
        <v>17</v>
      </c>
      <c r="AA13" s="17">
        <f t="shared" si="5"/>
        <v>0</v>
      </c>
      <c r="AB13" s="17">
        <f t="shared" si="5"/>
        <v>0</v>
      </c>
      <c r="AC13" s="17">
        <f t="shared" si="5"/>
        <v>129</v>
      </c>
      <c r="AD13" s="17">
        <f t="shared" si="5"/>
        <v>0</v>
      </c>
      <c r="AE13" s="31">
        <f t="shared" si="5"/>
        <v>55</v>
      </c>
      <c r="AF13" s="31">
        <f t="shared" si="5"/>
        <v>184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3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20</v>
      </c>
      <c r="N14" s="50">
        <v>0</v>
      </c>
      <c r="O14" s="15">
        <f t="shared" si="0"/>
        <v>8</v>
      </c>
      <c r="P14" s="15">
        <f t="shared" si="1"/>
        <v>28</v>
      </c>
      <c r="R14" s="1" t="s">
        <v>10</v>
      </c>
      <c r="S14" s="17">
        <f t="shared" ref="S14:AF14" si="6">SUM(C26:C29)</f>
        <v>8</v>
      </c>
      <c r="T14" s="17">
        <f t="shared" si="6"/>
        <v>1</v>
      </c>
      <c r="U14" s="17">
        <f t="shared" si="6"/>
        <v>9</v>
      </c>
      <c r="V14" s="17">
        <f t="shared" si="6"/>
        <v>8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99</v>
      </c>
      <c r="AD14" s="17">
        <f t="shared" si="6"/>
        <v>0</v>
      </c>
      <c r="AE14" s="31">
        <f t="shared" si="6"/>
        <v>35</v>
      </c>
      <c r="AF14" s="31">
        <f t="shared" si="6"/>
        <v>134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1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24</v>
      </c>
      <c r="N15" s="50">
        <v>0</v>
      </c>
      <c r="O15" s="15">
        <f t="shared" si="0"/>
        <v>7</v>
      </c>
      <c r="P15" s="15">
        <f t="shared" si="1"/>
        <v>31</v>
      </c>
      <c r="R15" s="1" t="s">
        <v>11</v>
      </c>
      <c r="S15" s="17">
        <f t="shared" ref="S15:AF15" si="7">SUM(C30:C33)</f>
        <v>7</v>
      </c>
      <c r="T15" s="17">
        <f t="shared" si="7"/>
        <v>0</v>
      </c>
      <c r="U15" s="17">
        <f t="shared" si="7"/>
        <v>8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104</v>
      </c>
      <c r="AD15" s="17">
        <f t="shared" si="7"/>
        <v>0</v>
      </c>
      <c r="AE15" s="31">
        <f t="shared" si="7"/>
        <v>30</v>
      </c>
      <c r="AF15" s="31">
        <f t="shared" si="7"/>
        <v>134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2</v>
      </c>
      <c r="F16" s="50">
        <v>1</v>
      </c>
      <c r="G16" s="50">
        <v>0</v>
      </c>
      <c r="H16" s="50">
        <v>1</v>
      </c>
      <c r="I16" s="50">
        <v>1</v>
      </c>
      <c r="J16" s="50">
        <v>0</v>
      </c>
      <c r="K16" s="50">
        <v>0</v>
      </c>
      <c r="L16" s="50">
        <v>0</v>
      </c>
      <c r="M16" s="50">
        <v>20</v>
      </c>
      <c r="N16" s="50">
        <v>0</v>
      </c>
      <c r="O16" s="15">
        <f t="shared" si="0"/>
        <v>6</v>
      </c>
      <c r="P16" s="15">
        <f t="shared" si="1"/>
        <v>26</v>
      </c>
      <c r="R16" s="1" t="s">
        <v>12</v>
      </c>
      <c r="S16" s="17">
        <f t="shared" ref="S16:AF16" si="8">SUM(C34:C37)</f>
        <v>11</v>
      </c>
      <c r="T16" s="17">
        <f t="shared" si="8"/>
        <v>3</v>
      </c>
      <c r="U16" s="17">
        <f t="shared" si="8"/>
        <v>17</v>
      </c>
      <c r="V16" s="17">
        <f t="shared" si="8"/>
        <v>10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3</v>
      </c>
      <c r="AA16" s="17">
        <f t="shared" si="8"/>
        <v>2</v>
      </c>
      <c r="AB16" s="17">
        <f t="shared" si="8"/>
        <v>0</v>
      </c>
      <c r="AC16" s="17">
        <f t="shared" si="8"/>
        <v>100</v>
      </c>
      <c r="AD16" s="17">
        <f t="shared" si="8"/>
        <v>0</v>
      </c>
      <c r="AE16" s="31">
        <f t="shared" si="8"/>
        <v>53</v>
      </c>
      <c r="AF16" s="31">
        <f t="shared" si="8"/>
        <v>153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1</v>
      </c>
      <c r="F17" s="50">
        <v>2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30</v>
      </c>
      <c r="N17" s="50">
        <v>0</v>
      </c>
      <c r="O17" s="15">
        <f t="shared" si="0"/>
        <v>5</v>
      </c>
      <c r="P17" s="15">
        <f t="shared" si="1"/>
        <v>35</v>
      </c>
      <c r="R17" s="1" t="s">
        <v>13</v>
      </c>
      <c r="S17" s="17">
        <f t="shared" ref="S17:AF17" si="9">SUM(C38:C41)</f>
        <v>5</v>
      </c>
      <c r="T17" s="17">
        <f t="shared" si="9"/>
        <v>1</v>
      </c>
      <c r="U17" s="17">
        <f t="shared" si="9"/>
        <v>13</v>
      </c>
      <c r="V17" s="17">
        <f t="shared" si="9"/>
        <v>9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96</v>
      </c>
      <c r="AD17" s="17">
        <f t="shared" si="9"/>
        <v>0</v>
      </c>
      <c r="AE17" s="31">
        <f t="shared" si="9"/>
        <v>36</v>
      </c>
      <c r="AF17" s="31">
        <f t="shared" si="9"/>
        <v>132</v>
      </c>
    </row>
    <row r="18" spans="2:32" ht="23.1" customHeight="1" x14ac:dyDescent="0.25">
      <c r="B18" s="23" t="s">
        <v>45</v>
      </c>
      <c r="C18" s="50">
        <v>6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26</v>
      </c>
      <c r="N18" s="50">
        <v>0</v>
      </c>
      <c r="O18" s="15">
        <f t="shared" si="0"/>
        <v>8</v>
      </c>
      <c r="P18" s="15">
        <f t="shared" si="1"/>
        <v>34</v>
      </c>
      <c r="R18" s="1" t="s">
        <v>14</v>
      </c>
      <c r="S18" s="17">
        <f t="shared" ref="S18:AF18" si="10">SUM(C42:C45)</f>
        <v>12</v>
      </c>
      <c r="T18" s="17">
        <f t="shared" si="10"/>
        <v>1</v>
      </c>
      <c r="U18" s="17">
        <f t="shared" si="10"/>
        <v>10</v>
      </c>
      <c r="V18" s="17">
        <f t="shared" si="10"/>
        <v>6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114</v>
      </c>
      <c r="AD18" s="17">
        <f t="shared" si="10"/>
        <v>0</v>
      </c>
      <c r="AE18" s="31">
        <f t="shared" si="10"/>
        <v>36</v>
      </c>
      <c r="AF18" s="31">
        <f t="shared" si="10"/>
        <v>150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3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23</v>
      </c>
      <c r="N19" s="50">
        <v>0</v>
      </c>
      <c r="O19" s="15">
        <f t="shared" si="0"/>
        <v>6</v>
      </c>
      <c r="P19" s="15">
        <f t="shared" si="1"/>
        <v>29</v>
      </c>
      <c r="R19" s="1" t="s">
        <v>15</v>
      </c>
      <c r="S19" s="17">
        <f t="shared" ref="S19:AF19" si="11">SUM(C46:C49)</f>
        <v>12</v>
      </c>
      <c r="T19" s="17">
        <f t="shared" si="11"/>
        <v>2</v>
      </c>
      <c r="U19" s="17">
        <f t="shared" si="11"/>
        <v>15</v>
      </c>
      <c r="V19" s="17">
        <f t="shared" si="11"/>
        <v>12</v>
      </c>
      <c r="W19" s="17">
        <f t="shared" si="11"/>
        <v>1</v>
      </c>
      <c r="X19" s="17">
        <f t="shared" si="11"/>
        <v>0</v>
      </c>
      <c r="Y19" s="17">
        <f t="shared" si="11"/>
        <v>6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107</v>
      </c>
      <c r="AD19" s="17">
        <f t="shared" si="11"/>
        <v>0</v>
      </c>
      <c r="AE19" s="31">
        <f t="shared" si="11"/>
        <v>48</v>
      </c>
      <c r="AF19" s="31">
        <f t="shared" si="11"/>
        <v>155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3</v>
      </c>
      <c r="F20" s="50">
        <v>3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41</v>
      </c>
      <c r="N20" s="50">
        <v>0</v>
      </c>
      <c r="O20" s="15">
        <f t="shared" si="0"/>
        <v>10</v>
      </c>
      <c r="P20" s="15">
        <f t="shared" si="1"/>
        <v>51</v>
      </c>
      <c r="R20" s="1" t="s">
        <v>16</v>
      </c>
      <c r="S20" s="17">
        <f t="shared" ref="S20:AF20" si="12">SUM(C50:C53)</f>
        <v>11</v>
      </c>
      <c r="T20" s="17">
        <f t="shared" si="12"/>
        <v>2</v>
      </c>
      <c r="U20" s="17">
        <f t="shared" si="12"/>
        <v>15</v>
      </c>
      <c r="V20" s="17">
        <f t="shared" si="12"/>
        <v>14</v>
      </c>
      <c r="W20" s="17">
        <f t="shared" si="12"/>
        <v>1</v>
      </c>
      <c r="X20" s="17">
        <f t="shared" si="12"/>
        <v>0</v>
      </c>
      <c r="Y20" s="17">
        <f t="shared" si="12"/>
        <v>5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89</v>
      </c>
      <c r="AD20" s="17">
        <f t="shared" si="12"/>
        <v>1</v>
      </c>
      <c r="AE20" s="31">
        <f t="shared" si="12"/>
        <v>50</v>
      </c>
      <c r="AF20" s="31">
        <f t="shared" si="12"/>
        <v>139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1</v>
      </c>
      <c r="F21" s="50">
        <v>2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26</v>
      </c>
      <c r="N21" s="50">
        <v>0</v>
      </c>
      <c r="O21" s="15">
        <f t="shared" si="0"/>
        <v>7</v>
      </c>
      <c r="P21" s="15">
        <f t="shared" si="1"/>
        <v>33</v>
      </c>
      <c r="R21" s="36" t="s">
        <v>20</v>
      </c>
      <c r="S21" s="34">
        <f t="shared" ref="S21:AF21" si="13">SUM(C54:C57)</f>
        <v>25</v>
      </c>
      <c r="T21" s="17">
        <f t="shared" si="13"/>
        <v>3</v>
      </c>
      <c r="U21" s="17">
        <f t="shared" si="13"/>
        <v>17</v>
      </c>
      <c r="V21" s="17">
        <f t="shared" si="13"/>
        <v>8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119</v>
      </c>
      <c r="AD21" s="17">
        <f t="shared" si="13"/>
        <v>0</v>
      </c>
      <c r="AE21" s="31">
        <f t="shared" si="13"/>
        <v>61</v>
      </c>
      <c r="AF21" s="31">
        <f t="shared" si="13"/>
        <v>180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2</v>
      </c>
      <c r="F22" s="50">
        <v>2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39</v>
      </c>
      <c r="N22" s="50">
        <v>0</v>
      </c>
      <c r="O22" s="15">
        <f t="shared" si="0"/>
        <v>6</v>
      </c>
      <c r="P22" s="15">
        <f t="shared" si="1"/>
        <v>45</v>
      </c>
      <c r="R22" s="38" t="s">
        <v>90</v>
      </c>
      <c r="S22" s="39">
        <f>MAX(S10:S12)</f>
        <v>12</v>
      </c>
      <c r="T22" s="39">
        <f t="shared" ref="T22:AF22" si="14">MAX(T10:T12)</f>
        <v>0</v>
      </c>
      <c r="U22" s="39">
        <f t="shared" si="14"/>
        <v>7</v>
      </c>
      <c r="V22" s="39">
        <f t="shared" si="14"/>
        <v>7</v>
      </c>
      <c r="W22" s="39">
        <f t="shared" si="14"/>
        <v>0</v>
      </c>
      <c r="X22" s="39">
        <f t="shared" si="14"/>
        <v>2</v>
      </c>
      <c r="Y22" s="39">
        <f t="shared" si="14"/>
        <v>5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116</v>
      </c>
      <c r="AD22" s="39">
        <f t="shared" si="14"/>
        <v>0</v>
      </c>
      <c r="AE22" s="40">
        <f t="shared" si="14"/>
        <v>31</v>
      </c>
      <c r="AF22" s="40">
        <f t="shared" si="14"/>
        <v>147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2</v>
      </c>
      <c r="F23" s="50">
        <v>4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42</v>
      </c>
      <c r="N23" s="50">
        <v>0</v>
      </c>
      <c r="O23" s="15">
        <f t="shared" si="0"/>
        <v>12</v>
      </c>
      <c r="P23" s="15">
        <f t="shared" si="1"/>
        <v>54</v>
      </c>
      <c r="R23" s="38" t="s">
        <v>91</v>
      </c>
      <c r="S23" s="39">
        <f>MAX(S13:S18)</f>
        <v>12</v>
      </c>
      <c r="T23" s="39">
        <f t="shared" ref="T23:AF23" si="15">MAX(T13:T18)</f>
        <v>3</v>
      </c>
      <c r="U23" s="39">
        <f t="shared" si="15"/>
        <v>17</v>
      </c>
      <c r="V23" s="39">
        <f t="shared" si="15"/>
        <v>10</v>
      </c>
      <c r="W23" s="39">
        <f t="shared" si="15"/>
        <v>2</v>
      </c>
      <c r="X23" s="39">
        <f t="shared" si="15"/>
        <v>0</v>
      </c>
      <c r="Y23" s="39">
        <f t="shared" si="15"/>
        <v>9</v>
      </c>
      <c r="Z23" s="39">
        <f t="shared" si="15"/>
        <v>17</v>
      </c>
      <c r="AA23" s="39">
        <f t="shared" si="15"/>
        <v>2</v>
      </c>
      <c r="AB23" s="39">
        <f t="shared" si="15"/>
        <v>0</v>
      </c>
      <c r="AC23" s="39">
        <f t="shared" si="15"/>
        <v>129</v>
      </c>
      <c r="AD23" s="39">
        <f t="shared" si="15"/>
        <v>0</v>
      </c>
      <c r="AE23" s="40">
        <f t="shared" si="15"/>
        <v>55</v>
      </c>
      <c r="AF23" s="40">
        <f t="shared" si="15"/>
        <v>184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1</v>
      </c>
      <c r="F24" s="50">
        <v>2</v>
      </c>
      <c r="G24" s="50">
        <v>1</v>
      </c>
      <c r="H24" s="50">
        <v>0</v>
      </c>
      <c r="I24" s="50">
        <v>0</v>
      </c>
      <c r="J24" s="50">
        <v>17</v>
      </c>
      <c r="K24" s="50">
        <v>0</v>
      </c>
      <c r="L24" s="50">
        <v>0</v>
      </c>
      <c r="M24" s="50">
        <v>26</v>
      </c>
      <c r="N24" s="50">
        <v>0</v>
      </c>
      <c r="O24" s="15">
        <f t="shared" si="0"/>
        <v>25</v>
      </c>
      <c r="P24" s="15">
        <f t="shared" si="1"/>
        <v>51</v>
      </c>
      <c r="R24" s="38" t="s">
        <v>92</v>
      </c>
      <c r="S24" s="39">
        <f>MAX(S19:S21)</f>
        <v>25</v>
      </c>
      <c r="T24" s="39">
        <f t="shared" ref="T24:AF24" si="16">MAX(T19:T21)</f>
        <v>3</v>
      </c>
      <c r="U24" s="39">
        <f t="shared" si="16"/>
        <v>17</v>
      </c>
      <c r="V24" s="39">
        <f t="shared" si="16"/>
        <v>14</v>
      </c>
      <c r="W24" s="39">
        <f t="shared" si="16"/>
        <v>1</v>
      </c>
      <c r="X24" s="39">
        <f t="shared" si="16"/>
        <v>0</v>
      </c>
      <c r="Y24" s="39">
        <f t="shared" si="16"/>
        <v>6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119</v>
      </c>
      <c r="AD24" s="39">
        <f t="shared" si="16"/>
        <v>1</v>
      </c>
      <c r="AE24" s="40">
        <f t="shared" si="16"/>
        <v>61</v>
      </c>
      <c r="AF24" s="40">
        <f t="shared" si="16"/>
        <v>180</v>
      </c>
    </row>
    <row r="25" spans="2:32" ht="23.1" customHeight="1" x14ac:dyDescent="0.25">
      <c r="B25" s="23" t="s">
        <v>52</v>
      </c>
      <c r="C25" s="50">
        <v>1</v>
      </c>
      <c r="D25" s="50">
        <v>1</v>
      </c>
      <c r="E25" s="50">
        <v>6</v>
      </c>
      <c r="F25" s="50">
        <v>1</v>
      </c>
      <c r="G25" s="50">
        <v>1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22</v>
      </c>
      <c r="N25" s="50">
        <v>0</v>
      </c>
      <c r="O25" s="15">
        <f t="shared" si="0"/>
        <v>12</v>
      </c>
      <c r="P25" s="15">
        <f t="shared" si="1"/>
        <v>34</v>
      </c>
      <c r="R25" s="37" t="s">
        <v>85</v>
      </c>
      <c r="S25" s="35">
        <f t="shared" ref="S25:AF25" si="17">SUM(S10:S12)</f>
        <v>23</v>
      </c>
      <c r="T25" s="16">
        <f t="shared" si="17"/>
        <v>0</v>
      </c>
      <c r="U25" s="16">
        <f t="shared" si="17"/>
        <v>16</v>
      </c>
      <c r="V25" s="16">
        <f t="shared" si="17"/>
        <v>19</v>
      </c>
      <c r="W25" s="16">
        <f t="shared" si="17"/>
        <v>0</v>
      </c>
      <c r="X25" s="16">
        <f t="shared" si="17"/>
        <v>3</v>
      </c>
      <c r="Y25" s="16">
        <f t="shared" si="17"/>
        <v>12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279</v>
      </c>
      <c r="AD25" s="16">
        <f t="shared" si="17"/>
        <v>0</v>
      </c>
      <c r="AE25" s="32">
        <f t="shared" si="17"/>
        <v>73</v>
      </c>
      <c r="AF25" s="32">
        <f t="shared" si="17"/>
        <v>352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2</v>
      </c>
      <c r="F26" s="50">
        <v>1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30</v>
      </c>
      <c r="N26" s="50">
        <v>0</v>
      </c>
      <c r="O26" s="15">
        <f t="shared" si="0"/>
        <v>10</v>
      </c>
      <c r="P26" s="15">
        <f t="shared" si="1"/>
        <v>40</v>
      </c>
      <c r="R26" s="28" t="s">
        <v>86</v>
      </c>
      <c r="S26" s="16">
        <f t="shared" ref="S26:AF26" si="18">SUM(S13:S18)</f>
        <v>54</v>
      </c>
      <c r="T26" s="16">
        <f t="shared" si="18"/>
        <v>7</v>
      </c>
      <c r="U26" s="16">
        <f t="shared" si="18"/>
        <v>68</v>
      </c>
      <c r="V26" s="16">
        <f t="shared" si="18"/>
        <v>49</v>
      </c>
      <c r="W26" s="16">
        <f t="shared" si="18"/>
        <v>2</v>
      </c>
      <c r="X26" s="16">
        <f t="shared" si="18"/>
        <v>0</v>
      </c>
      <c r="Y26" s="16">
        <f t="shared" si="18"/>
        <v>37</v>
      </c>
      <c r="Z26" s="16">
        <f t="shared" si="18"/>
        <v>26</v>
      </c>
      <c r="AA26" s="16">
        <f t="shared" si="18"/>
        <v>2</v>
      </c>
      <c r="AB26" s="16">
        <f t="shared" si="18"/>
        <v>0</v>
      </c>
      <c r="AC26" s="16">
        <f t="shared" si="18"/>
        <v>642</v>
      </c>
      <c r="AD26" s="16">
        <f t="shared" si="18"/>
        <v>0</v>
      </c>
      <c r="AE26" s="32">
        <f t="shared" si="18"/>
        <v>245</v>
      </c>
      <c r="AF26" s="32">
        <f t="shared" si="18"/>
        <v>887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4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16</v>
      </c>
      <c r="N27" s="50">
        <v>0</v>
      </c>
      <c r="O27" s="15">
        <f t="shared" si="0"/>
        <v>6</v>
      </c>
      <c r="P27" s="15">
        <f t="shared" si="1"/>
        <v>22</v>
      </c>
      <c r="R27" s="29" t="s">
        <v>87</v>
      </c>
      <c r="S27" s="16">
        <f t="shared" ref="S27:AF27" si="19">SUM(S19:S21)</f>
        <v>48</v>
      </c>
      <c r="T27" s="16">
        <f t="shared" si="19"/>
        <v>7</v>
      </c>
      <c r="U27" s="16">
        <f t="shared" si="19"/>
        <v>47</v>
      </c>
      <c r="V27" s="16">
        <f t="shared" si="19"/>
        <v>34</v>
      </c>
      <c r="W27" s="16">
        <f t="shared" si="19"/>
        <v>2</v>
      </c>
      <c r="X27" s="16">
        <f t="shared" si="19"/>
        <v>0</v>
      </c>
      <c r="Y27" s="16">
        <f t="shared" si="19"/>
        <v>17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315</v>
      </c>
      <c r="AD27" s="16">
        <f t="shared" si="19"/>
        <v>1</v>
      </c>
      <c r="AE27" s="32">
        <f t="shared" si="19"/>
        <v>159</v>
      </c>
      <c r="AF27" s="32">
        <f t="shared" si="19"/>
        <v>474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3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31</v>
      </c>
      <c r="N28" s="50">
        <v>0</v>
      </c>
      <c r="O28" s="15">
        <f t="shared" si="0"/>
        <v>6</v>
      </c>
      <c r="P28" s="15">
        <f t="shared" si="1"/>
        <v>37</v>
      </c>
      <c r="R28" s="5" t="s">
        <v>17</v>
      </c>
      <c r="S28" s="16">
        <f t="shared" ref="S28:AF28" si="20">SUM(S10:S21)</f>
        <v>125</v>
      </c>
      <c r="T28" s="16">
        <f t="shared" si="20"/>
        <v>14</v>
      </c>
      <c r="U28" s="16">
        <f t="shared" si="20"/>
        <v>131</v>
      </c>
      <c r="V28" s="16">
        <f t="shared" si="20"/>
        <v>102</v>
      </c>
      <c r="W28" s="16">
        <f t="shared" si="20"/>
        <v>4</v>
      </c>
      <c r="X28" s="16">
        <f t="shared" si="20"/>
        <v>3</v>
      </c>
      <c r="Y28" s="16">
        <f t="shared" si="20"/>
        <v>66</v>
      </c>
      <c r="Z28" s="16">
        <f t="shared" si="20"/>
        <v>29</v>
      </c>
      <c r="AA28" s="16">
        <f t="shared" si="20"/>
        <v>2</v>
      </c>
      <c r="AB28" s="16">
        <f t="shared" si="20"/>
        <v>0</v>
      </c>
      <c r="AC28" s="16">
        <f t="shared" si="20"/>
        <v>1236</v>
      </c>
      <c r="AD28" s="16">
        <f t="shared" si="20"/>
        <v>1</v>
      </c>
      <c r="AE28" s="32">
        <f t="shared" si="20"/>
        <v>477</v>
      </c>
      <c r="AF28" s="32">
        <f t="shared" si="20"/>
        <v>1713</v>
      </c>
    </row>
    <row r="29" spans="2:32" ht="23.1" customHeight="1" x14ac:dyDescent="0.25">
      <c r="B29" s="23" t="s">
        <v>56</v>
      </c>
      <c r="C29" s="50">
        <v>2</v>
      </c>
      <c r="D29" s="50">
        <v>1</v>
      </c>
      <c r="E29" s="50">
        <v>4</v>
      </c>
      <c r="F29" s="50">
        <v>2</v>
      </c>
      <c r="G29" s="50">
        <v>0</v>
      </c>
      <c r="H29" s="50">
        <v>0</v>
      </c>
      <c r="I29" s="50">
        <v>4</v>
      </c>
      <c r="J29" s="50">
        <v>0</v>
      </c>
      <c r="K29" s="50">
        <v>0</v>
      </c>
      <c r="L29" s="50">
        <v>0</v>
      </c>
      <c r="M29" s="50">
        <v>22</v>
      </c>
      <c r="N29" s="50">
        <v>0</v>
      </c>
      <c r="O29" s="15">
        <f t="shared" si="0"/>
        <v>13</v>
      </c>
      <c r="P29" s="15">
        <f t="shared" si="1"/>
        <v>35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2</v>
      </c>
      <c r="F30" s="50">
        <v>1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18</v>
      </c>
      <c r="N30" s="50">
        <v>0</v>
      </c>
      <c r="O30" s="15">
        <f t="shared" si="0"/>
        <v>8</v>
      </c>
      <c r="P30" s="15">
        <f t="shared" si="1"/>
        <v>26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3</v>
      </c>
      <c r="F31" s="50">
        <v>2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23</v>
      </c>
      <c r="N31" s="50">
        <v>0</v>
      </c>
      <c r="O31" s="15">
        <f t="shared" si="0"/>
        <v>9</v>
      </c>
      <c r="P31" s="15">
        <f t="shared" si="1"/>
        <v>32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2</v>
      </c>
      <c r="F32" s="50">
        <v>2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34</v>
      </c>
      <c r="N32" s="50">
        <v>0</v>
      </c>
      <c r="O32" s="15">
        <f t="shared" si="0"/>
        <v>7</v>
      </c>
      <c r="P32" s="15">
        <f t="shared" si="1"/>
        <v>41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1</v>
      </c>
      <c r="F33" s="50">
        <v>2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29</v>
      </c>
      <c r="N33" s="50">
        <v>0</v>
      </c>
      <c r="O33" s="15">
        <f t="shared" si="0"/>
        <v>6</v>
      </c>
      <c r="P33" s="15">
        <f t="shared" si="1"/>
        <v>35</v>
      </c>
    </row>
    <row r="34" spans="2:20" ht="23.1" customHeight="1" x14ac:dyDescent="0.25">
      <c r="B34" s="24" t="s">
        <v>61</v>
      </c>
      <c r="C34" s="50">
        <v>4</v>
      </c>
      <c r="D34" s="50">
        <v>1</v>
      </c>
      <c r="E34" s="50">
        <v>4</v>
      </c>
      <c r="F34" s="50">
        <v>3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16</v>
      </c>
      <c r="N34" s="50">
        <v>0</v>
      </c>
      <c r="O34" s="15">
        <f t="shared" si="0"/>
        <v>14</v>
      </c>
      <c r="P34" s="15">
        <f t="shared" si="1"/>
        <v>30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3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2</v>
      </c>
      <c r="L35" s="50">
        <v>0</v>
      </c>
      <c r="M35" s="50">
        <v>30</v>
      </c>
      <c r="N35" s="50">
        <v>0</v>
      </c>
      <c r="O35" s="15">
        <f t="shared" si="0"/>
        <v>11</v>
      </c>
      <c r="P35" s="15">
        <f t="shared" si="1"/>
        <v>41</v>
      </c>
    </row>
    <row r="36" spans="2:20" ht="23.1" customHeight="1" x14ac:dyDescent="0.25">
      <c r="B36" s="24" t="s">
        <v>63</v>
      </c>
      <c r="C36" s="50">
        <v>2</v>
      </c>
      <c r="D36" s="50">
        <v>2</v>
      </c>
      <c r="E36" s="50">
        <v>7</v>
      </c>
      <c r="F36" s="50">
        <v>3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17</v>
      </c>
      <c r="N36" s="50">
        <v>0</v>
      </c>
      <c r="O36" s="15">
        <f t="shared" si="0"/>
        <v>18</v>
      </c>
      <c r="P36" s="15">
        <f t="shared" si="1"/>
        <v>35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3</v>
      </c>
      <c r="F37" s="50">
        <v>2</v>
      </c>
      <c r="G37" s="50">
        <v>0</v>
      </c>
      <c r="H37" s="50">
        <v>0</v>
      </c>
      <c r="I37" s="50">
        <v>2</v>
      </c>
      <c r="J37" s="50">
        <v>2</v>
      </c>
      <c r="K37" s="50">
        <v>0</v>
      </c>
      <c r="L37" s="50">
        <v>0</v>
      </c>
      <c r="M37" s="50">
        <v>37</v>
      </c>
      <c r="N37" s="50">
        <v>0</v>
      </c>
      <c r="O37" s="15">
        <f t="shared" si="0"/>
        <v>10</v>
      </c>
      <c r="P37" s="15">
        <f t="shared" si="1"/>
        <v>47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3</v>
      </c>
      <c r="F38" s="50">
        <v>3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25</v>
      </c>
      <c r="N38" s="50">
        <v>0</v>
      </c>
      <c r="O38" s="15">
        <f t="shared" si="0"/>
        <v>10</v>
      </c>
      <c r="P38" s="15">
        <f t="shared" si="1"/>
        <v>35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3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18</v>
      </c>
      <c r="N39" s="50">
        <v>0</v>
      </c>
      <c r="O39" s="15">
        <f t="shared" si="0"/>
        <v>4</v>
      </c>
      <c r="P39" s="15">
        <f t="shared" si="1"/>
        <v>22</v>
      </c>
    </row>
    <row r="40" spans="2:20" ht="23.1" customHeight="1" x14ac:dyDescent="0.25">
      <c r="B40" s="24" t="s">
        <v>67</v>
      </c>
      <c r="C40" s="50">
        <v>4</v>
      </c>
      <c r="D40" s="50">
        <v>1</v>
      </c>
      <c r="E40" s="50">
        <v>4</v>
      </c>
      <c r="F40" s="50">
        <v>5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23</v>
      </c>
      <c r="N40" s="50">
        <v>0</v>
      </c>
      <c r="O40" s="15">
        <f t="shared" si="0"/>
        <v>15</v>
      </c>
      <c r="P40" s="15">
        <f t="shared" si="1"/>
        <v>38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3</v>
      </c>
      <c r="F41" s="50">
        <v>1</v>
      </c>
      <c r="G41" s="50">
        <v>0</v>
      </c>
      <c r="H41" s="50">
        <v>0</v>
      </c>
      <c r="I41" s="50">
        <v>1</v>
      </c>
      <c r="J41" s="50">
        <v>2</v>
      </c>
      <c r="K41" s="50">
        <v>0</v>
      </c>
      <c r="L41" s="50">
        <v>0</v>
      </c>
      <c r="M41" s="50">
        <v>30</v>
      </c>
      <c r="N41" s="50">
        <v>0</v>
      </c>
      <c r="O41" s="15">
        <f t="shared" si="0"/>
        <v>7</v>
      </c>
      <c r="P41" s="15">
        <f t="shared" si="1"/>
        <v>37</v>
      </c>
    </row>
    <row r="42" spans="2:20" ht="23.1" customHeight="1" x14ac:dyDescent="0.25">
      <c r="B42" s="24" t="s">
        <v>69</v>
      </c>
      <c r="C42" s="50">
        <v>5</v>
      </c>
      <c r="D42" s="50">
        <v>1</v>
      </c>
      <c r="E42" s="50">
        <v>4</v>
      </c>
      <c r="F42" s="50">
        <v>1</v>
      </c>
      <c r="G42" s="50">
        <v>0</v>
      </c>
      <c r="H42" s="50">
        <v>0</v>
      </c>
      <c r="I42" s="50">
        <v>2</v>
      </c>
      <c r="J42" s="50">
        <v>2</v>
      </c>
      <c r="K42" s="50">
        <v>0</v>
      </c>
      <c r="L42" s="50">
        <v>0</v>
      </c>
      <c r="M42" s="50">
        <v>18</v>
      </c>
      <c r="N42" s="50">
        <v>0</v>
      </c>
      <c r="O42" s="15">
        <f t="shared" si="0"/>
        <v>15</v>
      </c>
      <c r="P42" s="15">
        <f t="shared" si="1"/>
        <v>33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1</v>
      </c>
      <c r="F43" s="50">
        <v>3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30</v>
      </c>
      <c r="N43" s="50">
        <v>0</v>
      </c>
      <c r="O43" s="15">
        <f t="shared" si="0"/>
        <v>8</v>
      </c>
      <c r="P43" s="15">
        <f t="shared" si="1"/>
        <v>38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3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33</v>
      </c>
      <c r="N44" s="50">
        <v>0</v>
      </c>
      <c r="O44" s="15">
        <f t="shared" si="0"/>
        <v>5</v>
      </c>
      <c r="P44" s="15">
        <f t="shared" si="1"/>
        <v>38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2</v>
      </c>
      <c r="F45" s="50">
        <v>2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33</v>
      </c>
      <c r="N45" s="50">
        <v>0</v>
      </c>
      <c r="O45" s="15">
        <f t="shared" si="0"/>
        <v>8</v>
      </c>
      <c r="P45" s="15">
        <f t="shared" si="1"/>
        <v>41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22</v>
      </c>
      <c r="N46" s="50">
        <v>0</v>
      </c>
      <c r="O46" s="15">
        <f t="shared" si="0"/>
        <v>5</v>
      </c>
      <c r="P46" s="15">
        <f t="shared" si="1"/>
        <v>27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3</v>
      </c>
      <c r="F47" s="50">
        <v>2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23</v>
      </c>
      <c r="N47" s="50">
        <v>0</v>
      </c>
      <c r="O47" s="15">
        <f t="shared" si="0"/>
        <v>10</v>
      </c>
      <c r="P47" s="15">
        <f t="shared" si="1"/>
        <v>33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2</v>
      </c>
      <c r="E48" s="50">
        <v>9</v>
      </c>
      <c r="F48" s="50">
        <v>3</v>
      </c>
      <c r="G48" s="50">
        <v>1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40</v>
      </c>
      <c r="N48" s="50">
        <v>0</v>
      </c>
      <c r="O48" s="15">
        <f t="shared" si="0"/>
        <v>23</v>
      </c>
      <c r="P48" s="15">
        <f t="shared" si="1"/>
        <v>63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3</v>
      </c>
      <c r="F49" s="50">
        <v>5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22</v>
      </c>
      <c r="N49" s="50">
        <v>0</v>
      </c>
      <c r="O49" s="15">
        <f t="shared" si="0"/>
        <v>10</v>
      </c>
      <c r="P49" s="15">
        <f t="shared" si="1"/>
        <v>32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1</v>
      </c>
      <c r="E50" s="50">
        <v>5</v>
      </c>
      <c r="F50" s="50">
        <v>4</v>
      </c>
      <c r="G50" s="50">
        <v>0</v>
      </c>
      <c r="H50" s="50">
        <v>0</v>
      </c>
      <c r="I50" s="50">
        <v>3</v>
      </c>
      <c r="J50" s="50">
        <v>1</v>
      </c>
      <c r="K50" s="50">
        <v>0</v>
      </c>
      <c r="L50" s="50">
        <v>0</v>
      </c>
      <c r="M50" s="50">
        <v>15</v>
      </c>
      <c r="N50" s="50">
        <v>0</v>
      </c>
      <c r="O50" s="15">
        <f t="shared" si="0"/>
        <v>18</v>
      </c>
      <c r="P50" s="15">
        <f t="shared" si="1"/>
        <v>33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0</v>
      </c>
      <c r="E51" s="50">
        <v>3</v>
      </c>
      <c r="F51" s="50">
        <v>3</v>
      </c>
      <c r="G51" s="50">
        <v>1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28</v>
      </c>
      <c r="N51" s="50">
        <v>0</v>
      </c>
      <c r="O51" s="15">
        <f t="shared" si="0"/>
        <v>10</v>
      </c>
      <c r="P51" s="15">
        <f t="shared" si="1"/>
        <v>38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1</v>
      </c>
      <c r="E52" s="50">
        <v>4</v>
      </c>
      <c r="F52" s="50">
        <v>6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30</v>
      </c>
      <c r="N52" s="50">
        <v>1</v>
      </c>
      <c r="O52" s="15">
        <f t="shared" si="0"/>
        <v>13</v>
      </c>
      <c r="P52" s="15">
        <f t="shared" si="1"/>
        <v>43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3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16</v>
      </c>
      <c r="N53" s="50">
        <v>0</v>
      </c>
      <c r="O53" s="15">
        <f t="shared" si="0"/>
        <v>9</v>
      </c>
      <c r="P53" s="15">
        <f t="shared" si="1"/>
        <v>25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1</v>
      </c>
      <c r="E54" s="50">
        <v>6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31</v>
      </c>
      <c r="N54" s="50">
        <v>0</v>
      </c>
      <c r="O54" s="15">
        <f t="shared" si="0"/>
        <v>16</v>
      </c>
      <c r="P54" s="15">
        <f t="shared" si="1"/>
        <v>47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1</v>
      </c>
      <c r="E55" s="50">
        <v>4</v>
      </c>
      <c r="F55" s="50">
        <v>2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30</v>
      </c>
      <c r="N55" s="50">
        <v>0</v>
      </c>
      <c r="O55" s="15">
        <f t="shared" si="0"/>
        <v>14</v>
      </c>
      <c r="P55" s="15">
        <f t="shared" si="1"/>
        <v>44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1</v>
      </c>
      <c r="E56" s="50">
        <v>4</v>
      </c>
      <c r="F56" s="50">
        <v>4</v>
      </c>
      <c r="G56" s="50">
        <v>0</v>
      </c>
      <c r="H56" s="50">
        <v>0</v>
      </c>
      <c r="I56" s="50">
        <v>3</v>
      </c>
      <c r="J56" s="50">
        <v>1</v>
      </c>
      <c r="K56" s="50">
        <v>0</v>
      </c>
      <c r="L56" s="50">
        <v>0</v>
      </c>
      <c r="M56" s="50">
        <v>27</v>
      </c>
      <c r="N56" s="50">
        <v>0</v>
      </c>
      <c r="O56" s="15">
        <f t="shared" si="0"/>
        <v>16</v>
      </c>
      <c r="P56" s="15">
        <f t="shared" si="1"/>
        <v>43</v>
      </c>
      <c r="R56" s="8"/>
      <c r="T56"/>
    </row>
    <row r="57" spans="2:20" ht="23.1" customHeight="1" x14ac:dyDescent="0.25">
      <c r="B57" s="23" t="s">
        <v>84</v>
      </c>
      <c r="C57" s="50">
        <v>9</v>
      </c>
      <c r="D57" s="50">
        <v>0</v>
      </c>
      <c r="E57" s="50">
        <v>3</v>
      </c>
      <c r="F57" s="50">
        <v>0</v>
      </c>
      <c r="G57" s="50">
        <v>0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31</v>
      </c>
      <c r="N57" s="50">
        <v>0</v>
      </c>
      <c r="O57" s="15">
        <f t="shared" si="0"/>
        <v>15</v>
      </c>
      <c r="P57" s="15">
        <f t="shared" si="1"/>
        <v>46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125</v>
      </c>
      <c r="D58" s="16">
        <f t="shared" si="21"/>
        <v>14</v>
      </c>
      <c r="E58" s="16">
        <f t="shared" si="21"/>
        <v>131</v>
      </c>
      <c r="F58" s="16">
        <f t="shared" si="21"/>
        <v>102</v>
      </c>
      <c r="G58" s="16">
        <f t="shared" si="21"/>
        <v>4</v>
      </c>
      <c r="H58" s="16">
        <f t="shared" si="21"/>
        <v>3</v>
      </c>
      <c r="I58" s="16">
        <f t="shared" si="21"/>
        <v>66</v>
      </c>
      <c r="J58" s="16">
        <f t="shared" si="21"/>
        <v>29</v>
      </c>
      <c r="K58" s="16">
        <f t="shared" si="21"/>
        <v>2</v>
      </c>
      <c r="L58" s="16">
        <f t="shared" si="21"/>
        <v>0</v>
      </c>
      <c r="M58" s="16">
        <f t="shared" si="21"/>
        <v>1236</v>
      </c>
      <c r="N58" s="16">
        <f t="shared" si="21"/>
        <v>1</v>
      </c>
      <c r="O58" s="16">
        <f t="shared" si="21"/>
        <v>477</v>
      </c>
      <c r="P58" s="16">
        <f t="shared" si="21"/>
        <v>1713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7.2971395213076468E-2</v>
      </c>
      <c r="D59" s="43">
        <f t="shared" si="22"/>
        <v>8.1727962638645651E-3</v>
      </c>
      <c r="E59" s="43">
        <f t="shared" si="22"/>
        <v>7.6474022183304138E-2</v>
      </c>
      <c r="F59" s="43">
        <f t="shared" si="22"/>
        <v>5.9544658493870403E-2</v>
      </c>
      <c r="G59" s="43">
        <f t="shared" si="22"/>
        <v>2.3350846468184472E-3</v>
      </c>
      <c r="H59" s="43">
        <f t="shared" si="22"/>
        <v>1.7513134851138354E-3</v>
      </c>
      <c r="I59" s="43">
        <f t="shared" si="22"/>
        <v>3.8528896672504379E-2</v>
      </c>
      <c r="J59" s="43">
        <f t="shared" si="22"/>
        <v>1.6929363689433742E-2</v>
      </c>
      <c r="K59" s="43">
        <f t="shared" si="22"/>
        <v>1.1675423234092236E-3</v>
      </c>
      <c r="L59" s="43">
        <f t="shared" si="22"/>
        <v>0</v>
      </c>
      <c r="M59" s="43">
        <f t="shared" si="22"/>
        <v>0.72154115586690015</v>
      </c>
      <c r="N59" s="43">
        <f t="shared" si="22"/>
        <v>5.837711617046118E-4</v>
      </c>
      <c r="R59" s="8"/>
      <c r="T59"/>
    </row>
    <row r="60" spans="2:20" ht="23.1" customHeight="1" x14ac:dyDescent="0.25">
      <c r="B60" s="42" t="s">
        <v>94</v>
      </c>
      <c r="C60" s="44">
        <f>C58/$O$58</f>
        <v>0.26205450733752622</v>
      </c>
      <c r="D60" s="44">
        <f t="shared" ref="D60:N60" si="23">D58/$O$58</f>
        <v>2.9350104821802937E-2</v>
      </c>
      <c r="E60" s="44">
        <f t="shared" si="23"/>
        <v>0.27463312368972748</v>
      </c>
      <c r="F60" s="44">
        <f t="shared" si="23"/>
        <v>0.21383647798742139</v>
      </c>
      <c r="G60" s="44">
        <f t="shared" si="23"/>
        <v>8.385744234800839E-3</v>
      </c>
      <c r="H60" s="44">
        <f t="shared" si="23"/>
        <v>6.2893081761006293E-3</v>
      </c>
      <c r="I60" s="44">
        <f t="shared" si="23"/>
        <v>0.13836477987421383</v>
      </c>
      <c r="J60" s="44">
        <f t="shared" si="23"/>
        <v>6.0796645702306078E-2</v>
      </c>
      <c r="K60" s="44">
        <f t="shared" si="23"/>
        <v>4.1928721174004195E-3</v>
      </c>
      <c r="L60" s="44">
        <f t="shared" si="23"/>
        <v>0</v>
      </c>
      <c r="M60" s="44"/>
      <c r="N60" s="44">
        <f t="shared" si="23"/>
        <v>2.0964360587002098E-3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Tororo-Malaba'!C3:G3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'13.08 Malaba-Tororo'!D5</f>
        <v>13.08.19</v>
      </c>
      <c r="E5" s="3"/>
      <c r="F5" s="41" t="s">
        <v>1</v>
      </c>
      <c r="G5" s="63" t="str">
        <f>'12.08 Malaba-Tororo'!G5:H5</f>
        <v>xxx</v>
      </c>
      <c r="H5" s="64"/>
      <c r="I5" s="14"/>
      <c r="J5" s="2" t="s">
        <v>5</v>
      </c>
      <c r="K5" s="63" t="str">
        <f>'12.08 Malaba-Tororo'!K5:L5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Tororo-Malaba'!D6:E6</f>
        <v>Tororo</v>
      </c>
      <c r="E6" s="64"/>
      <c r="F6" s="2" t="s">
        <v>2</v>
      </c>
      <c r="G6" s="63" t="str">
        <f>'12.08 Tororo-Malaba'!G6:H6</f>
        <v>Malaba</v>
      </c>
      <c r="H6" s="64"/>
      <c r="J6" s="2" t="s">
        <v>21</v>
      </c>
      <c r="K6" s="63" t="str">
        <f>'12.08 Malaba-Tororo'!K6:L6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9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5</v>
      </c>
      <c r="V10" s="17">
        <f t="shared" si="2"/>
        <v>2</v>
      </c>
      <c r="W10" s="17">
        <f t="shared" si="2"/>
        <v>1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83</v>
      </c>
      <c r="AD10" s="17">
        <f t="shared" si="2"/>
        <v>0</v>
      </c>
      <c r="AE10" s="31">
        <f t="shared" si="2"/>
        <v>16</v>
      </c>
      <c r="AF10" s="31">
        <f t="shared" si="2"/>
        <v>99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17</v>
      </c>
      <c r="N11" s="50">
        <v>0</v>
      </c>
      <c r="O11" s="15">
        <f t="shared" si="0"/>
        <v>7</v>
      </c>
      <c r="P11" s="15">
        <f t="shared" si="1"/>
        <v>24</v>
      </c>
      <c r="R11" s="1" t="s">
        <v>7</v>
      </c>
      <c r="S11" s="17">
        <f t="shared" ref="S11:AF11" si="3">SUM(C14:C17)</f>
        <v>4</v>
      </c>
      <c r="T11" s="17">
        <f t="shared" si="3"/>
        <v>0</v>
      </c>
      <c r="U11" s="17">
        <f t="shared" si="3"/>
        <v>6</v>
      </c>
      <c r="V11" s="17">
        <f t="shared" si="3"/>
        <v>8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84</v>
      </c>
      <c r="AD11" s="17">
        <f t="shared" si="3"/>
        <v>0</v>
      </c>
      <c r="AE11" s="31">
        <f t="shared" si="3"/>
        <v>23</v>
      </c>
      <c r="AF11" s="31">
        <f t="shared" si="3"/>
        <v>107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1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20</v>
      </c>
      <c r="N12" s="50">
        <v>0</v>
      </c>
      <c r="O12" s="15">
        <f t="shared" si="0"/>
        <v>1</v>
      </c>
      <c r="P12" s="15">
        <f t="shared" si="1"/>
        <v>21</v>
      </c>
      <c r="R12" s="1" t="s">
        <v>8</v>
      </c>
      <c r="S12" s="17">
        <f t="shared" ref="S12:AF12" si="4">SUM(C18:C21)</f>
        <v>11</v>
      </c>
      <c r="T12" s="17">
        <f t="shared" si="4"/>
        <v>0</v>
      </c>
      <c r="U12" s="17">
        <f t="shared" si="4"/>
        <v>5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123</v>
      </c>
      <c r="AD12" s="17">
        <f t="shared" si="4"/>
        <v>1</v>
      </c>
      <c r="AE12" s="31">
        <f t="shared" si="4"/>
        <v>25</v>
      </c>
      <c r="AF12" s="31">
        <f t="shared" si="4"/>
        <v>148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2</v>
      </c>
      <c r="F13" s="50">
        <v>2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37</v>
      </c>
      <c r="N13" s="50">
        <v>0</v>
      </c>
      <c r="O13" s="15">
        <f t="shared" si="0"/>
        <v>6</v>
      </c>
      <c r="P13" s="15">
        <f t="shared" si="1"/>
        <v>43</v>
      </c>
      <c r="R13" s="1" t="s">
        <v>9</v>
      </c>
      <c r="S13" s="17">
        <f t="shared" ref="S13:AF13" si="5">SUM(C22:C25)</f>
        <v>11</v>
      </c>
      <c r="T13" s="17">
        <f t="shared" si="5"/>
        <v>1</v>
      </c>
      <c r="U13" s="17">
        <f t="shared" si="5"/>
        <v>9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101</v>
      </c>
      <c r="AD13" s="17">
        <f t="shared" si="5"/>
        <v>0</v>
      </c>
      <c r="AE13" s="31">
        <f t="shared" si="5"/>
        <v>36</v>
      </c>
      <c r="AF13" s="31">
        <f t="shared" si="5"/>
        <v>137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25</v>
      </c>
      <c r="N14" s="50">
        <v>0</v>
      </c>
      <c r="O14" s="15">
        <f t="shared" si="0"/>
        <v>4</v>
      </c>
      <c r="P14" s="15">
        <f t="shared" si="1"/>
        <v>29</v>
      </c>
      <c r="R14" s="1" t="s">
        <v>10</v>
      </c>
      <c r="S14" s="17">
        <f t="shared" ref="S14:AF14" si="6">SUM(C26:C29)</f>
        <v>20</v>
      </c>
      <c r="T14" s="17">
        <f t="shared" si="6"/>
        <v>0</v>
      </c>
      <c r="U14" s="17">
        <f t="shared" si="6"/>
        <v>9</v>
      </c>
      <c r="V14" s="17">
        <f t="shared" si="6"/>
        <v>8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97</v>
      </c>
      <c r="AD14" s="17">
        <f t="shared" si="6"/>
        <v>0</v>
      </c>
      <c r="AE14" s="31">
        <f t="shared" si="6"/>
        <v>40</v>
      </c>
      <c r="AF14" s="31">
        <f t="shared" si="6"/>
        <v>137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19</v>
      </c>
      <c r="N15" s="50">
        <v>0</v>
      </c>
      <c r="O15" s="15">
        <f t="shared" si="0"/>
        <v>4</v>
      </c>
      <c r="P15" s="15">
        <f t="shared" si="1"/>
        <v>23</v>
      </c>
      <c r="R15" s="1" t="s">
        <v>11</v>
      </c>
      <c r="S15" s="17">
        <f t="shared" ref="S15:AF15" si="7">SUM(C30:C33)</f>
        <v>11</v>
      </c>
      <c r="T15" s="17">
        <f t="shared" si="7"/>
        <v>3</v>
      </c>
      <c r="U15" s="17">
        <f t="shared" si="7"/>
        <v>14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124</v>
      </c>
      <c r="AD15" s="17">
        <f t="shared" si="7"/>
        <v>0</v>
      </c>
      <c r="AE15" s="31">
        <f t="shared" si="7"/>
        <v>36</v>
      </c>
      <c r="AF15" s="31">
        <f t="shared" si="7"/>
        <v>160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3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19</v>
      </c>
      <c r="N16" s="50">
        <v>0</v>
      </c>
      <c r="O16" s="15">
        <f t="shared" si="0"/>
        <v>7</v>
      </c>
      <c r="P16" s="15">
        <f t="shared" si="1"/>
        <v>26</v>
      </c>
      <c r="R16" s="1" t="s">
        <v>12</v>
      </c>
      <c r="S16" s="17">
        <f t="shared" ref="S16:AF16" si="8">SUM(C34:C37)</f>
        <v>15</v>
      </c>
      <c r="T16" s="17">
        <f t="shared" si="8"/>
        <v>3</v>
      </c>
      <c r="U16" s="17">
        <f t="shared" si="8"/>
        <v>16</v>
      </c>
      <c r="V16" s="17">
        <f t="shared" si="8"/>
        <v>12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118</v>
      </c>
      <c r="AD16" s="17">
        <f t="shared" si="8"/>
        <v>0</v>
      </c>
      <c r="AE16" s="31">
        <f t="shared" si="8"/>
        <v>51</v>
      </c>
      <c r="AF16" s="31">
        <f t="shared" si="8"/>
        <v>169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2</v>
      </c>
      <c r="F17" s="50">
        <v>4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21</v>
      </c>
      <c r="N17" s="50">
        <v>0</v>
      </c>
      <c r="O17" s="15">
        <f t="shared" si="0"/>
        <v>8</v>
      </c>
      <c r="P17" s="15">
        <f t="shared" si="1"/>
        <v>29</v>
      </c>
      <c r="R17" s="1" t="s">
        <v>13</v>
      </c>
      <c r="S17" s="17">
        <f t="shared" ref="S17:AF17" si="9">SUM(C38:C41)</f>
        <v>20</v>
      </c>
      <c r="T17" s="17">
        <f t="shared" si="9"/>
        <v>4</v>
      </c>
      <c r="U17" s="17">
        <f t="shared" si="9"/>
        <v>20</v>
      </c>
      <c r="V17" s="17">
        <f t="shared" si="9"/>
        <v>10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105</v>
      </c>
      <c r="AD17" s="17">
        <f t="shared" si="9"/>
        <v>0</v>
      </c>
      <c r="AE17" s="31">
        <f t="shared" si="9"/>
        <v>57</v>
      </c>
      <c r="AF17" s="31">
        <f t="shared" si="9"/>
        <v>162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33</v>
      </c>
      <c r="N18" s="50">
        <v>0</v>
      </c>
      <c r="O18" s="15">
        <f t="shared" si="0"/>
        <v>4</v>
      </c>
      <c r="P18" s="15">
        <f t="shared" si="1"/>
        <v>37</v>
      </c>
      <c r="R18" s="1" t="s">
        <v>14</v>
      </c>
      <c r="S18" s="17">
        <f t="shared" ref="S18:AF18" si="10">SUM(C42:C45)</f>
        <v>12</v>
      </c>
      <c r="T18" s="17">
        <f t="shared" si="10"/>
        <v>0</v>
      </c>
      <c r="U18" s="17">
        <f t="shared" si="10"/>
        <v>9</v>
      </c>
      <c r="V18" s="17">
        <f t="shared" si="10"/>
        <v>15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102</v>
      </c>
      <c r="AD18" s="17">
        <f t="shared" si="10"/>
        <v>0</v>
      </c>
      <c r="AE18" s="31">
        <f t="shared" si="10"/>
        <v>41</v>
      </c>
      <c r="AF18" s="31">
        <f t="shared" si="10"/>
        <v>143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31</v>
      </c>
      <c r="N19" s="50">
        <v>0</v>
      </c>
      <c r="O19" s="15">
        <f t="shared" si="0"/>
        <v>6</v>
      </c>
      <c r="P19" s="15">
        <f t="shared" si="1"/>
        <v>37</v>
      </c>
      <c r="R19" s="1" t="s">
        <v>15</v>
      </c>
      <c r="S19" s="17">
        <f t="shared" ref="S19:AF19" si="11">SUM(C46:C49)</f>
        <v>9</v>
      </c>
      <c r="T19" s="17">
        <f t="shared" si="11"/>
        <v>0</v>
      </c>
      <c r="U19" s="17">
        <f t="shared" si="11"/>
        <v>6</v>
      </c>
      <c r="V19" s="17">
        <f t="shared" si="11"/>
        <v>12</v>
      </c>
      <c r="W19" s="17">
        <f t="shared" si="11"/>
        <v>1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94</v>
      </c>
      <c r="AD19" s="17">
        <f t="shared" si="11"/>
        <v>0</v>
      </c>
      <c r="AE19" s="31">
        <f t="shared" si="11"/>
        <v>32</v>
      </c>
      <c r="AF19" s="31">
        <f t="shared" si="11"/>
        <v>126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3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27</v>
      </c>
      <c r="N20" s="50">
        <v>0</v>
      </c>
      <c r="O20" s="15">
        <f t="shared" si="0"/>
        <v>7</v>
      </c>
      <c r="P20" s="15">
        <f t="shared" si="1"/>
        <v>34</v>
      </c>
      <c r="R20" s="1" t="s">
        <v>16</v>
      </c>
      <c r="S20" s="17">
        <f t="shared" ref="S20:AF20" si="12">SUM(C50:C53)</f>
        <v>10</v>
      </c>
      <c r="T20" s="17">
        <f t="shared" si="12"/>
        <v>2</v>
      </c>
      <c r="U20" s="17">
        <f t="shared" si="12"/>
        <v>11</v>
      </c>
      <c r="V20" s="17">
        <f t="shared" si="12"/>
        <v>7</v>
      </c>
      <c r="W20" s="17">
        <f t="shared" si="12"/>
        <v>1</v>
      </c>
      <c r="X20" s="17">
        <f t="shared" si="12"/>
        <v>0</v>
      </c>
      <c r="Y20" s="17">
        <f t="shared" si="12"/>
        <v>3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103</v>
      </c>
      <c r="AD20" s="17">
        <f t="shared" si="12"/>
        <v>0</v>
      </c>
      <c r="AE20" s="31">
        <f t="shared" si="12"/>
        <v>36</v>
      </c>
      <c r="AF20" s="31">
        <f t="shared" si="12"/>
        <v>139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1</v>
      </c>
      <c r="F21" s="50">
        <v>2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32</v>
      </c>
      <c r="N21" s="50">
        <v>1</v>
      </c>
      <c r="O21" s="15">
        <f t="shared" si="0"/>
        <v>8</v>
      </c>
      <c r="P21" s="15">
        <f t="shared" si="1"/>
        <v>40</v>
      </c>
      <c r="R21" s="36" t="s">
        <v>20</v>
      </c>
      <c r="S21" s="34">
        <f t="shared" ref="S21:AF21" si="13">SUM(C54:C57)</f>
        <v>9</v>
      </c>
      <c r="T21" s="17">
        <f t="shared" si="13"/>
        <v>1</v>
      </c>
      <c r="U21" s="17">
        <f t="shared" si="13"/>
        <v>8</v>
      </c>
      <c r="V21" s="17">
        <f t="shared" si="13"/>
        <v>9</v>
      </c>
      <c r="W21" s="17">
        <f t="shared" si="13"/>
        <v>1</v>
      </c>
      <c r="X21" s="17">
        <f t="shared" si="13"/>
        <v>1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101</v>
      </c>
      <c r="AD21" s="17">
        <f t="shared" si="13"/>
        <v>0</v>
      </c>
      <c r="AE21" s="31">
        <f t="shared" si="13"/>
        <v>32</v>
      </c>
      <c r="AF21" s="31">
        <f t="shared" si="13"/>
        <v>133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0</v>
      </c>
      <c r="F22" s="50">
        <v>2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36</v>
      </c>
      <c r="N22" s="50">
        <v>0</v>
      </c>
      <c r="O22" s="15">
        <f t="shared" si="0"/>
        <v>7</v>
      </c>
      <c r="P22" s="15">
        <f t="shared" si="1"/>
        <v>43</v>
      </c>
      <c r="R22" s="38" t="s">
        <v>90</v>
      </c>
      <c r="S22" s="39">
        <f>MAX(S10:S12)</f>
        <v>11</v>
      </c>
      <c r="T22" s="39">
        <f t="shared" ref="T22:AF22" si="14">MAX(T10:T12)</f>
        <v>0</v>
      </c>
      <c r="U22" s="39">
        <f t="shared" si="14"/>
        <v>6</v>
      </c>
      <c r="V22" s="39">
        <f t="shared" si="14"/>
        <v>8</v>
      </c>
      <c r="W22" s="39">
        <f t="shared" si="14"/>
        <v>1</v>
      </c>
      <c r="X22" s="39">
        <f t="shared" si="14"/>
        <v>0</v>
      </c>
      <c r="Y22" s="39">
        <f t="shared" si="14"/>
        <v>5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123</v>
      </c>
      <c r="AD22" s="39">
        <f t="shared" si="14"/>
        <v>1</v>
      </c>
      <c r="AE22" s="40">
        <f t="shared" si="14"/>
        <v>25</v>
      </c>
      <c r="AF22" s="40">
        <f t="shared" si="14"/>
        <v>148</v>
      </c>
    </row>
    <row r="23" spans="2:32" ht="23.1" customHeight="1" x14ac:dyDescent="0.25">
      <c r="B23" s="23" t="s">
        <v>50</v>
      </c>
      <c r="C23" s="50">
        <v>4</v>
      </c>
      <c r="D23" s="50">
        <v>1</v>
      </c>
      <c r="E23" s="50">
        <v>4</v>
      </c>
      <c r="F23" s="50">
        <v>1</v>
      </c>
      <c r="G23" s="50">
        <v>0</v>
      </c>
      <c r="H23" s="50">
        <v>0</v>
      </c>
      <c r="I23" s="50">
        <v>2</v>
      </c>
      <c r="J23" s="50">
        <v>2</v>
      </c>
      <c r="K23" s="50">
        <v>0</v>
      </c>
      <c r="L23" s="50">
        <v>0</v>
      </c>
      <c r="M23" s="50">
        <v>24</v>
      </c>
      <c r="N23" s="50">
        <v>0</v>
      </c>
      <c r="O23" s="15">
        <f t="shared" si="0"/>
        <v>14</v>
      </c>
      <c r="P23" s="15">
        <f t="shared" si="1"/>
        <v>38</v>
      </c>
      <c r="R23" s="38" t="s">
        <v>91</v>
      </c>
      <c r="S23" s="39">
        <f>MAX(S13:S18)</f>
        <v>20</v>
      </c>
      <c r="T23" s="39">
        <f t="shared" ref="T23:AF23" si="15">MAX(T13:T18)</f>
        <v>4</v>
      </c>
      <c r="U23" s="39">
        <f t="shared" si="15"/>
        <v>20</v>
      </c>
      <c r="V23" s="39">
        <f t="shared" si="15"/>
        <v>15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124</v>
      </c>
      <c r="AD23" s="39">
        <f t="shared" si="15"/>
        <v>0</v>
      </c>
      <c r="AE23" s="40">
        <f t="shared" si="15"/>
        <v>57</v>
      </c>
      <c r="AF23" s="40">
        <f t="shared" si="15"/>
        <v>169</v>
      </c>
    </row>
    <row r="24" spans="2:32" ht="23.1" customHeight="1" x14ac:dyDescent="0.25">
      <c r="B24" s="23" t="s">
        <v>51</v>
      </c>
      <c r="C24" s="50">
        <v>3</v>
      </c>
      <c r="D24" s="50">
        <v>0</v>
      </c>
      <c r="E24" s="50">
        <v>3</v>
      </c>
      <c r="F24" s="50">
        <v>4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23</v>
      </c>
      <c r="N24" s="50">
        <v>0</v>
      </c>
      <c r="O24" s="15">
        <f t="shared" si="0"/>
        <v>11</v>
      </c>
      <c r="P24" s="15">
        <f t="shared" si="1"/>
        <v>34</v>
      </c>
      <c r="R24" s="38" t="s">
        <v>92</v>
      </c>
      <c r="S24" s="39">
        <f>MAX(S19:S21)</f>
        <v>10</v>
      </c>
      <c r="T24" s="39">
        <f t="shared" ref="T24:AF24" si="16">MAX(T19:T21)</f>
        <v>2</v>
      </c>
      <c r="U24" s="39">
        <f t="shared" si="16"/>
        <v>11</v>
      </c>
      <c r="V24" s="39">
        <f t="shared" si="16"/>
        <v>12</v>
      </c>
      <c r="W24" s="39">
        <f t="shared" si="16"/>
        <v>1</v>
      </c>
      <c r="X24" s="39">
        <f t="shared" si="16"/>
        <v>1</v>
      </c>
      <c r="Y24" s="39">
        <f t="shared" si="16"/>
        <v>4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103</v>
      </c>
      <c r="AD24" s="39">
        <f t="shared" si="16"/>
        <v>0</v>
      </c>
      <c r="AE24" s="40">
        <f t="shared" si="16"/>
        <v>36</v>
      </c>
      <c r="AF24" s="40">
        <f t="shared" si="16"/>
        <v>139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2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18</v>
      </c>
      <c r="N25" s="50">
        <v>0</v>
      </c>
      <c r="O25" s="15">
        <f t="shared" si="0"/>
        <v>4</v>
      </c>
      <c r="P25" s="15">
        <f t="shared" si="1"/>
        <v>22</v>
      </c>
      <c r="R25" s="37" t="s">
        <v>85</v>
      </c>
      <c r="S25" s="35">
        <f t="shared" ref="S25:AF25" si="17">SUM(S10:S12)</f>
        <v>18</v>
      </c>
      <c r="T25" s="16">
        <f t="shared" si="17"/>
        <v>0</v>
      </c>
      <c r="U25" s="16">
        <f t="shared" si="17"/>
        <v>16</v>
      </c>
      <c r="V25" s="16">
        <f t="shared" si="17"/>
        <v>16</v>
      </c>
      <c r="W25" s="16">
        <f t="shared" si="17"/>
        <v>1</v>
      </c>
      <c r="X25" s="16">
        <f t="shared" si="17"/>
        <v>0</v>
      </c>
      <c r="Y25" s="16">
        <f t="shared" si="17"/>
        <v>12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290</v>
      </c>
      <c r="AD25" s="16">
        <f t="shared" si="17"/>
        <v>1</v>
      </c>
      <c r="AE25" s="32">
        <f t="shared" si="17"/>
        <v>64</v>
      </c>
      <c r="AF25" s="32">
        <f t="shared" si="17"/>
        <v>354</v>
      </c>
    </row>
    <row r="26" spans="2:32" ht="23.1" customHeight="1" x14ac:dyDescent="0.25">
      <c r="B26" s="23" t="s">
        <v>53</v>
      </c>
      <c r="C26" s="50">
        <v>6</v>
      </c>
      <c r="D26" s="50">
        <v>0</v>
      </c>
      <c r="E26" s="50">
        <v>3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28</v>
      </c>
      <c r="N26" s="50">
        <v>0</v>
      </c>
      <c r="O26" s="15">
        <f t="shared" si="0"/>
        <v>9</v>
      </c>
      <c r="P26" s="15">
        <f t="shared" si="1"/>
        <v>37</v>
      </c>
      <c r="R26" s="28" t="s">
        <v>86</v>
      </c>
      <c r="S26" s="16">
        <f t="shared" ref="S26:AF26" si="18">SUM(S13:S18)</f>
        <v>89</v>
      </c>
      <c r="T26" s="16">
        <f t="shared" si="18"/>
        <v>11</v>
      </c>
      <c r="U26" s="16">
        <f t="shared" si="18"/>
        <v>77</v>
      </c>
      <c r="V26" s="16">
        <f t="shared" si="18"/>
        <v>60</v>
      </c>
      <c r="W26" s="16">
        <f t="shared" si="18"/>
        <v>0</v>
      </c>
      <c r="X26" s="16">
        <f t="shared" si="18"/>
        <v>0</v>
      </c>
      <c r="Y26" s="16">
        <f t="shared" si="18"/>
        <v>21</v>
      </c>
      <c r="Z26" s="16">
        <f t="shared" si="18"/>
        <v>3</v>
      </c>
      <c r="AA26" s="16">
        <f t="shared" si="18"/>
        <v>0</v>
      </c>
      <c r="AB26" s="16">
        <f t="shared" si="18"/>
        <v>0</v>
      </c>
      <c r="AC26" s="16">
        <f t="shared" si="18"/>
        <v>647</v>
      </c>
      <c r="AD26" s="16">
        <f t="shared" si="18"/>
        <v>0</v>
      </c>
      <c r="AE26" s="32">
        <f t="shared" si="18"/>
        <v>261</v>
      </c>
      <c r="AF26" s="32">
        <f t="shared" si="18"/>
        <v>908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2</v>
      </c>
      <c r="F27" s="50">
        <v>3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24</v>
      </c>
      <c r="N27" s="50">
        <v>0</v>
      </c>
      <c r="O27" s="15">
        <f t="shared" si="0"/>
        <v>9</v>
      </c>
      <c r="P27" s="15">
        <f t="shared" si="1"/>
        <v>33</v>
      </c>
      <c r="R27" s="29" t="s">
        <v>87</v>
      </c>
      <c r="S27" s="16">
        <f t="shared" ref="S27:AF27" si="19">SUM(S19:S21)</f>
        <v>28</v>
      </c>
      <c r="T27" s="16">
        <f t="shared" si="19"/>
        <v>3</v>
      </c>
      <c r="U27" s="16">
        <f t="shared" si="19"/>
        <v>25</v>
      </c>
      <c r="V27" s="16">
        <f t="shared" si="19"/>
        <v>28</v>
      </c>
      <c r="W27" s="16">
        <f t="shared" si="19"/>
        <v>3</v>
      </c>
      <c r="X27" s="16">
        <f t="shared" si="19"/>
        <v>1</v>
      </c>
      <c r="Y27" s="16">
        <f t="shared" si="19"/>
        <v>10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298</v>
      </c>
      <c r="AD27" s="16">
        <f t="shared" si="19"/>
        <v>0</v>
      </c>
      <c r="AE27" s="32">
        <f t="shared" si="19"/>
        <v>100</v>
      </c>
      <c r="AF27" s="32">
        <f t="shared" si="19"/>
        <v>398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3</v>
      </c>
      <c r="F28" s="50">
        <v>3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20</v>
      </c>
      <c r="N28" s="50">
        <v>0</v>
      </c>
      <c r="O28" s="15">
        <f t="shared" si="0"/>
        <v>12</v>
      </c>
      <c r="P28" s="15">
        <f t="shared" si="1"/>
        <v>32</v>
      </c>
      <c r="R28" s="5" t="s">
        <v>17</v>
      </c>
      <c r="S28" s="16">
        <f t="shared" ref="S28:AF28" si="20">SUM(S10:S21)</f>
        <v>135</v>
      </c>
      <c r="T28" s="16">
        <f t="shared" si="20"/>
        <v>14</v>
      </c>
      <c r="U28" s="16">
        <f t="shared" si="20"/>
        <v>118</v>
      </c>
      <c r="V28" s="16">
        <f t="shared" si="20"/>
        <v>104</v>
      </c>
      <c r="W28" s="16">
        <f t="shared" si="20"/>
        <v>4</v>
      </c>
      <c r="X28" s="16">
        <f t="shared" si="20"/>
        <v>1</v>
      </c>
      <c r="Y28" s="16">
        <f t="shared" si="20"/>
        <v>43</v>
      </c>
      <c r="Z28" s="16">
        <f t="shared" si="20"/>
        <v>5</v>
      </c>
      <c r="AA28" s="16">
        <f t="shared" si="20"/>
        <v>0</v>
      </c>
      <c r="AB28" s="16">
        <f t="shared" si="20"/>
        <v>0</v>
      </c>
      <c r="AC28" s="16">
        <f t="shared" si="20"/>
        <v>1235</v>
      </c>
      <c r="AD28" s="16">
        <f t="shared" si="20"/>
        <v>1</v>
      </c>
      <c r="AE28" s="32">
        <f t="shared" si="20"/>
        <v>425</v>
      </c>
      <c r="AF28" s="32">
        <f t="shared" si="20"/>
        <v>1660</v>
      </c>
    </row>
    <row r="29" spans="2:32" ht="23.1" customHeight="1" x14ac:dyDescent="0.25">
      <c r="B29" s="23" t="s">
        <v>56</v>
      </c>
      <c r="C29" s="50">
        <v>6</v>
      </c>
      <c r="D29" s="50">
        <v>0</v>
      </c>
      <c r="E29" s="50">
        <v>1</v>
      </c>
      <c r="F29" s="50">
        <v>2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25</v>
      </c>
      <c r="N29" s="50">
        <v>0</v>
      </c>
      <c r="O29" s="15">
        <f t="shared" si="0"/>
        <v>10</v>
      </c>
      <c r="P29" s="15">
        <f t="shared" si="1"/>
        <v>35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1</v>
      </c>
      <c r="E30" s="50">
        <v>4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32</v>
      </c>
      <c r="N30" s="50">
        <v>0</v>
      </c>
      <c r="O30" s="15">
        <f t="shared" si="0"/>
        <v>7</v>
      </c>
      <c r="P30" s="15">
        <f t="shared" si="1"/>
        <v>39</v>
      </c>
    </row>
    <row r="31" spans="2:32" ht="23.1" customHeight="1" x14ac:dyDescent="0.25">
      <c r="B31" s="24" t="s">
        <v>58</v>
      </c>
      <c r="C31" s="50">
        <v>2</v>
      </c>
      <c r="D31" s="50">
        <v>2</v>
      </c>
      <c r="E31" s="50">
        <v>7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26</v>
      </c>
      <c r="N31" s="50">
        <v>0</v>
      </c>
      <c r="O31" s="15">
        <f t="shared" si="0"/>
        <v>12</v>
      </c>
      <c r="P31" s="15">
        <f t="shared" si="1"/>
        <v>38</v>
      </c>
    </row>
    <row r="32" spans="2:32" ht="23.1" customHeight="1" x14ac:dyDescent="0.25">
      <c r="B32" s="24" t="s">
        <v>59</v>
      </c>
      <c r="C32" s="50">
        <v>5</v>
      </c>
      <c r="D32" s="50">
        <v>0</v>
      </c>
      <c r="E32" s="50">
        <v>1</v>
      </c>
      <c r="F32" s="50">
        <v>4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32</v>
      </c>
      <c r="N32" s="50">
        <v>0</v>
      </c>
      <c r="O32" s="15">
        <f t="shared" si="0"/>
        <v>11</v>
      </c>
      <c r="P32" s="15">
        <f t="shared" si="1"/>
        <v>43</v>
      </c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2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34</v>
      </c>
      <c r="N33" s="50">
        <v>0</v>
      </c>
      <c r="O33" s="15">
        <f t="shared" si="0"/>
        <v>6</v>
      </c>
      <c r="P33" s="15">
        <f t="shared" si="1"/>
        <v>40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35</v>
      </c>
      <c r="N34" s="50">
        <v>0</v>
      </c>
      <c r="O34" s="15">
        <f t="shared" si="0"/>
        <v>3</v>
      </c>
      <c r="P34" s="15">
        <f t="shared" si="1"/>
        <v>38</v>
      </c>
    </row>
    <row r="35" spans="2:20" ht="23.1" customHeight="1" x14ac:dyDescent="0.25">
      <c r="B35" s="24" t="s">
        <v>62</v>
      </c>
      <c r="C35" s="50">
        <v>3</v>
      </c>
      <c r="D35" s="50">
        <v>1</v>
      </c>
      <c r="E35" s="50">
        <v>6</v>
      </c>
      <c r="F35" s="50">
        <v>6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27</v>
      </c>
      <c r="N35" s="50">
        <v>0</v>
      </c>
      <c r="O35" s="15">
        <f t="shared" si="0"/>
        <v>16</v>
      </c>
      <c r="P35" s="15">
        <f t="shared" si="1"/>
        <v>43</v>
      </c>
    </row>
    <row r="36" spans="2:20" ht="23.1" customHeight="1" x14ac:dyDescent="0.25">
      <c r="B36" s="24" t="s">
        <v>63</v>
      </c>
      <c r="C36" s="50">
        <v>8</v>
      </c>
      <c r="D36" s="50">
        <v>2</v>
      </c>
      <c r="E36" s="50">
        <v>8</v>
      </c>
      <c r="F36" s="50">
        <v>4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32</v>
      </c>
      <c r="N36" s="50">
        <v>0</v>
      </c>
      <c r="O36" s="15">
        <f t="shared" si="0"/>
        <v>24</v>
      </c>
      <c r="P36" s="15">
        <f t="shared" si="1"/>
        <v>56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24</v>
      </c>
      <c r="N37" s="50">
        <v>0</v>
      </c>
      <c r="O37" s="15">
        <f t="shared" si="0"/>
        <v>8</v>
      </c>
      <c r="P37" s="15">
        <f t="shared" si="1"/>
        <v>32</v>
      </c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6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30</v>
      </c>
      <c r="N38" s="50">
        <v>0</v>
      </c>
      <c r="O38" s="15">
        <f t="shared" si="0"/>
        <v>12</v>
      </c>
      <c r="P38" s="15">
        <f t="shared" si="1"/>
        <v>42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3</v>
      </c>
      <c r="F39" s="50">
        <v>5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35</v>
      </c>
      <c r="N39" s="50">
        <v>0</v>
      </c>
      <c r="O39" s="15">
        <f t="shared" si="0"/>
        <v>13</v>
      </c>
      <c r="P39" s="15">
        <f t="shared" si="1"/>
        <v>48</v>
      </c>
    </row>
    <row r="40" spans="2:20" ht="23.1" customHeight="1" x14ac:dyDescent="0.25">
      <c r="B40" s="24" t="s">
        <v>67</v>
      </c>
      <c r="C40" s="50">
        <v>5</v>
      </c>
      <c r="D40" s="50">
        <v>1</v>
      </c>
      <c r="E40" s="50">
        <v>4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12</v>
      </c>
      <c r="P40" s="15">
        <f t="shared" si="1"/>
        <v>28</v>
      </c>
    </row>
    <row r="41" spans="2:20" ht="23.1" customHeight="1" x14ac:dyDescent="0.25">
      <c r="B41" s="23" t="s">
        <v>68</v>
      </c>
      <c r="C41" s="50">
        <v>7</v>
      </c>
      <c r="D41" s="50">
        <v>2</v>
      </c>
      <c r="E41" s="50">
        <v>7</v>
      </c>
      <c r="F41" s="50">
        <v>4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24</v>
      </c>
      <c r="N41" s="50">
        <v>0</v>
      </c>
      <c r="O41" s="15">
        <f t="shared" si="0"/>
        <v>20</v>
      </c>
      <c r="P41" s="15">
        <f t="shared" si="1"/>
        <v>44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1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34</v>
      </c>
      <c r="N42" s="50">
        <v>0</v>
      </c>
      <c r="O42" s="15">
        <f t="shared" si="0"/>
        <v>7</v>
      </c>
      <c r="P42" s="15">
        <f t="shared" si="1"/>
        <v>41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2</v>
      </c>
      <c r="F43" s="50">
        <v>3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27</v>
      </c>
      <c r="N43" s="50">
        <v>0</v>
      </c>
      <c r="O43" s="15">
        <f t="shared" si="0"/>
        <v>11</v>
      </c>
      <c r="P43" s="15">
        <f t="shared" si="1"/>
        <v>38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3</v>
      </c>
      <c r="F44" s="50">
        <v>5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24</v>
      </c>
      <c r="N44" s="50">
        <v>0</v>
      </c>
      <c r="O44" s="15">
        <f t="shared" si="0"/>
        <v>12</v>
      </c>
      <c r="P44" s="15">
        <f t="shared" si="1"/>
        <v>36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3</v>
      </c>
      <c r="F45" s="50">
        <v>5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17</v>
      </c>
      <c r="N45" s="50">
        <v>0</v>
      </c>
      <c r="O45" s="15">
        <f t="shared" si="0"/>
        <v>11</v>
      </c>
      <c r="P45" s="15">
        <f t="shared" si="1"/>
        <v>28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3</v>
      </c>
      <c r="F46" s="50">
        <v>2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23</v>
      </c>
      <c r="N46" s="50">
        <v>0</v>
      </c>
      <c r="O46" s="15">
        <f t="shared" si="0"/>
        <v>7</v>
      </c>
      <c r="P46" s="15">
        <f t="shared" si="1"/>
        <v>30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0</v>
      </c>
      <c r="E47" s="50">
        <v>0</v>
      </c>
      <c r="F47" s="50">
        <v>2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31</v>
      </c>
      <c r="N47" s="50">
        <v>0</v>
      </c>
      <c r="O47" s="15">
        <f t="shared" si="0"/>
        <v>9</v>
      </c>
      <c r="P47" s="15">
        <f t="shared" si="1"/>
        <v>40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2</v>
      </c>
      <c r="F48" s="50">
        <v>5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17</v>
      </c>
      <c r="N48" s="50">
        <v>0</v>
      </c>
      <c r="O48" s="15">
        <f t="shared" si="0"/>
        <v>9</v>
      </c>
      <c r="P48" s="15">
        <f t="shared" si="1"/>
        <v>26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1</v>
      </c>
      <c r="F49" s="50">
        <v>3</v>
      </c>
      <c r="G49" s="50">
        <v>1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23</v>
      </c>
      <c r="N49" s="50">
        <v>0</v>
      </c>
      <c r="O49" s="15">
        <f t="shared" si="0"/>
        <v>7</v>
      </c>
      <c r="P49" s="15">
        <f t="shared" si="1"/>
        <v>30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3</v>
      </c>
      <c r="F50" s="50">
        <v>3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28</v>
      </c>
      <c r="N50" s="50">
        <v>0</v>
      </c>
      <c r="O50" s="15">
        <f t="shared" si="0"/>
        <v>10</v>
      </c>
      <c r="P50" s="15">
        <f t="shared" si="1"/>
        <v>38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2</v>
      </c>
      <c r="E51" s="50">
        <v>7</v>
      </c>
      <c r="F51" s="50">
        <v>0</v>
      </c>
      <c r="G51" s="50">
        <v>1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25</v>
      </c>
      <c r="N51" s="50">
        <v>0</v>
      </c>
      <c r="O51" s="15">
        <f t="shared" si="0"/>
        <v>13</v>
      </c>
      <c r="P51" s="15">
        <f t="shared" si="1"/>
        <v>38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0</v>
      </c>
      <c r="F52" s="50">
        <v>4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27</v>
      </c>
      <c r="N52" s="50">
        <v>0</v>
      </c>
      <c r="O52" s="15">
        <f t="shared" si="0"/>
        <v>8</v>
      </c>
      <c r="P52" s="15">
        <f t="shared" si="1"/>
        <v>35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23</v>
      </c>
      <c r="N53" s="50">
        <v>0</v>
      </c>
      <c r="O53" s="15">
        <f t="shared" si="0"/>
        <v>5</v>
      </c>
      <c r="P53" s="15">
        <f t="shared" si="1"/>
        <v>28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3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30</v>
      </c>
      <c r="N54" s="50">
        <v>0</v>
      </c>
      <c r="O54" s="15">
        <f t="shared" si="0"/>
        <v>9</v>
      </c>
      <c r="P54" s="15">
        <f t="shared" si="1"/>
        <v>39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23</v>
      </c>
      <c r="N55" s="50">
        <v>0</v>
      </c>
      <c r="O55" s="15">
        <f t="shared" si="0"/>
        <v>3</v>
      </c>
      <c r="P55" s="15">
        <f t="shared" si="1"/>
        <v>26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1</v>
      </c>
      <c r="F56" s="50">
        <v>1</v>
      </c>
      <c r="G56" s="50">
        <v>0</v>
      </c>
      <c r="H56" s="50">
        <v>1</v>
      </c>
      <c r="I56" s="50">
        <v>0</v>
      </c>
      <c r="J56" s="50">
        <v>0</v>
      </c>
      <c r="K56" s="50">
        <v>0</v>
      </c>
      <c r="L56" s="50">
        <v>0</v>
      </c>
      <c r="M56" s="50">
        <v>27</v>
      </c>
      <c r="N56" s="50">
        <v>0</v>
      </c>
      <c r="O56" s="15">
        <f t="shared" si="0"/>
        <v>5</v>
      </c>
      <c r="P56" s="15">
        <f t="shared" si="1"/>
        <v>32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1</v>
      </c>
      <c r="E57" s="50">
        <v>4</v>
      </c>
      <c r="F57" s="50">
        <v>6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21</v>
      </c>
      <c r="N57" s="50">
        <v>0</v>
      </c>
      <c r="O57" s="15">
        <f t="shared" si="0"/>
        <v>15</v>
      </c>
      <c r="P57" s="15">
        <f t="shared" si="1"/>
        <v>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135</v>
      </c>
      <c r="D58" s="16">
        <f t="shared" si="21"/>
        <v>14</v>
      </c>
      <c r="E58" s="16">
        <f t="shared" si="21"/>
        <v>118</v>
      </c>
      <c r="F58" s="16">
        <f t="shared" si="21"/>
        <v>104</v>
      </c>
      <c r="G58" s="16">
        <f t="shared" si="21"/>
        <v>4</v>
      </c>
      <c r="H58" s="16">
        <f t="shared" si="21"/>
        <v>1</v>
      </c>
      <c r="I58" s="16">
        <f t="shared" si="21"/>
        <v>43</v>
      </c>
      <c r="J58" s="16">
        <f t="shared" si="21"/>
        <v>5</v>
      </c>
      <c r="K58" s="16">
        <f t="shared" si="21"/>
        <v>0</v>
      </c>
      <c r="L58" s="16">
        <f t="shared" si="21"/>
        <v>0</v>
      </c>
      <c r="M58" s="16">
        <f t="shared" si="21"/>
        <v>1235</v>
      </c>
      <c r="N58" s="16">
        <f t="shared" si="21"/>
        <v>1</v>
      </c>
      <c r="O58" s="16">
        <f t="shared" si="21"/>
        <v>425</v>
      </c>
      <c r="P58" s="16">
        <f t="shared" si="21"/>
        <v>1660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8.1325301204819275E-2</v>
      </c>
      <c r="D59" s="43">
        <f t="shared" si="22"/>
        <v>8.4337349397590362E-3</v>
      </c>
      <c r="E59" s="43">
        <f t="shared" si="22"/>
        <v>7.1084337349397592E-2</v>
      </c>
      <c r="F59" s="43">
        <f t="shared" si="22"/>
        <v>6.2650602409638559E-2</v>
      </c>
      <c r="G59" s="43">
        <f t="shared" si="22"/>
        <v>2.4096385542168677E-3</v>
      </c>
      <c r="H59" s="43">
        <f t="shared" si="22"/>
        <v>6.0240963855421692E-4</v>
      </c>
      <c r="I59" s="43">
        <f t="shared" si="22"/>
        <v>2.5903614457831327E-2</v>
      </c>
      <c r="J59" s="43">
        <f t="shared" si="22"/>
        <v>3.0120481927710845E-3</v>
      </c>
      <c r="K59" s="43">
        <f t="shared" si="22"/>
        <v>0</v>
      </c>
      <c r="L59" s="43">
        <f t="shared" si="22"/>
        <v>0</v>
      </c>
      <c r="M59" s="43">
        <f t="shared" si="22"/>
        <v>0.74397590361445787</v>
      </c>
      <c r="N59" s="43">
        <f t="shared" si="22"/>
        <v>6.0240963855421692E-4</v>
      </c>
      <c r="R59" s="8"/>
      <c r="T59"/>
    </row>
    <row r="60" spans="2:20" ht="23.1" customHeight="1" x14ac:dyDescent="0.25">
      <c r="B60" s="42" t="s">
        <v>94</v>
      </c>
      <c r="C60" s="44">
        <f>C58/$O$58</f>
        <v>0.31764705882352939</v>
      </c>
      <c r="D60" s="44">
        <f t="shared" ref="D60:N60" si="23">D58/$O$58</f>
        <v>3.2941176470588238E-2</v>
      </c>
      <c r="E60" s="44">
        <f t="shared" si="23"/>
        <v>0.27764705882352941</v>
      </c>
      <c r="F60" s="44">
        <f t="shared" si="23"/>
        <v>0.24470588235294119</v>
      </c>
      <c r="G60" s="44">
        <f t="shared" si="23"/>
        <v>9.4117647058823521E-3</v>
      </c>
      <c r="H60" s="44">
        <f t="shared" si="23"/>
        <v>2.352941176470588E-3</v>
      </c>
      <c r="I60" s="44">
        <f t="shared" si="23"/>
        <v>0.1011764705882353</v>
      </c>
      <c r="J60" s="44">
        <f t="shared" si="23"/>
        <v>1.1764705882352941E-2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2.352941176470588E-3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O5" sqref="O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Malaba-Tororo'!C3:G3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3" t="str">
        <f>'12.08 Malaba-Tororo'!G5:H5</f>
        <v>xxx</v>
      </c>
      <c r="H5" s="64"/>
      <c r="I5" s="14"/>
      <c r="J5" s="2" t="s">
        <v>5</v>
      </c>
      <c r="K5" s="63" t="str">
        <f>'12.08 Malaba-Tororo'!K5:L5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Malaba-Tororo'!D6:E6</f>
        <v>Malaba</v>
      </c>
      <c r="E6" s="64"/>
      <c r="F6" s="2" t="s">
        <v>2</v>
      </c>
      <c r="G6" s="63" t="str">
        <f>'12.08 Malaba-Tororo'!G6:H6</f>
        <v>Tororo</v>
      </c>
      <c r="H6" s="64"/>
      <c r="J6" s="2" t="s">
        <v>21</v>
      </c>
      <c r="K6" s="63" t="str">
        <f>'12.08 Malaba-Tororo'!K6:L6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1</v>
      </c>
      <c r="E10" s="50">
        <v>6</v>
      </c>
      <c r="F10" s="50">
        <v>3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24</v>
      </c>
      <c r="R10" s="1" t="s">
        <v>6</v>
      </c>
      <c r="S10" s="17">
        <f t="shared" ref="S10:AF10" si="2">SUM(C10:C13)</f>
        <v>3</v>
      </c>
      <c r="T10" s="17">
        <f t="shared" si="2"/>
        <v>1</v>
      </c>
      <c r="U10" s="17">
        <f t="shared" si="2"/>
        <v>9</v>
      </c>
      <c r="V10" s="17">
        <f t="shared" si="2"/>
        <v>8</v>
      </c>
      <c r="W10" s="17">
        <f t="shared" si="2"/>
        <v>1</v>
      </c>
      <c r="X10" s="17">
        <f t="shared" si="2"/>
        <v>1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75</v>
      </c>
      <c r="AD10" s="17">
        <f t="shared" si="2"/>
        <v>0</v>
      </c>
      <c r="AE10" s="31">
        <f t="shared" si="2"/>
        <v>25</v>
      </c>
      <c r="AF10" s="31">
        <f t="shared" si="2"/>
        <v>100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2</v>
      </c>
      <c r="F11" s="50">
        <v>2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22</v>
      </c>
      <c r="N11" s="50">
        <v>0</v>
      </c>
      <c r="O11" s="15">
        <f t="shared" si="0"/>
        <v>5</v>
      </c>
      <c r="P11" s="15">
        <f t="shared" si="1"/>
        <v>27</v>
      </c>
      <c r="R11" s="1" t="s">
        <v>7</v>
      </c>
      <c r="S11" s="17">
        <f t="shared" ref="S11:AF11" si="3">SUM(C14:C17)</f>
        <v>6</v>
      </c>
      <c r="T11" s="17">
        <f t="shared" si="3"/>
        <v>0</v>
      </c>
      <c r="U11" s="17">
        <f t="shared" si="3"/>
        <v>3</v>
      </c>
      <c r="V11" s="17">
        <f t="shared" si="3"/>
        <v>8</v>
      </c>
      <c r="W11" s="17">
        <f t="shared" si="3"/>
        <v>0</v>
      </c>
      <c r="X11" s="17">
        <f t="shared" si="3"/>
        <v>1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113</v>
      </c>
      <c r="AD11" s="17">
        <f t="shared" si="3"/>
        <v>0</v>
      </c>
      <c r="AE11" s="31">
        <f t="shared" si="3"/>
        <v>19</v>
      </c>
      <c r="AF11" s="31">
        <f t="shared" si="3"/>
        <v>132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2</v>
      </c>
      <c r="G12" s="50">
        <v>0</v>
      </c>
      <c r="H12" s="50">
        <v>1</v>
      </c>
      <c r="I12" s="50">
        <v>0</v>
      </c>
      <c r="J12" s="50">
        <v>0</v>
      </c>
      <c r="K12" s="50">
        <v>0</v>
      </c>
      <c r="L12" s="50">
        <v>0</v>
      </c>
      <c r="M12" s="50">
        <v>13</v>
      </c>
      <c r="N12" s="50">
        <v>0</v>
      </c>
      <c r="O12" s="15">
        <f t="shared" si="0"/>
        <v>4</v>
      </c>
      <c r="P12" s="15">
        <f t="shared" si="1"/>
        <v>17</v>
      </c>
      <c r="R12" s="1" t="s">
        <v>8</v>
      </c>
      <c r="S12" s="17">
        <f t="shared" ref="S12:AF12" si="4">SUM(C18:C21)</f>
        <v>8</v>
      </c>
      <c r="T12" s="17">
        <f t="shared" si="4"/>
        <v>1</v>
      </c>
      <c r="U12" s="17">
        <f t="shared" si="4"/>
        <v>8</v>
      </c>
      <c r="V12" s="17">
        <f t="shared" si="4"/>
        <v>9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108</v>
      </c>
      <c r="AD12" s="17">
        <f t="shared" si="4"/>
        <v>0</v>
      </c>
      <c r="AE12" s="31">
        <f t="shared" si="4"/>
        <v>30</v>
      </c>
      <c r="AF12" s="31">
        <f t="shared" si="4"/>
        <v>138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28</v>
      </c>
      <c r="N13" s="50">
        <v>0</v>
      </c>
      <c r="O13" s="15">
        <f t="shared" si="0"/>
        <v>4</v>
      </c>
      <c r="P13" s="15">
        <f t="shared" si="1"/>
        <v>32</v>
      </c>
      <c r="R13" s="1" t="s">
        <v>9</v>
      </c>
      <c r="S13" s="17">
        <f t="shared" ref="S13:AF13" si="5">SUM(C22:C25)</f>
        <v>18</v>
      </c>
      <c r="T13" s="17">
        <f t="shared" si="5"/>
        <v>0</v>
      </c>
      <c r="U13" s="17">
        <f t="shared" si="5"/>
        <v>9</v>
      </c>
      <c r="V13" s="17">
        <f t="shared" si="5"/>
        <v>9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120</v>
      </c>
      <c r="AD13" s="17">
        <f t="shared" si="5"/>
        <v>0</v>
      </c>
      <c r="AE13" s="31">
        <f t="shared" si="5"/>
        <v>43</v>
      </c>
      <c r="AF13" s="31">
        <f t="shared" si="5"/>
        <v>163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2</v>
      </c>
      <c r="G14" s="50">
        <v>0</v>
      </c>
      <c r="H14" s="50">
        <v>1</v>
      </c>
      <c r="I14" s="50">
        <v>0</v>
      </c>
      <c r="J14" s="50">
        <v>0</v>
      </c>
      <c r="K14" s="50">
        <v>0</v>
      </c>
      <c r="L14" s="50">
        <v>0</v>
      </c>
      <c r="M14" s="50">
        <v>23</v>
      </c>
      <c r="N14" s="50">
        <v>0</v>
      </c>
      <c r="O14" s="15">
        <f t="shared" si="0"/>
        <v>3</v>
      </c>
      <c r="P14" s="15">
        <f t="shared" si="1"/>
        <v>26</v>
      </c>
      <c r="R14" s="1" t="s">
        <v>10</v>
      </c>
      <c r="S14" s="17">
        <f t="shared" ref="S14:AF14" si="6">SUM(C26:C29)</f>
        <v>9</v>
      </c>
      <c r="T14" s="17">
        <f t="shared" si="6"/>
        <v>1</v>
      </c>
      <c r="U14" s="17">
        <f t="shared" si="6"/>
        <v>12</v>
      </c>
      <c r="V14" s="17">
        <f t="shared" si="6"/>
        <v>12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137</v>
      </c>
      <c r="AD14" s="17">
        <f t="shared" si="6"/>
        <v>0</v>
      </c>
      <c r="AE14" s="31">
        <f t="shared" si="6"/>
        <v>40</v>
      </c>
      <c r="AF14" s="31">
        <f t="shared" si="6"/>
        <v>177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24</v>
      </c>
      <c r="N15" s="50">
        <v>0</v>
      </c>
      <c r="O15" s="15">
        <f t="shared" si="0"/>
        <v>2</v>
      </c>
      <c r="P15" s="15">
        <f t="shared" si="1"/>
        <v>26</v>
      </c>
      <c r="R15" s="1" t="s">
        <v>11</v>
      </c>
      <c r="S15" s="17">
        <f t="shared" ref="S15:AF15" si="7">SUM(C30:C33)</f>
        <v>13</v>
      </c>
      <c r="T15" s="17">
        <f t="shared" si="7"/>
        <v>2</v>
      </c>
      <c r="U15" s="17">
        <f t="shared" si="7"/>
        <v>13</v>
      </c>
      <c r="V15" s="17">
        <f t="shared" si="7"/>
        <v>14</v>
      </c>
      <c r="W15" s="17">
        <f t="shared" si="7"/>
        <v>0</v>
      </c>
      <c r="X15" s="17">
        <f t="shared" si="7"/>
        <v>2</v>
      </c>
      <c r="Y15" s="17">
        <f t="shared" si="7"/>
        <v>4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124</v>
      </c>
      <c r="AD15" s="17">
        <f t="shared" si="7"/>
        <v>0</v>
      </c>
      <c r="AE15" s="31">
        <f t="shared" si="7"/>
        <v>49</v>
      </c>
      <c r="AF15" s="31">
        <f t="shared" si="7"/>
        <v>173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1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35</v>
      </c>
      <c r="N16" s="50">
        <v>0</v>
      </c>
      <c r="O16" s="15">
        <f t="shared" si="0"/>
        <v>7</v>
      </c>
      <c r="P16" s="15">
        <f t="shared" si="1"/>
        <v>42</v>
      </c>
      <c r="R16" s="1" t="s">
        <v>12</v>
      </c>
      <c r="S16" s="17">
        <f t="shared" ref="S16:AF16" si="8">SUM(C34:C37)</f>
        <v>15</v>
      </c>
      <c r="T16" s="17">
        <f t="shared" si="8"/>
        <v>0</v>
      </c>
      <c r="U16" s="17">
        <f t="shared" si="8"/>
        <v>8</v>
      </c>
      <c r="V16" s="17">
        <f t="shared" si="8"/>
        <v>12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121</v>
      </c>
      <c r="AD16" s="17">
        <f t="shared" si="8"/>
        <v>0</v>
      </c>
      <c r="AE16" s="31">
        <f t="shared" si="8"/>
        <v>39</v>
      </c>
      <c r="AF16" s="31">
        <f t="shared" si="8"/>
        <v>160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1</v>
      </c>
      <c r="F17" s="50">
        <v>3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31</v>
      </c>
      <c r="N17" s="50">
        <v>0</v>
      </c>
      <c r="O17" s="15">
        <f t="shared" si="0"/>
        <v>7</v>
      </c>
      <c r="P17" s="15">
        <f t="shared" si="1"/>
        <v>38</v>
      </c>
      <c r="R17" s="1" t="s">
        <v>13</v>
      </c>
      <c r="S17" s="17">
        <f t="shared" ref="S17:AF17" si="9">SUM(C38:C41)</f>
        <v>11</v>
      </c>
      <c r="T17" s="17">
        <f t="shared" si="9"/>
        <v>1</v>
      </c>
      <c r="U17" s="17">
        <f t="shared" si="9"/>
        <v>8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97</v>
      </c>
      <c r="AD17" s="17">
        <f t="shared" si="9"/>
        <v>0</v>
      </c>
      <c r="AE17" s="31">
        <f t="shared" si="9"/>
        <v>26</v>
      </c>
      <c r="AF17" s="31">
        <f t="shared" si="9"/>
        <v>123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2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23</v>
      </c>
      <c r="N18" s="50">
        <v>0</v>
      </c>
      <c r="O18" s="15">
        <f t="shared" si="0"/>
        <v>8</v>
      </c>
      <c r="P18" s="15">
        <f t="shared" si="1"/>
        <v>31</v>
      </c>
      <c r="R18" s="1" t="s">
        <v>14</v>
      </c>
      <c r="S18" s="17">
        <f t="shared" ref="S18:AF18" si="10">SUM(C42:C45)</f>
        <v>8</v>
      </c>
      <c r="T18" s="17">
        <f t="shared" si="10"/>
        <v>2</v>
      </c>
      <c r="U18" s="17">
        <f t="shared" si="10"/>
        <v>10</v>
      </c>
      <c r="V18" s="17">
        <f t="shared" si="10"/>
        <v>12</v>
      </c>
      <c r="W18" s="17">
        <f t="shared" si="10"/>
        <v>1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105</v>
      </c>
      <c r="AD18" s="17">
        <f t="shared" si="10"/>
        <v>0</v>
      </c>
      <c r="AE18" s="31">
        <f t="shared" si="10"/>
        <v>37</v>
      </c>
      <c r="AF18" s="31">
        <f t="shared" si="10"/>
        <v>142</v>
      </c>
    </row>
    <row r="19" spans="2:32" ht="23.1" customHeight="1" x14ac:dyDescent="0.25">
      <c r="B19" s="23" t="s">
        <v>46</v>
      </c>
      <c r="C19" s="50">
        <v>3</v>
      </c>
      <c r="D19" s="50">
        <v>1</v>
      </c>
      <c r="E19" s="50">
        <v>4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21</v>
      </c>
      <c r="N19" s="50">
        <v>0</v>
      </c>
      <c r="O19" s="15">
        <f t="shared" si="0"/>
        <v>9</v>
      </c>
      <c r="P19" s="15">
        <f t="shared" si="1"/>
        <v>30</v>
      </c>
      <c r="R19" s="1" t="s">
        <v>15</v>
      </c>
      <c r="S19" s="17">
        <f t="shared" ref="S19:AF19" si="11">SUM(C46:C49)</f>
        <v>24</v>
      </c>
      <c r="T19" s="17">
        <f t="shared" si="11"/>
        <v>2</v>
      </c>
      <c r="U19" s="17">
        <f t="shared" si="11"/>
        <v>10</v>
      </c>
      <c r="V19" s="17">
        <f t="shared" si="11"/>
        <v>12</v>
      </c>
      <c r="W19" s="17">
        <f t="shared" si="11"/>
        <v>1</v>
      </c>
      <c r="X19" s="17">
        <f t="shared" si="11"/>
        <v>0</v>
      </c>
      <c r="Y19" s="17">
        <f t="shared" si="11"/>
        <v>7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95</v>
      </c>
      <c r="AD19" s="17">
        <f t="shared" si="11"/>
        <v>0</v>
      </c>
      <c r="AE19" s="31">
        <f t="shared" si="11"/>
        <v>59</v>
      </c>
      <c r="AF19" s="31">
        <f t="shared" si="11"/>
        <v>154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1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31</v>
      </c>
      <c r="N20" s="50">
        <v>0</v>
      </c>
      <c r="O20" s="15">
        <f t="shared" si="0"/>
        <v>5</v>
      </c>
      <c r="P20" s="15">
        <f t="shared" si="1"/>
        <v>36</v>
      </c>
      <c r="R20" s="1" t="s">
        <v>16</v>
      </c>
      <c r="S20" s="17">
        <f t="shared" ref="S20:AF20" si="12">SUM(C50:C53)</f>
        <v>7</v>
      </c>
      <c r="T20" s="17">
        <f t="shared" si="12"/>
        <v>2</v>
      </c>
      <c r="U20" s="17">
        <f t="shared" si="12"/>
        <v>16</v>
      </c>
      <c r="V20" s="17">
        <f t="shared" si="12"/>
        <v>14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1</v>
      </c>
      <c r="AA20" s="17">
        <f t="shared" si="12"/>
        <v>2</v>
      </c>
      <c r="AB20" s="17">
        <f t="shared" si="12"/>
        <v>0</v>
      </c>
      <c r="AC20" s="17">
        <f t="shared" si="12"/>
        <v>91</v>
      </c>
      <c r="AD20" s="17">
        <f t="shared" si="12"/>
        <v>0</v>
      </c>
      <c r="AE20" s="31">
        <f t="shared" si="12"/>
        <v>45</v>
      </c>
      <c r="AF20" s="31">
        <f t="shared" si="12"/>
        <v>136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5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33</v>
      </c>
      <c r="N21" s="50">
        <v>0</v>
      </c>
      <c r="O21" s="15">
        <f t="shared" si="0"/>
        <v>8</v>
      </c>
      <c r="P21" s="15">
        <f t="shared" si="1"/>
        <v>41</v>
      </c>
      <c r="R21" s="36" t="s">
        <v>20</v>
      </c>
      <c r="S21" s="34">
        <f t="shared" ref="S21:AF21" si="13">SUM(C54:C57)</f>
        <v>13</v>
      </c>
      <c r="T21" s="17">
        <f t="shared" si="13"/>
        <v>1</v>
      </c>
      <c r="U21" s="17">
        <f t="shared" si="13"/>
        <v>6</v>
      </c>
      <c r="V21" s="17">
        <f t="shared" si="13"/>
        <v>10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106</v>
      </c>
      <c r="AD21" s="17">
        <f t="shared" si="13"/>
        <v>0</v>
      </c>
      <c r="AE21" s="31">
        <f t="shared" si="13"/>
        <v>38</v>
      </c>
      <c r="AF21" s="31">
        <f t="shared" si="13"/>
        <v>144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1</v>
      </c>
      <c r="F22" s="50">
        <v>2</v>
      </c>
      <c r="G22" s="50">
        <v>0</v>
      </c>
      <c r="H22" s="50">
        <v>0</v>
      </c>
      <c r="I22" s="50">
        <v>0</v>
      </c>
      <c r="J22" s="50">
        <v>3</v>
      </c>
      <c r="K22" s="50">
        <v>0</v>
      </c>
      <c r="L22" s="50">
        <v>0</v>
      </c>
      <c r="M22" s="50">
        <v>25</v>
      </c>
      <c r="N22" s="50">
        <v>0</v>
      </c>
      <c r="O22" s="15">
        <f t="shared" si="0"/>
        <v>8</v>
      </c>
      <c r="P22" s="15">
        <f t="shared" si="1"/>
        <v>33</v>
      </c>
      <c r="R22" s="38" t="s">
        <v>90</v>
      </c>
      <c r="S22" s="39">
        <f>MAX(S10:S12)</f>
        <v>8</v>
      </c>
      <c r="T22" s="39">
        <f t="shared" ref="T22:AF22" si="14">MAX(T10:T12)</f>
        <v>1</v>
      </c>
      <c r="U22" s="39">
        <f t="shared" si="14"/>
        <v>9</v>
      </c>
      <c r="V22" s="39">
        <f t="shared" si="14"/>
        <v>9</v>
      </c>
      <c r="W22" s="39">
        <f t="shared" si="14"/>
        <v>1</v>
      </c>
      <c r="X22" s="39">
        <f t="shared" si="14"/>
        <v>1</v>
      </c>
      <c r="Y22" s="39">
        <f t="shared" si="14"/>
        <v>4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113</v>
      </c>
      <c r="AD22" s="39">
        <f t="shared" si="14"/>
        <v>0</v>
      </c>
      <c r="AE22" s="40">
        <f t="shared" si="14"/>
        <v>30</v>
      </c>
      <c r="AF22" s="40">
        <f t="shared" si="14"/>
        <v>138</v>
      </c>
    </row>
    <row r="23" spans="2:32" ht="23.1" customHeight="1" x14ac:dyDescent="0.25">
      <c r="B23" s="23" t="s">
        <v>50</v>
      </c>
      <c r="C23" s="50">
        <v>4</v>
      </c>
      <c r="D23" s="50">
        <v>0</v>
      </c>
      <c r="E23" s="50">
        <v>3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24</v>
      </c>
      <c r="N23" s="50">
        <v>0</v>
      </c>
      <c r="O23" s="15">
        <f t="shared" si="0"/>
        <v>10</v>
      </c>
      <c r="P23" s="15">
        <f t="shared" si="1"/>
        <v>34</v>
      </c>
      <c r="R23" s="38" t="s">
        <v>91</v>
      </c>
      <c r="S23" s="39">
        <f>MAX(S13:S18)</f>
        <v>18</v>
      </c>
      <c r="T23" s="39">
        <f t="shared" ref="T23:AF23" si="15">MAX(T13:T18)</f>
        <v>2</v>
      </c>
      <c r="U23" s="39">
        <f t="shared" si="15"/>
        <v>13</v>
      </c>
      <c r="V23" s="39">
        <f t="shared" si="15"/>
        <v>14</v>
      </c>
      <c r="W23" s="39">
        <f t="shared" si="15"/>
        <v>1</v>
      </c>
      <c r="X23" s="39">
        <f t="shared" si="15"/>
        <v>2</v>
      </c>
      <c r="Y23" s="39">
        <f t="shared" si="15"/>
        <v>6</v>
      </c>
      <c r="Z23" s="39">
        <f t="shared" si="15"/>
        <v>3</v>
      </c>
      <c r="AA23" s="39">
        <f t="shared" si="15"/>
        <v>0</v>
      </c>
      <c r="AB23" s="39">
        <f t="shared" si="15"/>
        <v>0</v>
      </c>
      <c r="AC23" s="39">
        <f t="shared" si="15"/>
        <v>137</v>
      </c>
      <c r="AD23" s="39">
        <f t="shared" si="15"/>
        <v>0</v>
      </c>
      <c r="AE23" s="40">
        <f t="shared" si="15"/>
        <v>49</v>
      </c>
      <c r="AF23" s="40">
        <f t="shared" si="15"/>
        <v>177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3</v>
      </c>
      <c r="F24" s="50">
        <v>3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26</v>
      </c>
      <c r="N24" s="50">
        <v>0</v>
      </c>
      <c r="O24" s="15">
        <f t="shared" si="0"/>
        <v>11</v>
      </c>
      <c r="P24" s="15">
        <f t="shared" si="1"/>
        <v>37</v>
      </c>
      <c r="R24" s="38" t="s">
        <v>92</v>
      </c>
      <c r="S24" s="39">
        <f>MAX(S19:S21)</f>
        <v>24</v>
      </c>
      <c r="T24" s="39">
        <f t="shared" ref="T24:AF24" si="16">MAX(T19:T21)</f>
        <v>2</v>
      </c>
      <c r="U24" s="39">
        <f t="shared" si="16"/>
        <v>16</v>
      </c>
      <c r="V24" s="39">
        <f t="shared" si="16"/>
        <v>14</v>
      </c>
      <c r="W24" s="39">
        <f t="shared" si="16"/>
        <v>1</v>
      </c>
      <c r="X24" s="39">
        <f t="shared" si="16"/>
        <v>0</v>
      </c>
      <c r="Y24" s="39">
        <f t="shared" si="16"/>
        <v>7</v>
      </c>
      <c r="Z24" s="39">
        <f t="shared" si="16"/>
        <v>3</v>
      </c>
      <c r="AA24" s="39">
        <f t="shared" si="16"/>
        <v>2</v>
      </c>
      <c r="AB24" s="39">
        <f t="shared" si="16"/>
        <v>0</v>
      </c>
      <c r="AC24" s="39">
        <f t="shared" si="16"/>
        <v>106</v>
      </c>
      <c r="AD24" s="39">
        <f t="shared" si="16"/>
        <v>0</v>
      </c>
      <c r="AE24" s="40">
        <f t="shared" si="16"/>
        <v>59</v>
      </c>
      <c r="AF24" s="40">
        <f t="shared" si="16"/>
        <v>154</v>
      </c>
    </row>
    <row r="25" spans="2:32" ht="23.1" customHeight="1" x14ac:dyDescent="0.25">
      <c r="B25" s="23" t="s">
        <v>52</v>
      </c>
      <c r="C25" s="50">
        <v>8</v>
      </c>
      <c r="D25" s="50">
        <v>0</v>
      </c>
      <c r="E25" s="50">
        <v>2</v>
      </c>
      <c r="F25" s="50">
        <v>2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45</v>
      </c>
      <c r="N25" s="50">
        <v>0</v>
      </c>
      <c r="O25" s="15">
        <f t="shared" si="0"/>
        <v>14</v>
      </c>
      <c r="P25" s="15">
        <f t="shared" si="1"/>
        <v>59</v>
      </c>
      <c r="R25" s="37" t="s">
        <v>85</v>
      </c>
      <c r="S25" s="35">
        <f t="shared" ref="S25:AF25" si="17">SUM(S10:S12)</f>
        <v>17</v>
      </c>
      <c r="T25" s="16">
        <f t="shared" si="17"/>
        <v>2</v>
      </c>
      <c r="U25" s="16">
        <f t="shared" si="17"/>
        <v>20</v>
      </c>
      <c r="V25" s="16">
        <f t="shared" si="17"/>
        <v>25</v>
      </c>
      <c r="W25" s="16">
        <f t="shared" si="17"/>
        <v>1</v>
      </c>
      <c r="X25" s="16">
        <f t="shared" si="17"/>
        <v>2</v>
      </c>
      <c r="Y25" s="16">
        <f t="shared" si="17"/>
        <v>7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296</v>
      </c>
      <c r="AD25" s="16">
        <f t="shared" si="17"/>
        <v>0</v>
      </c>
      <c r="AE25" s="32">
        <f t="shared" si="17"/>
        <v>74</v>
      </c>
      <c r="AF25" s="32">
        <f t="shared" si="17"/>
        <v>370</v>
      </c>
    </row>
    <row r="26" spans="2:32" ht="23.1" customHeight="1" x14ac:dyDescent="0.25">
      <c r="B26" s="23" t="s">
        <v>53</v>
      </c>
      <c r="C26" s="50">
        <v>3</v>
      </c>
      <c r="D26" s="50">
        <v>0</v>
      </c>
      <c r="E26" s="50">
        <v>3</v>
      </c>
      <c r="F26" s="50">
        <v>4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35</v>
      </c>
      <c r="N26" s="50">
        <v>0</v>
      </c>
      <c r="O26" s="15">
        <f t="shared" si="0"/>
        <v>12</v>
      </c>
      <c r="P26" s="15">
        <f t="shared" si="1"/>
        <v>47</v>
      </c>
      <c r="R26" s="28" t="s">
        <v>86</v>
      </c>
      <c r="S26" s="16">
        <f t="shared" ref="S26:AF26" si="18">SUM(S13:S18)</f>
        <v>74</v>
      </c>
      <c r="T26" s="16">
        <f t="shared" si="18"/>
        <v>6</v>
      </c>
      <c r="U26" s="16">
        <f t="shared" si="18"/>
        <v>60</v>
      </c>
      <c r="V26" s="16">
        <f t="shared" si="18"/>
        <v>64</v>
      </c>
      <c r="W26" s="16">
        <f t="shared" si="18"/>
        <v>1</v>
      </c>
      <c r="X26" s="16">
        <f t="shared" si="18"/>
        <v>2</v>
      </c>
      <c r="Y26" s="16">
        <f t="shared" si="18"/>
        <v>23</v>
      </c>
      <c r="Z26" s="16">
        <f t="shared" si="18"/>
        <v>4</v>
      </c>
      <c r="AA26" s="16">
        <f t="shared" si="18"/>
        <v>0</v>
      </c>
      <c r="AB26" s="16">
        <f t="shared" si="18"/>
        <v>0</v>
      </c>
      <c r="AC26" s="16">
        <f t="shared" si="18"/>
        <v>704</v>
      </c>
      <c r="AD26" s="16">
        <f t="shared" si="18"/>
        <v>0</v>
      </c>
      <c r="AE26" s="32">
        <f t="shared" si="18"/>
        <v>234</v>
      </c>
      <c r="AF26" s="32">
        <f t="shared" si="18"/>
        <v>938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4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29</v>
      </c>
      <c r="N27" s="50">
        <v>0</v>
      </c>
      <c r="O27" s="15">
        <f t="shared" si="0"/>
        <v>5</v>
      </c>
      <c r="P27" s="15">
        <f t="shared" si="1"/>
        <v>34</v>
      </c>
      <c r="R27" s="29" t="s">
        <v>87</v>
      </c>
      <c r="S27" s="16">
        <f t="shared" ref="S27:AF27" si="19">SUM(S19:S21)</f>
        <v>44</v>
      </c>
      <c r="T27" s="16">
        <f t="shared" si="19"/>
        <v>5</v>
      </c>
      <c r="U27" s="16">
        <f t="shared" si="19"/>
        <v>32</v>
      </c>
      <c r="V27" s="16">
        <f t="shared" si="19"/>
        <v>36</v>
      </c>
      <c r="W27" s="16">
        <f t="shared" si="19"/>
        <v>1</v>
      </c>
      <c r="X27" s="16">
        <f t="shared" si="19"/>
        <v>0</v>
      </c>
      <c r="Y27" s="16">
        <f t="shared" si="19"/>
        <v>16</v>
      </c>
      <c r="Z27" s="16">
        <f t="shared" si="19"/>
        <v>6</v>
      </c>
      <c r="AA27" s="16">
        <f t="shared" si="19"/>
        <v>2</v>
      </c>
      <c r="AB27" s="16">
        <f t="shared" si="19"/>
        <v>0</v>
      </c>
      <c r="AC27" s="16">
        <f t="shared" si="19"/>
        <v>292</v>
      </c>
      <c r="AD27" s="16">
        <f t="shared" si="19"/>
        <v>0</v>
      </c>
      <c r="AE27" s="32">
        <f t="shared" si="19"/>
        <v>142</v>
      </c>
      <c r="AF27" s="32">
        <f t="shared" si="19"/>
        <v>434</v>
      </c>
    </row>
    <row r="28" spans="2:32" ht="23.1" customHeight="1" x14ac:dyDescent="0.25">
      <c r="B28" s="23" t="s">
        <v>55</v>
      </c>
      <c r="C28" s="50">
        <v>3</v>
      </c>
      <c r="D28" s="50">
        <v>1</v>
      </c>
      <c r="E28" s="50">
        <v>6</v>
      </c>
      <c r="F28" s="50">
        <v>2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37</v>
      </c>
      <c r="N28" s="50">
        <v>0</v>
      </c>
      <c r="O28" s="15">
        <f t="shared" si="0"/>
        <v>15</v>
      </c>
      <c r="P28" s="15">
        <f t="shared" si="1"/>
        <v>52</v>
      </c>
      <c r="R28" s="5" t="s">
        <v>17</v>
      </c>
      <c r="S28" s="16">
        <f t="shared" ref="S28:AF28" si="20">SUM(S10:S21)</f>
        <v>135</v>
      </c>
      <c r="T28" s="16">
        <f t="shared" si="20"/>
        <v>13</v>
      </c>
      <c r="U28" s="16">
        <f t="shared" si="20"/>
        <v>112</v>
      </c>
      <c r="V28" s="16">
        <f t="shared" si="20"/>
        <v>125</v>
      </c>
      <c r="W28" s="16">
        <f t="shared" si="20"/>
        <v>3</v>
      </c>
      <c r="X28" s="16">
        <f t="shared" si="20"/>
        <v>4</v>
      </c>
      <c r="Y28" s="16">
        <f t="shared" si="20"/>
        <v>46</v>
      </c>
      <c r="Z28" s="16">
        <f t="shared" si="20"/>
        <v>10</v>
      </c>
      <c r="AA28" s="16">
        <f t="shared" si="20"/>
        <v>2</v>
      </c>
      <c r="AB28" s="16">
        <f t="shared" si="20"/>
        <v>0</v>
      </c>
      <c r="AC28" s="16">
        <f t="shared" si="20"/>
        <v>1292</v>
      </c>
      <c r="AD28" s="16">
        <f t="shared" si="20"/>
        <v>0</v>
      </c>
      <c r="AE28" s="32">
        <f t="shared" si="20"/>
        <v>450</v>
      </c>
      <c r="AF28" s="32">
        <f t="shared" si="20"/>
        <v>1742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2</v>
      </c>
      <c r="F29" s="50">
        <v>2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36</v>
      </c>
      <c r="N29" s="50">
        <v>0</v>
      </c>
      <c r="O29" s="15">
        <f t="shared" si="0"/>
        <v>8</v>
      </c>
      <c r="P29" s="15">
        <f t="shared" si="1"/>
        <v>44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1</v>
      </c>
      <c r="E30" s="50">
        <v>4</v>
      </c>
      <c r="F30" s="50">
        <v>4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0</v>
      </c>
      <c r="M30" s="50">
        <v>35</v>
      </c>
      <c r="N30" s="50">
        <v>0</v>
      </c>
      <c r="O30" s="15">
        <f t="shared" si="0"/>
        <v>14</v>
      </c>
      <c r="P30" s="15">
        <f t="shared" si="1"/>
        <v>49</v>
      </c>
    </row>
    <row r="31" spans="2:32" ht="23.1" customHeight="1" x14ac:dyDescent="0.25">
      <c r="B31" s="24" t="s">
        <v>58</v>
      </c>
      <c r="C31" s="50">
        <v>6</v>
      </c>
      <c r="D31" s="50">
        <v>0</v>
      </c>
      <c r="E31" s="50">
        <v>3</v>
      </c>
      <c r="F31" s="50">
        <v>6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29</v>
      </c>
      <c r="N31" s="50">
        <v>0</v>
      </c>
      <c r="O31" s="15">
        <f t="shared" si="0"/>
        <v>15</v>
      </c>
      <c r="P31" s="15">
        <f t="shared" si="1"/>
        <v>44</v>
      </c>
    </row>
    <row r="32" spans="2:32" ht="23.1" customHeight="1" x14ac:dyDescent="0.25">
      <c r="B32" s="24" t="s">
        <v>59</v>
      </c>
      <c r="C32" s="50">
        <v>3</v>
      </c>
      <c r="D32" s="50">
        <v>1</v>
      </c>
      <c r="E32" s="50">
        <v>5</v>
      </c>
      <c r="F32" s="50">
        <v>2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23</v>
      </c>
      <c r="N32" s="50">
        <v>0</v>
      </c>
      <c r="O32" s="15">
        <f t="shared" si="0"/>
        <v>12</v>
      </c>
      <c r="P32" s="15">
        <f t="shared" si="1"/>
        <v>35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1</v>
      </c>
      <c r="F33" s="50">
        <v>2</v>
      </c>
      <c r="G33" s="50">
        <v>0</v>
      </c>
      <c r="H33" s="50">
        <v>2</v>
      </c>
      <c r="I33" s="50">
        <v>1</v>
      </c>
      <c r="J33" s="50">
        <v>0</v>
      </c>
      <c r="K33" s="50">
        <v>0</v>
      </c>
      <c r="L33" s="50">
        <v>0</v>
      </c>
      <c r="M33" s="50">
        <v>37</v>
      </c>
      <c r="N33" s="50">
        <v>0</v>
      </c>
      <c r="O33" s="15">
        <f t="shared" si="0"/>
        <v>8</v>
      </c>
      <c r="P33" s="15">
        <f t="shared" si="1"/>
        <v>45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3</v>
      </c>
      <c r="F34" s="50">
        <v>4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31</v>
      </c>
      <c r="N34" s="50">
        <v>0</v>
      </c>
      <c r="O34" s="15">
        <f t="shared" si="0"/>
        <v>9</v>
      </c>
      <c r="P34" s="15">
        <f t="shared" si="1"/>
        <v>40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3</v>
      </c>
      <c r="F35" s="50">
        <v>3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34</v>
      </c>
      <c r="N35" s="50">
        <v>0</v>
      </c>
      <c r="O35" s="15">
        <f t="shared" si="0"/>
        <v>10</v>
      </c>
      <c r="P35" s="15">
        <f t="shared" si="1"/>
        <v>44</v>
      </c>
    </row>
    <row r="36" spans="2:20" ht="23.1" customHeight="1" x14ac:dyDescent="0.25">
      <c r="B36" s="24" t="s">
        <v>63</v>
      </c>
      <c r="C36" s="50">
        <v>6</v>
      </c>
      <c r="D36" s="50">
        <v>0</v>
      </c>
      <c r="E36" s="50">
        <v>2</v>
      </c>
      <c r="F36" s="50">
        <v>2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27</v>
      </c>
      <c r="N36" s="50">
        <v>0</v>
      </c>
      <c r="O36" s="15">
        <f t="shared" si="0"/>
        <v>13</v>
      </c>
      <c r="P36" s="15">
        <f t="shared" si="1"/>
        <v>40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0</v>
      </c>
      <c r="F37" s="50">
        <v>3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29</v>
      </c>
      <c r="N37" s="50">
        <v>0</v>
      </c>
      <c r="O37" s="15">
        <f t="shared" si="0"/>
        <v>7</v>
      </c>
      <c r="P37" s="15">
        <f t="shared" si="1"/>
        <v>36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2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24</v>
      </c>
      <c r="N38" s="50">
        <v>0</v>
      </c>
      <c r="O38" s="15">
        <f t="shared" si="0"/>
        <v>6</v>
      </c>
      <c r="P38" s="15">
        <f t="shared" si="1"/>
        <v>30</v>
      </c>
    </row>
    <row r="39" spans="2:20" ht="23.1" customHeight="1" x14ac:dyDescent="0.25">
      <c r="B39" s="24" t="s">
        <v>66</v>
      </c>
      <c r="C39" s="50">
        <v>4</v>
      </c>
      <c r="D39" s="50">
        <v>0</v>
      </c>
      <c r="E39" s="50">
        <v>2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30</v>
      </c>
      <c r="N39" s="50">
        <v>0</v>
      </c>
      <c r="O39" s="15">
        <f t="shared" si="0"/>
        <v>7</v>
      </c>
      <c r="P39" s="15">
        <f t="shared" si="1"/>
        <v>37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5</v>
      </c>
      <c r="P40" s="15">
        <f t="shared" si="1"/>
        <v>21</v>
      </c>
    </row>
    <row r="41" spans="2:20" ht="23.1" customHeight="1" x14ac:dyDescent="0.25">
      <c r="B41" s="23" t="s">
        <v>68</v>
      </c>
      <c r="C41" s="50">
        <v>2</v>
      </c>
      <c r="D41" s="50">
        <v>1</v>
      </c>
      <c r="E41" s="50">
        <v>4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27</v>
      </c>
      <c r="N41" s="50">
        <v>0</v>
      </c>
      <c r="O41" s="15">
        <f t="shared" si="0"/>
        <v>8</v>
      </c>
      <c r="P41" s="15">
        <f t="shared" si="1"/>
        <v>35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5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28</v>
      </c>
      <c r="N42" s="50">
        <v>0</v>
      </c>
      <c r="O42" s="15">
        <f t="shared" si="0"/>
        <v>8</v>
      </c>
      <c r="P42" s="15">
        <f t="shared" si="1"/>
        <v>36</v>
      </c>
    </row>
    <row r="43" spans="2:20" ht="23.1" customHeight="1" x14ac:dyDescent="0.25">
      <c r="B43" s="23" t="s">
        <v>70</v>
      </c>
      <c r="C43" s="50">
        <v>2</v>
      </c>
      <c r="D43" s="50">
        <v>1</v>
      </c>
      <c r="E43" s="50">
        <v>4</v>
      </c>
      <c r="F43" s="50">
        <v>4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22</v>
      </c>
      <c r="N43" s="50">
        <v>0</v>
      </c>
      <c r="O43" s="15">
        <f t="shared" si="0"/>
        <v>11</v>
      </c>
      <c r="P43" s="15">
        <f t="shared" si="1"/>
        <v>33</v>
      </c>
    </row>
    <row r="44" spans="2:20" ht="23.1" customHeight="1" x14ac:dyDescent="0.25">
      <c r="B44" s="25" t="s">
        <v>71</v>
      </c>
      <c r="C44" s="50">
        <v>6</v>
      </c>
      <c r="D44" s="50">
        <v>0</v>
      </c>
      <c r="E44" s="50">
        <v>1</v>
      </c>
      <c r="F44" s="50">
        <v>1</v>
      </c>
      <c r="G44" s="50">
        <v>1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30</v>
      </c>
      <c r="N44" s="50">
        <v>0</v>
      </c>
      <c r="O44" s="15">
        <f t="shared" si="0"/>
        <v>10</v>
      </c>
      <c r="P44" s="15">
        <f t="shared" si="1"/>
        <v>40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4</v>
      </c>
      <c r="F45" s="50">
        <v>2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25</v>
      </c>
      <c r="N45" s="50">
        <v>0</v>
      </c>
      <c r="O45" s="15">
        <f t="shared" si="0"/>
        <v>8</v>
      </c>
      <c r="P45" s="15">
        <f t="shared" si="1"/>
        <v>33</v>
      </c>
    </row>
    <row r="46" spans="2:20" ht="23.1" customHeight="1" x14ac:dyDescent="0.25">
      <c r="B46" s="24" t="s">
        <v>73</v>
      </c>
      <c r="C46" s="50">
        <v>7</v>
      </c>
      <c r="D46" s="50">
        <v>0</v>
      </c>
      <c r="E46" s="50">
        <v>0</v>
      </c>
      <c r="F46" s="50">
        <v>5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12</v>
      </c>
      <c r="P46" s="15">
        <f t="shared" si="1"/>
        <v>27</v>
      </c>
      <c r="R46" s="8"/>
      <c r="T46"/>
    </row>
    <row r="47" spans="2:20" ht="23.1" customHeight="1" x14ac:dyDescent="0.25">
      <c r="B47" s="24" t="s">
        <v>74</v>
      </c>
      <c r="C47" s="50">
        <v>10</v>
      </c>
      <c r="D47" s="50">
        <v>1</v>
      </c>
      <c r="E47" s="50">
        <v>4</v>
      </c>
      <c r="F47" s="50">
        <v>1</v>
      </c>
      <c r="G47" s="50">
        <v>1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30</v>
      </c>
      <c r="N47" s="50">
        <v>0</v>
      </c>
      <c r="O47" s="15">
        <f t="shared" si="0"/>
        <v>18</v>
      </c>
      <c r="P47" s="15">
        <f t="shared" si="1"/>
        <v>48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1</v>
      </c>
      <c r="E48" s="50">
        <v>5</v>
      </c>
      <c r="F48" s="50">
        <v>3</v>
      </c>
      <c r="G48" s="50">
        <v>0</v>
      </c>
      <c r="H48" s="50">
        <v>0</v>
      </c>
      <c r="I48" s="50">
        <v>4</v>
      </c>
      <c r="J48" s="50">
        <v>3</v>
      </c>
      <c r="K48" s="50">
        <v>0</v>
      </c>
      <c r="L48" s="50">
        <v>0</v>
      </c>
      <c r="M48" s="50">
        <v>23</v>
      </c>
      <c r="N48" s="50">
        <v>0</v>
      </c>
      <c r="O48" s="15">
        <f t="shared" si="0"/>
        <v>20</v>
      </c>
      <c r="P48" s="15">
        <f t="shared" si="1"/>
        <v>43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1</v>
      </c>
      <c r="F49" s="50">
        <v>3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27</v>
      </c>
      <c r="N49" s="50">
        <v>0</v>
      </c>
      <c r="O49" s="15">
        <f t="shared" si="0"/>
        <v>9</v>
      </c>
      <c r="P49" s="15">
        <f t="shared" si="1"/>
        <v>36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3</v>
      </c>
      <c r="F50" s="50">
        <v>5</v>
      </c>
      <c r="G50" s="50">
        <v>0</v>
      </c>
      <c r="H50" s="50">
        <v>0</v>
      </c>
      <c r="I50" s="50">
        <v>1</v>
      </c>
      <c r="J50" s="50">
        <v>1</v>
      </c>
      <c r="K50" s="50">
        <v>2</v>
      </c>
      <c r="L50" s="50">
        <v>0</v>
      </c>
      <c r="M50" s="50">
        <v>21</v>
      </c>
      <c r="N50" s="50">
        <v>0</v>
      </c>
      <c r="O50" s="15">
        <f t="shared" si="0"/>
        <v>14</v>
      </c>
      <c r="P50" s="15">
        <f t="shared" si="1"/>
        <v>35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2</v>
      </c>
      <c r="F51" s="50">
        <v>4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25</v>
      </c>
      <c r="N51" s="50">
        <v>0</v>
      </c>
      <c r="O51" s="15">
        <f t="shared" si="0"/>
        <v>7</v>
      </c>
      <c r="P51" s="15">
        <f t="shared" si="1"/>
        <v>32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1</v>
      </c>
      <c r="E52" s="50">
        <v>5</v>
      </c>
      <c r="F52" s="50">
        <v>2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26</v>
      </c>
      <c r="N52" s="50">
        <v>0</v>
      </c>
      <c r="O52" s="15">
        <f t="shared" si="0"/>
        <v>10</v>
      </c>
      <c r="P52" s="15">
        <f t="shared" si="1"/>
        <v>36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1</v>
      </c>
      <c r="E53" s="50">
        <v>6</v>
      </c>
      <c r="F53" s="50">
        <v>3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19</v>
      </c>
      <c r="N53" s="50">
        <v>0</v>
      </c>
      <c r="O53" s="15">
        <f t="shared" si="0"/>
        <v>14</v>
      </c>
      <c r="P53" s="15">
        <f t="shared" si="1"/>
        <v>33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1</v>
      </c>
      <c r="E54" s="50">
        <v>4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25</v>
      </c>
      <c r="N54" s="50">
        <v>0</v>
      </c>
      <c r="O54" s="15">
        <f t="shared" si="0"/>
        <v>7</v>
      </c>
      <c r="P54" s="15">
        <f t="shared" si="1"/>
        <v>32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3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30</v>
      </c>
      <c r="N55" s="50">
        <v>0</v>
      </c>
      <c r="O55" s="15">
        <f t="shared" si="0"/>
        <v>7</v>
      </c>
      <c r="P55" s="15">
        <f t="shared" si="1"/>
        <v>37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2</v>
      </c>
      <c r="F56" s="50">
        <v>4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20</v>
      </c>
      <c r="N56" s="50">
        <v>0</v>
      </c>
      <c r="O56" s="15">
        <f t="shared" si="0"/>
        <v>11</v>
      </c>
      <c r="P56" s="15">
        <f t="shared" si="1"/>
        <v>31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0</v>
      </c>
      <c r="E57" s="50">
        <v>0</v>
      </c>
      <c r="F57" s="50">
        <v>2</v>
      </c>
      <c r="G57" s="50">
        <v>0</v>
      </c>
      <c r="H57" s="50">
        <v>0</v>
      </c>
      <c r="I57" s="50">
        <v>2</v>
      </c>
      <c r="J57" s="50">
        <v>2</v>
      </c>
      <c r="K57" s="50">
        <v>0</v>
      </c>
      <c r="L57" s="50">
        <v>0</v>
      </c>
      <c r="M57" s="50">
        <v>31</v>
      </c>
      <c r="N57" s="50">
        <v>0</v>
      </c>
      <c r="O57" s="15">
        <f t="shared" si="0"/>
        <v>13</v>
      </c>
      <c r="P57" s="15">
        <f t="shared" si="1"/>
        <v>44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135</v>
      </c>
      <c r="D58" s="16">
        <f t="shared" si="21"/>
        <v>13</v>
      </c>
      <c r="E58" s="16">
        <f t="shared" si="21"/>
        <v>112</v>
      </c>
      <c r="F58" s="16">
        <f t="shared" si="21"/>
        <v>125</v>
      </c>
      <c r="G58" s="16">
        <f t="shared" si="21"/>
        <v>3</v>
      </c>
      <c r="H58" s="16">
        <f t="shared" si="21"/>
        <v>4</v>
      </c>
      <c r="I58" s="16">
        <f t="shared" si="21"/>
        <v>46</v>
      </c>
      <c r="J58" s="16">
        <f t="shared" si="21"/>
        <v>10</v>
      </c>
      <c r="K58" s="16">
        <f t="shared" si="21"/>
        <v>2</v>
      </c>
      <c r="L58" s="16">
        <f t="shared" si="21"/>
        <v>0</v>
      </c>
      <c r="M58" s="16">
        <f t="shared" si="21"/>
        <v>1292</v>
      </c>
      <c r="N58" s="16">
        <f t="shared" si="21"/>
        <v>0</v>
      </c>
      <c r="O58" s="16">
        <f t="shared" si="21"/>
        <v>450</v>
      </c>
      <c r="P58" s="16">
        <f t="shared" si="21"/>
        <v>1742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7.7497129735935699E-2</v>
      </c>
      <c r="D59" s="43">
        <f t="shared" si="22"/>
        <v>7.462686567164179E-3</v>
      </c>
      <c r="E59" s="43">
        <f t="shared" si="22"/>
        <v>6.4293915040183697E-2</v>
      </c>
      <c r="F59" s="43">
        <f t="shared" si="22"/>
        <v>7.175660160734787E-2</v>
      </c>
      <c r="G59" s="43">
        <f t="shared" si="22"/>
        <v>1.722158438576349E-3</v>
      </c>
      <c r="H59" s="43">
        <f t="shared" si="22"/>
        <v>2.2962112514351321E-3</v>
      </c>
      <c r="I59" s="43">
        <f t="shared" si="22"/>
        <v>2.6406429391504019E-2</v>
      </c>
      <c r="J59" s="43">
        <f t="shared" si="22"/>
        <v>5.7405281285878304E-3</v>
      </c>
      <c r="K59" s="43">
        <f t="shared" si="22"/>
        <v>1.148105625717566E-3</v>
      </c>
      <c r="L59" s="43">
        <f t="shared" si="22"/>
        <v>0</v>
      </c>
      <c r="M59" s="43">
        <f t="shared" si="22"/>
        <v>0.74167623421354767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</v>
      </c>
      <c r="D60" s="44">
        <f t="shared" ref="D60:N60" si="23">D58/$O$58</f>
        <v>2.8888888888888888E-2</v>
      </c>
      <c r="E60" s="44">
        <f t="shared" si="23"/>
        <v>0.24888888888888888</v>
      </c>
      <c r="F60" s="44">
        <f t="shared" si="23"/>
        <v>0.27777777777777779</v>
      </c>
      <c r="G60" s="44">
        <f t="shared" si="23"/>
        <v>6.6666666666666671E-3</v>
      </c>
      <c r="H60" s="44">
        <f t="shared" si="23"/>
        <v>8.8888888888888889E-3</v>
      </c>
      <c r="I60" s="44">
        <f t="shared" si="23"/>
        <v>0.10222222222222223</v>
      </c>
      <c r="J60" s="44">
        <f t="shared" si="23"/>
        <v>2.2222222222222223E-2</v>
      </c>
      <c r="K60" s="44">
        <f t="shared" si="23"/>
        <v>4.4444444444444444E-3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13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Tororo-Malaba'!C3:G3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'14.08 Malaba-Tororo'!D5</f>
        <v>14.08.19</v>
      </c>
      <c r="E5" s="3"/>
      <c r="F5" s="41" t="s">
        <v>1</v>
      </c>
      <c r="G5" s="63" t="str">
        <f>'12.08 Malaba-Tororo'!G5:H5</f>
        <v>xxx</v>
      </c>
      <c r="H5" s="64"/>
      <c r="I5" s="14"/>
      <c r="J5" s="2" t="s">
        <v>5</v>
      </c>
      <c r="K5" s="63" t="str">
        <f>'12.08 Malaba-Tororo'!K5:L5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Tororo-Malaba'!D6:E6</f>
        <v>Tororo</v>
      </c>
      <c r="E6" s="64"/>
      <c r="F6" s="2" t="s">
        <v>2</v>
      </c>
      <c r="G6" s="63" t="str">
        <f>'12.08 Tororo-Malaba'!G6:H6</f>
        <v>Malaba</v>
      </c>
      <c r="H6" s="64"/>
      <c r="J6" s="2" t="s">
        <v>21</v>
      </c>
      <c r="K6" s="63" t="str">
        <f>'12.08 Malaba-Tororo'!K6:L6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1</v>
      </c>
      <c r="F10" s="50">
        <v>1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9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15</v>
      </c>
      <c r="R10" s="1" t="s">
        <v>6</v>
      </c>
      <c r="S10" s="17">
        <f t="shared" ref="S10:AF10" si="2">SUM(C10:C13)</f>
        <v>9</v>
      </c>
      <c r="T10" s="17">
        <f t="shared" si="2"/>
        <v>0</v>
      </c>
      <c r="U10" s="17">
        <f t="shared" si="2"/>
        <v>3</v>
      </c>
      <c r="V10" s="17">
        <f t="shared" si="2"/>
        <v>6</v>
      </c>
      <c r="W10" s="17">
        <f t="shared" si="2"/>
        <v>1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59</v>
      </c>
      <c r="AD10" s="17">
        <f t="shared" si="2"/>
        <v>0</v>
      </c>
      <c r="AE10" s="31">
        <f t="shared" si="2"/>
        <v>24</v>
      </c>
      <c r="AF10" s="31">
        <f t="shared" si="2"/>
        <v>83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1</v>
      </c>
      <c r="F11" s="50">
        <v>3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14</v>
      </c>
      <c r="N11" s="50">
        <v>0</v>
      </c>
      <c r="O11" s="15">
        <f t="shared" si="0"/>
        <v>7</v>
      </c>
      <c r="P11" s="15">
        <f t="shared" si="1"/>
        <v>21</v>
      </c>
      <c r="R11" s="1" t="s">
        <v>7</v>
      </c>
      <c r="S11" s="17">
        <f t="shared" ref="S11:AF11" si="3">SUM(C14:C17)</f>
        <v>11</v>
      </c>
      <c r="T11" s="17">
        <f t="shared" si="3"/>
        <v>1</v>
      </c>
      <c r="U11" s="17">
        <f t="shared" si="3"/>
        <v>7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117</v>
      </c>
      <c r="AD11" s="17">
        <f t="shared" si="3"/>
        <v>0</v>
      </c>
      <c r="AE11" s="31">
        <f t="shared" si="3"/>
        <v>23</v>
      </c>
      <c r="AF11" s="31">
        <f t="shared" si="3"/>
        <v>140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19</v>
      </c>
      <c r="N12" s="50">
        <v>0</v>
      </c>
      <c r="O12" s="15">
        <f t="shared" si="0"/>
        <v>5</v>
      </c>
      <c r="P12" s="15">
        <f t="shared" si="1"/>
        <v>24</v>
      </c>
      <c r="R12" s="1" t="s">
        <v>8</v>
      </c>
      <c r="S12" s="17">
        <f t="shared" ref="S12:AF12" si="4">SUM(C18:C21)</f>
        <v>7</v>
      </c>
      <c r="T12" s="17">
        <f t="shared" si="4"/>
        <v>1</v>
      </c>
      <c r="U12" s="17">
        <f t="shared" si="4"/>
        <v>9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105</v>
      </c>
      <c r="AD12" s="17">
        <f t="shared" si="4"/>
        <v>1</v>
      </c>
      <c r="AE12" s="31">
        <f t="shared" si="4"/>
        <v>29</v>
      </c>
      <c r="AF12" s="31">
        <f t="shared" si="4"/>
        <v>134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1</v>
      </c>
      <c r="F13" s="50">
        <v>1</v>
      </c>
      <c r="G13" s="50">
        <v>1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17</v>
      </c>
      <c r="N13" s="50">
        <v>0</v>
      </c>
      <c r="O13" s="15">
        <f t="shared" si="0"/>
        <v>6</v>
      </c>
      <c r="P13" s="15">
        <f t="shared" si="1"/>
        <v>23</v>
      </c>
      <c r="R13" s="1" t="s">
        <v>9</v>
      </c>
      <c r="S13" s="17">
        <f t="shared" ref="S13:AF13" si="5">SUM(C22:C25)</f>
        <v>11</v>
      </c>
      <c r="T13" s="17">
        <f t="shared" si="5"/>
        <v>0</v>
      </c>
      <c r="U13" s="17">
        <f t="shared" si="5"/>
        <v>9</v>
      </c>
      <c r="V13" s="17">
        <f t="shared" si="5"/>
        <v>8</v>
      </c>
      <c r="W13" s="17">
        <f t="shared" si="5"/>
        <v>0</v>
      </c>
      <c r="X13" s="17">
        <f t="shared" si="5"/>
        <v>2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99</v>
      </c>
      <c r="AD13" s="17">
        <f t="shared" si="5"/>
        <v>0</v>
      </c>
      <c r="AE13" s="31">
        <f t="shared" si="5"/>
        <v>32</v>
      </c>
      <c r="AF13" s="31">
        <f t="shared" si="5"/>
        <v>131</v>
      </c>
    </row>
    <row r="14" spans="2:32" ht="23.1" customHeight="1" x14ac:dyDescent="0.25">
      <c r="B14" s="23" t="s">
        <v>41</v>
      </c>
      <c r="C14" s="50">
        <v>5</v>
      </c>
      <c r="D14" s="50">
        <v>1</v>
      </c>
      <c r="E14" s="50">
        <v>6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28</v>
      </c>
      <c r="N14" s="50">
        <v>0</v>
      </c>
      <c r="O14" s="15">
        <f t="shared" si="0"/>
        <v>14</v>
      </c>
      <c r="P14" s="15">
        <f t="shared" si="1"/>
        <v>42</v>
      </c>
      <c r="R14" s="1" t="s">
        <v>10</v>
      </c>
      <c r="S14" s="17">
        <f t="shared" ref="S14:AF14" si="6">SUM(C26:C29)</f>
        <v>15</v>
      </c>
      <c r="T14" s="17">
        <f t="shared" si="6"/>
        <v>0</v>
      </c>
      <c r="U14" s="17">
        <f t="shared" si="6"/>
        <v>7</v>
      </c>
      <c r="V14" s="17">
        <f t="shared" si="6"/>
        <v>15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118</v>
      </c>
      <c r="AD14" s="17">
        <f t="shared" si="6"/>
        <v>0</v>
      </c>
      <c r="AE14" s="31">
        <f t="shared" si="6"/>
        <v>40</v>
      </c>
      <c r="AF14" s="31">
        <f t="shared" si="6"/>
        <v>158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32</v>
      </c>
      <c r="N15" s="50">
        <v>0</v>
      </c>
      <c r="O15" s="15">
        <f t="shared" si="0"/>
        <v>2</v>
      </c>
      <c r="P15" s="15">
        <f t="shared" si="1"/>
        <v>34</v>
      </c>
      <c r="R15" s="1" t="s">
        <v>11</v>
      </c>
      <c r="S15" s="17">
        <f t="shared" ref="S15:AF15" si="7">SUM(C30:C33)</f>
        <v>8</v>
      </c>
      <c r="T15" s="17">
        <f t="shared" si="7"/>
        <v>0</v>
      </c>
      <c r="U15" s="17">
        <f t="shared" si="7"/>
        <v>8</v>
      </c>
      <c r="V15" s="17">
        <f t="shared" si="7"/>
        <v>6</v>
      </c>
      <c r="W15" s="17">
        <f t="shared" si="7"/>
        <v>1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115</v>
      </c>
      <c r="AD15" s="17">
        <f t="shared" si="7"/>
        <v>0</v>
      </c>
      <c r="AE15" s="31">
        <f t="shared" si="7"/>
        <v>25</v>
      </c>
      <c r="AF15" s="31">
        <f t="shared" si="7"/>
        <v>140</v>
      </c>
    </row>
    <row r="16" spans="2:32" ht="23.1" customHeight="1" x14ac:dyDescent="0.25">
      <c r="B16" s="23" t="s">
        <v>43</v>
      </c>
      <c r="C16" s="50">
        <v>4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27</v>
      </c>
      <c r="N16" s="50">
        <v>0</v>
      </c>
      <c r="O16" s="15">
        <f t="shared" si="0"/>
        <v>5</v>
      </c>
      <c r="P16" s="15">
        <f t="shared" si="1"/>
        <v>32</v>
      </c>
      <c r="R16" s="1" t="s">
        <v>12</v>
      </c>
      <c r="S16" s="17">
        <f t="shared" ref="S16:AF16" si="8">SUM(C34:C37)</f>
        <v>14</v>
      </c>
      <c r="T16" s="17">
        <f t="shared" si="8"/>
        <v>1</v>
      </c>
      <c r="U16" s="17">
        <f t="shared" si="8"/>
        <v>8</v>
      </c>
      <c r="V16" s="17">
        <f t="shared" si="8"/>
        <v>11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109</v>
      </c>
      <c r="AD16" s="17">
        <f t="shared" si="8"/>
        <v>0</v>
      </c>
      <c r="AE16" s="31">
        <f t="shared" si="8"/>
        <v>35</v>
      </c>
      <c r="AF16" s="31">
        <f t="shared" si="8"/>
        <v>144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30</v>
      </c>
      <c r="N17" s="50">
        <v>0</v>
      </c>
      <c r="O17" s="15">
        <f t="shared" si="0"/>
        <v>2</v>
      </c>
      <c r="P17" s="15">
        <f t="shared" si="1"/>
        <v>32</v>
      </c>
      <c r="R17" s="1" t="s">
        <v>13</v>
      </c>
      <c r="S17" s="17">
        <f t="shared" ref="S17:AF17" si="9">SUM(C38:C41)</f>
        <v>18</v>
      </c>
      <c r="T17" s="17">
        <f t="shared" si="9"/>
        <v>1</v>
      </c>
      <c r="U17" s="17">
        <f t="shared" si="9"/>
        <v>10</v>
      </c>
      <c r="V17" s="17">
        <f t="shared" si="9"/>
        <v>9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105</v>
      </c>
      <c r="AD17" s="17">
        <f t="shared" si="9"/>
        <v>0</v>
      </c>
      <c r="AE17" s="31">
        <f t="shared" si="9"/>
        <v>42</v>
      </c>
      <c r="AF17" s="31">
        <f t="shared" si="9"/>
        <v>147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26</v>
      </c>
      <c r="N18" s="50">
        <v>0</v>
      </c>
      <c r="O18" s="15">
        <f t="shared" si="0"/>
        <v>3</v>
      </c>
      <c r="P18" s="15">
        <f t="shared" si="1"/>
        <v>29</v>
      </c>
      <c r="R18" s="1" t="s">
        <v>14</v>
      </c>
      <c r="S18" s="17">
        <f t="shared" ref="S18:AF18" si="10">SUM(C42:C45)</f>
        <v>14</v>
      </c>
      <c r="T18" s="17">
        <f t="shared" si="10"/>
        <v>1</v>
      </c>
      <c r="U18" s="17">
        <f t="shared" si="10"/>
        <v>10</v>
      </c>
      <c r="V18" s="17">
        <f t="shared" si="10"/>
        <v>9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110</v>
      </c>
      <c r="AD18" s="17">
        <f t="shared" si="10"/>
        <v>0</v>
      </c>
      <c r="AE18" s="31">
        <f t="shared" si="10"/>
        <v>37</v>
      </c>
      <c r="AF18" s="31">
        <f t="shared" si="10"/>
        <v>147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2</v>
      </c>
      <c r="F19" s="50">
        <v>5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30</v>
      </c>
      <c r="N19" s="50">
        <v>0</v>
      </c>
      <c r="O19" s="15">
        <f t="shared" si="0"/>
        <v>8</v>
      </c>
      <c r="P19" s="15">
        <f t="shared" si="1"/>
        <v>38</v>
      </c>
      <c r="R19" s="1" t="s">
        <v>15</v>
      </c>
      <c r="S19" s="17">
        <f t="shared" ref="S19:AF19" si="11">SUM(C46:C49)</f>
        <v>6</v>
      </c>
      <c r="T19" s="17">
        <f t="shared" si="11"/>
        <v>0</v>
      </c>
      <c r="U19" s="17">
        <f t="shared" si="11"/>
        <v>4</v>
      </c>
      <c r="V19" s="17">
        <f t="shared" si="11"/>
        <v>12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125</v>
      </c>
      <c r="AD19" s="17">
        <f t="shared" si="11"/>
        <v>0</v>
      </c>
      <c r="AE19" s="31">
        <f t="shared" si="11"/>
        <v>26</v>
      </c>
      <c r="AF19" s="31">
        <f t="shared" si="11"/>
        <v>151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2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23</v>
      </c>
      <c r="N20" s="50">
        <v>1</v>
      </c>
      <c r="O20" s="15">
        <f t="shared" si="0"/>
        <v>8</v>
      </c>
      <c r="P20" s="15">
        <f t="shared" si="1"/>
        <v>31</v>
      </c>
      <c r="R20" s="1" t="s">
        <v>16</v>
      </c>
      <c r="S20" s="17">
        <f t="shared" ref="S20:AF20" si="12">SUM(C50:C53)</f>
        <v>17</v>
      </c>
      <c r="T20" s="17">
        <f t="shared" si="12"/>
        <v>1</v>
      </c>
      <c r="U20" s="17">
        <f t="shared" si="12"/>
        <v>9</v>
      </c>
      <c r="V20" s="17">
        <f t="shared" si="12"/>
        <v>8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98</v>
      </c>
      <c r="AD20" s="17">
        <f t="shared" si="12"/>
        <v>0</v>
      </c>
      <c r="AE20" s="31">
        <f t="shared" si="12"/>
        <v>44</v>
      </c>
      <c r="AF20" s="31">
        <f t="shared" si="12"/>
        <v>142</v>
      </c>
    </row>
    <row r="21" spans="2:32" ht="23.1" customHeight="1" x14ac:dyDescent="0.25">
      <c r="B21" s="23" t="s">
        <v>48</v>
      </c>
      <c r="C21" s="50">
        <v>3</v>
      </c>
      <c r="D21" s="50">
        <v>1</v>
      </c>
      <c r="E21" s="50">
        <v>4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26</v>
      </c>
      <c r="N21" s="50">
        <v>0</v>
      </c>
      <c r="O21" s="15">
        <f t="shared" si="0"/>
        <v>10</v>
      </c>
      <c r="P21" s="15">
        <f t="shared" si="1"/>
        <v>36</v>
      </c>
      <c r="R21" s="36" t="s">
        <v>20</v>
      </c>
      <c r="S21" s="34">
        <f t="shared" ref="S21:AF21" si="13">SUM(C54:C57)</f>
        <v>17</v>
      </c>
      <c r="T21" s="17">
        <f t="shared" si="13"/>
        <v>0</v>
      </c>
      <c r="U21" s="17">
        <f t="shared" si="13"/>
        <v>4</v>
      </c>
      <c r="V21" s="17">
        <f t="shared" si="13"/>
        <v>11</v>
      </c>
      <c r="W21" s="17">
        <f t="shared" si="13"/>
        <v>1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91</v>
      </c>
      <c r="AD21" s="17">
        <f t="shared" si="13"/>
        <v>0</v>
      </c>
      <c r="AE21" s="31">
        <f t="shared" si="13"/>
        <v>36</v>
      </c>
      <c r="AF21" s="31">
        <f t="shared" si="13"/>
        <v>127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2</v>
      </c>
      <c r="F22" s="50">
        <v>4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24</v>
      </c>
      <c r="N22" s="50">
        <v>0</v>
      </c>
      <c r="O22" s="15">
        <f t="shared" si="0"/>
        <v>8</v>
      </c>
      <c r="P22" s="15">
        <f t="shared" si="1"/>
        <v>32</v>
      </c>
      <c r="R22" s="38" t="s">
        <v>90</v>
      </c>
      <c r="S22" s="39">
        <f>MAX(S10:S12)</f>
        <v>11</v>
      </c>
      <c r="T22" s="39">
        <f t="shared" ref="T22:AF22" si="14">MAX(T10:T12)</f>
        <v>1</v>
      </c>
      <c r="U22" s="39">
        <f t="shared" si="14"/>
        <v>9</v>
      </c>
      <c r="V22" s="39">
        <f t="shared" si="14"/>
        <v>7</v>
      </c>
      <c r="W22" s="39">
        <f t="shared" si="14"/>
        <v>1</v>
      </c>
      <c r="X22" s="39">
        <f t="shared" si="14"/>
        <v>0</v>
      </c>
      <c r="Y22" s="39">
        <f t="shared" si="14"/>
        <v>5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117</v>
      </c>
      <c r="AD22" s="39">
        <f t="shared" si="14"/>
        <v>1</v>
      </c>
      <c r="AE22" s="40">
        <f t="shared" si="14"/>
        <v>29</v>
      </c>
      <c r="AF22" s="40">
        <f t="shared" si="14"/>
        <v>140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21</v>
      </c>
      <c r="N23" s="50">
        <v>0</v>
      </c>
      <c r="O23" s="15">
        <f t="shared" si="0"/>
        <v>6</v>
      </c>
      <c r="P23" s="15">
        <f t="shared" si="1"/>
        <v>27</v>
      </c>
      <c r="R23" s="38" t="s">
        <v>91</v>
      </c>
      <c r="S23" s="39">
        <f>MAX(S13:S18)</f>
        <v>18</v>
      </c>
      <c r="T23" s="39">
        <f t="shared" ref="T23:AF23" si="15">MAX(T13:T18)</f>
        <v>1</v>
      </c>
      <c r="U23" s="39">
        <f t="shared" si="15"/>
        <v>10</v>
      </c>
      <c r="V23" s="39">
        <f t="shared" si="15"/>
        <v>15</v>
      </c>
      <c r="W23" s="39">
        <f t="shared" si="15"/>
        <v>1</v>
      </c>
      <c r="X23" s="39">
        <f t="shared" si="15"/>
        <v>2</v>
      </c>
      <c r="Y23" s="39">
        <f t="shared" si="15"/>
        <v>3</v>
      </c>
      <c r="Z23" s="39">
        <f t="shared" si="15"/>
        <v>3</v>
      </c>
      <c r="AA23" s="39">
        <f t="shared" si="15"/>
        <v>0</v>
      </c>
      <c r="AB23" s="39">
        <f t="shared" si="15"/>
        <v>0</v>
      </c>
      <c r="AC23" s="39">
        <f t="shared" si="15"/>
        <v>118</v>
      </c>
      <c r="AD23" s="39">
        <f t="shared" si="15"/>
        <v>0</v>
      </c>
      <c r="AE23" s="40">
        <f t="shared" si="15"/>
        <v>42</v>
      </c>
      <c r="AF23" s="40">
        <f t="shared" si="15"/>
        <v>158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3</v>
      </c>
      <c r="F24" s="50">
        <v>2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21</v>
      </c>
      <c r="N24" s="50">
        <v>0</v>
      </c>
      <c r="O24" s="15">
        <f t="shared" si="0"/>
        <v>10</v>
      </c>
      <c r="P24" s="15">
        <f t="shared" si="1"/>
        <v>31</v>
      </c>
      <c r="R24" s="38" t="s">
        <v>92</v>
      </c>
      <c r="S24" s="39">
        <f>MAX(S19:S21)</f>
        <v>17</v>
      </c>
      <c r="T24" s="39">
        <f t="shared" ref="T24:AF24" si="16">MAX(T19:T21)</f>
        <v>1</v>
      </c>
      <c r="U24" s="39">
        <f t="shared" si="16"/>
        <v>9</v>
      </c>
      <c r="V24" s="39">
        <f t="shared" si="16"/>
        <v>12</v>
      </c>
      <c r="W24" s="39">
        <f t="shared" si="16"/>
        <v>1</v>
      </c>
      <c r="X24" s="39">
        <f t="shared" si="16"/>
        <v>0</v>
      </c>
      <c r="Y24" s="39">
        <f t="shared" si="16"/>
        <v>7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125</v>
      </c>
      <c r="AD24" s="39">
        <f t="shared" si="16"/>
        <v>0</v>
      </c>
      <c r="AE24" s="40">
        <f t="shared" si="16"/>
        <v>44</v>
      </c>
      <c r="AF24" s="40">
        <f t="shared" si="16"/>
        <v>151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3</v>
      </c>
      <c r="F25" s="50">
        <v>1</v>
      </c>
      <c r="G25" s="50">
        <v>0</v>
      </c>
      <c r="H25" s="50">
        <v>2</v>
      </c>
      <c r="I25" s="50">
        <v>0</v>
      </c>
      <c r="J25" s="50">
        <v>0</v>
      </c>
      <c r="K25" s="50">
        <v>0</v>
      </c>
      <c r="L25" s="50">
        <v>0</v>
      </c>
      <c r="M25" s="50">
        <v>33</v>
      </c>
      <c r="N25" s="50">
        <v>0</v>
      </c>
      <c r="O25" s="15">
        <f t="shared" si="0"/>
        <v>8</v>
      </c>
      <c r="P25" s="15">
        <f t="shared" si="1"/>
        <v>41</v>
      </c>
      <c r="R25" s="37" t="s">
        <v>85</v>
      </c>
      <c r="S25" s="35">
        <f t="shared" ref="S25:AF25" si="17">SUM(S10:S12)</f>
        <v>27</v>
      </c>
      <c r="T25" s="16">
        <f t="shared" si="17"/>
        <v>2</v>
      </c>
      <c r="U25" s="16">
        <f t="shared" si="17"/>
        <v>19</v>
      </c>
      <c r="V25" s="16">
        <f t="shared" si="17"/>
        <v>17</v>
      </c>
      <c r="W25" s="16">
        <f t="shared" si="17"/>
        <v>1</v>
      </c>
      <c r="X25" s="16">
        <f t="shared" si="17"/>
        <v>0</v>
      </c>
      <c r="Y25" s="16">
        <f t="shared" si="17"/>
        <v>9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281</v>
      </c>
      <c r="AD25" s="16">
        <f t="shared" si="17"/>
        <v>1</v>
      </c>
      <c r="AE25" s="32">
        <f t="shared" si="17"/>
        <v>76</v>
      </c>
      <c r="AF25" s="32">
        <f t="shared" si="17"/>
        <v>357</v>
      </c>
    </row>
    <row r="26" spans="2:32" ht="23.1" customHeight="1" x14ac:dyDescent="0.25">
      <c r="B26" s="23" t="s">
        <v>53</v>
      </c>
      <c r="C26" s="50">
        <v>5</v>
      </c>
      <c r="D26" s="50">
        <v>0</v>
      </c>
      <c r="E26" s="50">
        <v>2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26</v>
      </c>
      <c r="N26" s="50">
        <v>0</v>
      </c>
      <c r="O26" s="15">
        <f t="shared" si="0"/>
        <v>10</v>
      </c>
      <c r="P26" s="15">
        <f t="shared" si="1"/>
        <v>36</v>
      </c>
      <c r="R26" s="28" t="s">
        <v>86</v>
      </c>
      <c r="S26" s="16">
        <f t="shared" ref="S26:AF26" si="18">SUM(S13:S18)</f>
        <v>80</v>
      </c>
      <c r="T26" s="16">
        <f t="shared" si="18"/>
        <v>3</v>
      </c>
      <c r="U26" s="16">
        <f t="shared" si="18"/>
        <v>52</v>
      </c>
      <c r="V26" s="16">
        <f t="shared" si="18"/>
        <v>58</v>
      </c>
      <c r="W26" s="16">
        <f t="shared" si="18"/>
        <v>1</v>
      </c>
      <c r="X26" s="16">
        <f t="shared" si="18"/>
        <v>2</v>
      </c>
      <c r="Y26" s="16">
        <f t="shared" si="18"/>
        <v>11</v>
      </c>
      <c r="Z26" s="16">
        <f t="shared" si="18"/>
        <v>4</v>
      </c>
      <c r="AA26" s="16">
        <f t="shared" si="18"/>
        <v>0</v>
      </c>
      <c r="AB26" s="16">
        <f t="shared" si="18"/>
        <v>0</v>
      </c>
      <c r="AC26" s="16">
        <f t="shared" si="18"/>
        <v>656</v>
      </c>
      <c r="AD26" s="16">
        <f t="shared" si="18"/>
        <v>0</v>
      </c>
      <c r="AE26" s="32">
        <f t="shared" si="18"/>
        <v>211</v>
      </c>
      <c r="AF26" s="32">
        <f t="shared" si="18"/>
        <v>867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2</v>
      </c>
      <c r="F27" s="50">
        <v>5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27</v>
      </c>
      <c r="N27" s="50">
        <v>0</v>
      </c>
      <c r="O27" s="15">
        <f t="shared" si="0"/>
        <v>12</v>
      </c>
      <c r="P27" s="15">
        <f t="shared" si="1"/>
        <v>39</v>
      </c>
      <c r="R27" s="29" t="s">
        <v>87</v>
      </c>
      <c r="S27" s="16">
        <f t="shared" ref="S27:AF27" si="19">SUM(S19:S21)</f>
        <v>40</v>
      </c>
      <c r="T27" s="16">
        <f t="shared" si="19"/>
        <v>1</v>
      </c>
      <c r="U27" s="16">
        <f t="shared" si="19"/>
        <v>17</v>
      </c>
      <c r="V27" s="16">
        <f t="shared" si="19"/>
        <v>31</v>
      </c>
      <c r="W27" s="16">
        <f t="shared" si="19"/>
        <v>1</v>
      </c>
      <c r="X27" s="16">
        <f t="shared" si="19"/>
        <v>0</v>
      </c>
      <c r="Y27" s="16">
        <f t="shared" si="19"/>
        <v>13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314</v>
      </c>
      <c r="AD27" s="16">
        <f t="shared" si="19"/>
        <v>0</v>
      </c>
      <c r="AE27" s="32">
        <f t="shared" si="19"/>
        <v>106</v>
      </c>
      <c r="AF27" s="32">
        <f t="shared" si="19"/>
        <v>420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1</v>
      </c>
      <c r="F28" s="50">
        <v>4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38</v>
      </c>
      <c r="N28" s="50">
        <v>0</v>
      </c>
      <c r="O28" s="15">
        <f t="shared" si="0"/>
        <v>9</v>
      </c>
      <c r="P28" s="15">
        <f t="shared" si="1"/>
        <v>47</v>
      </c>
      <c r="R28" s="5" t="s">
        <v>17</v>
      </c>
      <c r="S28" s="16">
        <f t="shared" ref="S28:AF28" si="20">SUM(S10:S21)</f>
        <v>147</v>
      </c>
      <c r="T28" s="16">
        <f t="shared" si="20"/>
        <v>6</v>
      </c>
      <c r="U28" s="16">
        <f t="shared" si="20"/>
        <v>88</v>
      </c>
      <c r="V28" s="16">
        <f t="shared" si="20"/>
        <v>106</v>
      </c>
      <c r="W28" s="16">
        <f t="shared" si="20"/>
        <v>3</v>
      </c>
      <c r="X28" s="16">
        <f t="shared" si="20"/>
        <v>2</v>
      </c>
      <c r="Y28" s="16">
        <f t="shared" si="20"/>
        <v>33</v>
      </c>
      <c r="Z28" s="16">
        <f t="shared" si="20"/>
        <v>7</v>
      </c>
      <c r="AA28" s="16">
        <f t="shared" si="20"/>
        <v>0</v>
      </c>
      <c r="AB28" s="16">
        <f t="shared" si="20"/>
        <v>0</v>
      </c>
      <c r="AC28" s="16">
        <f t="shared" si="20"/>
        <v>1251</v>
      </c>
      <c r="AD28" s="16">
        <f t="shared" si="20"/>
        <v>1</v>
      </c>
      <c r="AE28" s="32">
        <f t="shared" si="20"/>
        <v>393</v>
      </c>
      <c r="AF28" s="32">
        <f t="shared" si="20"/>
        <v>1644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2</v>
      </c>
      <c r="F29" s="50">
        <v>3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27</v>
      </c>
      <c r="N29" s="50">
        <v>0</v>
      </c>
      <c r="O29" s="15">
        <f t="shared" si="0"/>
        <v>9</v>
      </c>
      <c r="P29" s="15">
        <f t="shared" si="1"/>
        <v>36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3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29</v>
      </c>
      <c r="N30" s="50">
        <v>0</v>
      </c>
      <c r="O30" s="15">
        <f t="shared" si="0"/>
        <v>8</v>
      </c>
      <c r="P30" s="15">
        <f t="shared" si="1"/>
        <v>37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3</v>
      </c>
      <c r="F31" s="50">
        <v>1</v>
      </c>
      <c r="G31" s="50">
        <v>1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25</v>
      </c>
      <c r="N31" s="50">
        <v>0</v>
      </c>
      <c r="O31" s="15">
        <f t="shared" si="0"/>
        <v>7</v>
      </c>
      <c r="P31" s="15">
        <f t="shared" si="1"/>
        <v>32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2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36</v>
      </c>
      <c r="N32" s="50">
        <v>0</v>
      </c>
      <c r="O32" s="15">
        <f t="shared" si="0"/>
        <v>5</v>
      </c>
      <c r="P32" s="15">
        <f t="shared" si="1"/>
        <v>41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0</v>
      </c>
      <c r="F33" s="50">
        <v>2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25</v>
      </c>
      <c r="N33" s="50">
        <v>0</v>
      </c>
      <c r="O33" s="15">
        <f t="shared" si="0"/>
        <v>5</v>
      </c>
      <c r="P33" s="15">
        <f t="shared" si="1"/>
        <v>30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2</v>
      </c>
      <c r="F34" s="50">
        <v>3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19</v>
      </c>
      <c r="N34" s="50">
        <v>0</v>
      </c>
      <c r="O34" s="15">
        <f t="shared" si="0"/>
        <v>6</v>
      </c>
      <c r="P34" s="15">
        <f t="shared" si="1"/>
        <v>25</v>
      </c>
    </row>
    <row r="35" spans="2:20" ht="23.1" customHeight="1" x14ac:dyDescent="0.25">
      <c r="B35" s="24" t="s">
        <v>62</v>
      </c>
      <c r="C35" s="50">
        <v>5</v>
      </c>
      <c r="D35" s="50">
        <v>1</v>
      </c>
      <c r="E35" s="50">
        <v>4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37</v>
      </c>
      <c r="N35" s="50">
        <v>0</v>
      </c>
      <c r="O35" s="15">
        <f t="shared" si="0"/>
        <v>11</v>
      </c>
      <c r="P35" s="15">
        <f t="shared" si="1"/>
        <v>48</v>
      </c>
    </row>
    <row r="36" spans="2:20" ht="23.1" customHeight="1" x14ac:dyDescent="0.25">
      <c r="B36" s="24" t="s">
        <v>63</v>
      </c>
      <c r="C36" s="50">
        <v>6</v>
      </c>
      <c r="D36" s="50">
        <v>0</v>
      </c>
      <c r="E36" s="50">
        <v>1</v>
      </c>
      <c r="F36" s="50">
        <v>4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21</v>
      </c>
      <c r="N36" s="50">
        <v>0</v>
      </c>
      <c r="O36" s="15">
        <f t="shared" si="0"/>
        <v>11</v>
      </c>
      <c r="P36" s="15">
        <f t="shared" si="1"/>
        <v>32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1</v>
      </c>
      <c r="F37" s="50">
        <v>3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32</v>
      </c>
      <c r="N37" s="50">
        <v>0</v>
      </c>
      <c r="O37" s="15">
        <f t="shared" si="0"/>
        <v>7</v>
      </c>
      <c r="P37" s="15">
        <f t="shared" si="1"/>
        <v>39</v>
      </c>
    </row>
    <row r="38" spans="2:20" ht="23.1" customHeight="1" x14ac:dyDescent="0.25">
      <c r="B38" s="24" t="s">
        <v>65</v>
      </c>
      <c r="C38" s="50">
        <v>4</v>
      </c>
      <c r="D38" s="50">
        <v>1</v>
      </c>
      <c r="E38" s="50">
        <v>4</v>
      </c>
      <c r="F38" s="50">
        <v>3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0</v>
      </c>
      <c r="M38" s="50">
        <v>21</v>
      </c>
      <c r="N38" s="50">
        <v>0</v>
      </c>
      <c r="O38" s="15">
        <f t="shared" si="0"/>
        <v>14</v>
      </c>
      <c r="P38" s="15">
        <f t="shared" si="1"/>
        <v>35</v>
      </c>
    </row>
    <row r="39" spans="2:20" ht="23.1" customHeight="1" x14ac:dyDescent="0.25">
      <c r="B39" s="24" t="s">
        <v>66</v>
      </c>
      <c r="C39" s="50">
        <v>9</v>
      </c>
      <c r="D39" s="50">
        <v>0</v>
      </c>
      <c r="E39" s="50">
        <v>2</v>
      </c>
      <c r="F39" s="50">
        <v>3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28</v>
      </c>
      <c r="N39" s="50">
        <v>0</v>
      </c>
      <c r="O39" s="15">
        <f t="shared" si="0"/>
        <v>14</v>
      </c>
      <c r="P39" s="15">
        <f t="shared" si="1"/>
        <v>42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2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28</v>
      </c>
      <c r="N40" s="50">
        <v>0</v>
      </c>
      <c r="O40" s="15">
        <f t="shared" si="0"/>
        <v>8</v>
      </c>
      <c r="P40" s="15">
        <f t="shared" si="1"/>
        <v>36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2</v>
      </c>
      <c r="F41" s="50">
        <v>1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28</v>
      </c>
      <c r="N41" s="50">
        <v>0</v>
      </c>
      <c r="O41" s="15">
        <f t="shared" si="0"/>
        <v>6</v>
      </c>
      <c r="P41" s="15">
        <f t="shared" si="1"/>
        <v>34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3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10</v>
      </c>
      <c r="P42" s="15">
        <f t="shared" si="1"/>
        <v>30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1</v>
      </c>
      <c r="F43" s="50">
        <v>3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26</v>
      </c>
      <c r="N43" s="50">
        <v>0</v>
      </c>
      <c r="O43" s="15">
        <f t="shared" si="0"/>
        <v>8</v>
      </c>
      <c r="P43" s="15">
        <f t="shared" si="1"/>
        <v>34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4</v>
      </c>
      <c r="F44" s="50">
        <v>2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35</v>
      </c>
      <c r="N44" s="50">
        <v>0</v>
      </c>
      <c r="O44" s="15">
        <f t="shared" si="0"/>
        <v>12</v>
      </c>
      <c r="P44" s="15">
        <f t="shared" si="1"/>
        <v>47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2</v>
      </c>
      <c r="F45" s="50">
        <v>3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29</v>
      </c>
      <c r="N45" s="50">
        <v>0</v>
      </c>
      <c r="O45" s="15">
        <f t="shared" si="0"/>
        <v>7</v>
      </c>
      <c r="P45" s="15">
        <f t="shared" si="1"/>
        <v>36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26</v>
      </c>
      <c r="N46" s="50">
        <v>0</v>
      </c>
      <c r="O46" s="15">
        <f t="shared" si="0"/>
        <v>4</v>
      </c>
      <c r="P46" s="15">
        <f t="shared" si="1"/>
        <v>30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3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34</v>
      </c>
      <c r="N47" s="50">
        <v>0</v>
      </c>
      <c r="O47" s="15">
        <f t="shared" si="0"/>
        <v>7</v>
      </c>
      <c r="P47" s="15">
        <f t="shared" si="1"/>
        <v>41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4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31</v>
      </c>
      <c r="N48" s="50">
        <v>0</v>
      </c>
      <c r="O48" s="15">
        <f t="shared" si="0"/>
        <v>6</v>
      </c>
      <c r="P48" s="15">
        <f t="shared" si="1"/>
        <v>37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1</v>
      </c>
      <c r="F49" s="50">
        <v>5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34</v>
      </c>
      <c r="N49" s="50">
        <v>0</v>
      </c>
      <c r="O49" s="15">
        <f t="shared" si="0"/>
        <v>9</v>
      </c>
      <c r="P49" s="15">
        <f t="shared" si="1"/>
        <v>43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1</v>
      </c>
      <c r="E50" s="50">
        <v>4</v>
      </c>
      <c r="F50" s="50">
        <v>2</v>
      </c>
      <c r="G50" s="50">
        <v>0</v>
      </c>
      <c r="H50" s="50">
        <v>0</v>
      </c>
      <c r="I50" s="50">
        <v>0</v>
      </c>
      <c r="J50" s="50">
        <v>2</v>
      </c>
      <c r="K50" s="50">
        <v>0</v>
      </c>
      <c r="L50" s="50">
        <v>0</v>
      </c>
      <c r="M50" s="50">
        <v>27</v>
      </c>
      <c r="N50" s="50">
        <v>0</v>
      </c>
      <c r="O50" s="15">
        <f t="shared" si="0"/>
        <v>13</v>
      </c>
      <c r="P50" s="15">
        <f t="shared" si="1"/>
        <v>40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20</v>
      </c>
      <c r="N51" s="50">
        <v>0</v>
      </c>
      <c r="O51" s="15">
        <f t="shared" si="0"/>
        <v>8</v>
      </c>
      <c r="P51" s="15">
        <f t="shared" si="1"/>
        <v>28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1</v>
      </c>
      <c r="F52" s="50">
        <v>2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27</v>
      </c>
      <c r="N52" s="50">
        <v>0</v>
      </c>
      <c r="O52" s="15">
        <f t="shared" si="0"/>
        <v>9</v>
      </c>
      <c r="P52" s="15">
        <f t="shared" si="1"/>
        <v>36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3</v>
      </c>
      <c r="F53" s="50">
        <v>4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24</v>
      </c>
      <c r="N53" s="50">
        <v>0</v>
      </c>
      <c r="O53" s="15">
        <f t="shared" si="0"/>
        <v>14</v>
      </c>
      <c r="P53" s="15">
        <f t="shared" si="1"/>
        <v>38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1</v>
      </c>
      <c r="F54" s="50">
        <v>3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21</v>
      </c>
      <c r="N54" s="50">
        <v>0</v>
      </c>
      <c r="O54" s="15">
        <f t="shared" si="0"/>
        <v>7</v>
      </c>
      <c r="P54" s="15">
        <f t="shared" si="1"/>
        <v>28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0</v>
      </c>
      <c r="E55" s="50">
        <v>1</v>
      </c>
      <c r="F55" s="50">
        <v>5</v>
      </c>
      <c r="G55" s="50">
        <v>1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23</v>
      </c>
      <c r="N55" s="50">
        <v>0</v>
      </c>
      <c r="O55" s="15">
        <f t="shared" si="0"/>
        <v>14</v>
      </c>
      <c r="P55" s="15">
        <f t="shared" si="1"/>
        <v>37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2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27</v>
      </c>
      <c r="N56" s="50">
        <v>0</v>
      </c>
      <c r="O56" s="15">
        <f t="shared" si="0"/>
        <v>7</v>
      </c>
      <c r="P56" s="15">
        <f t="shared" si="1"/>
        <v>34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8</v>
      </c>
      <c r="P57" s="15">
        <f t="shared" si="1"/>
        <v>28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147</v>
      </c>
      <c r="D58" s="16">
        <f t="shared" si="21"/>
        <v>6</v>
      </c>
      <c r="E58" s="16">
        <f t="shared" si="21"/>
        <v>88</v>
      </c>
      <c r="F58" s="16">
        <f t="shared" si="21"/>
        <v>106</v>
      </c>
      <c r="G58" s="16">
        <f t="shared" si="21"/>
        <v>3</v>
      </c>
      <c r="H58" s="16">
        <f t="shared" si="21"/>
        <v>2</v>
      </c>
      <c r="I58" s="16">
        <f t="shared" si="21"/>
        <v>33</v>
      </c>
      <c r="J58" s="16">
        <f t="shared" si="21"/>
        <v>7</v>
      </c>
      <c r="K58" s="16">
        <f t="shared" si="21"/>
        <v>0</v>
      </c>
      <c r="L58" s="16">
        <f t="shared" si="21"/>
        <v>0</v>
      </c>
      <c r="M58" s="16">
        <f t="shared" si="21"/>
        <v>1251</v>
      </c>
      <c r="N58" s="16">
        <f t="shared" si="21"/>
        <v>1</v>
      </c>
      <c r="O58" s="16">
        <f t="shared" si="21"/>
        <v>393</v>
      </c>
      <c r="P58" s="16">
        <f t="shared" si="21"/>
        <v>1644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8.9416058394160586E-2</v>
      </c>
      <c r="D59" s="43">
        <f t="shared" si="22"/>
        <v>3.6496350364963502E-3</v>
      </c>
      <c r="E59" s="43">
        <f t="shared" si="22"/>
        <v>5.3527980535279802E-2</v>
      </c>
      <c r="F59" s="43">
        <f t="shared" si="22"/>
        <v>6.4476885644768861E-2</v>
      </c>
      <c r="G59" s="43">
        <f t="shared" si="22"/>
        <v>1.8248175182481751E-3</v>
      </c>
      <c r="H59" s="43">
        <f t="shared" si="22"/>
        <v>1.2165450121654502E-3</v>
      </c>
      <c r="I59" s="43">
        <f t="shared" si="22"/>
        <v>2.0072992700729927E-2</v>
      </c>
      <c r="J59" s="43">
        <f t="shared" si="22"/>
        <v>4.2579075425790754E-3</v>
      </c>
      <c r="K59" s="43">
        <f t="shared" si="22"/>
        <v>0</v>
      </c>
      <c r="L59" s="43">
        <f t="shared" si="22"/>
        <v>0</v>
      </c>
      <c r="M59" s="43">
        <f t="shared" si="22"/>
        <v>0.76094890510948909</v>
      </c>
      <c r="N59" s="43">
        <f t="shared" si="22"/>
        <v>6.0827250608272508E-4</v>
      </c>
      <c r="R59" s="8"/>
      <c r="T59"/>
    </row>
    <row r="60" spans="2:20" ht="23.1" customHeight="1" x14ac:dyDescent="0.25">
      <c r="B60" s="42" t="s">
        <v>94</v>
      </c>
      <c r="C60" s="44">
        <f>C58/$O$58</f>
        <v>0.37404580152671757</v>
      </c>
      <c r="D60" s="44">
        <f t="shared" ref="D60:N60" si="23">D58/$O$58</f>
        <v>1.5267175572519083E-2</v>
      </c>
      <c r="E60" s="44">
        <f t="shared" si="23"/>
        <v>0.22391857506361323</v>
      </c>
      <c r="F60" s="44">
        <f t="shared" si="23"/>
        <v>0.26972010178117051</v>
      </c>
      <c r="G60" s="44">
        <f t="shared" si="23"/>
        <v>7.6335877862595417E-3</v>
      </c>
      <c r="H60" s="44">
        <f t="shared" si="23"/>
        <v>5.0890585241730284E-3</v>
      </c>
      <c r="I60" s="44">
        <f t="shared" si="23"/>
        <v>8.3969465648854963E-2</v>
      </c>
      <c r="J60" s="44">
        <f t="shared" si="23"/>
        <v>1.7811704834605598E-2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2.5445292620865142E-3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16" zoomScale="60" workbookViewId="0">
      <selection activeCell="H15" sqref="H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Malaba-Tororo'!C3:G3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3" t="str">
        <f>'14.08 Tororo-Malaba'!G5:H5</f>
        <v>xxx</v>
      </c>
      <c r="H5" s="64"/>
      <c r="I5" s="14"/>
      <c r="J5" s="2" t="s">
        <v>5</v>
      </c>
      <c r="K5" s="63" t="str">
        <f>'14.08 Tororo-Malaba'!K5:L5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Malaba-Tororo'!D6:E6</f>
        <v>Malaba</v>
      </c>
      <c r="E6" s="64"/>
      <c r="F6" s="2" t="s">
        <v>2</v>
      </c>
      <c r="G6" s="63" t="str">
        <f>'12.08 Malaba-Tororo'!G6:H6</f>
        <v>Tororo</v>
      </c>
      <c r="H6" s="64"/>
      <c r="J6" s="2" t="s">
        <v>21</v>
      </c>
      <c r="K6" s="63" t="str">
        <f>'14.08 Tororo-Malaba'!K6:L6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1</v>
      </c>
      <c r="E10" s="50">
        <v>4</v>
      </c>
      <c r="F10" s="50">
        <v>2</v>
      </c>
      <c r="G10" s="50">
        <v>1</v>
      </c>
      <c r="H10" s="50">
        <v>1</v>
      </c>
      <c r="I10" s="50">
        <v>0</v>
      </c>
      <c r="J10" s="50">
        <v>0</v>
      </c>
      <c r="K10" s="50">
        <v>0</v>
      </c>
      <c r="L10" s="50">
        <v>0</v>
      </c>
      <c r="M10" s="50">
        <v>14</v>
      </c>
      <c r="N10" s="50">
        <v>0</v>
      </c>
      <c r="O10" s="15">
        <f t="shared" ref="O10:O57" si="0">SUM(C10:L10,N10)</f>
        <v>10</v>
      </c>
      <c r="P10" s="15">
        <f t="shared" ref="P10:P57" si="1">SUM(C10:N10)</f>
        <v>24</v>
      </c>
      <c r="R10" s="1" t="s">
        <v>6</v>
      </c>
      <c r="S10" s="17">
        <f t="shared" ref="S10:AF10" si="2">SUM(C10:C13)</f>
        <v>5</v>
      </c>
      <c r="T10" s="17">
        <f t="shared" si="2"/>
        <v>1</v>
      </c>
      <c r="U10" s="17">
        <f t="shared" si="2"/>
        <v>7</v>
      </c>
      <c r="V10" s="17">
        <f t="shared" si="2"/>
        <v>7</v>
      </c>
      <c r="W10" s="17">
        <f t="shared" si="2"/>
        <v>1</v>
      </c>
      <c r="X10" s="17">
        <f t="shared" si="2"/>
        <v>3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73</v>
      </c>
      <c r="AD10" s="17">
        <f t="shared" si="2"/>
        <v>0</v>
      </c>
      <c r="AE10" s="31">
        <f t="shared" si="2"/>
        <v>27</v>
      </c>
      <c r="AF10" s="31">
        <f t="shared" si="2"/>
        <v>100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1</v>
      </c>
      <c r="F11" s="50">
        <v>2</v>
      </c>
      <c r="G11" s="50">
        <v>0</v>
      </c>
      <c r="H11" s="50">
        <v>1</v>
      </c>
      <c r="I11" s="50">
        <v>1</v>
      </c>
      <c r="J11" s="50">
        <v>0</v>
      </c>
      <c r="K11" s="50">
        <v>0</v>
      </c>
      <c r="L11" s="50">
        <v>0</v>
      </c>
      <c r="M11" s="50">
        <v>21</v>
      </c>
      <c r="N11" s="50">
        <v>0</v>
      </c>
      <c r="O11" s="15">
        <f t="shared" si="0"/>
        <v>6</v>
      </c>
      <c r="P11" s="15">
        <f t="shared" si="1"/>
        <v>27</v>
      </c>
      <c r="R11" s="1" t="s">
        <v>7</v>
      </c>
      <c r="S11" s="17">
        <f t="shared" ref="S11:AF11" si="3">SUM(C14:C17)</f>
        <v>7</v>
      </c>
      <c r="T11" s="17">
        <f t="shared" si="3"/>
        <v>0</v>
      </c>
      <c r="U11" s="17">
        <f t="shared" si="3"/>
        <v>6</v>
      </c>
      <c r="V11" s="17">
        <f t="shared" si="3"/>
        <v>9</v>
      </c>
      <c r="W11" s="17">
        <f t="shared" si="3"/>
        <v>0</v>
      </c>
      <c r="X11" s="17">
        <f t="shared" si="3"/>
        <v>2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105</v>
      </c>
      <c r="AD11" s="17">
        <f t="shared" si="3"/>
        <v>0</v>
      </c>
      <c r="AE11" s="31">
        <f t="shared" si="3"/>
        <v>28</v>
      </c>
      <c r="AF11" s="31">
        <f t="shared" si="3"/>
        <v>133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2</v>
      </c>
      <c r="G12" s="50">
        <v>0</v>
      </c>
      <c r="H12" s="50">
        <v>1</v>
      </c>
      <c r="I12" s="50">
        <v>1</v>
      </c>
      <c r="J12" s="50">
        <v>0</v>
      </c>
      <c r="K12" s="50">
        <v>0</v>
      </c>
      <c r="L12" s="50">
        <v>0</v>
      </c>
      <c r="M12" s="50">
        <v>13</v>
      </c>
      <c r="N12" s="50">
        <v>0</v>
      </c>
      <c r="O12" s="15">
        <f t="shared" si="0"/>
        <v>6</v>
      </c>
      <c r="P12" s="15">
        <f t="shared" si="1"/>
        <v>19</v>
      </c>
      <c r="R12" s="1" t="s">
        <v>8</v>
      </c>
      <c r="S12" s="17">
        <f t="shared" ref="S12:AF12" si="4">SUM(C18:C21)</f>
        <v>11</v>
      </c>
      <c r="T12" s="17">
        <f t="shared" si="4"/>
        <v>1</v>
      </c>
      <c r="U12" s="17">
        <f t="shared" si="4"/>
        <v>8</v>
      </c>
      <c r="V12" s="17">
        <f t="shared" si="4"/>
        <v>9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113</v>
      </c>
      <c r="AD12" s="17">
        <f t="shared" si="4"/>
        <v>0</v>
      </c>
      <c r="AE12" s="31">
        <f t="shared" si="4"/>
        <v>34</v>
      </c>
      <c r="AF12" s="31">
        <f t="shared" si="4"/>
        <v>147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1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25</v>
      </c>
      <c r="N13" s="50">
        <v>0</v>
      </c>
      <c r="O13" s="15">
        <f t="shared" si="0"/>
        <v>5</v>
      </c>
      <c r="P13" s="15">
        <f t="shared" si="1"/>
        <v>30</v>
      </c>
      <c r="R13" s="1" t="s">
        <v>9</v>
      </c>
      <c r="S13" s="17">
        <f t="shared" ref="S13:AF13" si="5">SUM(C22:C25)</f>
        <v>16</v>
      </c>
      <c r="T13" s="17">
        <f t="shared" si="5"/>
        <v>1</v>
      </c>
      <c r="U13" s="17">
        <f t="shared" si="5"/>
        <v>11</v>
      </c>
      <c r="V13" s="17">
        <f t="shared" si="5"/>
        <v>10</v>
      </c>
      <c r="W13" s="17">
        <f t="shared" si="5"/>
        <v>2</v>
      </c>
      <c r="X13" s="17">
        <f t="shared" si="5"/>
        <v>0</v>
      </c>
      <c r="Y13" s="17">
        <f t="shared" si="5"/>
        <v>5</v>
      </c>
      <c r="Z13" s="17">
        <f t="shared" si="5"/>
        <v>11</v>
      </c>
      <c r="AA13" s="17">
        <f t="shared" si="5"/>
        <v>0</v>
      </c>
      <c r="AB13" s="17">
        <f t="shared" si="5"/>
        <v>0</v>
      </c>
      <c r="AC13" s="17">
        <f t="shared" si="5"/>
        <v>125</v>
      </c>
      <c r="AD13" s="17">
        <f t="shared" si="5"/>
        <v>0</v>
      </c>
      <c r="AE13" s="31">
        <f t="shared" si="5"/>
        <v>56</v>
      </c>
      <c r="AF13" s="31">
        <f t="shared" si="5"/>
        <v>181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2</v>
      </c>
      <c r="F14" s="50">
        <v>2</v>
      </c>
      <c r="G14" s="50">
        <v>0</v>
      </c>
      <c r="H14" s="50">
        <v>1</v>
      </c>
      <c r="I14" s="50">
        <v>1</v>
      </c>
      <c r="J14" s="50">
        <v>0</v>
      </c>
      <c r="K14" s="50">
        <v>0</v>
      </c>
      <c r="L14" s="50">
        <v>0</v>
      </c>
      <c r="M14" s="50">
        <v>22</v>
      </c>
      <c r="N14" s="50">
        <v>0</v>
      </c>
      <c r="O14" s="15">
        <f t="shared" si="0"/>
        <v>7</v>
      </c>
      <c r="P14" s="15">
        <f t="shared" si="1"/>
        <v>29</v>
      </c>
      <c r="R14" s="1" t="s">
        <v>10</v>
      </c>
      <c r="S14" s="17">
        <f t="shared" ref="S14:AF14" si="6">SUM(C26:C29)</f>
        <v>10</v>
      </c>
      <c r="T14" s="17">
        <f t="shared" si="6"/>
        <v>1</v>
      </c>
      <c r="U14" s="17">
        <f t="shared" si="6"/>
        <v>12</v>
      </c>
      <c r="V14" s="17">
        <f t="shared" si="6"/>
        <v>11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119</v>
      </c>
      <c r="AD14" s="17">
        <f t="shared" si="6"/>
        <v>0</v>
      </c>
      <c r="AE14" s="31">
        <f t="shared" si="6"/>
        <v>43</v>
      </c>
      <c r="AF14" s="31">
        <f t="shared" si="6"/>
        <v>162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1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24</v>
      </c>
      <c r="N15" s="50">
        <v>0</v>
      </c>
      <c r="O15" s="15">
        <f t="shared" si="0"/>
        <v>6</v>
      </c>
      <c r="P15" s="15">
        <f t="shared" si="1"/>
        <v>30</v>
      </c>
      <c r="R15" s="1" t="s">
        <v>11</v>
      </c>
      <c r="S15" s="17">
        <f t="shared" ref="S15:AF15" si="7">SUM(C30:C33)</f>
        <v>11</v>
      </c>
      <c r="T15" s="17">
        <f t="shared" si="7"/>
        <v>1</v>
      </c>
      <c r="U15" s="17">
        <f t="shared" si="7"/>
        <v>11</v>
      </c>
      <c r="V15" s="17">
        <f t="shared" si="7"/>
        <v>11</v>
      </c>
      <c r="W15" s="17">
        <f t="shared" si="7"/>
        <v>0</v>
      </c>
      <c r="X15" s="17">
        <f t="shared" si="7"/>
        <v>1</v>
      </c>
      <c r="Y15" s="17">
        <f t="shared" si="7"/>
        <v>6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115</v>
      </c>
      <c r="AD15" s="17">
        <f t="shared" si="7"/>
        <v>0</v>
      </c>
      <c r="AE15" s="31">
        <f t="shared" si="7"/>
        <v>42</v>
      </c>
      <c r="AF15" s="31">
        <f t="shared" si="7"/>
        <v>157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2</v>
      </c>
      <c r="F16" s="50">
        <v>2</v>
      </c>
      <c r="G16" s="50">
        <v>0</v>
      </c>
      <c r="H16" s="50">
        <v>1</v>
      </c>
      <c r="I16" s="50">
        <v>1</v>
      </c>
      <c r="J16" s="50">
        <v>0</v>
      </c>
      <c r="K16" s="50">
        <v>0</v>
      </c>
      <c r="L16" s="50">
        <v>0</v>
      </c>
      <c r="M16" s="50">
        <v>28</v>
      </c>
      <c r="N16" s="50">
        <v>0</v>
      </c>
      <c r="O16" s="15">
        <f t="shared" si="0"/>
        <v>8</v>
      </c>
      <c r="P16" s="15">
        <f t="shared" si="1"/>
        <v>36</v>
      </c>
      <c r="R16" s="1" t="s">
        <v>12</v>
      </c>
      <c r="S16" s="17">
        <f t="shared" ref="S16:AF16" si="8">SUM(C34:C37)</f>
        <v>13</v>
      </c>
      <c r="T16" s="17">
        <f t="shared" si="8"/>
        <v>2</v>
      </c>
      <c r="U16" s="17">
        <f t="shared" si="8"/>
        <v>14</v>
      </c>
      <c r="V16" s="17">
        <f t="shared" si="8"/>
        <v>13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111</v>
      </c>
      <c r="AD16" s="17">
        <f t="shared" si="8"/>
        <v>0</v>
      </c>
      <c r="AE16" s="31">
        <f t="shared" si="8"/>
        <v>52</v>
      </c>
      <c r="AF16" s="31">
        <f t="shared" si="8"/>
        <v>163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1</v>
      </c>
      <c r="F17" s="50">
        <v>3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31</v>
      </c>
      <c r="N17" s="50">
        <v>0</v>
      </c>
      <c r="O17" s="15">
        <f t="shared" si="0"/>
        <v>7</v>
      </c>
      <c r="P17" s="15">
        <f t="shared" si="1"/>
        <v>38</v>
      </c>
      <c r="R17" s="1" t="s">
        <v>13</v>
      </c>
      <c r="S17" s="17">
        <f t="shared" ref="S17:AF17" si="9">SUM(C38:C41)</f>
        <v>9</v>
      </c>
      <c r="T17" s="17">
        <f t="shared" si="9"/>
        <v>1</v>
      </c>
      <c r="U17" s="17">
        <f t="shared" si="9"/>
        <v>12</v>
      </c>
      <c r="V17" s="17">
        <f t="shared" si="9"/>
        <v>9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98</v>
      </c>
      <c r="AD17" s="17">
        <f t="shared" si="9"/>
        <v>0</v>
      </c>
      <c r="AE17" s="31">
        <f t="shared" si="9"/>
        <v>37</v>
      </c>
      <c r="AF17" s="31">
        <f t="shared" si="9"/>
        <v>135</v>
      </c>
    </row>
    <row r="18" spans="2:32" ht="23.1" customHeight="1" x14ac:dyDescent="0.25">
      <c r="B18" s="23" t="s">
        <v>45</v>
      </c>
      <c r="C18" s="50">
        <v>5</v>
      </c>
      <c r="D18" s="50">
        <v>0</v>
      </c>
      <c r="E18" s="50">
        <v>1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25</v>
      </c>
      <c r="N18" s="50">
        <v>0</v>
      </c>
      <c r="O18" s="15">
        <f t="shared" si="0"/>
        <v>8</v>
      </c>
      <c r="P18" s="15">
        <f t="shared" si="1"/>
        <v>33</v>
      </c>
      <c r="R18" s="1" t="s">
        <v>14</v>
      </c>
      <c r="S18" s="17">
        <f t="shared" ref="S18:AF18" si="10">SUM(C42:C45)</f>
        <v>11</v>
      </c>
      <c r="T18" s="17">
        <f t="shared" si="10"/>
        <v>0</v>
      </c>
      <c r="U18" s="17">
        <f t="shared" si="10"/>
        <v>11</v>
      </c>
      <c r="V18" s="17">
        <f t="shared" si="10"/>
        <v>10</v>
      </c>
      <c r="W18" s="17">
        <f t="shared" si="10"/>
        <v>1</v>
      </c>
      <c r="X18" s="17">
        <f t="shared" si="10"/>
        <v>0</v>
      </c>
      <c r="Y18" s="17">
        <f t="shared" si="10"/>
        <v>5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110</v>
      </c>
      <c r="AD18" s="17">
        <f t="shared" si="10"/>
        <v>0</v>
      </c>
      <c r="AE18" s="31">
        <f t="shared" si="10"/>
        <v>39</v>
      </c>
      <c r="AF18" s="31">
        <f t="shared" si="10"/>
        <v>149</v>
      </c>
    </row>
    <row r="19" spans="2:32" ht="23.1" customHeight="1" x14ac:dyDescent="0.25">
      <c r="B19" s="23" t="s">
        <v>46</v>
      </c>
      <c r="C19" s="50">
        <v>3</v>
      </c>
      <c r="D19" s="50">
        <v>1</v>
      </c>
      <c r="E19" s="50">
        <v>4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22</v>
      </c>
      <c r="N19" s="50">
        <v>0</v>
      </c>
      <c r="O19" s="15">
        <f t="shared" si="0"/>
        <v>9</v>
      </c>
      <c r="P19" s="15">
        <f t="shared" si="1"/>
        <v>31</v>
      </c>
      <c r="R19" s="1" t="s">
        <v>15</v>
      </c>
      <c r="S19" s="17">
        <f t="shared" ref="S19:AF19" si="11">SUM(C46:C49)</f>
        <v>19</v>
      </c>
      <c r="T19" s="17">
        <f t="shared" si="11"/>
        <v>3</v>
      </c>
      <c r="U19" s="17">
        <f t="shared" si="11"/>
        <v>13</v>
      </c>
      <c r="V19" s="17">
        <f t="shared" si="11"/>
        <v>13</v>
      </c>
      <c r="W19" s="17">
        <f t="shared" si="11"/>
        <v>2</v>
      </c>
      <c r="X19" s="17">
        <f t="shared" si="11"/>
        <v>0</v>
      </c>
      <c r="Y19" s="17">
        <f t="shared" si="11"/>
        <v>7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103</v>
      </c>
      <c r="AD19" s="17">
        <f t="shared" si="11"/>
        <v>0</v>
      </c>
      <c r="AE19" s="31">
        <f t="shared" si="11"/>
        <v>59</v>
      </c>
      <c r="AF19" s="31">
        <f t="shared" si="11"/>
        <v>162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2</v>
      </c>
      <c r="F20" s="50">
        <v>3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36</v>
      </c>
      <c r="N20" s="50">
        <v>0</v>
      </c>
      <c r="O20" s="15">
        <f t="shared" si="0"/>
        <v>9</v>
      </c>
      <c r="P20" s="15">
        <f t="shared" si="1"/>
        <v>45</v>
      </c>
      <c r="R20" s="1" t="s">
        <v>16</v>
      </c>
      <c r="S20" s="17">
        <f t="shared" ref="S20:AF20" si="12">SUM(C50:C53)</f>
        <v>10</v>
      </c>
      <c r="T20" s="17">
        <f t="shared" si="12"/>
        <v>3</v>
      </c>
      <c r="U20" s="17">
        <f t="shared" si="12"/>
        <v>17</v>
      </c>
      <c r="V20" s="17">
        <f t="shared" si="12"/>
        <v>15</v>
      </c>
      <c r="W20" s="17">
        <f t="shared" si="12"/>
        <v>1</v>
      </c>
      <c r="X20" s="17">
        <f t="shared" si="12"/>
        <v>0</v>
      </c>
      <c r="Y20" s="17">
        <f t="shared" si="12"/>
        <v>4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91</v>
      </c>
      <c r="AD20" s="17">
        <f t="shared" si="12"/>
        <v>1</v>
      </c>
      <c r="AE20" s="31">
        <f t="shared" si="12"/>
        <v>53</v>
      </c>
      <c r="AF20" s="31">
        <f t="shared" si="12"/>
        <v>144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1</v>
      </c>
      <c r="F21" s="50">
        <v>4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30</v>
      </c>
      <c r="N21" s="50">
        <v>0</v>
      </c>
      <c r="O21" s="15">
        <f t="shared" si="0"/>
        <v>8</v>
      </c>
      <c r="P21" s="15">
        <f t="shared" si="1"/>
        <v>38</v>
      </c>
      <c r="R21" s="36" t="s">
        <v>20</v>
      </c>
      <c r="S21" s="34">
        <f t="shared" ref="S21:AF21" si="13">SUM(C54:C57)</f>
        <v>20</v>
      </c>
      <c r="T21" s="17">
        <f t="shared" si="13"/>
        <v>1</v>
      </c>
      <c r="U21" s="17">
        <f t="shared" si="13"/>
        <v>12</v>
      </c>
      <c r="V21" s="17">
        <f t="shared" si="13"/>
        <v>10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113</v>
      </c>
      <c r="AD21" s="17">
        <f t="shared" si="13"/>
        <v>0</v>
      </c>
      <c r="AE21" s="31">
        <f t="shared" si="13"/>
        <v>53</v>
      </c>
      <c r="AF21" s="31">
        <f t="shared" si="13"/>
        <v>166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2</v>
      </c>
      <c r="F22" s="50">
        <v>2</v>
      </c>
      <c r="G22" s="50">
        <v>0</v>
      </c>
      <c r="H22" s="50">
        <v>0</v>
      </c>
      <c r="I22" s="50">
        <v>1</v>
      </c>
      <c r="J22" s="50">
        <v>2</v>
      </c>
      <c r="K22" s="50">
        <v>0</v>
      </c>
      <c r="L22" s="50">
        <v>0</v>
      </c>
      <c r="M22" s="50">
        <v>32</v>
      </c>
      <c r="N22" s="50">
        <v>0</v>
      </c>
      <c r="O22" s="15">
        <f t="shared" si="0"/>
        <v>9</v>
      </c>
      <c r="P22" s="15">
        <f t="shared" si="1"/>
        <v>41</v>
      </c>
      <c r="R22" s="38" t="s">
        <v>90</v>
      </c>
      <c r="S22" s="39">
        <f>MAX(S10:S12)</f>
        <v>11</v>
      </c>
      <c r="T22" s="39">
        <f t="shared" ref="T22:AF22" si="14">MAX(T10:T12)</f>
        <v>1</v>
      </c>
      <c r="U22" s="39">
        <f t="shared" si="14"/>
        <v>8</v>
      </c>
      <c r="V22" s="39">
        <f t="shared" si="14"/>
        <v>9</v>
      </c>
      <c r="W22" s="39">
        <f t="shared" si="14"/>
        <v>1</v>
      </c>
      <c r="X22" s="39">
        <f t="shared" si="14"/>
        <v>3</v>
      </c>
      <c r="Y22" s="39">
        <f t="shared" si="14"/>
        <v>5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113</v>
      </c>
      <c r="AD22" s="39">
        <f t="shared" si="14"/>
        <v>0</v>
      </c>
      <c r="AE22" s="40">
        <f t="shared" si="14"/>
        <v>34</v>
      </c>
      <c r="AF22" s="40">
        <f t="shared" si="14"/>
        <v>147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3</v>
      </c>
      <c r="F23" s="50">
        <v>3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33</v>
      </c>
      <c r="N23" s="50">
        <v>0</v>
      </c>
      <c r="O23" s="15">
        <f t="shared" si="0"/>
        <v>12</v>
      </c>
      <c r="P23" s="15">
        <f t="shared" si="1"/>
        <v>45</v>
      </c>
      <c r="R23" s="38" t="s">
        <v>91</v>
      </c>
      <c r="S23" s="39">
        <f>MAX(S13:S18)</f>
        <v>16</v>
      </c>
      <c r="T23" s="39">
        <f t="shared" ref="T23:AF23" si="15">MAX(T13:T18)</f>
        <v>2</v>
      </c>
      <c r="U23" s="39">
        <f t="shared" si="15"/>
        <v>14</v>
      </c>
      <c r="V23" s="39">
        <f t="shared" si="15"/>
        <v>13</v>
      </c>
      <c r="W23" s="39">
        <f t="shared" si="15"/>
        <v>2</v>
      </c>
      <c r="X23" s="39">
        <f t="shared" si="15"/>
        <v>1</v>
      </c>
      <c r="Y23" s="39">
        <f t="shared" si="15"/>
        <v>9</v>
      </c>
      <c r="Z23" s="39">
        <f t="shared" si="15"/>
        <v>11</v>
      </c>
      <c r="AA23" s="39">
        <f t="shared" si="15"/>
        <v>1</v>
      </c>
      <c r="AB23" s="39">
        <f t="shared" si="15"/>
        <v>0</v>
      </c>
      <c r="AC23" s="39">
        <f t="shared" si="15"/>
        <v>125</v>
      </c>
      <c r="AD23" s="39">
        <f t="shared" si="15"/>
        <v>0</v>
      </c>
      <c r="AE23" s="40">
        <f t="shared" si="15"/>
        <v>56</v>
      </c>
      <c r="AF23" s="40">
        <f t="shared" si="15"/>
        <v>181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2</v>
      </c>
      <c r="F24" s="50">
        <v>3</v>
      </c>
      <c r="G24" s="50">
        <v>1</v>
      </c>
      <c r="H24" s="50">
        <v>0</v>
      </c>
      <c r="I24" s="50">
        <v>1</v>
      </c>
      <c r="J24" s="50">
        <v>9</v>
      </c>
      <c r="K24" s="50">
        <v>0</v>
      </c>
      <c r="L24" s="50">
        <v>0</v>
      </c>
      <c r="M24" s="50">
        <v>26</v>
      </c>
      <c r="N24" s="50">
        <v>0</v>
      </c>
      <c r="O24" s="15">
        <f t="shared" si="0"/>
        <v>20</v>
      </c>
      <c r="P24" s="15">
        <f t="shared" si="1"/>
        <v>46</v>
      </c>
      <c r="R24" s="38" t="s">
        <v>92</v>
      </c>
      <c r="S24" s="39">
        <f>MAX(S19:S21)</f>
        <v>20</v>
      </c>
      <c r="T24" s="39">
        <f t="shared" ref="T24:AF24" si="16">MAX(T19:T21)</f>
        <v>3</v>
      </c>
      <c r="U24" s="39">
        <f t="shared" si="16"/>
        <v>17</v>
      </c>
      <c r="V24" s="39">
        <f t="shared" si="16"/>
        <v>15</v>
      </c>
      <c r="W24" s="39">
        <f t="shared" si="16"/>
        <v>2</v>
      </c>
      <c r="X24" s="39">
        <f t="shared" si="16"/>
        <v>0</v>
      </c>
      <c r="Y24" s="39">
        <f t="shared" si="16"/>
        <v>7</v>
      </c>
      <c r="Z24" s="39">
        <f t="shared" si="16"/>
        <v>3</v>
      </c>
      <c r="AA24" s="39">
        <f t="shared" si="16"/>
        <v>1</v>
      </c>
      <c r="AB24" s="39">
        <f t="shared" si="16"/>
        <v>0</v>
      </c>
      <c r="AC24" s="39">
        <f t="shared" si="16"/>
        <v>113</v>
      </c>
      <c r="AD24" s="39">
        <f t="shared" si="16"/>
        <v>1</v>
      </c>
      <c r="AE24" s="40">
        <f t="shared" si="16"/>
        <v>59</v>
      </c>
      <c r="AF24" s="40">
        <f t="shared" si="16"/>
        <v>166</v>
      </c>
    </row>
    <row r="25" spans="2:32" ht="23.1" customHeight="1" x14ac:dyDescent="0.25">
      <c r="B25" s="23" t="s">
        <v>52</v>
      </c>
      <c r="C25" s="50">
        <v>5</v>
      </c>
      <c r="D25" s="50">
        <v>1</v>
      </c>
      <c r="E25" s="50">
        <v>4</v>
      </c>
      <c r="F25" s="50">
        <v>2</v>
      </c>
      <c r="G25" s="50">
        <v>1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34</v>
      </c>
      <c r="N25" s="50">
        <v>0</v>
      </c>
      <c r="O25" s="15">
        <f t="shared" si="0"/>
        <v>15</v>
      </c>
      <c r="P25" s="15">
        <f t="shared" si="1"/>
        <v>49</v>
      </c>
      <c r="R25" s="37" t="s">
        <v>85</v>
      </c>
      <c r="S25" s="35">
        <f t="shared" ref="S25:AF25" si="17">SUM(S10:S12)</f>
        <v>23</v>
      </c>
      <c r="T25" s="16">
        <f t="shared" si="17"/>
        <v>2</v>
      </c>
      <c r="U25" s="16">
        <f t="shared" si="17"/>
        <v>21</v>
      </c>
      <c r="V25" s="16">
        <f t="shared" si="17"/>
        <v>25</v>
      </c>
      <c r="W25" s="16">
        <f t="shared" si="17"/>
        <v>1</v>
      </c>
      <c r="X25" s="16">
        <f t="shared" si="17"/>
        <v>5</v>
      </c>
      <c r="Y25" s="16">
        <f t="shared" si="17"/>
        <v>12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291</v>
      </c>
      <c r="AD25" s="16">
        <f t="shared" si="17"/>
        <v>0</v>
      </c>
      <c r="AE25" s="32">
        <f t="shared" si="17"/>
        <v>89</v>
      </c>
      <c r="AF25" s="32">
        <f t="shared" si="17"/>
        <v>380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3</v>
      </c>
      <c r="F26" s="50">
        <v>3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33</v>
      </c>
      <c r="N26" s="50">
        <v>0</v>
      </c>
      <c r="O26" s="15">
        <f t="shared" si="0"/>
        <v>13</v>
      </c>
      <c r="P26" s="15">
        <f t="shared" si="1"/>
        <v>46</v>
      </c>
      <c r="R26" s="28" t="s">
        <v>86</v>
      </c>
      <c r="S26" s="16">
        <f t="shared" ref="S26:AF26" si="18">SUM(S13:S18)</f>
        <v>70</v>
      </c>
      <c r="T26" s="16">
        <f t="shared" si="18"/>
        <v>6</v>
      </c>
      <c r="U26" s="16">
        <f t="shared" si="18"/>
        <v>71</v>
      </c>
      <c r="V26" s="16">
        <f t="shared" si="18"/>
        <v>64</v>
      </c>
      <c r="W26" s="16">
        <f t="shared" si="18"/>
        <v>3</v>
      </c>
      <c r="X26" s="16">
        <f t="shared" si="18"/>
        <v>1</v>
      </c>
      <c r="Y26" s="16">
        <f t="shared" si="18"/>
        <v>35</v>
      </c>
      <c r="Z26" s="16">
        <f t="shared" si="18"/>
        <v>18</v>
      </c>
      <c r="AA26" s="16">
        <f t="shared" si="18"/>
        <v>1</v>
      </c>
      <c r="AB26" s="16">
        <f t="shared" si="18"/>
        <v>0</v>
      </c>
      <c r="AC26" s="16">
        <f t="shared" si="18"/>
        <v>678</v>
      </c>
      <c r="AD26" s="16">
        <f t="shared" si="18"/>
        <v>0</v>
      </c>
      <c r="AE26" s="32">
        <f t="shared" si="18"/>
        <v>269</v>
      </c>
      <c r="AF26" s="32">
        <f t="shared" si="18"/>
        <v>947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4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23</v>
      </c>
      <c r="N27" s="50">
        <v>0</v>
      </c>
      <c r="O27" s="15">
        <f t="shared" si="0"/>
        <v>7</v>
      </c>
      <c r="P27" s="15">
        <f t="shared" si="1"/>
        <v>30</v>
      </c>
      <c r="R27" s="29" t="s">
        <v>87</v>
      </c>
      <c r="S27" s="16">
        <f t="shared" ref="S27:AF27" si="19">SUM(S19:S21)</f>
        <v>49</v>
      </c>
      <c r="T27" s="16">
        <f t="shared" si="19"/>
        <v>7</v>
      </c>
      <c r="U27" s="16">
        <f t="shared" si="19"/>
        <v>42</v>
      </c>
      <c r="V27" s="16">
        <f t="shared" si="19"/>
        <v>38</v>
      </c>
      <c r="W27" s="16">
        <f t="shared" si="19"/>
        <v>3</v>
      </c>
      <c r="X27" s="16">
        <f t="shared" si="19"/>
        <v>0</v>
      </c>
      <c r="Y27" s="16">
        <f t="shared" si="19"/>
        <v>18</v>
      </c>
      <c r="Z27" s="16">
        <f t="shared" si="19"/>
        <v>6</v>
      </c>
      <c r="AA27" s="16">
        <f t="shared" si="19"/>
        <v>1</v>
      </c>
      <c r="AB27" s="16">
        <f t="shared" si="19"/>
        <v>0</v>
      </c>
      <c r="AC27" s="16">
        <f t="shared" si="19"/>
        <v>307</v>
      </c>
      <c r="AD27" s="16">
        <f t="shared" si="19"/>
        <v>1</v>
      </c>
      <c r="AE27" s="32">
        <f t="shared" si="19"/>
        <v>165</v>
      </c>
      <c r="AF27" s="32">
        <f t="shared" si="19"/>
        <v>472</v>
      </c>
    </row>
    <row r="28" spans="2:32" ht="23.1" customHeight="1" x14ac:dyDescent="0.25">
      <c r="B28" s="23" t="s">
        <v>55</v>
      </c>
      <c r="C28" s="50">
        <v>2</v>
      </c>
      <c r="D28" s="50">
        <v>1</v>
      </c>
      <c r="E28" s="50">
        <v>5</v>
      </c>
      <c r="F28" s="50">
        <v>2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34</v>
      </c>
      <c r="N28" s="50">
        <v>0</v>
      </c>
      <c r="O28" s="15">
        <f t="shared" si="0"/>
        <v>12</v>
      </c>
      <c r="P28" s="15">
        <f t="shared" si="1"/>
        <v>46</v>
      </c>
      <c r="R28" s="5" t="s">
        <v>17</v>
      </c>
      <c r="S28" s="16">
        <f t="shared" ref="S28:AF28" si="20">SUM(S10:S21)</f>
        <v>142</v>
      </c>
      <c r="T28" s="16">
        <f t="shared" si="20"/>
        <v>15</v>
      </c>
      <c r="U28" s="16">
        <f t="shared" si="20"/>
        <v>134</v>
      </c>
      <c r="V28" s="16">
        <f t="shared" si="20"/>
        <v>127</v>
      </c>
      <c r="W28" s="16">
        <f t="shared" si="20"/>
        <v>7</v>
      </c>
      <c r="X28" s="16">
        <f t="shared" si="20"/>
        <v>6</v>
      </c>
      <c r="Y28" s="16">
        <f t="shared" si="20"/>
        <v>65</v>
      </c>
      <c r="Z28" s="16">
        <f t="shared" si="20"/>
        <v>24</v>
      </c>
      <c r="AA28" s="16">
        <f t="shared" si="20"/>
        <v>2</v>
      </c>
      <c r="AB28" s="16">
        <f t="shared" si="20"/>
        <v>0</v>
      </c>
      <c r="AC28" s="16">
        <f t="shared" si="20"/>
        <v>1276</v>
      </c>
      <c r="AD28" s="16">
        <f t="shared" si="20"/>
        <v>1</v>
      </c>
      <c r="AE28" s="32">
        <f t="shared" si="20"/>
        <v>523</v>
      </c>
      <c r="AF28" s="32">
        <f t="shared" si="20"/>
        <v>1799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3</v>
      </c>
      <c r="F29" s="50">
        <v>2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29</v>
      </c>
      <c r="N29" s="50">
        <v>0</v>
      </c>
      <c r="O29" s="15">
        <f t="shared" si="0"/>
        <v>11</v>
      </c>
      <c r="P29" s="15">
        <f t="shared" si="1"/>
        <v>40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3</v>
      </c>
      <c r="F30" s="50">
        <v>3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27</v>
      </c>
      <c r="N30" s="50">
        <v>0</v>
      </c>
      <c r="O30" s="15">
        <f t="shared" si="0"/>
        <v>12</v>
      </c>
      <c r="P30" s="15">
        <f t="shared" si="1"/>
        <v>39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3</v>
      </c>
      <c r="F31" s="50">
        <v>4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26</v>
      </c>
      <c r="N31" s="50">
        <v>0</v>
      </c>
      <c r="O31" s="15">
        <f t="shared" si="0"/>
        <v>12</v>
      </c>
      <c r="P31" s="15">
        <f t="shared" si="1"/>
        <v>38</v>
      </c>
    </row>
    <row r="32" spans="2:32" ht="23.1" customHeight="1" x14ac:dyDescent="0.25">
      <c r="B32" s="24" t="s">
        <v>59</v>
      </c>
      <c r="C32" s="50">
        <v>3</v>
      </c>
      <c r="D32" s="50">
        <v>1</v>
      </c>
      <c r="E32" s="50">
        <v>4</v>
      </c>
      <c r="F32" s="50">
        <v>2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29</v>
      </c>
      <c r="N32" s="50">
        <v>0</v>
      </c>
      <c r="O32" s="15">
        <f t="shared" si="0"/>
        <v>11</v>
      </c>
      <c r="P32" s="15">
        <f t="shared" si="1"/>
        <v>40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1</v>
      </c>
      <c r="F33" s="50">
        <v>2</v>
      </c>
      <c r="G33" s="50">
        <v>0</v>
      </c>
      <c r="H33" s="50">
        <v>1</v>
      </c>
      <c r="I33" s="50">
        <v>1</v>
      </c>
      <c r="J33" s="50">
        <v>0</v>
      </c>
      <c r="K33" s="50">
        <v>0</v>
      </c>
      <c r="L33" s="50">
        <v>0</v>
      </c>
      <c r="M33" s="50">
        <v>33</v>
      </c>
      <c r="N33" s="50">
        <v>0</v>
      </c>
      <c r="O33" s="15">
        <f t="shared" si="0"/>
        <v>7</v>
      </c>
      <c r="P33" s="15">
        <f t="shared" si="1"/>
        <v>40</v>
      </c>
    </row>
    <row r="34" spans="2:20" ht="23.1" customHeight="1" x14ac:dyDescent="0.25">
      <c r="B34" s="24" t="s">
        <v>61</v>
      </c>
      <c r="C34" s="50">
        <v>3</v>
      </c>
      <c r="D34" s="50">
        <v>1</v>
      </c>
      <c r="E34" s="50">
        <v>4</v>
      </c>
      <c r="F34" s="50">
        <v>4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24</v>
      </c>
      <c r="N34" s="50">
        <v>0</v>
      </c>
      <c r="O34" s="15">
        <f t="shared" si="0"/>
        <v>14</v>
      </c>
      <c r="P34" s="15">
        <f t="shared" si="1"/>
        <v>38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3</v>
      </c>
      <c r="F35" s="50">
        <v>3</v>
      </c>
      <c r="G35" s="50">
        <v>0</v>
      </c>
      <c r="H35" s="50">
        <v>0</v>
      </c>
      <c r="I35" s="50">
        <v>0</v>
      </c>
      <c r="J35" s="50">
        <v>0</v>
      </c>
      <c r="K35" s="50">
        <v>1</v>
      </c>
      <c r="L35" s="50">
        <v>0</v>
      </c>
      <c r="M35" s="50">
        <v>32</v>
      </c>
      <c r="N35" s="50">
        <v>0</v>
      </c>
      <c r="O35" s="15">
        <f t="shared" si="0"/>
        <v>11</v>
      </c>
      <c r="P35" s="15">
        <f t="shared" si="1"/>
        <v>43</v>
      </c>
    </row>
    <row r="36" spans="2:20" ht="23.1" customHeight="1" x14ac:dyDescent="0.25">
      <c r="B36" s="24" t="s">
        <v>63</v>
      </c>
      <c r="C36" s="50">
        <v>4</v>
      </c>
      <c r="D36" s="50">
        <v>1</v>
      </c>
      <c r="E36" s="50">
        <v>5</v>
      </c>
      <c r="F36" s="50">
        <v>3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22</v>
      </c>
      <c r="N36" s="50">
        <v>0</v>
      </c>
      <c r="O36" s="15">
        <f t="shared" si="0"/>
        <v>17</v>
      </c>
      <c r="P36" s="15">
        <f t="shared" si="1"/>
        <v>39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2</v>
      </c>
      <c r="F37" s="50">
        <v>3</v>
      </c>
      <c r="G37" s="50">
        <v>0</v>
      </c>
      <c r="H37" s="50">
        <v>0</v>
      </c>
      <c r="I37" s="50">
        <v>2</v>
      </c>
      <c r="J37" s="50">
        <v>1</v>
      </c>
      <c r="K37" s="50">
        <v>0</v>
      </c>
      <c r="L37" s="50">
        <v>0</v>
      </c>
      <c r="M37" s="50">
        <v>33</v>
      </c>
      <c r="N37" s="50">
        <v>0</v>
      </c>
      <c r="O37" s="15">
        <f t="shared" si="0"/>
        <v>10</v>
      </c>
      <c r="P37" s="15">
        <f t="shared" si="1"/>
        <v>43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3</v>
      </c>
      <c r="F38" s="50">
        <v>3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25</v>
      </c>
      <c r="N38" s="50">
        <v>0</v>
      </c>
      <c r="O38" s="15">
        <f t="shared" si="0"/>
        <v>10</v>
      </c>
      <c r="P38" s="15">
        <f t="shared" si="1"/>
        <v>35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3</v>
      </c>
      <c r="F39" s="50">
        <v>1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24</v>
      </c>
      <c r="N39" s="50">
        <v>0</v>
      </c>
      <c r="O39" s="15">
        <f t="shared" si="0"/>
        <v>7</v>
      </c>
      <c r="P39" s="15">
        <f t="shared" si="1"/>
        <v>31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2</v>
      </c>
      <c r="F40" s="50">
        <v>4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20</v>
      </c>
      <c r="N40" s="50">
        <v>0</v>
      </c>
      <c r="O40" s="15">
        <f t="shared" si="0"/>
        <v>11</v>
      </c>
      <c r="P40" s="15">
        <f t="shared" si="1"/>
        <v>31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4</v>
      </c>
      <c r="F41" s="50">
        <v>1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29</v>
      </c>
      <c r="N41" s="50">
        <v>0</v>
      </c>
      <c r="O41" s="15">
        <f t="shared" si="0"/>
        <v>9</v>
      </c>
      <c r="P41" s="15">
        <f t="shared" si="1"/>
        <v>38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3</v>
      </c>
      <c r="F42" s="50">
        <v>3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23</v>
      </c>
      <c r="N42" s="50">
        <v>0</v>
      </c>
      <c r="O42" s="15">
        <f t="shared" si="0"/>
        <v>12</v>
      </c>
      <c r="P42" s="15">
        <f t="shared" si="1"/>
        <v>35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3</v>
      </c>
      <c r="F43" s="50">
        <v>4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26</v>
      </c>
      <c r="N43" s="50">
        <v>0</v>
      </c>
      <c r="O43" s="15">
        <f t="shared" si="0"/>
        <v>10</v>
      </c>
      <c r="P43" s="15">
        <f t="shared" si="1"/>
        <v>36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2</v>
      </c>
      <c r="F44" s="50">
        <v>1</v>
      </c>
      <c r="G44" s="50">
        <v>1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32</v>
      </c>
      <c r="N44" s="50">
        <v>0</v>
      </c>
      <c r="O44" s="15">
        <f t="shared" si="0"/>
        <v>9</v>
      </c>
      <c r="P44" s="15">
        <f t="shared" si="1"/>
        <v>41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3</v>
      </c>
      <c r="F45" s="50">
        <v>2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29</v>
      </c>
      <c r="N45" s="50">
        <v>0</v>
      </c>
      <c r="O45" s="15">
        <f t="shared" si="0"/>
        <v>8</v>
      </c>
      <c r="P45" s="15">
        <f t="shared" si="1"/>
        <v>37</v>
      </c>
    </row>
    <row r="46" spans="2:20" ht="23.1" customHeight="1" x14ac:dyDescent="0.25">
      <c r="B46" s="24" t="s">
        <v>73</v>
      </c>
      <c r="C46" s="50">
        <v>5</v>
      </c>
      <c r="D46" s="50">
        <v>0</v>
      </c>
      <c r="E46" s="50">
        <v>0</v>
      </c>
      <c r="F46" s="50">
        <v>4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19</v>
      </c>
      <c r="N46" s="50">
        <v>0</v>
      </c>
      <c r="O46" s="15">
        <f t="shared" si="0"/>
        <v>9</v>
      </c>
      <c r="P46" s="15">
        <f t="shared" si="1"/>
        <v>28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1</v>
      </c>
      <c r="E47" s="50">
        <v>4</v>
      </c>
      <c r="F47" s="50">
        <v>2</v>
      </c>
      <c r="G47" s="50">
        <v>1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27</v>
      </c>
      <c r="N47" s="50">
        <v>0</v>
      </c>
      <c r="O47" s="15">
        <f t="shared" si="0"/>
        <v>16</v>
      </c>
      <c r="P47" s="15">
        <f t="shared" si="1"/>
        <v>43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2</v>
      </c>
      <c r="E48" s="50">
        <v>7</v>
      </c>
      <c r="F48" s="50">
        <v>3</v>
      </c>
      <c r="G48" s="50">
        <v>1</v>
      </c>
      <c r="H48" s="50">
        <v>0</v>
      </c>
      <c r="I48" s="50">
        <v>4</v>
      </c>
      <c r="J48" s="50">
        <v>2</v>
      </c>
      <c r="K48" s="50">
        <v>0</v>
      </c>
      <c r="L48" s="50">
        <v>0</v>
      </c>
      <c r="M48" s="50">
        <v>32</v>
      </c>
      <c r="N48" s="50">
        <v>0</v>
      </c>
      <c r="O48" s="15">
        <f t="shared" si="0"/>
        <v>24</v>
      </c>
      <c r="P48" s="15">
        <f t="shared" si="1"/>
        <v>56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2</v>
      </c>
      <c r="F49" s="50">
        <v>4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25</v>
      </c>
      <c r="N49" s="50">
        <v>0</v>
      </c>
      <c r="O49" s="15">
        <f t="shared" si="0"/>
        <v>10</v>
      </c>
      <c r="P49" s="15">
        <f t="shared" si="1"/>
        <v>35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1</v>
      </c>
      <c r="E50" s="50">
        <v>4</v>
      </c>
      <c r="F50" s="50">
        <v>5</v>
      </c>
      <c r="G50" s="50">
        <v>0</v>
      </c>
      <c r="H50" s="50">
        <v>0</v>
      </c>
      <c r="I50" s="50">
        <v>2</v>
      </c>
      <c r="J50" s="50">
        <v>1</v>
      </c>
      <c r="K50" s="50">
        <v>1</v>
      </c>
      <c r="L50" s="50">
        <v>0</v>
      </c>
      <c r="M50" s="50">
        <v>18</v>
      </c>
      <c r="N50" s="50">
        <v>0</v>
      </c>
      <c r="O50" s="15">
        <f t="shared" si="0"/>
        <v>17</v>
      </c>
      <c r="P50" s="15">
        <f t="shared" si="1"/>
        <v>35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3</v>
      </c>
      <c r="F51" s="50">
        <v>4</v>
      </c>
      <c r="G51" s="50">
        <v>1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27</v>
      </c>
      <c r="N51" s="50">
        <v>0</v>
      </c>
      <c r="O51" s="15">
        <f t="shared" si="0"/>
        <v>10</v>
      </c>
      <c r="P51" s="15">
        <f t="shared" si="1"/>
        <v>37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1</v>
      </c>
      <c r="E52" s="50">
        <v>5</v>
      </c>
      <c r="F52" s="50">
        <v>4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28</v>
      </c>
      <c r="N52" s="50">
        <v>1</v>
      </c>
      <c r="O52" s="15">
        <f t="shared" si="0"/>
        <v>13</v>
      </c>
      <c r="P52" s="15">
        <f t="shared" si="1"/>
        <v>41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1</v>
      </c>
      <c r="E53" s="50">
        <v>5</v>
      </c>
      <c r="F53" s="50">
        <v>2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18</v>
      </c>
      <c r="N53" s="50">
        <v>0</v>
      </c>
      <c r="O53" s="15">
        <f t="shared" si="0"/>
        <v>13</v>
      </c>
      <c r="P53" s="15">
        <f t="shared" si="1"/>
        <v>31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1</v>
      </c>
      <c r="E54" s="50">
        <v>5</v>
      </c>
      <c r="F54" s="50">
        <v>2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28</v>
      </c>
      <c r="N54" s="50">
        <v>0</v>
      </c>
      <c r="O54" s="15">
        <f t="shared" si="0"/>
        <v>13</v>
      </c>
      <c r="P54" s="15">
        <f t="shared" si="1"/>
        <v>41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2</v>
      </c>
      <c r="F55" s="50">
        <v>3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30</v>
      </c>
      <c r="N55" s="50">
        <v>0</v>
      </c>
      <c r="O55" s="15">
        <f t="shared" si="0"/>
        <v>11</v>
      </c>
      <c r="P55" s="15">
        <f t="shared" si="1"/>
        <v>41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3</v>
      </c>
      <c r="F56" s="50">
        <v>4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24</v>
      </c>
      <c r="N56" s="50">
        <v>0</v>
      </c>
      <c r="O56" s="15">
        <f t="shared" si="0"/>
        <v>14</v>
      </c>
      <c r="P56" s="15">
        <f t="shared" si="1"/>
        <v>38</v>
      </c>
      <c r="R56" s="8"/>
      <c r="T56"/>
    </row>
    <row r="57" spans="2:20" ht="23.1" customHeight="1" x14ac:dyDescent="0.25">
      <c r="B57" s="23" t="s">
        <v>84</v>
      </c>
      <c r="C57" s="50">
        <v>8</v>
      </c>
      <c r="D57" s="50">
        <v>0</v>
      </c>
      <c r="E57" s="50">
        <v>2</v>
      </c>
      <c r="F57" s="50">
        <v>1</v>
      </c>
      <c r="G57" s="50">
        <v>0</v>
      </c>
      <c r="H57" s="50">
        <v>0</v>
      </c>
      <c r="I57" s="50">
        <v>2</v>
      </c>
      <c r="J57" s="50">
        <v>2</v>
      </c>
      <c r="K57" s="50">
        <v>0</v>
      </c>
      <c r="L57" s="50">
        <v>0</v>
      </c>
      <c r="M57" s="50">
        <v>31</v>
      </c>
      <c r="N57" s="50">
        <v>0</v>
      </c>
      <c r="O57" s="15">
        <f t="shared" si="0"/>
        <v>15</v>
      </c>
      <c r="P57" s="15">
        <f t="shared" si="1"/>
        <v>46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142</v>
      </c>
      <c r="D58" s="16">
        <f t="shared" si="21"/>
        <v>15</v>
      </c>
      <c r="E58" s="16">
        <f t="shared" si="21"/>
        <v>134</v>
      </c>
      <c r="F58" s="16">
        <f t="shared" si="21"/>
        <v>127</v>
      </c>
      <c r="G58" s="16">
        <f t="shared" si="21"/>
        <v>7</v>
      </c>
      <c r="H58" s="16">
        <f t="shared" si="21"/>
        <v>6</v>
      </c>
      <c r="I58" s="16">
        <f t="shared" si="21"/>
        <v>65</v>
      </c>
      <c r="J58" s="16">
        <f t="shared" si="21"/>
        <v>24</v>
      </c>
      <c r="K58" s="16">
        <f t="shared" si="21"/>
        <v>2</v>
      </c>
      <c r="L58" s="16">
        <f t="shared" si="21"/>
        <v>0</v>
      </c>
      <c r="M58" s="16">
        <f t="shared" si="21"/>
        <v>1276</v>
      </c>
      <c r="N58" s="16">
        <f t="shared" si="21"/>
        <v>1</v>
      </c>
      <c r="O58" s="16">
        <f t="shared" si="21"/>
        <v>523</v>
      </c>
      <c r="P58" s="16">
        <f t="shared" si="21"/>
        <v>1799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7.893274041133963E-2</v>
      </c>
      <c r="D59" s="43">
        <f t="shared" si="22"/>
        <v>8.337965536409116E-3</v>
      </c>
      <c r="E59" s="43">
        <f t="shared" si="22"/>
        <v>7.4485825458588104E-2</v>
      </c>
      <c r="F59" s="43">
        <f t="shared" si="22"/>
        <v>7.0594774874930516E-2</v>
      </c>
      <c r="G59" s="43">
        <f t="shared" si="22"/>
        <v>3.8910505836575876E-3</v>
      </c>
      <c r="H59" s="43">
        <f t="shared" si="22"/>
        <v>3.3351862145636463E-3</v>
      </c>
      <c r="I59" s="43">
        <f t="shared" si="22"/>
        <v>3.6131183991106167E-2</v>
      </c>
      <c r="J59" s="43">
        <f t="shared" si="22"/>
        <v>1.3340744858254585E-2</v>
      </c>
      <c r="K59" s="43">
        <f t="shared" si="22"/>
        <v>1.1117287381878821E-3</v>
      </c>
      <c r="L59" s="43">
        <f t="shared" si="22"/>
        <v>0</v>
      </c>
      <c r="M59" s="43">
        <f t="shared" si="22"/>
        <v>0.70928293496386885</v>
      </c>
      <c r="N59" s="43">
        <f t="shared" si="22"/>
        <v>5.5586436909394106E-4</v>
      </c>
      <c r="R59" s="8"/>
      <c r="T59"/>
    </row>
    <row r="60" spans="2:20" ht="23.1" customHeight="1" x14ac:dyDescent="0.25">
      <c r="B60" s="42" t="s">
        <v>94</v>
      </c>
      <c r="C60" s="44">
        <f>C58/$O$58</f>
        <v>0.27151051625239003</v>
      </c>
      <c r="D60" s="44">
        <f t="shared" ref="D60:N60" si="23">D58/$O$58</f>
        <v>2.8680688336520075E-2</v>
      </c>
      <c r="E60" s="44">
        <f t="shared" si="23"/>
        <v>0.25621414913957935</v>
      </c>
      <c r="F60" s="44">
        <f t="shared" si="23"/>
        <v>0.24282982791586999</v>
      </c>
      <c r="G60" s="44">
        <f t="shared" si="23"/>
        <v>1.338432122370937E-2</v>
      </c>
      <c r="H60" s="44">
        <f t="shared" si="23"/>
        <v>1.1472275334608031E-2</v>
      </c>
      <c r="I60" s="44">
        <f t="shared" si="23"/>
        <v>0.124282982791587</v>
      </c>
      <c r="J60" s="44">
        <f t="shared" si="23"/>
        <v>4.5889101338432124E-2</v>
      </c>
      <c r="K60" s="44">
        <f t="shared" si="23"/>
        <v>3.8240917782026767E-3</v>
      </c>
      <c r="L60" s="44">
        <f t="shared" si="23"/>
        <v>0</v>
      </c>
      <c r="M60" s="44"/>
      <c r="N60" s="44">
        <f t="shared" si="23"/>
        <v>1.9120458891013384E-3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J13" sqref="J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Tororo-Malaba'!C3:G3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'15.08 Malaba-Tororo'!D5</f>
        <v>15.08.19</v>
      </c>
      <c r="E5" s="3"/>
      <c r="F5" s="41" t="s">
        <v>1</v>
      </c>
      <c r="G5" s="63" t="str">
        <f>'15.08 Malaba-Tororo'!G5:H5</f>
        <v>xxx</v>
      </c>
      <c r="H5" s="64"/>
      <c r="I5" s="14"/>
      <c r="J5" s="2" t="s">
        <v>5</v>
      </c>
      <c r="K5" s="63" t="str">
        <f>'15.08 Malaba-Tororo'!K5:L5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Tororo-Malaba'!D6:E6</f>
        <v>Tororo</v>
      </c>
      <c r="E6" s="64"/>
      <c r="F6" s="2" t="s">
        <v>2</v>
      </c>
      <c r="G6" s="63" t="str">
        <f>'12.08 Tororo-Malaba'!G6:H6</f>
        <v>Malaba</v>
      </c>
      <c r="H6" s="64"/>
      <c r="J6" s="2" t="s">
        <v>21</v>
      </c>
      <c r="K6" s="63" t="str">
        <f>'15.08 Malaba-Tororo'!K6:L6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1</v>
      </c>
      <c r="F10" s="50">
        <v>1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9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7</v>
      </c>
      <c r="T10" s="17">
        <f t="shared" si="2"/>
        <v>0</v>
      </c>
      <c r="U10" s="17">
        <f t="shared" si="2"/>
        <v>5</v>
      </c>
      <c r="V10" s="17">
        <f t="shared" si="2"/>
        <v>6</v>
      </c>
      <c r="W10" s="17">
        <f t="shared" si="2"/>
        <v>2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72</v>
      </c>
      <c r="AD10" s="17">
        <f t="shared" si="2"/>
        <v>0</v>
      </c>
      <c r="AE10" s="31">
        <f t="shared" si="2"/>
        <v>26</v>
      </c>
      <c r="AF10" s="31">
        <f t="shared" si="2"/>
        <v>98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2</v>
      </c>
      <c r="F11" s="50">
        <v>2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16</v>
      </c>
      <c r="N11" s="50">
        <v>0</v>
      </c>
      <c r="O11" s="15">
        <f t="shared" si="0"/>
        <v>8</v>
      </c>
      <c r="P11" s="15">
        <f t="shared" si="1"/>
        <v>24</v>
      </c>
      <c r="R11" s="1" t="s">
        <v>7</v>
      </c>
      <c r="S11" s="17">
        <f t="shared" ref="S11:AF11" si="3">SUM(C14:C17)</f>
        <v>9</v>
      </c>
      <c r="T11" s="17">
        <f t="shared" si="3"/>
        <v>1</v>
      </c>
      <c r="U11" s="17">
        <f t="shared" si="3"/>
        <v>8</v>
      </c>
      <c r="V11" s="17">
        <f t="shared" si="3"/>
        <v>7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102</v>
      </c>
      <c r="AD11" s="17">
        <f t="shared" si="3"/>
        <v>0</v>
      </c>
      <c r="AE11" s="31">
        <f t="shared" si="3"/>
        <v>29</v>
      </c>
      <c r="AF11" s="31">
        <f t="shared" si="3"/>
        <v>131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1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20</v>
      </c>
      <c r="N12" s="50">
        <v>0</v>
      </c>
      <c r="O12" s="15">
        <f t="shared" si="0"/>
        <v>5</v>
      </c>
      <c r="P12" s="15">
        <f t="shared" si="1"/>
        <v>25</v>
      </c>
      <c r="R12" s="1" t="s">
        <v>8</v>
      </c>
      <c r="S12" s="17">
        <f t="shared" ref="S12:AF12" si="4">SUM(C18:C21)</f>
        <v>10</v>
      </c>
      <c r="T12" s="17">
        <f t="shared" si="4"/>
        <v>0</v>
      </c>
      <c r="U12" s="17">
        <f t="shared" si="4"/>
        <v>8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115</v>
      </c>
      <c r="AD12" s="17">
        <f t="shared" si="4"/>
        <v>2</v>
      </c>
      <c r="AE12" s="31">
        <f t="shared" si="4"/>
        <v>31</v>
      </c>
      <c r="AF12" s="31">
        <f t="shared" si="4"/>
        <v>146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2</v>
      </c>
      <c r="F13" s="50">
        <v>2</v>
      </c>
      <c r="G13" s="50">
        <v>1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27</v>
      </c>
      <c r="N13" s="50">
        <v>0</v>
      </c>
      <c r="O13" s="15">
        <f t="shared" si="0"/>
        <v>8</v>
      </c>
      <c r="P13" s="15">
        <f t="shared" si="1"/>
        <v>35</v>
      </c>
      <c r="R13" s="1" t="s">
        <v>9</v>
      </c>
      <c r="S13" s="17">
        <f t="shared" ref="S13:AF13" si="5">SUM(C22:C25)</f>
        <v>13</v>
      </c>
      <c r="T13" s="17">
        <f t="shared" si="5"/>
        <v>0</v>
      </c>
      <c r="U13" s="17">
        <f t="shared" si="5"/>
        <v>10</v>
      </c>
      <c r="V13" s="17">
        <f t="shared" si="5"/>
        <v>8</v>
      </c>
      <c r="W13" s="17">
        <f t="shared" si="5"/>
        <v>0</v>
      </c>
      <c r="X13" s="17">
        <f t="shared" si="5"/>
        <v>1</v>
      </c>
      <c r="Y13" s="17">
        <f t="shared" si="5"/>
        <v>4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101</v>
      </c>
      <c r="AD13" s="17">
        <f t="shared" si="5"/>
        <v>0</v>
      </c>
      <c r="AE13" s="31">
        <f t="shared" si="5"/>
        <v>37</v>
      </c>
      <c r="AF13" s="31">
        <f t="shared" si="5"/>
        <v>138</v>
      </c>
    </row>
    <row r="14" spans="2:32" ht="23.1" customHeight="1" x14ac:dyDescent="0.25">
      <c r="B14" s="23" t="s">
        <v>41</v>
      </c>
      <c r="C14" s="50">
        <v>3</v>
      </c>
      <c r="D14" s="50">
        <v>1</v>
      </c>
      <c r="E14" s="50">
        <v>4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27</v>
      </c>
      <c r="N14" s="50">
        <v>0</v>
      </c>
      <c r="O14" s="15">
        <f t="shared" si="0"/>
        <v>10</v>
      </c>
      <c r="P14" s="15">
        <f t="shared" si="1"/>
        <v>37</v>
      </c>
      <c r="R14" s="1" t="s">
        <v>10</v>
      </c>
      <c r="S14" s="17">
        <f t="shared" ref="S14:AF14" si="6">SUM(C26:C29)</f>
        <v>19</v>
      </c>
      <c r="T14" s="17">
        <f t="shared" si="6"/>
        <v>0</v>
      </c>
      <c r="U14" s="17">
        <f t="shared" si="6"/>
        <v>9</v>
      </c>
      <c r="V14" s="17">
        <f t="shared" si="6"/>
        <v>13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108</v>
      </c>
      <c r="AD14" s="17">
        <f t="shared" si="6"/>
        <v>0</v>
      </c>
      <c r="AE14" s="31">
        <f t="shared" si="6"/>
        <v>45</v>
      </c>
      <c r="AF14" s="31">
        <f t="shared" si="6"/>
        <v>153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26</v>
      </c>
      <c r="N15" s="50">
        <v>0</v>
      </c>
      <c r="O15" s="15">
        <f t="shared" si="0"/>
        <v>4</v>
      </c>
      <c r="P15" s="15">
        <f t="shared" si="1"/>
        <v>30</v>
      </c>
      <c r="R15" s="1" t="s">
        <v>11</v>
      </c>
      <c r="S15" s="17">
        <f t="shared" ref="S15:AF15" si="7">SUM(C30:C33)</f>
        <v>10</v>
      </c>
      <c r="T15" s="17">
        <f t="shared" si="7"/>
        <v>2</v>
      </c>
      <c r="U15" s="17">
        <f t="shared" si="7"/>
        <v>12</v>
      </c>
      <c r="V15" s="17">
        <f t="shared" si="7"/>
        <v>7</v>
      </c>
      <c r="W15" s="17">
        <f t="shared" si="7"/>
        <v>1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121</v>
      </c>
      <c r="AD15" s="17">
        <f t="shared" si="7"/>
        <v>0</v>
      </c>
      <c r="AE15" s="31">
        <f t="shared" si="7"/>
        <v>35</v>
      </c>
      <c r="AF15" s="31">
        <f t="shared" si="7"/>
        <v>156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2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23</v>
      </c>
      <c r="N16" s="50">
        <v>0</v>
      </c>
      <c r="O16" s="15">
        <f t="shared" si="0"/>
        <v>8</v>
      </c>
      <c r="P16" s="15">
        <f t="shared" si="1"/>
        <v>31</v>
      </c>
      <c r="R16" s="1" t="s">
        <v>12</v>
      </c>
      <c r="S16" s="17">
        <f t="shared" ref="S16:AF16" si="8">SUM(C34:C37)</f>
        <v>15</v>
      </c>
      <c r="T16" s="17">
        <f t="shared" si="8"/>
        <v>2</v>
      </c>
      <c r="U16" s="17">
        <f t="shared" si="8"/>
        <v>13</v>
      </c>
      <c r="V16" s="17">
        <f t="shared" si="8"/>
        <v>12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114</v>
      </c>
      <c r="AD16" s="17">
        <f t="shared" si="8"/>
        <v>0</v>
      </c>
      <c r="AE16" s="31">
        <f t="shared" si="8"/>
        <v>46</v>
      </c>
      <c r="AF16" s="31">
        <f t="shared" si="8"/>
        <v>160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2</v>
      </c>
      <c r="F17" s="50">
        <v>3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26</v>
      </c>
      <c r="N17" s="50">
        <v>0</v>
      </c>
      <c r="O17" s="15">
        <f t="shared" si="0"/>
        <v>7</v>
      </c>
      <c r="P17" s="15">
        <f t="shared" si="1"/>
        <v>33</v>
      </c>
      <c r="R17" s="1" t="s">
        <v>13</v>
      </c>
      <c r="S17" s="17">
        <f t="shared" ref="S17:AF17" si="9">SUM(C38:C41)</f>
        <v>20</v>
      </c>
      <c r="T17" s="17">
        <f t="shared" si="9"/>
        <v>2</v>
      </c>
      <c r="U17" s="17">
        <f t="shared" si="9"/>
        <v>16</v>
      </c>
      <c r="V17" s="17">
        <f t="shared" si="9"/>
        <v>11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106</v>
      </c>
      <c r="AD17" s="17">
        <f t="shared" si="9"/>
        <v>0</v>
      </c>
      <c r="AE17" s="31">
        <f t="shared" si="9"/>
        <v>53</v>
      </c>
      <c r="AF17" s="31">
        <f t="shared" si="9"/>
        <v>159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30</v>
      </c>
      <c r="N18" s="50">
        <v>0</v>
      </c>
      <c r="O18" s="15">
        <f t="shared" si="0"/>
        <v>5</v>
      </c>
      <c r="P18" s="15">
        <f t="shared" si="1"/>
        <v>35</v>
      </c>
      <c r="R18" s="1" t="s">
        <v>14</v>
      </c>
      <c r="S18" s="17">
        <f t="shared" ref="S18:AF18" si="10">SUM(C42:C45)</f>
        <v>14</v>
      </c>
      <c r="T18" s="17">
        <f t="shared" si="10"/>
        <v>1</v>
      </c>
      <c r="U18" s="17">
        <f t="shared" si="10"/>
        <v>11</v>
      </c>
      <c r="V18" s="17">
        <f t="shared" si="10"/>
        <v>13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107</v>
      </c>
      <c r="AD18" s="17">
        <f t="shared" si="10"/>
        <v>0</v>
      </c>
      <c r="AE18" s="31">
        <f t="shared" si="10"/>
        <v>44</v>
      </c>
      <c r="AF18" s="31">
        <f t="shared" si="10"/>
        <v>151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1</v>
      </c>
      <c r="F19" s="50">
        <v>3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31</v>
      </c>
      <c r="N19" s="50">
        <v>0</v>
      </c>
      <c r="O19" s="15">
        <f t="shared" si="0"/>
        <v>7</v>
      </c>
      <c r="P19" s="15">
        <f t="shared" si="1"/>
        <v>38</v>
      </c>
      <c r="R19" s="1" t="s">
        <v>15</v>
      </c>
      <c r="S19" s="17">
        <f t="shared" ref="S19:AF19" si="11">SUM(C46:C49)</f>
        <v>9</v>
      </c>
      <c r="T19" s="17">
        <f t="shared" si="11"/>
        <v>0</v>
      </c>
      <c r="U19" s="17">
        <f t="shared" si="11"/>
        <v>6</v>
      </c>
      <c r="V19" s="17">
        <f t="shared" si="11"/>
        <v>13</v>
      </c>
      <c r="W19" s="17">
        <f t="shared" si="11"/>
        <v>1</v>
      </c>
      <c r="X19" s="17">
        <f t="shared" si="11"/>
        <v>0</v>
      </c>
      <c r="Y19" s="17">
        <f t="shared" si="11"/>
        <v>5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111</v>
      </c>
      <c r="AD19" s="17">
        <f t="shared" si="11"/>
        <v>0</v>
      </c>
      <c r="AE19" s="31">
        <f t="shared" si="11"/>
        <v>35</v>
      </c>
      <c r="AF19" s="31">
        <f t="shared" si="11"/>
        <v>146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3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25</v>
      </c>
      <c r="N20" s="50">
        <v>1</v>
      </c>
      <c r="O20" s="15">
        <f t="shared" si="0"/>
        <v>9</v>
      </c>
      <c r="P20" s="15">
        <f t="shared" si="1"/>
        <v>34</v>
      </c>
      <c r="R20" s="1" t="s">
        <v>16</v>
      </c>
      <c r="S20" s="17">
        <f t="shared" ref="S20:AF20" si="12">SUM(C50:C53)</f>
        <v>15</v>
      </c>
      <c r="T20" s="17">
        <f t="shared" si="12"/>
        <v>2</v>
      </c>
      <c r="U20" s="17">
        <f t="shared" si="12"/>
        <v>11</v>
      </c>
      <c r="V20" s="17">
        <f t="shared" si="12"/>
        <v>8</v>
      </c>
      <c r="W20" s="17">
        <f t="shared" si="12"/>
        <v>1</v>
      </c>
      <c r="X20" s="17">
        <f t="shared" si="12"/>
        <v>0</v>
      </c>
      <c r="Y20" s="17">
        <f t="shared" si="12"/>
        <v>6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102</v>
      </c>
      <c r="AD20" s="17">
        <f t="shared" si="12"/>
        <v>0</v>
      </c>
      <c r="AE20" s="31">
        <f t="shared" si="12"/>
        <v>46</v>
      </c>
      <c r="AF20" s="31">
        <f t="shared" si="12"/>
        <v>148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3</v>
      </c>
      <c r="F21" s="50">
        <v>1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29</v>
      </c>
      <c r="N21" s="50">
        <v>1</v>
      </c>
      <c r="O21" s="15">
        <f t="shared" si="0"/>
        <v>10</v>
      </c>
      <c r="P21" s="15">
        <f t="shared" si="1"/>
        <v>39</v>
      </c>
      <c r="R21" s="36" t="s">
        <v>20</v>
      </c>
      <c r="S21" s="34">
        <f t="shared" ref="S21:AF21" si="13">SUM(C54:C57)</f>
        <v>15</v>
      </c>
      <c r="T21" s="17">
        <f t="shared" si="13"/>
        <v>0</v>
      </c>
      <c r="U21" s="17">
        <f t="shared" si="13"/>
        <v>7</v>
      </c>
      <c r="V21" s="17">
        <f t="shared" si="13"/>
        <v>12</v>
      </c>
      <c r="W21" s="17">
        <f t="shared" si="13"/>
        <v>1</v>
      </c>
      <c r="X21" s="17">
        <f t="shared" si="13"/>
        <v>1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97</v>
      </c>
      <c r="AD21" s="17">
        <f t="shared" si="13"/>
        <v>0</v>
      </c>
      <c r="AE21" s="31">
        <f t="shared" si="13"/>
        <v>39</v>
      </c>
      <c r="AF21" s="31">
        <f t="shared" si="13"/>
        <v>136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1</v>
      </c>
      <c r="F22" s="50">
        <v>3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30</v>
      </c>
      <c r="N22" s="50">
        <v>0</v>
      </c>
      <c r="O22" s="15">
        <f t="shared" si="0"/>
        <v>8</v>
      </c>
      <c r="P22" s="15">
        <f t="shared" si="1"/>
        <v>38</v>
      </c>
      <c r="R22" s="38" t="s">
        <v>90</v>
      </c>
      <c r="S22" s="39">
        <f>MAX(S10:S12)</f>
        <v>10</v>
      </c>
      <c r="T22" s="39">
        <f t="shared" ref="T22:AF22" si="14">MAX(T10:T12)</f>
        <v>1</v>
      </c>
      <c r="U22" s="39">
        <f t="shared" si="14"/>
        <v>8</v>
      </c>
      <c r="V22" s="39">
        <f t="shared" si="14"/>
        <v>7</v>
      </c>
      <c r="W22" s="39">
        <f t="shared" si="14"/>
        <v>2</v>
      </c>
      <c r="X22" s="39">
        <f t="shared" si="14"/>
        <v>0</v>
      </c>
      <c r="Y22" s="39">
        <f t="shared" si="14"/>
        <v>6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115</v>
      </c>
      <c r="AD22" s="39">
        <f t="shared" si="14"/>
        <v>2</v>
      </c>
      <c r="AE22" s="40">
        <f t="shared" si="14"/>
        <v>31</v>
      </c>
      <c r="AF22" s="40">
        <f t="shared" si="14"/>
        <v>146</v>
      </c>
    </row>
    <row r="23" spans="2:32" ht="23.1" customHeight="1" x14ac:dyDescent="0.25">
      <c r="B23" s="23" t="s">
        <v>50</v>
      </c>
      <c r="C23" s="50">
        <v>4</v>
      </c>
      <c r="D23" s="50">
        <v>0</v>
      </c>
      <c r="E23" s="50">
        <v>3</v>
      </c>
      <c r="F23" s="50">
        <v>1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23</v>
      </c>
      <c r="N23" s="50">
        <v>0</v>
      </c>
      <c r="O23" s="15">
        <f t="shared" si="0"/>
        <v>11</v>
      </c>
      <c r="P23" s="15">
        <f t="shared" si="1"/>
        <v>34</v>
      </c>
      <c r="R23" s="38" t="s">
        <v>91</v>
      </c>
      <c r="S23" s="39">
        <f>MAX(S13:S18)</f>
        <v>20</v>
      </c>
      <c r="T23" s="39">
        <f t="shared" ref="T23:AF23" si="15">MAX(T13:T18)</f>
        <v>2</v>
      </c>
      <c r="U23" s="39">
        <f t="shared" si="15"/>
        <v>16</v>
      </c>
      <c r="V23" s="39">
        <f t="shared" si="15"/>
        <v>13</v>
      </c>
      <c r="W23" s="39">
        <f t="shared" si="15"/>
        <v>1</v>
      </c>
      <c r="X23" s="39">
        <f t="shared" si="15"/>
        <v>1</v>
      </c>
      <c r="Y23" s="39">
        <f t="shared" si="15"/>
        <v>5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121</v>
      </c>
      <c r="AD23" s="39">
        <f t="shared" si="15"/>
        <v>0</v>
      </c>
      <c r="AE23" s="40">
        <f t="shared" si="15"/>
        <v>53</v>
      </c>
      <c r="AF23" s="40">
        <f t="shared" si="15"/>
        <v>160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3</v>
      </c>
      <c r="F24" s="50">
        <v>3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22</v>
      </c>
      <c r="N24" s="50">
        <v>0</v>
      </c>
      <c r="O24" s="15">
        <f t="shared" si="0"/>
        <v>11</v>
      </c>
      <c r="P24" s="15">
        <f t="shared" si="1"/>
        <v>33</v>
      </c>
      <c r="R24" s="38" t="s">
        <v>92</v>
      </c>
      <c r="S24" s="39">
        <f>MAX(S19:S21)</f>
        <v>15</v>
      </c>
      <c r="T24" s="39">
        <f t="shared" ref="T24:AF24" si="16">MAX(T19:T21)</f>
        <v>2</v>
      </c>
      <c r="U24" s="39">
        <f t="shared" si="16"/>
        <v>11</v>
      </c>
      <c r="V24" s="39">
        <f t="shared" si="16"/>
        <v>13</v>
      </c>
      <c r="W24" s="39">
        <f t="shared" si="16"/>
        <v>1</v>
      </c>
      <c r="X24" s="39">
        <f t="shared" si="16"/>
        <v>1</v>
      </c>
      <c r="Y24" s="39">
        <f t="shared" si="16"/>
        <v>6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111</v>
      </c>
      <c r="AD24" s="39">
        <f t="shared" si="16"/>
        <v>0</v>
      </c>
      <c r="AE24" s="40">
        <f t="shared" si="16"/>
        <v>46</v>
      </c>
      <c r="AF24" s="40">
        <f t="shared" si="16"/>
        <v>148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3</v>
      </c>
      <c r="F25" s="50">
        <v>1</v>
      </c>
      <c r="G25" s="50">
        <v>0</v>
      </c>
      <c r="H25" s="50">
        <v>1</v>
      </c>
      <c r="I25" s="50">
        <v>0</v>
      </c>
      <c r="J25" s="50">
        <v>0</v>
      </c>
      <c r="K25" s="50">
        <v>0</v>
      </c>
      <c r="L25" s="50">
        <v>0</v>
      </c>
      <c r="M25" s="50">
        <v>26</v>
      </c>
      <c r="N25" s="50">
        <v>0</v>
      </c>
      <c r="O25" s="15">
        <f t="shared" si="0"/>
        <v>7</v>
      </c>
      <c r="P25" s="15">
        <f t="shared" si="1"/>
        <v>33</v>
      </c>
      <c r="R25" s="37" t="s">
        <v>85</v>
      </c>
      <c r="S25" s="35">
        <f t="shared" ref="S25:AF25" si="17">SUM(S10:S12)</f>
        <v>26</v>
      </c>
      <c r="T25" s="16">
        <f t="shared" si="17"/>
        <v>1</v>
      </c>
      <c r="U25" s="16">
        <f t="shared" si="17"/>
        <v>21</v>
      </c>
      <c r="V25" s="16">
        <f t="shared" si="17"/>
        <v>20</v>
      </c>
      <c r="W25" s="16">
        <f t="shared" si="17"/>
        <v>2</v>
      </c>
      <c r="X25" s="16">
        <f t="shared" si="17"/>
        <v>0</v>
      </c>
      <c r="Y25" s="16">
        <f t="shared" si="17"/>
        <v>14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289</v>
      </c>
      <c r="AD25" s="16">
        <f t="shared" si="17"/>
        <v>2</v>
      </c>
      <c r="AE25" s="32">
        <f t="shared" si="17"/>
        <v>86</v>
      </c>
      <c r="AF25" s="32">
        <f t="shared" si="17"/>
        <v>375</v>
      </c>
    </row>
    <row r="26" spans="2:32" ht="23.1" customHeight="1" x14ac:dyDescent="0.25">
      <c r="B26" s="23" t="s">
        <v>53</v>
      </c>
      <c r="C26" s="50">
        <v>6</v>
      </c>
      <c r="D26" s="50">
        <v>0</v>
      </c>
      <c r="E26" s="50">
        <v>3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27</v>
      </c>
      <c r="N26" s="50">
        <v>0</v>
      </c>
      <c r="O26" s="15">
        <f t="shared" si="0"/>
        <v>11</v>
      </c>
      <c r="P26" s="15">
        <f t="shared" si="1"/>
        <v>38</v>
      </c>
      <c r="R26" s="28" t="s">
        <v>86</v>
      </c>
      <c r="S26" s="16">
        <f t="shared" ref="S26:AF26" si="18">SUM(S13:S18)</f>
        <v>91</v>
      </c>
      <c r="T26" s="16">
        <f t="shared" si="18"/>
        <v>7</v>
      </c>
      <c r="U26" s="16">
        <f t="shared" si="18"/>
        <v>71</v>
      </c>
      <c r="V26" s="16">
        <f t="shared" si="18"/>
        <v>64</v>
      </c>
      <c r="W26" s="16">
        <f t="shared" si="18"/>
        <v>1</v>
      </c>
      <c r="X26" s="16">
        <f t="shared" si="18"/>
        <v>1</v>
      </c>
      <c r="Y26" s="16">
        <f t="shared" si="18"/>
        <v>20</v>
      </c>
      <c r="Z26" s="16">
        <f t="shared" si="18"/>
        <v>5</v>
      </c>
      <c r="AA26" s="16">
        <f t="shared" si="18"/>
        <v>0</v>
      </c>
      <c r="AB26" s="16">
        <f t="shared" si="18"/>
        <v>0</v>
      </c>
      <c r="AC26" s="16">
        <f t="shared" si="18"/>
        <v>657</v>
      </c>
      <c r="AD26" s="16">
        <f t="shared" si="18"/>
        <v>0</v>
      </c>
      <c r="AE26" s="32">
        <f t="shared" si="18"/>
        <v>260</v>
      </c>
      <c r="AF26" s="32">
        <f t="shared" si="18"/>
        <v>917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2</v>
      </c>
      <c r="F27" s="50">
        <v>4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26</v>
      </c>
      <c r="N27" s="50">
        <v>0</v>
      </c>
      <c r="O27" s="15">
        <f t="shared" si="0"/>
        <v>11</v>
      </c>
      <c r="P27" s="15">
        <f t="shared" si="1"/>
        <v>37</v>
      </c>
      <c r="R27" s="29" t="s">
        <v>87</v>
      </c>
      <c r="S27" s="16">
        <f t="shared" ref="S27:AF27" si="19">SUM(S19:S21)</f>
        <v>39</v>
      </c>
      <c r="T27" s="16">
        <f t="shared" si="19"/>
        <v>2</v>
      </c>
      <c r="U27" s="16">
        <f t="shared" si="19"/>
        <v>24</v>
      </c>
      <c r="V27" s="16">
        <f t="shared" si="19"/>
        <v>33</v>
      </c>
      <c r="W27" s="16">
        <f t="shared" si="19"/>
        <v>3</v>
      </c>
      <c r="X27" s="16">
        <f t="shared" si="19"/>
        <v>1</v>
      </c>
      <c r="Y27" s="16">
        <f t="shared" si="19"/>
        <v>14</v>
      </c>
      <c r="Z27" s="16">
        <f t="shared" si="19"/>
        <v>4</v>
      </c>
      <c r="AA27" s="16">
        <f t="shared" si="19"/>
        <v>0</v>
      </c>
      <c r="AB27" s="16">
        <f t="shared" si="19"/>
        <v>0</v>
      </c>
      <c r="AC27" s="16">
        <f t="shared" si="19"/>
        <v>310</v>
      </c>
      <c r="AD27" s="16">
        <f t="shared" si="19"/>
        <v>0</v>
      </c>
      <c r="AE27" s="32">
        <f t="shared" si="19"/>
        <v>120</v>
      </c>
      <c r="AF27" s="32">
        <f t="shared" si="19"/>
        <v>430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2</v>
      </c>
      <c r="F28" s="50">
        <v>4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29</v>
      </c>
      <c r="N28" s="50">
        <v>0</v>
      </c>
      <c r="O28" s="15">
        <f t="shared" si="0"/>
        <v>11</v>
      </c>
      <c r="P28" s="15">
        <f t="shared" si="1"/>
        <v>40</v>
      </c>
      <c r="R28" s="5" t="s">
        <v>17</v>
      </c>
      <c r="S28" s="16">
        <f t="shared" ref="S28:AF28" si="20">SUM(S10:S21)</f>
        <v>156</v>
      </c>
      <c r="T28" s="16">
        <f t="shared" si="20"/>
        <v>10</v>
      </c>
      <c r="U28" s="16">
        <f t="shared" si="20"/>
        <v>116</v>
      </c>
      <c r="V28" s="16">
        <f t="shared" si="20"/>
        <v>117</v>
      </c>
      <c r="W28" s="16">
        <f t="shared" si="20"/>
        <v>6</v>
      </c>
      <c r="X28" s="16">
        <f t="shared" si="20"/>
        <v>2</v>
      </c>
      <c r="Y28" s="16">
        <f t="shared" si="20"/>
        <v>48</v>
      </c>
      <c r="Z28" s="16">
        <f t="shared" si="20"/>
        <v>9</v>
      </c>
      <c r="AA28" s="16">
        <f t="shared" si="20"/>
        <v>0</v>
      </c>
      <c r="AB28" s="16">
        <f t="shared" si="20"/>
        <v>0</v>
      </c>
      <c r="AC28" s="16">
        <f t="shared" si="20"/>
        <v>1256</v>
      </c>
      <c r="AD28" s="16">
        <f t="shared" si="20"/>
        <v>2</v>
      </c>
      <c r="AE28" s="32">
        <f t="shared" si="20"/>
        <v>466</v>
      </c>
      <c r="AF28" s="32">
        <f t="shared" si="20"/>
        <v>1722</v>
      </c>
    </row>
    <row r="29" spans="2:32" ht="23.1" customHeight="1" x14ac:dyDescent="0.25">
      <c r="B29" s="23" t="s">
        <v>56</v>
      </c>
      <c r="C29" s="50">
        <v>5</v>
      </c>
      <c r="D29" s="50">
        <v>0</v>
      </c>
      <c r="E29" s="50">
        <v>2</v>
      </c>
      <c r="F29" s="50">
        <v>3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26</v>
      </c>
      <c r="N29" s="50">
        <v>0</v>
      </c>
      <c r="O29" s="15">
        <f t="shared" si="0"/>
        <v>12</v>
      </c>
      <c r="P29" s="15">
        <f t="shared" si="1"/>
        <v>38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1</v>
      </c>
      <c r="E30" s="50">
        <v>4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31</v>
      </c>
      <c r="N30" s="50">
        <v>0</v>
      </c>
      <c r="O30" s="15">
        <f t="shared" si="0"/>
        <v>9</v>
      </c>
      <c r="P30" s="15">
        <f t="shared" si="1"/>
        <v>40</v>
      </c>
    </row>
    <row r="31" spans="2:32" ht="23.1" customHeight="1" x14ac:dyDescent="0.25">
      <c r="B31" s="24" t="s">
        <v>58</v>
      </c>
      <c r="C31" s="50">
        <v>2</v>
      </c>
      <c r="D31" s="50">
        <v>1</v>
      </c>
      <c r="E31" s="50">
        <v>5</v>
      </c>
      <c r="F31" s="50">
        <v>1</v>
      </c>
      <c r="G31" s="50">
        <v>1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26</v>
      </c>
      <c r="N31" s="50">
        <v>0</v>
      </c>
      <c r="O31" s="15">
        <f t="shared" si="0"/>
        <v>11</v>
      </c>
      <c r="P31" s="15">
        <f t="shared" si="1"/>
        <v>37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2</v>
      </c>
      <c r="F32" s="50">
        <v>3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34</v>
      </c>
      <c r="N32" s="50">
        <v>0</v>
      </c>
      <c r="O32" s="15">
        <f t="shared" si="0"/>
        <v>9</v>
      </c>
      <c r="P32" s="15">
        <f t="shared" si="1"/>
        <v>43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30</v>
      </c>
      <c r="N33" s="50">
        <v>0</v>
      </c>
      <c r="O33" s="15">
        <f t="shared" si="0"/>
        <v>6</v>
      </c>
      <c r="P33" s="15">
        <f t="shared" si="1"/>
        <v>36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2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27</v>
      </c>
      <c r="N34" s="50">
        <v>0</v>
      </c>
      <c r="O34" s="15">
        <f t="shared" si="0"/>
        <v>5</v>
      </c>
      <c r="P34" s="15">
        <f t="shared" si="1"/>
        <v>32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5</v>
      </c>
      <c r="F35" s="50">
        <v>4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32</v>
      </c>
      <c r="N35" s="50">
        <v>0</v>
      </c>
      <c r="O35" s="15">
        <f t="shared" si="0"/>
        <v>14</v>
      </c>
      <c r="P35" s="15">
        <f t="shared" si="1"/>
        <v>46</v>
      </c>
    </row>
    <row r="36" spans="2:20" ht="23.1" customHeight="1" x14ac:dyDescent="0.25">
      <c r="B36" s="24" t="s">
        <v>63</v>
      </c>
      <c r="C36" s="50">
        <v>7</v>
      </c>
      <c r="D36" s="50">
        <v>1</v>
      </c>
      <c r="E36" s="50">
        <v>5</v>
      </c>
      <c r="F36" s="50">
        <v>4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27</v>
      </c>
      <c r="N36" s="50">
        <v>0</v>
      </c>
      <c r="O36" s="15">
        <f t="shared" si="0"/>
        <v>19</v>
      </c>
      <c r="P36" s="15">
        <f t="shared" si="1"/>
        <v>46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1</v>
      </c>
      <c r="F37" s="50">
        <v>2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28</v>
      </c>
      <c r="N37" s="50">
        <v>0</v>
      </c>
      <c r="O37" s="15">
        <f t="shared" si="0"/>
        <v>8</v>
      </c>
      <c r="P37" s="15">
        <f t="shared" si="1"/>
        <v>36</v>
      </c>
    </row>
    <row r="38" spans="2:20" ht="23.1" customHeight="1" x14ac:dyDescent="0.25">
      <c r="B38" s="24" t="s">
        <v>65</v>
      </c>
      <c r="C38" s="50">
        <v>4</v>
      </c>
      <c r="D38" s="50">
        <v>1</v>
      </c>
      <c r="E38" s="50">
        <v>5</v>
      </c>
      <c r="F38" s="50">
        <v>2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26</v>
      </c>
      <c r="N38" s="50">
        <v>0</v>
      </c>
      <c r="O38" s="15">
        <f t="shared" si="0"/>
        <v>14</v>
      </c>
      <c r="P38" s="15">
        <f t="shared" si="1"/>
        <v>40</v>
      </c>
    </row>
    <row r="39" spans="2:20" ht="23.1" customHeight="1" x14ac:dyDescent="0.25">
      <c r="B39" s="24" t="s">
        <v>66</v>
      </c>
      <c r="C39" s="50">
        <v>7</v>
      </c>
      <c r="D39" s="50">
        <v>0</v>
      </c>
      <c r="E39" s="50">
        <v>3</v>
      </c>
      <c r="F39" s="50">
        <v>4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32</v>
      </c>
      <c r="N39" s="50">
        <v>0</v>
      </c>
      <c r="O39" s="15">
        <f t="shared" si="0"/>
        <v>14</v>
      </c>
      <c r="P39" s="15">
        <f t="shared" si="1"/>
        <v>46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3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22</v>
      </c>
      <c r="N40" s="50">
        <v>0</v>
      </c>
      <c r="O40" s="15">
        <f t="shared" si="0"/>
        <v>10</v>
      </c>
      <c r="P40" s="15">
        <f t="shared" si="1"/>
        <v>32</v>
      </c>
    </row>
    <row r="41" spans="2:20" ht="23.1" customHeight="1" x14ac:dyDescent="0.25">
      <c r="B41" s="23" t="s">
        <v>68</v>
      </c>
      <c r="C41" s="50">
        <v>5</v>
      </c>
      <c r="D41" s="50">
        <v>1</v>
      </c>
      <c r="E41" s="50">
        <v>5</v>
      </c>
      <c r="F41" s="50">
        <v>3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26</v>
      </c>
      <c r="N41" s="50">
        <v>0</v>
      </c>
      <c r="O41" s="15">
        <f t="shared" si="0"/>
        <v>15</v>
      </c>
      <c r="P41" s="15">
        <f t="shared" si="1"/>
        <v>41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2</v>
      </c>
      <c r="F42" s="50">
        <v>2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27</v>
      </c>
      <c r="N42" s="50">
        <v>0</v>
      </c>
      <c r="O42" s="15">
        <f t="shared" si="0"/>
        <v>10</v>
      </c>
      <c r="P42" s="15">
        <f t="shared" si="1"/>
        <v>37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2</v>
      </c>
      <c r="F43" s="50">
        <v>3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27</v>
      </c>
      <c r="N43" s="50">
        <v>0</v>
      </c>
      <c r="O43" s="15">
        <f t="shared" si="0"/>
        <v>10</v>
      </c>
      <c r="P43" s="15">
        <f t="shared" si="1"/>
        <v>37</v>
      </c>
    </row>
    <row r="44" spans="2:20" ht="23.1" customHeight="1" x14ac:dyDescent="0.25">
      <c r="B44" s="25" t="s">
        <v>71</v>
      </c>
      <c r="C44" s="50">
        <v>3</v>
      </c>
      <c r="D44" s="50">
        <v>1</v>
      </c>
      <c r="E44" s="50">
        <v>4</v>
      </c>
      <c r="F44" s="50">
        <v>4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30</v>
      </c>
      <c r="N44" s="50">
        <v>0</v>
      </c>
      <c r="O44" s="15">
        <f t="shared" si="0"/>
        <v>14</v>
      </c>
      <c r="P44" s="15">
        <f t="shared" si="1"/>
        <v>44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3</v>
      </c>
      <c r="F45" s="50">
        <v>4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23</v>
      </c>
      <c r="N45" s="50">
        <v>0</v>
      </c>
      <c r="O45" s="15">
        <f t="shared" si="0"/>
        <v>10</v>
      </c>
      <c r="P45" s="15">
        <f t="shared" si="1"/>
        <v>33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2</v>
      </c>
      <c r="F46" s="50">
        <v>2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25</v>
      </c>
      <c r="N46" s="50">
        <v>0</v>
      </c>
      <c r="O46" s="15">
        <f t="shared" si="0"/>
        <v>7</v>
      </c>
      <c r="P46" s="15">
        <f t="shared" si="1"/>
        <v>32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0</v>
      </c>
      <c r="E47" s="50">
        <v>2</v>
      </c>
      <c r="F47" s="50">
        <v>2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33</v>
      </c>
      <c r="N47" s="50">
        <v>0</v>
      </c>
      <c r="O47" s="15">
        <f t="shared" si="0"/>
        <v>10</v>
      </c>
      <c r="P47" s="15">
        <f t="shared" si="1"/>
        <v>43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1</v>
      </c>
      <c r="F48" s="50">
        <v>5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24</v>
      </c>
      <c r="N48" s="50">
        <v>0</v>
      </c>
      <c r="O48" s="15">
        <f t="shared" si="0"/>
        <v>9</v>
      </c>
      <c r="P48" s="15">
        <f t="shared" si="1"/>
        <v>33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1</v>
      </c>
      <c r="F49" s="50">
        <v>4</v>
      </c>
      <c r="G49" s="50">
        <v>1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29</v>
      </c>
      <c r="N49" s="50">
        <v>0</v>
      </c>
      <c r="O49" s="15">
        <f t="shared" si="0"/>
        <v>9</v>
      </c>
      <c r="P49" s="15">
        <f t="shared" si="1"/>
        <v>38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1</v>
      </c>
      <c r="E50" s="50">
        <v>4</v>
      </c>
      <c r="F50" s="50">
        <v>3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28</v>
      </c>
      <c r="N50" s="50">
        <v>0</v>
      </c>
      <c r="O50" s="15">
        <f t="shared" si="0"/>
        <v>14</v>
      </c>
      <c r="P50" s="15">
        <f t="shared" si="1"/>
        <v>42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1</v>
      </c>
      <c r="E51" s="50">
        <v>4</v>
      </c>
      <c r="F51" s="50">
        <v>0</v>
      </c>
      <c r="G51" s="50">
        <v>1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23</v>
      </c>
      <c r="N51" s="50">
        <v>0</v>
      </c>
      <c r="O51" s="15">
        <f t="shared" si="0"/>
        <v>12</v>
      </c>
      <c r="P51" s="15">
        <f t="shared" si="1"/>
        <v>35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1</v>
      </c>
      <c r="F52" s="50">
        <v>3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27</v>
      </c>
      <c r="N52" s="50">
        <v>0</v>
      </c>
      <c r="O52" s="15">
        <f t="shared" si="0"/>
        <v>10</v>
      </c>
      <c r="P52" s="15">
        <f t="shared" si="1"/>
        <v>37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2</v>
      </c>
      <c r="F53" s="50">
        <v>2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24</v>
      </c>
      <c r="N53" s="50">
        <v>0</v>
      </c>
      <c r="O53" s="15">
        <f t="shared" si="0"/>
        <v>10</v>
      </c>
      <c r="P53" s="15">
        <f t="shared" si="1"/>
        <v>34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2</v>
      </c>
      <c r="F54" s="50">
        <v>3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26</v>
      </c>
      <c r="N54" s="50">
        <v>0</v>
      </c>
      <c r="O54" s="15">
        <f t="shared" si="0"/>
        <v>9</v>
      </c>
      <c r="P54" s="15">
        <f t="shared" si="1"/>
        <v>35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1</v>
      </c>
      <c r="F55" s="50">
        <v>3</v>
      </c>
      <c r="G55" s="50">
        <v>1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23</v>
      </c>
      <c r="N55" s="50">
        <v>0</v>
      </c>
      <c r="O55" s="15">
        <f t="shared" si="0"/>
        <v>10</v>
      </c>
      <c r="P55" s="15">
        <f t="shared" si="1"/>
        <v>33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2</v>
      </c>
      <c r="F56" s="50">
        <v>2</v>
      </c>
      <c r="G56" s="50">
        <v>0</v>
      </c>
      <c r="H56" s="50">
        <v>1</v>
      </c>
      <c r="I56" s="50">
        <v>0</v>
      </c>
      <c r="J56" s="50">
        <v>0</v>
      </c>
      <c r="K56" s="50">
        <v>0</v>
      </c>
      <c r="L56" s="50">
        <v>0</v>
      </c>
      <c r="M56" s="50">
        <v>27</v>
      </c>
      <c r="N56" s="50">
        <v>0</v>
      </c>
      <c r="O56" s="15">
        <f t="shared" si="0"/>
        <v>8</v>
      </c>
      <c r="P56" s="15">
        <f t="shared" si="1"/>
        <v>35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2</v>
      </c>
      <c r="F57" s="50">
        <v>4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21</v>
      </c>
      <c r="N57" s="50">
        <v>0</v>
      </c>
      <c r="O57" s="15">
        <f t="shared" si="0"/>
        <v>12</v>
      </c>
      <c r="P57" s="15">
        <f t="shared" si="1"/>
        <v>33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156</v>
      </c>
      <c r="D58" s="16">
        <f t="shared" si="21"/>
        <v>10</v>
      </c>
      <c r="E58" s="16">
        <f t="shared" si="21"/>
        <v>116</v>
      </c>
      <c r="F58" s="16">
        <f t="shared" si="21"/>
        <v>117</v>
      </c>
      <c r="G58" s="16">
        <f t="shared" si="21"/>
        <v>6</v>
      </c>
      <c r="H58" s="16">
        <f t="shared" si="21"/>
        <v>2</v>
      </c>
      <c r="I58" s="16">
        <f t="shared" si="21"/>
        <v>48</v>
      </c>
      <c r="J58" s="16">
        <f t="shared" si="21"/>
        <v>9</v>
      </c>
      <c r="K58" s="16">
        <f t="shared" si="21"/>
        <v>0</v>
      </c>
      <c r="L58" s="16">
        <f t="shared" si="21"/>
        <v>0</v>
      </c>
      <c r="M58" s="16">
        <f t="shared" si="21"/>
        <v>1256</v>
      </c>
      <c r="N58" s="16">
        <f t="shared" si="21"/>
        <v>2</v>
      </c>
      <c r="O58" s="16">
        <f t="shared" si="21"/>
        <v>466</v>
      </c>
      <c r="P58" s="16">
        <f t="shared" si="21"/>
        <v>1722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9.0592334494773524E-2</v>
      </c>
      <c r="D59" s="43">
        <f t="shared" si="22"/>
        <v>5.8072009291521487E-3</v>
      </c>
      <c r="E59" s="43">
        <f t="shared" si="22"/>
        <v>6.7363530778164926E-2</v>
      </c>
      <c r="F59" s="43">
        <f t="shared" si="22"/>
        <v>6.7944250871080136E-2</v>
      </c>
      <c r="G59" s="43">
        <f t="shared" si="22"/>
        <v>3.4843205574912892E-3</v>
      </c>
      <c r="H59" s="43">
        <f t="shared" si="22"/>
        <v>1.1614401858304297E-3</v>
      </c>
      <c r="I59" s="43">
        <f t="shared" si="22"/>
        <v>2.7874564459930314E-2</v>
      </c>
      <c r="J59" s="43">
        <f t="shared" si="22"/>
        <v>5.2264808362369342E-3</v>
      </c>
      <c r="K59" s="43">
        <f t="shared" si="22"/>
        <v>0</v>
      </c>
      <c r="L59" s="43">
        <f t="shared" si="22"/>
        <v>0</v>
      </c>
      <c r="M59" s="43">
        <f t="shared" si="22"/>
        <v>0.72938443670150988</v>
      </c>
      <c r="N59" s="43">
        <f t="shared" si="22"/>
        <v>1.1614401858304297E-3</v>
      </c>
      <c r="R59" s="8"/>
      <c r="T59"/>
    </row>
    <row r="60" spans="2:20" ht="23.1" customHeight="1" x14ac:dyDescent="0.25">
      <c r="B60" s="42" t="s">
        <v>94</v>
      </c>
      <c r="C60" s="44">
        <f>C58/$O$58</f>
        <v>0.33476394849785407</v>
      </c>
      <c r="D60" s="44">
        <f t="shared" ref="D60:N60" si="23">D58/$O$58</f>
        <v>2.1459227467811159E-2</v>
      </c>
      <c r="E60" s="44">
        <f t="shared" si="23"/>
        <v>0.24892703862660945</v>
      </c>
      <c r="F60" s="44">
        <f t="shared" si="23"/>
        <v>0.25107296137339058</v>
      </c>
      <c r="G60" s="44">
        <f t="shared" si="23"/>
        <v>1.2875536480686695E-2</v>
      </c>
      <c r="H60" s="44">
        <f t="shared" si="23"/>
        <v>4.2918454935622317E-3</v>
      </c>
      <c r="I60" s="44">
        <f t="shared" si="23"/>
        <v>0.10300429184549356</v>
      </c>
      <c r="J60" s="44">
        <f t="shared" si="23"/>
        <v>1.9313304721030045E-2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4.2918454935622317E-3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C10" sqref="C10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Malaba-Tororo'!C3:G3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'15.08 Tororo-Malaba'!G5:H5</f>
        <v>xxx</v>
      </c>
      <c r="H5" s="64"/>
      <c r="I5" s="14"/>
      <c r="J5" s="2" t="s">
        <v>5</v>
      </c>
      <c r="K5" s="63" t="str">
        <f>'15.08 Tororo-Malaba'!K5:L5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Malaba-Tororo'!D6:E6</f>
        <v>Malaba</v>
      </c>
      <c r="E6" s="64"/>
      <c r="F6" s="2" t="s">
        <v>2</v>
      </c>
      <c r="G6" s="63" t="str">
        <f>'12.08 Malaba-Tororo'!G6:H6</f>
        <v>Tororo</v>
      </c>
      <c r="H6" s="64"/>
      <c r="J6" s="2" t="s">
        <v>21</v>
      </c>
      <c r="K6" s="63" t="str">
        <f>'15.08 Tororo-Malaba'!K6:L6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1</v>
      </c>
      <c r="G10" s="50">
        <v>0</v>
      </c>
      <c r="H10" s="50">
        <v>1</v>
      </c>
      <c r="I10" s="50">
        <v>0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15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1</v>
      </c>
      <c r="V10" s="17">
        <f t="shared" si="2"/>
        <v>10</v>
      </c>
      <c r="W10" s="17">
        <f t="shared" si="2"/>
        <v>0</v>
      </c>
      <c r="X10" s="17">
        <f t="shared" si="2"/>
        <v>2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88</v>
      </c>
      <c r="AD10" s="17">
        <f t="shared" si="2"/>
        <v>0</v>
      </c>
      <c r="AE10" s="31">
        <f t="shared" si="2"/>
        <v>18</v>
      </c>
      <c r="AF10" s="31">
        <f t="shared" si="2"/>
        <v>106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1</v>
      </c>
      <c r="F11" s="50">
        <v>3</v>
      </c>
      <c r="G11" s="50">
        <v>0</v>
      </c>
      <c r="H11" s="50">
        <v>1</v>
      </c>
      <c r="I11" s="50">
        <v>1</v>
      </c>
      <c r="J11" s="50">
        <v>0</v>
      </c>
      <c r="K11" s="50">
        <v>0</v>
      </c>
      <c r="L11" s="50">
        <v>0</v>
      </c>
      <c r="M11" s="50">
        <v>27</v>
      </c>
      <c r="N11" s="50">
        <v>0</v>
      </c>
      <c r="O11" s="15">
        <f t="shared" si="0"/>
        <v>6</v>
      </c>
      <c r="P11" s="15">
        <f t="shared" si="1"/>
        <v>33</v>
      </c>
      <c r="R11" s="1" t="s">
        <v>7</v>
      </c>
      <c r="S11" s="17">
        <f t="shared" ref="S11:AF11" si="3">SUM(C14:C17)</f>
        <v>6</v>
      </c>
      <c r="T11" s="17">
        <f t="shared" si="3"/>
        <v>0</v>
      </c>
      <c r="U11" s="17">
        <f t="shared" si="3"/>
        <v>5</v>
      </c>
      <c r="V11" s="17">
        <f t="shared" si="3"/>
        <v>10</v>
      </c>
      <c r="W11" s="17">
        <f t="shared" si="3"/>
        <v>0</v>
      </c>
      <c r="X11" s="17">
        <f t="shared" si="3"/>
        <v>2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119</v>
      </c>
      <c r="AD11" s="17">
        <f t="shared" si="3"/>
        <v>0</v>
      </c>
      <c r="AE11" s="31">
        <f t="shared" si="3"/>
        <v>23</v>
      </c>
      <c r="AF11" s="31">
        <f t="shared" si="3"/>
        <v>142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0</v>
      </c>
      <c r="F12" s="50">
        <v>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28</v>
      </c>
      <c r="N12" s="50">
        <v>0</v>
      </c>
      <c r="O12" s="15">
        <f t="shared" si="0"/>
        <v>5</v>
      </c>
      <c r="P12" s="15">
        <f t="shared" si="1"/>
        <v>33</v>
      </c>
      <c r="R12" s="1" t="s">
        <v>8</v>
      </c>
      <c r="S12" s="17">
        <f t="shared" ref="S12:AF12" si="4">SUM(C18:C21)</f>
        <v>12</v>
      </c>
      <c r="T12" s="17">
        <f t="shared" si="4"/>
        <v>1</v>
      </c>
      <c r="U12" s="17">
        <f t="shared" si="4"/>
        <v>10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143</v>
      </c>
      <c r="AD12" s="17">
        <f t="shared" si="4"/>
        <v>1</v>
      </c>
      <c r="AE12" s="31">
        <f t="shared" si="4"/>
        <v>36</v>
      </c>
      <c r="AF12" s="31">
        <f t="shared" si="4"/>
        <v>179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3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21</v>
      </c>
      <c r="N13" s="50">
        <v>0</v>
      </c>
      <c r="O13" s="15">
        <f t="shared" si="0"/>
        <v>4</v>
      </c>
      <c r="P13" s="15">
        <f t="shared" si="1"/>
        <v>25</v>
      </c>
      <c r="R13" s="1" t="s">
        <v>9</v>
      </c>
      <c r="S13" s="17">
        <f t="shared" ref="S13:AF13" si="5">SUM(C22:C25)</f>
        <v>18</v>
      </c>
      <c r="T13" s="17">
        <f t="shared" si="5"/>
        <v>2</v>
      </c>
      <c r="U13" s="17">
        <f t="shared" si="5"/>
        <v>10</v>
      </c>
      <c r="V13" s="17">
        <f t="shared" si="5"/>
        <v>10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142</v>
      </c>
      <c r="AD13" s="17">
        <f t="shared" si="5"/>
        <v>0</v>
      </c>
      <c r="AE13" s="31">
        <f t="shared" si="5"/>
        <v>43</v>
      </c>
      <c r="AF13" s="31">
        <f t="shared" si="5"/>
        <v>185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1</v>
      </c>
      <c r="F14" s="50">
        <v>2</v>
      </c>
      <c r="G14" s="50">
        <v>0</v>
      </c>
      <c r="H14" s="50">
        <v>1</v>
      </c>
      <c r="I14" s="50">
        <v>0</v>
      </c>
      <c r="J14" s="50">
        <v>0</v>
      </c>
      <c r="K14" s="50">
        <v>0</v>
      </c>
      <c r="L14" s="50">
        <v>0</v>
      </c>
      <c r="M14" s="50">
        <v>23</v>
      </c>
      <c r="N14" s="50">
        <v>0</v>
      </c>
      <c r="O14" s="15">
        <f t="shared" si="0"/>
        <v>5</v>
      </c>
      <c r="P14" s="15">
        <f t="shared" si="1"/>
        <v>28</v>
      </c>
      <c r="R14" s="1" t="s">
        <v>10</v>
      </c>
      <c r="S14" s="17">
        <f t="shared" ref="S14:AF14" si="6">SUM(C26:C29)</f>
        <v>39</v>
      </c>
      <c r="T14" s="17">
        <f t="shared" si="6"/>
        <v>3</v>
      </c>
      <c r="U14" s="17">
        <f t="shared" si="6"/>
        <v>16</v>
      </c>
      <c r="V14" s="17">
        <f t="shared" si="6"/>
        <v>10</v>
      </c>
      <c r="W14" s="17">
        <f t="shared" si="6"/>
        <v>1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129</v>
      </c>
      <c r="AD14" s="17">
        <f t="shared" si="6"/>
        <v>0</v>
      </c>
      <c r="AE14" s="31">
        <f t="shared" si="6"/>
        <v>72</v>
      </c>
      <c r="AF14" s="31">
        <f t="shared" si="6"/>
        <v>201</v>
      </c>
    </row>
    <row r="15" spans="2:32" ht="23.1" customHeight="1" x14ac:dyDescent="0.25">
      <c r="B15" s="45" t="s">
        <v>42</v>
      </c>
      <c r="C15" s="50">
        <v>3</v>
      </c>
      <c r="D15" s="50">
        <v>0</v>
      </c>
      <c r="E15" s="50">
        <v>3</v>
      </c>
      <c r="F15" s="50">
        <v>3</v>
      </c>
      <c r="G15" s="50">
        <v>0</v>
      </c>
      <c r="H15" s="50">
        <v>1</v>
      </c>
      <c r="I15" s="50">
        <v>0</v>
      </c>
      <c r="J15" s="50">
        <v>0</v>
      </c>
      <c r="K15" s="50">
        <v>0</v>
      </c>
      <c r="L15" s="50">
        <v>0</v>
      </c>
      <c r="M15" s="50">
        <v>25</v>
      </c>
      <c r="N15" s="50">
        <v>0</v>
      </c>
      <c r="O15" s="15">
        <f t="shared" si="0"/>
        <v>10</v>
      </c>
      <c r="P15" s="15">
        <f t="shared" si="1"/>
        <v>35</v>
      </c>
      <c r="R15" s="1" t="s">
        <v>11</v>
      </c>
      <c r="S15" s="17">
        <f t="shared" ref="S15:AF15" si="7">SUM(C30:C33)</f>
        <v>13</v>
      </c>
      <c r="T15" s="17">
        <f t="shared" si="7"/>
        <v>2</v>
      </c>
      <c r="U15" s="17">
        <f t="shared" si="7"/>
        <v>11</v>
      </c>
      <c r="V15" s="17">
        <f t="shared" si="7"/>
        <v>9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1</v>
      </c>
      <c r="AA15" s="17">
        <f t="shared" si="7"/>
        <v>2</v>
      </c>
      <c r="AB15" s="17">
        <f t="shared" si="7"/>
        <v>0</v>
      </c>
      <c r="AC15" s="17">
        <f t="shared" si="7"/>
        <v>111</v>
      </c>
      <c r="AD15" s="17">
        <f t="shared" si="7"/>
        <v>0</v>
      </c>
      <c r="AE15" s="31">
        <f t="shared" si="7"/>
        <v>41</v>
      </c>
      <c r="AF15" s="31">
        <f t="shared" si="7"/>
        <v>152</v>
      </c>
    </row>
    <row r="16" spans="2:32" ht="23.1" customHeight="1" x14ac:dyDescent="0.25">
      <c r="B16" s="45" t="s">
        <v>43</v>
      </c>
      <c r="C16" s="50">
        <v>2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34</v>
      </c>
      <c r="N16" s="50">
        <v>0</v>
      </c>
      <c r="O16" s="15">
        <f t="shared" si="0"/>
        <v>3</v>
      </c>
      <c r="P16" s="15">
        <f t="shared" si="1"/>
        <v>37</v>
      </c>
      <c r="R16" s="1" t="s">
        <v>12</v>
      </c>
      <c r="S16" s="17">
        <f t="shared" ref="S16:AF16" si="8">SUM(C34:C37)</f>
        <v>16</v>
      </c>
      <c r="T16" s="17">
        <f t="shared" si="8"/>
        <v>2</v>
      </c>
      <c r="U16" s="17">
        <f t="shared" si="8"/>
        <v>16</v>
      </c>
      <c r="V16" s="17">
        <f t="shared" si="8"/>
        <v>12</v>
      </c>
      <c r="W16" s="17">
        <f t="shared" si="8"/>
        <v>1</v>
      </c>
      <c r="X16" s="17">
        <f t="shared" si="8"/>
        <v>0</v>
      </c>
      <c r="Y16" s="17">
        <f t="shared" si="8"/>
        <v>5</v>
      </c>
      <c r="Z16" s="17">
        <f t="shared" si="8"/>
        <v>1</v>
      </c>
      <c r="AA16" s="17">
        <f t="shared" si="8"/>
        <v>3</v>
      </c>
      <c r="AB16" s="17">
        <f t="shared" si="8"/>
        <v>0</v>
      </c>
      <c r="AC16" s="17">
        <f t="shared" si="8"/>
        <v>104</v>
      </c>
      <c r="AD16" s="17">
        <f t="shared" si="8"/>
        <v>0</v>
      </c>
      <c r="AE16" s="31">
        <f t="shared" si="8"/>
        <v>56</v>
      </c>
      <c r="AF16" s="31">
        <f t="shared" si="8"/>
        <v>160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1</v>
      </c>
      <c r="F17" s="50">
        <v>4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37</v>
      </c>
      <c r="N17" s="50">
        <v>0</v>
      </c>
      <c r="O17" s="15">
        <f t="shared" si="0"/>
        <v>5</v>
      </c>
      <c r="P17" s="15">
        <f t="shared" si="1"/>
        <v>42</v>
      </c>
      <c r="R17" s="1" t="s">
        <v>13</v>
      </c>
      <c r="S17" s="17">
        <f t="shared" ref="S17:AF17" si="9">SUM(C38:C41)</f>
        <v>8</v>
      </c>
      <c r="T17" s="17">
        <f t="shared" si="9"/>
        <v>1</v>
      </c>
      <c r="U17" s="17">
        <f t="shared" si="9"/>
        <v>9</v>
      </c>
      <c r="V17" s="17">
        <f t="shared" si="9"/>
        <v>15</v>
      </c>
      <c r="W17" s="17">
        <f t="shared" si="9"/>
        <v>6</v>
      </c>
      <c r="X17" s="17">
        <f t="shared" si="9"/>
        <v>0</v>
      </c>
      <c r="Y17" s="17">
        <f t="shared" si="9"/>
        <v>2</v>
      </c>
      <c r="Z17" s="17">
        <f t="shared" si="9"/>
        <v>3</v>
      </c>
      <c r="AA17" s="17">
        <f t="shared" si="9"/>
        <v>1</v>
      </c>
      <c r="AB17" s="17">
        <f t="shared" si="9"/>
        <v>0</v>
      </c>
      <c r="AC17" s="17">
        <f t="shared" si="9"/>
        <v>94</v>
      </c>
      <c r="AD17" s="17">
        <f t="shared" si="9"/>
        <v>0</v>
      </c>
      <c r="AE17" s="31">
        <f t="shared" si="9"/>
        <v>45</v>
      </c>
      <c r="AF17" s="31">
        <f t="shared" si="9"/>
        <v>139</v>
      </c>
    </row>
    <row r="18" spans="2:32" ht="23.1" customHeight="1" x14ac:dyDescent="0.25">
      <c r="B18" s="45" t="s">
        <v>45</v>
      </c>
      <c r="C18" s="50">
        <v>5</v>
      </c>
      <c r="D18" s="50">
        <v>0</v>
      </c>
      <c r="E18" s="50">
        <v>2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38</v>
      </c>
      <c r="N18" s="50">
        <v>0</v>
      </c>
      <c r="O18" s="15">
        <f t="shared" si="0"/>
        <v>8</v>
      </c>
      <c r="P18" s="15">
        <f t="shared" si="1"/>
        <v>46</v>
      </c>
      <c r="R18" s="1" t="s">
        <v>14</v>
      </c>
      <c r="S18" s="17">
        <f t="shared" ref="S18:AF18" si="10">SUM(C42:C45)</f>
        <v>16</v>
      </c>
      <c r="T18" s="17">
        <f t="shared" si="10"/>
        <v>1</v>
      </c>
      <c r="U18" s="17">
        <f t="shared" si="10"/>
        <v>9</v>
      </c>
      <c r="V18" s="17">
        <f t="shared" si="10"/>
        <v>6</v>
      </c>
      <c r="W18" s="17">
        <f t="shared" si="10"/>
        <v>1</v>
      </c>
      <c r="X18" s="17">
        <f t="shared" si="10"/>
        <v>0</v>
      </c>
      <c r="Y18" s="17">
        <f t="shared" si="10"/>
        <v>8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95</v>
      </c>
      <c r="AD18" s="17">
        <f t="shared" si="10"/>
        <v>0</v>
      </c>
      <c r="AE18" s="31">
        <f t="shared" si="10"/>
        <v>41</v>
      </c>
      <c r="AF18" s="31">
        <f t="shared" si="10"/>
        <v>136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2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35</v>
      </c>
      <c r="N19" s="50">
        <v>0</v>
      </c>
      <c r="O19" s="15">
        <f t="shared" si="0"/>
        <v>6</v>
      </c>
      <c r="P19" s="15">
        <f t="shared" si="1"/>
        <v>41</v>
      </c>
      <c r="R19" s="1" t="s">
        <v>15</v>
      </c>
      <c r="S19" s="17">
        <f t="shared" ref="S19:AF19" si="11">SUM(C46:C49)</f>
        <v>15</v>
      </c>
      <c r="T19" s="17">
        <f t="shared" si="11"/>
        <v>2</v>
      </c>
      <c r="U19" s="17">
        <f t="shared" si="11"/>
        <v>10</v>
      </c>
      <c r="V19" s="17">
        <f t="shared" si="11"/>
        <v>9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98</v>
      </c>
      <c r="AD19" s="17">
        <f t="shared" si="11"/>
        <v>0</v>
      </c>
      <c r="AE19" s="31">
        <f t="shared" si="11"/>
        <v>40</v>
      </c>
      <c r="AF19" s="31">
        <f t="shared" si="11"/>
        <v>138</v>
      </c>
    </row>
    <row r="20" spans="2:32" ht="23.1" customHeight="1" x14ac:dyDescent="0.25">
      <c r="B20" s="45" t="s">
        <v>47</v>
      </c>
      <c r="C20" s="50">
        <v>3</v>
      </c>
      <c r="D20" s="50">
        <v>0</v>
      </c>
      <c r="E20" s="50">
        <v>2</v>
      </c>
      <c r="F20" s="50">
        <v>1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28</v>
      </c>
      <c r="N20" s="50">
        <v>1</v>
      </c>
      <c r="O20" s="15">
        <f t="shared" si="0"/>
        <v>9</v>
      </c>
      <c r="P20" s="15">
        <f t="shared" si="1"/>
        <v>37</v>
      </c>
      <c r="R20" s="1" t="s">
        <v>16</v>
      </c>
      <c r="S20" s="17">
        <f t="shared" ref="S20:AF20" si="12">SUM(C50:C53)</f>
        <v>14</v>
      </c>
      <c r="T20" s="17">
        <f t="shared" si="12"/>
        <v>4</v>
      </c>
      <c r="U20" s="17">
        <f t="shared" si="12"/>
        <v>17</v>
      </c>
      <c r="V20" s="17">
        <f t="shared" si="12"/>
        <v>17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103</v>
      </c>
      <c r="AD20" s="17">
        <f t="shared" si="12"/>
        <v>0</v>
      </c>
      <c r="AE20" s="31">
        <f t="shared" si="12"/>
        <v>56</v>
      </c>
      <c r="AF20" s="31">
        <f t="shared" si="12"/>
        <v>159</v>
      </c>
    </row>
    <row r="21" spans="2:32" ht="23.1" customHeight="1" x14ac:dyDescent="0.25">
      <c r="B21" s="45" t="s">
        <v>48</v>
      </c>
      <c r="C21" s="50">
        <v>2</v>
      </c>
      <c r="D21" s="50">
        <v>1</v>
      </c>
      <c r="E21" s="50">
        <v>4</v>
      </c>
      <c r="F21" s="50">
        <v>0</v>
      </c>
      <c r="G21" s="50">
        <v>0</v>
      </c>
      <c r="H21" s="50">
        <v>0</v>
      </c>
      <c r="I21" s="50">
        <v>6</v>
      </c>
      <c r="J21" s="50">
        <v>0</v>
      </c>
      <c r="K21" s="50">
        <v>0</v>
      </c>
      <c r="L21" s="50">
        <v>0</v>
      </c>
      <c r="M21" s="50">
        <v>42</v>
      </c>
      <c r="N21" s="50">
        <v>0</v>
      </c>
      <c r="O21" s="15">
        <f t="shared" si="0"/>
        <v>13</v>
      </c>
      <c r="P21" s="15">
        <f t="shared" si="1"/>
        <v>55</v>
      </c>
      <c r="R21" s="36" t="s">
        <v>20</v>
      </c>
      <c r="S21" s="34">
        <f t="shared" ref="S21:AF21" si="13">SUM(C54:C57)</f>
        <v>9</v>
      </c>
      <c r="T21" s="17">
        <f t="shared" si="13"/>
        <v>1</v>
      </c>
      <c r="U21" s="17">
        <f t="shared" si="13"/>
        <v>10</v>
      </c>
      <c r="V21" s="17">
        <f t="shared" si="13"/>
        <v>8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124</v>
      </c>
      <c r="AD21" s="17">
        <f t="shared" si="13"/>
        <v>1</v>
      </c>
      <c r="AE21" s="31">
        <f t="shared" si="13"/>
        <v>33</v>
      </c>
      <c r="AF21" s="31">
        <f t="shared" si="13"/>
        <v>157</v>
      </c>
    </row>
    <row r="22" spans="2:32" ht="23.1" customHeight="1" x14ac:dyDescent="0.25">
      <c r="B22" s="45" t="s">
        <v>49</v>
      </c>
      <c r="C22" s="50">
        <v>8</v>
      </c>
      <c r="D22" s="50">
        <v>1</v>
      </c>
      <c r="E22" s="50">
        <v>4</v>
      </c>
      <c r="F22" s="50">
        <v>3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41</v>
      </c>
      <c r="N22" s="50">
        <v>0</v>
      </c>
      <c r="O22" s="15">
        <f t="shared" si="0"/>
        <v>16</v>
      </c>
      <c r="P22" s="15">
        <f t="shared" si="1"/>
        <v>57</v>
      </c>
      <c r="R22" s="36" t="s">
        <v>146</v>
      </c>
      <c r="S22" s="34">
        <f>SUM(C58:C61)</f>
        <v>22</v>
      </c>
      <c r="T22" s="34">
        <f t="shared" ref="T22:AF22" si="14">SUM(D58:D61)</f>
        <v>2</v>
      </c>
      <c r="U22" s="34">
        <f t="shared" si="14"/>
        <v>13</v>
      </c>
      <c r="V22" s="34">
        <f t="shared" si="14"/>
        <v>10</v>
      </c>
      <c r="W22" s="34">
        <f t="shared" si="14"/>
        <v>2</v>
      </c>
      <c r="X22" s="34">
        <f t="shared" si="14"/>
        <v>0</v>
      </c>
      <c r="Y22" s="34">
        <f t="shared" si="14"/>
        <v>8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75</v>
      </c>
      <c r="AD22" s="34">
        <f t="shared" si="14"/>
        <v>0</v>
      </c>
      <c r="AE22" s="31">
        <f t="shared" si="14"/>
        <v>59</v>
      </c>
      <c r="AF22" s="31">
        <f t="shared" si="14"/>
        <v>134</v>
      </c>
    </row>
    <row r="23" spans="2:32" ht="23.1" customHeight="1" x14ac:dyDescent="0.25">
      <c r="B23" s="45" t="s">
        <v>50</v>
      </c>
      <c r="C23" s="50">
        <v>4</v>
      </c>
      <c r="D23" s="50">
        <v>1</v>
      </c>
      <c r="E23" s="50">
        <v>4</v>
      </c>
      <c r="F23" s="50">
        <v>3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35</v>
      </c>
      <c r="N23" s="50">
        <v>0</v>
      </c>
      <c r="O23" s="15">
        <f t="shared" si="0"/>
        <v>12</v>
      </c>
      <c r="P23" s="15">
        <f t="shared" si="1"/>
        <v>47</v>
      </c>
      <c r="R23" s="36" t="s">
        <v>147</v>
      </c>
      <c r="S23" s="34">
        <f>SUM(C62:C65)</f>
        <v>13</v>
      </c>
      <c r="T23" s="34">
        <f t="shared" ref="T23:AF23" si="15">SUM(D62:D65)</f>
        <v>1</v>
      </c>
      <c r="U23" s="34">
        <f t="shared" si="15"/>
        <v>10</v>
      </c>
      <c r="V23" s="34">
        <f t="shared" si="15"/>
        <v>6</v>
      </c>
      <c r="W23" s="34">
        <f t="shared" si="15"/>
        <v>0</v>
      </c>
      <c r="X23" s="34">
        <f t="shared" si="15"/>
        <v>0</v>
      </c>
      <c r="Y23" s="34">
        <f t="shared" si="15"/>
        <v>7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23</v>
      </c>
      <c r="AD23" s="34">
        <f t="shared" si="15"/>
        <v>0</v>
      </c>
      <c r="AE23" s="31">
        <f t="shared" si="15"/>
        <v>37</v>
      </c>
      <c r="AF23" s="31">
        <f t="shared" si="15"/>
        <v>60</v>
      </c>
    </row>
    <row r="24" spans="2:32" ht="23.1" customHeight="1" x14ac:dyDescent="0.25">
      <c r="B24" s="45" t="s">
        <v>51</v>
      </c>
      <c r="C24" s="50">
        <v>4</v>
      </c>
      <c r="D24" s="50">
        <v>0</v>
      </c>
      <c r="E24" s="50">
        <v>2</v>
      </c>
      <c r="F24" s="50">
        <v>2</v>
      </c>
      <c r="G24" s="50">
        <v>0</v>
      </c>
      <c r="H24" s="50">
        <v>0</v>
      </c>
      <c r="I24" s="50">
        <v>1</v>
      </c>
      <c r="J24" s="50">
        <v>1</v>
      </c>
      <c r="K24" s="50">
        <v>1</v>
      </c>
      <c r="L24" s="50">
        <v>0</v>
      </c>
      <c r="M24" s="50">
        <v>37</v>
      </c>
      <c r="N24" s="50">
        <v>0</v>
      </c>
      <c r="O24" s="15">
        <f t="shared" si="0"/>
        <v>11</v>
      </c>
      <c r="P24" s="15">
        <f t="shared" si="1"/>
        <v>48</v>
      </c>
      <c r="R24" s="36" t="s">
        <v>148</v>
      </c>
      <c r="S24" s="34">
        <f>SUM(C66:C69)</f>
        <v>6</v>
      </c>
      <c r="T24" s="34">
        <f t="shared" ref="T24:AF24" si="16">SUM(D66:D69)</f>
        <v>0</v>
      </c>
      <c r="U24" s="34">
        <f t="shared" si="16"/>
        <v>7</v>
      </c>
      <c r="V24" s="34">
        <f t="shared" si="16"/>
        <v>3</v>
      </c>
      <c r="W24" s="34">
        <f t="shared" si="16"/>
        <v>0</v>
      </c>
      <c r="X24" s="34">
        <f t="shared" si="16"/>
        <v>0</v>
      </c>
      <c r="Y24" s="34">
        <f t="shared" si="16"/>
        <v>4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15</v>
      </c>
      <c r="AD24" s="34">
        <f t="shared" si="16"/>
        <v>0</v>
      </c>
      <c r="AE24" s="31">
        <f t="shared" si="16"/>
        <v>20</v>
      </c>
      <c r="AF24" s="31">
        <f t="shared" si="16"/>
        <v>35</v>
      </c>
    </row>
    <row r="25" spans="2:32" ht="23.1" customHeight="1" x14ac:dyDescent="0.25">
      <c r="B25" s="45" t="s">
        <v>52</v>
      </c>
      <c r="C25" s="50">
        <v>2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29</v>
      </c>
      <c r="N25" s="50">
        <v>0</v>
      </c>
      <c r="O25" s="15">
        <f t="shared" si="0"/>
        <v>4</v>
      </c>
      <c r="P25" s="15">
        <f t="shared" si="1"/>
        <v>33</v>
      </c>
      <c r="R25" s="36" t="s">
        <v>149</v>
      </c>
      <c r="S25" s="34">
        <f>SUM(C70:C73)</f>
        <v>5</v>
      </c>
      <c r="T25" s="34">
        <f t="shared" ref="T25:AF25" si="17">SUM(D70:D73)</f>
        <v>0</v>
      </c>
      <c r="U25" s="34">
        <f t="shared" si="17"/>
        <v>5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17</v>
      </c>
      <c r="AD25" s="34">
        <f t="shared" si="17"/>
        <v>0</v>
      </c>
      <c r="AE25" s="31">
        <f t="shared" si="17"/>
        <v>13</v>
      </c>
      <c r="AF25" s="31">
        <f t="shared" si="17"/>
        <v>30</v>
      </c>
    </row>
    <row r="26" spans="2:32" ht="23.1" customHeight="1" x14ac:dyDescent="0.25">
      <c r="B26" s="45" t="s">
        <v>53</v>
      </c>
      <c r="C26" s="50">
        <v>6</v>
      </c>
      <c r="D26" s="50">
        <v>1</v>
      </c>
      <c r="E26" s="50">
        <v>4</v>
      </c>
      <c r="F26" s="50">
        <v>3</v>
      </c>
      <c r="G26" s="50">
        <v>1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22</v>
      </c>
      <c r="N26" s="50">
        <v>0</v>
      </c>
      <c r="O26" s="15">
        <f t="shared" si="0"/>
        <v>15</v>
      </c>
      <c r="P26" s="15">
        <f t="shared" si="1"/>
        <v>37</v>
      </c>
      <c r="R26" s="36" t="s">
        <v>150</v>
      </c>
      <c r="S26" s="34">
        <f>SUM(C74:C77)</f>
        <v>2</v>
      </c>
      <c r="T26" s="34">
        <f t="shared" ref="T26:AF26" si="18">SUM(D74:D77)</f>
        <v>0</v>
      </c>
      <c r="U26" s="34">
        <f t="shared" si="18"/>
        <v>4</v>
      </c>
      <c r="V26" s="34">
        <f t="shared" si="18"/>
        <v>4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9</v>
      </c>
      <c r="AD26" s="34">
        <f t="shared" si="18"/>
        <v>0</v>
      </c>
      <c r="AE26" s="31">
        <f t="shared" si="18"/>
        <v>12</v>
      </c>
      <c r="AF26" s="31">
        <f t="shared" si="18"/>
        <v>21</v>
      </c>
    </row>
    <row r="27" spans="2:32" ht="23.1" customHeight="1" x14ac:dyDescent="0.25">
      <c r="B27" s="45" t="s">
        <v>54</v>
      </c>
      <c r="C27" s="50">
        <v>12</v>
      </c>
      <c r="D27" s="50">
        <v>2</v>
      </c>
      <c r="E27" s="50">
        <v>8</v>
      </c>
      <c r="F27" s="50">
        <v>3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28</v>
      </c>
      <c r="N27" s="50">
        <v>0</v>
      </c>
      <c r="O27" s="15">
        <f t="shared" si="0"/>
        <v>28</v>
      </c>
      <c r="P27" s="15">
        <f t="shared" si="1"/>
        <v>56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3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4</v>
      </c>
      <c r="AD27" s="34">
        <f t="shared" si="19"/>
        <v>0</v>
      </c>
      <c r="AE27" s="31">
        <f t="shared" si="19"/>
        <v>4</v>
      </c>
      <c r="AF27" s="31">
        <f t="shared" si="19"/>
        <v>8</v>
      </c>
    </row>
    <row r="28" spans="2:32" ht="23.1" customHeight="1" x14ac:dyDescent="0.25">
      <c r="B28" s="45" t="s">
        <v>55</v>
      </c>
      <c r="C28" s="50">
        <v>6</v>
      </c>
      <c r="D28" s="50">
        <v>0</v>
      </c>
      <c r="E28" s="50">
        <v>2</v>
      </c>
      <c r="F28" s="50">
        <v>3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42</v>
      </c>
      <c r="N28" s="50">
        <v>0</v>
      </c>
      <c r="O28" s="15">
        <f t="shared" si="0"/>
        <v>11</v>
      </c>
      <c r="P28" s="15">
        <f t="shared" si="1"/>
        <v>53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1</v>
      </c>
      <c r="AF28" s="31">
        <f t="shared" si="20"/>
        <v>3</v>
      </c>
    </row>
    <row r="29" spans="2:32" ht="23.1" customHeight="1" x14ac:dyDescent="0.25">
      <c r="B29" s="45" t="s">
        <v>56</v>
      </c>
      <c r="C29" s="50">
        <v>15</v>
      </c>
      <c r="D29" s="50">
        <v>0</v>
      </c>
      <c r="E29" s="50">
        <v>2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37</v>
      </c>
      <c r="N29" s="50">
        <v>0</v>
      </c>
      <c r="O29" s="15">
        <f t="shared" si="0"/>
        <v>18</v>
      </c>
      <c r="P29" s="15">
        <f t="shared" si="1"/>
        <v>55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5</v>
      </c>
      <c r="AF29" s="31">
        <f t="shared" si="21"/>
        <v>6</v>
      </c>
    </row>
    <row r="30" spans="2:32" ht="23.1" customHeight="1" x14ac:dyDescent="0.25">
      <c r="B30" s="45" t="s">
        <v>57</v>
      </c>
      <c r="C30" s="50">
        <v>3</v>
      </c>
      <c r="D30" s="50">
        <v>1</v>
      </c>
      <c r="E30" s="50">
        <v>5</v>
      </c>
      <c r="F30" s="50">
        <v>3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36</v>
      </c>
      <c r="N30" s="50">
        <v>0</v>
      </c>
      <c r="O30" s="15">
        <f t="shared" si="0"/>
        <v>13</v>
      </c>
      <c r="P30" s="15">
        <f t="shared" si="1"/>
        <v>49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4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</v>
      </c>
      <c r="AD30" s="34">
        <f t="shared" si="22"/>
        <v>0</v>
      </c>
      <c r="AE30" s="31">
        <f t="shared" si="22"/>
        <v>7</v>
      </c>
      <c r="AF30" s="31">
        <f t="shared" si="22"/>
        <v>10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0</v>
      </c>
      <c r="F31" s="50">
        <v>3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27</v>
      </c>
      <c r="N31" s="50">
        <v>0</v>
      </c>
      <c r="O31" s="15">
        <f t="shared" si="0"/>
        <v>6</v>
      </c>
      <c r="P31" s="15">
        <f t="shared" si="1"/>
        <v>33</v>
      </c>
      <c r="R31" s="36" t="s">
        <v>155</v>
      </c>
      <c r="S31" s="34">
        <f>SUM(C94:C97)</f>
        <v>4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1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</v>
      </c>
      <c r="AD31" s="34">
        <f t="shared" si="23"/>
        <v>0</v>
      </c>
      <c r="AE31" s="31">
        <f t="shared" si="23"/>
        <v>7</v>
      </c>
      <c r="AF31" s="31">
        <f t="shared" si="23"/>
        <v>9</v>
      </c>
    </row>
    <row r="32" spans="2:32" ht="23.1" customHeight="1" x14ac:dyDescent="0.25">
      <c r="B32" s="46" t="s">
        <v>59</v>
      </c>
      <c r="C32" s="50">
        <v>2</v>
      </c>
      <c r="D32" s="50">
        <v>1</v>
      </c>
      <c r="E32" s="50">
        <v>4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2</v>
      </c>
      <c r="L32" s="50">
        <v>0</v>
      </c>
      <c r="M32" s="50">
        <v>23</v>
      </c>
      <c r="N32" s="50">
        <v>0</v>
      </c>
      <c r="O32" s="15">
        <f t="shared" si="0"/>
        <v>10</v>
      </c>
      <c r="P32" s="15">
        <f t="shared" si="1"/>
        <v>33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5</v>
      </c>
      <c r="W32" s="34">
        <f t="shared" si="24"/>
        <v>0</v>
      </c>
      <c r="X32" s="34">
        <f t="shared" si="24"/>
        <v>1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12</v>
      </c>
      <c r="AD32" s="34">
        <f t="shared" si="24"/>
        <v>0</v>
      </c>
      <c r="AE32" s="31">
        <f t="shared" si="24"/>
        <v>8</v>
      </c>
      <c r="AF32" s="31">
        <f t="shared" si="24"/>
        <v>20</v>
      </c>
    </row>
    <row r="33" spans="2:32" ht="23.1" customHeight="1" x14ac:dyDescent="0.25">
      <c r="B33" s="45" t="s">
        <v>60</v>
      </c>
      <c r="C33" s="50">
        <v>6</v>
      </c>
      <c r="D33" s="50">
        <v>0</v>
      </c>
      <c r="E33" s="50">
        <v>2</v>
      </c>
      <c r="F33" s="50">
        <v>2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25</v>
      </c>
      <c r="N33" s="50">
        <v>0</v>
      </c>
      <c r="O33" s="15">
        <f t="shared" si="0"/>
        <v>12</v>
      </c>
      <c r="P33" s="15">
        <f t="shared" si="1"/>
        <v>37</v>
      </c>
      <c r="R33" s="33" t="s">
        <v>157</v>
      </c>
      <c r="S33" s="34">
        <f>SUM(C102:C105)</f>
        <v>3</v>
      </c>
      <c r="T33" s="34">
        <f t="shared" ref="T33:AF33" si="25">SUM(D102:D105)</f>
        <v>0</v>
      </c>
      <c r="U33" s="34">
        <f t="shared" si="25"/>
        <v>4</v>
      </c>
      <c r="V33" s="34">
        <f t="shared" si="25"/>
        <v>14</v>
      </c>
      <c r="W33" s="34">
        <f t="shared" si="25"/>
        <v>0</v>
      </c>
      <c r="X33" s="34">
        <f t="shared" si="25"/>
        <v>2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62</v>
      </c>
      <c r="AD33" s="34">
        <f t="shared" si="25"/>
        <v>0</v>
      </c>
      <c r="AE33" s="31">
        <f t="shared" si="25"/>
        <v>25</v>
      </c>
      <c r="AF33" s="31">
        <f t="shared" si="25"/>
        <v>87</v>
      </c>
    </row>
    <row r="34" spans="2:32" ht="23.1" customHeight="1" x14ac:dyDescent="0.25">
      <c r="B34" s="46" t="s">
        <v>61</v>
      </c>
      <c r="C34" s="50">
        <v>9</v>
      </c>
      <c r="D34" s="50">
        <v>2</v>
      </c>
      <c r="E34" s="50">
        <v>9</v>
      </c>
      <c r="F34" s="50">
        <v>6</v>
      </c>
      <c r="G34" s="50">
        <v>1</v>
      </c>
      <c r="H34" s="50">
        <v>0</v>
      </c>
      <c r="I34" s="50">
        <v>1</v>
      </c>
      <c r="J34" s="50">
        <v>1</v>
      </c>
      <c r="K34" s="50">
        <v>3</v>
      </c>
      <c r="L34" s="50">
        <v>0</v>
      </c>
      <c r="M34" s="50">
        <v>30</v>
      </c>
      <c r="N34" s="50">
        <v>0</v>
      </c>
      <c r="O34" s="15">
        <f t="shared" si="0"/>
        <v>32</v>
      </c>
      <c r="P34" s="15">
        <f t="shared" si="1"/>
        <v>62</v>
      </c>
      <c r="R34" s="38" t="s">
        <v>90</v>
      </c>
      <c r="S34" s="39">
        <f t="shared" ref="S34:AF34" si="26">MAX(S10:S12)</f>
        <v>12</v>
      </c>
      <c r="T34" s="39">
        <f t="shared" si="26"/>
        <v>1</v>
      </c>
      <c r="U34" s="39">
        <f t="shared" si="26"/>
        <v>10</v>
      </c>
      <c r="V34" s="39">
        <f t="shared" si="26"/>
        <v>10</v>
      </c>
      <c r="W34" s="39">
        <f t="shared" si="26"/>
        <v>0</v>
      </c>
      <c r="X34" s="39">
        <f t="shared" si="26"/>
        <v>2</v>
      </c>
      <c r="Y34" s="39">
        <f t="shared" si="26"/>
        <v>7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143</v>
      </c>
      <c r="AD34" s="39">
        <f t="shared" si="26"/>
        <v>1</v>
      </c>
      <c r="AE34" s="40">
        <f t="shared" si="26"/>
        <v>36</v>
      </c>
      <c r="AF34" s="40">
        <f t="shared" si="26"/>
        <v>179</v>
      </c>
    </row>
    <row r="35" spans="2:32" ht="23.1" customHeight="1" x14ac:dyDescent="0.25">
      <c r="B35" s="46" t="s">
        <v>62</v>
      </c>
      <c r="C35" s="50">
        <v>2</v>
      </c>
      <c r="D35" s="50">
        <v>0</v>
      </c>
      <c r="E35" s="50">
        <v>3</v>
      </c>
      <c r="F35" s="50">
        <v>2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30</v>
      </c>
      <c r="N35" s="50">
        <v>0</v>
      </c>
      <c r="O35" s="15">
        <f t="shared" si="0"/>
        <v>8</v>
      </c>
      <c r="P35" s="15">
        <f t="shared" si="1"/>
        <v>38</v>
      </c>
      <c r="R35" s="38" t="s">
        <v>91</v>
      </c>
      <c r="S35" s="39">
        <f t="shared" ref="S35:AF35" si="27">MAX(S13:S18)</f>
        <v>39</v>
      </c>
      <c r="T35" s="39">
        <f t="shared" si="27"/>
        <v>3</v>
      </c>
      <c r="U35" s="39">
        <f t="shared" si="27"/>
        <v>16</v>
      </c>
      <c r="V35" s="39">
        <f t="shared" si="27"/>
        <v>15</v>
      </c>
      <c r="W35" s="39">
        <f t="shared" si="27"/>
        <v>6</v>
      </c>
      <c r="X35" s="39">
        <f t="shared" si="27"/>
        <v>0</v>
      </c>
      <c r="Y35" s="39">
        <f t="shared" si="27"/>
        <v>8</v>
      </c>
      <c r="Z35" s="39">
        <f t="shared" si="27"/>
        <v>3</v>
      </c>
      <c r="AA35" s="39">
        <f t="shared" si="27"/>
        <v>3</v>
      </c>
      <c r="AB35" s="39">
        <f t="shared" si="27"/>
        <v>0</v>
      </c>
      <c r="AC35" s="39">
        <f t="shared" si="27"/>
        <v>142</v>
      </c>
      <c r="AD35" s="39">
        <f t="shared" si="27"/>
        <v>0</v>
      </c>
      <c r="AE35" s="40">
        <f t="shared" si="27"/>
        <v>72</v>
      </c>
      <c r="AF35" s="40">
        <f t="shared" si="27"/>
        <v>201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3</v>
      </c>
      <c r="F36" s="50">
        <v>3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16</v>
      </c>
      <c r="N36" s="50">
        <v>0</v>
      </c>
      <c r="O36" s="15">
        <f t="shared" si="0"/>
        <v>11</v>
      </c>
      <c r="P36" s="15">
        <f t="shared" si="1"/>
        <v>27</v>
      </c>
      <c r="R36" s="38" t="s">
        <v>92</v>
      </c>
      <c r="S36" s="39">
        <f t="shared" ref="S36:AF36" si="28">MAX(S19:S21)</f>
        <v>15</v>
      </c>
      <c r="T36" s="39">
        <f t="shared" si="28"/>
        <v>4</v>
      </c>
      <c r="U36" s="39">
        <f t="shared" si="28"/>
        <v>17</v>
      </c>
      <c r="V36" s="39">
        <f t="shared" si="28"/>
        <v>17</v>
      </c>
      <c r="W36" s="39">
        <f t="shared" si="28"/>
        <v>0</v>
      </c>
      <c r="X36" s="39">
        <f t="shared" si="28"/>
        <v>0</v>
      </c>
      <c r="Y36" s="39">
        <f t="shared" si="28"/>
        <v>4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124</v>
      </c>
      <c r="AD36" s="39">
        <f t="shared" si="28"/>
        <v>1</v>
      </c>
      <c r="AE36" s="40">
        <f t="shared" si="28"/>
        <v>56</v>
      </c>
      <c r="AF36" s="40">
        <f t="shared" si="28"/>
        <v>159</v>
      </c>
    </row>
    <row r="37" spans="2:32" ht="23.1" customHeight="1" x14ac:dyDescent="0.25">
      <c r="B37" s="45" t="s">
        <v>64</v>
      </c>
      <c r="C37" s="50">
        <v>2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28</v>
      </c>
      <c r="N37" s="50">
        <v>0</v>
      </c>
      <c r="O37" s="15">
        <f t="shared" si="0"/>
        <v>5</v>
      </c>
      <c r="P37" s="15">
        <f t="shared" si="1"/>
        <v>33</v>
      </c>
      <c r="R37" s="37" t="s">
        <v>85</v>
      </c>
      <c r="S37" s="35">
        <f t="shared" ref="S37:AF37" si="29">SUM(S10:S12)</f>
        <v>21</v>
      </c>
      <c r="T37" s="16">
        <f t="shared" si="29"/>
        <v>1</v>
      </c>
      <c r="U37" s="16">
        <f t="shared" si="29"/>
        <v>16</v>
      </c>
      <c r="V37" s="16">
        <f t="shared" si="29"/>
        <v>24</v>
      </c>
      <c r="W37" s="16">
        <f t="shared" si="29"/>
        <v>0</v>
      </c>
      <c r="X37" s="16">
        <f t="shared" si="29"/>
        <v>4</v>
      </c>
      <c r="Y37" s="16">
        <f t="shared" si="29"/>
        <v>9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350</v>
      </c>
      <c r="AD37" s="16">
        <f t="shared" si="29"/>
        <v>1</v>
      </c>
      <c r="AE37" s="32">
        <f t="shared" si="29"/>
        <v>77</v>
      </c>
      <c r="AF37" s="32">
        <f t="shared" si="29"/>
        <v>427</v>
      </c>
    </row>
    <row r="38" spans="2:32" ht="23.1" customHeight="1" x14ac:dyDescent="0.25">
      <c r="B38" s="46" t="s">
        <v>65</v>
      </c>
      <c r="C38" s="50">
        <v>1</v>
      </c>
      <c r="D38" s="50">
        <v>0</v>
      </c>
      <c r="E38" s="50">
        <v>0</v>
      </c>
      <c r="F38" s="50">
        <v>4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20</v>
      </c>
      <c r="N38" s="50">
        <v>0</v>
      </c>
      <c r="O38" s="15">
        <f t="shared" si="0"/>
        <v>5</v>
      </c>
      <c r="P38" s="15">
        <f t="shared" si="1"/>
        <v>25</v>
      </c>
      <c r="R38" s="28" t="s">
        <v>86</v>
      </c>
      <c r="S38" s="16">
        <f t="shared" ref="S38:AF38" si="30">SUM(S13:S18)</f>
        <v>110</v>
      </c>
      <c r="T38" s="16">
        <f t="shared" si="30"/>
        <v>11</v>
      </c>
      <c r="U38" s="16">
        <f t="shared" si="30"/>
        <v>71</v>
      </c>
      <c r="V38" s="16">
        <f t="shared" si="30"/>
        <v>62</v>
      </c>
      <c r="W38" s="16">
        <f t="shared" si="30"/>
        <v>9</v>
      </c>
      <c r="X38" s="16">
        <f t="shared" si="30"/>
        <v>0</v>
      </c>
      <c r="Y38" s="16">
        <f t="shared" si="30"/>
        <v>21</v>
      </c>
      <c r="Z38" s="16">
        <f t="shared" si="30"/>
        <v>7</v>
      </c>
      <c r="AA38" s="16">
        <f t="shared" si="30"/>
        <v>7</v>
      </c>
      <c r="AB38" s="16">
        <f t="shared" si="30"/>
        <v>0</v>
      </c>
      <c r="AC38" s="16">
        <f t="shared" si="30"/>
        <v>675</v>
      </c>
      <c r="AD38" s="16">
        <f t="shared" si="30"/>
        <v>0</v>
      </c>
      <c r="AE38" s="32">
        <f t="shared" si="30"/>
        <v>298</v>
      </c>
      <c r="AF38" s="32">
        <f t="shared" si="30"/>
        <v>973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2</v>
      </c>
      <c r="F39" s="50">
        <v>2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29</v>
      </c>
      <c r="N39" s="50">
        <v>0</v>
      </c>
      <c r="O39" s="15">
        <f t="shared" si="0"/>
        <v>7</v>
      </c>
      <c r="P39" s="15">
        <f t="shared" si="1"/>
        <v>36</v>
      </c>
      <c r="R39" s="29" t="s">
        <v>87</v>
      </c>
      <c r="S39" s="16">
        <f t="shared" ref="S39:AF39" si="31">SUM(S19:S21)</f>
        <v>38</v>
      </c>
      <c r="T39" s="16">
        <f t="shared" si="31"/>
        <v>7</v>
      </c>
      <c r="U39" s="16">
        <f t="shared" si="31"/>
        <v>37</v>
      </c>
      <c r="V39" s="16">
        <f t="shared" si="31"/>
        <v>34</v>
      </c>
      <c r="W39" s="16">
        <f t="shared" si="31"/>
        <v>0</v>
      </c>
      <c r="X39" s="16">
        <f t="shared" si="31"/>
        <v>0</v>
      </c>
      <c r="Y39" s="16">
        <f t="shared" si="31"/>
        <v>12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325</v>
      </c>
      <c r="AD39" s="16">
        <f t="shared" si="31"/>
        <v>1</v>
      </c>
      <c r="AE39" s="32">
        <f t="shared" si="31"/>
        <v>129</v>
      </c>
      <c r="AF39" s="32">
        <f t="shared" si="31"/>
        <v>454</v>
      </c>
    </row>
    <row r="40" spans="2:32" ht="23.1" customHeight="1" x14ac:dyDescent="0.25">
      <c r="B40" s="46" t="s">
        <v>67</v>
      </c>
      <c r="C40" s="50">
        <v>5</v>
      </c>
      <c r="D40" s="50">
        <v>1</v>
      </c>
      <c r="E40" s="50">
        <v>6</v>
      </c>
      <c r="F40" s="50">
        <v>2</v>
      </c>
      <c r="G40" s="50">
        <v>6</v>
      </c>
      <c r="H40" s="50">
        <v>0</v>
      </c>
      <c r="I40" s="50">
        <v>1</v>
      </c>
      <c r="J40" s="50">
        <v>2</v>
      </c>
      <c r="K40" s="50">
        <v>0</v>
      </c>
      <c r="L40" s="50">
        <v>0</v>
      </c>
      <c r="M40" s="50">
        <v>25</v>
      </c>
      <c r="N40" s="50">
        <v>0</v>
      </c>
      <c r="O40" s="15">
        <f t="shared" si="0"/>
        <v>23</v>
      </c>
      <c r="P40" s="15">
        <f t="shared" si="1"/>
        <v>48</v>
      </c>
      <c r="R40" s="5" t="s">
        <v>17</v>
      </c>
      <c r="S40" s="16">
        <f t="shared" ref="S40:AF40" si="32">SUM(S10:S21)</f>
        <v>169</v>
      </c>
      <c r="T40" s="16">
        <f t="shared" si="32"/>
        <v>19</v>
      </c>
      <c r="U40" s="16">
        <f t="shared" si="32"/>
        <v>124</v>
      </c>
      <c r="V40" s="16">
        <f t="shared" si="32"/>
        <v>120</v>
      </c>
      <c r="W40" s="16">
        <f t="shared" si="32"/>
        <v>9</v>
      </c>
      <c r="X40" s="16">
        <f t="shared" si="32"/>
        <v>4</v>
      </c>
      <c r="Y40" s="16">
        <f t="shared" si="32"/>
        <v>42</v>
      </c>
      <c r="Z40" s="16">
        <f t="shared" si="32"/>
        <v>8</v>
      </c>
      <c r="AA40" s="16">
        <f t="shared" si="32"/>
        <v>7</v>
      </c>
      <c r="AB40" s="16">
        <f t="shared" si="32"/>
        <v>0</v>
      </c>
      <c r="AC40" s="16">
        <f t="shared" si="32"/>
        <v>1350</v>
      </c>
      <c r="AD40" s="16">
        <f t="shared" si="32"/>
        <v>2</v>
      </c>
      <c r="AE40" s="32">
        <f t="shared" si="32"/>
        <v>504</v>
      </c>
      <c r="AF40" s="32">
        <f t="shared" si="32"/>
        <v>1854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1</v>
      </c>
      <c r="F41" s="50">
        <v>7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20</v>
      </c>
      <c r="N41" s="50">
        <v>0</v>
      </c>
      <c r="O41" s="15">
        <f t="shared" si="0"/>
        <v>10</v>
      </c>
      <c r="P41" s="15">
        <f t="shared" si="1"/>
        <v>30</v>
      </c>
      <c r="R41" s="5" t="s">
        <v>159</v>
      </c>
      <c r="S41" s="16">
        <f>SUM(S10:S33)</f>
        <v>227</v>
      </c>
      <c r="T41" s="16">
        <f t="shared" ref="T41:AF41" si="33">SUM(T10:T33)</f>
        <v>22</v>
      </c>
      <c r="U41" s="16">
        <f t="shared" si="33"/>
        <v>175</v>
      </c>
      <c r="V41" s="16">
        <f t="shared" si="33"/>
        <v>169</v>
      </c>
      <c r="W41" s="16">
        <f t="shared" si="33"/>
        <v>11</v>
      </c>
      <c r="X41" s="16">
        <f t="shared" si="33"/>
        <v>8</v>
      </c>
      <c r="Y41" s="16">
        <f t="shared" si="33"/>
        <v>69</v>
      </c>
      <c r="Z41" s="16">
        <f t="shared" si="33"/>
        <v>12</v>
      </c>
      <c r="AA41" s="16">
        <f t="shared" si="33"/>
        <v>7</v>
      </c>
      <c r="AB41" s="16">
        <f t="shared" si="33"/>
        <v>0</v>
      </c>
      <c r="AC41" s="16">
        <f t="shared" si="33"/>
        <v>1575</v>
      </c>
      <c r="AD41" s="16">
        <f t="shared" si="33"/>
        <v>2</v>
      </c>
      <c r="AE41" s="32">
        <f t="shared" si="33"/>
        <v>702</v>
      </c>
      <c r="AF41" s="32">
        <f t="shared" si="33"/>
        <v>2277</v>
      </c>
    </row>
    <row r="42" spans="2:32" ht="23.1" customHeight="1" x14ac:dyDescent="0.25">
      <c r="B42" s="46" t="s">
        <v>69</v>
      </c>
      <c r="C42" s="50">
        <v>4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17</v>
      </c>
      <c r="N42" s="50">
        <v>0</v>
      </c>
      <c r="O42" s="15">
        <f t="shared" si="0"/>
        <v>5</v>
      </c>
      <c r="P42" s="15">
        <f t="shared" si="1"/>
        <v>22</v>
      </c>
      <c r="R42" s="5" t="s">
        <v>160</v>
      </c>
      <c r="S42" s="48">
        <f>S41/S40</f>
        <v>1.3431952662721893</v>
      </c>
      <c r="T42" s="48">
        <f t="shared" ref="T42:AF42" si="34">T41/T40</f>
        <v>1.1578947368421053</v>
      </c>
      <c r="U42" s="48">
        <f t="shared" si="34"/>
        <v>1.4112903225806452</v>
      </c>
      <c r="V42" s="48">
        <f t="shared" si="34"/>
        <v>1.4083333333333334</v>
      </c>
      <c r="W42" s="48">
        <f t="shared" si="34"/>
        <v>1.2222222222222223</v>
      </c>
      <c r="X42" s="48">
        <f t="shared" si="34"/>
        <v>2</v>
      </c>
      <c r="Y42" s="48">
        <f t="shared" si="34"/>
        <v>1.6428571428571428</v>
      </c>
      <c r="Z42" s="48">
        <f t="shared" si="34"/>
        <v>1.5</v>
      </c>
      <c r="AA42" s="48">
        <f t="shared" si="34"/>
        <v>1</v>
      </c>
      <c r="AB42" s="48" t="e">
        <f t="shared" si="34"/>
        <v>#DIV/0!</v>
      </c>
      <c r="AC42" s="48">
        <f t="shared" si="34"/>
        <v>1.1666666666666667</v>
      </c>
      <c r="AD42" s="48">
        <f t="shared" si="34"/>
        <v>1</v>
      </c>
      <c r="AE42" s="48">
        <f t="shared" si="34"/>
        <v>1.3928571428571428</v>
      </c>
      <c r="AF42" s="48">
        <f t="shared" si="34"/>
        <v>1.2281553398058251</v>
      </c>
    </row>
    <row r="43" spans="2:32" ht="23.1" customHeight="1" x14ac:dyDescent="0.25">
      <c r="B43" s="45" t="s">
        <v>70</v>
      </c>
      <c r="C43" s="50">
        <v>7</v>
      </c>
      <c r="D43" s="50">
        <v>0</v>
      </c>
      <c r="E43" s="50">
        <v>3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23</v>
      </c>
      <c r="N43" s="50">
        <v>0</v>
      </c>
      <c r="O43" s="15">
        <f t="shared" si="0"/>
        <v>11</v>
      </c>
      <c r="P43" s="15">
        <f t="shared" si="1"/>
        <v>34</v>
      </c>
    </row>
    <row r="44" spans="2:32" ht="23.1" customHeight="1" x14ac:dyDescent="0.25">
      <c r="B44" s="47" t="s">
        <v>71</v>
      </c>
      <c r="C44" s="50">
        <v>3</v>
      </c>
      <c r="D44" s="50">
        <v>1</v>
      </c>
      <c r="E44" s="50">
        <v>4</v>
      </c>
      <c r="F44" s="50">
        <v>3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30</v>
      </c>
      <c r="N44" s="50">
        <v>0</v>
      </c>
      <c r="O44" s="15">
        <f t="shared" si="0"/>
        <v>13</v>
      </c>
      <c r="P44" s="15">
        <f t="shared" si="1"/>
        <v>43</v>
      </c>
    </row>
    <row r="45" spans="2:32" ht="23.1" customHeight="1" x14ac:dyDescent="0.25">
      <c r="B45" s="45" t="s">
        <v>72</v>
      </c>
      <c r="C45" s="50">
        <v>2</v>
      </c>
      <c r="D45" s="50">
        <v>0</v>
      </c>
      <c r="E45" s="50">
        <v>2</v>
      </c>
      <c r="F45" s="50">
        <v>2</v>
      </c>
      <c r="G45" s="50">
        <v>1</v>
      </c>
      <c r="H45" s="50">
        <v>0</v>
      </c>
      <c r="I45" s="50">
        <v>5</v>
      </c>
      <c r="J45" s="50">
        <v>0</v>
      </c>
      <c r="K45" s="50">
        <v>0</v>
      </c>
      <c r="L45" s="50">
        <v>0</v>
      </c>
      <c r="M45" s="50">
        <v>25</v>
      </c>
      <c r="N45" s="50">
        <v>0</v>
      </c>
      <c r="O45" s="15">
        <f t="shared" si="0"/>
        <v>12</v>
      </c>
      <c r="P45" s="15">
        <f t="shared" si="1"/>
        <v>37</v>
      </c>
    </row>
    <row r="46" spans="2:32" ht="23.1" customHeight="1" x14ac:dyDescent="0.25">
      <c r="B46" s="46" t="s">
        <v>73</v>
      </c>
      <c r="C46" s="50">
        <v>4</v>
      </c>
      <c r="D46" s="50">
        <v>0</v>
      </c>
      <c r="E46" s="50">
        <v>1</v>
      </c>
      <c r="F46" s="50">
        <v>4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28</v>
      </c>
      <c r="N46" s="50">
        <v>0</v>
      </c>
      <c r="O46" s="15">
        <f t="shared" si="0"/>
        <v>9</v>
      </c>
      <c r="P46" s="15">
        <f t="shared" si="1"/>
        <v>37</v>
      </c>
      <c r="R46" s="8"/>
      <c r="T46"/>
    </row>
    <row r="47" spans="2:32" ht="23.1" customHeight="1" x14ac:dyDescent="0.25">
      <c r="B47" s="46" t="s">
        <v>74</v>
      </c>
      <c r="C47" s="50">
        <v>4</v>
      </c>
      <c r="D47" s="50">
        <v>0</v>
      </c>
      <c r="E47" s="50">
        <v>0</v>
      </c>
      <c r="F47" s="50">
        <v>2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24</v>
      </c>
      <c r="N47" s="50">
        <v>0</v>
      </c>
      <c r="O47" s="15">
        <f t="shared" si="0"/>
        <v>6</v>
      </c>
      <c r="P47" s="15">
        <f t="shared" si="1"/>
        <v>30</v>
      </c>
      <c r="R47" s="8"/>
      <c r="T47"/>
    </row>
    <row r="48" spans="2:32" ht="23.1" customHeight="1" x14ac:dyDescent="0.25">
      <c r="B48" s="46" t="s">
        <v>75</v>
      </c>
      <c r="C48" s="50">
        <v>3</v>
      </c>
      <c r="D48" s="50">
        <v>0</v>
      </c>
      <c r="E48" s="50">
        <v>2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20</v>
      </c>
      <c r="N48" s="50">
        <v>0</v>
      </c>
      <c r="O48" s="15">
        <f t="shared" si="0"/>
        <v>7</v>
      </c>
      <c r="P48" s="15">
        <f t="shared" si="1"/>
        <v>27</v>
      </c>
      <c r="R48" s="8"/>
      <c r="T48"/>
    </row>
    <row r="49" spans="2:20" ht="23.1" customHeight="1" x14ac:dyDescent="0.25">
      <c r="B49" s="45" t="s">
        <v>76</v>
      </c>
      <c r="C49" s="50">
        <v>4</v>
      </c>
      <c r="D49" s="50">
        <v>2</v>
      </c>
      <c r="E49" s="50">
        <v>7</v>
      </c>
      <c r="F49" s="50">
        <v>1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26</v>
      </c>
      <c r="N49" s="50">
        <v>0</v>
      </c>
      <c r="O49" s="15">
        <f t="shared" si="0"/>
        <v>18</v>
      </c>
      <c r="P49" s="15">
        <f t="shared" si="1"/>
        <v>44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2</v>
      </c>
      <c r="E50" s="50">
        <v>7</v>
      </c>
      <c r="F50" s="50">
        <v>7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27</v>
      </c>
      <c r="N50" s="50">
        <v>0</v>
      </c>
      <c r="O50" s="15">
        <f t="shared" si="0"/>
        <v>21</v>
      </c>
      <c r="P50" s="15">
        <f t="shared" si="1"/>
        <v>48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0</v>
      </c>
      <c r="E51" s="50">
        <v>1</v>
      </c>
      <c r="F51" s="50">
        <v>4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20</v>
      </c>
      <c r="N51" s="50">
        <v>0</v>
      </c>
      <c r="O51" s="15">
        <f t="shared" si="0"/>
        <v>8</v>
      </c>
      <c r="P51" s="15">
        <f t="shared" si="1"/>
        <v>28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1</v>
      </c>
      <c r="E52" s="50">
        <v>4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33</v>
      </c>
      <c r="N52" s="50">
        <v>0</v>
      </c>
      <c r="O52" s="15">
        <f t="shared" si="0"/>
        <v>9</v>
      </c>
      <c r="P52" s="15">
        <f t="shared" si="1"/>
        <v>42</v>
      </c>
      <c r="R52" s="8"/>
      <c r="T52"/>
    </row>
    <row r="53" spans="2:20" ht="23.1" customHeight="1" x14ac:dyDescent="0.25">
      <c r="B53" s="45" t="s">
        <v>80</v>
      </c>
      <c r="C53" s="50">
        <v>7</v>
      </c>
      <c r="D53" s="50">
        <v>1</v>
      </c>
      <c r="E53" s="50">
        <v>5</v>
      </c>
      <c r="F53" s="50">
        <v>4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23</v>
      </c>
      <c r="N53" s="50">
        <v>0</v>
      </c>
      <c r="O53" s="15">
        <f t="shared" si="0"/>
        <v>18</v>
      </c>
      <c r="P53" s="15">
        <f t="shared" si="1"/>
        <v>41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0</v>
      </c>
      <c r="E54" s="50">
        <v>1</v>
      </c>
      <c r="F54" s="50">
        <v>4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32</v>
      </c>
      <c r="N54" s="50">
        <v>0</v>
      </c>
      <c r="O54" s="15">
        <f t="shared" si="0"/>
        <v>7</v>
      </c>
      <c r="P54" s="15">
        <f t="shared" si="1"/>
        <v>39</v>
      </c>
      <c r="R54" s="8"/>
      <c r="T54"/>
    </row>
    <row r="55" spans="2:20" ht="23.1" customHeight="1" x14ac:dyDescent="0.25">
      <c r="B55" s="45" t="s">
        <v>82</v>
      </c>
      <c r="C55" s="50">
        <v>3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31</v>
      </c>
      <c r="N55" s="50">
        <v>0</v>
      </c>
      <c r="O55" s="15">
        <f t="shared" si="0"/>
        <v>5</v>
      </c>
      <c r="P55" s="15">
        <f t="shared" si="1"/>
        <v>36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3</v>
      </c>
      <c r="F56" s="50">
        <v>1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30</v>
      </c>
      <c r="N56" s="50">
        <v>1</v>
      </c>
      <c r="O56" s="15">
        <f t="shared" si="0"/>
        <v>10</v>
      </c>
      <c r="P56" s="15">
        <f t="shared" si="1"/>
        <v>40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1</v>
      </c>
      <c r="E57" s="50">
        <v>4</v>
      </c>
      <c r="F57" s="50">
        <v>3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31</v>
      </c>
      <c r="N57" s="50">
        <v>0</v>
      </c>
      <c r="O57" s="15">
        <f t="shared" si="0"/>
        <v>11</v>
      </c>
      <c r="P57" s="15">
        <f t="shared" si="1"/>
        <v>42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v>1</v>
      </c>
      <c r="E58" s="50">
        <v>4</v>
      </c>
      <c r="F58" s="50">
        <v>4</v>
      </c>
      <c r="G58" s="50">
        <v>0</v>
      </c>
      <c r="H58" s="50">
        <v>0</v>
      </c>
      <c r="I58" s="50">
        <v>1</v>
      </c>
      <c r="J58" s="50">
        <v>2</v>
      </c>
      <c r="K58" s="50">
        <v>0</v>
      </c>
      <c r="L58" s="50">
        <v>0</v>
      </c>
      <c r="M58" s="50">
        <v>21</v>
      </c>
      <c r="N58" s="50">
        <v>0</v>
      </c>
      <c r="O58" s="15">
        <f t="shared" ref="O58:O105" si="35">SUM(C58:L58,N58)</f>
        <v>15</v>
      </c>
      <c r="P58" s="15">
        <f t="shared" ref="P58:P105" si="36">SUM(C58:N58)</f>
        <v>36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0</v>
      </c>
      <c r="E59" s="50">
        <v>2</v>
      </c>
      <c r="F59" s="50">
        <v>3</v>
      </c>
      <c r="G59" s="50">
        <v>0</v>
      </c>
      <c r="H59" s="50">
        <v>0</v>
      </c>
      <c r="I59" s="50">
        <v>2</v>
      </c>
      <c r="J59" s="50">
        <v>0</v>
      </c>
      <c r="K59" s="50">
        <v>0</v>
      </c>
      <c r="L59" s="50">
        <v>0</v>
      </c>
      <c r="M59" s="50">
        <v>7</v>
      </c>
      <c r="N59" s="50">
        <v>0</v>
      </c>
      <c r="O59" s="15">
        <f t="shared" si="35"/>
        <v>9</v>
      </c>
      <c r="P59" s="15">
        <f t="shared" si="36"/>
        <v>16</v>
      </c>
      <c r="R59" s="8"/>
      <c r="T59"/>
    </row>
    <row r="60" spans="2:20" ht="23.1" customHeight="1" x14ac:dyDescent="0.25">
      <c r="B60" s="45" t="s">
        <v>101</v>
      </c>
      <c r="C60" s="50">
        <v>11</v>
      </c>
      <c r="D60" s="50">
        <v>1</v>
      </c>
      <c r="E60" s="50">
        <v>6</v>
      </c>
      <c r="F60" s="50">
        <v>2</v>
      </c>
      <c r="G60" s="50">
        <v>0</v>
      </c>
      <c r="H60" s="50">
        <v>0</v>
      </c>
      <c r="I60" s="50">
        <v>4</v>
      </c>
      <c r="J60" s="50">
        <v>0</v>
      </c>
      <c r="K60" s="50">
        <v>0</v>
      </c>
      <c r="L60" s="50">
        <v>0</v>
      </c>
      <c r="M60" s="50">
        <v>24</v>
      </c>
      <c r="N60" s="50">
        <v>0</v>
      </c>
      <c r="O60" s="15">
        <f t="shared" si="35"/>
        <v>24</v>
      </c>
      <c r="P60" s="15">
        <f t="shared" si="36"/>
        <v>48</v>
      </c>
      <c r="R60" s="8"/>
      <c r="T60"/>
    </row>
    <row r="61" spans="2:20" ht="23.1" customHeight="1" x14ac:dyDescent="0.25">
      <c r="B61" s="45" t="s">
        <v>102</v>
      </c>
      <c r="C61" s="50">
        <v>6</v>
      </c>
      <c r="D61" s="50">
        <v>0</v>
      </c>
      <c r="E61" s="50">
        <v>1</v>
      </c>
      <c r="F61" s="50">
        <v>1</v>
      </c>
      <c r="G61" s="50">
        <v>2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23</v>
      </c>
      <c r="N61" s="50">
        <v>0</v>
      </c>
      <c r="O61" s="15">
        <f t="shared" si="35"/>
        <v>11</v>
      </c>
      <c r="P61" s="15">
        <f t="shared" si="36"/>
        <v>34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2</v>
      </c>
      <c r="F62" s="50">
        <v>4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8</v>
      </c>
      <c r="N62" s="50">
        <v>0</v>
      </c>
      <c r="O62" s="15">
        <f t="shared" si="35"/>
        <v>9</v>
      </c>
      <c r="P62" s="15">
        <f t="shared" si="36"/>
        <v>17</v>
      </c>
      <c r="R62" s="8"/>
      <c r="T62"/>
    </row>
    <row r="63" spans="2:20" ht="23.1" customHeight="1" x14ac:dyDescent="0.25">
      <c r="B63" s="45" t="s">
        <v>108</v>
      </c>
      <c r="C63" s="50">
        <v>5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4</v>
      </c>
      <c r="J63" s="50">
        <v>0</v>
      </c>
      <c r="K63" s="50">
        <v>0</v>
      </c>
      <c r="L63" s="50">
        <v>0</v>
      </c>
      <c r="M63" s="50">
        <v>2</v>
      </c>
      <c r="N63" s="50">
        <v>0</v>
      </c>
      <c r="O63" s="15">
        <f t="shared" si="35"/>
        <v>9</v>
      </c>
      <c r="P63" s="15">
        <f t="shared" si="36"/>
        <v>11</v>
      </c>
      <c r="R63" s="8"/>
      <c r="T63"/>
    </row>
    <row r="64" spans="2:20" ht="23.1" customHeight="1" x14ac:dyDescent="0.25">
      <c r="B64" s="45" t="s">
        <v>109</v>
      </c>
      <c r="C64" s="50">
        <v>6</v>
      </c>
      <c r="D64" s="50">
        <v>1</v>
      </c>
      <c r="E64" s="50">
        <v>5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11</v>
      </c>
      <c r="N64" s="50">
        <v>0</v>
      </c>
      <c r="O64" s="15">
        <f t="shared" si="35"/>
        <v>12</v>
      </c>
      <c r="P64" s="15">
        <f t="shared" si="36"/>
        <v>23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3</v>
      </c>
      <c r="F65" s="50">
        <v>2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2</v>
      </c>
      <c r="N65" s="50">
        <v>0</v>
      </c>
      <c r="O65" s="15">
        <f t="shared" si="35"/>
        <v>7</v>
      </c>
      <c r="P65" s="15">
        <f t="shared" si="36"/>
        <v>9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0</v>
      </c>
      <c r="E66" s="50">
        <v>3</v>
      </c>
      <c r="F66" s="50">
        <v>1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2</v>
      </c>
      <c r="N66" s="50">
        <v>0</v>
      </c>
      <c r="O66" s="15">
        <f t="shared" si="35"/>
        <v>8</v>
      </c>
      <c r="P66" s="15">
        <f t="shared" si="36"/>
        <v>10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2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6</v>
      </c>
      <c r="N67" s="50">
        <v>0</v>
      </c>
      <c r="O67" s="15">
        <f t="shared" si="35"/>
        <v>5</v>
      </c>
      <c r="P67" s="15">
        <f t="shared" si="36"/>
        <v>11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3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6</v>
      </c>
      <c r="N68" s="50">
        <v>0</v>
      </c>
      <c r="O68" s="15">
        <f t="shared" si="35"/>
        <v>3</v>
      </c>
      <c r="P68" s="15">
        <f t="shared" si="36"/>
        <v>9</v>
      </c>
      <c r="R68" s="8"/>
      <c r="T68"/>
    </row>
    <row r="69" spans="2:20" ht="23.1" customHeight="1" x14ac:dyDescent="0.25">
      <c r="B69" s="45" t="s">
        <v>106</v>
      </c>
      <c r="C69" s="50">
        <v>2</v>
      </c>
      <c r="D69" s="50">
        <v>0</v>
      </c>
      <c r="E69" s="50">
        <v>1</v>
      </c>
      <c r="F69" s="50">
        <v>0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1</v>
      </c>
      <c r="N69" s="50">
        <v>0</v>
      </c>
      <c r="O69" s="15">
        <f t="shared" si="35"/>
        <v>4</v>
      </c>
      <c r="P69" s="15">
        <f t="shared" si="36"/>
        <v>5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4</v>
      </c>
      <c r="N70" s="50">
        <v>0</v>
      </c>
      <c r="O70" s="15">
        <f t="shared" si="35"/>
        <v>3</v>
      </c>
      <c r="P70" s="15">
        <f t="shared" si="36"/>
        <v>7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2</v>
      </c>
      <c r="F71" s="50">
        <v>1</v>
      </c>
      <c r="G71" s="50">
        <v>0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5</v>
      </c>
      <c r="N71" s="50">
        <v>0</v>
      </c>
      <c r="O71" s="15">
        <f t="shared" si="35"/>
        <v>5</v>
      </c>
      <c r="P71" s="15">
        <f t="shared" si="36"/>
        <v>10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7</v>
      </c>
      <c r="N72" s="50">
        <v>0</v>
      </c>
      <c r="O72" s="15">
        <f t="shared" si="35"/>
        <v>3</v>
      </c>
      <c r="P72" s="15">
        <f t="shared" si="36"/>
        <v>10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1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35"/>
        <v>2</v>
      </c>
      <c r="P73" s="15">
        <f t="shared" si="36"/>
        <v>3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0</v>
      </c>
      <c r="E74" s="50">
        <v>2</v>
      </c>
      <c r="F74" s="50">
        <v>2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50">
        <v>6</v>
      </c>
      <c r="N74" s="50">
        <v>0</v>
      </c>
      <c r="O74" s="15">
        <f t="shared" si="35"/>
        <v>7</v>
      </c>
      <c r="P74" s="15">
        <f t="shared" si="36"/>
        <v>13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2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</v>
      </c>
      <c r="N75" s="50">
        <v>0</v>
      </c>
      <c r="O75" s="15">
        <f t="shared" si="35"/>
        <v>2</v>
      </c>
      <c r="P75" s="15">
        <f t="shared" si="36"/>
        <v>3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2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</v>
      </c>
      <c r="N76" s="50">
        <v>0</v>
      </c>
      <c r="O76" s="15">
        <f t="shared" si="35"/>
        <v>2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1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1</v>
      </c>
      <c r="F78" s="50">
        <v>3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4</v>
      </c>
      <c r="P78" s="15">
        <f t="shared" si="36"/>
        <v>6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0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2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</v>
      </c>
      <c r="N86" s="50">
        <v>0</v>
      </c>
      <c r="O86" s="15">
        <f t="shared" si="35"/>
        <v>3</v>
      </c>
      <c r="P86" s="15">
        <f t="shared" si="36"/>
        <v>4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2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3</v>
      </c>
      <c r="P90" s="15">
        <f t="shared" si="36"/>
        <v>4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1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</v>
      </c>
      <c r="N92" s="50">
        <v>0</v>
      </c>
      <c r="O92" s="15">
        <f t="shared" si="35"/>
        <v>2</v>
      </c>
      <c r="P92" s="15">
        <f t="shared" si="36"/>
        <v>3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0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1</v>
      </c>
      <c r="I94" s="50">
        <v>1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3</v>
      </c>
      <c r="P94" s="15">
        <f t="shared" si="36"/>
        <v>4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1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2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1</v>
      </c>
      <c r="F98" s="50">
        <v>1</v>
      </c>
      <c r="G98" s="50">
        <v>0</v>
      </c>
      <c r="H98" s="50">
        <v>1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3</v>
      </c>
      <c r="P98" s="15">
        <f t="shared" si="36"/>
        <v>4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1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2</v>
      </c>
      <c r="P100" s="15">
        <f t="shared" si="36"/>
        <v>2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2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9</v>
      </c>
      <c r="N101" s="50">
        <v>0</v>
      </c>
      <c r="O101" s="15">
        <f t="shared" si="35"/>
        <v>2</v>
      </c>
      <c r="P101" s="15">
        <f t="shared" si="36"/>
        <v>11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0</v>
      </c>
      <c r="E102" s="50">
        <v>2</v>
      </c>
      <c r="F102" s="50">
        <v>5</v>
      </c>
      <c r="G102" s="50">
        <v>0</v>
      </c>
      <c r="H102" s="50">
        <v>1</v>
      </c>
      <c r="I102" s="50">
        <v>0</v>
      </c>
      <c r="J102" s="50">
        <v>0</v>
      </c>
      <c r="K102" s="50">
        <v>0</v>
      </c>
      <c r="L102" s="50">
        <v>0</v>
      </c>
      <c r="M102" s="50">
        <v>10</v>
      </c>
      <c r="N102" s="50">
        <v>0</v>
      </c>
      <c r="O102" s="15">
        <f t="shared" si="35"/>
        <v>11</v>
      </c>
      <c r="P102" s="15">
        <f t="shared" si="36"/>
        <v>21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10</v>
      </c>
      <c r="N103" s="50">
        <v>0</v>
      </c>
      <c r="O103" s="15">
        <f t="shared" si="35"/>
        <v>1</v>
      </c>
      <c r="P103" s="15">
        <f t="shared" si="36"/>
        <v>11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7</v>
      </c>
      <c r="G104" s="50">
        <v>0</v>
      </c>
      <c r="H104" s="50">
        <v>1</v>
      </c>
      <c r="I104" s="50">
        <v>2</v>
      </c>
      <c r="J104" s="50">
        <v>0</v>
      </c>
      <c r="K104" s="50">
        <v>0</v>
      </c>
      <c r="L104" s="50">
        <v>0</v>
      </c>
      <c r="M104" s="50">
        <v>15</v>
      </c>
      <c r="N104" s="50">
        <v>0</v>
      </c>
      <c r="O104" s="15">
        <f t="shared" si="35"/>
        <v>10</v>
      </c>
      <c r="P104" s="15">
        <f t="shared" si="36"/>
        <v>25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2</v>
      </c>
      <c r="F105" s="50">
        <v>1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27</v>
      </c>
      <c r="N105" s="50">
        <v>0</v>
      </c>
      <c r="O105" s="15">
        <f t="shared" si="35"/>
        <v>3</v>
      </c>
      <c r="P105" s="15">
        <f t="shared" si="36"/>
        <v>30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227</v>
      </c>
      <c r="D106" s="16">
        <f t="shared" ref="D106:P106" si="37">SUM(D10:D105)</f>
        <v>22</v>
      </c>
      <c r="E106" s="16">
        <f t="shared" si="37"/>
        <v>175</v>
      </c>
      <c r="F106" s="16">
        <f t="shared" si="37"/>
        <v>169</v>
      </c>
      <c r="G106" s="16">
        <f t="shared" si="37"/>
        <v>11</v>
      </c>
      <c r="H106" s="16">
        <f t="shared" si="37"/>
        <v>8</v>
      </c>
      <c r="I106" s="16">
        <f t="shared" si="37"/>
        <v>69</v>
      </c>
      <c r="J106" s="16">
        <f t="shared" si="37"/>
        <v>12</v>
      </c>
      <c r="K106" s="16">
        <f t="shared" si="37"/>
        <v>7</v>
      </c>
      <c r="L106" s="16">
        <f t="shared" si="37"/>
        <v>0</v>
      </c>
      <c r="M106" s="16">
        <f t="shared" si="37"/>
        <v>1575</v>
      </c>
      <c r="N106" s="16">
        <f t="shared" si="37"/>
        <v>2</v>
      </c>
      <c r="O106" s="16">
        <f t="shared" si="37"/>
        <v>702</v>
      </c>
      <c r="P106" s="16">
        <f t="shared" si="37"/>
        <v>2277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9.969257795344752E-2</v>
      </c>
      <c r="D107" s="43">
        <f t="shared" si="38"/>
        <v>9.6618357487922701E-3</v>
      </c>
      <c r="E107" s="43">
        <f t="shared" si="38"/>
        <v>7.6855511638120336E-2</v>
      </c>
      <c r="F107" s="43">
        <f t="shared" si="38"/>
        <v>7.4220465524813345E-2</v>
      </c>
      <c r="G107" s="43">
        <f t="shared" si="38"/>
        <v>4.830917874396135E-3</v>
      </c>
      <c r="H107" s="43">
        <f t="shared" si="38"/>
        <v>3.513394817742644E-3</v>
      </c>
      <c r="I107" s="43">
        <f t="shared" si="38"/>
        <v>3.0303030303030304E-2</v>
      </c>
      <c r="J107" s="43">
        <f t="shared" si="38"/>
        <v>5.270092226613966E-3</v>
      </c>
      <c r="K107" s="43">
        <f t="shared" si="38"/>
        <v>3.0742204655248135E-3</v>
      </c>
      <c r="L107" s="43">
        <f t="shared" si="38"/>
        <v>0</v>
      </c>
      <c r="M107" s="43">
        <f t="shared" si="38"/>
        <v>0.69169960474308301</v>
      </c>
      <c r="N107" s="43">
        <f t="shared" si="38"/>
        <v>8.7834870443566099E-4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0.32336182336182334</v>
      </c>
      <c r="D108" s="44">
        <f t="shared" ref="D108:N108" si="39">D106/$O$106</f>
        <v>3.1339031339031341E-2</v>
      </c>
      <c r="E108" s="44">
        <f t="shared" si="39"/>
        <v>0.2492877492877493</v>
      </c>
      <c r="F108" s="44">
        <f t="shared" si="39"/>
        <v>0.24074074074074073</v>
      </c>
      <c r="G108" s="44">
        <f t="shared" si="39"/>
        <v>1.5669515669515671E-2</v>
      </c>
      <c r="H108" s="44">
        <f t="shared" si="39"/>
        <v>1.1396011396011397E-2</v>
      </c>
      <c r="I108" s="44">
        <f t="shared" si="39"/>
        <v>9.8290598290598288E-2</v>
      </c>
      <c r="J108" s="44">
        <f t="shared" si="39"/>
        <v>1.7094017094017096E-2</v>
      </c>
      <c r="K108" s="44">
        <f t="shared" si="39"/>
        <v>9.9715099715099714E-3</v>
      </c>
      <c r="L108" s="44">
        <f t="shared" si="39"/>
        <v>0</v>
      </c>
      <c r="M108" s="44"/>
      <c r="N108" s="44">
        <f t="shared" si="39"/>
        <v>2.8490028490028491E-3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1" zoomScale="60" workbookViewId="0">
      <selection activeCell="C10" sqref="C10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Malaba-Tororo'!C3:G3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'16.08 Malaba-Tororo-24h'!D5</f>
        <v>16.08.19</v>
      </c>
      <c r="E5" s="3"/>
      <c r="F5" s="41" t="s">
        <v>1</v>
      </c>
      <c r="G5" s="63" t="str">
        <f>'16.08 Malaba-Tororo-24h'!G5:H5</f>
        <v>xxx</v>
      </c>
      <c r="H5" s="64"/>
      <c r="I5" s="14"/>
      <c r="J5" s="2" t="s">
        <v>5</v>
      </c>
      <c r="K5" s="63" t="str">
        <f>'16.08 Malaba-Tororo-24h'!K5:L5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Tororo-Malaba'!D6:E6</f>
        <v>Tororo</v>
      </c>
      <c r="E6" s="64"/>
      <c r="F6" s="2" t="s">
        <v>2</v>
      </c>
      <c r="G6" s="63" t="str">
        <f>'13.08 Tororo-Malaba'!G6:H6</f>
        <v>Malaba</v>
      </c>
      <c r="H6" s="64"/>
      <c r="J6" s="2" t="s">
        <v>21</v>
      </c>
      <c r="K6" s="63" t="str">
        <f>'16.08 Malaba-Tororo-24h'!K6:L6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8</v>
      </c>
      <c r="R10" s="1" t="s">
        <v>6</v>
      </c>
      <c r="S10" s="17">
        <f t="shared" ref="S10:AF10" si="2">SUM(C10:C13)</f>
        <v>5</v>
      </c>
      <c r="T10" s="17">
        <f t="shared" si="2"/>
        <v>1</v>
      </c>
      <c r="U10" s="17">
        <f t="shared" si="2"/>
        <v>4</v>
      </c>
      <c r="V10" s="17">
        <f t="shared" si="2"/>
        <v>3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77</v>
      </c>
      <c r="AD10" s="17">
        <f t="shared" si="2"/>
        <v>0</v>
      </c>
      <c r="AE10" s="31">
        <f t="shared" si="2"/>
        <v>20</v>
      </c>
      <c r="AF10" s="31">
        <f t="shared" si="2"/>
        <v>97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5</v>
      </c>
      <c r="J11" s="50">
        <v>0</v>
      </c>
      <c r="K11" s="50">
        <v>0</v>
      </c>
      <c r="L11" s="50">
        <v>0</v>
      </c>
      <c r="M11" s="50">
        <v>20</v>
      </c>
      <c r="N11" s="50">
        <v>0</v>
      </c>
      <c r="O11" s="15">
        <f t="shared" si="0"/>
        <v>6</v>
      </c>
      <c r="P11" s="15">
        <f t="shared" si="1"/>
        <v>26</v>
      </c>
      <c r="R11" s="1" t="s">
        <v>7</v>
      </c>
      <c r="S11" s="17">
        <f t="shared" ref="S11:AF11" si="3">SUM(C14:C17)</f>
        <v>8</v>
      </c>
      <c r="T11" s="17">
        <f t="shared" si="3"/>
        <v>0</v>
      </c>
      <c r="U11" s="17">
        <f t="shared" si="3"/>
        <v>2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100</v>
      </c>
      <c r="AD11" s="17">
        <f t="shared" si="3"/>
        <v>1</v>
      </c>
      <c r="AE11" s="31">
        <f t="shared" si="3"/>
        <v>22</v>
      </c>
      <c r="AF11" s="31">
        <f t="shared" si="3"/>
        <v>122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0</v>
      </c>
      <c r="F12" s="50">
        <v>1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25</v>
      </c>
      <c r="N12" s="50">
        <v>0</v>
      </c>
      <c r="O12" s="15">
        <f t="shared" si="0"/>
        <v>5</v>
      </c>
      <c r="P12" s="15">
        <f t="shared" si="1"/>
        <v>30</v>
      </c>
      <c r="R12" s="1" t="s">
        <v>8</v>
      </c>
      <c r="S12" s="17">
        <f t="shared" ref="S12:AF12" si="4">SUM(C18:C21)</f>
        <v>9</v>
      </c>
      <c r="T12" s="17">
        <f t="shared" si="4"/>
        <v>1</v>
      </c>
      <c r="U12" s="17">
        <f t="shared" si="4"/>
        <v>8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125</v>
      </c>
      <c r="AD12" s="17">
        <f t="shared" si="4"/>
        <v>0</v>
      </c>
      <c r="AE12" s="31">
        <f t="shared" si="4"/>
        <v>27</v>
      </c>
      <c r="AF12" s="31">
        <f t="shared" si="4"/>
        <v>152</v>
      </c>
    </row>
    <row r="13" spans="2:32" ht="23.1" customHeight="1" x14ac:dyDescent="0.25">
      <c r="B13" s="45" t="s">
        <v>40</v>
      </c>
      <c r="C13" s="50">
        <v>3</v>
      </c>
      <c r="D13" s="50">
        <v>1</v>
      </c>
      <c r="E13" s="50">
        <v>4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25</v>
      </c>
      <c r="N13" s="50">
        <v>0</v>
      </c>
      <c r="O13" s="15">
        <f t="shared" si="0"/>
        <v>8</v>
      </c>
      <c r="P13" s="15">
        <f t="shared" si="1"/>
        <v>33</v>
      </c>
      <c r="R13" s="1" t="s">
        <v>9</v>
      </c>
      <c r="S13" s="17">
        <f t="shared" ref="S13:AF13" si="5">SUM(C22:C25)</f>
        <v>9</v>
      </c>
      <c r="T13" s="17">
        <f t="shared" si="5"/>
        <v>1</v>
      </c>
      <c r="U13" s="17">
        <f t="shared" si="5"/>
        <v>5</v>
      </c>
      <c r="V13" s="17">
        <f t="shared" si="5"/>
        <v>6</v>
      </c>
      <c r="W13" s="17">
        <f t="shared" si="5"/>
        <v>2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109</v>
      </c>
      <c r="AD13" s="17">
        <f t="shared" si="5"/>
        <v>0</v>
      </c>
      <c r="AE13" s="31">
        <f t="shared" si="5"/>
        <v>26</v>
      </c>
      <c r="AF13" s="31">
        <f t="shared" si="5"/>
        <v>135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25</v>
      </c>
      <c r="N14" s="50">
        <v>0</v>
      </c>
      <c r="O14" s="15">
        <f t="shared" si="0"/>
        <v>3</v>
      </c>
      <c r="P14" s="15">
        <f t="shared" si="1"/>
        <v>28</v>
      </c>
      <c r="R14" s="1" t="s">
        <v>10</v>
      </c>
      <c r="S14" s="17">
        <f t="shared" ref="S14:AF14" si="6">SUM(C26:C29)</f>
        <v>6</v>
      </c>
      <c r="T14" s="17">
        <f t="shared" si="6"/>
        <v>0</v>
      </c>
      <c r="U14" s="17">
        <f t="shared" si="6"/>
        <v>3</v>
      </c>
      <c r="V14" s="17">
        <f t="shared" si="6"/>
        <v>10</v>
      </c>
      <c r="W14" s="17">
        <f t="shared" si="6"/>
        <v>3</v>
      </c>
      <c r="X14" s="17">
        <f t="shared" si="6"/>
        <v>1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130</v>
      </c>
      <c r="AD14" s="17">
        <f t="shared" si="6"/>
        <v>0</v>
      </c>
      <c r="AE14" s="31">
        <f t="shared" si="6"/>
        <v>24</v>
      </c>
      <c r="AF14" s="31">
        <f t="shared" si="6"/>
        <v>154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50">
        <v>28</v>
      </c>
      <c r="N15" s="50">
        <v>0</v>
      </c>
      <c r="O15" s="15">
        <f t="shared" si="0"/>
        <v>8</v>
      </c>
      <c r="P15" s="15">
        <f t="shared" si="1"/>
        <v>36</v>
      </c>
      <c r="R15" s="1" t="s">
        <v>11</v>
      </c>
      <c r="S15" s="17">
        <f t="shared" ref="S15:AF15" si="7">SUM(C30:C33)</f>
        <v>11</v>
      </c>
      <c r="T15" s="17">
        <f t="shared" si="7"/>
        <v>0</v>
      </c>
      <c r="U15" s="17">
        <f t="shared" si="7"/>
        <v>5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87</v>
      </c>
      <c r="AD15" s="17">
        <f t="shared" si="7"/>
        <v>0</v>
      </c>
      <c r="AE15" s="31">
        <f t="shared" si="7"/>
        <v>29</v>
      </c>
      <c r="AF15" s="31">
        <f t="shared" si="7"/>
        <v>116</v>
      </c>
    </row>
    <row r="16" spans="2:32" ht="23.1" customHeight="1" x14ac:dyDescent="0.25">
      <c r="B16" s="45" t="s">
        <v>43</v>
      </c>
      <c r="C16" s="50">
        <v>2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12</v>
      </c>
      <c r="N16" s="50">
        <v>1</v>
      </c>
      <c r="O16" s="15">
        <f t="shared" si="0"/>
        <v>4</v>
      </c>
      <c r="P16" s="15">
        <f t="shared" si="1"/>
        <v>16</v>
      </c>
      <c r="R16" s="1" t="s">
        <v>12</v>
      </c>
      <c r="S16" s="17">
        <f t="shared" ref="S16:AF16" si="8">SUM(C34:C37)</f>
        <v>9</v>
      </c>
      <c r="T16" s="17">
        <f t="shared" si="8"/>
        <v>1</v>
      </c>
      <c r="U16" s="17">
        <f t="shared" si="8"/>
        <v>8</v>
      </c>
      <c r="V16" s="17">
        <f t="shared" si="8"/>
        <v>14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89</v>
      </c>
      <c r="AD16" s="17">
        <f t="shared" si="8"/>
        <v>0</v>
      </c>
      <c r="AE16" s="31">
        <f t="shared" si="8"/>
        <v>34</v>
      </c>
      <c r="AF16" s="31">
        <f t="shared" si="8"/>
        <v>123</v>
      </c>
    </row>
    <row r="17" spans="2:32" ht="23.1" customHeight="1" x14ac:dyDescent="0.25">
      <c r="B17" s="45" t="s">
        <v>44</v>
      </c>
      <c r="C17" s="50">
        <v>3</v>
      </c>
      <c r="D17" s="50">
        <v>0</v>
      </c>
      <c r="E17" s="50">
        <v>2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35</v>
      </c>
      <c r="N17" s="50">
        <v>0</v>
      </c>
      <c r="O17" s="15">
        <f t="shared" si="0"/>
        <v>7</v>
      </c>
      <c r="P17" s="15">
        <f t="shared" si="1"/>
        <v>42</v>
      </c>
      <c r="R17" s="1" t="s">
        <v>13</v>
      </c>
      <c r="S17" s="17">
        <f t="shared" ref="S17:AF17" si="9">SUM(C38:C41)</f>
        <v>15</v>
      </c>
      <c r="T17" s="17">
        <f t="shared" si="9"/>
        <v>0</v>
      </c>
      <c r="U17" s="17">
        <f t="shared" si="9"/>
        <v>3</v>
      </c>
      <c r="V17" s="17">
        <f t="shared" si="9"/>
        <v>6</v>
      </c>
      <c r="W17" s="17">
        <f t="shared" si="9"/>
        <v>1</v>
      </c>
      <c r="X17" s="17">
        <f t="shared" si="9"/>
        <v>1</v>
      </c>
      <c r="Y17" s="17">
        <f t="shared" si="9"/>
        <v>3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118</v>
      </c>
      <c r="AD17" s="17">
        <f t="shared" si="9"/>
        <v>0</v>
      </c>
      <c r="AE17" s="31">
        <f t="shared" si="9"/>
        <v>30</v>
      </c>
      <c r="AF17" s="31">
        <f t="shared" si="9"/>
        <v>148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3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24</v>
      </c>
      <c r="N18" s="50">
        <v>0</v>
      </c>
      <c r="O18" s="15">
        <f t="shared" si="0"/>
        <v>5</v>
      </c>
      <c r="P18" s="15">
        <f t="shared" si="1"/>
        <v>29</v>
      </c>
      <c r="R18" s="1" t="s">
        <v>14</v>
      </c>
      <c r="S18" s="17">
        <f t="shared" ref="S18:AF18" si="10">SUM(C42:C45)</f>
        <v>9</v>
      </c>
      <c r="T18" s="17">
        <f t="shared" si="10"/>
        <v>0</v>
      </c>
      <c r="U18" s="17">
        <f t="shared" si="10"/>
        <v>4</v>
      </c>
      <c r="V18" s="17">
        <f t="shared" si="10"/>
        <v>9</v>
      </c>
      <c r="W18" s="17">
        <f t="shared" si="10"/>
        <v>1</v>
      </c>
      <c r="X18" s="17">
        <f t="shared" si="10"/>
        <v>1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126</v>
      </c>
      <c r="AD18" s="17">
        <f t="shared" si="10"/>
        <v>1</v>
      </c>
      <c r="AE18" s="31">
        <f t="shared" si="10"/>
        <v>27</v>
      </c>
      <c r="AF18" s="31">
        <f t="shared" si="10"/>
        <v>153</v>
      </c>
    </row>
    <row r="19" spans="2:32" ht="23.1" customHeight="1" x14ac:dyDescent="0.25">
      <c r="B19" s="45" t="s">
        <v>46</v>
      </c>
      <c r="C19" s="50">
        <v>5</v>
      </c>
      <c r="D19" s="50">
        <v>0</v>
      </c>
      <c r="E19" s="50">
        <v>1</v>
      </c>
      <c r="F19" s="50">
        <v>2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31</v>
      </c>
      <c r="N19" s="50">
        <v>0</v>
      </c>
      <c r="O19" s="15">
        <f t="shared" si="0"/>
        <v>10</v>
      </c>
      <c r="P19" s="15">
        <f t="shared" si="1"/>
        <v>41</v>
      </c>
      <c r="R19" s="1" t="s">
        <v>15</v>
      </c>
      <c r="S19" s="17">
        <f t="shared" ref="S19:AF19" si="11">SUM(C46:C49)</f>
        <v>14</v>
      </c>
      <c r="T19" s="17">
        <f t="shared" si="11"/>
        <v>0</v>
      </c>
      <c r="U19" s="17">
        <f t="shared" si="11"/>
        <v>6</v>
      </c>
      <c r="V19" s="17">
        <f t="shared" si="11"/>
        <v>15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90</v>
      </c>
      <c r="AD19" s="17">
        <f t="shared" si="11"/>
        <v>0</v>
      </c>
      <c r="AE19" s="31">
        <f t="shared" si="11"/>
        <v>38</v>
      </c>
      <c r="AF19" s="31">
        <f t="shared" si="11"/>
        <v>128</v>
      </c>
    </row>
    <row r="20" spans="2:32" ht="23.1" customHeight="1" x14ac:dyDescent="0.25">
      <c r="B20" s="45" t="s">
        <v>47</v>
      </c>
      <c r="C20" s="50">
        <v>2</v>
      </c>
      <c r="D20" s="50">
        <v>1</v>
      </c>
      <c r="E20" s="50">
        <v>4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27</v>
      </c>
      <c r="N20" s="50">
        <v>0</v>
      </c>
      <c r="O20" s="15">
        <f t="shared" si="0"/>
        <v>7</v>
      </c>
      <c r="P20" s="15">
        <f t="shared" si="1"/>
        <v>34</v>
      </c>
      <c r="R20" s="1" t="s">
        <v>16</v>
      </c>
      <c r="S20" s="17">
        <f t="shared" ref="S20:AF20" si="12">SUM(C50:C53)</f>
        <v>11</v>
      </c>
      <c r="T20" s="17">
        <f t="shared" si="12"/>
        <v>0</v>
      </c>
      <c r="U20" s="17">
        <f t="shared" si="12"/>
        <v>4</v>
      </c>
      <c r="V20" s="17">
        <f t="shared" si="12"/>
        <v>8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93</v>
      </c>
      <c r="AD20" s="17">
        <f t="shared" si="12"/>
        <v>0</v>
      </c>
      <c r="AE20" s="31">
        <f t="shared" si="12"/>
        <v>26</v>
      </c>
      <c r="AF20" s="31">
        <f t="shared" si="12"/>
        <v>119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0</v>
      </c>
      <c r="F21" s="50">
        <v>4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43</v>
      </c>
      <c r="N21" s="50">
        <v>0</v>
      </c>
      <c r="O21" s="15">
        <f t="shared" si="0"/>
        <v>5</v>
      </c>
      <c r="P21" s="15">
        <f t="shared" si="1"/>
        <v>48</v>
      </c>
      <c r="R21" s="36" t="s">
        <v>20</v>
      </c>
      <c r="S21" s="34">
        <f t="shared" ref="S21:AF21" si="13">SUM(C54:C57)</f>
        <v>12</v>
      </c>
      <c r="T21" s="17">
        <f t="shared" si="13"/>
        <v>0</v>
      </c>
      <c r="U21" s="17">
        <f t="shared" si="13"/>
        <v>3</v>
      </c>
      <c r="V21" s="17">
        <f t="shared" si="13"/>
        <v>11</v>
      </c>
      <c r="W21" s="17">
        <f t="shared" si="13"/>
        <v>5</v>
      </c>
      <c r="X21" s="17">
        <f t="shared" si="13"/>
        <v>5</v>
      </c>
      <c r="Y21" s="17">
        <f t="shared" si="13"/>
        <v>1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98</v>
      </c>
      <c r="AD21" s="17">
        <f t="shared" si="13"/>
        <v>0</v>
      </c>
      <c r="AE21" s="31">
        <f t="shared" si="13"/>
        <v>38</v>
      </c>
      <c r="AF21" s="31">
        <f t="shared" si="13"/>
        <v>136</v>
      </c>
    </row>
    <row r="22" spans="2:32" ht="23.1" customHeight="1" x14ac:dyDescent="0.25">
      <c r="B22" s="45" t="s">
        <v>49</v>
      </c>
      <c r="C22" s="50">
        <v>2</v>
      </c>
      <c r="D22" s="50">
        <v>0</v>
      </c>
      <c r="E22" s="50">
        <v>1</v>
      </c>
      <c r="F22" s="50">
        <v>0</v>
      </c>
      <c r="G22" s="50">
        <v>2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29</v>
      </c>
      <c r="N22" s="50">
        <v>0</v>
      </c>
      <c r="O22" s="15">
        <f t="shared" si="0"/>
        <v>5</v>
      </c>
      <c r="P22" s="15">
        <f t="shared" si="1"/>
        <v>34</v>
      </c>
      <c r="R22" s="36" t="s">
        <v>146</v>
      </c>
      <c r="S22" s="34">
        <f>SUM(C58:C61)</f>
        <v>9</v>
      </c>
      <c r="T22" s="34">
        <f t="shared" ref="T22:AF22" si="14">SUM(D58:D61)</f>
        <v>3</v>
      </c>
      <c r="U22" s="34">
        <f t="shared" si="14"/>
        <v>12</v>
      </c>
      <c r="V22" s="34">
        <f t="shared" si="14"/>
        <v>12</v>
      </c>
      <c r="W22" s="34">
        <f t="shared" si="14"/>
        <v>0</v>
      </c>
      <c r="X22" s="34">
        <f t="shared" si="14"/>
        <v>0</v>
      </c>
      <c r="Y22" s="34">
        <f t="shared" si="14"/>
        <v>3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77</v>
      </c>
      <c r="AD22" s="34">
        <f t="shared" si="14"/>
        <v>0</v>
      </c>
      <c r="AE22" s="31">
        <f t="shared" si="14"/>
        <v>41</v>
      </c>
      <c r="AF22" s="31">
        <f t="shared" si="14"/>
        <v>118</v>
      </c>
    </row>
    <row r="23" spans="2:32" ht="23.1" customHeight="1" x14ac:dyDescent="0.25">
      <c r="B23" s="45" t="s">
        <v>50</v>
      </c>
      <c r="C23" s="50">
        <v>2</v>
      </c>
      <c r="D23" s="50">
        <v>1</v>
      </c>
      <c r="E23" s="50">
        <v>4</v>
      </c>
      <c r="F23" s="50">
        <v>3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15</v>
      </c>
      <c r="N23" s="50">
        <v>0</v>
      </c>
      <c r="O23" s="15">
        <f t="shared" si="0"/>
        <v>11</v>
      </c>
      <c r="P23" s="15">
        <f t="shared" si="1"/>
        <v>26</v>
      </c>
      <c r="R23" s="36" t="s">
        <v>147</v>
      </c>
      <c r="S23" s="34">
        <f>SUM(C62:C65)</f>
        <v>11</v>
      </c>
      <c r="T23" s="34">
        <f t="shared" ref="T23:AF23" si="15">SUM(D62:D65)</f>
        <v>1</v>
      </c>
      <c r="U23" s="34">
        <f t="shared" si="15"/>
        <v>8</v>
      </c>
      <c r="V23" s="34">
        <f t="shared" si="15"/>
        <v>6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38</v>
      </c>
      <c r="AD23" s="34">
        <f t="shared" si="15"/>
        <v>0</v>
      </c>
      <c r="AE23" s="31">
        <f t="shared" si="15"/>
        <v>28</v>
      </c>
      <c r="AF23" s="31">
        <f t="shared" si="15"/>
        <v>66</v>
      </c>
    </row>
    <row r="24" spans="2:32" ht="23.1" customHeight="1" x14ac:dyDescent="0.25">
      <c r="B24" s="45" t="s">
        <v>51</v>
      </c>
      <c r="C24" s="50">
        <v>3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28</v>
      </c>
      <c r="N24" s="50">
        <v>0</v>
      </c>
      <c r="O24" s="15">
        <f t="shared" si="0"/>
        <v>5</v>
      </c>
      <c r="P24" s="15">
        <f t="shared" si="1"/>
        <v>33</v>
      </c>
      <c r="R24" s="36" t="s">
        <v>148</v>
      </c>
      <c r="S24" s="34">
        <f>SUM(C66:C69)</f>
        <v>11</v>
      </c>
      <c r="T24" s="34">
        <f t="shared" ref="T24:AF24" si="16">SUM(D66:D69)</f>
        <v>0</v>
      </c>
      <c r="U24" s="34">
        <f t="shared" si="16"/>
        <v>4</v>
      </c>
      <c r="V24" s="34">
        <f t="shared" si="16"/>
        <v>4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22</v>
      </c>
      <c r="AD24" s="34">
        <f t="shared" si="16"/>
        <v>0</v>
      </c>
      <c r="AE24" s="31">
        <f t="shared" si="16"/>
        <v>21</v>
      </c>
      <c r="AF24" s="31">
        <f t="shared" si="16"/>
        <v>43</v>
      </c>
    </row>
    <row r="25" spans="2:32" ht="23.1" customHeight="1" x14ac:dyDescent="0.25">
      <c r="B25" s="45" t="s">
        <v>52</v>
      </c>
      <c r="C25" s="50">
        <v>2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37</v>
      </c>
      <c r="N25" s="50">
        <v>0</v>
      </c>
      <c r="O25" s="15">
        <f t="shared" si="0"/>
        <v>5</v>
      </c>
      <c r="P25" s="15">
        <f t="shared" si="1"/>
        <v>42</v>
      </c>
      <c r="R25" s="36" t="s">
        <v>149</v>
      </c>
      <c r="S25" s="34">
        <f>SUM(C70:C73)</f>
        <v>7</v>
      </c>
      <c r="T25" s="34">
        <f t="shared" ref="T25:AF25" si="17">SUM(D70:D73)</f>
        <v>0</v>
      </c>
      <c r="U25" s="34">
        <f t="shared" si="17"/>
        <v>4</v>
      </c>
      <c r="V25" s="34">
        <f t="shared" si="17"/>
        <v>4</v>
      </c>
      <c r="W25" s="34">
        <f t="shared" si="17"/>
        <v>0</v>
      </c>
      <c r="X25" s="34">
        <f t="shared" si="17"/>
        <v>2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13</v>
      </c>
      <c r="AD25" s="34">
        <f t="shared" si="17"/>
        <v>0</v>
      </c>
      <c r="AE25" s="31">
        <f t="shared" si="17"/>
        <v>20</v>
      </c>
      <c r="AF25" s="31">
        <f t="shared" si="17"/>
        <v>33</v>
      </c>
    </row>
    <row r="26" spans="2:32" ht="23.1" customHeight="1" x14ac:dyDescent="0.25">
      <c r="B26" s="45" t="s">
        <v>53</v>
      </c>
      <c r="C26" s="50">
        <v>2</v>
      </c>
      <c r="D26" s="50">
        <v>0</v>
      </c>
      <c r="E26" s="50">
        <v>0</v>
      </c>
      <c r="F26" s="50">
        <v>4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41</v>
      </c>
      <c r="N26" s="50">
        <v>0</v>
      </c>
      <c r="O26" s="15">
        <f t="shared" si="0"/>
        <v>6</v>
      </c>
      <c r="P26" s="15">
        <f t="shared" si="1"/>
        <v>47</v>
      </c>
      <c r="R26" s="36" t="s">
        <v>150</v>
      </c>
      <c r="S26" s="34">
        <f>SUM(C74:C77)</f>
        <v>4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0</v>
      </c>
      <c r="W26" s="34">
        <f t="shared" si="18"/>
        <v>0</v>
      </c>
      <c r="X26" s="34">
        <f t="shared" si="18"/>
        <v>1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7</v>
      </c>
      <c r="AD26" s="34">
        <f t="shared" si="18"/>
        <v>0</v>
      </c>
      <c r="AE26" s="31">
        <f t="shared" si="18"/>
        <v>6</v>
      </c>
      <c r="AF26" s="31">
        <f t="shared" si="18"/>
        <v>13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31</v>
      </c>
      <c r="N27" s="50">
        <v>0</v>
      </c>
      <c r="O27" s="15">
        <f t="shared" si="0"/>
        <v>2</v>
      </c>
      <c r="P27" s="15">
        <f t="shared" si="1"/>
        <v>33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4</v>
      </c>
      <c r="AF27" s="31">
        <f t="shared" si="19"/>
        <v>4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1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27</v>
      </c>
      <c r="N28" s="50">
        <v>0</v>
      </c>
      <c r="O28" s="15">
        <f t="shared" si="0"/>
        <v>4</v>
      </c>
      <c r="P28" s="15">
        <f t="shared" si="1"/>
        <v>31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4</v>
      </c>
      <c r="V28" s="34">
        <f t="shared" si="20"/>
        <v>1</v>
      </c>
      <c r="W28" s="34">
        <f t="shared" si="20"/>
        <v>0</v>
      </c>
      <c r="X28" s="34">
        <f t="shared" si="20"/>
        <v>2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9</v>
      </c>
      <c r="AF28" s="31">
        <f t="shared" si="20"/>
        <v>11</v>
      </c>
    </row>
    <row r="29" spans="2:32" ht="23.1" customHeight="1" x14ac:dyDescent="0.25">
      <c r="B29" s="45" t="s">
        <v>56</v>
      </c>
      <c r="C29" s="50">
        <v>3</v>
      </c>
      <c r="D29" s="50">
        <v>0</v>
      </c>
      <c r="E29" s="50">
        <v>2</v>
      </c>
      <c r="F29" s="50">
        <v>3</v>
      </c>
      <c r="G29" s="50">
        <v>3</v>
      </c>
      <c r="H29" s="50">
        <v>1</v>
      </c>
      <c r="I29" s="50">
        <v>0</v>
      </c>
      <c r="J29" s="50">
        <v>0</v>
      </c>
      <c r="K29" s="50">
        <v>0</v>
      </c>
      <c r="L29" s="50">
        <v>0</v>
      </c>
      <c r="M29" s="50">
        <v>31</v>
      </c>
      <c r="N29" s="50">
        <v>0</v>
      </c>
      <c r="O29" s="15">
        <f t="shared" si="0"/>
        <v>12</v>
      </c>
      <c r="P29" s="15">
        <f t="shared" si="1"/>
        <v>43</v>
      </c>
      <c r="R29" s="36" t="s">
        <v>153</v>
      </c>
      <c r="S29" s="34">
        <f>SUM(C86:C89)</f>
        <v>4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6</v>
      </c>
      <c r="AF29" s="31">
        <f t="shared" si="21"/>
        <v>6</v>
      </c>
    </row>
    <row r="30" spans="2:32" ht="23.1" customHeight="1" x14ac:dyDescent="0.25">
      <c r="B30" s="45" t="s">
        <v>57</v>
      </c>
      <c r="C30" s="50">
        <v>7</v>
      </c>
      <c r="D30" s="50">
        <v>0</v>
      </c>
      <c r="E30" s="50">
        <v>2</v>
      </c>
      <c r="F30" s="50">
        <v>2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26</v>
      </c>
      <c r="N30" s="50">
        <v>0</v>
      </c>
      <c r="O30" s="15">
        <f t="shared" si="0"/>
        <v>14</v>
      </c>
      <c r="P30" s="15">
        <f t="shared" si="1"/>
        <v>40</v>
      </c>
      <c r="R30" s="36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1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</v>
      </c>
      <c r="AD30" s="34">
        <f t="shared" si="22"/>
        <v>0</v>
      </c>
      <c r="AE30" s="31">
        <f t="shared" si="22"/>
        <v>3</v>
      </c>
      <c r="AF30" s="31">
        <f t="shared" si="22"/>
        <v>7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0</v>
      </c>
      <c r="F31" s="50">
        <v>3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30</v>
      </c>
      <c r="N31" s="50">
        <v>0</v>
      </c>
      <c r="O31" s="15">
        <f t="shared" si="0"/>
        <v>5</v>
      </c>
      <c r="P31" s="15">
        <f t="shared" si="1"/>
        <v>35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8</v>
      </c>
      <c r="AD31" s="34">
        <f t="shared" si="23"/>
        <v>0</v>
      </c>
      <c r="AE31" s="31">
        <f t="shared" si="23"/>
        <v>6</v>
      </c>
      <c r="AF31" s="31">
        <f t="shared" si="23"/>
        <v>14</v>
      </c>
    </row>
    <row r="32" spans="2:32" ht="23.1" customHeight="1" x14ac:dyDescent="0.25">
      <c r="B32" s="46" t="s">
        <v>59</v>
      </c>
      <c r="C32" s="50">
        <v>2</v>
      </c>
      <c r="D32" s="50">
        <v>0</v>
      </c>
      <c r="E32" s="50">
        <v>2</v>
      </c>
      <c r="F32" s="50">
        <v>1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30</v>
      </c>
      <c r="N32" s="50">
        <v>0</v>
      </c>
      <c r="O32" s="15">
        <f t="shared" si="0"/>
        <v>7</v>
      </c>
      <c r="P32" s="15">
        <f t="shared" si="1"/>
        <v>37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6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25</v>
      </c>
      <c r="AD32" s="34">
        <f t="shared" si="24"/>
        <v>0</v>
      </c>
      <c r="AE32" s="31">
        <f t="shared" si="24"/>
        <v>8</v>
      </c>
      <c r="AF32" s="31">
        <f t="shared" si="24"/>
        <v>33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</v>
      </c>
      <c r="N33" s="50">
        <v>0</v>
      </c>
      <c r="O33" s="15">
        <f t="shared" si="0"/>
        <v>3</v>
      </c>
      <c r="P33" s="15">
        <f t="shared" si="1"/>
        <v>4</v>
      </c>
      <c r="R33" s="33" t="s">
        <v>157</v>
      </c>
      <c r="S33" s="34">
        <f>SUM(C102:C105)</f>
        <v>7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4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87</v>
      </c>
      <c r="AD33" s="34">
        <f t="shared" si="25"/>
        <v>0</v>
      </c>
      <c r="AE33" s="31">
        <f t="shared" si="25"/>
        <v>14</v>
      </c>
      <c r="AF33" s="31">
        <f t="shared" si="25"/>
        <v>101</v>
      </c>
    </row>
    <row r="34" spans="2:32" ht="23.1" customHeight="1" x14ac:dyDescent="0.25">
      <c r="B34" s="46" t="s">
        <v>61</v>
      </c>
      <c r="C34" s="50">
        <v>5</v>
      </c>
      <c r="D34" s="50">
        <v>0</v>
      </c>
      <c r="E34" s="50">
        <v>0</v>
      </c>
      <c r="F34" s="50">
        <v>5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29</v>
      </c>
      <c r="N34" s="50">
        <v>0</v>
      </c>
      <c r="O34" s="15">
        <f t="shared" si="0"/>
        <v>10</v>
      </c>
      <c r="P34" s="15">
        <f t="shared" si="1"/>
        <v>39</v>
      </c>
      <c r="R34" s="38" t="s">
        <v>90</v>
      </c>
      <c r="S34" s="39">
        <f t="shared" ref="S34:AF34" si="26">MAX(S10:S12)</f>
        <v>9</v>
      </c>
      <c r="T34" s="39">
        <f t="shared" si="26"/>
        <v>1</v>
      </c>
      <c r="U34" s="39">
        <f t="shared" si="26"/>
        <v>8</v>
      </c>
      <c r="V34" s="39">
        <f t="shared" si="26"/>
        <v>6</v>
      </c>
      <c r="W34" s="39">
        <f t="shared" si="26"/>
        <v>1</v>
      </c>
      <c r="X34" s="39">
        <f t="shared" si="26"/>
        <v>0</v>
      </c>
      <c r="Y34" s="39">
        <f t="shared" si="26"/>
        <v>6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125</v>
      </c>
      <c r="AD34" s="39">
        <f t="shared" si="26"/>
        <v>1</v>
      </c>
      <c r="AE34" s="40">
        <f t="shared" si="26"/>
        <v>27</v>
      </c>
      <c r="AF34" s="40">
        <f t="shared" si="26"/>
        <v>152</v>
      </c>
    </row>
    <row r="35" spans="2:32" ht="23.1" customHeight="1" x14ac:dyDescent="0.25">
      <c r="B35" s="46" t="s">
        <v>62</v>
      </c>
      <c r="C35" s="50">
        <v>2</v>
      </c>
      <c r="D35" s="50">
        <v>0</v>
      </c>
      <c r="E35" s="50">
        <v>2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21</v>
      </c>
      <c r="N35" s="50">
        <v>0</v>
      </c>
      <c r="O35" s="15">
        <f t="shared" si="0"/>
        <v>6</v>
      </c>
      <c r="P35" s="15">
        <f t="shared" si="1"/>
        <v>27</v>
      </c>
      <c r="R35" s="38" t="s">
        <v>91</v>
      </c>
      <c r="S35" s="39">
        <f t="shared" ref="S35:AF35" si="27">MAX(S13:S18)</f>
        <v>15</v>
      </c>
      <c r="T35" s="39">
        <f t="shared" si="27"/>
        <v>1</v>
      </c>
      <c r="U35" s="39">
        <f t="shared" si="27"/>
        <v>8</v>
      </c>
      <c r="V35" s="39">
        <f t="shared" si="27"/>
        <v>14</v>
      </c>
      <c r="W35" s="39">
        <f t="shared" si="27"/>
        <v>3</v>
      </c>
      <c r="X35" s="39">
        <f t="shared" si="27"/>
        <v>1</v>
      </c>
      <c r="Y35" s="39">
        <f t="shared" si="27"/>
        <v>6</v>
      </c>
      <c r="Z35" s="39">
        <f t="shared" si="27"/>
        <v>1</v>
      </c>
      <c r="AA35" s="39">
        <f t="shared" si="27"/>
        <v>0</v>
      </c>
      <c r="AB35" s="39">
        <f t="shared" si="27"/>
        <v>0</v>
      </c>
      <c r="AC35" s="39">
        <f t="shared" si="27"/>
        <v>130</v>
      </c>
      <c r="AD35" s="39">
        <f t="shared" si="27"/>
        <v>1</v>
      </c>
      <c r="AE35" s="40">
        <f t="shared" si="27"/>
        <v>34</v>
      </c>
      <c r="AF35" s="40">
        <f t="shared" si="27"/>
        <v>154</v>
      </c>
    </row>
    <row r="36" spans="2:32" ht="23.1" customHeight="1" x14ac:dyDescent="0.25">
      <c r="B36" s="46" t="s">
        <v>63</v>
      </c>
      <c r="C36" s="50">
        <v>1</v>
      </c>
      <c r="D36" s="50">
        <v>1</v>
      </c>
      <c r="E36" s="50">
        <v>4</v>
      </c>
      <c r="F36" s="50">
        <v>3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20</v>
      </c>
      <c r="N36" s="50">
        <v>0</v>
      </c>
      <c r="O36" s="15">
        <f t="shared" si="0"/>
        <v>10</v>
      </c>
      <c r="P36" s="15">
        <f t="shared" si="1"/>
        <v>30</v>
      </c>
      <c r="R36" s="38" t="s">
        <v>92</v>
      </c>
      <c r="S36" s="39">
        <f t="shared" ref="S36:AF36" si="28">MAX(S19:S21)</f>
        <v>14</v>
      </c>
      <c r="T36" s="39">
        <f t="shared" si="28"/>
        <v>0</v>
      </c>
      <c r="U36" s="39">
        <f t="shared" si="28"/>
        <v>6</v>
      </c>
      <c r="V36" s="39">
        <f t="shared" si="28"/>
        <v>15</v>
      </c>
      <c r="W36" s="39">
        <f t="shared" si="28"/>
        <v>5</v>
      </c>
      <c r="X36" s="39">
        <f t="shared" si="28"/>
        <v>5</v>
      </c>
      <c r="Y36" s="39">
        <f t="shared" si="28"/>
        <v>3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98</v>
      </c>
      <c r="AD36" s="39">
        <f t="shared" si="28"/>
        <v>0</v>
      </c>
      <c r="AE36" s="40">
        <f t="shared" si="28"/>
        <v>38</v>
      </c>
      <c r="AF36" s="40">
        <f t="shared" si="28"/>
        <v>136</v>
      </c>
    </row>
    <row r="37" spans="2:32" ht="23.1" customHeight="1" x14ac:dyDescent="0.25">
      <c r="B37" s="45" t="s">
        <v>64</v>
      </c>
      <c r="C37" s="50">
        <v>1</v>
      </c>
      <c r="D37" s="50">
        <v>0</v>
      </c>
      <c r="E37" s="50">
        <v>2</v>
      </c>
      <c r="F37" s="50">
        <v>4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19</v>
      </c>
      <c r="N37" s="50">
        <v>0</v>
      </c>
      <c r="O37" s="15">
        <f t="shared" si="0"/>
        <v>8</v>
      </c>
      <c r="P37" s="15">
        <f t="shared" si="1"/>
        <v>27</v>
      </c>
      <c r="R37" s="37" t="s">
        <v>85</v>
      </c>
      <c r="S37" s="35">
        <f t="shared" ref="S37:AF37" si="29">SUM(S10:S12)</f>
        <v>22</v>
      </c>
      <c r="T37" s="16">
        <f t="shared" si="29"/>
        <v>2</v>
      </c>
      <c r="U37" s="16">
        <f t="shared" si="29"/>
        <v>14</v>
      </c>
      <c r="V37" s="16">
        <f t="shared" si="29"/>
        <v>14</v>
      </c>
      <c r="W37" s="16">
        <f t="shared" si="29"/>
        <v>1</v>
      </c>
      <c r="X37" s="16">
        <f t="shared" si="29"/>
        <v>0</v>
      </c>
      <c r="Y37" s="16">
        <f t="shared" si="29"/>
        <v>15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302</v>
      </c>
      <c r="AD37" s="16">
        <f t="shared" si="29"/>
        <v>1</v>
      </c>
      <c r="AE37" s="32">
        <f t="shared" si="29"/>
        <v>69</v>
      </c>
      <c r="AF37" s="32">
        <f t="shared" si="29"/>
        <v>371</v>
      </c>
    </row>
    <row r="38" spans="2:32" ht="23.1" customHeight="1" x14ac:dyDescent="0.25">
      <c r="B38" s="46" t="s">
        <v>65</v>
      </c>
      <c r="C38" s="50">
        <v>5</v>
      </c>
      <c r="D38" s="50">
        <v>0</v>
      </c>
      <c r="E38" s="50">
        <v>0</v>
      </c>
      <c r="F38" s="50">
        <v>2</v>
      </c>
      <c r="G38" s="50">
        <v>1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24</v>
      </c>
      <c r="N38" s="50">
        <v>0</v>
      </c>
      <c r="O38" s="15">
        <f t="shared" si="0"/>
        <v>8</v>
      </c>
      <c r="P38" s="15">
        <f t="shared" si="1"/>
        <v>32</v>
      </c>
      <c r="R38" s="28" t="s">
        <v>86</v>
      </c>
      <c r="S38" s="16">
        <f t="shared" ref="S38:AF38" si="30">SUM(S13:S18)</f>
        <v>59</v>
      </c>
      <c r="T38" s="16">
        <f t="shared" si="30"/>
        <v>2</v>
      </c>
      <c r="U38" s="16">
        <f t="shared" si="30"/>
        <v>28</v>
      </c>
      <c r="V38" s="16">
        <f t="shared" si="30"/>
        <v>52</v>
      </c>
      <c r="W38" s="16">
        <f t="shared" si="30"/>
        <v>7</v>
      </c>
      <c r="X38" s="16">
        <f t="shared" si="30"/>
        <v>3</v>
      </c>
      <c r="Y38" s="16">
        <f t="shared" si="30"/>
        <v>17</v>
      </c>
      <c r="Z38" s="16">
        <f t="shared" si="30"/>
        <v>1</v>
      </c>
      <c r="AA38" s="16">
        <f t="shared" si="30"/>
        <v>0</v>
      </c>
      <c r="AB38" s="16">
        <f t="shared" si="30"/>
        <v>0</v>
      </c>
      <c r="AC38" s="16">
        <f t="shared" si="30"/>
        <v>659</v>
      </c>
      <c r="AD38" s="16">
        <f t="shared" si="30"/>
        <v>1</v>
      </c>
      <c r="AE38" s="32">
        <f t="shared" si="30"/>
        <v>170</v>
      </c>
      <c r="AF38" s="32">
        <f t="shared" si="30"/>
        <v>829</v>
      </c>
    </row>
    <row r="39" spans="2:32" ht="23.1" customHeight="1" x14ac:dyDescent="0.25">
      <c r="B39" s="46" t="s">
        <v>66</v>
      </c>
      <c r="C39" s="50">
        <v>3</v>
      </c>
      <c r="D39" s="50">
        <v>0</v>
      </c>
      <c r="E39" s="50">
        <v>0</v>
      </c>
      <c r="F39" s="50">
        <v>1</v>
      </c>
      <c r="G39" s="50">
        <v>0</v>
      </c>
      <c r="H39" s="50">
        <v>1</v>
      </c>
      <c r="I39" s="50">
        <v>1</v>
      </c>
      <c r="J39" s="50">
        <v>1</v>
      </c>
      <c r="K39" s="50">
        <v>0</v>
      </c>
      <c r="L39" s="50">
        <v>0</v>
      </c>
      <c r="M39" s="50">
        <v>21</v>
      </c>
      <c r="N39" s="50">
        <v>0</v>
      </c>
      <c r="O39" s="15">
        <f t="shared" si="0"/>
        <v>7</v>
      </c>
      <c r="P39" s="15">
        <f t="shared" si="1"/>
        <v>28</v>
      </c>
      <c r="R39" s="29" t="s">
        <v>87</v>
      </c>
      <c r="S39" s="16">
        <f t="shared" ref="S39:AF39" si="31">SUM(S19:S21)</f>
        <v>37</v>
      </c>
      <c r="T39" s="16">
        <f t="shared" si="31"/>
        <v>0</v>
      </c>
      <c r="U39" s="16">
        <f t="shared" si="31"/>
        <v>13</v>
      </c>
      <c r="V39" s="16">
        <f t="shared" si="31"/>
        <v>34</v>
      </c>
      <c r="W39" s="16">
        <f t="shared" si="31"/>
        <v>5</v>
      </c>
      <c r="X39" s="16">
        <f t="shared" si="31"/>
        <v>5</v>
      </c>
      <c r="Y39" s="16">
        <f t="shared" si="31"/>
        <v>6</v>
      </c>
      <c r="Z39" s="16">
        <f t="shared" si="31"/>
        <v>2</v>
      </c>
      <c r="AA39" s="16">
        <f t="shared" si="31"/>
        <v>0</v>
      </c>
      <c r="AB39" s="16">
        <f t="shared" si="31"/>
        <v>0</v>
      </c>
      <c r="AC39" s="16">
        <f t="shared" si="31"/>
        <v>281</v>
      </c>
      <c r="AD39" s="16">
        <f t="shared" si="31"/>
        <v>0</v>
      </c>
      <c r="AE39" s="32">
        <f t="shared" si="31"/>
        <v>102</v>
      </c>
      <c r="AF39" s="32">
        <f t="shared" si="31"/>
        <v>383</v>
      </c>
    </row>
    <row r="40" spans="2:32" ht="23.1" customHeight="1" x14ac:dyDescent="0.25">
      <c r="B40" s="46" t="s">
        <v>67</v>
      </c>
      <c r="C40" s="50">
        <v>5</v>
      </c>
      <c r="D40" s="50">
        <v>0</v>
      </c>
      <c r="E40" s="50">
        <v>2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40</v>
      </c>
      <c r="N40" s="50">
        <v>0</v>
      </c>
      <c r="O40" s="15">
        <f t="shared" si="0"/>
        <v>9</v>
      </c>
      <c r="P40" s="15">
        <f t="shared" si="1"/>
        <v>49</v>
      </c>
      <c r="R40" s="5" t="s">
        <v>17</v>
      </c>
      <c r="S40" s="16">
        <f t="shared" ref="S40:AF40" si="32">SUM(S10:S21)</f>
        <v>118</v>
      </c>
      <c r="T40" s="16">
        <f t="shared" si="32"/>
        <v>4</v>
      </c>
      <c r="U40" s="16">
        <f t="shared" si="32"/>
        <v>55</v>
      </c>
      <c r="V40" s="16">
        <f t="shared" si="32"/>
        <v>100</v>
      </c>
      <c r="W40" s="16">
        <f t="shared" si="32"/>
        <v>13</v>
      </c>
      <c r="X40" s="16">
        <f t="shared" si="32"/>
        <v>8</v>
      </c>
      <c r="Y40" s="16">
        <f t="shared" si="32"/>
        <v>38</v>
      </c>
      <c r="Z40" s="16">
        <f t="shared" si="32"/>
        <v>3</v>
      </c>
      <c r="AA40" s="16">
        <f t="shared" si="32"/>
        <v>0</v>
      </c>
      <c r="AB40" s="16">
        <f t="shared" si="32"/>
        <v>0</v>
      </c>
      <c r="AC40" s="16">
        <f t="shared" si="32"/>
        <v>1242</v>
      </c>
      <c r="AD40" s="16">
        <f t="shared" si="32"/>
        <v>2</v>
      </c>
      <c r="AE40" s="32">
        <f t="shared" si="32"/>
        <v>341</v>
      </c>
      <c r="AF40" s="32">
        <f t="shared" si="32"/>
        <v>1583</v>
      </c>
    </row>
    <row r="41" spans="2:32" ht="23.1" customHeight="1" x14ac:dyDescent="0.25">
      <c r="B41" s="45" t="s">
        <v>68</v>
      </c>
      <c r="C41" s="50">
        <v>2</v>
      </c>
      <c r="D41" s="50">
        <v>0</v>
      </c>
      <c r="E41" s="50">
        <v>1</v>
      </c>
      <c r="F41" s="50">
        <v>2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33</v>
      </c>
      <c r="N41" s="50">
        <v>0</v>
      </c>
      <c r="O41" s="15">
        <f t="shared" si="0"/>
        <v>6</v>
      </c>
      <c r="P41" s="15">
        <f t="shared" si="1"/>
        <v>39</v>
      </c>
      <c r="R41" s="5" t="s">
        <v>159</v>
      </c>
      <c r="S41" s="16">
        <f>SUM(S10:S33)</f>
        <v>176</v>
      </c>
      <c r="T41" s="16">
        <f t="shared" ref="T41:AF41" si="33">SUM(T10:T33)</f>
        <v>8</v>
      </c>
      <c r="U41" s="16">
        <f t="shared" si="33"/>
        <v>92</v>
      </c>
      <c r="V41" s="16">
        <f t="shared" si="33"/>
        <v>140</v>
      </c>
      <c r="W41" s="16">
        <f t="shared" si="33"/>
        <v>13</v>
      </c>
      <c r="X41" s="16">
        <f t="shared" si="33"/>
        <v>14</v>
      </c>
      <c r="Y41" s="16">
        <f t="shared" si="33"/>
        <v>55</v>
      </c>
      <c r="Z41" s="16">
        <f t="shared" si="33"/>
        <v>7</v>
      </c>
      <c r="AA41" s="16">
        <f t="shared" si="33"/>
        <v>0</v>
      </c>
      <c r="AB41" s="16">
        <f t="shared" si="33"/>
        <v>0</v>
      </c>
      <c r="AC41" s="16">
        <f t="shared" si="33"/>
        <v>1525</v>
      </c>
      <c r="AD41" s="16">
        <f t="shared" si="33"/>
        <v>2</v>
      </c>
      <c r="AE41" s="32">
        <f t="shared" si="33"/>
        <v>507</v>
      </c>
      <c r="AF41" s="32">
        <f t="shared" si="33"/>
        <v>2032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1</v>
      </c>
      <c r="F42" s="50">
        <v>4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32</v>
      </c>
      <c r="N42" s="50">
        <v>1</v>
      </c>
      <c r="O42" s="15">
        <f t="shared" si="0"/>
        <v>8</v>
      </c>
      <c r="P42" s="15">
        <f t="shared" si="1"/>
        <v>40</v>
      </c>
      <c r="R42" s="5" t="s">
        <v>160</v>
      </c>
      <c r="S42" s="48">
        <f>S41/S40</f>
        <v>1.4915254237288136</v>
      </c>
      <c r="T42" s="48">
        <f t="shared" ref="T42:AF42" si="34">T41/T40</f>
        <v>2</v>
      </c>
      <c r="U42" s="48">
        <f t="shared" si="34"/>
        <v>1.6727272727272726</v>
      </c>
      <c r="V42" s="48">
        <f t="shared" si="34"/>
        <v>1.4</v>
      </c>
      <c r="W42" s="48">
        <f t="shared" si="34"/>
        <v>1</v>
      </c>
      <c r="X42" s="48">
        <f t="shared" si="34"/>
        <v>1.75</v>
      </c>
      <c r="Y42" s="48">
        <f t="shared" si="34"/>
        <v>1.4473684210526316</v>
      </c>
      <c r="Z42" s="48">
        <f t="shared" si="34"/>
        <v>2.3333333333333335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1.2278582930756843</v>
      </c>
      <c r="AD42" s="48">
        <f t="shared" si="34"/>
        <v>1</v>
      </c>
      <c r="AE42" s="48">
        <f t="shared" si="34"/>
        <v>1.4868035190615836</v>
      </c>
      <c r="AF42" s="48">
        <f t="shared" si="34"/>
        <v>1.2836386607706887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1</v>
      </c>
      <c r="H43" s="50">
        <v>1</v>
      </c>
      <c r="I43" s="50">
        <v>1</v>
      </c>
      <c r="J43" s="50">
        <v>0</v>
      </c>
      <c r="K43" s="50">
        <v>0</v>
      </c>
      <c r="L43" s="50">
        <v>0</v>
      </c>
      <c r="M43" s="50">
        <v>28</v>
      </c>
      <c r="N43" s="50">
        <v>0</v>
      </c>
      <c r="O43" s="15">
        <f t="shared" si="0"/>
        <v>3</v>
      </c>
      <c r="P43" s="15">
        <f t="shared" si="1"/>
        <v>31</v>
      </c>
    </row>
    <row r="44" spans="2:32" ht="23.1" customHeight="1" x14ac:dyDescent="0.25">
      <c r="B44" s="47" t="s">
        <v>71</v>
      </c>
      <c r="C44" s="50">
        <v>4</v>
      </c>
      <c r="D44" s="50">
        <v>0</v>
      </c>
      <c r="E44" s="50">
        <v>2</v>
      </c>
      <c r="F44" s="50">
        <v>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34</v>
      </c>
      <c r="N44" s="50">
        <v>0</v>
      </c>
      <c r="O44" s="15">
        <f t="shared" si="0"/>
        <v>8</v>
      </c>
      <c r="P44" s="15">
        <f t="shared" si="1"/>
        <v>42</v>
      </c>
    </row>
    <row r="45" spans="2:32" ht="23.1" customHeight="1" x14ac:dyDescent="0.25">
      <c r="B45" s="45" t="s">
        <v>72</v>
      </c>
      <c r="C45" s="50">
        <v>4</v>
      </c>
      <c r="D45" s="50">
        <v>0</v>
      </c>
      <c r="E45" s="50">
        <v>1</v>
      </c>
      <c r="F45" s="50">
        <v>3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32</v>
      </c>
      <c r="N45" s="50">
        <v>0</v>
      </c>
      <c r="O45" s="15">
        <f t="shared" si="0"/>
        <v>8</v>
      </c>
      <c r="P45" s="15">
        <f t="shared" si="1"/>
        <v>40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2</v>
      </c>
      <c r="F46" s="50">
        <v>5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28</v>
      </c>
      <c r="N46" s="50">
        <v>0</v>
      </c>
      <c r="O46" s="15">
        <f t="shared" si="0"/>
        <v>10</v>
      </c>
      <c r="P46" s="15">
        <f t="shared" si="1"/>
        <v>38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0</v>
      </c>
      <c r="E47" s="50">
        <v>1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19</v>
      </c>
      <c r="N47" s="50">
        <v>0</v>
      </c>
      <c r="O47" s="15">
        <f t="shared" si="0"/>
        <v>5</v>
      </c>
      <c r="P47" s="15">
        <f t="shared" si="1"/>
        <v>24</v>
      </c>
      <c r="R47" s="8"/>
      <c r="T47"/>
    </row>
    <row r="48" spans="2:32" ht="23.1" customHeight="1" x14ac:dyDescent="0.25">
      <c r="B48" s="46" t="s">
        <v>75</v>
      </c>
      <c r="C48" s="50">
        <v>3</v>
      </c>
      <c r="D48" s="50">
        <v>0</v>
      </c>
      <c r="E48" s="50">
        <v>2</v>
      </c>
      <c r="F48" s="50">
        <v>5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20</v>
      </c>
      <c r="N48" s="50">
        <v>0</v>
      </c>
      <c r="O48" s="15">
        <f t="shared" si="0"/>
        <v>11</v>
      </c>
      <c r="P48" s="15">
        <f t="shared" si="1"/>
        <v>31</v>
      </c>
      <c r="R48" s="8"/>
      <c r="T48"/>
    </row>
    <row r="49" spans="2:20" ht="23.1" customHeight="1" x14ac:dyDescent="0.25">
      <c r="B49" s="45" t="s">
        <v>76</v>
      </c>
      <c r="C49" s="50">
        <v>7</v>
      </c>
      <c r="D49" s="50">
        <v>0</v>
      </c>
      <c r="E49" s="50">
        <v>1</v>
      </c>
      <c r="F49" s="50">
        <v>4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23</v>
      </c>
      <c r="N49" s="50">
        <v>0</v>
      </c>
      <c r="O49" s="15">
        <f t="shared" si="0"/>
        <v>12</v>
      </c>
      <c r="P49" s="15">
        <f t="shared" si="1"/>
        <v>35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0</v>
      </c>
      <c r="E50" s="50">
        <v>1</v>
      </c>
      <c r="F50" s="50">
        <v>3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26</v>
      </c>
      <c r="N50" s="50">
        <v>0</v>
      </c>
      <c r="O50" s="15">
        <f t="shared" si="0"/>
        <v>10</v>
      </c>
      <c r="P50" s="15">
        <f t="shared" si="1"/>
        <v>36</v>
      </c>
      <c r="R50" s="8"/>
      <c r="T50"/>
    </row>
    <row r="51" spans="2:20" ht="23.1" customHeight="1" x14ac:dyDescent="0.25">
      <c r="B51" s="46" t="s">
        <v>78</v>
      </c>
      <c r="C51" s="50">
        <v>2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23</v>
      </c>
      <c r="N51" s="50">
        <v>0</v>
      </c>
      <c r="O51" s="15">
        <f t="shared" si="0"/>
        <v>4</v>
      </c>
      <c r="P51" s="15">
        <f t="shared" si="1"/>
        <v>27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0</v>
      </c>
      <c r="E52" s="50">
        <v>2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27</v>
      </c>
      <c r="N52" s="50">
        <v>0</v>
      </c>
      <c r="O52" s="15">
        <f t="shared" si="0"/>
        <v>6</v>
      </c>
      <c r="P52" s="15">
        <f t="shared" si="1"/>
        <v>33</v>
      </c>
      <c r="R52" s="8"/>
      <c r="T52"/>
    </row>
    <row r="53" spans="2:20" ht="23.1" customHeight="1" x14ac:dyDescent="0.25">
      <c r="B53" s="45" t="s">
        <v>80</v>
      </c>
      <c r="C53" s="50">
        <v>3</v>
      </c>
      <c r="D53" s="50">
        <v>0</v>
      </c>
      <c r="E53" s="50">
        <v>1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17</v>
      </c>
      <c r="N53" s="50">
        <v>0</v>
      </c>
      <c r="O53" s="15">
        <f t="shared" si="0"/>
        <v>6</v>
      </c>
      <c r="P53" s="15">
        <f t="shared" si="1"/>
        <v>23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1</v>
      </c>
      <c r="F54" s="50">
        <v>2</v>
      </c>
      <c r="G54" s="50">
        <v>1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23</v>
      </c>
      <c r="N54" s="50">
        <v>0</v>
      </c>
      <c r="O54" s="15">
        <f t="shared" si="0"/>
        <v>4</v>
      </c>
      <c r="P54" s="15">
        <f t="shared" si="1"/>
        <v>27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0</v>
      </c>
      <c r="E55" s="50">
        <v>0</v>
      </c>
      <c r="F55" s="50">
        <v>4</v>
      </c>
      <c r="G55" s="50">
        <v>1</v>
      </c>
      <c r="H55" s="50">
        <v>3</v>
      </c>
      <c r="I55" s="50">
        <v>0</v>
      </c>
      <c r="J55" s="50">
        <v>1</v>
      </c>
      <c r="K55" s="50">
        <v>0</v>
      </c>
      <c r="L55" s="50">
        <v>0</v>
      </c>
      <c r="M55" s="50">
        <v>23</v>
      </c>
      <c r="N55" s="50">
        <v>0</v>
      </c>
      <c r="O55" s="15">
        <f t="shared" si="0"/>
        <v>14</v>
      </c>
      <c r="P55" s="15">
        <f t="shared" si="1"/>
        <v>37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0</v>
      </c>
      <c r="E56" s="50">
        <v>1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24</v>
      </c>
      <c r="N56" s="50">
        <v>0</v>
      </c>
      <c r="O56" s="15">
        <f t="shared" si="0"/>
        <v>6</v>
      </c>
      <c r="P56" s="15">
        <f t="shared" si="1"/>
        <v>30</v>
      </c>
      <c r="R56" s="8"/>
      <c r="T56"/>
    </row>
    <row r="57" spans="2:20" ht="23.1" customHeight="1" x14ac:dyDescent="0.25">
      <c r="B57" s="45" t="s">
        <v>84</v>
      </c>
      <c r="C57" s="50">
        <v>4</v>
      </c>
      <c r="D57" s="50">
        <v>0</v>
      </c>
      <c r="E57" s="50">
        <v>1</v>
      </c>
      <c r="F57" s="50">
        <v>3</v>
      </c>
      <c r="G57" s="50">
        <v>3</v>
      </c>
      <c r="H57" s="50">
        <v>2</v>
      </c>
      <c r="I57" s="50">
        <v>1</v>
      </c>
      <c r="J57" s="50">
        <v>0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14</v>
      </c>
      <c r="P57" s="15">
        <f t="shared" si="1"/>
        <v>42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2</v>
      </c>
      <c r="E58" s="50">
        <v>7</v>
      </c>
      <c r="F58" s="50">
        <v>2</v>
      </c>
      <c r="G58" s="50">
        <v>0</v>
      </c>
      <c r="H58" s="50">
        <v>0</v>
      </c>
      <c r="I58" s="50">
        <v>1</v>
      </c>
      <c r="J58" s="50">
        <v>2</v>
      </c>
      <c r="K58" s="50">
        <v>0</v>
      </c>
      <c r="L58" s="50">
        <v>0</v>
      </c>
      <c r="M58" s="50">
        <v>26</v>
      </c>
      <c r="N58" s="50">
        <v>0</v>
      </c>
      <c r="O58" s="15">
        <f t="shared" si="0"/>
        <v>15</v>
      </c>
      <c r="P58" s="15">
        <f t="shared" si="1"/>
        <v>41</v>
      </c>
      <c r="R58" s="8"/>
      <c r="T58"/>
    </row>
    <row r="59" spans="2:20" ht="23.1" customHeight="1" x14ac:dyDescent="0.25">
      <c r="B59" s="45" t="s">
        <v>100</v>
      </c>
      <c r="C59" s="50">
        <v>5</v>
      </c>
      <c r="D59" s="50">
        <v>1</v>
      </c>
      <c r="E59" s="50">
        <v>4</v>
      </c>
      <c r="F59" s="50">
        <v>2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22</v>
      </c>
      <c r="N59" s="50">
        <v>0</v>
      </c>
      <c r="O59" s="15">
        <f t="shared" si="0"/>
        <v>12</v>
      </c>
      <c r="P59" s="15">
        <f t="shared" si="1"/>
        <v>34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1</v>
      </c>
      <c r="F60" s="50">
        <v>4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21</v>
      </c>
      <c r="N60" s="50">
        <v>0</v>
      </c>
      <c r="O60" s="15">
        <f t="shared" si="0"/>
        <v>7</v>
      </c>
      <c r="P60" s="15">
        <f t="shared" si="1"/>
        <v>28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0</v>
      </c>
      <c r="F61" s="50">
        <v>4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0</v>
      </c>
      <c r="M61" s="50">
        <v>8</v>
      </c>
      <c r="N61" s="50">
        <v>0</v>
      </c>
      <c r="O61" s="15">
        <f t="shared" si="0"/>
        <v>7</v>
      </c>
      <c r="P61" s="15">
        <f t="shared" si="1"/>
        <v>15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0</v>
      </c>
      <c r="E62" s="50">
        <v>1</v>
      </c>
      <c r="F62" s="50">
        <v>1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14</v>
      </c>
      <c r="N62" s="50">
        <v>0</v>
      </c>
      <c r="O62" s="15">
        <f t="shared" si="0"/>
        <v>3</v>
      </c>
      <c r="P62" s="15">
        <f t="shared" si="1"/>
        <v>17</v>
      </c>
      <c r="R62" s="8"/>
      <c r="T62"/>
    </row>
    <row r="63" spans="2:20" ht="23.1" customHeight="1" x14ac:dyDescent="0.25">
      <c r="B63" s="45" t="s">
        <v>108</v>
      </c>
      <c r="C63" s="50">
        <v>3</v>
      </c>
      <c r="D63" s="50">
        <v>1</v>
      </c>
      <c r="E63" s="50">
        <v>5</v>
      </c>
      <c r="F63" s="50">
        <v>1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18</v>
      </c>
      <c r="N63" s="50">
        <v>0</v>
      </c>
      <c r="O63" s="15">
        <f t="shared" si="0"/>
        <v>12</v>
      </c>
      <c r="P63" s="15">
        <f t="shared" si="1"/>
        <v>30</v>
      </c>
      <c r="R63" s="8"/>
      <c r="T63"/>
    </row>
    <row r="64" spans="2:20" ht="23.1" customHeight="1" x14ac:dyDescent="0.25">
      <c r="B64" s="45" t="s">
        <v>109</v>
      </c>
      <c r="C64" s="50">
        <v>7</v>
      </c>
      <c r="D64" s="50">
        <v>0</v>
      </c>
      <c r="E64" s="50">
        <v>2</v>
      </c>
      <c r="F64" s="50">
        <v>4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4</v>
      </c>
      <c r="N64" s="50">
        <v>0</v>
      </c>
      <c r="O64" s="15">
        <f t="shared" si="0"/>
        <v>13</v>
      </c>
      <c r="P64" s="15">
        <f t="shared" si="1"/>
        <v>17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2</v>
      </c>
      <c r="N65" s="50">
        <v>0</v>
      </c>
      <c r="O65" s="15">
        <f t="shared" si="0"/>
        <v>0</v>
      </c>
      <c r="P65" s="15">
        <f t="shared" si="1"/>
        <v>2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0</v>
      </c>
      <c r="E66" s="50">
        <v>1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11</v>
      </c>
      <c r="N66" s="50">
        <v>0</v>
      </c>
      <c r="O66" s="15">
        <f t="shared" si="0"/>
        <v>4</v>
      </c>
      <c r="P66" s="15">
        <f t="shared" si="1"/>
        <v>15</v>
      </c>
      <c r="R66" s="8"/>
      <c r="T66"/>
    </row>
    <row r="67" spans="2:20" ht="23.1" customHeight="1" x14ac:dyDescent="0.25">
      <c r="B67" s="45" t="s">
        <v>104</v>
      </c>
      <c r="C67" s="50">
        <v>4</v>
      </c>
      <c r="D67" s="50">
        <v>0</v>
      </c>
      <c r="E67" s="50">
        <v>1</v>
      </c>
      <c r="F67" s="50">
        <v>1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3</v>
      </c>
      <c r="N67" s="50">
        <v>0</v>
      </c>
      <c r="O67" s="15">
        <f t="shared" si="0"/>
        <v>7</v>
      </c>
      <c r="P67" s="15">
        <f t="shared" si="1"/>
        <v>10</v>
      </c>
      <c r="R67" s="8"/>
      <c r="T67"/>
    </row>
    <row r="68" spans="2:20" ht="23.1" customHeight="1" x14ac:dyDescent="0.25">
      <c r="B68" s="45" t="s">
        <v>105</v>
      </c>
      <c r="C68" s="50">
        <v>4</v>
      </c>
      <c r="D68" s="50">
        <v>0</v>
      </c>
      <c r="E68" s="50">
        <v>0</v>
      </c>
      <c r="F68" s="50">
        <v>3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3</v>
      </c>
      <c r="N68" s="50">
        <v>0</v>
      </c>
      <c r="O68" s="15">
        <f t="shared" si="0"/>
        <v>7</v>
      </c>
      <c r="P68" s="15">
        <f t="shared" si="1"/>
        <v>10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2</v>
      </c>
      <c r="F69" s="50">
        <v>0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5</v>
      </c>
      <c r="N69" s="50">
        <v>0</v>
      </c>
      <c r="O69" s="15">
        <f t="shared" si="0"/>
        <v>3</v>
      </c>
      <c r="P69" s="15">
        <f t="shared" si="1"/>
        <v>8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1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v>0</v>
      </c>
      <c r="M70" s="50">
        <v>4</v>
      </c>
      <c r="N70" s="50">
        <v>0</v>
      </c>
      <c r="O70" s="15">
        <f t="shared" si="0"/>
        <v>4</v>
      </c>
      <c r="P70" s="15">
        <f t="shared" si="1"/>
        <v>8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1</v>
      </c>
      <c r="F71" s="50">
        <v>1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4</v>
      </c>
      <c r="N71" s="50">
        <v>0</v>
      </c>
      <c r="O71" s="15">
        <f t="shared" si="0"/>
        <v>5</v>
      </c>
      <c r="P71" s="15">
        <f t="shared" si="1"/>
        <v>9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1</v>
      </c>
      <c r="F72" s="50">
        <v>2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0"/>
        <v>4</v>
      </c>
      <c r="P72" s="15">
        <f t="shared" si="1"/>
        <v>7</v>
      </c>
      <c r="R72" s="8"/>
      <c r="T72"/>
    </row>
    <row r="73" spans="2:20" ht="23.1" customHeight="1" x14ac:dyDescent="0.25">
      <c r="B73" s="45" t="s">
        <v>113</v>
      </c>
      <c r="C73" s="50">
        <v>3</v>
      </c>
      <c r="D73" s="50">
        <v>0</v>
      </c>
      <c r="E73" s="50">
        <v>2</v>
      </c>
      <c r="F73" s="50">
        <v>0</v>
      </c>
      <c r="G73" s="50">
        <v>0</v>
      </c>
      <c r="H73" s="50">
        <v>2</v>
      </c>
      <c r="I73" s="50">
        <v>0</v>
      </c>
      <c r="J73" s="50">
        <v>0</v>
      </c>
      <c r="K73" s="50">
        <v>0</v>
      </c>
      <c r="L73" s="50">
        <v>0</v>
      </c>
      <c r="M73" s="50">
        <v>2</v>
      </c>
      <c r="N73" s="50">
        <v>0</v>
      </c>
      <c r="O73" s="15">
        <f t="shared" si="0"/>
        <v>7</v>
      </c>
      <c r="P73" s="15">
        <f t="shared" si="1"/>
        <v>9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0</v>
      </c>
      <c r="E74" s="50">
        <v>1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4</v>
      </c>
      <c r="N74" s="50">
        <v>0</v>
      </c>
      <c r="O74" s="15">
        <f t="shared" ref="O74:O105" si="35">SUM(C74:L74,N74)</f>
        <v>3</v>
      </c>
      <c r="P74" s="15">
        <f t="shared" ref="P74:P105" si="36">SUM(C74:N74)</f>
        <v>7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</v>
      </c>
      <c r="N75" s="50">
        <v>0</v>
      </c>
      <c r="O75" s="15">
        <f t="shared" si="35"/>
        <v>0</v>
      </c>
      <c r="P75" s="15">
        <f t="shared" si="36"/>
        <v>1</v>
      </c>
      <c r="R75" s="8"/>
      <c r="T75"/>
    </row>
    <row r="76" spans="2:20" ht="23.1" customHeight="1" x14ac:dyDescent="0.25">
      <c r="B76" s="45" t="s">
        <v>116</v>
      </c>
      <c r="C76" s="50">
        <v>2</v>
      </c>
      <c r="D76" s="50">
        <v>0</v>
      </c>
      <c r="E76" s="50">
        <v>0</v>
      </c>
      <c r="F76" s="50">
        <v>0</v>
      </c>
      <c r="G76" s="50">
        <v>0</v>
      </c>
      <c r="H76" s="50">
        <v>1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3</v>
      </c>
      <c r="P76" s="15">
        <f t="shared" si="36"/>
        <v>5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2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1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2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1</v>
      </c>
      <c r="F83" s="50">
        <v>1</v>
      </c>
      <c r="G83" s="50">
        <v>0</v>
      </c>
      <c r="H83" s="50">
        <v>1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3</v>
      </c>
      <c r="P83" s="15">
        <f t="shared" si="36"/>
        <v>4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1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3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5</v>
      </c>
      <c r="P85" s="15">
        <f t="shared" si="36"/>
        <v>5</v>
      </c>
      <c r="R85" s="8"/>
      <c r="T85"/>
    </row>
    <row r="86" spans="2:20" ht="23.1" customHeight="1" x14ac:dyDescent="0.25">
      <c r="B86" s="46" t="s">
        <v>126</v>
      </c>
      <c r="C86" s="50">
        <v>3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4</v>
      </c>
      <c r="P86" s="15">
        <f t="shared" si="36"/>
        <v>4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0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1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2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1</v>
      </c>
      <c r="P95" s="15">
        <f t="shared" si="36"/>
        <v>3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1</v>
      </c>
      <c r="G96" s="50">
        <v>0</v>
      </c>
      <c r="H96" s="50">
        <v>0</v>
      </c>
      <c r="I96" s="50">
        <v>2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3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5</v>
      </c>
      <c r="N97" s="50">
        <v>0</v>
      </c>
      <c r="O97" s="15">
        <f t="shared" si="35"/>
        <v>1</v>
      </c>
      <c r="P97" s="15">
        <f t="shared" si="36"/>
        <v>6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3</v>
      </c>
      <c r="N98" s="50">
        <v>0</v>
      </c>
      <c r="O98" s="15">
        <f t="shared" si="35"/>
        <v>1</v>
      </c>
      <c r="P98" s="15">
        <f t="shared" si="36"/>
        <v>4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1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4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9</v>
      </c>
      <c r="N100" s="50">
        <v>0</v>
      </c>
      <c r="O100" s="15">
        <f t="shared" si="35"/>
        <v>5</v>
      </c>
      <c r="P100" s="15">
        <f t="shared" si="36"/>
        <v>14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11</v>
      </c>
      <c r="N101" s="50">
        <v>0</v>
      </c>
      <c r="O101" s="15">
        <f t="shared" si="35"/>
        <v>1</v>
      </c>
      <c r="P101" s="15">
        <f t="shared" si="36"/>
        <v>12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1</v>
      </c>
      <c r="F102" s="50">
        <v>1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19</v>
      </c>
      <c r="N102" s="50">
        <v>0</v>
      </c>
      <c r="O102" s="15">
        <f t="shared" si="35"/>
        <v>4</v>
      </c>
      <c r="P102" s="15">
        <f t="shared" si="36"/>
        <v>23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15</v>
      </c>
      <c r="N103" s="50">
        <v>0</v>
      </c>
      <c r="O103" s="15">
        <f t="shared" si="35"/>
        <v>3</v>
      </c>
      <c r="P103" s="15">
        <f t="shared" si="36"/>
        <v>18</v>
      </c>
      <c r="R103" s="8"/>
      <c r="T103"/>
    </row>
    <row r="104" spans="2:20" ht="23.1" customHeight="1" x14ac:dyDescent="0.25">
      <c r="B104" s="47" t="s">
        <v>144</v>
      </c>
      <c r="C104" s="50">
        <v>3</v>
      </c>
      <c r="D104" s="50">
        <v>0</v>
      </c>
      <c r="E104" s="50">
        <v>0</v>
      </c>
      <c r="F104" s="50">
        <v>2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26</v>
      </c>
      <c r="N104" s="50">
        <v>0</v>
      </c>
      <c r="O104" s="15">
        <f t="shared" si="35"/>
        <v>6</v>
      </c>
      <c r="P104" s="15">
        <f t="shared" si="36"/>
        <v>32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1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27</v>
      </c>
      <c r="N105" s="50">
        <v>0</v>
      </c>
      <c r="O105" s="15">
        <f t="shared" si="35"/>
        <v>1</v>
      </c>
      <c r="P105" s="15">
        <f t="shared" si="36"/>
        <v>28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176</v>
      </c>
      <c r="D106" s="16">
        <f t="shared" ref="D106:P106" si="37">SUM(D10:D105)</f>
        <v>8</v>
      </c>
      <c r="E106" s="16">
        <f t="shared" si="37"/>
        <v>92</v>
      </c>
      <c r="F106" s="16">
        <f t="shared" si="37"/>
        <v>140</v>
      </c>
      <c r="G106" s="16">
        <f t="shared" si="37"/>
        <v>13</v>
      </c>
      <c r="H106" s="16">
        <f t="shared" si="37"/>
        <v>14</v>
      </c>
      <c r="I106" s="16">
        <f t="shared" si="37"/>
        <v>55</v>
      </c>
      <c r="J106" s="16">
        <f t="shared" si="37"/>
        <v>7</v>
      </c>
      <c r="K106" s="16">
        <f t="shared" si="37"/>
        <v>0</v>
      </c>
      <c r="L106" s="16">
        <f t="shared" si="37"/>
        <v>0</v>
      </c>
      <c r="M106" s="16">
        <f t="shared" si="37"/>
        <v>1525</v>
      </c>
      <c r="N106" s="16">
        <f t="shared" si="37"/>
        <v>2</v>
      </c>
      <c r="O106" s="16">
        <f t="shared" si="37"/>
        <v>507</v>
      </c>
      <c r="P106" s="16">
        <f t="shared" si="37"/>
        <v>2032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8.6614173228346455E-2</v>
      </c>
      <c r="D107" s="43">
        <f t="shared" si="38"/>
        <v>3.937007874015748E-3</v>
      </c>
      <c r="E107" s="43">
        <f t="shared" si="38"/>
        <v>4.5275590551181105E-2</v>
      </c>
      <c r="F107" s="43">
        <f t="shared" si="38"/>
        <v>6.8897637795275593E-2</v>
      </c>
      <c r="G107" s="43">
        <f t="shared" si="38"/>
        <v>6.3976377952755905E-3</v>
      </c>
      <c r="H107" s="43">
        <f t="shared" si="38"/>
        <v>6.889763779527559E-3</v>
      </c>
      <c r="I107" s="43">
        <f t="shared" si="38"/>
        <v>2.7066929133858268E-2</v>
      </c>
      <c r="J107" s="43">
        <f t="shared" si="38"/>
        <v>3.4448818897637795E-3</v>
      </c>
      <c r="K107" s="43">
        <f t="shared" si="38"/>
        <v>0</v>
      </c>
      <c r="L107" s="43">
        <f t="shared" si="38"/>
        <v>0</v>
      </c>
      <c r="M107" s="43">
        <f t="shared" si="38"/>
        <v>0.75049212598425197</v>
      </c>
      <c r="N107" s="43">
        <f t="shared" si="38"/>
        <v>9.8425196850393699E-4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0.34714003944773175</v>
      </c>
      <c r="D108" s="44">
        <f t="shared" ref="D108:N108" si="39">D106/$O$106</f>
        <v>1.5779092702169626E-2</v>
      </c>
      <c r="E108" s="44">
        <f t="shared" si="39"/>
        <v>0.1814595660749507</v>
      </c>
      <c r="F108" s="44">
        <f t="shared" si="39"/>
        <v>0.27613412228796846</v>
      </c>
      <c r="G108" s="44">
        <f t="shared" si="39"/>
        <v>2.564102564102564E-2</v>
      </c>
      <c r="H108" s="44">
        <f t="shared" si="39"/>
        <v>2.7613412228796843E-2</v>
      </c>
      <c r="I108" s="44">
        <f t="shared" si="39"/>
        <v>0.10848126232741617</v>
      </c>
      <c r="J108" s="44">
        <f t="shared" si="39"/>
        <v>1.3806706114398421E-2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3.9447731755424065E-3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C10" sqref="C10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Malaba-Tororo'!C3:G3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'16.08 Tororo-Malaba-24h'!G5:H5</f>
        <v>xxx</v>
      </c>
      <c r="H5" s="64"/>
      <c r="I5" s="14"/>
      <c r="J5" s="2" t="s">
        <v>5</v>
      </c>
      <c r="K5" s="63" t="str">
        <f>'16.08 Tororo-Malaba-24h'!K5:L5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Malaba-Tororo'!D6:E6</f>
        <v>Malaba</v>
      </c>
      <c r="E6" s="64"/>
      <c r="F6" s="2" t="s">
        <v>2</v>
      </c>
      <c r="G6" s="63" t="str">
        <f>'12.08 Malaba-Tororo'!G6:H6</f>
        <v>Tororo</v>
      </c>
      <c r="H6" s="64"/>
      <c r="J6" s="2" t="s">
        <v>21</v>
      </c>
      <c r="K6" s="63" t="str">
        <f>'16.08 Tororo-Malaba-24h'!K6:L6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2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22</v>
      </c>
      <c r="N10" s="50">
        <v>0</v>
      </c>
      <c r="O10" s="15">
        <f t="shared" ref="O10:O73" si="0">SUM(C10:L10,N10)</f>
        <v>6</v>
      </c>
      <c r="P10" s="15">
        <f t="shared" ref="P10:P73" si="1">SUM(C10:N10)</f>
        <v>28</v>
      </c>
      <c r="R10" s="1" t="s">
        <v>6</v>
      </c>
      <c r="S10" s="17">
        <f t="shared" ref="S10:AF10" si="2">SUM(C10:C13)</f>
        <v>2</v>
      </c>
      <c r="T10" s="17">
        <f t="shared" si="2"/>
        <v>1</v>
      </c>
      <c r="U10" s="17">
        <f t="shared" si="2"/>
        <v>7</v>
      </c>
      <c r="V10" s="17">
        <f t="shared" si="2"/>
        <v>9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106</v>
      </c>
      <c r="AD10" s="17">
        <f t="shared" si="2"/>
        <v>0</v>
      </c>
      <c r="AE10" s="31">
        <f t="shared" si="2"/>
        <v>21</v>
      </c>
      <c r="AF10" s="31">
        <f t="shared" si="2"/>
        <v>127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1</v>
      </c>
      <c r="E11" s="50">
        <v>4</v>
      </c>
      <c r="F11" s="50">
        <v>2</v>
      </c>
      <c r="G11" s="50">
        <v>0</v>
      </c>
      <c r="H11" s="50">
        <v>1</v>
      </c>
      <c r="I11" s="50">
        <v>0</v>
      </c>
      <c r="J11" s="50">
        <v>0</v>
      </c>
      <c r="K11" s="50">
        <v>0</v>
      </c>
      <c r="L11" s="50">
        <v>0</v>
      </c>
      <c r="M11" s="50">
        <v>25</v>
      </c>
      <c r="N11" s="50">
        <v>0</v>
      </c>
      <c r="O11" s="15">
        <f t="shared" si="0"/>
        <v>8</v>
      </c>
      <c r="P11" s="15">
        <f t="shared" si="1"/>
        <v>33</v>
      </c>
      <c r="R11" s="1" t="s">
        <v>7</v>
      </c>
      <c r="S11" s="17">
        <f t="shared" ref="S11:AF11" si="3">SUM(C14:C17)</f>
        <v>1</v>
      </c>
      <c r="T11" s="17">
        <f t="shared" si="3"/>
        <v>1</v>
      </c>
      <c r="U11" s="17">
        <f t="shared" si="3"/>
        <v>9</v>
      </c>
      <c r="V11" s="17">
        <f t="shared" si="3"/>
        <v>8</v>
      </c>
      <c r="W11" s="17">
        <f t="shared" si="3"/>
        <v>0</v>
      </c>
      <c r="X11" s="17">
        <f t="shared" si="3"/>
        <v>1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115</v>
      </c>
      <c r="AD11" s="17">
        <f t="shared" si="3"/>
        <v>0</v>
      </c>
      <c r="AE11" s="31">
        <f t="shared" si="3"/>
        <v>22</v>
      </c>
      <c r="AF11" s="31">
        <f t="shared" si="3"/>
        <v>137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1</v>
      </c>
      <c r="F12" s="50">
        <v>3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17</v>
      </c>
      <c r="N12" s="50">
        <v>0</v>
      </c>
      <c r="O12" s="15">
        <f t="shared" si="0"/>
        <v>6</v>
      </c>
      <c r="P12" s="15">
        <f t="shared" si="1"/>
        <v>23</v>
      </c>
      <c r="R12" s="1" t="s">
        <v>8</v>
      </c>
      <c r="S12" s="17">
        <f t="shared" ref="S12:AF12" si="4">SUM(C18:C21)</f>
        <v>11</v>
      </c>
      <c r="T12" s="17">
        <f t="shared" si="4"/>
        <v>1</v>
      </c>
      <c r="U12" s="17">
        <f t="shared" si="4"/>
        <v>8</v>
      </c>
      <c r="V12" s="17">
        <f t="shared" si="4"/>
        <v>7</v>
      </c>
      <c r="W12" s="17">
        <f t="shared" si="4"/>
        <v>0</v>
      </c>
      <c r="X12" s="17">
        <f t="shared" si="4"/>
        <v>1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100</v>
      </c>
      <c r="AD12" s="17">
        <f t="shared" si="4"/>
        <v>0</v>
      </c>
      <c r="AE12" s="31">
        <f t="shared" si="4"/>
        <v>31</v>
      </c>
      <c r="AF12" s="31">
        <f t="shared" si="4"/>
        <v>131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42</v>
      </c>
      <c r="N13" s="50">
        <v>0</v>
      </c>
      <c r="O13" s="15">
        <f t="shared" si="0"/>
        <v>1</v>
      </c>
      <c r="P13" s="15">
        <f t="shared" si="1"/>
        <v>43</v>
      </c>
      <c r="R13" s="1" t="s">
        <v>9</v>
      </c>
      <c r="S13" s="17">
        <f t="shared" ref="S13:AF13" si="5">SUM(C22:C25)</f>
        <v>11</v>
      </c>
      <c r="T13" s="17">
        <f t="shared" si="5"/>
        <v>1</v>
      </c>
      <c r="U13" s="17">
        <f t="shared" si="5"/>
        <v>11</v>
      </c>
      <c r="V13" s="17">
        <f t="shared" si="5"/>
        <v>9</v>
      </c>
      <c r="W13" s="17">
        <f t="shared" si="5"/>
        <v>1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100</v>
      </c>
      <c r="AD13" s="17">
        <f t="shared" si="5"/>
        <v>0</v>
      </c>
      <c r="AE13" s="31">
        <f t="shared" si="5"/>
        <v>36</v>
      </c>
      <c r="AF13" s="31">
        <f t="shared" si="5"/>
        <v>136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2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26</v>
      </c>
      <c r="N14" s="50">
        <v>0</v>
      </c>
      <c r="O14" s="15">
        <f t="shared" si="0"/>
        <v>5</v>
      </c>
      <c r="P14" s="15">
        <f t="shared" si="1"/>
        <v>31</v>
      </c>
      <c r="R14" s="1" t="s">
        <v>10</v>
      </c>
      <c r="S14" s="17">
        <f t="shared" ref="S14:AF14" si="6">SUM(C26:C29)</f>
        <v>18</v>
      </c>
      <c r="T14" s="17">
        <f t="shared" si="6"/>
        <v>2</v>
      </c>
      <c r="U14" s="17">
        <f t="shared" si="6"/>
        <v>11</v>
      </c>
      <c r="V14" s="17">
        <f t="shared" si="6"/>
        <v>12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118</v>
      </c>
      <c r="AD14" s="17">
        <f t="shared" si="6"/>
        <v>0</v>
      </c>
      <c r="AE14" s="31">
        <f t="shared" si="6"/>
        <v>46</v>
      </c>
      <c r="AF14" s="31">
        <f t="shared" si="6"/>
        <v>164</v>
      </c>
    </row>
    <row r="15" spans="2:32" ht="23.1" customHeight="1" x14ac:dyDescent="0.25">
      <c r="B15" s="45" t="s">
        <v>42</v>
      </c>
      <c r="C15" s="50">
        <v>0</v>
      </c>
      <c r="D15" s="50">
        <v>1</v>
      </c>
      <c r="E15" s="50">
        <v>4</v>
      </c>
      <c r="F15" s="50">
        <v>2</v>
      </c>
      <c r="G15" s="50">
        <v>0</v>
      </c>
      <c r="H15" s="50">
        <v>1</v>
      </c>
      <c r="I15" s="50">
        <v>0</v>
      </c>
      <c r="J15" s="50">
        <v>0</v>
      </c>
      <c r="K15" s="50">
        <v>0</v>
      </c>
      <c r="L15" s="50">
        <v>0</v>
      </c>
      <c r="M15" s="50">
        <v>33</v>
      </c>
      <c r="N15" s="50">
        <v>0</v>
      </c>
      <c r="O15" s="15">
        <f t="shared" si="0"/>
        <v>8</v>
      </c>
      <c r="P15" s="15">
        <f t="shared" si="1"/>
        <v>41</v>
      </c>
      <c r="R15" s="1" t="s">
        <v>11</v>
      </c>
      <c r="S15" s="17">
        <f t="shared" ref="S15:AF15" si="7">SUM(C30:C33)</f>
        <v>15</v>
      </c>
      <c r="T15" s="17">
        <f t="shared" si="7"/>
        <v>1</v>
      </c>
      <c r="U15" s="17">
        <f t="shared" si="7"/>
        <v>6</v>
      </c>
      <c r="V15" s="17">
        <f t="shared" si="7"/>
        <v>9</v>
      </c>
      <c r="W15" s="17">
        <f t="shared" si="7"/>
        <v>1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112</v>
      </c>
      <c r="AD15" s="17">
        <f t="shared" si="7"/>
        <v>0</v>
      </c>
      <c r="AE15" s="31">
        <f t="shared" si="7"/>
        <v>35</v>
      </c>
      <c r="AF15" s="31">
        <f t="shared" si="7"/>
        <v>147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2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29</v>
      </c>
      <c r="N16" s="50">
        <v>0</v>
      </c>
      <c r="O16" s="15">
        <f t="shared" si="0"/>
        <v>4</v>
      </c>
      <c r="P16" s="15">
        <f t="shared" si="1"/>
        <v>33</v>
      </c>
      <c r="R16" s="1" t="s">
        <v>12</v>
      </c>
      <c r="S16" s="17">
        <f t="shared" ref="S16:AF16" si="8">SUM(C34:C37)</f>
        <v>6</v>
      </c>
      <c r="T16" s="17">
        <f t="shared" si="8"/>
        <v>0</v>
      </c>
      <c r="U16" s="17">
        <f t="shared" si="8"/>
        <v>8</v>
      </c>
      <c r="V16" s="17">
        <f t="shared" si="8"/>
        <v>7</v>
      </c>
      <c r="W16" s="17">
        <f t="shared" si="8"/>
        <v>3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82</v>
      </c>
      <c r="AD16" s="17">
        <f t="shared" si="8"/>
        <v>0</v>
      </c>
      <c r="AE16" s="31">
        <f t="shared" si="8"/>
        <v>26</v>
      </c>
      <c r="AF16" s="31">
        <f t="shared" si="8"/>
        <v>108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1</v>
      </c>
      <c r="F17" s="50">
        <v>3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27</v>
      </c>
      <c r="N17" s="50">
        <v>0</v>
      </c>
      <c r="O17" s="15">
        <f t="shared" si="0"/>
        <v>5</v>
      </c>
      <c r="P17" s="15">
        <f t="shared" si="1"/>
        <v>32</v>
      </c>
      <c r="R17" s="1" t="s">
        <v>13</v>
      </c>
      <c r="S17" s="17">
        <f t="shared" ref="S17:AF17" si="9">SUM(C38:C41)</f>
        <v>4</v>
      </c>
      <c r="T17" s="17">
        <f t="shared" si="9"/>
        <v>0</v>
      </c>
      <c r="U17" s="17">
        <f t="shared" si="9"/>
        <v>4</v>
      </c>
      <c r="V17" s="17">
        <f t="shared" si="9"/>
        <v>10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42</v>
      </c>
      <c r="AD17" s="17">
        <f t="shared" si="9"/>
        <v>0</v>
      </c>
      <c r="AE17" s="31">
        <f t="shared" si="9"/>
        <v>25</v>
      </c>
      <c r="AF17" s="31">
        <f t="shared" si="9"/>
        <v>67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3</v>
      </c>
      <c r="F18" s="50">
        <v>2</v>
      </c>
      <c r="G18" s="50">
        <v>0</v>
      </c>
      <c r="H18" s="50">
        <v>1</v>
      </c>
      <c r="I18" s="50">
        <v>0</v>
      </c>
      <c r="J18" s="50">
        <v>0</v>
      </c>
      <c r="K18" s="50">
        <v>0</v>
      </c>
      <c r="L18" s="50">
        <v>0</v>
      </c>
      <c r="M18" s="50">
        <v>30</v>
      </c>
      <c r="N18" s="50">
        <v>0</v>
      </c>
      <c r="O18" s="15">
        <f t="shared" si="0"/>
        <v>8</v>
      </c>
      <c r="P18" s="15">
        <f t="shared" si="1"/>
        <v>38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7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60</v>
      </c>
      <c r="AD18" s="17">
        <f t="shared" si="10"/>
        <v>0</v>
      </c>
      <c r="AE18" s="31">
        <f t="shared" si="10"/>
        <v>16</v>
      </c>
      <c r="AF18" s="31">
        <f t="shared" si="10"/>
        <v>76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1</v>
      </c>
      <c r="F19" s="50">
        <v>3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17</v>
      </c>
      <c r="N19" s="50">
        <v>0</v>
      </c>
      <c r="O19" s="15">
        <f t="shared" si="0"/>
        <v>8</v>
      </c>
      <c r="P19" s="15">
        <f t="shared" si="1"/>
        <v>25</v>
      </c>
      <c r="R19" s="1" t="s">
        <v>15</v>
      </c>
      <c r="S19" s="17">
        <f t="shared" ref="S19:AF19" si="11">SUM(C46:C49)</f>
        <v>8</v>
      </c>
      <c r="T19" s="17">
        <f t="shared" si="11"/>
        <v>3</v>
      </c>
      <c r="U19" s="17">
        <f t="shared" si="11"/>
        <v>16</v>
      </c>
      <c r="V19" s="17">
        <f t="shared" si="11"/>
        <v>17</v>
      </c>
      <c r="W19" s="17">
        <f t="shared" si="11"/>
        <v>1</v>
      </c>
      <c r="X19" s="17">
        <f t="shared" si="11"/>
        <v>0</v>
      </c>
      <c r="Y19" s="17">
        <f t="shared" si="11"/>
        <v>4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81</v>
      </c>
      <c r="AD19" s="17">
        <f t="shared" si="11"/>
        <v>0</v>
      </c>
      <c r="AE19" s="31">
        <f t="shared" si="11"/>
        <v>52</v>
      </c>
      <c r="AF19" s="31">
        <f t="shared" si="11"/>
        <v>133</v>
      </c>
    </row>
    <row r="20" spans="2:32" ht="23.1" customHeight="1" x14ac:dyDescent="0.25">
      <c r="B20" s="45" t="s">
        <v>47</v>
      </c>
      <c r="C20" s="50">
        <v>4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30</v>
      </c>
      <c r="N20" s="50">
        <v>0</v>
      </c>
      <c r="O20" s="15">
        <f t="shared" si="0"/>
        <v>7</v>
      </c>
      <c r="P20" s="15">
        <f t="shared" si="1"/>
        <v>37</v>
      </c>
      <c r="R20" s="1" t="s">
        <v>16</v>
      </c>
      <c r="S20" s="17">
        <f t="shared" ref="S20:AF20" si="12">SUM(C50:C53)</f>
        <v>7</v>
      </c>
      <c r="T20" s="17">
        <f t="shared" si="12"/>
        <v>0</v>
      </c>
      <c r="U20" s="17">
        <f t="shared" si="12"/>
        <v>12</v>
      </c>
      <c r="V20" s="17">
        <f t="shared" si="12"/>
        <v>12</v>
      </c>
      <c r="W20" s="17">
        <f t="shared" si="12"/>
        <v>1</v>
      </c>
      <c r="X20" s="17">
        <f t="shared" si="12"/>
        <v>0</v>
      </c>
      <c r="Y20" s="17">
        <f t="shared" si="12"/>
        <v>3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98</v>
      </c>
      <c r="AD20" s="17">
        <f t="shared" si="12"/>
        <v>1</v>
      </c>
      <c r="AE20" s="31">
        <f t="shared" si="12"/>
        <v>38</v>
      </c>
      <c r="AF20" s="31">
        <f t="shared" si="12"/>
        <v>136</v>
      </c>
    </row>
    <row r="21" spans="2:32" ht="23.1" customHeight="1" x14ac:dyDescent="0.25">
      <c r="B21" s="45" t="s">
        <v>48</v>
      </c>
      <c r="C21" s="50">
        <v>3</v>
      </c>
      <c r="D21" s="50">
        <v>1</v>
      </c>
      <c r="E21" s="50">
        <v>4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23</v>
      </c>
      <c r="N21" s="50">
        <v>0</v>
      </c>
      <c r="O21" s="15">
        <f t="shared" si="0"/>
        <v>8</v>
      </c>
      <c r="P21" s="15">
        <f t="shared" si="1"/>
        <v>31</v>
      </c>
      <c r="R21" s="36" t="s">
        <v>20</v>
      </c>
      <c r="S21" s="34">
        <f t="shared" ref="S21:AF21" si="13">SUM(C54:C57)</f>
        <v>12</v>
      </c>
      <c r="T21" s="17">
        <f t="shared" si="13"/>
        <v>2</v>
      </c>
      <c r="U21" s="17">
        <f t="shared" si="13"/>
        <v>15</v>
      </c>
      <c r="V21" s="17">
        <f t="shared" si="13"/>
        <v>11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83</v>
      </c>
      <c r="AD21" s="17">
        <f t="shared" si="13"/>
        <v>0</v>
      </c>
      <c r="AE21" s="31">
        <f t="shared" si="13"/>
        <v>41</v>
      </c>
      <c r="AF21" s="31">
        <f t="shared" si="13"/>
        <v>124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1</v>
      </c>
      <c r="F22" s="50">
        <v>3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20</v>
      </c>
      <c r="N22" s="50">
        <v>0</v>
      </c>
      <c r="O22" s="15">
        <f t="shared" si="0"/>
        <v>5</v>
      </c>
      <c r="P22" s="15">
        <f t="shared" si="1"/>
        <v>25</v>
      </c>
      <c r="R22" s="36" t="s">
        <v>146</v>
      </c>
      <c r="S22" s="34">
        <f>SUM(C58:C61)</f>
        <v>5</v>
      </c>
      <c r="T22" s="34">
        <f t="shared" ref="T22:AF22" si="14">SUM(D58:D61)</f>
        <v>1</v>
      </c>
      <c r="U22" s="34">
        <f t="shared" si="14"/>
        <v>4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57</v>
      </c>
      <c r="AD22" s="34">
        <f t="shared" si="14"/>
        <v>0</v>
      </c>
      <c r="AE22" s="31">
        <f t="shared" si="14"/>
        <v>14</v>
      </c>
      <c r="AF22" s="31">
        <f t="shared" si="14"/>
        <v>71</v>
      </c>
    </row>
    <row r="23" spans="2:32" ht="23.1" customHeight="1" x14ac:dyDescent="0.25">
      <c r="B23" s="45" t="s">
        <v>50</v>
      </c>
      <c r="C23" s="50">
        <v>4</v>
      </c>
      <c r="D23" s="50">
        <v>0</v>
      </c>
      <c r="E23" s="50">
        <v>3</v>
      </c>
      <c r="F23" s="50">
        <v>1</v>
      </c>
      <c r="G23" s="50">
        <v>1</v>
      </c>
      <c r="H23" s="50">
        <v>0</v>
      </c>
      <c r="I23" s="50">
        <v>1</v>
      </c>
      <c r="J23" s="50">
        <v>0</v>
      </c>
      <c r="K23" s="50">
        <v>1</v>
      </c>
      <c r="L23" s="50">
        <v>0</v>
      </c>
      <c r="M23" s="50">
        <v>22</v>
      </c>
      <c r="N23" s="50">
        <v>0</v>
      </c>
      <c r="O23" s="15">
        <f t="shared" si="0"/>
        <v>11</v>
      </c>
      <c r="P23" s="15">
        <f t="shared" si="1"/>
        <v>33</v>
      </c>
      <c r="R23" s="36" t="s">
        <v>147</v>
      </c>
      <c r="S23" s="34">
        <f>SUM(C62:C65)</f>
        <v>6</v>
      </c>
      <c r="T23" s="34">
        <f t="shared" ref="T23:AF23" si="15">SUM(D62:D65)</f>
        <v>2</v>
      </c>
      <c r="U23" s="34">
        <f t="shared" si="15"/>
        <v>11</v>
      </c>
      <c r="V23" s="34">
        <f t="shared" si="15"/>
        <v>5</v>
      </c>
      <c r="W23" s="34">
        <f t="shared" si="15"/>
        <v>1</v>
      </c>
      <c r="X23" s="34">
        <f t="shared" si="15"/>
        <v>0</v>
      </c>
      <c r="Y23" s="34">
        <f t="shared" si="15"/>
        <v>5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27</v>
      </c>
      <c r="AD23" s="34">
        <f t="shared" si="15"/>
        <v>0</v>
      </c>
      <c r="AE23" s="31">
        <f t="shared" si="15"/>
        <v>32</v>
      </c>
      <c r="AF23" s="31">
        <f t="shared" si="15"/>
        <v>59</v>
      </c>
    </row>
    <row r="24" spans="2:32" ht="23.1" customHeight="1" x14ac:dyDescent="0.25">
      <c r="B24" s="45" t="s">
        <v>51</v>
      </c>
      <c r="C24" s="50">
        <v>2</v>
      </c>
      <c r="D24" s="50">
        <v>1</v>
      </c>
      <c r="E24" s="50">
        <v>5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28</v>
      </c>
      <c r="N24" s="50">
        <v>0</v>
      </c>
      <c r="O24" s="15">
        <f t="shared" si="0"/>
        <v>8</v>
      </c>
      <c r="P24" s="15">
        <f t="shared" si="1"/>
        <v>36</v>
      </c>
      <c r="R24" s="36" t="s">
        <v>148</v>
      </c>
      <c r="S24" s="34">
        <f>SUM(C66:C69)</f>
        <v>8</v>
      </c>
      <c r="T24" s="34">
        <f t="shared" ref="T24:AF24" si="16">SUM(D66:D69)</f>
        <v>0</v>
      </c>
      <c r="U24" s="34">
        <f t="shared" si="16"/>
        <v>6</v>
      </c>
      <c r="V24" s="34">
        <f t="shared" si="16"/>
        <v>4</v>
      </c>
      <c r="W24" s="34">
        <f t="shared" si="16"/>
        <v>0</v>
      </c>
      <c r="X24" s="34">
        <f t="shared" si="16"/>
        <v>0</v>
      </c>
      <c r="Y24" s="34">
        <f t="shared" si="16"/>
        <v>4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38</v>
      </c>
      <c r="AD24" s="34">
        <f t="shared" si="16"/>
        <v>0</v>
      </c>
      <c r="AE24" s="31">
        <f t="shared" si="16"/>
        <v>22</v>
      </c>
      <c r="AF24" s="31">
        <f t="shared" si="16"/>
        <v>60</v>
      </c>
    </row>
    <row r="25" spans="2:32" ht="23.1" customHeight="1" x14ac:dyDescent="0.25">
      <c r="B25" s="45" t="s">
        <v>52</v>
      </c>
      <c r="C25" s="50">
        <v>4</v>
      </c>
      <c r="D25" s="50">
        <v>0</v>
      </c>
      <c r="E25" s="50">
        <v>2</v>
      </c>
      <c r="F25" s="50">
        <v>5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30</v>
      </c>
      <c r="N25" s="50">
        <v>0</v>
      </c>
      <c r="O25" s="15">
        <f t="shared" si="0"/>
        <v>12</v>
      </c>
      <c r="P25" s="15">
        <f t="shared" si="1"/>
        <v>42</v>
      </c>
      <c r="R25" s="36" t="s">
        <v>149</v>
      </c>
      <c r="S25" s="34">
        <f>SUM(C70:C73)</f>
        <v>6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21</v>
      </c>
      <c r="AD25" s="34">
        <f t="shared" si="17"/>
        <v>0</v>
      </c>
      <c r="AE25" s="31">
        <f t="shared" si="17"/>
        <v>10</v>
      </c>
      <c r="AF25" s="31">
        <f t="shared" si="17"/>
        <v>31</v>
      </c>
    </row>
    <row r="26" spans="2:32" ht="23.1" customHeight="1" x14ac:dyDescent="0.25">
      <c r="B26" s="45" t="s">
        <v>53</v>
      </c>
      <c r="C26" s="50">
        <v>3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27</v>
      </c>
      <c r="N26" s="50">
        <v>0</v>
      </c>
      <c r="O26" s="15">
        <f t="shared" si="0"/>
        <v>7</v>
      </c>
      <c r="P26" s="15">
        <f t="shared" si="1"/>
        <v>34</v>
      </c>
      <c r="R26" s="36" t="s">
        <v>150</v>
      </c>
      <c r="S26" s="34">
        <f>SUM(C74:C77)</f>
        <v>2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14</v>
      </c>
      <c r="AD26" s="34">
        <f t="shared" si="18"/>
        <v>0</v>
      </c>
      <c r="AE26" s="31">
        <f t="shared" si="18"/>
        <v>6</v>
      </c>
      <c r="AF26" s="31">
        <f t="shared" si="18"/>
        <v>20</v>
      </c>
    </row>
    <row r="27" spans="2:32" ht="23.1" customHeight="1" x14ac:dyDescent="0.25">
      <c r="B27" s="45" t="s">
        <v>54</v>
      </c>
      <c r="C27" s="50">
        <v>10</v>
      </c>
      <c r="D27" s="50">
        <v>1</v>
      </c>
      <c r="E27" s="50">
        <v>4</v>
      </c>
      <c r="F27" s="50">
        <v>5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34</v>
      </c>
      <c r="N27" s="50">
        <v>0</v>
      </c>
      <c r="O27" s="15">
        <f t="shared" si="0"/>
        <v>20</v>
      </c>
      <c r="P27" s="15">
        <f t="shared" si="1"/>
        <v>54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5</v>
      </c>
      <c r="AD27" s="34">
        <f t="shared" si="19"/>
        <v>0</v>
      </c>
      <c r="AE27" s="31">
        <f t="shared" si="19"/>
        <v>1</v>
      </c>
      <c r="AF27" s="31">
        <f t="shared" si="19"/>
        <v>6</v>
      </c>
    </row>
    <row r="28" spans="2:32" ht="23.1" customHeight="1" x14ac:dyDescent="0.25">
      <c r="B28" s="45" t="s">
        <v>55</v>
      </c>
      <c r="C28" s="50">
        <v>0</v>
      </c>
      <c r="D28" s="50">
        <v>1</v>
      </c>
      <c r="E28" s="50">
        <v>5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40</v>
      </c>
      <c r="N28" s="50">
        <v>0</v>
      </c>
      <c r="O28" s="15">
        <f t="shared" si="0"/>
        <v>8</v>
      </c>
      <c r="P28" s="15">
        <f t="shared" si="1"/>
        <v>48</v>
      </c>
      <c r="R28" s="36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2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5</v>
      </c>
      <c r="AF28" s="31">
        <f t="shared" si="20"/>
        <v>5</v>
      </c>
    </row>
    <row r="29" spans="2:32" ht="23.1" customHeight="1" x14ac:dyDescent="0.25">
      <c r="B29" s="45" t="s">
        <v>56</v>
      </c>
      <c r="C29" s="50">
        <v>5</v>
      </c>
      <c r="D29" s="50">
        <v>0</v>
      </c>
      <c r="E29" s="50">
        <v>0</v>
      </c>
      <c r="F29" s="50">
        <v>5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17</v>
      </c>
      <c r="N29" s="50">
        <v>0</v>
      </c>
      <c r="O29" s="15">
        <f t="shared" si="0"/>
        <v>11</v>
      </c>
      <c r="P29" s="15">
        <f t="shared" si="1"/>
        <v>28</v>
      </c>
      <c r="R29" s="36" t="s">
        <v>153</v>
      </c>
      <c r="S29" s="34">
        <f>SUM(C86:C89)</f>
        <v>4</v>
      </c>
      <c r="T29" s="34">
        <f t="shared" ref="T29:AF29" si="21">SUM(D86:D89)</f>
        <v>0</v>
      </c>
      <c r="U29" s="34">
        <f t="shared" si="21"/>
        <v>4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9</v>
      </c>
      <c r="AF29" s="31">
        <f t="shared" si="21"/>
        <v>9</v>
      </c>
    </row>
    <row r="30" spans="2:32" ht="23.1" customHeight="1" x14ac:dyDescent="0.25">
      <c r="B30" s="45" t="s">
        <v>57</v>
      </c>
      <c r="C30" s="50">
        <v>8</v>
      </c>
      <c r="D30" s="50">
        <v>1</v>
      </c>
      <c r="E30" s="50">
        <v>5</v>
      </c>
      <c r="F30" s="50">
        <v>3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36</v>
      </c>
      <c r="N30" s="50">
        <v>0</v>
      </c>
      <c r="O30" s="15">
        <f t="shared" si="0"/>
        <v>18</v>
      </c>
      <c r="P30" s="15">
        <f t="shared" si="1"/>
        <v>54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4</v>
      </c>
      <c r="W30" s="34">
        <f t="shared" si="22"/>
        <v>0</v>
      </c>
      <c r="X30" s="34">
        <f t="shared" si="22"/>
        <v>1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40</v>
      </c>
      <c r="AD30" s="34">
        <f t="shared" si="22"/>
        <v>0</v>
      </c>
      <c r="AE30" s="31">
        <f t="shared" si="22"/>
        <v>10</v>
      </c>
      <c r="AF30" s="31">
        <f t="shared" si="22"/>
        <v>50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0</v>
      </c>
      <c r="F31" s="50">
        <v>3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27</v>
      </c>
      <c r="N31" s="50">
        <v>0</v>
      </c>
      <c r="O31" s="15">
        <f t="shared" si="0"/>
        <v>5</v>
      </c>
      <c r="P31" s="15">
        <f t="shared" si="1"/>
        <v>32</v>
      </c>
      <c r="R31" s="36" t="s">
        <v>155</v>
      </c>
      <c r="S31" s="34">
        <f>SUM(C94:C97)</f>
        <v>4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3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34</v>
      </c>
      <c r="AD31" s="34">
        <f t="shared" si="23"/>
        <v>0</v>
      </c>
      <c r="AE31" s="31">
        <f t="shared" si="23"/>
        <v>11</v>
      </c>
      <c r="AF31" s="31">
        <f t="shared" si="23"/>
        <v>45</v>
      </c>
    </row>
    <row r="32" spans="2:32" ht="23.1" customHeight="1" x14ac:dyDescent="0.25">
      <c r="B32" s="46" t="s">
        <v>59</v>
      </c>
      <c r="C32" s="50">
        <v>3</v>
      </c>
      <c r="D32" s="50">
        <v>0</v>
      </c>
      <c r="E32" s="50">
        <v>0</v>
      </c>
      <c r="F32" s="50">
        <v>3</v>
      </c>
      <c r="G32" s="50">
        <v>1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17</v>
      </c>
      <c r="N32" s="50">
        <v>0</v>
      </c>
      <c r="O32" s="15">
        <f t="shared" si="0"/>
        <v>8</v>
      </c>
      <c r="P32" s="15">
        <f t="shared" si="1"/>
        <v>25</v>
      </c>
      <c r="R32" s="33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4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20</v>
      </c>
      <c r="AD32" s="34">
        <f t="shared" si="24"/>
        <v>0</v>
      </c>
      <c r="AE32" s="31">
        <f t="shared" si="24"/>
        <v>7</v>
      </c>
      <c r="AF32" s="31">
        <f t="shared" si="24"/>
        <v>27</v>
      </c>
    </row>
    <row r="33" spans="2:32" ht="23.1" customHeight="1" x14ac:dyDescent="0.25">
      <c r="B33" s="45" t="s">
        <v>60</v>
      </c>
      <c r="C33" s="50">
        <v>2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32</v>
      </c>
      <c r="N33" s="50">
        <v>0</v>
      </c>
      <c r="O33" s="15">
        <f t="shared" si="0"/>
        <v>4</v>
      </c>
      <c r="P33" s="15">
        <f t="shared" si="1"/>
        <v>36</v>
      </c>
      <c r="R33" s="33" t="s">
        <v>157</v>
      </c>
      <c r="S33" s="34">
        <f>SUM(C102:C105)</f>
        <v>4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6</v>
      </c>
      <c r="W33" s="34">
        <f t="shared" si="25"/>
        <v>2</v>
      </c>
      <c r="X33" s="34">
        <f t="shared" si="25"/>
        <v>2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22</v>
      </c>
      <c r="AD33" s="34">
        <f t="shared" si="25"/>
        <v>0</v>
      </c>
      <c r="AE33" s="31">
        <f t="shared" si="25"/>
        <v>15</v>
      </c>
      <c r="AF33" s="31">
        <f t="shared" si="25"/>
        <v>37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2</v>
      </c>
      <c r="F34" s="50">
        <v>3</v>
      </c>
      <c r="G34" s="50">
        <v>3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30</v>
      </c>
      <c r="N34" s="50">
        <v>0</v>
      </c>
      <c r="O34" s="15">
        <f t="shared" si="0"/>
        <v>8</v>
      </c>
      <c r="P34" s="15">
        <f t="shared" si="1"/>
        <v>38</v>
      </c>
      <c r="R34" s="38" t="s">
        <v>90</v>
      </c>
      <c r="S34" s="39">
        <f t="shared" ref="S34:AF34" si="26">MAX(S10:S12)</f>
        <v>11</v>
      </c>
      <c r="T34" s="39">
        <f t="shared" si="26"/>
        <v>1</v>
      </c>
      <c r="U34" s="39">
        <f t="shared" si="26"/>
        <v>9</v>
      </c>
      <c r="V34" s="39">
        <f t="shared" si="26"/>
        <v>9</v>
      </c>
      <c r="W34" s="39">
        <f t="shared" si="26"/>
        <v>0</v>
      </c>
      <c r="X34" s="39">
        <f t="shared" si="26"/>
        <v>1</v>
      </c>
      <c r="Y34" s="39">
        <f t="shared" si="26"/>
        <v>3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115</v>
      </c>
      <c r="AD34" s="39">
        <f t="shared" si="26"/>
        <v>0</v>
      </c>
      <c r="AE34" s="40">
        <f t="shared" si="26"/>
        <v>31</v>
      </c>
      <c r="AF34" s="40">
        <f t="shared" si="26"/>
        <v>137</v>
      </c>
    </row>
    <row r="35" spans="2:32" ht="23.1" customHeight="1" x14ac:dyDescent="0.25">
      <c r="B35" s="46" t="s">
        <v>62</v>
      </c>
      <c r="C35" s="50">
        <v>4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18</v>
      </c>
      <c r="N35" s="50">
        <v>0</v>
      </c>
      <c r="O35" s="15">
        <f t="shared" si="0"/>
        <v>6</v>
      </c>
      <c r="P35" s="15">
        <f t="shared" si="1"/>
        <v>24</v>
      </c>
      <c r="R35" s="38" t="s">
        <v>91</v>
      </c>
      <c r="S35" s="39">
        <f t="shared" ref="S35:AF35" si="27">MAX(S13:S18)</f>
        <v>18</v>
      </c>
      <c r="T35" s="39">
        <f t="shared" si="27"/>
        <v>2</v>
      </c>
      <c r="U35" s="39">
        <f t="shared" si="27"/>
        <v>11</v>
      </c>
      <c r="V35" s="39">
        <f t="shared" si="27"/>
        <v>12</v>
      </c>
      <c r="W35" s="39">
        <f t="shared" si="27"/>
        <v>3</v>
      </c>
      <c r="X35" s="39">
        <f t="shared" si="27"/>
        <v>0</v>
      </c>
      <c r="Y35" s="39">
        <f t="shared" si="27"/>
        <v>5</v>
      </c>
      <c r="Z35" s="39">
        <f t="shared" si="27"/>
        <v>2</v>
      </c>
      <c r="AA35" s="39">
        <f t="shared" si="27"/>
        <v>1</v>
      </c>
      <c r="AB35" s="39">
        <f t="shared" si="27"/>
        <v>0</v>
      </c>
      <c r="AC35" s="39">
        <f t="shared" si="27"/>
        <v>118</v>
      </c>
      <c r="AD35" s="39">
        <f t="shared" si="27"/>
        <v>0</v>
      </c>
      <c r="AE35" s="40">
        <f t="shared" si="27"/>
        <v>46</v>
      </c>
      <c r="AF35" s="40">
        <f t="shared" si="27"/>
        <v>164</v>
      </c>
    </row>
    <row r="36" spans="2:32" ht="23.1" customHeight="1" x14ac:dyDescent="0.25">
      <c r="B36" s="46" t="s">
        <v>63</v>
      </c>
      <c r="C36" s="50">
        <v>1</v>
      </c>
      <c r="D36" s="50">
        <v>0</v>
      </c>
      <c r="E36" s="50">
        <v>2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5</v>
      </c>
      <c r="P36" s="15">
        <f t="shared" si="1"/>
        <v>15</v>
      </c>
      <c r="R36" s="38" t="s">
        <v>92</v>
      </c>
      <c r="S36" s="39">
        <f t="shared" ref="S36:AF36" si="28">MAX(S19:S21)</f>
        <v>12</v>
      </c>
      <c r="T36" s="39">
        <f t="shared" si="28"/>
        <v>3</v>
      </c>
      <c r="U36" s="39">
        <f t="shared" si="28"/>
        <v>16</v>
      </c>
      <c r="V36" s="39">
        <f t="shared" si="28"/>
        <v>17</v>
      </c>
      <c r="W36" s="39">
        <f t="shared" si="28"/>
        <v>1</v>
      </c>
      <c r="X36" s="39">
        <f t="shared" si="28"/>
        <v>0</v>
      </c>
      <c r="Y36" s="39">
        <f t="shared" si="28"/>
        <v>4</v>
      </c>
      <c r="Z36" s="39">
        <f t="shared" si="28"/>
        <v>3</v>
      </c>
      <c r="AA36" s="39">
        <f t="shared" si="28"/>
        <v>0</v>
      </c>
      <c r="AB36" s="39">
        <f t="shared" si="28"/>
        <v>0</v>
      </c>
      <c r="AC36" s="39">
        <f t="shared" si="28"/>
        <v>98</v>
      </c>
      <c r="AD36" s="39">
        <f t="shared" si="28"/>
        <v>1</v>
      </c>
      <c r="AE36" s="40">
        <f t="shared" si="28"/>
        <v>52</v>
      </c>
      <c r="AF36" s="40">
        <f t="shared" si="28"/>
        <v>136</v>
      </c>
    </row>
    <row r="37" spans="2:32" ht="23.1" customHeight="1" x14ac:dyDescent="0.25">
      <c r="B37" s="45" t="s">
        <v>64</v>
      </c>
      <c r="C37" s="50">
        <v>1</v>
      </c>
      <c r="D37" s="50">
        <v>0</v>
      </c>
      <c r="E37" s="50">
        <v>2</v>
      </c>
      <c r="F37" s="50">
        <v>2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24</v>
      </c>
      <c r="N37" s="50">
        <v>0</v>
      </c>
      <c r="O37" s="15">
        <f t="shared" si="0"/>
        <v>7</v>
      </c>
      <c r="P37" s="15">
        <f t="shared" si="1"/>
        <v>31</v>
      </c>
      <c r="R37" s="37" t="s">
        <v>85</v>
      </c>
      <c r="S37" s="35">
        <f t="shared" ref="S37:AF37" si="29">SUM(S10:S12)</f>
        <v>14</v>
      </c>
      <c r="T37" s="16">
        <f t="shared" si="29"/>
        <v>3</v>
      </c>
      <c r="U37" s="16">
        <f t="shared" si="29"/>
        <v>24</v>
      </c>
      <c r="V37" s="16">
        <f t="shared" si="29"/>
        <v>24</v>
      </c>
      <c r="W37" s="16">
        <f t="shared" si="29"/>
        <v>0</v>
      </c>
      <c r="X37" s="16">
        <f t="shared" si="29"/>
        <v>3</v>
      </c>
      <c r="Y37" s="16">
        <f t="shared" si="29"/>
        <v>6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321</v>
      </c>
      <c r="AD37" s="16">
        <f t="shared" si="29"/>
        <v>0</v>
      </c>
      <c r="AE37" s="32">
        <f t="shared" si="29"/>
        <v>74</v>
      </c>
      <c r="AF37" s="32">
        <f t="shared" si="29"/>
        <v>395</v>
      </c>
    </row>
    <row r="38" spans="2:32" ht="23.1" customHeight="1" x14ac:dyDescent="0.25">
      <c r="B38" s="46" t="s">
        <v>65</v>
      </c>
      <c r="C38" s="50">
        <v>2</v>
      </c>
      <c r="D38" s="50">
        <v>0</v>
      </c>
      <c r="E38" s="50">
        <v>1</v>
      </c>
      <c r="F38" s="50">
        <v>3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20</v>
      </c>
      <c r="N38" s="50">
        <v>0</v>
      </c>
      <c r="O38" s="15">
        <f t="shared" si="0"/>
        <v>6</v>
      </c>
      <c r="P38" s="15">
        <f t="shared" si="1"/>
        <v>26</v>
      </c>
      <c r="R38" s="28" t="s">
        <v>86</v>
      </c>
      <c r="S38" s="16">
        <f t="shared" ref="S38:AF38" si="30">SUM(S13:S18)</f>
        <v>57</v>
      </c>
      <c r="T38" s="16">
        <f t="shared" si="30"/>
        <v>4</v>
      </c>
      <c r="U38" s="16">
        <f t="shared" si="30"/>
        <v>47</v>
      </c>
      <c r="V38" s="16">
        <f t="shared" si="30"/>
        <v>51</v>
      </c>
      <c r="W38" s="16">
        <f t="shared" si="30"/>
        <v>5</v>
      </c>
      <c r="X38" s="16">
        <f t="shared" si="30"/>
        <v>0</v>
      </c>
      <c r="Y38" s="16">
        <f t="shared" si="30"/>
        <v>16</v>
      </c>
      <c r="Z38" s="16">
        <f t="shared" si="30"/>
        <v>3</v>
      </c>
      <c r="AA38" s="16">
        <f t="shared" si="30"/>
        <v>1</v>
      </c>
      <c r="AB38" s="16">
        <f t="shared" si="30"/>
        <v>0</v>
      </c>
      <c r="AC38" s="16">
        <f t="shared" si="30"/>
        <v>514</v>
      </c>
      <c r="AD38" s="16">
        <f t="shared" si="30"/>
        <v>0</v>
      </c>
      <c r="AE38" s="32">
        <f t="shared" si="30"/>
        <v>184</v>
      </c>
      <c r="AF38" s="32">
        <f t="shared" si="30"/>
        <v>698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0</v>
      </c>
      <c r="F39" s="50">
        <v>4</v>
      </c>
      <c r="G39" s="50">
        <v>0</v>
      </c>
      <c r="H39" s="50">
        <v>0</v>
      </c>
      <c r="I39" s="50">
        <v>1</v>
      </c>
      <c r="J39" s="50">
        <v>2</v>
      </c>
      <c r="K39" s="50">
        <v>0</v>
      </c>
      <c r="L39" s="50">
        <v>0</v>
      </c>
      <c r="M39" s="50">
        <v>15</v>
      </c>
      <c r="N39" s="50">
        <v>0</v>
      </c>
      <c r="O39" s="15">
        <f t="shared" si="0"/>
        <v>9</v>
      </c>
      <c r="P39" s="15">
        <f t="shared" si="1"/>
        <v>24</v>
      </c>
      <c r="R39" s="29" t="s">
        <v>87</v>
      </c>
      <c r="S39" s="16">
        <f t="shared" ref="S39:AF39" si="31">SUM(S19:S21)</f>
        <v>27</v>
      </c>
      <c r="T39" s="16">
        <f t="shared" si="31"/>
        <v>5</v>
      </c>
      <c r="U39" s="16">
        <f t="shared" si="31"/>
        <v>43</v>
      </c>
      <c r="V39" s="16">
        <f t="shared" si="31"/>
        <v>40</v>
      </c>
      <c r="W39" s="16">
        <f t="shared" si="31"/>
        <v>2</v>
      </c>
      <c r="X39" s="16">
        <f t="shared" si="31"/>
        <v>0</v>
      </c>
      <c r="Y39" s="16">
        <f t="shared" si="31"/>
        <v>8</v>
      </c>
      <c r="Z39" s="16">
        <f t="shared" si="31"/>
        <v>5</v>
      </c>
      <c r="AA39" s="16">
        <f t="shared" si="31"/>
        <v>0</v>
      </c>
      <c r="AB39" s="16">
        <f t="shared" si="31"/>
        <v>0</v>
      </c>
      <c r="AC39" s="16">
        <f t="shared" si="31"/>
        <v>262</v>
      </c>
      <c r="AD39" s="16">
        <f t="shared" si="31"/>
        <v>1</v>
      </c>
      <c r="AE39" s="32">
        <f t="shared" si="31"/>
        <v>131</v>
      </c>
      <c r="AF39" s="32">
        <f t="shared" si="31"/>
        <v>393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3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7</v>
      </c>
      <c r="N40" s="50">
        <v>0</v>
      </c>
      <c r="O40" s="15">
        <f t="shared" si="0"/>
        <v>5</v>
      </c>
      <c r="P40" s="15">
        <f t="shared" si="1"/>
        <v>12</v>
      </c>
      <c r="R40" s="5" t="s">
        <v>17</v>
      </c>
      <c r="S40" s="16">
        <f t="shared" ref="S40:AF40" si="32">SUM(S10:S21)</f>
        <v>98</v>
      </c>
      <c r="T40" s="16">
        <f t="shared" si="32"/>
        <v>12</v>
      </c>
      <c r="U40" s="16">
        <f t="shared" si="32"/>
        <v>114</v>
      </c>
      <c r="V40" s="16">
        <f t="shared" si="32"/>
        <v>115</v>
      </c>
      <c r="W40" s="16">
        <f t="shared" si="32"/>
        <v>7</v>
      </c>
      <c r="X40" s="16">
        <f t="shared" si="32"/>
        <v>3</v>
      </c>
      <c r="Y40" s="16">
        <f t="shared" si="32"/>
        <v>30</v>
      </c>
      <c r="Z40" s="16">
        <f t="shared" si="32"/>
        <v>8</v>
      </c>
      <c r="AA40" s="16">
        <f t="shared" si="32"/>
        <v>1</v>
      </c>
      <c r="AB40" s="16">
        <f t="shared" si="32"/>
        <v>0</v>
      </c>
      <c r="AC40" s="16">
        <f t="shared" si="32"/>
        <v>1097</v>
      </c>
      <c r="AD40" s="16">
        <f t="shared" si="32"/>
        <v>1</v>
      </c>
      <c r="AE40" s="32">
        <f t="shared" si="32"/>
        <v>389</v>
      </c>
      <c r="AF40" s="32">
        <f t="shared" si="32"/>
        <v>1486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5</v>
      </c>
      <c r="P41" s="15">
        <f t="shared" si="1"/>
        <v>5</v>
      </c>
      <c r="R41" s="5" t="s">
        <v>159</v>
      </c>
      <c r="S41" s="16">
        <f>SUM(S10:S33)</f>
        <v>145</v>
      </c>
      <c r="T41" s="16">
        <f t="shared" ref="T41:AF41" si="33">SUM(T10:T33)</f>
        <v>15</v>
      </c>
      <c r="U41" s="16">
        <f t="shared" si="33"/>
        <v>147</v>
      </c>
      <c r="V41" s="16">
        <f t="shared" si="33"/>
        <v>141</v>
      </c>
      <c r="W41" s="16">
        <f t="shared" si="33"/>
        <v>10</v>
      </c>
      <c r="X41" s="16">
        <f t="shared" si="33"/>
        <v>11</v>
      </c>
      <c r="Y41" s="16">
        <f t="shared" si="33"/>
        <v>50</v>
      </c>
      <c r="Z41" s="16">
        <f t="shared" si="33"/>
        <v>10</v>
      </c>
      <c r="AA41" s="16">
        <f t="shared" si="33"/>
        <v>1</v>
      </c>
      <c r="AB41" s="16">
        <f t="shared" si="33"/>
        <v>0</v>
      </c>
      <c r="AC41" s="16">
        <f t="shared" si="33"/>
        <v>1375</v>
      </c>
      <c r="AD41" s="16">
        <f t="shared" si="33"/>
        <v>1</v>
      </c>
      <c r="AE41" s="32">
        <f t="shared" si="33"/>
        <v>531</v>
      </c>
      <c r="AF41" s="32">
        <f t="shared" si="33"/>
        <v>1906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2</v>
      </c>
      <c r="F42" s="50">
        <v>1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4</v>
      </c>
      <c r="P42" s="15">
        <f t="shared" si="1"/>
        <v>4</v>
      </c>
      <c r="R42" s="5" t="s">
        <v>160</v>
      </c>
      <c r="S42" s="48">
        <f>S41/S40</f>
        <v>1.4795918367346939</v>
      </c>
      <c r="T42" s="48">
        <f t="shared" ref="T42:AF42" si="34">T41/T40</f>
        <v>1.25</v>
      </c>
      <c r="U42" s="48">
        <f t="shared" si="34"/>
        <v>1.2894736842105263</v>
      </c>
      <c r="V42" s="48">
        <f t="shared" si="34"/>
        <v>1.2260869565217392</v>
      </c>
      <c r="W42" s="48">
        <f t="shared" si="34"/>
        <v>1.4285714285714286</v>
      </c>
      <c r="X42" s="48">
        <f t="shared" si="34"/>
        <v>3.6666666666666665</v>
      </c>
      <c r="Y42" s="48">
        <f t="shared" si="34"/>
        <v>1.6666666666666667</v>
      </c>
      <c r="Z42" s="48">
        <f t="shared" si="34"/>
        <v>1.25</v>
      </c>
      <c r="AA42" s="48">
        <f t="shared" si="34"/>
        <v>1</v>
      </c>
      <c r="AB42" s="48" t="e">
        <f t="shared" si="34"/>
        <v>#DIV/0!</v>
      </c>
      <c r="AC42" s="48">
        <f t="shared" si="34"/>
        <v>1.2534184138559707</v>
      </c>
      <c r="AD42" s="48">
        <f t="shared" si="34"/>
        <v>1</v>
      </c>
      <c r="AE42" s="48">
        <f t="shared" si="34"/>
        <v>1.3650385604113111</v>
      </c>
      <c r="AF42" s="48">
        <f t="shared" si="34"/>
        <v>1.2826379542395694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1</v>
      </c>
      <c r="F43" s="50">
        <v>3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18</v>
      </c>
      <c r="N43" s="50">
        <v>0</v>
      </c>
      <c r="O43" s="15">
        <f t="shared" si="0"/>
        <v>5</v>
      </c>
      <c r="P43" s="15">
        <f t="shared" si="1"/>
        <v>23</v>
      </c>
    </row>
    <row r="44" spans="2:32" ht="23.1" customHeight="1" x14ac:dyDescent="0.25">
      <c r="B44" s="47" t="s">
        <v>71</v>
      </c>
      <c r="C44" s="50">
        <v>3</v>
      </c>
      <c r="D44" s="50">
        <v>0</v>
      </c>
      <c r="E44" s="50">
        <v>2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17</v>
      </c>
      <c r="N44" s="50">
        <v>0</v>
      </c>
      <c r="O44" s="15">
        <f t="shared" si="0"/>
        <v>5</v>
      </c>
      <c r="P44" s="15">
        <f t="shared" si="1"/>
        <v>22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2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25</v>
      </c>
      <c r="N45" s="50">
        <v>0</v>
      </c>
      <c r="O45" s="15">
        <f t="shared" si="0"/>
        <v>2</v>
      </c>
      <c r="P45" s="15">
        <f t="shared" si="1"/>
        <v>27</v>
      </c>
    </row>
    <row r="46" spans="2:32" ht="23.1" customHeight="1" x14ac:dyDescent="0.25">
      <c r="B46" s="46" t="s">
        <v>73</v>
      </c>
      <c r="C46" s="50">
        <v>4</v>
      </c>
      <c r="D46" s="50">
        <v>1</v>
      </c>
      <c r="E46" s="50">
        <v>5</v>
      </c>
      <c r="F46" s="50">
        <v>6</v>
      </c>
      <c r="G46" s="50">
        <v>1</v>
      </c>
      <c r="H46" s="50">
        <v>0</v>
      </c>
      <c r="I46" s="50">
        <v>4</v>
      </c>
      <c r="J46" s="50">
        <v>2</v>
      </c>
      <c r="K46" s="50">
        <v>0</v>
      </c>
      <c r="L46" s="50">
        <v>0</v>
      </c>
      <c r="M46" s="50">
        <v>27</v>
      </c>
      <c r="N46" s="50">
        <v>0</v>
      </c>
      <c r="O46" s="15">
        <f t="shared" si="0"/>
        <v>23</v>
      </c>
      <c r="P46" s="15">
        <f t="shared" si="1"/>
        <v>50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1</v>
      </c>
      <c r="E47" s="50">
        <v>4</v>
      </c>
      <c r="F47" s="50">
        <v>4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22</v>
      </c>
      <c r="N47" s="50">
        <v>0</v>
      </c>
      <c r="O47" s="15">
        <f t="shared" si="0"/>
        <v>11</v>
      </c>
      <c r="P47" s="15">
        <f t="shared" si="1"/>
        <v>33</v>
      </c>
      <c r="R47" s="8"/>
      <c r="T47"/>
    </row>
    <row r="48" spans="2:32" ht="23.1" customHeight="1" x14ac:dyDescent="0.25">
      <c r="B48" s="46" t="s">
        <v>75</v>
      </c>
      <c r="C48" s="50">
        <v>3</v>
      </c>
      <c r="D48" s="50">
        <v>0</v>
      </c>
      <c r="E48" s="50">
        <v>2</v>
      </c>
      <c r="F48" s="50">
        <v>3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17</v>
      </c>
      <c r="N48" s="50">
        <v>0</v>
      </c>
      <c r="O48" s="15">
        <f t="shared" si="0"/>
        <v>8</v>
      </c>
      <c r="P48" s="15">
        <f t="shared" si="1"/>
        <v>25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1</v>
      </c>
      <c r="E49" s="50">
        <v>5</v>
      </c>
      <c r="F49" s="50">
        <v>4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15</v>
      </c>
      <c r="N49" s="50">
        <v>0</v>
      </c>
      <c r="O49" s="15">
        <f t="shared" si="0"/>
        <v>10</v>
      </c>
      <c r="P49" s="15">
        <f t="shared" si="1"/>
        <v>25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0</v>
      </c>
      <c r="E50" s="50">
        <v>3</v>
      </c>
      <c r="F50" s="50">
        <v>3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30</v>
      </c>
      <c r="N50" s="50">
        <v>1</v>
      </c>
      <c r="O50" s="15">
        <f t="shared" si="0"/>
        <v>8</v>
      </c>
      <c r="P50" s="15">
        <f t="shared" si="1"/>
        <v>38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0</v>
      </c>
      <c r="E51" s="50">
        <v>3</v>
      </c>
      <c r="F51" s="50">
        <v>3</v>
      </c>
      <c r="G51" s="50">
        <v>1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27</v>
      </c>
      <c r="N51" s="50">
        <v>0</v>
      </c>
      <c r="O51" s="15">
        <f t="shared" si="0"/>
        <v>8</v>
      </c>
      <c r="P51" s="15">
        <f t="shared" si="1"/>
        <v>35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0</v>
      </c>
      <c r="E52" s="50">
        <v>3</v>
      </c>
      <c r="F52" s="50">
        <v>3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15</v>
      </c>
      <c r="N52" s="50">
        <v>0</v>
      </c>
      <c r="O52" s="15">
        <f t="shared" si="0"/>
        <v>11</v>
      </c>
      <c r="P52" s="15">
        <f t="shared" si="1"/>
        <v>26</v>
      </c>
      <c r="R52" s="8"/>
      <c r="T52"/>
    </row>
    <row r="53" spans="2:20" ht="23.1" customHeight="1" x14ac:dyDescent="0.25">
      <c r="B53" s="45" t="s">
        <v>80</v>
      </c>
      <c r="C53" s="50">
        <v>2</v>
      </c>
      <c r="D53" s="50">
        <v>0</v>
      </c>
      <c r="E53" s="50">
        <v>3</v>
      </c>
      <c r="F53" s="50">
        <v>3</v>
      </c>
      <c r="G53" s="50">
        <v>0</v>
      </c>
      <c r="H53" s="50">
        <v>0</v>
      </c>
      <c r="I53" s="50">
        <v>1</v>
      </c>
      <c r="J53" s="50">
        <v>2</v>
      </c>
      <c r="K53" s="50">
        <v>0</v>
      </c>
      <c r="L53" s="50">
        <v>0</v>
      </c>
      <c r="M53" s="50">
        <v>26</v>
      </c>
      <c r="N53" s="50">
        <v>0</v>
      </c>
      <c r="O53" s="15">
        <f t="shared" si="0"/>
        <v>11</v>
      </c>
      <c r="P53" s="15">
        <f t="shared" si="1"/>
        <v>37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1</v>
      </c>
      <c r="E54" s="50">
        <v>4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31</v>
      </c>
      <c r="N54" s="50">
        <v>0</v>
      </c>
      <c r="O54" s="15">
        <f t="shared" si="0"/>
        <v>7</v>
      </c>
      <c r="P54" s="15">
        <f t="shared" si="1"/>
        <v>38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1</v>
      </c>
      <c r="E55" s="50">
        <v>6</v>
      </c>
      <c r="F55" s="50">
        <v>5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17</v>
      </c>
      <c r="N55" s="50">
        <v>0</v>
      </c>
      <c r="O55" s="15">
        <f t="shared" si="0"/>
        <v>17</v>
      </c>
      <c r="P55" s="15">
        <f t="shared" si="1"/>
        <v>34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3</v>
      </c>
      <c r="F56" s="50">
        <v>3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16</v>
      </c>
      <c r="N56" s="50">
        <v>0</v>
      </c>
      <c r="O56" s="15">
        <f t="shared" si="0"/>
        <v>8</v>
      </c>
      <c r="P56" s="15">
        <f t="shared" si="1"/>
        <v>24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0</v>
      </c>
      <c r="E57" s="50">
        <v>2</v>
      </c>
      <c r="F57" s="50">
        <v>3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19</v>
      </c>
      <c r="N57" s="50">
        <v>0</v>
      </c>
      <c r="O57" s="15">
        <f t="shared" si="0"/>
        <v>9</v>
      </c>
      <c r="P57" s="15">
        <f t="shared" si="1"/>
        <v>28</v>
      </c>
      <c r="R57" s="8"/>
      <c r="T57"/>
    </row>
    <row r="58" spans="2:20" ht="23.1" customHeight="1" x14ac:dyDescent="0.25">
      <c r="B58" s="45" t="s">
        <v>99</v>
      </c>
      <c r="C58" s="50">
        <v>5</v>
      </c>
      <c r="D58" s="50">
        <v>1</v>
      </c>
      <c r="E58" s="50">
        <v>4</v>
      </c>
      <c r="F58" s="50">
        <v>0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25</v>
      </c>
      <c r="N58" s="50">
        <v>0</v>
      </c>
      <c r="O58" s="15">
        <f t="shared" si="0"/>
        <v>11</v>
      </c>
      <c r="P58" s="15">
        <f t="shared" si="1"/>
        <v>36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0"/>
        <v>0</v>
      </c>
      <c r="P59" s="15">
        <f t="shared" si="1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50">
        <v>23</v>
      </c>
      <c r="N60" s="50">
        <v>0</v>
      </c>
      <c r="O60" s="15">
        <f t="shared" si="0"/>
        <v>3</v>
      </c>
      <c r="P60" s="15">
        <f t="shared" si="1"/>
        <v>26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9</v>
      </c>
      <c r="N61" s="50">
        <v>0</v>
      </c>
      <c r="O61" s="15">
        <f t="shared" si="0"/>
        <v>0</v>
      </c>
      <c r="P61" s="15">
        <f t="shared" si="1"/>
        <v>9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1</v>
      </c>
      <c r="F62" s="50">
        <v>3</v>
      </c>
      <c r="G62" s="50">
        <v>1</v>
      </c>
      <c r="H62" s="50">
        <v>0</v>
      </c>
      <c r="I62" s="50">
        <v>1</v>
      </c>
      <c r="J62" s="50">
        <v>2</v>
      </c>
      <c r="K62" s="50">
        <v>0</v>
      </c>
      <c r="L62" s="50">
        <v>0</v>
      </c>
      <c r="M62" s="50">
        <v>5</v>
      </c>
      <c r="N62" s="50">
        <v>0</v>
      </c>
      <c r="O62" s="15">
        <f t="shared" si="0"/>
        <v>8</v>
      </c>
      <c r="P62" s="15">
        <f t="shared" si="1"/>
        <v>13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1</v>
      </c>
      <c r="E63" s="50">
        <v>4</v>
      </c>
      <c r="F63" s="50">
        <v>0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8</v>
      </c>
      <c r="N63" s="50">
        <v>0</v>
      </c>
      <c r="O63" s="15">
        <f t="shared" si="0"/>
        <v>6</v>
      </c>
      <c r="P63" s="15">
        <f t="shared" si="1"/>
        <v>14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1</v>
      </c>
      <c r="E64" s="50">
        <v>4</v>
      </c>
      <c r="F64" s="50">
        <v>2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7</v>
      </c>
      <c r="N64" s="50">
        <v>0</v>
      </c>
      <c r="O64" s="15">
        <f t="shared" si="0"/>
        <v>10</v>
      </c>
      <c r="P64" s="15">
        <f t="shared" si="1"/>
        <v>17</v>
      </c>
      <c r="R64" s="8"/>
      <c r="T64"/>
    </row>
    <row r="65" spans="2:20" ht="23.1" customHeight="1" x14ac:dyDescent="0.25">
      <c r="B65" s="45" t="s">
        <v>158</v>
      </c>
      <c r="C65" s="50">
        <v>4</v>
      </c>
      <c r="D65" s="50">
        <v>0</v>
      </c>
      <c r="E65" s="50">
        <v>2</v>
      </c>
      <c r="F65" s="50">
        <v>0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7</v>
      </c>
      <c r="N65" s="50">
        <v>0</v>
      </c>
      <c r="O65" s="15">
        <f t="shared" si="0"/>
        <v>8</v>
      </c>
      <c r="P65" s="15">
        <f t="shared" si="1"/>
        <v>15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0</v>
      </c>
      <c r="E66" s="50">
        <v>1</v>
      </c>
      <c r="F66" s="50">
        <v>2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8</v>
      </c>
      <c r="N66" s="50">
        <v>0</v>
      </c>
      <c r="O66" s="15">
        <f t="shared" si="0"/>
        <v>8</v>
      </c>
      <c r="P66" s="15">
        <f t="shared" si="1"/>
        <v>16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0</v>
      </c>
      <c r="E67" s="50">
        <v>2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9</v>
      </c>
      <c r="N67" s="50">
        <v>0</v>
      </c>
      <c r="O67" s="15">
        <f t="shared" si="0"/>
        <v>5</v>
      </c>
      <c r="P67" s="15">
        <f t="shared" si="1"/>
        <v>14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1</v>
      </c>
      <c r="F68" s="50">
        <v>0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6</v>
      </c>
      <c r="N68" s="50">
        <v>0</v>
      </c>
      <c r="O68" s="15">
        <f t="shared" si="0"/>
        <v>2</v>
      </c>
      <c r="P68" s="15">
        <f t="shared" si="1"/>
        <v>8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2</v>
      </c>
      <c r="F69" s="50">
        <v>2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15</v>
      </c>
      <c r="N69" s="50">
        <v>0</v>
      </c>
      <c r="O69" s="15">
        <f t="shared" si="0"/>
        <v>7</v>
      </c>
      <c r="P69" s="15">
        <f t="shared" si="1"/>
        <v>22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6</v>
      </c>
      <c r="N70" s="50">
        <v>0</v>
      </c>
      <c r="O70" s="15">
        <f t="shared" si="0"/>
        <v>3</v>
      </c>
      <c r="P70" s="15">
        <f t="shared" si="1"/>
        <v>9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3</v>
      </c>
      <c r="N71" s="50">
        <v>0</v>
      </c>
      <c r="O71" s="15">
        <f t="shared" si="0"/>
        <v>1</v>
      </c>
      <c r="P71" s="15">
        <f t="shared" si="1"/>
        <v>4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6</v>
      </c>
      <c r="N72" s="50">
        <v>0</v>
      </c>
      <c r="O72" s="15">
        <f t="shared" si="0"/>
        <v>2</v>
      </c>
      <c r="P72" s="15">
        <f t="shared" si="1"/>
        <v>8</v>
      </c>
      <c r="R72" s="8"/>
      <c r="T72"/>
    </row>
    <row r="73" spans="2:20" ht="23.1" customHeight="1" x14ac:dyDescent="0.25">
      <c r="B73" s="45" t="s">
        <v>113</v>
      </c>
      <c r="C73" s="50">
        <v>3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6</v>
      </c>
      <c r="N73" s="50">
        <v>0</v>
      </c>
      <c r="O73" s="15">
        <f t="shared" si="0"/>
        <v>4</v>
      </c>
      <c r="P73" s="15">
        <f t="shared" si="1"/>
        <v>10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4</v>
      </c>
      <c r="N74" s="50">
        <v>0</v>
      </c>
      <c r="O74" s="15">
        <f t="shared" ref="O74:O105" si="35">SUM(C74:L74,N74)</f>
        <v>1</v>
      </c>
      <c r="P74" s="15">
        <f t="shared" ref="P74:P105" si="36">SUM(C74:N74)</f>
        <v>5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2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8</v>
      </c>
      <c r="N75" s="50">
        <v>0</v>
      </c>
      <c r="O75" s="15">
        <f t="shared" si="35"/>
        <v>3</v>
      </c>
      <c r="P75" s="15">
        <f t="shared" si="36"/>
        <v>11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2</v>
      </c>
      <c r="P76" s="15">
        <f t="shared" si="36"/>
        <v>4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3</v>
      </c>
      <c r="N79" s="50">
        <v>0</v>
      </c>
      <c r="O79" s="15">
        <f t="shared" si="35"/>
        <v>1</v>
      </c>
      <c r="P79" s="15">
        <f t="shared" si="36"/>
        <v>4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0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2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2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0</v>
      </c>
      <c r="E88" s="50">
        <v>3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5</v>
      </c>
      <c r="P88" s="15">
        <f t="shared" si="36"/>
        <v>5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1</v>
      </c>
      <c r="I90" s="50">
        <v>2</v>
      </c>
      <c r="J90" s="50">
        <v>0</v>
      </c>
      <c r="K90" s="50">
        <v>0</v>
      </c>
      <c r="L90" s="50">
        <v>0</v>
      </c>
      <c r="M90" s="50">
        <v>8</v>
      </c>
      <c r="N90" s="50">
        <v>0</v>
      </c>
      <c r="O90" s="15">
        <f t="shared" si="35"/>
        <v>3</v>
      </c>
      <c r="P90" s="15">
        <f t="shared" si="36"/>
        <v>11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15</v>
      </c>
      <c r="N91" s="50">
        <v>0</v>
      </c>
      <c r="O91" s="15">
        <f t="shared" si="35"/>
        <v>3</v>
      </c>
      <c r="P91" s="15">
        <f t="shared" si="36"/>
        <v>18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3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9</v>
      </c>
      <c r="N92" s="50">
        <v>0</v>
      </c>
      <c r="O92" s="15">
        <f t="shared" si="35"/>
        <v>3</v>
      </c>
      <c r="P92" s="15">
        <f t="shared" si="36"/>
        <v>12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8</v>
      </c>
      <c r="N93" s="50">
        <v>0</v>
      </c>
      <c r="O93" s="15">
        <f t="shared" si="35"/>
        <v>1</v>
      </c>
      <c r="P93" s="15">
        <f t="shared" si="36"/>
        <v>9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2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8</v>
      </c>
      <c r="N94" s="50">
        <v>0</v>
      </c>
      <c r="O94" s="15">
        <f t="shared" si="35"/>
        <v>3</v>
      </c>
      <c r="P94" s="15">
        <f t="shared" si="36"/>
        <v>11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1</v>
      </c>
      <c r="F95" s="50">
        <v>0</v>
      </c>
      <c r="G95" s="50">
        <v>0</v>
      </c>
      <c r="H95" s="50">
        <v>1</v>
      </c>
      <c r="I95" s="50">
        <v>0</v>
      </c>
      <c r="J95" s="50">
        <v>0</v>
      </c>
      <c r="K95" s="50">
        <v>0</v>
      </c>
      <c r="L95" s="50">
        <v>0</v>
      </c>
      <c r="M95" s="50">
        <v>7</v>
      </c>
      <c r="N95" s="50">
        <v>0</v>
      </c>
      <c r="O95" s="15">
        <f t="shared" si="35"/>
        <v>3</v>
      </c>
      <c r="P95" s="15">
        <f t="shared" si="36"/>
        <v>10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9</v>
      </c>
      <c r="N96" s="50">
        <v>0</v>
      </c>
      <c r="O96" s="15">
        <f t="shared" si="35"/>
        <v>2</v>
      </c>
      <c r="P96" s="15">
        <f t="shared" si="36"/>
        <v>11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2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10</v>
      </c>
      <c r="N97" s="50">
        <v>0</v>
      </c>
      <c r="O97" s="15">
        <f t="shared" si="35"/>
        <v>3</v>
      </c>
      <c r="P97" s="15">
        <f t="shared" si="36"/>
        <v>13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5</v>
      </c>
      <c r="N98" s="50">
        <v>0</v>
      </c>
      <c r="O98" s="15">
        <f t="shared" si="35"/>
        <v>1</v>
      </c>
      <c r="P98" s="15">
        <f t="shared" si="36"/>
        <v>6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1</v>
      </c>
      <c r="I99" s="50">
        <v>0</v>
      </c>
      <c r="J99" s="50">
        <v>0</v>
      </c>
      <c r="K99" s="50">
        <v>0</v>
      </c>
      <c r="L99" s="50">
        <v>0</v>
      </c>
      <c r="M99" s="50">
        <v>5</v>
      </c>
      <c r="N99" s="50">
        <v>0</v>
      </c>
      <c r="O99" s="15">
        <f t="shared" si="35"/>
        <v>2</v>
      </c>
      <c r="P99" s="15">
        <f t="shared" si="36"/>
        <v>7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2</v>
      </c>
      <c r="I100" s="50">
        <v>0</v>
      </c>
      <c r="J100" s="50">
        <v>0</v>
      </c>
      <c r="K100" s="50">
        <v>0</v>
      </c>
      <c r="L100" s="50">
        <v>0</v>
      </c>
      <c r="M100" s="50">
        <v>8</v>
      </c>
      <c r="N100" s="50">
        <v>0</v>
      </c>
      <c r="O100" s="15">
        <f t="shared" si="35"/>
        <v>2</v>
      </c>
      <c r="P100" s="15">
        <f t="shared" si="36"/>
        <v>10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0</v>
      </c>
      <c r="G101" s="50">
        <v>0</v>
      </c>
      <c r="H101" s="50">
        <v>1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2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2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5</v>
      </c>
      <c r="N102" s="50">
        <v>0</v>
      </c>
      <c r="O102" s="15">
        <f t="shared" si="35"/>
        <v>2</v>
      </c>
      <c r="P102" s="15">
        <f t="shared" si="36"/>
        <v>7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1</v>
      </c>
      <c r="G103" s="50">
        <v>0</v>
      </c>
      <c r="H103" s="50">
        <v>1</v>
      </c>
      <c r="I103" s="50">
        <v>0</v>
      </c>
      <c r="J103" s="50">
        <v>0</v>
      </c>
      <c r="K103" s="50">
        <v>0</v>
      </c>
      <c r="L103" s="50">
        <v>0</v>
      </c>
      <c r="M103" s="50">
        <v>7</v>
      </c>
      <c r="N103" s="50">
        <v>0</v>
      </c>
      <c r="O103" s="15">
        <f t="shared" si="35"/>
        <v>2</v>
      </c>
      <c r="P103" s="15">
        <f t="shared" si="36"/>
        <v>9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2</v>
      </c>
      <c r="G104" s="50">
        <v>1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5</v>
      </c>
      <c r="P104" s="15">
        <f t="shared" si="36"/>
        <v>8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0</v>
      </c>
      <c r="E105" s="50">
        <v>0</v>
      </c>
      <c r="F105" s="50">
        <v>1</v>
      </c>
      <c r="G105" s="50">
        <v>1</v>
      </c>
      <c r="H105" s="50">
        <v>1</v>
      </c>
      <c r="I105" s="50">
        <v>0</v>
      </c>
      <c r="J105" s="50">
        <v>0</v>
      </c>
      <c r="K105" s="50">
        <v>0</v>
      </c>
      <c r="L105" s="50">
        <v>0</v>
      </c>
      <c r="M105" s="50">
        <v>7</v>
      </c>
      <c r="N105" s="50">
        <v>0</v>
      </c>
      <c r="O105" s="15">
        <f t="shared" si="35"/>
        <v>6</v>
      </c>
      <c r="P105" s="15">
        <f t="shared" si="36"/>
        <v>13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145</v>
      </c>
      <c r="D106" s="16">
        <f t="shared" ref="D106:P106" si="37">SUM(D10:D105)</f>
        <v>15</v>
      </c>
      <c r="E106" s="16">
        <f t="shared" si="37"/>
        <v>147</v>
      </c>
      <c r="F106" s="16">
        <f t="shared" si="37"/>
        <v>141</v>
      </c>
      <c r="G106" s="16">
        <f t="shared" si="37"/>
        <v>10</v>
      </c>
      <c r="H106" s="16">
        <f t="shared" si="37"/>
        <v>11</v>
      </c>
      <c r="I106" s="16">
        <f t="shared" si="37"/>
        <v>50</v>
      </c>
      <c r="J106" s="16">
        <f t="shared" si="37"/>
        <v>10</v>
      </c>
      <c r="K106" s="16">
        <f t="shared" si="37"/>
        <v>1</v>
      </c>
      <c r="L106" s="16">
        <f t="shared" si="37"/>
        <v>0</v>
      </c>
      <c r="M106" s="16">
        <f t="shared" si="37"/>
        <v>1375</v>
      </c>
      <c r="N106" s="16">
        <f t="shared" si="37"/>
        <v>1</v>
      </c>
      <c r="O106" s="16">
        <f t="shared" si="37"/>
        <v>531</v>
      </c>
      <c r="P106" s="16">
        <f t="shared" si="37"/>
        <v>1906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7.6075550891920252E-2</v>
      </c>
      <c r="D107" s="43">
        <f t="shared" si="38"/>
        <v>7.8698845750262321E-3</v>
      </c>
      <c r="E107" s="43">
        <f t="shared" si="38"/>
        <v>7.7124868835257085E-2</v>
      </c>
      <c r="F107" s="43">
        <f t="shared" si="38"/>
        <v>7.3976915005246585E-2</v>
      </c>
      <c r="G107" s="43">
        <f t="shared" si="38"/>
        <v>5.246589716684155E-3</v>
      </c>
      <c r="H107" s="43">
        <f t="shared" si="38"/>
        <v>5.7712486883525708E-3</v>
      </c>
      <c r="I107" s="43">
        <f t="shared" si="38"/>
        <v>2.6232948583420776E-2</v>
      </c>
      <c r="J107" s="43">
        <f t="shared" si="38"/>
        <v>5.246589716684155E-3</v>
      </c>
      <c r="K107" s="43">
        <f t="shared" si="38"/>
        <v>5.2465897166841555E-4</v>
      </c>
      <c r="L107" s="43">
        <f t="shared" si="38"/>
        <v>0</v>
      </c>
      <c r="M107" s="43">
        <f t="shared" si="38"/>
        <v>0.7214060860440713</v>
      </c>
      <c r="N107" s="43">
        <f t="shared" si="38"/>
        <v>5.2465897166841555E-4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0.27306967984934089</v>
      </c>
      <c r="D108" s="44">
        <f t="shared" ref="D108:N108" si="39">D106/$O$106</f>
        <v>2.8248587570621469E-2</v>
      </c>
      <c r="E108" s="44">
        <f t="shared" si="39"/>
        <v>0.2768361581920904</v>
      </c>
      <c r="F108" s="44">
        <f t="shared" si="39"/>
        <v>0.2655367231638418</v>
      </c>
      <c r="G108" s="44">
        <f t="shared" si="39"/>
        <v>1.8832391713747645E-2</v>
      </c>
      <c r="H108" s="44">
        <f t="shared" si="39"/>
        <v>2.0715630885122412E-2</v>
      </c>
      <c r="I108" s="44">
        <f t="shared" si="39"/>
        <v>9.4161958568738227E-2</v>
      </c>
      <c r="J108" s="44">
        <f t="shared" si="39"/>
        <v>1.8832391713747645E-2</v>
      </c>
      <c r="K108" s="44">
        <f t="shared" si="39"/>
        <v>1.8832391713747645E-3</v>
      </c>
      <c r="L108" s="44">
        <f t="shared" si="39"/>
        <v>0</v>
      </c>
      <c r="M108" s="44"/>
      <c r="N108" s="44">
        <f t="shared" si="39"/>
        <v>1.8832391713747645E-3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38" zoomScale="60" workbookViewId="0">
      <selection activeCell="C10" sqref="C10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Malaba-Tororo'!C3:G3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'17.08 Malaba-Tororo-24h'!D5</f>
        <v>17.08.19</v>
      </c>
      <c r="E5" s="3"/>
      <c r="F5" s="41" t="s">
        <v>1</v>
      </c>
      <c r="G5" s="63" t="str">
        <f>'17.08 Malaba-Tororo-24h'!G5:H5</f>
        <v>xxx</v>
      </c>
      <c r="H5" s="64"/>
      <c r="I5" s="14"/>
      <c r="J5" s="2" t="s">
        <v>5</v>
      </c>
      <c r="K5" s="63" t="str">
        <f>'17.08 Malaba-Tororo-24h'!K5:L5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Tororo-Malaba'!D6:E6</f>
        <v>Tororo</v>
      </c>
      <c r="E6" s="64"/>
      <c r="F6" s="2" t="s">
        <v>2</v>
      </c>
      <c r="G6" s="63" t="str">
        <f>'12.08 Tororo-Malaba'!G6:H6</f>
        <v>Malaba</v>
      </c>
      <c r="H6" s="64"/>
      <c r="J6" s="2" t="s">
        <v>21</v>
      </c>
      <c r="K6" s="63" t="str">
        <f>'17.08 Malaba-Tororo-24h'!K6:L6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25</v>
      </c>
      <c r="N10" s="50">
        <v>0</v>
      </c>
      <c r="O10" s="15">
        <f t="shared" ref="O10:O73" si="0">SUM(C10:L10,N10)</f>
        <v>4</v>
      </c>
      <c r="P10" s="15">
        <f t="shared" ref="P10:P73" si="1">SUM(C10:N10)</f>
        <v>29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5</v>
      </c>
      <c r="V10" s="17">
        <f t="shared" si="2"/>
        <v>6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104</v>
      </c>
      <c r="AD10" s="17">
        <f t="shared" si="2"/>
        <v>0</v>
      </c>
      <c r="AE10" s="31">
        <f t="shared" si="2"/>
        <v>18</v>
      </c>
      <c r="AF10" s="31">
        <f t="shared" si="2"/>
        <v>122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28</v>
      </c>
      <c r="N11" s="50">
        <v>0</v>
      </c>
      <c r="O11" s="15">
        <f t="shared" si="0"/>
        <v>3</v>
      </c>
      <c r="P11" s="15">
        <f t="shared" si="1"/>
        <v>31</v>
      </c>
      <c r="R11" s="1" t="s">
        <v>7</v>
      </c>
      <c r="S11" s="17">
        <f t="shared" ref="S11:AF11" si="3">SUM(C14:C17)</f>
        <v>8</v>
      </c>
      <c r="T11" s="17">
        <f t="shared" si="3"/>
        <v>1</v>
      </c>
      <c r="U11" s="17">
        <f t="shared" si="3"/>
        <v>6</v>
      </c>
      <c r="V11" s="17">
        <f t="shared" si="3"/>
        <v>8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115</v>
      </c>
      <c r="AD11" s="17">
        <f t="shared" si="3"/>
        <v>0</v>
      </c>
      <c r="AE11" s="31">
        <f t="shared" si="3"/>
        <v>25</v>
      </c>
      <c r="AF11" s="31">
        <f t="shared" si="3"/>
        <v>140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2</v>
      </c>
      <c r="F12" s="50">
        <v>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27</v>
      </c>
      <c r="N12" s="50">
        <v>0</v>
      </c>
      <c r="O12" s="15">
        <f t="shared" si="0"/>
        <v>7</v>
      </c>
      <c r="P12" s="15">
        <f t="shared" si="1"/>
        <v>34</v>
      </c>
      <c r="R12" s="1" t="s">
        <v>8</v>
      </c>
      <c r="S12" s="17">
        <f t="shared" ref="S12:AF12" si="4">SUM(C18:C21)</f>
        <v>12</v>
      </c>
      <c r="T12" s="17">
        <f t="shared" si="4"/>
        <v>0</v>
      </c>
      <c r="U12" s="17">
        <f t="shared" si="4"/>
        <v>4</v>
      </c>
      <c r="V12" s="17">
        <f t="shared" si="4"/>
        <v>11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103</v>
      </c>
      <c r="AD12" s="17">
        <f t="shared" si="4"/>
        <v>0</v>
      </c>
      <c r="AE12" s="31">
        <f t="shared" si="4"/>
        <v>28</v>
      </c>
      <c r="AF12" s="31">
        <f t="shared" si="4"/>
        <v>131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3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24</v>
      </c>
      <c r="N13" s="50">
        <v>0</v>
      </c>
      <c r="O13" s="15">
        <f t="shared" si="0"/>
        <v>4</v>
      </c>
      <c r="P13" s="15">
        <f t="shared" si="1"/>
        <v>28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4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103</v>
      </c>
      <c r="AD13" s="17">
        <f t="shared" si="5"/>
        <v>1</v>
      </c>
      <c r="AE13" s="31">
        <f t="shared" si="5"/>
        <v>13</v>
      </c>
      <c r="AF13" s="31">
        <f t="shared" si="5"/>
        <v>116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1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21</v>
      </c>
      <c r="N14" s="50">
        <v>0</v>
      </c>
      <c r="O14" s="15">
        <f t="shared" si="0"/>
        <v>4</v>
      </c>
      <c r="P14" s="15">
        <f t="shared" si="1"/>
        <v>25</v>
      </c>
      <c r="R14" s="1" t="s">
        <v>10</v>
      </c>
      <c r="S14" s="17">
        <f t="shared" ref="S14:AF14" si="6">SUM(C26:C29)</f>
        <v>5</v>
      </c>
      <c r="T14" s="17">
        <f t="shared" si="6"/>
        <v>1</v>
      </c>
      <c r="U14" s="17">
        <f t="shared" si="6"/>
        <v>9</v>
      </c>
      <c r="V14" s="17">
        <f t="shared" si="6"/>
        <v>8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86</v>
      </c>
      <c r="AD14" s="17">
        <f t="shared" si="6"/>
        <v>0</v>
      </c>
      <c r="AE14" s="31">
        <f t="shared" si="6"/>
        <v>24</v>
      </c>
      <c r="AF14" s="31">
        <f t="shared" si="6"/>
        <v>110</v>
      </c>
    </row>
    <row r="15" spans="2:32" ht="23.1" customHeight="1" x14ac:dyDescent="0.25">
      <c r="B15" s="45" t="s">
        <v>42</v>
      </c>
      <c r="C15" s="50">
        <v>2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25</v>
      </c>
      <c r="N15" s="50">
        <v>0</v>
      </c>
      <c r="O15" s="15">
        <f t="shared" si="0"/>
        <v>4</v>
      </c>
      <c r="P15" s="15">
        <f t="shared" si="1"/>
        <v>29</v>
      </c>
      <c r="R15" s="1" t="s">
        <v>11</v>
      </c>
      <c r="S15" s="17">
        <f t="shared" ref="S15:AF15" si="7">SUM(C30:C33)</f>
        <v>8</v>
      </c>
      <c r="T15" s="17">
        <f t="shared" si="7"/>
        <v>0</v>
      </c>
      <c r="U15" s="17">
        <f t="shared" si="7"/>
        <v>3</v>
      </c>
      <c r="V15" s="17">
        <f t="shared" si="7"/>
        <v>8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97</v>
      </c>
      <c r="AD15" s="17">
        <f t="shared" si="7"/>
        <v>0</v>
      </c>
      <c r="AE15" s="31">
        <f t="shared" si="7"/>
        <v>21</v>
      </c>
      <c r="AF15" s="31">
        <f t="shared" si="7"/>
        <v>118</v>
      </c>
    </row>
    <row r="16" spans="2:32" ht="23.1" customHeight="1" x14ac:dyDescent="0.25">
      <c r="B16" s="45" t="s">
        <v>43</v>
      </c>
      <c r="C16" s="50">
        <v>4</v>
      </c>
      <c r="D16" s="50">
        <v>1</v>
      </c>
      <c r="E16" s="50">
        <v>4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33</v>
      </c>
      <c r="N16" s="50">
        <v>0</v>
      </c>
      <c r="O16" s="15">
        <f t="shared" si="0"/>
        <v>12</v>
      </c>
      <c r="P16" s="15">
        <f t="shared" si="1"/>
        <v>45</v>
      </c>
      <c r="R16" s="1" t="s">
        <v>12</v>
      </c>
      <c r="S16" s="17">
        <f t="shared" ref="S16:AF16" si="8">SUM(C34:C37)</f>
        <v>11</v>
      </c>
      <c r="T16" s="17">
        <f t="shared" si="8"/>
        <v>0</v>
      </c>
      <c r="U16" s="17">
        <f t="shared" si="8"/>
        <v>4</v>
      </c>
      <c r="V16" s="17">
        <f t="shared" si="8"/>
        <v>16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82</v>
      </c>
      <c r="AD16" s="17">
        <f t="shared" si="8"/>
        <v>0</v>
      </c>
      <c r="AE16" s="31">
        <f t="shared" si="8"/>
        <v>32</v>
      </c>
      <c r="AF16" s="31">
        <f t="shared" si="8"/>
        <v>114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36</v>
      </c>
      <c r="N17" s="50">
        <v>0</v>
      </c>
      <c r="O17" s="15">
        <f t="shared" si="0"/>
        <v>5</v>
      </c>
      <c r="P17" s="15">
        <f t="shared" si="1"/>
        <v>41</v>
      </c>
      <c r="R17" s="1" t="s">
        <v>13</v>
      </c>
      <c r="S17" s="17">
        <f t="shared" ref="S17:AF17" si="9">SUM(C38:C41)</f>
        <v>8</v>
      </c>
      <c r="T17" s="17">
        <f t="shared" si="9"/>
        <v>0</v>
      </c>
      <c r="U17" s="17">
        <f t="shared" si="9"/>
        <v>3</v>
      </c>
      <c r="V17" s="17">
        <f t="shared" si="9"/>
        <v>9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56</v>
      </c>
      <c r="AD17" s="17">
        <f t="shared" si="9"/>
        <v>0</v>
      </c>
      <c r="AE17" s="31">
        <f t="shared" si="9"/>
        <v>25</v>
      </c>
      <c r="AF17" s="31">
        <f t="shared" si="9"/>
        <v>81</v>
      </c>
    </row>
    <row r="18" spans="2:32" ht="23.1" customHeight="1" x14ac:dyDescent="0.25">
      <c r="B18" s="45" t="s">
        <v>45</v>
      </c>
      <c r="C18" s="50">
        <v>6</v>
      </c>
      <c r="D18" s="50">
        <v>0</v>
      </c>
      <c r="E18" s="50">
        <v>2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23</v>
      </c>
      <c r="N18" s="50">
        <v>0</v>
      </c>
      <c r="O18" s="15">
        <f t="shared" si="0"/>
        <v>11</v>
      </c>
      <c r="P18" s="15">
        <f t="shared" si="1"/>
        <v>34</v>
      </c>
      <c r="R18" s="1" t="s">
        <v>14</v>
      </c>
      <c r="S18" s="17">
        <f t="shared" ref="S18:AF18" si="10">SUM(C42:C45)</f>
        <v>8</v>
      </c>
      <c r="T18" s="17">
        <f t="shared" si="10"/>
        <v>0</v>
      </c>
      <c r="U18" s="17">
        <f t="shared" si="10"/>
        <v>5</v>
      </c>
      <c r="V18" s="17">
        <f t="shared" si="10"/>
        <v>10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57</v>
      </c>
      <c r="AD18" s="17">
        <f t="shared" si="10"/>
        <v>0</v>
      </c>
      <c r="AE18" s="31">
        <f t="shared" si="10"/>
        <v>24</v>
      </c>
      <c r="AF18" s="31">
        <f t="shared" si="10"/>
        <v>81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0</v>
      </c>
      <c r="F19" s="50">
        <v>3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27</v>
      </c>
      <c r="N19" s="50">
        <v>0</v>
      </c>
      <c r="O19" s="15">
        <f t="shared" si="0"/>
        <v>5</v>
      </c>
      <c r="P19" s="15">
        <f t="shared" si="1"/>
        <v>32</v>
      </c>
      <c r="R19" s="1" t="s">
        <v>15</v>
      </c>
      <c r="S19" s="17">
        <f t="shared" ref="S19:AF19" si="11">SUM(C46:C49)</f>
        <v>15</v>
      </c>
      <c r="T19" s="17">
        <f t="shared" si="11"/>
        <v>0</v>
      </c>
      <c r="U19" s="17">
        <f t="shared" si="11"/>
        <v>6</v>
      </c>
      <c r="V19" s="17">
        <f t="shared" si="11"/>
        <v>8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82</v>
      </c>
      <c r="AD19" s="17">
        <f t="shared" si="11"/>
        <v>0</v>
      </c>
      <c r="AE19" s="31">
        <f t="shared" si="11"/>
        <v>32</v>
      </c>
      <c r="AF19" s="31">
        <f t="shared" si="11"/>
        <v>114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2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28</v>
      </c>
      <c r="N20" s="50">
        <v>0</v>
      </c>
      <c r="O20" s="15">
        <f t="shared" si="0"/>
        <v>5</v>
      </c>
      <c r="P20" s="15">
        <f t="shared" si="1"/>
        <v>33</v>
      </c>
      <c r="R20" s="1" t="s">
        <v>16</v>
      </c>
      <c r="S20" s="17">
        <f t="shared" ref="S20:AF20" si="12">SUM(C50:C53)</f>
        <v>9</v>
      </c>
      <c r="T20" s="17">
        <f t="shared" si="12"/>
        <v>1</v>
      </c>
      <c r="U20" s="17">
        <f t="shared" si="12"/>
        <v>9</v>
      </c>
      <c r="V20" s="17">
        <f t="shared" si="12"/>
        <v>17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91</v>
      </c>
      <c r="AD20" s="17">
        <f t="shared" si="12"/>
        <v>0</v>
      </c>
      <c r="AE20" s="31">
        <f t="shared" si="12"/>
        <v>37</v>
      </c>
      <c r="AF20" s="31">
        <f t="shared" si="12"/>
        <v>128</v>
      </c>
    </row>
    <row r="21" spans="2:32" ht="23.1" customHeight="1" x14ac:dyDescent="0.25">
      <c r="B21" s="45" t="s">
        <v>48</v>
      </c>
      <c r="C21" s="50">
        <v>3</v>
      </c>
      <c r="D21" s="50">
        <v>0</v>
      </c>
      <c r="E21" s="50">
        <v>0</v>
      </c>
      <c r="F21" s="50">
        <v>4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25</v>
      </c>
      <c r="N21" s="50">
        <v>0</v>
      </c>
      <c r="O21" s="15">
        <f t="shared" si="0"/>
        <v>7</v>
      </c>
      <c r="P21" s="15">
        <f t="shared" si="1"/>
        <v>32</v>
      </c>
      <c r="R21" s="36" t="s">
        <v>20</v>
      </c>
      <c r="S21" s="34">
        <f t="shared" ref="S21:AF21" si="13">SUM(C54:C57)</f>
        <v>9</v>
      </c>
      <c r="T21" s="17">
        <f t="shared" si="13"/>
        <v>1</v>
      </c>
      <c r="U21" s="17">
        <f t="shared" si="13"/>
        <v>7</v>
      </c>
      <c r="V21" s="17">
        <f t="shared" si="13"/>
        <v>10</v>
      </c>
      <c r="W21" s="17">
        <f t="shared" si="13"/>
        <v>0</v>
      </c>
      <c r="X21" s="17">
        <f t="shared" si="13"/>
        <v>3</v>
      </c>
      <c r="Y21" s="17">
        <f t="shared" si="13"/>
        <v>2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95</v>
      </c>
      <c r="AD21" s="17">
        <f t="shared" si="13"/>
        <v>0</v>
      </c>
      <c r="AE21" s="31">
        <f t="shared" si="13"/>
        <v>33</v>
      </c>
      <c r="AF21" s="31">
        <f t="shared" si="13"/>
        <v>128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1</v>
      </c>
      <c r="F22" s="50">
        <v>2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31</v>
      </c>
      <c r="N22" s="50">
        <v>1</v>
      </c>
      <c r="O22" s="15">
        <f t="shared" si="0"/>
        <v>5</v>
      </c>
      <c r="P22" s="15">
        <f t="shared" si="1"/>
        <v>36</v>
      </c>
      <c r="R22" s="36" t="s">
        <v>146</v>
      </c>
      <c r="S22" s="34">
        <f>SUM(C58:C61)</f>
        <v>19</v>
      </c>
      <c r="T22" s="34">
        <f t="shared" ref="T22:AF22" si="14">SUM(D58:D61)</f>
        <v>0</v>
      </c>
      <c r="U22" s="34">
        <f t="shared" si="14"/>
        <v>6</v>
      </c>
      <c r="V22" s="34">
        <f t="shared" si="14"/>
        <v>15</v>
      </c>
      <c r="W22" s="34">
        <f t="shared" si="14"/>
        <v>0</v>
      </c>
      <c r="X22" s="34">
        <f t="shared" si="14"/>
        <v>0</v>
      </c>
      <c r="Y22" s="34">
        <f t="shared" si="14"/>
        <v>3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86</v>
      </c>
      <c r="AD22" s="34">
        <f t="shared" si="14"/>
        <v>0</v>
      </c>
      <c r="AE22" s="31">
        <f t="shared" si="14"/>
        <v>43</v>
      </c>
      <c r="AF22" s="31">
        <f t="shared" si="14"/>
        <v>129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2</v>
      </c>
      <c r="P23" s="15">
        <f t="shared" si="1"/>
        <v>16</v>
      </c>
      <c r="R23" s="36" t="s">
        <v>147</v>
      </c>
      <c r="S23" s="34">
        <f>SUM(C62:C65)</f>
        <v>10</v>
      </c>
      <c r="T23" s="34">
        <f t="shared" ref="T23:AF23" si="15">SUM(D62:D65)</f>
        <v>0</v>
      </c>
      <c r="U23" s="34">
        <f t="shared" si="15"/>
        <v>4</v>
      </c>
      <c r="V23" s="34">
        <f t="shared" si="15"/>
        <v>8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48</v>
      </c>
      <c r="AD23" s="34">
        <f t="shared" si="15"/>
        <v>0</v>
      </c>
      <c r="AE23" s="31">
        <f t="shared" si="15"/>
        <v>25</v>
      </c>
      <c r="AF23" s="31">
        <f t="shared" si="15"/>
        <v>73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31</v>
      </c>
      <c r="N24" s="50">
        <v>0</v>
      </c>
      <c r="O24" s="15">
        <f t="shared" si="0"/>
        <v>2</v>
      </c>
      <c r="P24" s="15">
        <f t="shared" si="1"/>
        <v>33</v>
      </c>
      <c r="R24" s="36" t="s">
        <v>148</v>
      </c>
      <c r="S24" s="34">
        <f>SUM(C66:C69)</f>
        <v>11</v>
      </c>
      <c r="T24" s="34">
        <f t="shared" ref="T24:AF24" si="16">SUM(D66:D69)</f>
        <v>0</v>
      </c>
      <c r="U24" s="34">
        <f t="shared" si="16"/>
        <v>2</v>
      </c>
      <c r="V24" s="34">
        <f t="shared" si="16"/>
        <v>10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1</v>
      </c>
      <c r="AA24" s="34">
        <f t="shared" si="16"/>
        <v>1</v>
      </c>
      <c r="AB24" s="34">
        <f t="shared" si="16"/>
        <v>0</v>
      </c>
      <c r="AC24" s="34">
        <f t="shared" si="16"/>
        <v>18</v>
      </c>
      <c r="AD24" s="34">
        <f t="shared" si="16"/>
        <v>0</v>
      </c>
      <c r="AE24" s="31">
        <f t="shared" si="16"/>
        <v>26</v>
      </c>
      <c r="AF24" s="31">
        <f t="shared" si="16"/>
        <v>44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1</v>
      </c>
      <c r="F25" s="50">
        <v>3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27</v>
      </c>
      <c r="N25" s="50">
        <v>0</v>
      </c>
      <c r="O25" s="15">
        <f t="shared" si="0"/>
        <v>4</v>
      </c>
      <c r="P25" s="15">
        <f t="shared" si="1"/>
        <v>31</v>
      </c>
      <c r="R25" s="36" t="s">
        <v>149</v>
      </c>
      <c r="S25" s="34">
        <f>SUM(C70:C73)</f>
        <v>10</v>
      </c>
      <c r="T25" s="34">
        <f t="shared" ref="T25:AF25" si="17">SUM(D70:D73)</f>
        <v>0</v>
      </c>
      <c r="U25" s="34">
        <f t="shared" si="17"/>
        <v>3</v>
      </c>
      <c r="V25" s="34">
        <f t="shared" si="17"/>
        <v>7</v>
      </c>
      <c r="W25" s="34">
        <f t="shared" si="17"/>
        <v>0</v>
      </c>
      <c r="X25" s="34">
        <f t="shared" si="17"/>
        <v>2</v>
      </c>
      <c r="Y25" s="34">
        <f t="shared" si="17"/>
        <v>2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23</v>
      </c>
      <c r="AD25" s="34">
        <f t="shared" si="17"/>
        <v>0</v>
      </c>
      <c r="AE25" s="31">
        <f t="shared" si="17"/>
        <v>24</v>
      </c>
      <c r="AF25" s="31">
        <f t="shared" si="17"/>
        <v>47</v>
      </c>
    </row>
    <row r="26" spans="2:32" ht="23.1" customHeight="1" x14ac:dyDescent="0.25">
      <c r="B26" s="45" t="s">
        <v>53</v>
      </c>
      <c r="C26" s="50">
        <v>2</v>
      </c>
      <c r="D26" s="50">
        <v>1</v>
      </c>
      <c r="E26" s="50">
        <v>4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21</v>
      </c>
      <c r="N26" s="50">
        <v>0</v>
      </c>
      <c r="O26" s="15">
        <f t="shared" si="0"/>
        <v>8</v>
      </c>
      <c r="P26" s="15">
        <f t="shared" si="1"/>
        <v>29</v>
      </c>
      <c r="R26" s="36" t="s">
        <v>150</v>
      </c>
      <c r="S26" s="34">
        <f>SUM(C74:C77)</f>
        <v>6</v>
      </c>
      <c r="T26" s="34">
        <f t="shared" ref="T26:AF26" si="18">SUM(D74:D77)</f>
        <v>1</v>
      </c>
      <c r="U26" s="34">
        <f t="shared" si="18"/>
        <v>8</v>
      </c>
      <c r="V26" s="34">
        <f t="shared" si="18"/>
        <v>1</v>
      </c>
      <c r="W26" s="34">
        <f t="shared" si="18"/>
        <v>0</v>
      </c>
      <c r="X26" s="34">
        <f t="shared" si="18"/>
        <v>1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17</v>
      </c>
      <c r="AD26" s="34">
        <f t="shared" si="18"/>
        <v>0</v>
      </c>
      <c r="AE26" s="31">
        <f t="shared" si="18"/>
        <v>18</v>
      </c>
      <c r="AF26" s="31">
        <f t="shared" si="18"/>
        <v>35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2</v>
      </c>
      <c r="F27" s="50">
        <v>3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7</v>
      </c>
      <c r="P27" s="15">
        <f t="shared" si="1"/>
        <v>21</v>
      </c>
      <c r="R27" s="36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2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15</v>
      </c>
      <c r="AD27" s="34">
        <f t="shared" si="19"/>
        <v>0</v>
      </c>
      <c r="AE27" s="31">
        <f t="shared" si="19"/>
        <v>6</v>
      </c>
      <c r="AF27" s="31">
        <f t="shared" si="19"/>
        <v>21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3</v>
      </c>
      <c r="F28" s="50">
        <v>4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26</v>
      </c>
      <c r="N28" s="50">
        <v>0</v>
      </c>
      <c r="O28" s="15">
        <f t="shared" si="0"/>
        <v>8</v>
      </c>
      <c r="P28" s="15">
        <f t="shared" si="1"/>
        <v>34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1</v>
      </c>
      <c r="W28" s="34">
        <f t="shared" si="20"/>
        <v>0</v>
      </c>
      <c r="X28" s="34">
        <f t="shared" si="20"/>
        <v>1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2</v>
      </c>
      <c r="AF28" s="31">
        <f t="shared" si="20"/>
        <v>2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25</v>
      </c>
      <c r="N29" s="50">
        <v>0</v>
      </c>
      <c r="O29" s="15">
        <f t="shared" si="0"/>
        <v>1</v>
      </c>
      <c r="P29" s="15">
        <f t="shared" si="1"/>
        <v>26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6</v>
      </c>
      <c r="AF29" s="31">
        <f t="shared" si="21"/>
        <v>6</v>
      </c>
    </row>
    <row r="30" spans="2:32" ht="23.1" customHeight="1" x14ac:dyDescent="0.25">
      <c r="B30" s="45" t="s">
        <v>57</v>
      </c>
      <c r="C30" s="50">
        <v>2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22</v>
      </c>
      <c r="N30" s="50">
        <v>0</v>
      </c>
      <c r="O30" s="15">
        <f t="shared" si="0"/>
        <v>3</v>
      </c>
      <c r="P30" s="15">
        <f t="shared" si="1"/>
        <v>25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3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40</v>
      </c>
      <c r="AD30" s="34">
        <f t="shared" si="22"/>
        <v>0</v>
      </c>
      <c r="AE30" s="31">
        <f t="shared" si="22"/>
        <v>8</v>
      </c>
      <c r="AF30" s="31">
        <f t="shared" si="22"/>
        <v>48</v>
      </c>
    </row>
    <row r="31" spans="2:32" ht="23.1" customHeight="1" x14ac:dyDescent="0.25">
      <c r="B31" s="46" t="s">
        <v>58</v>
      </c>
      <c r="C31" s="50">
        <v>3</v>
      </c>
      <c r="D31" s="50">
        <v>0</v>
      </c>
      <c r="E31" s="50">
        <v>1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28</v>
      </c>
      <c r="N31" s="50">
        <v>0</v>
      </c>
      <c r="O31" s="15">
        <f t="shared" si="0"/>
        <v>6</v>
      </c>
      <c r="P31" s="15">
        <f t="shared" si="1"/>
        <v>34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38</v>
      </c>
      <c r="AD31" s="34">
        <f t="shared" si="23"/>
        <v>0</v>
      </c>
      <c r="AE31" s="31">
        <f t="shared" si="23"/>
        <v>3</v>
      </c>
      <c r="AF31" s="31">
        <f t="shared" si="23"/>
        <v>41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2</v>
      </c>
      <c r="F32" s="50">
        <v>1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25</v>
      </c>
      <c r="N32" s="50">
        <v>0</v>
      </c>
      <c r="O32" s="15">
        <f t="shared" si="0"/>
        <v>6</v>
      </c>
      <c r="P32" s="15">
        <f t="shared" si="1"/>
        <v>31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15</v>
      </c>
      <c r="AD32" s="34">
        <f t="shared" si="24"/>
        <v>0</v>
      </c>
      <c r="AE32" s="31">
        <f t="shared" si="24"/>
        <v>2</v>
      </c>
      <c r="AF32" s="31">
        <f t="shared" si="24"/>
        <v>17</v>
      </c>
    </row>
    <row r="33" spans="2:32" ht="23.1" customHeight="1" x14ac:dyDescent="0.25">
      <c r="B33" s="45" t="s">
        <v>60</v>
      </c>
      <c r="C33" s="50">
        <v>2</v>
      </c>
      <c r="D33" s="50">
        <v>0</v>
      </c>
      <c r="E33" s="50">
        <v>0</v>
      </c>
      <c r="F33" s="50">
        <v>4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22</v>
      </c>
      <c r="N33" s="50">
        <v>0</v>
      </c>
      <c r="O33" s="15">
        <f t="shared" si="0"/>
        <v>6</v>
      </c>
      <c r="P33" s="15">
        <f t="shared" si="1"/>
        <v>28</v>
      </c>
      <c r="R33" s="33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2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20</v>
      </c>
      <c r="AD33" s="34">
        <f t="shared" si="25"/>
        <v>0</v>
      </c>
      <c r="AE33" s="31">
        <f t="shared" si="25"/>
        <v>6</v>
      </c>
      <c r="AF33" s="31">
        <f t="shared" si="25"/>
        <v>26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1</v>
      </c>
      <c r="F34" s="50">
        <v>3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21</v>
      </c>
      <c r="N34" s="50">
        <v>0</v>
      </c>
      <c r="O34" s="15">
        <f t="shared" si="0"/>
        <v>6</v>
      </c>
      <c r="P34" s="15">
        <f t="shared" si="1"/>
        <v>27</v>
      </c>
      <c r="R34" s="38" t="s">
        <v>90</v>
      </c>
      <c r="S34" s="39">
        <f t="shared" ref="S34:AF34" si="26">MAX(S10:S12)</f>
        <v>12</v>
      </c>
      <c r="T34" s="39">
        <f t="shared" si="26"/>
        <v>1</v>
      </c>
      <c r="U34" s="39">
        <f t="shared" si="26"/>
        <v>6</v>
      </c>
      <c r="V34" s="39">
        <f t="shared" si="26"/>
        <v>11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115</v>
      </c>
      <c r="AD34" s="39">
        <f t="shared" si="26"/>
        <v>0</v>
      </c>
      <c r="AE34" s="40">
        <f t="shared" si="26"/>
        <v>28</v>
      </c>
      <c r="AF34" s="40">
        <f t="shared" si="26"/>
        <v>140</v>
      </c>
    </row>
    <row r="35" spans="2:32" ht="23.1" customHeight="1" x14ac:dyDescent="0.25">
      <c r="B35" s="46" t="s">
        <v>62</v>
      </c>
      <c r="C35" s="50">
        <v>4</v>
      </c>
      <c r="D35" s="50">
        <v>0</v>
      </c>
      <c r="E35" s="50">
        <v>2</v>
      </c>
      <c r="F35" s="50">
        <v>5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19</v>
      </c>
      <c r="N35" s="50">
        <v>0</v>
      </c>
      <c r="O35" s="15">
        <f t="shared" si="0"/>
        <v>11</v>
      </c>
      <c r="P35" s="15">
        <f t="shared" si="1"/>
        <v>30</v>
      </c>
      <c r="R35" s="38" t="s">
        <v>91</v>
      </c>
      <c r="S35" s="39">
        <f t="shared" ref="S35:AF35" si="27">MAX(S13:S18)</f>
        <v>11</v>
      </c>
      <c r="T35" s="39">
        <f t="shared" si="27"/>
        <v>1</v>
      </c>
      <c r="U35" s="39">
        <f t="shared" si="27"/>
        <v>9</v>
      </c>
      <c r="V35" s="39">
        <f t="shared" si="27"/>
        <v>16</v>
      </c>
      <c r="W35" s="39">
        <f t="shared" si="27"/>
        <v>0</v>
      </c>
      <c r="X35" s="39">
        <f t="shared" si="27"/>
        <v>0</v>
      </c>
      <c r="Y35" s="39">
        <f t="shared" si="27"/>
        <v>5</v>
      </c>
      <c r="Z35" s="39">
        <f t="shared" si="27"/>
        <v>1</v>
      </c>
      <c r="AA35" s="39">
        <f t="shared" si="27"/>
        <v>0</v>
      </c>
      <c r="AB35" s="39">
        <f t="shared" si="27"/>
        <v>0</v>
      </c>
      <c r="AC35" s="39">
        <f t="shared" si="27"/>
        <v>103</v>
      </c>
      <c r="AD35" s="39">
        <f t="shared" si="27"/>
        <v>1</v>
      </c>
      <c r="AE35" s="40">
        <f t="shared" si="27"/>
        <v>32</v>
      </c>
      <c r="AF35" s="40">
        <f t="shared" si="27"/>
        <v>118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0</v>
      </c>
      <c r="F36" s="50">
        <v>6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10</v>
      </c>
      <c r="P36" s="15">
        <f t="shared" si="1"/>
        <v>29</v>
      </c>
      <c r="R36" s="38" t="s">
        <v>92</v>
      </c>
      <c r="S36" s="39">
        <f t="shared" ref="S36:AF36" si="28">MAX(S19:S21)</f>
        <v>15</v>
      </c>
      <c r="T36" s="39">
        <f t="shared" si="28"/>
        <v>1</v>
      </c>
      <c r="U36" s="39">
        <f t="shared" si="28"/>
        <v>9</v>
      </c>
      <c r="V36" s="39">
        <f t="shared" si="28"/>
        <v>17</v>
      </c>
      <c r="W36" s="39">
        <f t="shared" si="28"/>
        <v>0</v>
      </c>
      <c r="X36" s="39">
        <f t="shared" si="28"/>
        <v>3</v>
      </c>
      <c r="Y36" s="39">
        <f t="shared" si="28"/>
        <v>3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95</v>
      </c>
      <c r="AD36" s="39">
        <f t="shared" si="28"/>
        <v>0</v>
      </c>
      <c r="AE36" s="40">
        <f t="shared" si="28"/>
        <v>37</v>
      </c>
      <c r="AF36" s="40">
        <f t="shared" si="28"/>
        <v>128</v>
      </c>
    </row>
    <row r="37" spans="2:32" ht="23.1" customHeight="1" x14ac:dyDescent="0.25">
      <c r="B37" s="45" t="s">
        <v>64</v>
      </c>
      <c r="C37" s="50">
        <v>2</v>
      </c>
      <c r="D37" s="50">
        <v>0</v>
      </c>
      <c r="E37" s="50">
        <v>1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23</v>
      </c>
      <c r="N37" s="50">
        <v>0</v>
      </c>
      <c r="O37" s="15">
        <f t="shared" si="0"/>
        <v>5</v>
      </c>
      <c r="P37" s="15">
        <f t="shared" si="1"/>
        <v>28</v>
      </c>
      <c r="R37" s="37" t="s">
        <v>85</v>
      </c>
      <c r="S37" s="35">
        <f t="shared" ref="S37:AF37" si="29">SUM(S10:S12)</f>
        <v>25</v>
      </c>
      <c r="T37" s="16">
        <f t="shared" si="29"/>
        <v>1</v>
      </c>
      <c r="U37" s="16">
        <f t="shared" si="29"/>
        <v>15</v>
      </c>
      <c r="V37" s="16">
        <f t="shared" si="29"/>
        <v>25</v>
      </c>
      <c r="W37" s="16">
        <f t="shared" si="29"/>
        <v>0</v>
      </c>
      <c r="X37" s="16">
        <f t="shared" si="29"/>
        <v>0</v>
      </c>
      <c r="Y37" s="16">
        <f t="shared" si="29"/>
        <v>4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322</v>
      </c>
      <c r="AD37" s="16">
        <f t="shared" si="29"/>
        <v>0</v>
      </c>
      <c r="AE37" s="32">
        <f t="shared" si="29"/>
        <v>71</v>
      </c>
      <c r="AF37" s="32">
        <f t="shared" si="29"/>
        <v>393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1</v>
      </c>
      <c r="F38" s="50">
        <v>4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21</v>
      </c>
      <c r="N38" s="50">
        <v>0</v>
      </c>
      <c r="O38" s="15">
        <f t="shared" si="0"/>
        <v>6</v>
      </c>
      <c r="P38" s="15">
        <f t="shared" si="1"/>
        <v>27</v>
      </c>
      <c r="R38" s="28" t="s">
        <v>86</v>
      </c>
      <c r="S38" s="16">
        <f t="shared" ref="S38:AF38" si="30">SUM(S13:S18)</f>
        <v>41</v>
      </c>
      <c r="T38" s="16">
        <f t="shared" si="30"/>
        <v>1</v>
      </c>
      <c r="U38" s="16">
        <f t="shared" si="30"/>
        <v>28</v>
      </c>
      <c r="V38" s="16">
        <f t="shared" si="30"/>
        <v>58</v>
      </c>
      <c r="W38" s="16">
        <f t="shared" si="30"/>
        <v>0</v>
      </c>
      <c r="X38" s="16">
        <f t="shared" si="30"/>
        <v>0</v>
      </c>
      <c r="Y38" s="16">
        <f t="shared" si="30"/>
        <v>9</v>
      </c>
      <c r="Z38" s="16">
        <f t="shared" si="30"/>
        <v>1</v>
      </c>
      <c r="AA38" s="16">
        <f t="shared" si="30"/>
        <v>0</v>
      </c>
      <c r="AB38" s="16">
        <f t="shared" si="30"/>
        <v>0</v>
      </c>
      <c r="AC38" s="16">
        <f t="shared" si="30"/>
        <v>481</v>
      </c>
      <c r="AD38" s="16">
        <f t="shared" si="30"/>
        <v>1</v>
      </c>
      <c r="AE38" s="32">
        <f t="shared" si="30"/>
        <v>139</v>
      </c>
      <c r="AF38" s="32">
        <f t="shared" si="30"/>
        <v>620</v>
      </c>
    </row>
    <row r="39" spans="2:32" ht="23.1" customHeight="1" x14ac:dyDescent="0.25">
      <c r="B39" s="46" t="s">
        <v>66</v>
      </c>
      <c r="C39" s="50">
        <v>5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6</v>
      </c>
      <c r="N39" s="50">
        <v>0</v>
      </c>
      <c r="O39" s="15">
        <f t="shared" si="0"/>
        <v>7</v>
      </c>
      <c r="P39" s="15">
        <f t="shared" si="1"/>
        <v>13</v>
      </c>
      <c r="R39" s="29" t="s">
        <v>87</v>
      </c>
      <c r="S39" s="16">
        <f t="shared" ref="S39:AF39" si="31">SUM(S19:S21)</f>
        <v>33</v>
      </c>
      <c r="T39" s="16">
        <f t="shared" si="31"/>
        <v>2</v>
      </c>
      <c r="U39" s="16">
        <f t="shared" si="31"/>
        <v>22</v>
      </c>
      <c r="V39" s="16">
        <f t="shared" si="31"/>
        <v>35</v>
      </c>
      <c r="W39" s="16">
        <f t="shared" si="31"/>
        <v>0</v>
      </c>
      <c r="X39" s="16">
        <f t="shared" si="31"/>
        <v>3</v>
      </c>
      <c r="Y39" s="16">
        <f t="shared" si="31"/>
        <v>6</v>
      </c>
      <c r="Z39" s="16">
        <f t="shared" si="31"/>
        <v>1</v>
      </c>
      <c r="AA39" s="16">
        <f t="shared" si="31"/>
        <v>0</v>
      </c>
      <c r="AB39" s="16">
        <f t="shared" si="31"/>
        <v>0</v>
      </c>
      <c r="AC39" s="16">
        <f t="shared" si="31"/>
        <v>268</v>
      </c>
      <c r="AD39" s="16">
        <f t="shared" si="31"/>
        <v>0</v>
      </c>
      <c r="AE39" s="32">
        <f t="shared" si="31"/>
        <v>102</v>
      </c>
      <c r="AF39" s="32">
        <f t="shared" si="31"/>
        <v>370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1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3</v>
      </c>
      <c r="P40" s="15">
        <f t="shared" si="1"/>
        <v>15</v>
      </c>
      <c r="R40" s="5" t="s">
        <v>17</v>
      </c>
      <c r="S40" s="16">
        <f t="shared" ref="S40:AF40" si="32">SUM(S10:S21)</f>
        <v>99</v>
      </c>
      <c r="T40" s="16">
        <f t="shared" si="32"/>
        <v>4</v>
      </c>
      <c r="U40" s="16">
        <f t="shared" si="32"/>
        <v>65</v>
      </c>
      <c r="V40" s="16">
        <f t="shared" si="32"/>
        <v>118</v>
      </c>
      <c r="W40" s="16">
        <f t="shared" si="32"/>
        <v>0</v>
      </c>
      <c r="X40" s="16">
        <f t="shared" si="32"/>
        <v>3</v>
      </c>
      <c r="Y40" s="16">
        <f t="shared" si="32"/>
        <v>19</v>
      </c>
      <c r="Z40" s="16">
        <f t="shared" si="32"/>
        <v>3</v>
      </c>
      <c r="AA40" s="16">
        <f t="shared" si="32"/>
        <v>0</v>
      </c>
      <c r="AB40" s="16">
        <f t="shared" si="32"/>
        <v>0</v>
      </c>
      <c r="AC40" s="16">
        <f t="shared" si="32"/>
        <v>1071</v>
      </c>
      <c r="AD40" s="16">
        <f t="shared" si="32"/>
        <v>1</v>
      </c>
      <c r="AE40" s="32">
        <f t="shared" si="32"/>
        <v>312</v>
      </c>
      <c r="AF40" s="32">
        <f t="shared" si="32"/>
        <v>1383</v>
      </c>
    </row>
    <row r="41" spans="2:32" ht="23.1" customHeight="1" x14ac:dyDescent="0.25">
      <c r="B41" s="45" t="s">
        <v>68</v>
      </c>
      <c r="C41" s="50">
        <v>2</v>
      </c>
      <c r="D41" s="50">
        <v>0</v>
      </c>
      <c r="E41" s="50">
        <v>1</v>
      </c>
      <c r="F41" s="50">
        <v>3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17</v>
      </c>
      <c r="N41" s="50">
        <v>0</v>
      </c>
      <c r="O41" s="15">
        <f t="shared" si="0"/>
        <v>9</v>
      </c>
      <c r="P41" s="15">
        <f t="shared" si="1"/>
        <v>26</v>
      </c>
      <c r="R41" s="5" t="s">
        <v>159</v>
      </c>
      <c r="S41" s="16">
        <f>SUM(S10:S33)</f>
        <v>163</v>
      </c>
      <c r="T41" s="16">
        <f t="shared" ref="T41:AF41" si="33">SUM(T10:T33)</f>
        <v>5</v>
      </c>
      <c r="U41" s="16">
        <f t="shared" si="33"/>
        <v>92</v>
      </c>
      <c r="V41" s="16">
        <f t="shared" si="33"/>
        <v>166</v>
      </c>
      <c r="W41" s="16">
        <f t="shared" si="33"/>
        <v>0</v>
      </c>
      <c r="X41" s="16">
        <f t="shared" si="33"/>
        <v>10</v>
      </c>
      <c r="Y41" s="16">
        <f t="shared" si="33"/>
        <v>36</v>
      </c>
      <c r="Z41" s="16">
        <f t="shared" si="33"/>
        <v>7</v>
      </c>
      <c r="AA41" s="16">
        <f t="shared" si="33"/>
        <v>1</v>
      </c>
      <c r="AB41" s="16">
        <f t="shared" si="33"/>
        <v>0</v>
      </c>
      <c r="AC41" s="16">
        <f t="shared" si="33"/>
        <v>1391</v>
      </c>
      <c r="AD41" s="16">
        <f t="shared" si="33"/>
        <v>1</v>
      </c>
      <c r="AE41" s="32">
        <f t="shared" si="33"/>
        <v>481</v>
      </c>
      <c r="AF41" s="32">
        <f t="shared" si="33"/>
        <v>1872</v>
      </c>
    </row>
    <row r="42" spans="2:32" ht="23.1" customHeight="1" x14ac:dyDescent="0.25">
      <c r="B42" s="46" t="s">
        <v>69</v>
      </c>
      <c r="C42" s="50">
        <v>4</v>
      </c>
      <c r="D42" s="50">
        <v>0</v>
      </c>
      <c r="E42" s="50">
        <v>2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8</v>
      </c>
      <c r="P42" s="15">
        <f t="shared" si="1"/>
        <v>15</v>
      </c>
      <c r="R42" s="5" t="s">
        <v>160</v>
      </c>
      <c r="S42" s="48">
        <f>S41/S40</f>
        <v>1.6464646464646464</v>
      </c>
      <c r="T42" s="48">
        <f t="shared" ref="T42:AF42" si="34">T41/T40</f>
        <v>1.25</v>
      </c>
      <c r="U42" s="48">
        <f t="shared" si="34"/>
        <v>1.4153846153846155</v>
      </c>
      <c r="V42" s="48">
        <f t="shared" si="34"/>
        <v>1.4067796610169492</v>
      </c>
      <c r="W42" s="48" t="e">
        <f t="shared" si="34"/>
        <v>#DIV/0!</v>
      </c>
      <c r="X42" s="48">
        <f t="shared" si="34"/>
        <v>3.3333333333333335</v>
      </c>
      <c r="Y42" s="48">
        <f t="shared" si="34"/>
        <v>1.8947368421052631</v>
      </c>
      <c r="Z42" s="48">
        <f t="shared" si="34"/>
        <v>2.3333333333333335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1.2987861811391224</v>
      </c>
      <c r="AD42" s="48">
        <f t="shared" si="34"/>
        <v>1</v>
      </c>
      <c r="AE42" s="48">
        <f t="shared" si="34"/>
        <v>1.5416666666666667</v>
      </c>
      <c r="AF42" s="48">
        <f t="shared" si="34"/>
        <v>1.3535791757049891</v>
      </c>
    </row>
    <row r="43" spans="2:32" ht="23.1" customHeight="1" x14ac:dyDescent="0.25">
      <c r="B43" s="45" t="s">
        <v>70</v>
      </c>
      <c r="C43" s="50">
        <v>1</v>
      </c>
      <c r="D43" s="50">
        <v>0</v>
      </c>
      <c r="E43" s="50">
        <v>1</v>
      </c>
      <c r="F43" s="50">
        <v>5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19</v>
      </c>
      <c r="N43" s="50">
        <v>0</v>
      </c>
      <c r="O43" s="15">
        <f t="shared" si="0"/>
        <v>7</v>
      </c>
      <c r="P43" s="15">
        <f t="shared" si="1"/>
        <v>26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21</v>
      </c>
      <c r="N44" s="50">
        <v>0</v>
      </c>
      <c r="O44" s="15">
        <f t="shared" si="0"/>
        <v>0</v>
      </c>
      <c r="P44" s="15">
        <f t="shared" si="1"/>
        <v>21</v>
      </c>
    </row>
    <row r="45" spans="2:32" ht="23.1" customHeight="1" x14ac:dyDescent="0.25">
      <c r="B45" s="45" t="s">
        <v>72</v>
      </c>
      <c r="C45" s="50">
        <v>3</v>
      </c>
      <c r="D45" s="50">
        <v>0</v>
      </c>
      <c r="E45" s="50">
        <v>2</v>
      </c>
      <c r="F45" s="50">
        <v>3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10</v>
      </c>
      <c r="N45" s="50">
        <v>0</v>
      </c>
      <c r="O45" s="15">
        <f t="shared" si="0"/>
        <v>9</v>
      </c>
      <c r="P45" s="15">
        <f t="shared" si="1"/>
        <v>19</v>
      </c>
    </row>
    <row r="46" spans="2:32" ht="23.1" customHeight="1" x14ac:dyDescent="0.25">
      <c r="B46" s="46" t="s">
        <v>73</v>
      </c>
      <c r="C46" s="50">
        <v>5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7</v>
      </c>
      <c r="P46" s="15">
        <f t="shared" si="1"/>
        <v>22</v>
      </c>
      <c r="R46" s="8"/>
      <c r="T46"/>
    </row>
    <row r="47" spans="2:32" ht="23.1" customHeight="1" x14ac:dyDescent="0.25">
      <c r="B47" s="46" t="s">
        <v>74</v>
      </c>
      <c r="C47" s="50">
        <v>5</v>
      </c>
      <c r="D47" s="50">
        <v>0</v>
      </c>
      <c r="E47" s="50">
        <v>0</v>
      </c>
      <c r="F47" s="50">
        <v>3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20</v>
      </c>
      <c r="N47" s="50">
        <v>0</v>
      </c>
      <c r="O47" s="15">
        <f t="shared" si="0"/>
        <v>11</v>
      </c>
      <c r="P47" s="15">
        <f t="shared" si="1"/>
        <v>31</v>
      </c>
      <c r="R47" s="8"/>
      <c r="T47"/>
    </row>
    <row r="48" spans="2:32" ht="23.1" customHeight="1" x14ac:dyDescent="0.25">
      <c r="B48" s="46" t="s">
        <v>75</v>
      </c>
      <c r="C48" s="50">
        <v>4</v>
      </c>
      <c r="D48" s="50">
        <v>0</v>
      </c>
      <c r="E48" s="50">
        <v>3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18</v>
      </c>
      <c r="N48" s="50">
        <v>0</v>
      </c>
      <c r="O48" s="15">
        <f t="shared" si="0"/>
        <v>7</v>
      </c>
      <c r="P48" s="15">
        <f t="shared" si="1"/>
        <v>25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0</v>
      </c>
      <c r="E49" s="50">
        <v>2</v>
      </c>
      <c r="F49" s="50">
        <v>4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29</v>
      </c>
      <c r="N49" s="50">
        <v>0</v>
      </c>
      <c r="O49" s="15">
        <f t="shared" si="0"/>
        <v>7</v>
      </c>
      <c r="P49" s="15">
        <f t="shared" si="1"/>
        <v>36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0</v>
      </c>
      <c r="E50" s="50">
        <v>2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15</v>
      </c>
      <c r="N50" s="50">
        <v>0</v>
      </c>
      <c r="O50" s="15">
        <f t="shared" si="0"/>
        <v>5</v>
      </c>
      <c r="P50" s="15">
        <f t="shared" si="1"/>
        <v>20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1</v>
      </c>
      <c r="E51" s="50">
        <v>4</v>
      </c>
      <c r="F51" s="50">
        <v>9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22</v>
      </c>
      <c r="N51" s="50">
        <v>0</v>
      </c>
      <c r="O51" s="15">
        <f t="shared" si="0"/>
        <v>15</v>
      </c>
      <c r="P51" s="15">
        <f t="shared" si="1"/>
        <v>37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0</v>
      </c>
      <c r="E52" s="50">
        <v>2</v>
      </c>
      <c r="F52" s="50">
        <v>3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31</v>
      </c>
      <c r="N52" s="50">
        <v>0</v>
      </c>
      <c r="O52" s="15">
        <f t="shared" si="0"/>
        <v>6</v>
      </c>
      <c r="P52" s="15">
        <f t="shared" si="1"/>
        <v>37</v>
      </c>
      <c r="R52" s="8"/>
      <c r="T52"/>
    </row>
    <row r="53" spans="2:20" ht="23.1" customHeight="1" x14ac:dyDescent="0.25">
      <c r="B53" s="45" t="s">
        <v>80</v>
      </c>
      <c r="C53" s="50">
        <v>5</v>
      </c>
      <c r="D53" s="50">
        <v>0</v>
      </c>
      <c r="E53" s="50">
        <v>1</v>
      </c>
      <c r="F53" s="50">
        <v>5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23</v>
      </c>
      <c r="N53" s="50">
        <v>0</v>
      </c>
      <c r="O53" s="15">
        <f t="shared" si="0"/>
        <v>11</v>
      </c>
      <c r="P53" s="15">
        <f t="shared" si="1"/>
        <v>34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0</v>
      </c>
      <c r="E54" s="50">
        <v>0</v>
      </c>
      <c r="F54" s="50">
        <v>2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32</v>
      </c>
      <c r="N54" s="50">
        <v>0</v>
      </c>
      <c r="O54" s="15">
        <f t="shared" si="0"/>
        <v>5</v>
      </c>
      <c r="P54" s="15">
        <f t="shared" si="1"/>
        <v>37</v>
      </c>
      <c r="R54" s="8"/>
      <c r="T54"/>
    </row>
    <row r="55" spans="2:20" ht="23.1" customHeight="1" x14ac:dyDescent="0.25">
      <c r="B55" s="45" t="s">
        <v>82</v>
      </c>
      <c r="C55" s="50">
        <v>4</v>
      </c>
      <c r="D55" s="50">
        <v>0</v>
      </c>
      <c r="E55" s="50">
        <v>1</v>
      </c>
      <c r="F55" s="50">
        <v>3</v>
      </c>
      <c r="G55" s="50">
        <v>0</v>
      </c>
      <c r="H55" s="50">
        <v>1</v>
      </c>
      <c r="I55" s="50">
        <v>0</v>
      </c>
      <c r="J55" s="50">
        <v>0</v>
      </c>
      <c r="K55" s="50">
        <v>0</v>
      </c>
      <c r="L55" s="50">
        <v>0</v>
      </c>
      <c r="M55" s="50">
        <v>25</v>
      </c>
      <c r="N55" s="50">
        <v>0</v>
      </c>
      <c r="O55" s="15">
        <f t="shared" si="0"/>
        <v>9</v>
      </c>
      <c r="P55" s="15">
        <f t="shared" si="1"/>
        <v>34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1</v>
      </c>
      <c r="E56" s="50">
        <v>4</v>
      </c>
      <c r="F56" s="50">
        <v>3</v>
      </c>
      <c r="G56" s="50">
        <v>0</v>
      </c>
      <c r="H56" s="50">
        <v>1</v>
      </c>
      <c r="I56" s="50">
        <v>2</v>
      </c>
      <c r="J56" s="50">
        <v>0</v>
      </c>
      <c r="K56" s="50">
        <v>0</v>
      </c>
      <c r="L56" s="50">
        <v>0</v>
      </c>
      <c r="M56" s="50">
        <v>19</v>
      </c>
      <c r="N56" s="50">
        <v>0</v>
      </c>
      <c r="O56" s="15">
        <f t="shared" si="0"/>
        <v>13</v>
      </c>
      <c r="P56" s="15">
        <f t="shared" si="1"/>
        <v>32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0</v>
      </c>
      <c r="E57" s="50">
        <v>2</v>
      </c>
      <c r="F57" s="50">
        <v>2</v>
      </c>
      <c r="G57" s="50">
        <v>0</v>
      </c>
      <c r="H57" s="50">
        <v>1</v>
      </c>
      <c r="I57" s="50">
        <v>0</v>
      </c>
      <c r="J57" s="50">
        <v>0</v>
      </c>
      <c r="K57" s="50">
        <v>0</v>
      </c>
      <c r="L57" s="50">
        <v>0</v>
      </c>
      <c r="M57" s="50">
        <v>19</v>
      </c>
      <c r="N57" s="50">
        <v>0</v>
      </c>
      <c r="O57" s="15">
        <f t="shared" si="0"/>
        <v>6</v>
      </c>
      <c r="P57" s="15">
        <f t="shared" si="1"/>
        <v>25</v>
      </c>
      <c r="R57" s="8"/>
      <c r="T57"/>
    </row>
    <row r="58" spans="2:20" ht="23.1" customHeight="1" x14ac:dyDescent="0.25">
      <c r="B58" s="45" t="s">
        <v>99</v>
      </c>
      <c r="C58" s="50">
        <v>6</v>
      </c>
      <c r="D58" s="50">
        <v>0</v>
      </c>
      <c r="E58" s="50">
        <v>0</v>
      </c>
      <c r="F58" s="50">
        <v>2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19</v>
      </c>
      <c r="N58" s="50">
        <v>0</v>
      </c>
      <c r="O58" s="15">
        <f t="shared" si="0"/>
        <v>9</v>
      </c>
      <c r="P58" s="15">
        <f t="shared" si="1"/>
        <v>28</v>
      </c>
      <c r="R58" s="8"/>
      <c r="T58"/>
    </row>
    <row r="59" spans="2:20" ht="23.1" customHeight="1" x14ac:dyDescent="0.25">
      <c r="B59" s="45" t="s">
        <v>100</v>
      </c>
      <c r="C59" s="50">
        <v>4</v>
      </c>
      <c r="D59" s="50">
        <v>0</v>
      </c>
      <c r="E59" s="50">
        <v>1</v>
      </c>
      <c r="F59" s="50">
        <v>4</v>
      </c>
      <c r="G59" s="50">
        <v>0</v>
      </c>
      <c r="H59" s="50">
        <v>0</v>
      </c>
      <c r="I59" s="50">
        <v>2</v>
      </c>
      <c r="J59" s="50">
        <v>0</v>
      </c>
      <c r="K59" s="50">
        <v>0</v>
      </c>
      <c r="L59" s="50">
        <v>0</v>
      </c>
      <c r="M59" s="50">
        <v>27</v>
      </c>
      <c r="N59" s="50">
        <v>0</v>
      </c>
      <c r="O59" s="15">
        <f t="shared" si="0"/>
        <v>11</v>
      </c>
      <c r="P59" s="15">
        <f t="shared" si="1"/>
        <v>38</v>
      </c>
      <c r="R59" s="8"/>
      <c r="T59"/>
    </row>
    <row r="60" spans="2:20" ht="23.1" customHeight="1" x14ac:dyDescent="0.25">
      <c r="B60" s="45" t="s">
        <v>101</v>
      </c>
      <c r="C60" s="50">
        <v>7</v>
      </c>
      <c r="D60" s="50">
        <v>0</v>
      </c>
      <c r="E60" s="50">
        <v>2</v>
      </c>
      <c r="F60" s="50">
        <v>7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23</v>
      </c>
      <c r="N60" s="50">
        <v>0</v>
      </c>
      <c r="O60" s="15">
        <f t="shared" si="0"/>
        <v>16</v>
      </c>
      <c r="P60" s="15">
        <f t="shared" si="1"/>
        <v>39</v>
      </c>
      <c r="R60" s="8"/>
      <c r="T60"/>
    </row>
    <row r="61" spans="2:20" ht="23.1" customHeight="1" x14ac:dyDescent="0.25">
      <c r="B61" s="45" t="s">
        <v>102</v>
      </c>
      <c r="C61" s="50">
        <v>2</v>
      </c>
      <c r="D61" s="50">
        <v>0</v>
      </c>
      <c r="E61" s="50">
        <v>3</v>
      </c>
      <c r="F61" s="50">
        <v>2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17</v>
      </c>
      <c r="N61" s="50">
        <v>0</v>
      </c>
      <c r="O61" s="15">
        <f t="shared" si="0"/>
        <v>7</v>
      </c>
      <c r="P61" s="15">
        <f t="shared" si="1"/>
        <v>24</v>
      </c>
      <c r="R61" s="8"/>
      <c r="T61"/>
    </row>
    <row r="62" spans="2:20" ht="23.1" customHeight="1" x14ac:dyDescent="0.25">
      <c r="B62" s="45" t="s">
        <v>107</v>
      </c>
      <c r="C62" s="50">
        <v>5</v>
      </c>
      <c r="D62" s="50">
        <v>0</v>
      </c>
      <c r="E62" s="50">
        <v>1</v>
      </c>
      <c r="F62" s="50">
        <v>3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25</v>
      </c>
      <c r="N62" s="50">
        <v>0</v>
      </c>
      <c r="O62" s="15">
        <f t="shared" si="0"/>
        <v>10</v>
      </c>
      <c r="P62" s="15">
        <f t="shared" si="1"/>
        <v>35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1</v>
      </c>
      <c r="F63" s="50">
        <v>2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8</v>
      </c>
      <c r="N63" s="50">
        <v>0</v>
      </c>
      <c r="O63" s="15">
        <f t="shared" si="0"/>
        <v>6</v>
      </c>
      <c r="P63" s="15">
        <f t="shared" si="1"/>
        <v>14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2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6</v>
      </c>
      <c r="N64" s="50">
        <v>0</v>
      </c>
      <c r="O64" s="15">
        <f t="shared" si="0"/>
        <v>3</v>
      </c>
      <c r="P64" s="15">
        <f t="shared" si="1"/>
        <v>9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0</v>
      </c>
      <c r="E65" s="50">
        <v>0</v>
      </c>
      <c r="F65" s="50">
        <v>3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9</v>
      </c>
      <c r="N65" s="50">
        <v>0</v>
      </c>
      <c r="O65" s="15">
        <f t="shared" si="0"/>
        <v>6</v>
      </c>
      <c r="P65" s="15">
        <f t="shared" si="1"/>
        <v>15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0</v>
      </c>
      <c r="E66" s="50">
        <v>0</v>
      </c>
      <c r="F66" s="50">
        <v>2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6</v>
      </c>
      <c r="N66" s="50">
        <v>0</v>
      </c>
      <c r="O66" s="15">
        <f t="shared" si="0"/>
        <v>4</v>
      </c>
      <c r="P66" s="15">
        <f t="shared" si="1"/>
        <v>10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1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6</v>
      </c>
      <c r="N67" s="50">
        <v>0</v>
      </c>
      <c r="O67" s="15">
        <f t="shared" si="0"/>
        <v>2</v>
      </c>
      <c r="P67" s="15">
        <f t="shared" si="1"/>
        <v>8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2</v>
      </c>
      <c r="F68" s="50">
        <v>3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4</v>
      </c>
      <c r="N68" s="50">
        <v>0</v>
      </c>
      <c r="O68" s="15">
        <f t="shared" si="0"/>
        <v>7</v>
      </c>
      <c r="P68" s="15">
        <f t="shared" si="1"/>
        <v>11</v>
      </c>
      <c r="R68" s="8"/>
      <c r="T68"/>
    </row>
    <row r="69" spans="2:20" ht="23.1" customHeight="1" x14ac:dyDescent="0.25">
      <c r="B69" s="45" t="s">
        <v>106</v>
      </c>
      <c r="C69" s="50">
        <v>6</v>
      </c>
      <c r="D69" s="50">
        <v>0</v>
      </c>
      <c r="E69" s="50">
        <v>0</v>
      </c>
      <c r="F69" s="50">
        <v>4</v>
      </c>
      <c r="G69" s="50">
        <v>0</v>
      </c>
      <c r="H69" s="50">
        <v>0</v>
      </c>
      <c r="I69" s="50">
        <v>1</v>
      </c>
      <c r="J69" s="50">
        <v>1</v>
      </c>
      <c r="K69" s="50">
        <v>1</v>
      </c>
      <c r="L69" s="50">
        <v>0</v>
      </c>
      <c r="M69" s="50">
        <v>2</v>
      </c>
      <c r="N69" s="50">
        <v>0</v>
      </c>
      <c r="O69" s="15">
        <f t="shared" si="0"/>
        <v>13</v>
      </c>
      <c r="P69" s="15">
        <f t="shared" si="1"/>
        <v>15</v>
      </c>
      <c r="R69" s="8"/>
      <c r="T69"/>
    </row>
    <row r="70" spans="2:20" ht="23.1" customHeight="1" x14ac:dyDescent="0.25">
      <c r="B70" s="45" t="s">
        <v>110</v>
      </c>
      <c r="C70" s="50">
        <v>4</v>
      </c>
      <c r="D70" s="50">
        <v>0</v>
      </c>
      <c r="E70" s="50">
        <v>1</v>
      </c>
      <c r="F70" s="50">
        <v>2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14</v>
      </c>
      <c r="N70" s="50">
        <v>0</v>
      </c>
      <c r="O70" s="15">
        <f t="shared" si="0"/>
        <v>7</v>
      </c>
      <c r="P70" s="15">
        <f t="shared" si="1"/>
        <v>21</v>
      </c>
      <c r="R70" s="8"/>
      <c r="T70"/>
    </row>
    <row r="71" spans="2:20" ht="23.1" customHeight="1" x14ac:dyDescent="0.25">
      <c r="B71" s="45" t="s">
        <v>111</v>
      </c>
      <c r="C71" s="50">
        <v>3</v>
      </c>
      <c r="D71" s="50">
        <v>0</v>
      </c>
      <c r="E71" s="50">
        <v>1</v>
      </c>
      <c r="F71" s="50">
        <v>1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4</v>
      </c>
      <c r="N71" s="50">
        <v>0</v>
      </c>
      <c r="O71" s="15">
        <f t="shared" si="0"/>
        <v>6</v>
      </c>
      <c r="P71" s="15">
        <f t="shared" si="1"/>
        <v>10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0</v>
      </c>
      <c r="E72" s="50">
        <v>1</v>
      </c>
      <c r="F72" s="50">
        <v>4</v>
      </c>
      <c r="G72" s="50">
        <v>0</v>
      </c>
      <c r="H72" s="50">
        <v>1</v>
      </c>
      <c r="I72" s="50">
        <v>0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0"/>
        <v>9</v>
      </c>
      <c r="P72" s="15">
        <f t="shared" si="1"/>
        <v>12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1</v>
      </c>
      <c r="I73" s="50">
        <v>1</v>
      </c>
      <c r="J73" s="50">
        <v>0</v>
      </c>
      <c r="K73" s="50">
        <v>0</v>
      </c>
      <c r="L73" s="50">
        <v>0</v>
      </c>
      <c r="M73" s="50">
        <v>2</v>
      </c>
      <c r="N73" s="50">
        <v>0</v>
      </c>
      <c r="O73" s="15">
        <f t="shared" si="0"/>
        <v>2</v>
      </c>
      <c r="P73" s="15">
        <f t="shared" si="1"/>
        <v>4</v>
      </c>
      <c r="R73" s="8"/>
      <c r="T73"/>
    </row>
    <row r="74" spans="2:20" ht="23.1" customHeight="1" x14ac:dyDescent="0.25">
      <c r="B74" s="45" t="s">
        <v>114</v>
      </c>
      <c r="C74" s="50">
        <v>4</v>
      </c>
      <c r="D74" s="50">
        <v>1</v>
      </c>
      <c r="E74" s="50">
        <v>4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6</v>
      </c>
      <c r="N74" s="50">
        <v>0</v>
      </c>
      <c r="O74" s="15">
        <f t="shared" ref="O74:O105" si="35">SUM(C74:L74,N74)</f>
        <v>10</v>
      </c>
      <c r="P74" s="15">
        <f t="shared" ref="P74:P105" si="36">SUM(C74:N74)</f>
        <v>16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1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6</v>
      </c>
      <c r="N75" s="50">
        <v>0</v>
      </c>
      <c r="O75" s="15">
        <f t="shared" si="35"/>
        <v>2</v>
      </c>
      <c r="P75" s="15">
        <f t="shared" si="36"/>
        <v>8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3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5</v>
      </c>
      <c r="N76" s="50">
        <v>0</v>
      </c>
      <c r="O76" s="15">
        <f t="shared" si="35"/>
        <v>4</v>
      </c>
      <c r="P76" s="15">
        <f t="shared" si="36"/>
        <v>9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0</v>
      </c>
      <c r="G77" s="50">
        <v>0</v>
      </c>
      <c r="H77" s="50">
        <v>1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2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1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1</v>
      </c>
      <c r="P78" s="15">
        <f t="shared" si="36"/>
        <v>1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2</v>
      </c>
      <c r="J79" s="50">
        <v>0</v>
      </c>
      <c r="K79" s="50">
        <v>0</v>
      </c>
      <c r="L79" s="50">
        <v>0</v>
      </c>
      <c r="M79" s="50">
        <v>5</v>
      </c>
      <c r="N79" s="50">
        <v>0</v>
      </c>
      <c r="O79" s="15">
        <f t="shared" si="35"/>
        <v>3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1</v>
      </c>
      <c r="I80" s="50">
        <v>0</v>
      </c>
      <c r="J80" s="50">
        <v>0</v>
      </c>
      <c r="K80" s="50">
        <v>0</v>
      </c>
      <c r="L80" s="50">
        <v>0</v>
      </c>
      <c r="M80" s="50">
        <v>4</v>
      </c>
      <c r="N80" s="50">
        <v>0</v>
      </c>
      <c r="O80" s="15">
        <f t="shared" si="35"/>
        <v>2</v>
      </c>
      <c r="P80" s="15">
        <f t="shared" si="36"/>
        <v>6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6</v>
      </c>
      <c r="N81" s="50">
        <v>0</v>
      </c>
      <c r="O81" s="15">
        <f t="shared" si="35"/>
        <v>0</v>
      </c>
      <c r="P81" s="15">
        <f t="shared" si="36"/>
        <v>6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1</v>
      </c>
      <c r="G82" s="50">
        <v>0</v>
      </c>
      <c r="H82" s="50">
        <v>1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2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2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3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5</v>
      </c>
      <c r="N90" s="50">
        <v>0</v>
      </c>
      <c r="O90" s="15">
        <f t="shared" si="35"/>
        <v>2</v>
      </c>
      <c r="P90" s="15">
        <f t="shared" si="36"/>
        <v>7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14</v>
      </c>
      <c r="N91" s="50">
        <v>0</v>
      </c>
      <c r="O91" s="15">
        <f t="shared" si="35"/>
        <v>1</v>
      </c>
      <c r="P91" s="15">
        <f t="shared" si="36"/>
        <v>15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11</v>
      </c>
      <c r="N92" s="50">
        <v>0</v>
      </c>
      <c r="O92" s="15">
        <f t="shared" si="35"/>
        <v>1</v>
      </c>
      <c r="P92" s="15">
        <f t="shared" si="36"/>
        <v>12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1</v>
      </c>
      <c r="F93" s="50">
        <v>1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10</v>
      </c>
      <c r="N93" s="50">
        <v>0</v>
      </c>
      <c r="O93" s="15">
        <f t="shared" si="35"/>
        <v>4</v>
      </c>
      <c r="P93" s="15">
        <f t="shared" si="36"/>
        <v>14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1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6</v>
      </c>
      <c r="N94" s="50">
        <v>0</v>
      </c>
      <c r="O94" s="15">
        <f t="shared" si="35"/>
        <v>2</v>
      </c>
      <c r="P94" s="15">
        <f t="shared" si="36"/>
        <v>8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9</v>
      </c>
      <c r="N95" s="50">
        <v>0</v>
      </c>
      <c r="O95" s="15">
        <f t="shared" si="35"/>
        <v>1</v>
      </c>
      <c r="P95" s="15">
        <f t="shared" si="36"/>
        <v>10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9</v>
      </c>
      <c r="N96" s="50">
        <v>0</v>
      </c>
      <c r="O96" s="15">
        <f t="shared" si="35"/>
        <v>0</v>
      </c>
      <c r="P96" s="15">
        <f t="shared" si="36"/>
        <v>9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14</v>
      </c>
      <c r="N97" s="50">
        <v>0</v>
      </c>
      <c r="O97" s="15">
        <f t="shared" si="35"/>
        <v>0</v>
      </c>
      <c r="P97" s="15">
        <f t="shared" si="36"/>
        <v>14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1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4</v>
      </c>
      <c r="N99" s="50">
        <v>0</v>
      </c>
      <c r="O99" s="15">
        <f t="shared" si="35"/>
        <v>0</v>
      </c>
      <c r="P99" s="15">
        <f t="shared" si="36"/>
        <v>4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1</v>
      </c>
      <c r="I100" s="50">
        <v>0</v>
      </c>
      <c r="J100" s="50">
        <v>0</v>
      </c>
      <c r="K100" s="50">
        <v>0</v>
      </c>
      <c r="L100" s="50">
        <v>0</v>
      </c>
      <c r="M100" s="50">
        <v>4</v>
      </c>
      <c r="N100" s="50">
        <v>0</v>
      </c>
      <c r="O100" s="15">
        <f t="shared" si="35"/>
        <v>1</v>
      </c>
      <c r="P100" s="15">
        <f t="shared" si="36"/>
        <v>5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5</v>
      </c>
      <c r="N101" s="50">
        <v>0</v>
      </c>
      <c r="O101" s="15">
        <f t="shared" si="35"/>
        <v>0</v>
      </c>
      <c r="P101" s="15">
        <f t="shared" si="36"/>
        <v>5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4</v>
      </c>
      <c r="N102" s="50">
        <v>0</v>
      </c>
      <c r="O102" s="15">
        <f t="shared" si="35"/>
        <v>1</v>
      </c>
      <c r="P102" s="15">
        <f t="shared" si="36"/>
        <v>5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0</v>
      </c>
      <c r="P103" s="15">
        <f t="shared" si="36"/>
        <v>1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0</v>
      </c>
      <c r="F104" s="50">
        <v>1</v>
      </c>
      <c r="G104" s="50">
        <v>0</v>
      </c>
      <c r="H104" s="50">
        <v>0</v>
      </c>
      <c r="I104" s="50">
        <v>0</v>
      </c>
      <c r="J104" s="50">
        <v>1</v>
      </c>
      <c r="K104" s="50">
        <v>0</v>
      </c>
      <c r="L104" s="50">
        <v>0</v>
      </c>
      <c r="M104" s="50">
        <v>8</v>
      </c>
      <c r="N104" s="50">
        <v>0</v>
      </c>
      <c r="O104" s="15">
        <f t="shared" si="35"/>
        <v>3</v>
      </c>
      <c r="P104" s="15">
        <f t="shared" si="36"/>
        <v>11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0</v>
      </c>
      <c r="F105" s="50">
        <v>1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7</v>
      </c>
      <c r="N105" s="50">
        <v>0</v>
      </c>
      <c r="O105" s="15">
        <f t="shared" si="35"/>
        <v>2</v>
      </c>
      <c r="P105" s="15">
        <f t="shared" si="36"/>
        <v>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163</v>
      </c>
      <c r="D106" s="16">
        <f t="shared" ref="D106:P106" si="37">SUM(D10:D105)</f>
        <v>5</v>
      </c>
      <c r="E106" s="16">
        <f t="shared" si="37"/>
        <v>92</v>
      </c>
      <c r="F106" s="16">
        <f t="shared" si="37"/>
        <v>166</v>
      </c>
      <c r="G106" s="16">
        <f t="shared" si="37"/>
        <v>0</v>
      </c>
      <c r="H106" s="16">
        <f t="shared" si="37"/>
        <v>10</v>
      </c>
      <c r="I106" s="16">
        <f t="shared" si="37"/>
        <v>36</v>
      </c>
      <c r="J106" s="16">
        <f t="shared" si="37"/>
        <v>7</v>
      </c>
      <c r="K106" s="16">
        <f t="shared" si="37"/>
        <v>1</v>
      </c>
      <c r="L106" s="16">
        <f t="shared" si="37"/>
        <v>0</v>
      </c>
      <c r="M106" s="16">
        <f t="shared" si="37"/>
        <v>1391</v>
      </c>
      <c r="N106" s="16">
        <f t="shared" si="37"/>
        <v>1</v>
      </c>
      <c r="O106" s="16">
        <f t="shared" si="37"/>
        <v>481</v>
      </c>
      <c r="P106" s="16">
        <f t="shared" si="37"/>
        <v>1872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8.7072649572649569E-2</v>
      </c>
      <c r="D107" s="43">
        <f t="shared" si="38"/>
        <v>2.670940170940171E-3</v>
      </c>
      <c r="E107" s="43">
        <f t="shared" si="38"/>
        <v>4.9145299145299144E-2</v>
      </c>
      <c r="F107" s="43">
        <f t="shared" si="38"/>
        <v>8.8675213675213679E-2</v>
      </c>
      <c r="G107" s="43">
        <f t="shared" si="38"/>
        <v>0</v>
      </c>
      <c r="H107" s="43">
        <f t="shared" si="38"/>
        <v>5.341880341880342E-3</v>
      </c>
      <c r="I107" s="43">
        <f t="shared" si="38"/>
        <v>1.9230769230769232E-2</v>
      </c>
      <c r="J107" s="43">
        <f t="shared" si="38"/>
        <v>3.7393162393162395E-3</v>
      </c>
      <c r="K107" s="43">
        <f t="shared" si="38"/>
        <v>5.3418803418803424E-4</v>
      </c>
      <c r="L107" s="43">
        <f t="shared" si="38"/>
        <v>0</v>
      </c>
      <c r="M107" s="43">
        <f t="shared" si="38"/>
        <v>0.74305555555555558</v>
      </c>
      <c r="N107" s="43">
        <f t="shared" si="38"/>
        <v>5.3418803418803424E-4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0.3388773388773389</v>
      </c>
      <c r="D108" s="44">
        <f t="shared" ref="D108:N108" si="39">D106/$O$106</f>
        <v>1.0395010395010396E-2</v>
      </c>
      <c r="E108" s="44">
        <f t="shared" si="39"/>
        <v>0.19126819126819128</v>
      </c>
      <c r="F108" s="44">
        <f t="shared" si="39"/>
        <v>0.34511434511434513</v>
      </c>
      <c r="G108" s="44">
        <f t="shared" si="39"/>
        <v>0</v>
      </c>
      <c r="H108" s="44">
        <f t="shared" si="39"/>
        <v>2.0790020790020791E-2</v>
      </c>
      <c r="I108" s="44">
        <f t="shared" si="39"/>
        <v>7.4844074844074848E-2</v>
      </c>
      <c r="J108" s="44">
        <f t="shared" si="39"/>
        <v>1.4553014553014554E-2</v>
      </c>
      <c r="K108" s="44">
        <f t="shared" si="39"/>
        <v>2.0790020790020791E-3</v>
      </c>
      <c r="L108" s="44">
        <f t="shared" si="39"/>
        <v>0</v>
      </c>
      <c r="M108" s="44"/>
      <c r="N108" s="44">
        <f t="shared" si="39"/>
        <v>2.0790020790020791E-3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3" zoomScale="60" workbookViewId="0">
      <selection activeCell="H12" sqref="H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Malaba-Tororo'!C3:G3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'17.08 Tororo-Malaba-24h'!G5:H5</f>
        <v>xxx</v>
      </c>
      <c r="H5" s="64"/>
      <c r="I5" s="14"/>
      <c r="J5" s="2" t="s">
        <v>5</v>
      </c>
      <c r="K5" s="63" t="str">
        <f>'17.08 Tororo-Malaba-24h'!K5:L5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Malaba-Tororo'!D6:E6</f>
        <v>Malaba</v>
      </c>
      <c r="E6" s="64"/>
      <c r="F6" s="2" t="s">
        <v>2</v>
      </c>
      <c r="G6" s="63" t="str">
        <f>'12.08 Malaba-Tororo'!G6:H6</f>
        <v>Tororo</v>
      </c>
      <c r="H6" s="64"/>
      <c r="J6" s="2" t="s">
        <v>21</v>
      </c>
      <c r="K6" s="63" t="str">
        <f>'17.08 Tororo-Malaba-24h'!K6:L6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1</v>
      </c>
      <c r="V10" s="17">
        <f t="shared" si="2"/>
        <v>7</v>
      </c>
      <c r="W10" s="17">
        <f t="shared" si="2"/>
        <v>0</v>
      </c>
      <c r="X10" s="17">
        <f t="shared" si="2"/>
        <v>0</v>
      </c>
      <c r="Y10" s="17">
        <f>SUM(I10:I13)</f>
        <v>1</v>
      </c>
      <c r="Z10" s="17">
        <f>SUM(J10:J13)</f>
        <v>0</v>
      </c>
      <c r="AA10" s="17">
        <f>SUM(K10:K13)</f>
        <v>0</v>
      </c>
      <c r="AB10" s="17">
        <f t="shared" si="2"/>
        <v>0</v>
      </c>
      <c r="AC10" s="17">
        <f t="shared" si="2"/>
        <v>34</v>
      </c>
      <c r="AD10" s="17">
        <f t="shared" si="2"/>
        <v>0</v>
      </c>
      <c r="AE10" s="31">
        <f t="shared" si="2"/>
        <v>14</v>
      </c>
      <c r="AF10" s="31">
        <f t="shared" si="2"/>
        <v>48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4</v>
      </c>
      <c r="P11" s="15">
        <f t="shared" si="1"/>
        <v>12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2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>SUM(I14:I17)</f>
        <v>1</v>
      </c>
      <c r="Z11" s="17">
        <f>SUM(J14:J17)</f>
        <v>1</v>
      </c>
      <c r="AA11" s="17">
        <f>SUM(K14:K17)</f>
        <v>0</v>
      </c>
      <c r="AB11" s="17">
        <f t="shared" si="3"/>
        <v>0</v>
      </c>
      <c r="AC11" s="17">
        <f t="shared" si="3"/>
        <v>57</v>
      </c>
      <c r="AD11" s="17">
        <f t="shared" si="3"/>
        <v>0</v>
      </c>
      <c r="AE11" s="31">
        <f t="shared" si="3"/>
        <v>11</v>
      </c>
      <c r="AF11" s="31">
        <f t="shared" si="3"/>
        <v>68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12</v>
      </c>
      <c r="N12" s="50">
        <v>0</v>
      </c>
      <c r="O12" s="15">
        <f t="shared" si="0"/>
        <v>3</v>
      </c>
      <c r="P12" s="15">
        <f t="shared" si="1"/>
        <v>15</v>
      </c>
      <c r="R12" s="1" t="s">
        <v>8</v>
      </c>
      <c r="S12" s="17">
        <f t="shared" ref="S12:AF12" si="4">SUM(C18:C21)</f>
        <v>11</v>
      </c>
      <c r="T12" s="17">
        <f t="shared" si="4"/>
        <v>1</v>
      </c>
      <c r="U12" s="17">
        <f t="shared" si="4"/>
        <v>8</v>
      </c>
      <c r="V12" s="17">
        <f t="shared" si="4"/>
        <v>4</v>
      </c>
      <c r="W12" s="17">
        <f t="shared" si="4"/>
        <v>0</v>
      </c>
      <c r="X12" s="17">
        <f t="shared" si="4"/>
        <v>1</v>
      </c>
      <c r="Y12" s="17">
        <f>SUM(I18:I21)</f>
        <v>2</v>
      </c>
      <c r="Z12" s="17">
        <f>SUM(J18:J21)</f>
        <v>0</v>
      </c>
      <c r="AA12" s="17">
        <f>SUM(K18:K21)</f>
        <v>0</v>
      </c>
      <c r="AB12" s="17">
        <f t="shared" si="4"/>
        <v>0</v>
      </c>
      <c r="AC12" s="17">
        <f t="shared" si="4"/>
        <v>74</v>
      </c>
      <c r="AD12" s="17">
        <f t="shared" si="4"/>
        <v>0</v>
      </c>
      <c r="AE12" s="31">
        <f t="shared" si="4"/>
        <v>27</v>
      </c>
      <c r="AF12" s="31">
        <f t="shared" si="4"/>
        <v>101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3</v>
      </c>
      <c r="P13" s="15">
        <f t="shared" si="1"/>
        <v>10</v>
      </c>
      <c r="R13" s="1" t="s">
        <v>9</v>
      </c>
      <c r="S13" s="17">
        <f t="shared" ref="S13:AF13" si="5">SUM(C22:C25)</f>
        <v>12</v>
      </c>
      <c r="T13" s="17">
        <f t="shared" si="5"/>
        <v>1</v>
      </c>
      <c r="U13" s="17">
        <f t="shared" si="5"/>
        <v>9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>SUM(I22:I25)</f>
        <v>4</v>
      </c>
      <c r="Z13" s="17">
        <f>SUM(J22:J25)</f>
        <v>0</v>
      </c>
      <c r="AA13" s="17">
        <f>SUM(K22:K25)</f>
        <v>1</v>
      </c>
      <c r="AB13" s="17">
        <f t="shared" si="5"/>
        <v>0</v>
      </c>
      <c r="AC13" s="17">
        <f t="shared" si="5"/>
        <v>82</v>
      </c>
      <c r="AD13" s="17">
        <f t="shared" si="5"/>
        <v>0</v>
      </c>
      <c r="AE13" s="31">
        <f t="shared" si="5"/>
        <v>35</v>
      </c>
      <c r="AF13" s="31">
        <f t="shared" si="5"/>
        <v>117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12</v>
      </c>
      <c r="N14" s="50">
        <v>0</v>
      </c>
      <c r="O14" s="15">
        <f t="shared" si="0"/>
        <v>0</v>
      </c>
      <c r="P14" s="15">
        <f t="shared" si="1"/>
        <v>12</v>
      </c>
      <c r="R14" s="1" t="s">
        <v>10</v>
      </c>
      <c r="S14" s="17">
        <f t="shared" ref="S14:AF14" si="6">SUM(C26:C29)</f>
        <v>17</v>
      </c>
      <c r="T14" s="17">
        <f t="shared" si="6"/>
        <v>0</v>
      </c>
      <c r="U14" s="17">
        <f t="shared" si="6"/>
        <v>7</v>
      </c>
      <c r="V14" s="17">
        <f t="shared" si="6"/>
        <v>13</v>
      </c>
      <c r="W14" s="17">
        <f t="shared" si="6"/>
        <v>1</v>
      </c>
      <c r="X14" s="17">
        <f t="shared" si="6"/>
        <v>0</v>
      </c>
      <c r="Y14" s="17">
        <f>SUM(I26:I29)</f>
        <v>4</v>
      </c>
      <c r="Z14" s="17">
        <f>SUM(J26:J29)</f>
        <v>0</v>
      </c>
      <c r="AA14" s="17">
        <f>SUM(K26:K29)</f>
        <v>0</v>
      </c>
      <c r="AB14" s="17">
        <f t="shared" si="6"/>
        <v>0</v>
      </c>
      <c r="AC14" s="17">
        <f t="shared" si="6"/>
        <v>92</v>
      </c>
      <c r="AD14" s="17">
        <f t="shared" si="6"/>
        <v>0</v>
      </c>
      <c r="AE14" s="31">
        <f t="shared" si="6"/>
        <v>42</v>
      </c>
      <c r="AF14" s="31">
        <f t="shared" si="6"/>
        <v>134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3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16</v>
      </c>
      <c r="N15" s="50">
        <v>0</v>
      </c>
      <c r="O15" s="15">
        <f t="shared" si="0"/>
        <v>7</v>
      </c>
      <c r="P15" s="15">
        <f t="shared" si="1"/>
        <v>23</v>
      </c>
      <c r="R15" s="1" t="s">
        <v>11</v>
      </c>
      <c r="S15" s="17">
        <f t="shared" ref="S15:AF15" si="7">SUM(C30:C33)</f>
        <v>20</v>
      </c>
      <c r="T15" s="17">
        <f t="shared" si="7"/>
        <v>1</v>
      </c>
      <c r="U15" s="17">
        <f t="shared" si="7"/>
        <v>8</v>
      </c>
      <c r="V15" s="17">
        <f t="shared" si="7"/>
        <v>12</v>
      </c>
      <c r="W15" s="17">
        <f t="shared" si="7"/>
        <v>0</v>
      </c>
      <c r="X15" s="17">
        <f t="shared" si="7"/>
        <v>0</v>
      </c>
      <c r="Y15" s="17">
        <f>SUM(I30:I33)</f>
        <v>3</v>
      </c>
      <c r="Z15" s="17">
        <f>SUM(J30:J33)</f>
        <v>0</v>
      </c>
      <c r="AA15" s="17">
        <f>SUM(K30:K33)</f>
        <v>0</v>
      </c>
      <c r="AB15" s="17">
        <f t="shared" si="7"/>
        <v>0</v>
      </c>
      <c r="AC15" s="17">
        <f t="shared" si="7"/>
        <v>98</v>
      </c>
      <c r="AD15" s="17">
        <f t="shared" si="7"/>
        <v>0</v>
      </c>
      <c r="AE15" s="31">
        <f t="shared" si="7"/>
        <v>44</v>
      </c>
      <c r="AF15" s="31">
        <f t="shared" si="7"/>
        <v>142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11</v>
      </c>
      <c r="N16" s="50">
        <v>0</v>
      </c>
      <c r="O16" s="15">
        <f t="shared" si="0"/>
        <v>0</v>
      </c>
      <c r="P16" s="15">
        <f t="shared" si="1"/>
        <v>11</v>
      </c>
      <c r="R16" s="1" t="s">
        <v>12</v>
      </c>
      <c r="S16" s="17">
        <f t="shared" ref="S16:AF16" si="8">SUM(C34:C37)</f>
        <v>30</v>
      </c>
      <c r="T16" s="17">
        <f t="shared" si="8"/>
        <v>2</v>
      </c>
      <c r="U16" s="17">
        <f t="shared" si="8"/>
        <v>15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>SUM(I34:I37)</f>
        <v>4</v>
      </c>
      <c r="Z16" s="17">
        <f>SUM(J34:J37)</f>
        <v>2</v>
      </c>
      <c r="AA16" s="17">
        <f>SUM(K34:K37)</f>
        <v>0</v>
      </c>
      <c r="AB16" s="17">
        <f t="shared" si="8"/>
        <v>0</v>
      </c>
      <c r="AC16" s="17">
        <f t="shared" si="8"/>
        <v>90</v>
      </c>
      <c r="AD16" s="17">
        <f t="shared" si="8"/>
        <v>0</v>
      </c>
      <c r="AE16" s="31">
        <f t="shared" si="8"/>
        <v>68</v>
      </c>
      <c r="AF16" s="31">
        <f t="shared" si="8"/>
        <v>158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2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18</v>
      </c>
      <c r="N17" s="50">
        <v>0</v>
      </c>
      <c r="O17" s="15">
        <f t="shared" si="0"/>
        <v>4</v>
      </c>
      <c r="P17" s="15">
        <f t="shared" si="1"/>
        <v>22</v>
      </c>
      <c r="R17" s="1" t="s">
        <v>13</v>
      </c>
      <c r="S17" s="17">
        <f t="shared" ref="S17:AF17" si="9">SUM(C38:C41)</f>
        <v>19</v>
      </c>
      <c r="T17" s="17">
        <f t="shared" si="9"/>
        <v>3</v>
      </c>
      <c r="U17" s="17">
        <f t="shared" si="9"/>
        <v>17</v>
      </c>
      <c r="V17" s="17">
        <f t="shared" si="9"/>
        <v>7</v>
      </c>
      <c r="W17" s="17">
        <f t="shared" si="9"/>
        <v>2</v>
      </c>
      <c r="X17" s="17">
        <f t="shared" si="9"/>
        <v>0</v>
      </c>
      <c r="Y17" s="17">
        <f>SUM(I38:I41)</f>
        <v>5</v>
      </c>
      <c r="Z17" s="17">
        <f>SUM(J38:J41)</f>
        <v>0</v>
      </c>
      <c r="AA17" s="17">
        <f>SUM(K38:K41)</f>
        <v>0</v>
      </c>
      <c r="AB17" s="17">
        <f t="shared" si="9"/>
        <v>0</v>
      </c>
      <c r="AC17" s="17">
        <f t="shared" si="9"/>
        <v>93</v>
      </c>
      <c r="AD17" s="17">
        <f t="shared" si="9"/>
        <v>0</v>
      </c>
      <c r="AE17" s="31">
        <f t="shared" si="9"/>
        <v>53</v>
      </c>
      <c r="AF17" s="31">
        <f t="shared" si="9"/>
        <v>146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3</v>
      </c>
      <c r="G18" s="50">
        <v>0</v>
      </c>
      <c r="H18" s="50">
        <v>1</v>
      </c>
      <c r="I18" s="50">
        <v>0</v>
      </c>
      <c r="J18" s="50">
        <v>0</v>
      </c>
      <c r="K18" s="50">
        <v>0</v>
      </c>
      <c r="L18" s="50">
        <v>0</v>
      </c>
      <c r="M18" s="50">
        <v>16</v>
      </c>
      <c r="N18" s="50">
        <v>0</v>
      </c>
      <c r="O18" s="15">
        <f t="shared" si="0"/>
        <v>4</v>
      </c>
      <c r="P18" s="15">
        <f t="shared" si="1"/>
        <v>20</v>
      </c>
      <c r="R18" s="1" t="s">
        <v>14</v>
      </c>
      <c r="S18" s="17">
        <f t="shared" ref="S18:AF18" si="10">SUM(C42:C45)</f>
        <v>26</v>
      </c>
      <c r="T18" s="17">
        <f t="shared" si="10"/>
        <v>1</v>
      </c>
      <c r="U18" s="17">
        <f t="shared" si="10"/>
        <v>12</v>
      </c>
      <c r="V18" s="17">
        <f t="shared" si="10"/>
        <v>8</v>
      </c>
      <c r="W18" s="17">
        <f t="shared" si="10"/>
        <v>0</v>
      </c>
      <c r="X18" s="17">
        <f t="shared" si="10"/>
        <v>0</v>
      </c>
      <c r="Y18" s="17">
        <f>SUM(I42:I45)</f>
        <v>8</v>
      </c>
      <c r="Z18" s="17">
        <f>SUM(J42:J45)</f>
        <v>2</v>
      </c>
      <c r="AA18" s="17">
        <f>SUM(K42:K45)</f>
        <v>0</v>
      </c>
      <c r="AB18" s="17">
        <f t="shared" si="10"/>
        <v>0</v>
      </c>
      <c r="AC18" s="17">
        <f t="shared" si="10"/>
        <v>86</v>
      </c>
      <c r="AD18" s="17">
        <f t="shared" si="10"/>
        <v>0</v>
      </c>
      <c r="AE18" s="31">
        <f t="shared" si="10"/>
        <v>57</v>
      </c>
      <c r="AF18" s="31">
        <f t="shared" si="10"/>
        <v>143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13</v>
      </c>
      <c r="N19" s="50">
        <v>0</v>
      </c>
      <c r="O19" s="15">
        <f t="shared" si="0"/>
        <v>6</v>
      </c>
      <c r="P19" s="15">
        <f t="shared" si="1"/>
        <v>19</v>
      </c>
      <c r="R19" s="1" t="s">
        <v>15</v>
      </c>
      <c r="S19" s="17">
        <f t="shared" ref="S19:AF19" si="11">SUM(C46:C49)</f>
        <v>19</v>
      </c>
      <c r="T19" s="17">
        <f t="shared" si="11"/>
        <v>2</v>
      </c>
      <c r="U19" s="17">
        <f t="shared" si="11"/>
        <v>14</v>
      </c>
      <c r="V19" s="17">
        <f t="shared" si="11"/>
        <v>9</v>
      </c>
      <c r="W19" s="17">
        <f t="shared" si="11"/>
        <v>0</v>
      </c>
      <c r="X19" s="17">
        <f t="shared" si="11"/>
        <v>0</v>
      </c>
      <c r="Y19" s="17">
        <f>SUM(I46:I49)</f>
        <v>5</v>
      </c>
      <c r="Z19" s="17">
        <f>SUM(J46:J49)</f>
        <v>0</v>
      </c>
      <c r="AA19" s="17">
        <f>SUM(K46:K49)</f>
        <v>0</v>
      </c>
      <c r="AB19" s="17">
        <f t="shared" si="11"/>
        <v>0</v>
      </c>
      <c r="AC19" s="17">
        <f t="shared" si="11"/>
        <v>83</v>
      </c>
      <c r="AD19" s="17">
        <f t="shared" si="11"/>
        <v>0</v>
      </c>
      <c r="AE19" s="31">
        <f t="shared" si="11"/>
        <v>49</v>
      </c>
      <c r="AF19" s="31">
        <f t="shared" si="11"/>
        <v>132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2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30</v>
      </c>
      <c r="N20" s="50">
        <v>0</v>
      </c>
      <c r="O20" s="15">
        <f t="shared" si="0"/>
        <v>7</v>
      </c>
      <c r="P20" s="15">
        <f t="shared" si="1"/>
        <v>37</v>
      </c>
      <c r="R20" s="1" t="s">
        <v>16</v>
      </c>
      <c r="S20" s="17">
        <f t="shared" ref="S20:AF20" si="12">SUM(C50:C53)</f>
        <v>13</v>
      </c>
      <c r="T20" s="17">
        <f t="shared" si="12"/>
        <v>1</v>
      </c>
      <c r="U20" s="17">
        <f t="shared" si="12"/>
        <v>7</v>
      </c>
      <c r="V20" s="17">
        <f t="shared" si="12"/>
        <v>10</v>
      </c>
      <c r="W20" s="17">
        <f t="shared" si="12"/>
        <v>0</v>
      </c>
      <c r="X20" s="17">
        <f t="shared" si="12"/>
        <v>0</v>
      </c>
      <c r="Y20" s="17">
        <f>SUM(I50:I53)</f>
        <v>10</v>
      </c>
      <c r="Z20" s="17">
        <f>SUM(J50:J53)</f>
        <v>1</v>
      </c>
      <c r="AA20" s="17">
        <f>SUM(K50:K53)</f>
        <v>0</v>
      </c>
      <c r="AB20" s="17">
        <f t="shared" si="12"/>
        <v>0</v>
      </c>
      <c r="AC20" s="17">
        <f t="shared" si="12"/>
        <v>77</v>
      </c>
      <c r="AD20" s="17">
        <f t="shared" si="12"/>
        <v>0</v>
      </c>
      <c r="AE20" s="31">
        <f t="shared" si="12"/>
        <v>42</v>
      </c>
      <c r="AF20" s="31">
        <f t="shared" si="12"/>
        <v>119</v>
      </c>
    </row>
    <row r="21" spans="2:32" ht="23.1" customHeight="1" x14ac:dyDescent="0.25">
      <c r="B21" s="23" t="s">
        <v>48</v>
      </c>
      <c r="C21" s="50">
        <v>3</v>
      </c>
      <c r="D21" s="50">
        <v>1</v>
      </c>
      <c r="E21" s="50">
        <v>6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15</v>
      </c>
      <c r="N21" s="50">
        <v>0</v>
      </c>
      <c r="O21" s="15">
        <f t="shared" si="0"/>
        <v>10</v>
      </c>
      <c r="P21" s="15">
        <f t="shared" si="1"/>
        <v>25</v>
      </c>
      <c r="R21" s="36" t="s">
        <v>20</v>
      </c>
      <c r="S21" s="34">
        <f t="shared" ref="S21:AF21" si="13">SUM(C54:C57)</f>
        <v>13</v>
      </c>
      <c r="T21" s="17">
        <f t="shared" si="13"/>
        <v>2</v>
      </c>
      <c r="U21" s="17">
        <f t="shared" si="13"/>
        <v>11</v>
      </c>
      <c r="V21" s="17">
        <f t="shared" si="13"/>
        <v>10</v>
      </c>
      <c r="W21" s="17">
        <f t="shared" si="13"/>
        <v>0</v>
      </c>
      <c r="X21" s="17">
        <f t="shared" si="13"/>
        <v>0</v>
      </c>
      <c r="Y21" s="17">
        <f>SUM(I54:I57)</f>
        <v>6</v>
      </c>
      <c r="Z21" s="17">
        <f>SUM(J54:J57)</f>
        <v>1</v>
      </c>
      <c r="AA21" s="17">
        <f>SUM(K54:K57)</f>
        <v>0</v>
      </c>
      <c r="AB21" s="17">
        <f t="shared" si="13"/>
        <v>0</v>
      </c>
      <c r="AC21" s="17">
        <f t="shared" si="13"/>
        <v>81</v>
      </c>
      <c r="AD21" s="17">
        <f t="shared" si="13"/>
        <v>0</v>
      </c>
      <c r="AE21" s="31">
        <f t="shared" si="13"/>
        <v>43</v>
      </c>
      <c r="AF21" s="31">
        <f t="shared" si="13"/>
        <v>124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1</v>
      </c>
      <c r="F22" s="50">
        <v>3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10</v>
      </c>
      <c r="N22" s="50">
        <v>0</v>
      </c>
      <c r="O22" s="15">
        <f t="shared" si="0"/>
        <v>9</v>
      </c>
      <c r="P22" s="15">
        <f t="shared" si="1"/>
        <v>19</v>
      </c>
      <c r="R22" s="38" t="s">
        <v>90</v>
      </c>
      <c r="S22" s="39">
        <f>MAX(S10:S12)</f>
        <v>11</v>
      </c>
      <c r="T22" s="39">
        <f t="shared" ref="T22:AF22" si="14">MAX(T10:T12)</f>
        <v>1</v>
      </c>
      <c r="U22" s="39">
        <f t="shared" si="14"/>
        <v>8</v>
      </c>
      <c r="V22" s="39">
        <f t="shared" si="14"/>
        <v>7</v>
      </c>
      <c r="W22" s="39">
        <f t="shared" si="14"/>
        <v>0</v>
      </c>
      <c r="X22" s="39">
        <f t="shared" si="14"/>
        <v>1</v>
      </c>
      <c r="Y22" s="39">
        <f t="shared" si="14"/>
        <v>2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74</v>
      </c>
      <c r="AD22" s="39">
        <f t="shared" si="14"/>
        <v>0</v>
      </c>
      <c r="AE22" s="40">
        <f t="shared" si="14"/>
        <v>27</v>
      </c>
      <c r="AF22" s="40">
        <f t="shared" si="14"/>
        <v>101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2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15</v>
      </c>
      <c r="N23" s="50">
        <v>0</v>
      </c>
      <c r="O23" s="15">
        <f t="shared" si="0"/>
        <v>5</v>
      </c>
      <c r="P23" s="15">
        <f t="shared" si="1"/>
        <v>20</v>
      </c>
      <c r="R23" s="38" t="s">
        <v>91</v>
      </c>
      <c r="S23" s="39">
        <f>MAX(S13:S18)</f>
        <v>30</v>
      </c>
      <c r="T23" s="39">
        <f t="shared" ref="T23:AF23" si="15">MAX(T13:T18)</f>
        <v>3</v>
      </c>
      <c r="U23" s="39">
        <f t="shared" si="15"/>
        <v>17</v>
      </c>
      <c r="V23" s="39">
        <f t="shared" si="15"/>
        <v>15</v>
      </c>
      <c r="W23" s="39">
        <f t="shared" si="15"/>
        <v>2</v>
      </c>
      <c r="X23" s="39">
        <f t="shared" si="15"/>
        <v>0</v>
      </c>
      <c r="Y23" s="39">
        <f t="shared" si="15"/>
        <v>8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98</v>
      </c>
      <c r="AD23" s="39">
        <f t="shared" si="15"/>
        <v>0</v>
      </c>
      <c r="AE23" s="40">
        <f t="shared" si="15"/>
        <v>68</v>
      </c>
      <c r="AF23" s="40">
        <f t="shared" si="15"/>
        <v>158</v>
      </c>
    </row>
    <row r="24" spans="2:32" ht="23.1" customHeight="1" x14ac:dyDescent="0.25">
      <c r="B24" s="23" t="s">
        <v>51</v>
      </c>
      <c r="C24" s="50">
        <v>7</v>
      </c>
      <c r="D24" s="50">
        <v>0</v>
      </c>
      <c r="E24" s="50">
        <v>1</v>
      </c>
      <c r="F24" s="50">
        <v>4</v>
      </c>
      <c r="G24" s="50">
        <v>0</v>
      </c>
      <c r="H24" s="50">
        <v>0</v>
      </c>
      <c r="I24" s="50">
        <v>2</v>
      </c>
      <c r="J24" s="50">
        <v>0</v>
      </c>
      <c r="K24" s="50">
        <v>1</v>
      </c>
      <c r="L24" s="50">
        <v>0</v>
      </c>
      <c r="M24" s="50">
        <v>27</v>
      </c>
      <c r="N24" s="50">
        <v>0</v>
      </c>
      <c r="O24" s="15">
        <f t="shared" si="0"/>
        <v>15</v>
      </c>
      <c r="P24" s="15">
        <f t="shared" si="1"/>
        <v>42</v>
      </c>
      <c r="R24" s="38" t="s">
        <v>92</v>
      </c>
      <c r="S24" s="39">
        <f>MAX(S19:S21)</f>
        <v>19</v>
      </c>
      <c r="T24" s="39">
        <f t="shared" ref="T24:AF24" si="16">MAX(T19:T21)</f>
        <v>2</v>
      </c>
      <c r="U24" s="39">
        <f t="shared" si="16"/>
        <v>14</v>
      </c>
      <c r="V24" s="39">
        <f t="shared" si="16"/>
        <v>10</v>
      </c>
      <c r="W24" s="39">
        <f t="shared" si="16"/>
        <v>0</v>
      </c>
      <c r="X24" s="39">
        <f t="shared" si="16"/>
        <v>0</v>
      </c>
      <c r="Y24" s="39">
        <f t="shared" si="16"/>
        <v>10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83</v>
      </c>
      <c r="AD24" s="39">
        <f t="shared" si="16"/>
        <v>0</v>
      </c>
      <c r="AE24" s="40">
        <f t="shared" si="16"/>
        <v>49</v>
      </c>
      <c r="AF24" s="40">
        <f t="shared" si="16"/>
        <v>132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5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30</v>
      </c>
      <c r="N25" s="50">
        <v>0</v>
      </c>
      <c r="O25" s="15">
        <f t="shared" si="0"/>
        <v>6</v>
      </c>
      <c r="P25" s="15">
        <f t="shared" si="1"/>
        <v>36</v>
      </c>
      <c r="R25" s="37" t="s">
        <v>85</v>
      </c>
      <c r="S25" s="35">
        <f t="shared" ref="S25:AF25" si="17">SUM(S10:S12)</f>
        <v>18</v>
      </c>
      <c r="T25" s="16">
        <f t="shared" si="17"/>
        <v>1</v>
      </c>
      <c r="U25" s="16">
        <f t="shared" si="17"/>
        <v>11</v>
      </c>
      <c r="V25" s="16">
        <f t="shared" si="17"/>
        <v>16</v>
      </c>
      <c r="W25" s="16">
        <f t="shared" si="17"/>
        <v>0</v>
      </c>
      <c r="X25" s="16">
        <f t="shared" si="17"/>
        <v>1</v>
      </c>
      <c r="Y25" s="16">
        <f t="shared" si="17"/>
        <v>4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165</v>
      </c>
      <c r="AD25" s="16">
        <f t="shared" si="17"/>
        <v>0</v>
      </c>
      <c r="AE25" s="32">
        <f t="shared" si="17"/>
        <v>52</v>
      </c>
      <c r="AF25" s="32">
        <f t="shared" si="17"/>
        <v>217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2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22</v>
      </c>
      <c r="N26" s="50">
        <v>0</v>
      </c>
      <c r="O26" s="15">
        <f t="shared" si="0"/>
        <v>9</v>
      </c>
      <c r="P26" s="15">
        <f t="shared" si="1"/>
        <v>31</v>
      </c>
      <c r="R26" s="28" t="s">
        <v>86</v>
      </c>
      <c r="S26" s="16">
        <f t="shared" ref="S26:AF26" si="18">SUM(S13:S18)</f>
        <v>124</v>
      </c>
      <c r="T26" s="16">
        <f t="shared" si="18"/>
        <v>8</v>
      </c>
      <c r="U26" s="16">
        <f t="shared" si="18"/>
        <v>68</v>
      </c>
      <c r="V26" s="16">
        <f t="shared" si="18"/>
        <v>63</v>
      </c>
      <c r="W26" s="16">
        <f t="shared" si="18"/>
        <v>3</v>
      </c>
      <c r="X26" s="16">
        <f t="shared" si="18"/>
        <v>0</v>
      </c>
      <c r="Y26" s="16">
        <f t="shared" si="18"/>
        <v>28</v>
      </c>
      <c r="Z26" s="16">
        <f t="shared" si="18"/>
        <v>4</v>
      </c>
      <c r="AA26" s="16">
        <f t="shared" si="18"/>
        <v>1</v>
      </c>
      <c r="AB26" s="16">
        <f t="shared" si="18"/>
        <v>0</v>
      </c>
      <c r="AC26" s="16">
        <f t="shared" si="18"/>
        <v>541</v>
      </c>
      <c r="AD26" s="16">
        <f t="shared" si="18"/>
        <v>0</v>
      </c>
      <c r="AE26" s="32">
        <f t="shared" si="18"/>
        <v>299</v>
      </c>
      <c r="AF26" s="32">
        <f t="shared" si="18"/>
        <v>840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3</v>
      </c>
      <c r="G27" s="50">
        <v>1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23</v>
      </c>
      <c r="N27" s="50">
        <v>0</v>
      </c>
      <c r="O27" s="15">
        <f t="shared" si="0"/>
        <v>8</v>
      </c>
      <c r="P27" s="15">
        <f t="shared" si="1"/>
        <v>31</v>
      </c>
      <c r="R27" s="29" t="s">
        <v>87</v>
      </c>
      <c r="S27" s="16">
        <f t="shared" ref="S27:AF27" si="19">SUM(S19:S21)</f>
        <v>45</v>
      </c>
      <c r="T27" s="16">
        <f t="shared" si="19"/>
        <v>5</v>
      </c>
      <c r="U27" s="16">
        <f t="shared" si="19"/>
        <v>32</v>
      </c>
      <c r="V27" s="16">
        <f t="shared" si="19"/>
        <v>29</v>
      </c>
      <c r="W27" s="16">
        <f t="shared" si="19"/>
        <v>0</v>
      </c>
      <c r="X27" s="16">
        <f t="shared" si="19"/>
        <v>0</v>
      </c>
      <c r="Y27" s="16">
        <f t="shared" si="19"/>
        <v>21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241</v>
      </c>
      <c r="AD27" s="16">
        <f t="shared" si="19"/>
        <v>0</v>
      </c>
      <c r="AE27" s="32">
        <f t="shared" si="19"/>
        <v>134</v>
      </c>
      <c r="AF27" s="32">
        <f t="shared" si="19"/>
        <v>375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3</v>
      </c>
      <c r="F28" s="50">
        <v>4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20</v>
      </c>
      <c r="N28" s="50">
        <v>0</v>
      </c>
      <c r="O28" s="15">
        <f t="shared" si="0"/>
        <v>12</v>
      </c>
      <c r="P28" s="15">
        <f t="shared" si="1"/>
        <v>32</v>
      </c>
      <c r="R28" s="5" t="s">
        <v>17</v>
      </c>
      <c r="S28" s="16">
        <f t="shared" ref="S28:AF28" si="20">SUM(S10:S21)</f>
        <v>187</v>
      </c>
      <c r="T28" s="16">
        <f t="shared" si="20"/>
        <v>14</v>
      </c>
      <c r="U28" s="16">
        <f t="shared" si="20"/>
        <v>111</v>
      </c>
      <c r="V28" s="16">
        <f t="shared" si="20"/>
        <v>108</v>
      </c>
      <c r="W28" s="16">
        <f t="shared" si="20"/>
        <v>3</v>
      </c>
      <c r="X28" s="16">
        <f t="shared" si="20"/>
        <v>1</v>
      </c>
      <c r="Y28" s="16">
        <f t="shared" si="20"/>
        <v>53</v>
      </c>
      <c r="Z28" s="16">
        <f t="shared" si="20"/>
        <v>7</v>
      </c>
      <c r="AA28" s="16">
        <f t="shared" si="20"/>
        <v>1</v>
      </c>
      <c r="AB28" s="16">
        <f t="shared" si="20"/>
        <v>0</v>
      </c>
      <c r="AC28" s="16">
        <f t="shared" si="20"/>
        <v>947</v>
      </c>
      <c r="AD28" s="16">
        <f t="shared" si="20"/>
        <v>0</v>
      </c>
      <c r="AE28" s="32">
        <f t="shared" si="20"/>
        <v>485</v>
      </c>
      <c r="AF28" s="32">
        <f t="shared" si="20"/>
        <v>1432</v>
      </c>
    </row>
    <row r="29" spans="2:32" ht="23.1" customHeight="1" x14ac:dyDescent="0.25">
      <c r="B29" s="23" t="s">
        <v>56</v>
      </c>
      <c r="C29" s="50">
        <v>7</v>
      </c>
      <c r="D29" s="50">
        <v>0</v>
      </c>
      <c r="E29" s="50">
        <v>2</v>
      </c>
      <c r="F29" s="50">
        <v>3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27</v>
      </c>
      <c r="N29" s="50">
        <v>0</v>
      </c>
      <c r="O29" s="15">
        <f t="shared" si="0"/>
        <v>13</v>
      </c>
      <c r="P29" s="15">
        <f t="shared" si="1"/>
        <v>40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0</v>
      </c>
      <c r="E30" s="50">
        <v>2</v>
      </c>
      <c r="F30" s="50">
        <v>4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33</v>
      </c>
      <c r="N30" s="50">
        <v>0</v>
      </c>
      <c r="O30" s="15">
        <f t="shared" si="0"/>
        <v>11</v>
      </c>
      <c r="P30" s="15">
        <f t="shared" si="1"/>
        <v>44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2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23</v>
      </c>
      <c r="N31" s="50">
        <v>0</v>
      </c>
      <c r="O31" s="15">
        <f t="shared" si="0"/>
        <v>8</v>
      </c>
      <c r="P31" s="15">
        <f t="shared" si="1"/>
        <v>31</v>
      </c>
    </row>
    <row r="32" spans="2:32" ht="23.1" customHeight="1" x14ac:dyDescent="0.25">
      <c r="B32" s="24" t="s">
        <v>59</v>
      </c>
      <c r="C32" s="50">
        <v>5</v>
      </c>
      <c r="D32" s="50">
        <v>1</v>
      </c>
      <c r="E32" s="50">
        <v>4</v>
      </c>
      <c r="F32" s="50">
        <v>5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22</v>
      </c>
      <c r="N32" s="50">
        <v>0</v>
      </c>
      <c r="O32" s="15">
        <f t="shared" si="0"/>
        <v>17</v>
      </c>
      <c r="P32" s="15">
        <f t="shared" si="1"/>
        <v>39</v>
      </c>
    </row>
    <row r="33" spans="2:20" ht="23.1" customHeight="1" x14ac:dyDescent="0.25">
      <c r="B33" s="23" t="s">
        <v>60</v>
      </c>
      <c r="C33" s="50">
        <v>6</v>
      </c>
      <c r="D33" s="50">
        <v>0</v>
      </c>
      <c r="E33" s="50">
        <v>0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20</v>
      </c>
      <c r="N33" s="50">
        <v>0</v>
      </c>
      <c r="O33" s="15">
        <f t="shared" si="0"/>
        <v>8</v>
      </c>
      <c r="P33" s="15">
        <f t="shared" si="1"/>
        <v>28</v>
      </c>
    </row>
    <row r="34" spans="2:20" ht="23.1" customHeight="1" x14ac:dyDescent="0.25">
      <c r="B34" s="24" t="s">
        <v>61</v>
      </c>
      <c r="C34" s="50">
        <v>9</v>
      </c>
      <c r="D34" s="50">
        <v>0</v>
      </c>
      <c r="E34" s="50">
        <v>3</v>
      </c>
      <c r="F34" s="50">
        <v>5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27</v>
      </c>
      <c r="N34" s="50">
        <v>0</v>
      </c>
      <c r="O34" s="15">
        <f t="shared" si="0"/>
        <v>17</v>
      </c>
      <c r="P34" s="15">
        <f t="shared" si="1"/>
        <v>44</v>
      </c>
    </row>
    <row r="35" spans="2:20" ht="23.1" customHeight="1" x14ac:dyDescent="0.25">
      <c r="B35" s="24" t="s">
        <v>62</v>
      </c>
      <c r="C35" s="50">
        <v>7</v>
      </c>
      <c r="D35" s="50">
        <v>1</v>
      </c>
      <c r="E35" s="50">
        <v>4</v>
      </c>
      <c r="F35" s="50">
        <v>6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21</v>
      </c>
      <c r="N35" s="50">
        <v>0</v>
      </c>
      <c r="O35" s="15">
        <f t="shared" si="0"/>
        <v>19</v>
      </c>
      <c r="P35" s="15">
        <f t="shared" si="1"/>
        <v>40</v>
      </c>
    </row>
    <row r="36" spans="2:20" ht="23.1" customHeight="1" x14ac:dyDescent="0.25">
      <c r="B36" s="24" t="s">
        <v>63</v>
      </c>
      <c r="C36" s="50">
        <v>7</v>
      </c>
      <c r="D36" s="50">
        <v>0</v>
      </c>
      <c r="E36" s="50">
        <v>2</v>
      </c>
      <c r="F36" s="50">
        <v>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18</v>
      </c>
      <c r="N36" s="50">
        <v>0</v>
      </c>
      <c r="O36" s="15">
        <f t="shared" si="0"/>
        <v>11</v>
      </c>
      <c r="P36" s="15">
        <f t="shared" si="1"/>
        <v>29</v>
      </c>
    </row>
    <row r="37" spans="2:20" ht="23.1" customHeight="1" x14ac:dyDescent="0.25">
      <c r="B37" s="23" t="s">
        <v>64</v>
      </c>
      <c r="C37" s="50">
        <v>7</v>
      </c>
      <c r="D37" s="50">
        <v>1</v>
      </c>
      <c r="E37" s="50">
        <v>6</v>
      </c>
      <c r="F37" s="50">
        <v>3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24</v>
      </c>
      <c r="N37" s="50">
        <v>0</v>
      </c>
      <c r="O37" s="15">
        <f t="shared" si="0"/>
        <v>21</v>
      </c>
      <c r="P37" s="15">
        <f t="shared" si="1"/>
        <v>45</v>
      </c>
    </row>
    <row r="38" spans="2:20" ht="23.1" customHeight="1" x14ac:dyDescent="0.25">
      <c r="B38" s="24" t="s">
        <v>65</v>
      </c>
      <c r="C38" s="50">
        <v>5</v>
      </c>
      <c r="D38" s="50">
        <v>1</v>
      </c>
      <c r="E38" s="50">
        <v>5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21</v>
      </c>
      <c r="N38" s="50">
        <v>0</v>
      </c>
      <c r="O38" s="15">
        <f t="shared" si="0"/>
        <v>12</v>
      </c>
      <c r="P38" s="15">
        <f t="shared" si="1"/>
        <v>33</v>
      </c>
    </row>
    <row r="39" spans="2:20" ht="23.1" customHeight="1" x14ac:dyDescent="0.25">
      <c r="B39" s="24" t="s">
        <v>66</v>
      </c>
      <c r="C39" s="50">
        <v>5</v>
      </c>
      <c r="D39" s="50">
        <v>1</v>
      </c>
      <c r="E39" s="50">
        <v>6</v>
      </c>
      <c r="F39" s="50">
        <v>2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19</v>
      </c>
      <c r="N39" s="50">
        <v>0</v>
      </c>
      <c r="O39" s="15">
        <f t="shared" si="0"/>
        <v>16</v>
      </c>
      <c r="P39" s="15">
        <f t="shared" si="1"/>
        <v>35</v>
      </c>
    </row>
    <row r="40" spans="2:20" ht="23.1" customHeight="1" x14ac:dyDescent="0.25">
      <c r="B40" s="24" t="s">
        <v>67</v>
      </c>
      <c r="C40" s="50">
        <v>3</v>
      </c>
      <c r="D40" s="50">
        <v>1</v>
      </c>
      <c r="E40" s="50">
        <v>5</v>
      </c>
      <c r="F40" s="50">
        <v>2</v>
      </c>
      <c r="G40" s="50">
        <v>1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35</v>
      </c>
      <c r="N40" s="50">
        <v>0</v>
      </c>
      <c r="O40" s="15">
        <f t="shared" si="0"/>
        <v>14</v>
      </c>
      <c r="P40" s="15">
        <f t="shared" si="1"/>
        <v>49</v>
      </c>
    </row>
    <row r="41" spans="2:20" ht="23.1" customHeight="1" x14ac:dyDescent="0.25">
      <c r="B41" s="23" t="s">
        <v>68</v>
      </c>
      <c r="C41" s="50">
        <v>6</v>
      </c>
      <c r="D41" s="50">
        <v>0</v>
      </c>
      <c r="E41" s="50">
        <v>1</v>
      </c>
      <c r="F41" s="50">
        <v>2</v>
      </c>
      <c r="G41" s="50">
        <v>1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18</v>
      </c>
      <c r="N41" s="50">
        <v>0</v>
      </c>
      <c r="O41" s="15">
        <f t="shared" si="0"/>
        <v>11</v>
      </c>
      <c r="P41" s="15">
        <f t="shared" si="1"/>
        <v>29</v>
      </c>
    </row>
    <row r="42" spans="2:20" ht="23.1" customHeight="1" x14ac:dyDescent="0.25">
      <c r="B42" s="24" t="s">
        <v>69</v>
      </c>
      <c r="C42" s="50">
        <v>10</v>
      </c>
      <c r="D42" s="50">
        <v>1</v>
      </c>
      <c r="E42" s="50">
        <v>5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22</v>
      </c>
      <c r="N42" s="50">
        <v>0</v>
      </c>
      <c r="O42" s="15">
        <f t="shared" si="0"/>
        <v>17</v>
      </c>
      <c r="P42" s="15">
        <f t="shared" si="1"/>
        <v>39</v>
      </c>
    </row>
    <row r="43" spans="2:20" ht="23.1" customHeight="1" x14ac:dyDescent="0.25">
      <c r="B43" s="23" t="s">
        <v>70</v>
      </c>
      <c r="C43" s="50">
        <v>5</v>
      </c>
      <c r="D43" s="50">
        <v>0</v>
      </c>
      <c r="E43" s="50">
        <v>2</v>
      </c>
      <c r="F43" s="50">
        <v>4</v>
      </c>
      <c r="G43" s="50">
        <v>0</v>
      </c>
      <c r="H43" s="50">
        <v>0</v>
      </c>
      <c r="I43" s="50">
        <v>0</v>
      </c>
      <c r="J43" s="50">
        <v>2</v>
      </c>
      <c r="K43" s="50">
        <v>0</v>
      </c>
      <c r="L43" s="50">
        <v>0</v>
      </c>
      <c r="M43" s="50">
        <v>24</v>
      </c>
      <c r="N43" s="50">
        <v>0</v>
      </c>
      <c r="O43" s="15">
        <f t="shared" si="0"/>
        <v>13</v>
      </c>
      <c r="P43" s="15">
        <f t="shared" si="1"/>
        <v>37</v>
      </c>
    </row>
    <row r="44" spans="2:20" ht="23.1" customHeight="1" x14ac:dyDescent="0.25">
      <c r="B44" s="25" t="s">
        <v>71</v>
      </c>
      <c r="C44" s="50">
        <v>7</v>
      </c>
      <c r="D44" s="50">
        <v>0</v>
      </c>
      <c r="E44" s="50">
        <v>2</v>
      </c>
      <c r="F44" s="50">
        <v>0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16</v>
      </c>
      <c r="N44" s="50">
        <v>0</v>
      </c>
      <c r="O44" s="15">
        <f t="shared" si="0"/>
        <v>13</v>
      </c>
      <c r="P44" s="15">
        <f t="shared" si="1"/>
        <v>29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3</v>
      </c>
      <c r="F45" s="50">
        <v>3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50">
        <v>24</v>
      </c>
      <c r="N45" s="50">
        <v>0</v>
      </c>
      <c r="O45" s="15">
        <f t="shared" si="0"/>
        <v>14</v>
      </c>
      <c r="P45" s="15">
        <f t="shared" si="1"/>
        <v>38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1</v>
      </c>
      <c r="F46" s="50">
        <v>4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22</v>
      </c>
      <c r="N46" s="50">
        <v>0</v>
      </c>
      <c r="O46" s="15">
        <f t="shared" si="0"/>
        <v>9</v>
      </c>
      <c r="P46" s="15">
        <f t="shared" si="1"/>
        <v>31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1</v>
      </c>
      <c r="E47" s="50">
        <v>6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17</v>
      </c>
      <c r="N47" s="50">
        <v>0</v>
      </c>
      <c r="O47" s="15">
        <f t="shared" si="0"/>
        <v>13</v>
      </c>
      <c r="P47" s="15">
        <f t="shared" si="1"/>
        <v>30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1</v>
      </c>
      <c r="E48" s="50">
        <v>5</v>
      </c>
      <c r="F48" s="50">
        <v>3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27</v>
      </c>
      <c r="N48" s="50">
        <v>0</v>
      </c>
      <c r="O48" s="15">
        <f t="shared" si="0"/>
        <v>14</v>
      </c>
      <c r="P48" s="15">
        <f t="shared" si="1"/>
        <v>41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0</v>
      </c>
      <c r="E49" s="50">
        <v>2</v>
      </c>
      <c r="F49" s="50">
        <v>2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17</v>
      </c>
      <c r="N49" s="50">
        <v>0</v>
      </c>
      <c r="O49" s="15">
        <f t="shared" si="0"/>
        <v>13</v>
      </c>
      <c r="P49" s="15">
        <f t="shared" si="1"/>
        <v>30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0</v>
      </c>
      <c r="E50" s="50">
        <v>1</v>
      </c>
      <c r="F50" s="50">
        <v>3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22</v>
      </c>
      <c r="N50" s="50">
        <v>0</v>
      </c>
      <c r="O50" s="15">
        <f t="shared" si="0"/>
        <v>12</v>
      </c>
      <c r="P50" s="15">
        <f t="shared" si="1"/>
        <v>34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0</v>
      </c>
      <c r="E51" s="50">
        <v>1</v>
      </c>
      <c r="F51" s="50">
        <v>3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14</v>
      </c>
      <c r="N51" s="50">
        <v>0</v>
      </c>
      <c r="O51" s="15">
        <f t="shared" si="0"/>
        <v>9</v>
      </c>
      <c r="P51" s="15">
        <f t="shared" si="1"/>
        <v>23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1</v>
      </c>
      <c r="F52" s="50">
        <v>1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20</v>
      </c>
      <c r="N52" s="50">
        <v>0</v>
      </c>
      <c r="O52" s="15">
        <f t="shared" si="0"/>
        <v>7</v>
      </c>
      <c r="P52" s="15">
        <f t="shared" si="1"/>
        <v>27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1</v>
      </c>
      <c r="E53" s="50">
        <v>4</v>
      </c>
      <c r="F53" s="50">
        <v>3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21</v>
      </c>
      <c r="N53" s="50">
        <v>0</v>
      </c>
      <c r="O53" s="15">
        <f t="shared" si="0"/>
        <v>14</v>
      </c>
      <c r="P53" s="15">
        <f t="shared" si="1"/>
        <v>35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1</v>
      </c>
      <c r="E54" s="50">
        <v>4</v>
      </c>
      <c r="F54" s="50">
        <v>3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14</v>
      </c>
      <c r="N54" s="50">
        <v>0</v>
      </c>
      <c r="O54" s="15">
        <f t="shared" si="0"/>
        <v>14</v>
      </c>
      <c r="P54" s="15">
        <f t="shared" si="1"/>
        <v>28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4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25</v>
      </c>
      <c r="N55" s="50">
        <v>0</v>
      </c>
      <c r="O55" s="15">
        <f t="shared" si="0"/>
        <v>8</v>
      </c>
      <c r="P55" s="15">
        <f t="shared" si="1"/>
        <v>33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1</v>
      </c>
      <c r="E56" s="50">
        <v>4</v>
      </c>
      <c r="F56" s="50">
        <v>1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22</v>
      </c>
      <c r="N56" s="50">
        <v>0</v>
      </c>
      <c r="O56" s="15">
        <f t="shared" si="0"/>
        <v>13</v>
      </c>
      <c r="P56" s="15">
        <f t="shared" si="1"/>
        <v>35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3</v>
      </c>
      <c r="F57" s="50">
        <v>2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8</v>
      </c>
      <c r="P57" s="15">
        <f t="shared" si="1"/>
        <v>28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187</v>
      </c>
      <c r="D58" s="16">
        <f t="shared" si="21"/>
        <v>14</v>
      </c>
      <c r="E58" s="16">
        <f t="shared" si="21"/>
        <v>111</v>
      </c>
      <c r="F58" s="16">
        <f t="shared" si="21"/>
        <v>108</v>
      </c>
      <c r="G58" s="16">
        <f t="shared" si="21"/>
        <v>3</v>
      </c>
      <c r="H58" s="16">
        <f t="shared" si="21"/>
        <v>1</v>
      </c>
      <c r="I58" s="16">
        <f>SUM(I10:I57)</f>
        <v>53</v>
      </c>
      <c r="J58" s="16">
        <f>SUM(J10:J57)</f>
        <v>7</v>
      </c>
      <c r="K58" s="16">
        <f>SUM(K10:K57)</f>
        <v>1</v>
      </c>
      <c r="L58" s="16">
        <f t="shared" si="21"/>
        <v>0</v>
      </c>
      <c r="M58" s="16">
        <f t="shared" si="21"/>
        <v>947</v>
      </c>
      <c r="N58" s="16">
        <f t="shared" si="21"/>
        <v>0</v>
      </c>
      <c r="O58" s="16">
        <f t="shared" si="21"/>
        <v>485</v>
      </c>
      <c r="P58" s="16">
        <f t="shared" si="21"/>
        <v>1432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0.13058659217877094</v>
      </c>
      <c r="D59" s="43">
        <f t="shared" si="22"/>
        <v>9.7765363128491621E-3</v>
      </c>
      <c r="E59" s="43">
        <f t="shared" si="22"/>
        <v>7.7513966480446922E-2</v>
      </c>
      <c r="F59" s="43">
        <f t="shared" si="22"/>
        <v>7.5418994413407825E-2</v>
      </c>
      <c r="G59" s="43">
        <f t="shared" si="22"/>
        <v>2.0949720670391061E-3</v>
      </c>
      <c r="H59" s="43">
        <f t="shared" si="22"/>
        <v>6.9832402234636874E-4</v>
      </c>
      <c r="I59" s="43">
        <f t="shared" si="22"/>
        <v>3.7011173184357544E-2</v>
      </c>
      <c r="J59" s="43">
        <f t="shared" si="22"/>
        <v>4.8882681564245811E-3</v>
      </c>
      <c r="K59" s="43">
        <f t="shared" si="22"/>
        <v>6.9832402234636874E-4</v>
      </c>
      <c r="L59" s="43">
        <f t="shared" si="22"/>
        <v>0</v>
      </c>
      <c r="M59" s="43">
        <f t="shared" si="22"/>
        <v>0.66131284916201116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0.38556701030927837</v>
      </c>
      <c r="D60" s="44">
        <f t="shared" ref="D60:N60" si="23">D58/$O$58</f>
        <v>2.88659793814433E-2</v>
      </c>
      <c r="E60" s="44">
        <f t="shared" si="23"/>
        <v>0.22886597938144329</v>
      </c>
      <c r="F60" s="44">
        <f t="shared" si="23"/>
        <v>0.22268041237113403</v>
      </c>
      <c r="G60" s="44">
        <f t="shared" si="23"/>
        <v>6.1855670103092781E-3</v>
      </c>
      <c r="H60" s="44">
        <f t="shared" si="23"/>
        <v>2.0618556701030928E-3</v>
      </c>
      <c r="I60" s="44">
        <f t="shared" si="23"/>
        <v>0.10927835051546392</v>
      </c>
      <c r="J60" s="44">
        <f t="shared" si="23"/>
        <v>1.443298969072165E-2</v>
      </c>
      <c r="K60" s="44">
        <f t="shared" si="23"/>
        <v>2.0618556701030928E-3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7" zoomScale="60" workbookViewId="0">
      <selection activeCell="I12" sqref="I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Tororo-Malaba'!C3:G3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'18.08 Malaba-Tororo'!D5</f>
        <v>18.08.19</v>
      </c>
      <c r="E5" s="3"/>
      <c r="F5" s="41" t="s">
        <v>1</v>
      </c>
      <c r="G5" s="63" t="str">
        <f>'18.08 Malaba-Tororo'!G5:H5</f>
        <v>xxx</v>
      </c>
      <c r="H5" s="64"/>
      <c r="I5" s="14"/>
      <c r="J5" s="2" t="s">
        <v>5</v>
      </c>
      <c r="K5" s="63" t="str">
        <f>'18.08 Malaba-Tororo'!K5:L5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Tororo-Malaba'!D6:E6</f>
        <v>Tororo</v>
      </c>
      <c r="E6" s="64"/>
      <c r="F6" s="2" t="s">
        <v>2</v>
      </c>
      <c r="G6" s="63" t="str">
        <f>'12.08 Tororo-Malaba'!G6:H6</f>
        <v>Malaba</v>
      </c>
      <c r="H6" s="64"/>
      <c r="J6" s="2" t="s">
        <v>21</v>
      </c>
      <c r="K6" s="63" t="str">
        <f>'18.08 Malaba-Tororo'!K6:L6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1</v>
      </c>
      <c r="F10" s="50">
        <v>0</v>
      </c>
      <c r="G10" s="50">
        <v>0</v>
      </c>
      <c r="H10" s="50">
        <v>1</v>
      </c>
      <c r="I10" s="50">
        <v>0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17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47</v>
      </c>
      <c r="AD10" s="17">
        <f t="shared" si="2"/>
        <v>0</v>
      </c>
      <c r="AE10" s="31">
        <f t="shared" si="2"/>
        <v>10</v>
      </c>
      <c r="AF10" s="31">
        <f t="shared" si="2"/>
        <v>57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12</v>
      </c>
      <c r="N11" s="50">
        <v>0</v>
      </c>
      <c r="O11" s="15">
        <f t="shared" si="0"/>
        <v>3</v>
      </c>
      <c r="P11" s="15">
        <f t="shared" si="1"/>
        <v>15</v>
      </c>
      <c r="R11" s="1" t="s">
        <v>7</v>
      </c>
      <c r="S11" s="17">
        <f t="shared" ref="S11:AF11" si="3">SUM(C14:C17)</f>
        <v>4</v>
      </c>
      <c r="T11" s="17">
        <f t="shared" si="3"/>
        <v>0</v>
      </c>
      <c r="U11" s="17">
        <f t="shared" si="3"/>
        <v>2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73</v>
      </c>
      <c r="AD11" s="17">
        <f t="shared" si="3"/>
        <v>0</v>
      </c>
      <c r="AE11" s="31">
        <f t="shared" si="3"/>
        <v>12</v>
      </c>
      <c r="AF11" s="31">
        <f t="shared" si="3"/>
        <v>85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14</v>
      </c>
      <c r="N12" s="50">
        <v>0</v>
      </c>
      <c r="O12" s="15">
        <f t="shared" si="0"/>
        <v>2</v>
      </c>
      <c r="P12" s="15">
        <f t="shared" si="1"/>
        <v>16</v>
      </c>
      <c r="R12" s="1" t="s">
        <v>8</v>
      </c>
      <c r="S12" s="17">
        <f t="shared" ref="S12:AF12" si="4">SUM(C18:C21)</f>
        <v>4</v>
      </c>
      <c r="T12" s="17">
        <f t="shared" si="4"/>
        <v>0</v>
      </c>
      <c r="U12" s="17">
        <f t="shared" si="4"/>
        <v>6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63</v>
      </c>
      <c r="AD12" s="17">
        <f t="shared" si="4"/>
        <v>0</v>
      </c>
      <c r="AE12" s="31">
        <f t="shared" si="4"/>
        <v>18</v>
      </c>
      <c r="AF12" s="31">
        <f t="shared" si="4"/>
        <v>81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1</v>
      </c>
      <c r="P13" s="15">
        <f t="shared" si="1"/>
        <v>9</v>
      </c>
      <c r="R13" s="1" t="s">
        <v>9</v>
      </c>
      <c r="S13" s="17">
        <f t="shared" ref="S13:AF13" si="5">SUM(C22:C25)</f>
        <v>10</v>
      </c>
      <c r="T13" s="17">
        <f t="shared" si="5"/>
        <v>2</v>
      </c>
      <c r="U13" s="17">
        <f t="shared" si="5"/>
        <v>8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88</v>
      </c>
      <c r="AD13" s="17">
        <f t="shared" si="5"/>
        <v>0</v>
      </c>
      <c r="AE13" s="31">
        <f t="shared" si="5"/>
        <v>29</v>
      </c>
      <c r="AF13" s="31">
        <f t="shared" si="5"/>
        <v>117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20</v>
      </c>
      <c r="N14" s="50">
        <v>0</v>
      </c>
      <c r="O14" s="15">
        <f t="shared" si="0"/>
        <v>1</v>
      </c>
      <c r="P14" s="15">
        <f t="shared" si="1"/>
        <v>21</v>
      </c>
      <c r="R14" s="1" t="s">
        <v>10</v>
      </c>
      <c r="S14" s="17">
        <f t="shared" ref="S14:AF14" si="6">SUM(C26:C29)</f>
        <v>8</v>
      </c>
      <c r="T14" s="17">
        <f t="shared" si="6"/>
        <v>0</v>
      </c>
      <c r="U14" s="17">
        <f t="shared" si="6"/>
        <v>6</v>
      </c>
      <c r="V14" s="17">
        <f t="shared" si="6"/>
        <v>9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106</v>
      </c>
      <c r="AD14" s="17">
        <f t="shared" si="6"/>
        <v>0</v>
      </c>
      <c r="AE14" s="31">
        <f t="shared" si="6"/>
        <v>26</v>
      </c>
      <c r="AF14" s="31">
        <f t="shared" si="6"/>
        <v>132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2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9</v>
      </c>
      <c r="N15" s="50">
        <v>0</v>
      </c>
      <c r="O15" s="15">
        <f t="shared" si="0"/>
        <v>4</v>
      </c>
      <c r="P15" s="15">
        <f t="shared" si="1"/>
        <v>13</v>
      </c>
      <c r="R15" s="1" t="s">
        <v>11</v>
      </c>
      <c r="S15" s="17">
        <f t="shared" ref="S15:AF15" si="7">SUM(C30:C33)</f>
        <v>12</v>
      </c>
      <c r="T15" s="17">
        <f t="shared" si="7"/>
        <v>0</v>
      </c>
      <c r="U15" s="17">
        <f t="shared" si="7"/>
        <v>5</v>
      </c>
      <c r="V15" s="17">
        <f t="shared" si="7"/>
        <v>10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93</v>
      </c>
      <c r="AD15" s="17">
        <f t="shared" si="7"/>
        <v>0</v>
      </c>
      <c r="AE15" s="31">
        <f t="shared" si="7"/>
        <v>30</v>
      </c>
      <c r="AF15" s="31">
        <f t="shared" si="7"/>
        <v>123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27</v>
      </c>
      <c r="N16" s="50">
        <v>0</v>
      </c>
      <c r="O16" s="15">
        <f t="shared" si="0"/>
        <v>4</v>
      </c>
      <c r="P16" s="15">
        <f t="shared" si="1"/>
        <v>31</v>
      </c>
      <c r="R16" s="1" t="s">
        <v>12</v>
      </c>
      <c r="S16" s="17">
        <f t="shared" ref="S16:AF16" si="8">SUM(C34:C37)</f>
        <v>15</v>
      </c>
      <c r="T16" s="17">
        <f t="shared" si="8"/>
        <v>0</v>
      </c>
      <c r="U16" s="17">
        <f t="shared" si="8"/>
        <v>5</v>
      </c>
      <c r="V16" s="17">
        <f t="shared" si="8"/>
        <v>10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93</v>
      </c>
      <c r="AD16" s="17">
        <f t="shared" si="8"/>
        <v>0</v>
      </c>
      <c r="AE16" s="31">
        <f t="shared" si="8"/>
        <v>31</v>
      </c>
      <c r="AF16" s="31">
        <f t="shared" si="8"/>
        <v>124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17</v>
      </c>
      <c r="N17" s="50">
        <v>0</v>
      </c>
      <c r="O17" s="15">
        <f t="shared" si="0"/>
        <v>3</v>
      </c>
      <c r="P17" s="15">
        <f t="shared" si="1"/>
        <v>20</v>
      </c>
      <c r="R17" s="1" t="s">
        <v>13</v>
      </c>
      <c r="S17" s="17">
        <f t="shared" ref="S17:AF17" si="9">SUM(C38:C41)</f>
        <v>8</v>
      </c>
      <c r="T17" s="17">
        <f t="shared" si="9"/>
        <v>0</v>
      </c>
      <c r="U17" s="17">
        <f t="shared" si="9"/>
        <v>7</v>
      </c>
      <c r="V17" s="17">
        <f t="shared" si="9"/>
        <v>12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89</v>
      </c>
      <c r="AD17" s="17">
        <f t="shared" si="9"/>
        <v>0</v>
      </c>
      <c r="AE17" s="31">
        <f t="shared" si="9"/>
        <v>32</v>
      </c>
      <c r="AF17" s="31">
        <f t="shared" si="9"/>
        <v>121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3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12</v>
      </c>
      <c r="N18" s="50">
        <v>0</v>
      </c>
      <c r="O18" s="15">
        <f t="shared" si="0"/>
        <v>5</v>
      </c>
      <c r="P18" s="15">
        <f t="shared" si="1"/>
        <v>17</v>
      </c>
      <c r="R18" s="1" t="s">
        <v>14</v>
      </c>
      <c r="S18" s="17">
        <f t="shared" ref="S18:AF18" si="10">SUM(C42:C45)</f>
        <v>6</v>
      </c>
      <c r="T18" s="17">
        <f t="shared" si="10"/>
        <v>0</v>
      </c>
      <c r="U18" s="17">
        <f t="shared" si="10"/>
        <v>5</v>
      </c>
      <c r="V18" s="17">
        <f t="shared" si="10"/>
        <v>13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79</v>
      </c>
      <c r="AD18" s="17">
        <f t="shared" si="10"/>
        <v>0</v>
      </c>
      <c r="AE18" s="31">
        <f t="shared" si="10"/>
        <v>27</v>
      </c>
      <c r="AF18" s="31">
        <f t="shared" si="10"/>
        <v>106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2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21</v>
      </c>
      <c r="N19" s="50">
        <v>0</v>
      </c>
      <c r="O19" s="15">
        <f t="shared" si="0"/>
        <v>4</v>
      </c>
      <c r="P19" s="15">
        <f t="shared" si="1"/>
        <v>25</v>
      </c>
      <c r="R19" s="1" t="s">
        <v>15</v>
      </c>
      <c r="S19" s="17">
        <f t="shared" ref="S19:AF19" si="11">SUM(C46:C49)</f>
        <v>11</v>
      </c>
      <c r="T19" s="17">
        <f t="shared" si="11"/>
        <v>0</v>
      </c>
      <c r="U19" s="17">
        <f t="shared" si="11"/>
        <v>4</v>
      </c>
      <c r="V19" s="17">
        <f t="shared" si="11"/>
        <v>13</v>
      </c>
      <c r="W19" s="17">
        <f t="shared" si="11"/>
        <v>0</v>
      </c>
      <c r="X19" s="17">
        <f t="shared" si="11"/>
        <v>1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82</v>
      </c>
      <c r="AD19" s="17">
        <f t="shared" si="11"/>
        <v>0</v>
      </c>
      <c r="AE19" s="31">
        <f t="shared" si="11"/>
        <v>34</v>
      </c>
      <c r="AF19" s="31">
        <f t="shared" si="11"/>
        <v>116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19</v>
      </c>
      <c r="N20" s="50">
        <v>0</v>
      </c>
      <c r="O20" s="15">
        <f t="shared" si="0"/>
        <v>3</v>
      </c>
      <c r="P20" s="15">
        <f t="shared" si="1"/>
        <v>22</v>
      </c>
      <c r="R20" s="1" t="s">
        <v>16</v>
      </c>
      <c r="S20" s="17">
        <f t="shared" ref="S20:AF20" si="12">SUM(C50:C53)</f>
        <v>12</v>
      </c>
      <c r="T20" s="17">
        <f t="shared" si="12"/>
        <v>0</v>
      </c>
      <c r="U20" s="17">
        <f t="shared" si="12"/>
        <v>5</v>
      </c>
      <c r="V20" s="17">
        <f t="shared" si="12"/>
        <v>11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96</v>
      </c>
      <c r="AD20" s="17">
        <f t="shared" si="12"/>
        <v>0</v>
      </c>
      <c r="AE20" s="31">
        <f t="shared" si="12"/>
        <v>28</v>
      </c>
      <c r="AF20" s="31">
        <f t="shared" si="12"/>
        <v>124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2</v>
      </c>
      <c r="F21" s="50">
        <v>2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6</v>
      </c>
      <c r="P21" s="15">
        <f t="shared" si="1"/>
        <v>17</v>
      </c>
      <c r="R21" s="36" t="s">
        <v>20</v>
      </c>
      <c r="S21" s="34">
        <f t="shared" ref="S21:AF21" si="13">SUM(C54:C57)</f>
        <v>13</v>
      </c>
      <c r="T21" s="17">
        <f t="shared" si="13"/>
        <v>0</v>
      </c>
      <c r="U21" s="17">
        <f t="shared" si="13"/>
        <v>4</v>
      </c>
      <c r="V21" s="17">
        <f t="shared" si="13"/>
        <v>7</v>
      </c>
      <c r="W21" s="17">
        <f t="shared" si="13"/>
        <v>0</v>
      </c>
      <c r="X21" s="17">
        <f t="shared" si="13"/>
        <v>3</v>
      </c>
      <c r="Y21" s="17">
        <f t="shared" si="13"/>
        <v>6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76</v>
      </c>
      <c r="AD21" s="17">
        <f t="shared" si="13"/>
        <v>0</v>
      </c>
      <c r="AE21" s="31">
        <f t="shared" si="13"/>
        <v>34</v>
      </c>
      <c r="AF21" s="31">
        <f t="shared" si="13"/>
        <v>110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24</v>
      </c>
      <c r="N22" s="50">
        <v>0</v>
      </c>
      <c r="O22" s="15">
        <f t="shared" si="0"/>
        <v>5</v>
      </c>
      <c r="P22" s="15">
        <f t="shared" si="1"/>
        <v>29</v>
      </c>
      <c r="R22" s="38" t="s">
        <v>90</v>
      </c>
      <c r="S22" s="39">
        <f>MAX(S10:S12)</f>
        <v>6</v>
      </c>
      <c r="T22" s="39">
        <f t="shared" ref="T22:AF22" si="14">MAX(T10:T12)</f>
        <v>0</v>
      </c>
      <c r="U22" s="39">
        <f t="shared" si="14"/>
        <v>6</v>
      </c>
      <c r="V22" s="39">
        <f t="shared" si="14"/>
        <v>7</v>
      </c>
      <c r="W22" s="39">
        <f t="shared" si="14"/>
        <v>0</v>
      </c>
      <c r="X22" s="39">
        <f t="shared" si="14"/>
        <v>1</v>
      </c>
      <c r="Y22" s="39">
        <f t="shared" si="14"/>
        <v>2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73</v>
      </c>
      <c r="AD22" s="39">
        <f t="shared" si="14"/>
        <v>0</v>
      </c>
      <c r="AE22" s="40">
        <f t="shared" si="14"/>
        <v>18</v>
      </c>
      <c r="AF22" s="40">
        <f t="shared" si="14"/>
        <v>85</v>
      </c>
    </row>
    <row r="23" spans="2:32" ht="23.1" customHeight="1" x14ac:dyDescent="0.25">
      <c r="B23" s="23" t="s">
        <v>50</v>
      </c>
      <c r="C23" s="50">
        <v>2</v>
      </c>
      <c r="D23" s="50">
        <v>2</v>
      </c>
      <c r="E23" s="50">
        <v>7</v>
      </c>
      <c r="F23" s="50">
        <v>1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17</v>
      </c>
      <c r="N23" s="50">
        <v>0</v>
      </c>
      <c r="O23" s="15">
        <f t="shared" si="0"/>
        <v>13</v>
      </c>
      <c r="P23" s="15">
        <f t="shared" si="1"/>
        <v>30</v>
      </c>
      <c r="R23" s="38" t="s">
        <v>91</v>
      </c>
      <c r="S23" s="39">
        <f>MAX(S13:S18)</f>
        <v>15</v>
      </c>
      <c r="T23" s="39">
        <f t="shared" ref="T23:AF23" si="15">MAX(T13:T18)</f>
        <v>2</v>
      </c>
      <c r="U23" s="39">
        <f t="shared" si="15"/>
        <v>8</v>
      </c>
      <c r="V23" s="39">
        <f t="shared" si="15"/>
        <v>13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106</v>
      </c>
      <c r="AD23" s="39">
        <f t="shared" si="15"/>
        <v>0</v>
      </c>
      <c r="AE23" s="40">
        <f t="shared" si="15"/>
        <v>32</v>
      </c>
      <c r="AF23" s="40">
        <f t="shared" si="15"/>
        <v>132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4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19</v>
      </c>
      <c r="N24" s="50">
        <v>0</v>
      </c>
      <c r="O24" s="15">
        <f t="shared" si="0"/>
        <v>6</v>
      </c>
      <c r="P24" s="15">
        <f t="shared" si="1"/>
        <v>25</v>
      </c>
      <c r="R24" s="38" t="s">
        <v>92</v>
      </c>
      <c r="S24" s="39">
        <f>MAX(S19:S21)</f>
        <v>13</v>
      </c>
      <c r="T24" s="39">
        <f t="shared" ref="T24:AF24" si="16">MAX(T19:T21)</f>
        <v>0</v>
      </c>
      <c r="U24" s="39">
        <f t="shared" si="16"/>
        <v>5</v>
      </c>
      <c r="V24" s="39">
        <f t="shared" si="16"/>
        <v>13</v>
      </c>
      <c r="W24" s="39">
        <f t="shared" si="16"/>
        <v>0</v>
      </c>
      <c r="X24" s="39">
        <f t="shared" si="16"/>
        <v>3</v>
      </c>
      <c r="Y24" s="39">
        <f t="shared" si="16"/>
        <v>6</v>
      </c>
      <c r="Z24" s="39">
        <f t="shared" si="16"/>
        <v>0</v>
      </c>
      <c r="AA24" s="39">
        <f t="shared" si="16"/>
        <v>1</v>
      </c>
      <c r="AB24" s="39">
        <f t="shared" si="16"/>
        <v>0</v>
      </c>
      <c r="AC24" s="39">
        <f t="shared" si="16"/>
        <v>96</v>
      </c>
      <c r="AD24" s="39">
        <f t="shared" si="16"/>
        <v>0</v>
      </c>
      <c r="AE24" s="40">
        <f t="shared" si="16"/>
        <v>34</v>
      </c>
      <c r="AF24" s="40">
        <f t="shared" si="16"/>
        <v>124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28</v>
      </c>
      <c r="N25" s="50">
        <v>0</v>
      </c>
      <c r="O25" s="15">
        <f t="shared" si="0"/>
        <v>5</v>
      </c>
      <c r="P25" s="15">
        <f t="shared" si="1"/>
        <v>33</v>
      </c>
      <c r="R25" s="37" t="s">
        <v>85</v>
      </c>
      <c r="S25" s="35">
        <f t="shared" ref="S25:AF25" si="17">SUM(S10:S12)</f>
        <v>14</v>
      </c>
      <c r="T25" s="16">
        <f t="shared" si="17"/>
        <v>0</v>
      </c>
      <c r="U25" s="16">
        <f t="shared" si="17"/>
        <v>9</v>
      </c>
      <c r="V25" s="16">
        <f t="shared" si="17"/>
        <v>12</v>
      </c>
      <c r="W25" s="16">
        <f t="shared" si="17"/>
        <v>0</v>
      </c>
      <c r="X25" s="16">
        <f t="shared" si="17"/>
        <v>1</v>
      </c>
      <c r="Y25" s="16">
        <f t="shared" si="17"/>
        <v>3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183</v>
      </c>
      <c r="AD25" s="16">
        <f t="shared" si="17"/>
        <v>0</v>
      </c>
      <c r="AE25" s="32">
        <f t="shared" si="17"/>
        <v>40</v>
      </c>
      <c r="AF25" s="32">
        <f t="shared" si="17"/>
        <v>223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1</v>
      </c>
      <c r="F26" s="50">
        <v>3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20</v>
      </c>
      <c r="N26" s="50">
        <v>0</v>
      </c>
      <c r="O26" s="15">
        <f t="shared" si="0"/>
        <v>7</v>
      </c>
      <c r="P26" s="15">
        <f t="shared" si="1"/>
        <v>27</v>
      </c>
      <c r="R26" s="28" t="s">
        <v>86</v>
      </c>
      <c r="S26" s="16">
        <f t="shared" ref="S26:AF26" si="18">SUM(S13:S18)</f>
        <v>59</v>
      </c>
      <c r="T26" s="16">
        <f t="shared" si="18"/>
        <v>2</v>
      </c>
      <c r="U26" s="16">
        <f t="shared" si="18"/>
        <v>36</v>
      </c>
      <c r="V26" s="16">
        <f t="shared" si="18"/>
        <v>61</v>
      </c>
      <c r="W26" s="16">
        <f t="shared" si="18"/>
        <v>0</v>
      </c>
      <c r="X26" s="16">
        <f t="shared" si="18"/>
        <v>0</v>
      </c>
      <c r="Y26" s="16">
        <f t="shared" si="18"/>
        <v>15</v>
      </c>
      <c r="Z26" s="16">
        <f t="shared" si="18"/>
        <v>2</v>
      </c>
      <c r="AA26" s="16">
        <f t="shared" si="18"/>
        <v>0</v>
      </c>
      <c r="AB26" s="16">
        <f t="shared" si="18"/>
        <v>0</v>
      </c>
      <c r="AC26" s="16">
        <f t="shared" si="18"/>
        <v>548</v>
      </c>
      <c r="AD26" s="16">
        <f t="shared" si="18"/>
        <v>0</v>
      </c>
      <c r="AE26" s="32">
        <f t="shared" si="18"/>
        <v>175</v>
      </c>
      <c r="AF26" s="32">
        <f t="shared" si="18"/>
        <v>723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2</v>
      </c>
      <c r="F27" s="50">
        <v>3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27</v>
      </c>
      <c r="N27" s="50">
        <v>0</v>
      </c>
      <c r="O27" s="15">
        <f t="shared" si="0"/>
        <v>6</v>
      </c>
      <c r="P27" s="15">
        <f t="shared" si="1"/>
        <v>33</v>
      </c>
      <c r="R27" s="29" t="s">
        <v>87</v>
      </c>
      <c r="S27" s="16">
        <f t="shared" ref="S27:AF27" si="19">SUM(S19:S21)</f>
        <v>36</v>
      </c>
      <c r="T27" s="16">
        <f t="shared" si="19"/>
        <v>0</v>
      </c>
      <c r="U27" s="16">
        <f t="shared" si="19"/>
        <v>13</v>
      </c>
      <c r="V27" s="16">
        <f t="shared" si="19"/>
        <v>31</v>
      </c>
      <c r="W27" s="16">
        <f t="shared" si="19"/>
        <v>0</v>
      </c>
      <c r="X27" s="16">
        <f t="shared" si="19"/>
        <v>4</v>
      </c>
      <c r="Y27" s="16">
        <f t="shared" si="19"/>
        <v>11</v>
      </c>
      <c r="Z27" s="16">
        <f t="shared" si="19"/>
        <v>0</v>
      </c>
      <c r="AA27" s="16">
        <f t="shared" si="19"/>
        <v>1</v>
      </c>
      <c r="AB27" s="16">
        <f t="shared" si="19"/>
        <v>0</v>
      </c>
      <c r="AC27" s="16">
        <f t="shared" si="19"/>
        <v>254</v>
      </c>
      <c r="AD27" s="16">
        <f t="shared" si="19"/>
        <v>0</v>
      </c>
      <c r="AE27" s="32">
        <f t="shared" si="19"/>
        <v>96</v>
      </c>
      <c r="AF27" s="32">
        <f t="shared" si="19"/>
        <v>350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2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32</v>
      </c>
      <c r="N28" s="50">
        <v>0</v>
      </c>
      <c r="O28" s="15">
        <f t="shared" si="0"/>
        <v>8</v>
      </c>
      <c r="P28" s="15">
        <f t="shared" si="1"/>
        <v>40</v>
      </c>
      <c r="R28" s="5" t="s">
        <v>17</v>
      </c>
      <c r="S28" s="16">
        <f t="shared" ref="S28:AF28" si="20">SUM(S10:S21)</f>
        <v>109</v>
      </c>
      <c r="T28" s="16">
        <f t="shared" si="20"/>
        <v>2</v>
      </c>
      <c r="U28" s="16">
        <f t="shared" si="20"/>
        <v>58</v>
      </c>
      <c r="V28" s="16">
        <f t="shared" si="20"/>
        <v>104</v>
      </c>
      <c r="W28" s="16">
        <f t="shared" si="20"/>
        <v>0</v>
      </c>
      <c r="X28" s="16">
        <f t="shared" si="20"/>
        <v>5</v>
      </c>
      <c r="Y28" s="16">
        <f t="shared" si="20"/>
        <v>29</v>
      </c>
      <c r="Z28" s="16">
        <f t="shared" si="20"/>
        <v>3</v>
      </c>
      <c r="AA28" s="16">
        <f t="shared" si="20"/>
        <v>1</v>
      </c>
      <c r="AB28" s="16">
        <f t="shared" si="20"/>
        <v>0</v>
      </c>
      <c r="AC28" s="16">
        <f t="shared" si="20"/>
        <v>985</v>
      </c>
      <c r="AD28" s="16">
        <f t="shared" si="20"/>
        <v>0</v>
      </c>
      <c r="AE28" s="32">
        <f t="shared" si="20"/>
        <v>311</v>
      </c>
      <c r="AF28" s="32">
        <f t="shared" si="20"/>
        <v>1296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1</v>
      </c>
      <c r="F29" s="50">
        <v>2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27</v>
      </c>
      <c r="N29" s="50">
        <v>0</v>
      </c>
      <c r="O29" s="15">
        <f t="shared" si="0"/>
        <v>5</v>
      </c>
      <c r="P29" s="15">
        <f t="shared" si="1"/>
        <v>32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1</v>
      </c>
      <c r="F30" s="50">
        <v>4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24</v>
      </c>
      <c r="N30" s="50">
        <v>0</v>
      </c>
      <c r="O30" s="15">
        <f t="shared" si="0"/>
        <v>8</v>
      </c>
      <c r="P30" s="15">
        <f t="shared" si="1"/>
        <v>32</v>
      </c>
    </row>
    <row r="31" spans="2:32" ht="23.1" customHeight="1" x14ac:dyDescent="0.25">
      <c r="B31" s="24" t="s">
        <v>58</v>
      </c>
      <c r="C31" s="50">
        <v>3</v>
      </c>
      <c r="D31" s="50">
        <v>0</v>
      </c>
      <c r="E31" s="50">
        <v>0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21</v>
      </c>
      <c r="N31" s="50">
        <v>0</v>
      </c>
      <c r="O31" s="15">
        <f t="shared" si="0"/>
        <v>5</v>
      </c>
      <c r="P31" s="15">
        <f t="shared" si="1"/>
        <v>26</v>
      </c>
    </row>
    <row r="32" spans="2:32" ht="23.1" customHeight="1" x14ac:dyDescent="0.25">
      <c r="B32" s="24" t="s">
        <v>59</v>
      </c>
      <c r="C32" s="50">
        <v>5</v>
      </c>
      <c r="D32" s="50">
        <v>0</v>
      </c>
      <c r="E32" s="50">
        <v>2</v>
      </c>
      <c r="F32" s="50">
        <v>2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25</v>
      </c>
      <c r="N32" s="50">
        <v>0</v>
      </c>
      <c r="O32" s="15">
        <f t="shared" si="0"/>
        <v>10</v>
      </c>
      <c r="P32" s="15">
        <f t="shared" si="1"/>
        <v>35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2</v>
      </c>
      <c r="F33" s="50">
        <v>2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23</v>
      </c>
      <c r="N33" s="50">
        <v>0</v>
      </c>
      <c r="O33" s="15">
        <f t="shared" si="0"/>
        <v>7</v>
      </c>
      <c r="P33" s="15">
        <f t="shared" si="1"/>
        <v>30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0</v>
      </c>
      <c r="F34" s="50">
        <v>4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18</v>
      </c>
      <c r="N34" s="50">
        <v>0</v>
      </c>
      <c r="O34" s="15">
        <f t="shared" si="0"/>
        <v>9</v>
      </c>
      <c r="P34" s="15">
        <f t="shared" si="1"/>
        <v>27</v>
      </c>
    </row>
    <row r="35" spans="2:20" ht="23.1" customHeight="1" x14ac:dyDescent="0.25">
      <c r="B35" s="24" t="s">
        <v>62</v>
      </c>
      <c r="C35" s="50">
        <v>5</v>
      </c>
      <c r="D35" s="50">
        <v>0</v>
      </c>
      <c r="E35" s="50">
        <v>3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24</v>
      </c>
      <c r="N35" s="50">
        <v>0</v>
      </c>
      <c r="O35" s="15">
        <f t="shared" si="0"/>
        <v>10</v>
      </c>
      <c r="P35" s="15">
        <f t="shared" si="1"/>
        <v>34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29</v>
      </c>
      <c r="N36" s="50">
        <v>0</v>
      </c>
      <c r="O36" s="15">
        <f t="shared" si="0"/>
        <v>5</v>
      </c>
      <c r="P36" s="15">
        <f t="shared" si="1"/>
        <v>34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2</v>
      </c>
      <c r="F37" s="50">
        <v>2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22</v>
      </c>
      <c r="N37" s="50">
        <v>0</v>
      </c>
      <c r="O37" s="15">
        <f t="shared" si="0"/>
        <v>7</v>
      </c>
      <c r="P37" s="15">
        <f t="shared" si="1"/>
        <v>29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3</v>
      </c>
      <c r="F38" s="50">
        <v>5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19</v>
      </c>
      <c r="N38" s="50">
        <v>0</v>
      </c>
      <c r="O38" s="15">
        <f t="shared" si="0"/>
        <v>11</v>
      </c>
      <c r="P38" s="15">
        <f t="shared" si="1"/>
        <v>30</v>
      </c>
    </row>
    <row r="39" spans="2:20" ht="23.1" customHeight="1" x14ac:dyDescent="0.25">
      <c r="B39" s="24" t="s">
        <v>66</v>
      </c>
      <c r="C39" s="50">
        <v>4</v>
      </c>
      <c r="D39" s="50">
        <v>0</v>
      </c>
      <c r="E39" s="50">
        <v>1</v>
      </c>
      <c r="F39" s="50">
        <v>4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21</v>
      </c>
      <c r="N39" s="50">
        <v>0</v>
      </c>
      <c r="O39" s="15">
        <f t="shared" si="0"/>
        <v>10</v>
      </c>
      <c r="P39" s="15">
        <f t="shared" si="1"/>
        <v>31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3</v>
      </c>
      <c r="F40" s="50">
        <v>3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26</v>
      </c>
      <c r="N40" s="50">
        <v>0</v>
      </c>
      <c r="O40" s="15">
        <f t="shared" si="0"/>
        <v>10</v>
      </c>
      <c r="P40" s="15">
        <f t="shared" si="1"/>
        <v>36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23</v>
      </c>
      <c r="N41" s="50">
        <v>0</v>
      </c>
      <c r="O41" s="15">
        <f t="shared" si="0"/>
        <v>1</v>
      </c>
      <c r="P41" s="15">
        <f t="shared" si="1"/>
        <v>24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19</v>
      </c>
      <c r="N42" s="50">
        <v>0</v>
      </c>
      <c r="O42" s="15">
        <f t="shared" si="0"/>
        <v>3</v>
      </c>
      <c r="P42" s="15">
        <f t="shared" si="1"/>
        <v>22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5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25</v>
      </c>
      <c r="N43" s="50">
        <v>0</v>
      </c>
      <c r="O43" s="15">
        <f t="shared" si="0"/>
        <v>7</v>
      </c>
      <c r="P43" s="15">
        <f t="shared" si="1"/>
        <v>32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1</v>
      </c>
      <c r="F44" s="50">
        <v>2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26</v>
      </c>
      <c r="N44" s="50">
        <v>0</v>
      </c>
      <c r="O44" s="15">
        <f t="shared" si="0"/>
        <v>6</v>
      </c>
      <c r="P44" s="15">
        <f t="shared" si="1"/>
        <v>32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2</v>
      </c>
      <c r="F45" s="50">
        <v>5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9</v>
      </c>
      <c r="N45" s="50">
        <v>0</v>
      </c>
      <c r="O45" s="15">
        <f t="shared" si="0"/>
        <v>11</v>
      </c>
      <c r="P45" s="15">
        <f t="shared" si="1"/>
        <v>20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3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12</v>
      </c>
      <c r="N46" s="50">
        <v>0</v>
      </c>
      <c r="O46" s="15">
        <f t="shared" si="0"/>
        <v>9</v>
      </c>
      <c r="P46" s="15">
        <f t="shared" si="1"/>
        <v>21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0</v>
      </c>
      <c r="E47" s="50">
        <v>0</v>
      </c>
      <c r="F47" s="50">
        <v>3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23</v>
      </c>
      <c r="N47" s="50">
        <v>0</v>
      </c>
      <c r="O47" s="15">
        <f t="shared" si="0"/>
        <v>10</v>
      </c>
      <c r="P47" s="15">
        <f t="shared" si="1"/>
        <v>33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26</v>
      </c>
      <c r="N48" s="50">
        <v>0</v>
      </c>
      <c r="O48" s="15">
        <f t="shared" si="0"/>
        <v>4</v>
      </c>
      <c r="P48" s="15">
        <f t="shared" si="1"/>
        <v>30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1</v>
      </c>
      <c r="F49" s="50">
        <v>6</v>
      </c>
      <c r="G49" s="50">
        <v>0</v>
      </c>
      <c r="H49" s="50">
        <v>1</v>
      </c>
      <c r="I49" s="50">
        <v>2</v>
      </c>
      <c r="J49" s="50">
        <v>0</v>
      </c>
      <c r="K49" s="50">
        <v>0</v>
      </c>
      <c r="L49" s="50">
        <v>0</v>
      </c>
      <c r="M49" s="50">
        <v>21</v>
      </c>
      <c r="N49" s="50">
        <v>0</v>
      </c>
      <c r="O49" s="15">
        <f t="shared" si="0"/>
        <v>11</v>
      </c>
      <c r="P49" s="15">
        <f t="shared" si="1"/>
        <v>32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1</v>
      </c>
      <c r="F50" s="50">
        <v>5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24</v>
      </c>
      <c r="N50" s="50">
        <v>0</v>
      </c>
      <c r="O50" s="15">
        <f t="shared" si="0"/>
        <v>7</v>
      </c>
      <c r="P50" s="15">
        <f t="shared" si="1"/>
        <v>31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26</v>
      </c>
      <c r="N51" s="50">
        <v>0</v>
      </c>
      <c r="O51" s="15">
        <f t="shared" si="0"/>
        <v>2</v>
      </c>
      <c r="P51" s="15">
        <f t="shared" si="1"/>
        <v>28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1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31</v>
      </c>
      <c r="N52" s="50">
        <v>0</v>
      </c>
      <c r="O52" s="15">
        <f t="shared" si="0"/>
        <v>6</v>
      </c>
      <c r="P52" s="15">
        <f t="shared" si="1"/>
        <v>37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0</v>
      </c>
      <c r="E53" s="50">
        <v>3</v>
      </c>
      <c r="F53" s="50">
        <v>4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15</v>
      </c>
      <c r="N53" s="50">
        <v>0</v>
      </c>
      <c r="O53" s="15">
        <f t="shared" si="0"/>
        <v>13</v>
      </c>
      <c r="P53" s="15">
        <f t="shared" si="1"/>
        <v>28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2</v>
      </c>
      <c r="F54" s="50">
        <v>1</v>
      </c>
      <c r="G54" s="50">
        <v>0</v>
      </c>
      <c r="H54" s="50">
        <v>1</v>
      </c>
      <c r="I54" s="50">
        <v>3</v>
      </c>
      <c r="J54" s="50">
        <v>0</v>
      </c>
      <c r="K54" s="50">
        <v>1</v>
      </c>
      <c r="L54" s="50">
        <v>0</v>
      </c>
      <c r="M54" s="50">
        <v>18</v>
      </c>
      <c r="N54" s="50">
        <v>0</v>
      </c>
      <c r="O54" s="15">
        <f t="shared" si="0"/>
        <v>11</v>
      </c>
      <c r="P54" s="15">
        <f t="shared" si="1"/>
        <v>29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1</v>
      </c>
      <c r="F55" s="50">
        <v>3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14</v>
      </c>
      <c r="N55" s="50">
        <v>0</v>
      </c>
      <c r="O55" s="15">
        <f t="shared" si="0"/>
        <v>6</v>
      </c>
      <c r="P55" s="15">
        <f t="shared" si="1"/>
        <v>20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0</v>
      </c>
      <c r="F56" s="50">
        <v>1</v>
      </c>
      <c r="G56" s="50">
        <v>0</v>
      </c>
      <c r="H56" s="50">
        <v>1</v>
      </c>
      <c r="I56" s="50">
        <v>2</v>
      </c>
      <c r="J56" s="50">
        <v>0</v>
      </c>
      <c r="K56" s="50">
        <v>0</v>
      </c>
      <c r="L56" s="50">
        <v>0</v>
      </c>
      <c r="M56" s="50">
        <v>26</v>
      </c>
      <c r="N56" s="50">
        <v>0</v>
      </c>
      <c r="O56" s="15">
        <f t="shared" si="0"/>
        <v>8</v>
      </c>
      <c r="P56" s="15">
        <f t="shared" si="1"/>
        <v>34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1</v>
      </c>
      <c r="F57" s="50">
        <v>2</v>
      </c>
      <c r="G57" s="50">
        <v>0</v>
      </c>
      <c r="H57" s="50">
        <v>1</v>
      </c>
      <c r="I57" s="50">
        <v>1</v>
      </c>
      <c r="J57" s="50">
        <v>0</v>
      </c>
      <c r="K57" s="50">
        <v>0</v>
      </c>
      <c r="L57" s="50">
        <v>0</v>
      </c>
      <c r="M57" s="50">
        <v>18</v>
      </c>
      <c r="N57" s="50">
        <v>0</v>
      </c>
      <c r="O57" s="15">
        <f t="shared" si="0"/>
        <v>9</v>
      </c>
      <c r="P57" s="15">
        <f t="shared" si="1"/>
        <v>27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109</v>
      </c>
      <c r="D58" s="16">
        <f t="shared" si="21"/>
        <v>2</v>
      </c>
      <c r="E58" s="16">
        <f t="shared" si="21"/>
        <v>58</v>
      </c>
      <c r="F58" s="16">
        <f t="shared" si="21"/>
        <v>104</v>
      </c>
      <c r="G58" s="16">
        <f t="shared" si="21"/>
        <v>0</v>
      </c>
      <c r="H58" s="16">
        <f t="shared" si="21"/>
        <v>5</v>
      </c>
      <c r="I58" s="16">
        <f t="shared" si="21"/>
        <v>29</v>
      </c>
      <c r="J58" s="16">
        <f t="shared" si="21"/>
        <v>3</v>
      </c>
      <c r="K58" s="16">
        <f t="shared" si="21"/>
        <v>1</v>
      </c>
      <c r="L58" s="16">
        <f t="shared" si="21"/>
        <v>0</v>
      </c>
      <c r="M58" s="16">
        <f t="shared" si="21"/>
        <v>985</v>
      </c>
      <c r="N58" s="16">
        <f t="shared" si="21"/>
        <v>0</v>
      </c>
      <c r="O58" s="16">
        <f t="shared" si="21"/>
        <v>311</v>
      </c>
      <c r="P58" s="16">
        <f t="shared" si="21"/>
        <v>1296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8.4104938271604937E-2</v>
      </c>
      <c r="D59" s="43">
        <f t="shared" si="22"/>
        <v>1.5432098765432098E-3</v>
      </c>
      <c r="E59" s="43">
        <f t="shared" si="22"/>
        <v>4.4753086419753084E-2</v>
      </c>
      <c r="F59" s="43">
        <f t="shared" si="22"/>
        <v>8.0246913580246909E-2</v>
      </c>
      <c r="G59" s="43">
        <f t="shared" si="22"/>
        <v>0</v>
      </c>
      <c r="H59" s="43">
        <f t="shared" si="22"/>
        <v>3.8580246913580245E-3</v>
      </c>
      <c r="I59" s="43">
        <f t="shared" si="22"/>
        <v>2.2376543209876542E-2</v>
      </c>
      <c r="J59" s="43">
        <f t="shared" si="22"/>
        <v>2.3148148148148147E-3</v>
      </c>
      <c r="K59" s="43">
        <f t="shared" si="22"/>
        <v>7.716049382716049E-4</v>
      </c>
      <c r="L59" s="43">
        <f t="shared" si="22"/>
        <v>0</v>
      </c>
      <c r="M59" s="43">
        <f t="shared" si="22"/>
        <v>0.76003086419753085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0.35048231511254019</v>
      </c>
      <c r="D60" s="44">
        <f t="shared" ref="D60:N60" si="23">D58/$O$58</f>
        <v>6.4308681672025723E-3</v>
      </c>
      <c r="E60" s="44">
        <f t="shared" si="23"/>
        <v>0.18649517684887459</v>
      </c>
      <c r="F60" s="44">
        <f t="shared" si="23"/>
        <v>0.33440514469453375</v>
      </c>
      <c r="G60" s="44">
        <f t="shared" si="23"/>
        <v>0</v>
      </c>
      <c r="H60" s="44">
        <f t="shared" si="23"/>
        <v>1.607717041800643E-2</v>
      </c>
      <c r="I60" s="44">
        <f t="shared" si="23"/>
        <v>9.3247588424437297E-2</v>
      </c>
      <c r="J60" s="44">
        <f t="shared" si="23"/>
        <v>9.6463022508038593E-3</v>
      </c>
      <c r="K60" s="44">
        <f t="shared" si="23"/>
        <v>3.2154340836012861E-3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A2" zoomScale="60" workbookViewId="0">
      <selection activeCell="V99" sqref="V9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'18.08 Tororo-Malaba'!C3:G3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'18.08 Malaba-Tororo'!G5:H5</f>
        <v>xxx</v>
      </c>
      <c r="H5" s="64"/>
      <c r="I5" s="14"/>
      <c r="J5" s="2" t="s">
        <v>5</v>
      </c>
      <c r="K5" s="63" t="str">
        <f>'18.08 Malaba-Tororo'!K5:L5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'18.08 Malaba-Tororo'!D6:E6</f>
        <v>Malaba</v>
      </c>
      <c r="E6" s="64"/>
      <c r="F6" s="2" t="s">
        <v>2</v>
      </c>
      <c r="G6" s="63" t="str">
        <f>'18.08 Malaba-Tororo'!G6:H6</f>
        <v>Tororo</v>
      </c>
      <c r="H6" s="64"/>
      <c r="J6" s="2" t="s">
        <v>21</v>
      </c>
      <c r="K6" s="63" t="str">
        <f>'18.08 Malaba-Tororo'!K6:L6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AVERAGE('12.08 Malaba-Tororo'!C10,'13.08 Malaba-Tororo'!C10,'14.08 Malaba-Tororo'!C10,'15.08 Malaba-Tororo'!C10,'16.08 Malaba-Tororo-24h'!C10,'17.08 Malaba-Tororo-24h'!C10,'18.08 Malaba-Tororo'!C10)</f>
        <v>0.7142857142857143</v>
      </c>
      <c r="D10" s="49">
        <f>AVERAGE('12.08 Malaba-Tororo'!D10,'13.08 Malaba-Tororo'!D10,'14.08 Malaba-Tororo'!D10,'15.08 Malaba-Tororo'!D10,'16.08 Malaba-Tororo-24h'!D10,'17.08 Malaba-Tororo-24h'!D10,'18.08 Malaba-Tororo'!D10)</f>
        <v>0.2857142857142857</v>
      </c>
      <c r="E10" s="49">
        <f>AVERAGE('12.08 Malaba-Tororo'!E10,'13.08 Malaba-Tororo'!E10,'14.08 Malaba-Tororo'!E10,'15.08 Malaba-Tororo'!E10,'16.08 Malaba-Tororo-24h'!E10,'17.08 Malaba-Tororo-24h'!E10,'18.08 Malaba-Tororo'!E10)</f>
        <v>2</v>
      </c>
      <c r="F10" s="49">
        <f>AVERAGE('12.08 Malaba-Tororo'!F10,'13.08 Malaba-Tororo'!F10,'14.08 Malaba-Tororo'!F10,'15.08 Malaba-Tororo'!F10,'16.08 Malaba-Tororo-24h'!F10,'17.08 Malaba-Tororo-24h'!F10,'18.08 Malaba-Tororo'!F10)</f>
        <v>2</v>
      </c>
      <c r="G10" s="49">
        <f>AVERAGE('12.08 Malaba-Tororo'!G10,'13.08 Malaba-Tororo'!G10,'14.08 Malaba-Tororo'!G10,'15.08 Malaba-Tororo'!G10,'16.08 Malaba-Tororo-24h'!G10,'17.08 Malaba-Tororo-24h'!G10,'18.08 Malaba-Tororo'!G10)</f>
        <v>0.2857142857142857</v>
      </c>
      <c r="H10" s="49">
        <f>AVERAGE('12.08 Malaba-Tororo'!H10,'13.08 Malaba-Tororo'!H10,'14.08 Malaba-Tororo'!H10,'15.08 Malaba-Tororo'!H10,'16.08 Malaba-Tororo-24h'!H10,'17.08 Malaba-Tororo-24h'!H10,'18.08 Malaba-Tororo'!H10)</f>
        <v>0.42857142857142855</v>
      </c>
      <c r="I10" s="49">
        <f>AVERAGE('12.08 Malaba-Tororo'!I10,'13.08 Malaba-Tororo'!I10,'14.08 Malaba-Tororo'!I10,'15.08 Malaba-Tororo'!I10,'16.08 Malaba-Tororo-24h'!I10,'17.08 Malaba-Tororo-24h'!I10,'18.08 Malaba-Tororo'!I10)</f>
        <v>0</v>
      </c>
      <c r="J10" s="49">
        <f>AVERAGE('12.08 Malaba-Tororo'!J10,'13.08 Malaba-Tororo'!J10,'14.08 Malaba-Tororo'!J10,'15.08 Malaba-Tororo'!J10,'16.08 Malaba-Tororo-24h'!J10,'17.08 Malaba-Tororo-24h'!J10,'18.08 Malaba-Tororo'!J10)</f>
        <v>0</v>
      </c>
      <c r="K10" s="49">
        <f>AVERAGE('12.08 Malaba-Tororo'!K10,'13.08 Malaba-Tororo'!K10,'14.08 Malaba-Tororo'!K10,'15.08 Malaba-Tororo'!K10,'16.08 Malaba-Tororo-24h'!K10,'17.08 Malaba-Tororo-24h'!K10,'18.08 Malaba-Tororo'!K10)</f>
        <v>0</v>
      </c>
      <c r="L10" s="49">
        <f>AVERAGE('12.08 Malaba-Tororo'!L10,'13.08 Malaba-Tororo'!L10,'14.08 Malaba-Tororo'!L10,'15.08 Malaba-Tororo'!L10,'16.08 Malaba-Tororo-24h'!L10,'17.08 Malaba-Tororo-24h'!L10,'18.08 Malaba-Tororo'!L10)</f>
        <v>0</v>
      </c>
      <c r="M10" s="49">
        <f>AVERAGE('12.08 Malaba-Tororo'!M10,'13.08 Malaba-Tororo'!M10,'14.08 Malaba-Tororo'!M10,'15.08 Malaba-Tororo'!M10,'16.08 Malaba-Tororo-24h'!M10,'17.08 Malaba-Tororo-24h'!M10,'18.08 Malaba-Tororo'!M10)</f>
        <v>14</v>
      </c>
      <c r="N10" s="49">
        <f>AVERAGE('12.08 Malaba-Tororo'!N10,'13.08 Malaba-Tororo'!N10,'14.08 Malaba-Tororo'!N10,'15.08 Malaba-Tororo'!N10,'16.08 Malaba-Tororo-24h'!N10,'17.08 Malaba-Tororo-24h'!N10,'18.08 Malaba-Tororo'!N10)</f>
        <v>0</v>
      </c>
      <c r="O10" s="15">
        <f t="shared" ref="O10:O73" si="0">SUM(C10:L10,N10)</f>
        <v>5.7142857142857144</v>
      </c>
      <c r="P10" s="15">
        <f t="shared" ref="P10:P73" si="1">SUM(C10:N10)</f>
        <v>19.714285714285715</v>
      </c>
      <c r="R10" s="1" t="s">
        <v>6</v>
      </c>
      <c r="S10" s="17">
        <f t="shared" ref="S10:AF10" si="2">SUM(C10:C13)</f>
        <v>3.5714285714285712</v>
      </c>
      <c r="T10" s="17">
        <f t="shared" si="2"/>
        <v>0.42857142857142855</v>
      </c>
      <c r="U10" s="17">
        <f t="shared" si="2"/>
        <v>3.9999999999999996</v>
      </c>
      <c r="V10" s="17">
        <f t="shared" si="2"/>
        <v>7.5714285714285712</v>
      </c>
      <c r="W10" s="17">
        <f t="shared" si="2"/>
        <v>0.2857142857142857</v>
      </c>
      <c r="X10" s="17">
        <f t="shared" si="2"/>
        <v>1.2857142857142856</v>
      </c>
      <c r="Y10" s="17">
        <f t="shared" si="2"/>
        <v>1.7142857142857142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74</v>
      </c>
      <c r="AD10" s="17">
        <f t="shared" si="2"/>
        <v>0</v>
      </c>
      <c r="AE10" s="31">
        <f t="shared" si="2"/>
        <v>18.857142857142858</v>
      </c>
      <c r="AF10" s="31">
        <f t="shared" si="2"/>
        <v>92.857142857142861</v>
      </c>
    </row>
    <row r="11" spans="2:32" s="6" customFormat="1" ht="23.1" customHeight="1" x14ac:dyDescent="0.25">
      <c r="B11" s="23" t="s">
        <v>38</v>
      </c>
      <c r="C11" s="49">
        <f>AVERAGE('12.08 Malaba-Tororo'!C11,'13.08 Malaba-Tororo'!C11,'14.08 Malaba-Tororo'!C11,'15.08 Malaba-Tororo'!C11,'16.08 Malaba-Tororo-24h'!C11,'17.08 Malaba-Tororo-24h'!C11,'18.08 Malaba-Tororo'!C11)</f>
        <v>0.8571428571428571</v>
      </c>
      <c r="D11" s="49">
        <f>AVERAGE('12.08 Malaba-Tororo'!D11,'13.08 Malaba-Tororo'!D11,'14.08 Malaba-Tororo'!D11,'15.08 Malaba-Tororo'!D11,'16.08 Malaba-Tororo-24h'!D11,'17.08 Malaba-Tororo-24h'!D11,'18.08 Malaba-Tororo'!D11)</f>
        <v>0.14285714285714285</v>
      </c>
      <c r="E11" s="49">
        <f>AVERAGE('12.08 Malaba-Tororo'!E11,'13.08 Malaba-Tororo'!E11,'14.08 Malaba-Tororo'!E11,'15.08 Malaba-Tororo'!E11,'16.08 Malaba-Tororo-24h'!E11,'17.08 Malaba-Tororo-24h'!E11,'18.08 Malaba-Tororo'!E11)</f>
        <v>1.1428571428571428</v>
      </c>
      <c r="F11" s="49">
        <f>AVERAGE('12.08 Malaba-Tororo'!F11,'13.08 Malaba-Tororo'!F11,'14.08 Malaba-Tororo'!F11,'15.08 Malaba-Tororo'!F11,'16.08 Malaba-Tororo-24h'!F11,'17.08 Malaba-Tororo-24h'!F11,'18.08 Malaba-Tororo'!F11)</f>
        <v>1.8571428571428572</v>
      </c>
      <c r="G11" s="49">
        <f>AVERAGE('12.08 Malaba-Tororo'!G11,'13.08 Malaba-Tororo'!G11,'14.08 Malaba-Tororo'!G11,'15.08 Malaba-Tororo'!G11,'16.08 Malaba-Tororo-24h'!G11,'17.08 Malaba-Tororo-24h'!G11,'18.08 Malaba-Tororo'!G11)</f>
        <v>0</v>
      </c>
      <c r="H11" s="49">
        <f>AVERAGE('12.08 Malaba-Tororo'!H11,'13.08 Malaba-Tororo'!H11,'14.08 Malaba-Tororo'!H11,'15.08 Malaba-Tororo'!H11,'16.08 Malaba-Tororo-24h'!H11,'17.08 Malaba-Tororo-24h'!H11,'18.08 Malaba-Tororo'!H11)</f>
        <v>0.5714285714285714</v>
      </c>
      <c r="I11" s="49">
        <f>AVERAGE('12.08 Malaba-Tororo'!I11,'13.08 Malaba-Tororo'!I11,'14.08 Malaba-Tororo'!I11,'15.08 Malaba-Tororo'!I11,'16.08 Malaba-Tororo-24h'!I11,'17.08 Malaba-Tororo-24h'!I11,'18.08 Malaba-Tororo'!I11)</f>
        <v>0.5714285714285714</v>
      </c>
      <c r="J11" s="49">
        <f>AVERAGE('12.08 Malaba-Tororo'!J11,'13.08 Malaba-Tororo'!J11,'14.08 Malaba-Tororo'!J11,'15.08 Malaba-Tororo'!J11,'16.08 Malaba-Tororo-24h'!J11,'17.08 Malaba-Tororo-24h'!J11,'18.08 Malaba-Tororo'!J11)</f>
        <v>0</v>
      </c>
      <c r="K11" s="49">
        <f>AVERAGE('12.08 Malaba-Tororo'!K11,'13.08 Malaba-Tororo'!K11,'14.08 Malaba-Tororo'!K11,'15.08 Malaba-Tororo'!K11,'16.08 Malaba-Tororo-24h'!K11,'17.08 Malaba-Tororo-24h'!K11,'18.08 Malaba-Tororo'!K11)</f>
        <v>0</v>
      </c>
      <c r="L11" s="49">
        <f>AVERAGE('12.08 Malaba-Tororo'!L11,'13.08 Malaba-Tororo'!L11,'14.08 Malaba-Tororo'!L11,'15.08 Malaba-Tororo'!L11,'16.08 Malaba-Tororo-24h'!L11,'17.08 Malaba-Tororo-24h'!L11,'18.08 Malaba-Tororo'!L11)</f>
        <v>0</v>
      </c>
      <c r="M11" s="49">
        <f>AVERAGE('12.08 Malaba-Tororo'!M11,'13.08 Malaba-Tororo'!M11,'14.08 Malaba-Tororo'!M11,'15.08 Malaba-Tororo'!M11,'16.08 Malaba-Tororo-24h'!M11,'17.08 Malaba-Tororo-24h'!M11,'18.08 Malaba-Tororo'!M11)</f>
        <v>19.714285714285715</v>
      </c>
      <c r="N11" s="49">
        <f>AVERAGE('12.08 Malaba-Tororo'!N11,'13.08 Malaba-Tororo'!N11,'14.08 Malaba-Tororo'!N11,'15.08 Malaba-Tororo'!N11,'16.08 Malaba-Tororo-24h'!N11,'17.08 Malaba-Tororo-24h'!N11,'18.08 Malaba-Tororo'!N11)</f>
        <v>0</v>
      </c>
      <c r="O11" s="15">
        <f t="shared" si="0"/>
        <v>5.1428571428571423</v>
      </c>
      <c r="P11" s="15">
        <f t="shared" si="1"/>
        <v>24.857142857142858</v>
      </c>
      <c r="R11" s="1" t="s">
        <v>7</v>
      </c>
      <c r="S11" s="17">
        <f t="shared" ref="S11:AF11" si="3">SUM(C14:C17)</f>
        <v>4.5714285714285712</v>
      </c>
      <c r="T11" s="17">
        <f t="shared" si="3"/>
        <v>0.2857142857142857</v>
      </c>
      <c r="U11" s="17">
        <f t="shared" si="3"/>
        <v>6</v>
      </c>
      <c r="V11" s="17">
        <f t="shared" si="3"/>
        <v>7.2857142857142847</v>
      </c>
      <c r="W11" s="17">
        <f t="shared" si="3"/>
        <v>0</v>
      </c>
      <c r="X11" s="17">
        <f t="shared" si="3"/>
        <v>1.1428571428571428</v>
      </c>
      <c r="Y11" s="17">
        <f t="shared" si="3"/>
        <v>1.8571428571428572</v>
      </c>
      <c r="Z11" s="17">
        <f t="shared" si="3"/>
        <v>0.14285714285714285</v>
      </c>
      <c r="AA11" s="17">
        <f t="shared" si="3"/>
        <v>0</v>
      </c>
      <c r="AB11" s="17">
        <f t="shared" si="3"/>
        <v>0</v>
      </c>
      <c r="AC11" s="17">
        <f t="shared" si="3"/>
        <v>99.571428571428584</v>
      </c>
      <c r="AD11" s="17">
        <f t="shared" si="3"/>
        <v>0</v>
      </c>
      <c r="AE11" s="31">
        <f t="shared" si="3"/>
        <v>21.285714285714285</v>
      </c>
      <c r="AF11" s="31">
        <f t="shared" si="3"/>
        <v>120.85714285714286</v>
      </c>
    </row>
    <row r="12" spans="2:32" ht="23.1" customHeight="1" x14ac:dyDescent="0.25">
      <c r="B12" s="23" t="s">
        <v>39</v>
      </c>
      <c r="C12" s="49">
        <f>AVERAGE('12.08 Malaba-Tororo'!C12,'13.08 Malaba-Tororo'!C12,'14.08 Malaba-Tororo'!C12,'15.08 Malaba-Tororo'!C12,'16.08 Malaba-Tororo-24h'!C12,'17.08 Malaba-Tororo-24h'!C12,'18.08 Malaba-Tororo'!C12)</f>
        <v>1</v>
      </c>
      <c r="D12" s="49">
        <f>AVERAGE('12.08 Malaba-Tororo'!D12,'13.08 Malaba-Tororo'!D12,'14.08 Malaba-Tororo'!D12,'15.08 Malaba-Tororo'!D12,'16.08 Malaba-Tororo-24h'!D12,'17.08 Malaba-Tororo-24h'!D12,'18.08 Malaba-Tororo'!D12)</f>
        <v>0</v>
      </c>
      <c r="E12" s="49">
        <f>AVERAGE('12.08 Malaba-Tororo'!E12,'13.08 Malaba-Tororo'!E12,'14.08 Malaba-Tororo'!E12,'15.08 Malaba-Tororo'!E12,'16.08 Malaba-Tororo-24h'!E12,'17.08 Malaba-Tororo-24h'!E12,'18.08 Malaba-Tororo'!E12)</f>
        <v>0.42857142857142855</v>
      </c>
      <c r="F12" s="49">
        <f>AVERAGE('12.08 Malaba-Tororo'!F12,'13.08 Malaba-Tororo'!F12,'14.08 Malaba-Tororo'!F12,'15.08 Malaba-Tororo'!F12,'16.08 Malaba-Tororo-24h'!F12,'17.08 Malaba-Tororo-24h'!F12,'18.08 Malaba-Tororo'!F12)</f>
        <v>2.5714285714285716</v>
      </c>
      <c r="G12" s="49">
        <f>AVERAGE('12.08 Malaba-Tororo'!G12,'13.08 Malaba-Tororo'!G12,'14.08 Malaba-Tororo'!G12,'15.08 Malaba-Tororo'!G12,'16.08 Malaba-Tororo-24h'!G12,'17.08 Malaba-Tororo-24h'!G12,'18.08 Malaba-Tororo'!G12)</f>
        <v>0</v>
      </c>
      <c r="H12" s="49">
        <f>AVERAGE('12.08 Malaba-Tororo'!H12,'13.08 Malaba-Tororo'!H12,'14.08 Malaba-Tororo'!H12,'15.08 Malaba-Tororo'!H12,'16.08 Malaba-Tororo-24h'!H12,'17.08 Malaba-Tororo-24h'!H12,'18.08 Malaba-Tororo'!H12)</f>
        <v>0.2857142857142857</v>
      </c>
      <c r="I12" s="49">
        <f>AVERAGE('12.08 Malaba-Tororo'!I12,'13.08 Malaba-Tororo'!I12,'14.08 Malaba-Tororo'!I12,'15.08 Malaba-Tororo'!I12,'16.08 Malaba-Tororo-24h'!I12,'17.08 Malaba-Tororo-24h'!I12,'18.08 Malaba-Tororo'!I12)</f>
        <v>0.5714285714285714</v>
      </c>
      <c r="J12" s="49">
        <f>AVERAGE('12.08 Malaba-Tororo'!J12,'13.08 Malaba-Tororo'!J12,'14.08 Malaba-Tororo'!J12,'15.08 Malaba-Tororo'!J12,'16.08 Malaba-Tororo-24h'!J12,'17.08 Malaba-Tororo-24h'!J12,'18.08 Malaba-Tororo'!J12)</f>
        <v>0</v>
      </c>
      <c r="K12" s="49">
        <f>AVERAGE('12.08 Malaba-Tororo'!K12,'13.08 Malaba-Tororo'!K12,'14.08 Malaba-Tororo'!K12,'15.08 Malaba-Tororo'!K12,'16.08 Malaba-Tororo-24h'!K12,'17.08 Malaba-Tororo-24h'!K12,'18.08 Malaba-Tororo'!K12)</f>
        <v>0</v>
      </c>
      <c r="L12" s="49">
        <f>AVERAGE('12.08 Malaba-Tororo'!L12,'13.08 Malaba-Tororo'!L12,'14.08 Malaba-Tororo'!L12,'15.08 Malaba-Tororo'!L12,'16.08 Malaba-Tororo-24h'!L12,'17.08 Malaba-Tororo-24h'!L12,'18.08 Malaba-Tororo'!L12)</f>
        <v>0</v>
      </c>
      <c r="M12" s="49">
        <f>AVERAGE('12.08 Malaba-Tororo'!M12,'13.08 Malaba-Tororo'!M12,'14.08 Malaba-Tororo'!M12,'15.08 Malaba-Tororo'!M12,'16.08 Malaba-Tororo-24h'!M12,'17.08 Malaba-Tororo-24h'!M12,'18.08 Malaba-Tororo'!M12)</f>
        <v>16.142857142857142</v>
      </c>
      <c r="N12" s="49">
        <f>AVERAGE('12.08 Malaba-Tororo'!N12,'13.08 Malaba-Tororo'!N12,'14.08 Malaba-Tororo'!N12,'15.08 Malaba-Tororo'!N12,'16.08 Malaba-Tororo-24h'!N12,'17.08 Malaba-Tororo-24h'!N12,'18.08 Malaba-Tororo'!N12)</f>
        <v>0</v>
      </c>
      <c r="O12" s="15">
        <f t="shared" si="0"/>
        <v>4.8571428571428568</v>
      </c>
      <c r="P12" s="15">
        <f t="shared" si="1"/>
        <v>21</v>
      </c>
      <c r="R12" s="1" t="s">
        <v>8</v>
      </c>
      <c r="S12" s="17">
        <f t="shared" ref="S12:AF12" si="4">SUM(C18:C21)</f>
        <v>9.9999999999999982</v>
      </c>
      <c r="T12" s="17">
        <f t="shared" si="4"/>
        <v>1.1428571428571428</v>
      </c>
      <c r="U12" s="17">
        <f t="shared" si="4"/>
        <v>9</v>
      </c>
      <c r="V12" s="17">
        <f t="shared" si="4"/>
        <v>6.7142857142857144</v>
      </c>
      <c r="W12" s="17">
        <f t="shared" si="4"/>
        <v>0</v>
      </c>
      <c r="X12" s="17">
        <f t="shared" si="4"/>
        <v>0.2857142857142857</v>
      </c>
      <c r="Y12" s="17">
        <f t="shared" si="4"/>
        <v>4.1428571428571423</v>
      </c>
      <c r="Z12" s="17">
        <f t="shared" si="4"/>
        <v>0.14285714285714285</v>
      </c>
      <c r="AA12" s="17">
        <f t="shared" si="4"/>
        <v>0</v>
      </c>
      <c r="AB12" s="17">
        <f t="shared" si="4"/>
        <v>0</v>
      </c>
      <c r="AC12" s="17">
        <f t="shared" si="4"/>
        <v>105.57142857142857</v>
      </c>
      <c r="AD12" s="17">
        <f t="shared" si="4"/>
        <v>0.2857142857142857</v>
      </c>
      <c r="AE12" s="31">
        <f t="shared" si="4"/>
        <v>31.714285714285712</v>
      </c>
      <c r="AF12" s="31">
        <f t="shared" si="4"/>
        <v>137.28571428571428</v>
      </c>
    </row>
    <row r="13" spans="2:32" ht="23.1" customHeight="1" x14ac:dyDescent="0.25">
      <c r="B13" s="23" t="s">
        <v>40</v>
      </c>
      <c r="C13" s="49">
        <f>AVERAGE('12.08 Malaba-Tororo'!C13,'13.08 Malaba-Tororo'!C13,'14.08 Malaba-Tororo'!C13,'15.08 Malaba-Tororo'!C13,'16.08 Malaba-Tororo-24h'!C13,'17.08 Malaba-Tororo-24h'!C13,'18.08 Malaba-Tororo'!C13)</f>
        <v>1</v>
      </c>
      <c r="D13" s="49">
        <f>AVERAGE('12.08 Malaba-Tororo'!D13,'13.08 Malaba-Tororo'!D13,'14.08 Malaba-Tororo'!D13,'15.08 Malaba-Tororo'!D13,'16.08 Malaba-Tororo-24h'!D13,'17.08 Malaba-Tororo-24h'!D13,'18.08 Malaba-Tororo'!D13)</f>
        <v>0</v>
      </c>
      <c r="E13" s="49">
        <f>AVERAGE('12.08 Malaba-Tororo'!E13,'13.08 Malaba-Tororo'!E13,'14.08 Malaba-Tororo'!E13,'15.08 Malaba-Tororo'!E13,'16.08 Malaba-Tororo-24h'!E13,'17.08 Malaba-Tororo-24h'!E13,'18.08 Malaba-Tororo'!E13)</f>
        <v>0.42857142857142855</v>
      </c>
      <c r="F13" s="49">
        <f>AVERAGE('12.08 Malaba-Tororo'!F13,'13.08 Malaba-Tororo'!F13,'14.08 Malaba-Tororo'!F13,'15.08 Malaba-Tororo'!F13,'16.08 Malaba-Tororo-24h'!F13,'17.08 Malaba-Tororo-24h'!F13,'18.08 Malaba-Tororo'!F13)</f>
        <v>1.1428571428571428</v>
      </c>
      <c r="G13" s="49">
        <f>AVERAGE('12.08 Malaba-Tororo'!G13,'13.08 Malaba-Tororo'!G13,'14.08 Malaba-Tororo'!G13,'15.08 Malaba-Tororo'!G13,'16.08 Malaba-Tororo-24h'!G13,'17.08 Malaba-Tororo-24h'!G13,'18.08 Malaba-Tororo'!G13)</f>
        <v>0</v>
      </c>
      <c r="H13" s="49">
        <f>AVERAGE('12.08 Malaba-Tororo'!H13,'13.08 Malaba-Tororo'!H13,'14.08 Malaba-Tororo'!H13,'15.08 Malaba-Tororo'!H13,'16.08 Malaba-Tororo-24h'!H13,'17.08 Malaba-Tororo-24h'!H13,'18.08 Malaba-Tororo'!H13)</f>
        <v>0</v>
      </c>
      <c r="I13" s="49">
        <f>AVERAGE('12.08 Malaba-Tororo'!I13,'13.08 Malaba-Tororo'!I13,'14.08 Malaba-Tororo'!I13,'15.08 Malaba-Tororo'!I13,'16.08 Malaba-Tororo-24h'!I13,'17.08 Malaba-Tororo-24h'!I13,'18.08 Malaba-Tororo'!I13)</f>
        <v>0.5714285714285714</v>
      </c>
      <c r="J13" s="49">
        <f>AVERAGE('12.08 Malaba-Tororo'!J13,'13.08 Malaba-Tororo'!J13,'14.08 Malaba-Tororo'!J13,'15.08 Malaba-Tororo'!J13,'16.08 Malaba-Tororo-24h'!J13,'17.08 Malaba-Tororo-24h'!J13,'18.08 Malaba-Tororo'!J13)</f>
        <v>0</v>
      </c>
      <c r="K13" s="49">
        <f>AVERAGE('12.08 Malaba-Tororo'!K13,'13.08 Malaba-Tororo'!K13,'14.08 Malaba-Tororo'!K13,'15.08 Malaba-Tororo'!K13,'16.08 Malaba-Tororo-24h'!K13,'17.08 Malaba-Tororo-24h'!K13,'18.08 Malaba-Tororo'!K13)</f>
        <v>0</v>
      </c>
      <c r="L13" s="49">
        <f>AVERAGE('12.08 Malaba-Tororo'!L13,'13.08 Malaba-Tororo'!L13,'14.08 Malaba-Tororo'!L13,'15.08 Malaba-Tororo'!L13,'16.08 Malaba-Tororo-24h'!L13,'17.08 Malaba-Tororo-24h'!L13,'18.08 Malaba-Tororo'!L13)</f>
        <v>0</v>
      </c>
      <c r="M13" s="49">
        <f>AVERAGE('12.08 Malaba-Tororo'!M13,'13.08 Malaba-Tororo'!M13,'14.08 Malaba-Tororo'!M13,'15.08 Malaba-Tororo'!M13,'16.08 Malaba-Tororo-24h'!M13,'17.08 Malaba-Tororo-24h'!M13,'18.08 Malaba-Tororo'!M13)</f>
        <v>24.142857142857142</v>
      </c>
      <c r="N13" s="49">
        <f>AVERAGE('12.08 Malaba-Tororo'!N13,'13.08 Malaba-Tororo'!N13,'14.08 Malaba-Tororo'!N13,'15.08 Malaba-Tororo'!N13,'16.08 Malaba-Tororo-24h'!N13,'17.08 Malaba-Tororo-24h'!N13,'18.08 Malaba-Tororo'!N13)</f>
        <v>0</v>
      </c>
      <c r="O13" s="15">
        <f t="shared" si="0"/>
        <v>3.1428571428571423</v>
      </c>
      <c r="P13" s="15">
        <f t="shared" si="1"/>
        <v>27.285714285714285</v>
      </c>
      <c r="R13" s="1" t="s">
        <v>9</v>
      </c>
      <c r="S13" s="17">
        <f t="shared" ref="S13:AF13" si="5">SUM(C22:C25)</f>
        <v>14.000000000000002</v>
      </c>
      <c r="T13" s="17">
        <f t="shared" si="5"/>
        <v>0.8571428571428571</v>
      </c>
      <c r="U13" s="17">
        <f t="shared" si="5"/>
        <v>10.285714285714285</v>
      </c>
      <c r="V13" s="17">
        <f t="shared" si="5"/>
        <v>8.8571428571428577</v>
      </c>
      <c r="W13" s="17">
        <f t="shared" si="5"/>
        <v>0.71428571428571419</v>
      </c>
      <c r="X13" s="17">
        <f t="shared" si="5"/>
        <v>0.14285714285714285</v>
      </c>
      <c r="Y13" s="17">
        <f t="shared" si="5"/>
        <v>4.2857142857142865</v>
      </c>
      <c r="Z13" s="17">
        <f t="shared" si="5"/>
        <v>4.5714285714285712</v>
      </c>
      <c r="AA13" s="17">
        <f t="shared" si="5"/>
        <v>0.42857142857142855</v>
      </c>
      <c r="AB13" s="17">
        <f t="shared" si="5"/>
        <v>0</v>
      </c>
      <c r="AC13" s="17">
        <f t="shared" si="5"/>
        <v>114.28571428571428</v>
      </c>
      <c r="AD13" s="17">
        <f t="shared" si="5"/>
        <v>0</v>
      </c>
      <c r="AE13" s="31">
        <f t="shared" si="5"/>
        <v>44.142857142857146</v>
      </c>
      <c r="AF13" s="31">
        <f t="shared" si="5"/>
        <v>158.42857142857144</v>
      </c>
    </row>
    <row r="14" spans="2:32" ht="23.1" customHeight="1" x14ac:dyDescent="0.25">
      <c r="B14" s="23" t="s">
        <v>41</v>
      </c>
      <c r="C14" s="49">
        <f>AVERAGE('12.08 Malaba-Tororo'!C14,'13.08 Malaba-Tororo'!C14,'14.08 Malaba-Tororo'!C14,'15.08 Malaba-Tororo'!C14,'16.08 Malaba-Tororo-24h'!C14,'17.08 Malaba-Tororo-24h'!C14,'18.08 Malaba-Tororo'!C14)</f>
        <v>0.5714285714285714</v>
      </c>
      <c r="D14" s="49">
        <f>AVERAGE('12.08 Malaba-Tororo'!D14,'13.08 Malaba-Tororo'!D14,'14.08 Malaba-Tororo'!D14,'15.08 Malaba-Tororo'!D14,'16.08 Malaba-Tororo-24h'!D14,'17.08 Malaba-Tororo-24h'!D14,'18.08 Malaba-Tororo'!D14)</f>
        <v>0</v>
      </c>
      <c r="E14" s="49">
        <f>AVERAGE('12.08 Malaba-Tororo'!E14,'13.08 Malaba-Tororo'!E14,'14.08 Malaba-Tororo'!E14,'15.08 Malaba-Tororo'!E14,'16.08 Malaba-Tororo-24h'!E14,'17.08 Malaba-Tororo-24h'!E14,'18.08 Malaba-Tororo'!E14)</f>
        <v>1.4285714285714286</v>
      </c>
      <c r="F14" s="49">
        <f>AVERAGE('12.08 Malaba-Tororo'!F14,'13.08 Malaba-Tororo'!F14,'14.08 Malaba-Tororo'!F14,'15.08 Malaba-Tororo'!F14,'16.08 Malaba-Tororo-24h'!F14,'17.08 Malaba-Tororo-24h'!F14,'18.08 Malaba-Tororo'!F14)</f>
        <v>1.4285714285714286</v>
      </c>
      <c r="G14" s="49">
        <f>AVERAGE('12.08 Malaba-Tororo'!G14,'13.08 Malaba-Tororo'!G14,'14.08 Malaba-Tororo'!G14,'15.08 Malaba-Tororo'!G14,'16.08 Malaba-Tororo-24h'!G14,'17.08 Malaba-Tororo-24h'!G14,'18.08 Malaba-Tororo'!G14)</f>
        <v>0</v>
      </c>
      <c r="H14" s="49">
        <f>AVERAGE('12.08 Malaba-Tororo'!H14,'13.08 Malaba-Tororo'!H14,'14.08 Malaba-Tororo'!H14,'15.08 Malaba-Tororo'!H14,'16.08 Malaba-Tororo-24h'!H14,'17.08 Malaba-Tororo-24h'!H14,'18.08 Malaba-Tororo'!H14)</f>
        <v>0.42857142857142855</v>
      </c>
      <c r="I14" s="49">
        <f>AVERAGE('12.08 Malaba-Tororo'!I14,'13.08 Malaba-Tororo'!I14,'14.08 Malaba-Tororo'!I14,'15.08 Malaba-Tororo'!I14,'16.08 Malaba-Tororo-24h'!I14,'17.08 Malaba-Tororo-24h'!I14,'18.08 Malaba-Tororo'!I14)</f>
        <v>0.42857142857142855</v>
      </c>
      <c r="J14" s="49">
        <f>AVERAGE('12.08 Malaba-Tororo'!J14,'13.08 Malaba-Tororo'!J14,'14.08 Malaba-Tororo'!J14,'15.08 Malaba-Tororo'!J14,'16.08 Malaba-Tororo-24h'!J14,'17.08 Malaba-Tororo-24h'!J14,'18.08 Malaba-Tororo'!J14)</f>
        <v>0</v>
      </c>
      <c r="K14" s="49">
        <f>AVERAGE('12.08 Malaba-Tororo'!K14,'13.08 Malaba-Tororo'!K14,'14.08 Malaba-Tororo'!K14,'15.08 Malaba-Tororo'!K14,'16.08 Malaba-Tororo-24h'!K14,'17.08 Malaba-Tororo-24h'!K14,'18.08 Malaba-Tororo'!K14)</f>
        <v>0</v>
      </c>
      <c r="L14" s="49">
        <f>AVERAGE('12.08 Malaba-Tororo'!L14,'13.08 Malaba-Tororo'!L14,'14.08 Malaba-Tororo'!L14,'15.08 Malaba-Tororo'!L14,'16.08 Malaba-Tororo-24h'!L14,'17.08 Malaba-Tororo-24h'!L14,'18.08 Malaba-Tororo'!L14)</f>
        <v>0</v>
      </c>
      <c r="M14" s="49">
        <f>AVERAGE('12.08 Malaba-Tororo'!M14,'13.08 Malaba-Tororo'!M14,'14.08 Malaba-Tororo'!M14,'15.08 Malaba-Tororo'!M14,'16.08 Malaba-Tororo-24h'!M14,'17.08 Malaba-Tororo-24h'!M14,'18.08 Malaba-Tororo'!M14)</f>
        <v>21.714285714285715</v>
      </c>
      <c r="N14" s="49">
        <f>AVERAGE('12.08 Malaba-Tororo'!N14,'13.08 Malaba-Tororo'!N14,'14.08 Malaba-Tororo'!N14,'15.08 Malaba-Tororo'!N14,'16.08 Malaba-Tororo-24h'!N14,'17.08 Malaba-Tororo-24h'!N14,'18.08 Malaba-Tororo'!N14)</f>
        <v>0</v>
      </c>
      <c r="O14" s="15">
        <f t="shared" si="0"/>
        <v>4.2857142857142856</v>
      </c>
      <c r="P14" s="15">
        <f t="shared" si="1"/>
        <v>26</v>
      </c>
      <c r="R14" s="1" t="s">
        <v>10</v>
      </c>
      <c r="S14" s="17">
        <f t="shared" ref="S14:AF14" si="6">SUM(C26:C29)</f>
        <v>15.428571428571429</v>
      </c>
      <c r="T14" s="17">
        <f t="shared" si="6"/>
        <v>1.2857142857142856</v>
      </c>
      <c r="U14" s="17">
        <f t="shared" si="6"/>
        <v>11.142857142857142</v>
      </c>
      <c r="V14" s="17">
        <f t="shared" si="6"/>
        <v>10.142857142857142</v>
      </c>
      <c r="W14" s="17">
        <f t="shared" si="6"/>
        <v>0.42857142857142855</v>
      </c>
      <c r="X14" s="17">
        <f t="shared" si="6"/>
        <v>0</v>
      </c>
      <c r="Y14" s="17">
        <f t="shared" si="6"/>
        <v>5.2857142857142856</v>
      </c>
      <c r="Z14" s="17">
        <f t="shared" si="6"/>
        <v>0.2857142857142857</v>
      </c>
      <c r="AA14" s="17">
        <f t="shared" si="6"/>
        <v>0</v>
      </c>
      <c r="AB14" s="17">
        <f t="shared" si="6"/>
        <v>0</v>
      </c>
      <c r="AC14" s="17">
        <f t="shared" si="6"/>
        <v>116.28571428571428</v>
      </c>
      <c r="AD14" s="17">
        <f t="shared" si="6"/>
        <v>0</v>
      </c>
      <c r="AE14" s="31">
        <f t="shared" si="6"/>
        <v>44</v>
      </c>
      <c r="AF14" s="31">
        <f t="shared" si="6"/>
        <v>160.28571428571428</v>
      </c>
    </row>
    <row r="15" spans="2:32" ht="23.1" customHeight="1" x14ac:dyDescent="0.25">
      <c r="B15" s="23" t="s">
        <v>42</v>
      </c>
      <c r="C15" s="49">
        <f>AVERAGE('12.08 Malaba-Tororo'!C15,'13.08 Malaba-Tororo'!C15,'14.08 Malaba-Tororo'!C15,'15.08 Malaba-Tororo'!C15,'16.08 Malaba-Tororo-24h'!C15,'17.08 Malaba-Tororo-24h'!C15,'18.08 Malaba-Tororo'!C15)</f>
        <v>1.5714285714285714</v>
      </c>
      <c r="D15" s="49">
        <f>AVERAGE('12.08 Malaba-Tororo'!D15,'13.08 Malaba-Tororo'!D15,'14.08 Malaba-Tororo'!D15,'15.08 Malaba-Tororo'!D15,'16.08 Malaba-Tororo-24h'!D15,'17.08 Malaba-Tororo-24h'!D15,'18.08 Malaba-Tororo'!D15)</f>
        <v>0.2857142857142857</v>
      </c>
      <c r="E15" s="49">
        <f>AVERAGE('12.08 Malaba-Tororo'!E15,'13.08 Malaba-Tororo'!E15,'14.08 Malaba-Tororo'!E15,'15.08 Malaba-Tororo'!E15,'16.08 Malaba-Tororo-24h'!E15,'17.08 Malaba-Tororo-24h'!E15,'18.08 Malaba-Tororo'!E15)</f>
        <v>1.8571428571428572</v>
      </c>
      <c r="F15" s="49">
        <f>AVERAGE('12.08 Malaba-Tororo'!F15,'13.08 Malaba-Tororo'!F15,'14.08 Malaba-Tororo'!F15,'15.08 Malaba-Tororo'!F15,'16.08 Malaba-Tororo-24h'!F15,'17.08 Malaba-Tororo-24h'!F15,'18.08 Malaba-Tororo'!F15)</f>
        <v>2.1428571428571428</v>
      </c>
      <c r="G15" s="49">
        <f>AVERAGE('12.08 Malaba-Tororo'!G15,'13.08 Malaba-Tororo'!G15,'14.08 Malaba-Tororo'!G15,'15.08 Malaba-Tororo'!G15,'16.08 Malaba-Tororo-24h'!G15,'17.08 Malaba-Tororo-24h'!G15,'18.08 Malaba-Tororo'!G15)</f>
        <v>0</v>
      </c>
      <c r="H15" s="49">
        <f>AVERAGE('12.08 Malaba-Tororo'!H15,'13.08 Malaba-Tororo'!H15,'14.08 Malaba-Tororo'!H15,'15.08 Malaba-Tororo'!H15,'16.08 Malaba-Tororo-24h'!H15,'17.08 Malaba-Tororo-24h'!H15,'18.08 Malaba-Tororo'!H15)</f>
        <v>0.2857142857142857</v>
      </c>
      <c r="I15" s="49">
        <f>AVERAGE('12.08 Malaba-Tororo'!I15,'13.08 Malaba-Tororo'!I15,'14.08 Malaba-Tororo'!I15,'15.08 Malaba-Tororo'!I15,'16.08 Malaba-Tororo-24h'!I15,'17.08 Malaba-Tororo-24h'!I15,'18.08 Malaba-Tororo'!I15)</f>
        <v>0.5714285714285714</v>
      </c>
      <c r="J15" s="49">
        <f>AVERAGE('12.08 Malaba-Tororo'!J15,'13.08 Malaba-Tororo'!J15,'14.08 Malaba-Tororo'!J15,'15.08 Malaba-Tororo'!J15,'16.08 Malaba-Tororo-24h'!J15,'17.08 Malaba-Tororo-24h'!J15,'18.08 Malaba-Tororo'!J15)</f>
        <v>0.14285714285714285</v>
      </c>
      <c r="K15" s="49">
        <f>AVERAGE('12.08 Malaba-Tororo'!K15,'13.08 Malaba-Tororo'!K15,'14.08 Malaba-Tororo'!K15,'15.08 Malaba-Tororo'!K15,'16.08 Malaba-Tororo-24h'!K15,'17.08 Malaba-Tororo-24h'!K15,'18.08 Malaba-Tororo'!K15)</f>
        <v>0</v>
      </c>
      <c r="L15" s="49">
        <f>AVERAGE('12.08 Malaba-Tororo'!L15,'13.08 Malaba-Tororo'!L15,'14.08 Malaba-Tororo'!L15,'15.08 Malaba-Tororo'!L15,'16.08 Malaba-Tororo-24h'!L15,'17.08 Malaba-Tororo-24h'!L15,'18.08 Malaba-Tororo'!L15)</f>
        <v>0</v>
      </c>
      <c r="M15" s="49">
        <f>AVERAGE('12.08 Malaba-Tororo'!M15,'13.08 Malaba-Tororo'!M15,'14.08 Malaba-Tororo'!M15,'15.08 Malaba-Tororo'!M15,'16.08 Malaba-Tororo-24h'!M15,'17.08 Malaba-Tororo-24h'!M15,'18.08 Malaba-Tororo'!M15)</f>
        <v>22.857142857142858</v>
      </c>
      <c r="N15" s="49">
        <f>AVERAGE('12.08 Malaba-Tororo'!N15,'13.08 Malaba-Tororo'!N15,'14.08 Malaba-Tororo'!N15,'15.08 Malaba-Tororo'!N15,'16.08 Malaba-Tororo-24h'!N15,'17.08 Malaba-Tororo-24h'!N15,'18.08 Malaba-Tororo'!N15)</f>
        <v>0</v>
      </c>
      <c r="O15" s="15">
        <f t="shared" si="0"/>
        <v>6.8571428571428577</v>
      </c>
      <c r="P15" s="15">
        <f t="shared" si="1"/>
        <v>29.714285714285715</v>
      </c>
      <c r="R15" s="1" t="s">
        <v>11</v>
      </c>
      <c r="S15" s="17">
        <f t="shared" ref="S15:AF15" si="7">SUM(C30:C33)</f>
        <v>11.857142857142858</v>
      </c>
      <c r="T15" s="17">
        <f t="shared" si="7"/>
        <v>1.2857142857142856</v>
      </c>
      <c r="U15" s="17">
        <f t="shared" si="7"/>
        <v>9.8571428571428577</v>
      </c>
      <c r="V15" s="17">
        <f t="shared" si="7"/>
        <v>10</v>
      </c>
      <c r="W15" s="17">
        <f t="shared" si="7"/>
        <v>0.14285714285714285</v>
      </c>
      <c r="X15" s="17">
        <f t="shared" si="7"/>
        <v>0.42857142857142855</v>
      </c>
      <c r="Y15" s="17">
        <f t="shared" si="7"/>
        <v>6.2857142857142856</v>
      </c>
      <c r="Z15" s="17">
        <f t="shared" si="7"/>
        <v>0.71428571428571419</v>
      </c>
      <c r="AA15" s="17">
        <f t="shared" si="7"/>
        <v>0.2857142857142857</v>
      </c>
      <c r="AB15" s="17">
        <f t="shared" si="7"/>
        <v>0</v>
      </c>
      <c r="AC15" s="17">
        <f t="shared" si="7"/>
        <v>109.42857142857143</v>
      </c>
      <c r="AD15" s="17">
        <f t="shared" si="7"/>
        <v>0.2857142857142857</v>
      </c>
      <c r="AE15" s="31">
        <f t="shared" si="7"/>
        <v>41.142857142857139</v>
      </c>
      <c r="AF15" s="31">
        <f t="shared" si="7"/>
        <v>150.57142857142856</v>
      </c>
    </row>
    <row r="16" spans="2:32" ht="23.1" customHeight="1" x14ac:dyDescent="0.25">
      <c r="B16" s="23" t="s">
        <v>43</v>
      </c>
      <c r="C16" s="49">
        <f>AVERAGE('12.08 Malaba-Tororo'!C16,'13.08 Malaba-Tororo'!C16,'14.08 Malaba-Tororo'!C16,'15.08 Malaba-Tororo'!C16,'16.08 Malaba-Tororo-24h'!C16,'17.08 Malaba-Tororo-24h'!C16,'18.08 Malaba-Tororo'!C16)</f>
        <v>1.2857142857142858</v>
      </c>
      <c r="D16" s="49">
        <f>AVERAGE('12.08 Malaba-Tororo'!D16,'13.08 Malaba-Tororo'!D16,'14.08 Malaba-Tororo'!D16,'15.08 Malaba-Tororo'!D16,'16.08 Malaba-Tororo-24h'!D16,'17.08 Malaba-Tororo-24h'!D16,'18.08 Malaba-Tororo'!D16)</f>
        <v>0</v>
      </c>
      <c r="E16" s="49">
        <f>AVERAGE('12.08 Malaba-Tororo'!E16,'13.08 Malaba-Tororo'!E16,'14.08 Malaba-Tororo'!E16,'15.08 Malaba-Tororo'!E16,'16.08 Malaba-Tororo-24h'!E16,'17.08 Malaba-Tororo-24h'!E16,'18.08 Malaba-Tororo'!E16)</f>
        <v>1.2857142857142858</v>
      </c>
      <c r="F16" s="49">
        <f>AVERAGE('12.08 Malaba-Tororo'!F16,'13.08 Malaba-Tororo'!F16,'14.08 Malaba-Tororo'!F16,'15.08 Malaba-Tororo'!F16,'16.08 Malaba-Tororo-24h'!F16,'17.08 Malaba-Tororo-24h'!F16,'18.08 Malaba-Tororo'!F16)</f>
        <v>1.1428571428571428</v>
      </c>
      <c r="G16" s="49">
        <f>AVERAGE('12.08 Malaba-Tororo'!G16,'13.08 Malaba-Tororo'!G16,'14.08 Malaba-Tororo'!G16,'15.08 Malaba-Tororo'!G16,'16.08 Malaba-Tororo-24h'!G16,'17.08 Malaba-Tororo-24h'!G16,'18.08 Malaba-Tororo'!G16)</f>
        <v>0</v>
      </c>
      <c r="H16" s="49">
        <f>AVERAGE('12.08 Malaba-Tororo'!H16,'13.08 Malaba-Tororo'!H16,'14.08 Malaba-Tororo'!H16,'15.08 Malaba-Tororo'!H16,'16.08 Malaba-Tororo-24h'!H16,'17.08 Malaba-Tororo-24h'!H16,'18.08 Malaba-Tororo'!H16)</f>
        <v>0.2857142857142857</v>
      </c>
      <c r="I16" s="49">
        <f>AVERAGE('12.08 Malaba-Tororo'!I16,'13.08 Malaba-Tororo'!I16,'14.08 Malaba-Tororo'!I16,'15.08 Malaba-Tororo'!I16,'16.08 Malaba-Tororo-24h'!I16,'17.08 Malaba-Tororo-24h'!I16,'18.08 Malaba-Tororo'!I16)</f>
        <v>0.42857142857142855</v>
      </c>
      <c r="J16" s="49">
        <f>AVERAGE('12.08 Malaba-Tororo'!J16,'13.08 Malaba-Tororo'!J16,'14.08 Malaba-Tororo'!J16,'15.08 Malaba-Tororo'!J16,'16.08 Malaba-Tororo-24h'!J16,'17.08 Malaba-Tororo-24h'!J16,'18.08 Malaba-Tororo'!J16)</f>
        <v>0</v>
      </c>
      <c r="K16" s="49">
        <f>AVERAGE('12.08 Malaba-Tororo'!K16,'13.08 Malaba-Tororo'!K16,'14.08 Malaba-Tororo'!K16,'15.08 Malaba-Tororo'!K16,'16.08 Malaba-Tororo-24h'!K16,'17.08 Malaba-Tororo-24h'!K16,'18.08 Malaba-Tororo'!K16)</f>
        <v>0</v>
      </c>
      <c r="L16" s="49">
        <f>AVERAGE('12.08 Malaba-Tororo'!L16,'13.08 Malaba-Tororo'!L16,'14.08 Malaba-Tororo'!L16,'15.08 Malaba-Tororo'!L16,'16.08 Malaba-Tororo-24h'!L16,'17.08 Malaba-Tororo-24h'!L16,'18.08 Malaba-Tororo'!L16)</f>
        <v>0</v>
      </c>
      <c r="M16" s="49">
        <f>AVERAGE('12.08 Malaba-Tororo'!M16,'13.08 Malaba-Tororo'!M16,'14.08 Malaba-Tororo'!M16,'15.08 Malaba-Tororo'!M16,'16.08 Malaba-Tororo-24h'!M16,'17.08 Malaba-Tororo-24h'!M16,'18.08 Malaba-Tororo'!M16)</f>
        <v>27.285714285714285</v>
      </c>
      <c r="N16" s="49">
        <f>AVERAGE('12.08 Malaba-Tororo'!N16,'13.08 Malaba-Tororo'!N16,'14.08 Malaba-Tororo'!N16,'15.08 Malaba-Tororo'!N16,'16.08 Malaba-Tororo-24h'!N16,'17.08 Malaba-Tororo-24h'!N16,'18.08 Malaba-Tororo'!N16)</f>
        <v>0</v>
      </c>
      <c r="O16" s="15">
        <f t="shared" si="0"/>
        <v>4.4285714285714288</v>
      </c>
      <c r="P16" s="15">
        <f t="shared" si="1"/>
        <v>31.714285714285715</v>
      </c>
      <c r="R16" s="1" t="s">
        <v>12</v>
      </c>
      <c r="S16" s="17">
        <f t="shared" ref="S16:AF16" si="8">SUM(C34:C37)</f>
        <v>14.571428571428571</v>
      </c>
      <c r="T16" s="17">
        <f t="shared" si="8"/>
        <v>1.2857142857142856</v>
      </c>
      <c r="U16" s="17">
        <f t="shared" si="8"/>
        <v>12.714285714285715</v>
      </c>
      <c r="V16" s="17">
        <f t="shared" si="8"/>
        <v>10.714285714285715</v>
      </c>
      <c r="W16" s="17">
        <f t="shared" si="8"/>
        <v>0.5714285714285714</v>
      </c>
      <c r="X16" s="17">
        <f t="shared" si="8"/>
        <v>0</v>
      </c>
      <c r="Y16" s="17">
        <f t="shared" si="8"/>
        <v>4.2857142857142856</v>
      </c>
      <c r="Z16" s="17">
        <f t="shared" si="8"/>
        <v>1.1428571428571428</v>
      </c>
      <c r="AA16" s="17">
        <f t="shared" si="8"/>
        <v>1</v>
      </c>
      <c r="AB16" s="17">
        <f t="shared" si="8"/>
        <v>0</v>
      </c>
      <c r="AC16" s="17">
        <f t="shared" si="8"/>
        <v>103.28571428571429</v>
      </c>
      <c r="AD16" s="17">
        <f t="shared" si="8"/>
        <v>0</v>
      </c>
      <c r="AE16" s="31">
        <f t="shared" si="8"/>
        <v>46.285714285714292</v>
      </c>
      <c r="AF16" s="31">
        <f t="shared" si="8"/>
        <v>149.57142857142858</v>
      </c>
    </row>
    <row r="17" spans="2:32" ht="23.1" customHeight="1" x14ac:dyDescent="0.25">
      <c r="B17" s="23" t="s">
        <v>44</v>
      </c>
      <c r="C17" s="49">
        <f>AVERAGE('12.08 Malaba-Tororo'!C17,'13.08 Malaba-Tororo'!C17,'14.08 Malaba-Tororo'!C17,'15.08 Malaba-Tororo'!C17,'16.08 Malaba-Tororo-24h'!C17,'17.08 Malaba-Tororo-24h'!C17,'18.08 Malaba-Tororo'!C17)</f>
        <v>1.1428571428571428</v>
      </c>
      <c r="D17" s="49">
        <f>AVERAGE('12.08 Malaba-Tororo'!D17,'13.08 Malaba-Tororo'!D17,'14.08 Malaba-Tororo'!D17,'15.08 Malaba-Tororo'!D17,'16.08 Malaba-Tororo-24h'!D17,'17.08 Malaba-Tororo-24h'!D17,'18.08 Malaba-Tororo'!D17)</f>
        <v>0</v>
      </c>
      <c r="E17" s="49">
        <f>AVERAGE('12.08 Malaba-Tororo'!E17,'13.08 Malaba-Tororo'!E17,'14.08 Malaba-Tororo'!E17,'15.08 Malaba-Tororo'!E17,'16.08 Malaba-Tororo-24h'!E17,'17.08 Malaba-Tororo-24h'!E17,'18.08 Malaba-Tororo'!E17)</f>
        <v>1.4285714285714286</v>
      </c>
      <c r="F17" s="49">
        <f>AVERAGE('12.08 Malaba-Tororo'!F17,'13.08 Malaba-Tororo'!F17,'14.08 Malaba-Tororo'!F17,'15.08 Malaba-Tororo'!F17,'16.08 Malaba-Tororo-24h'!F17,'17.08 Malaba-Tororo-24h'!F17,'18.08 Malaba-Tororo'!F17)</f>
        <v>2.5714285714285716</v>
      </c>
      <c r="G17" s="49">
        <f>AVERAGE('12.08 Malaba-Tororo'!G17,'13.08 Malaba-Tororo'!G17,'14.08 Malaba-Tororo'!G17,'15.08 Malaba-Tororo'!G17,'16.08 Malaba-Tororo-24h'!G17,'17.08 Malaba-Tororo-24h'!G17,'18.08 Malaba-Tororo'!G17)</f>
        <v>0</v>
      </c>
      <c r="H17" s="49">
        <f>AVERAGE('12.08 Malaba-Tororo'!H17,'13.08 Malaba-Tororo'!H17,'14.08 Malaba-Tororo'!H17,'15.08 Malaba-Tororo'!H17,'16.08 Malaba-Tororo-24h'!H17,'17.08 Malaba-Tororo-24h'!H17,'18.08 Malaba-Tororo'!H17)</f>
        <v>0.14285714285714285</v>
      </c>
      <c r="I17" s="49">
        <f>AVERAGE('12.08 Malaba-Tororo'!I17,'13.08 Malaba-Tororo'!I17,'14.08 Malaba-Tororo'!I17,'15.08 Malaba-Tororo'!I17,'16.08 Malaba-Tororo-24h'!I17,'17.08 Malaba-Tororo-24h'!I17,'18.08 Malaba-Tororo'!I17)</f>
        <v>0.42857142857142855</v>
      </c>
      <c r="J17" s="49">
        <f>AVERAGE('12.08 Malaba-Tororo'!J17,'13.08 Malaba-Tororo'!J17,'14.08 Malaba-Tororo'!J17,'15.08 Malaba-Tororo'!J17,'16.08 Malaba-Tororo-24h'!J17,'17.08 Malaba-Tororo-24h'!J17,'18.08 Malaba-Tororo'!J17)</f>
        <v>0</v>
      </c>
      <c r="K17" s="49">
        <f>AVERAGE('12.08 Malaba-Tororo'!K17,'13.08 Malaba-Tororo'!K17,'14.08 Malaba-Tororo'!K17,'15.08 Malaba-Tororo'!K17,'16.08 Malaba-Tororo-24h'!K17,'17.08 Malaba-Tororo-24h'!K17,'18.08 Malaba-Tororo'!K17)</f>
        <v>0</v>
      </c>
      <c r="L17" s="49">
        <f>AVERAGE('12.08 Malaba-Tororo'!L17,'13.08 Malaba-Tororo'!L17,'14.08 Malaba-Tororo'!L17,'15.08 Malaba-Tororo'!L17,'16.08 Malaba-Tororo-24h'!L17,'17.08 Malaba-Tororo-24h'!L17,'18.08 Malaba-Tororo'!L17)</f>
        <v>0</v>
      </c>
      <c r="M17" s="49">
        <f>AVERAGE('12.08 Malaba-Tororo'!M17,'13.08 Malaba-Tororo'!M17,'14.08 Malaba-Tororo'!M17,'15.08 Malaba-Tororo'!M17,'16.08 Malaba-Tororo-24h'!M17,'17.08 Malaba-Tororo-24h'!M17,'18.08 Malaba-Tororo'!M17)</f>
        <v>27.714285714285715</v>
      </c>
      <c r="N17" s="49">
        <f>AVERAGE('12.08 Malaba-Tororo'!N17,'13.08 Malaba-Tororo'!N17,'14.08 Malaba-Tororo'!N17,'15.08 Malaba-Tororo'!N17,'16.08 Malaba-Tororo-24h'!N17,'17.08 Malaba-Tororo-24h'!N17,'18.08 Malaba-Tororo'!N17)</f>
        <v>0</v>
      </c>
      <c r="O17" s="15">
        <f t="shared" si="0"/>
        <v>5.7142857142857144</v>
      </c>
      <c r="P17" s="15">
        <f t="shared" si="1"/>
        <v>33.428571428571431</v>
      </c>
      <c r="R17" s="1" t="s">
        <v>13</v>
      </c>
      <c r="S17" s="17">
        <f t="shared" ref="S17:AF17" si="9">SUM(C38:C41)</f>
        <v>9.1428571428571423</v>
      </c>
      <c r="T17" s="17">
        <f t="shared" si="9"/>
        <v>1.2857142857142856</v>
      </c>
      <c r="U17" s="17">
        <f t="shared" si="9"/>
        <v>10.571428571428571</v>
      </c>
      <c r="V17" s="17">
        <f t="shared" si="9"/>
        <v>9.4285714285714288</v>
      </c>
      <c r="W17" s="17">
        <f t="shared" si="9"/>
        <v>1.1428571428571428</v>
      </c>
      <c r="X17" s="17">
        <f t="shared" si="9"/>
        <v>0</v>
      </c>
      <c r="Y17" s="17">
        <f t="shared" si="9"/>
        <v>4.1428571428571432</v>
      </c>
      <c r="Z17" s="17">
        <f t="shared" si="9"/>
        <v>2.1428571428571423</v>
      </c>
      <c r="AA17" s="17">
        <f t="shared" si="9"/>
        <v>0.14285714285714285</v>
      </c>
      <c r="AB17" s="17">
        <f t="shared" si="9"/>
        <v>0</v>
      </c>
      <c r="AC17" s="17">
        <f t="shared" si="9"/>
        <v>87.714285714285722</v>
      </c>
      <c r="AD17" s="17">
        <f t="shared" si="9"/>
        <v>0</v>
      </c>
      <c r="AE17" s="31">
        <f t="shared" si="9"/>
        <v>38</v>
      </c>
      <c r="AF17" s="31">
        <f t="shared" si="9"/>
        <v>125.71428571428569</v>
      </c>
    </row>
    <row r="18" spans="2:32" ht="23.1" customHeight="1" x14ac:dyDescent="0.25">
      <c r="B18" s="23" t="s">
        <v>45</v>
      </c>
      <c r="C18" s="49">
        <f>AVERAGE('12.08 Malaba-Tororo'!C18,'13.08 Malaba-Tororo'!C18,'14.08 Malaba-Tororo'!C18,'15.08 Malaba-Tororo'!C18,'16.08 Malaba-Tororo-24h'!C18,'17.08 Malaba-Tororo-24h'!C18,'18.08 Malaba-Tororo'!C18)</f>
        <v>3.2857142857142856</v>
      </c>
      <c r="D18" s="49">
        <f>AVERAGE('12.08 Malaba-Tororo'!D18,'13.08 Malaba-Tororo'!D18,'14.08 Malaba-Tororo'!D18,'15.08 Malaba-Tororo'!D18,'16.08 Malaba-Tororo-24h'!D18,'17.08 Malaba-Tororo-24h'!D18,'18.08 Malaba-Tororo'!D18)</f>
        <v>0</v>
      </c>
      <c r="E18" s="49">
        <f>AVERAGE('12.08 Malaba-Tororo'!E18,'13.08 Malaba-Tororo'!E18,'14.08 Malaba-Tororo'!E18,'15.08 Malaba-Tororo'!E18,'16.08 Malaba-Tororo-24h'!E18,'17.08 Malaba-Tororo-24h'!E18,'18.08 Malaba-Tororo'!E18)</f>
        <v>1.4285714285714286</v>
      </c>
      <c r="F18" s="49">
        <f>AVERAGE('12.08 Malaba-Tororo'!F18,'13.08 Malaba-Tororo'!F18,'14.08 Malaba-Tororo'!F18,'15.08 Malaba-Tororo'!F18,'16.08 Malaba-Tororo-24h'!F18,'17.08 Malaba-Tororo-24h'!F18,'18.08 Malaba-Tororo'!F18)</f>
        <v>1.7142857142857142</v>
      </c>
      <c r="G18" s="49">
        <f>AVERAGE('12.08 Malaba-Tororo'!G18,'13.08 Malaba-Tororo'!G18,'14.08 Malaba-Tororo'!G18,'15.08 Malaba-Tororo'!G18,'16.08 Malaba-Tororo-24h'!G18,'17.08 Malaba-Tororo-24h'!G18,'18.08 Malaba-Tororo'!G18)</f>
        <v>0</v>
      </c>
      <c r="H18" s="49">
        <f>AVERAGE('12.08 Malaba-Tororo'!H18,'13.08 Malaba-Tororo'!H18,'14.08 Malaba-Tororo'!H18,'15.08 Malaba-Tororo'!H18,'16.08 Malaba-Tororo-24h'!H18,'17.08 Malaba-Tororo-24h'!H18,'18.08 Malaba-Tororo'!H18)</f>
        <v>0.2857142857142857</v>
      </c>
      <c r="I18" s="49">
        <f>AVERAGE('12.08 Malaba-Tororo'!I18,'13.08 Malaba-Tororo'!I18,'14.08 Malaba-Tororo'!I18,'15.08 Malaba-Tororo'!I18,'16.08 Malaba-Tororo-24h'!I18,'17.08 Malaba-Tororo-24h'!I18,'18.08 Malaba-Tororo'!I18)</f>
        <v>0</v>
      </c>
      <c r="J18" s="49">
        <f>AVERAGE('12.08 Malaba-Tororo'!J18,'13.08 Malaba-Tororo'!J18,'14.08 Malaba-Tororo'!J18,'15.08 Malaba-Tororo'!J18,'16.08 Malaba-Tororo-24h'!J18,'17.08 Malaba-Tororo-24h'!J18,'18.08 Malaba-Tororo'!J18)</f>
        <v>0</v>
      </c>
      <c r="K18" s="49">
        <f>AVERAGE('12.08 Malaba-Tororo'!K18,'13.08 Malaba-Tororo'!K18,'14.08 Malaba-Tororo'!K18,'15.08 Malaba-Tororo'!K18,'16.08 Malaba-Tororo-24h'!K18,'17.08 Malaba-Tororo-24h'!K18,'18.08 Malaba-Tororo'!K18)</f>
        <v>0</v>
      </c>
      <c r="L18" s="49">
        <f>AVERAGE('12.08 Malaba-Tororo'!L18,'13.08 Malaba-Tororo'!L18,'14.08 Malaba-Tororo'!L18,'15.08 Malaba-Tororo'!L18,'16.08 Malaba-Tororo-24h'!L18,'17.08 Malaba-Tororo-24h'!L18,'18.08 Malaba-Tororo'!L18)</f>
        <v>0</v>
      </c>
      <c r="M18" s="49">
        <f>AVERAGE('12.08 Malaba-Tororo'!M18,'13.08 Malaba-Tororo'!M18,'14.08 Malaba-Tororo'!M18,'15.08 Malaba-Tororo'!M18,'16.08 Malaba-Tororo-24h'!M18,'17.08 Malaba-Tororo-24h'!M18,'18.08 Malaba-Tororo'!M18)</f>
        <v>25.428571428571427</v>
      </c>
      <c r="N18" s="49">
        <f>AVERAGE('12.08 Malaba-Tororo'!N18,'13.08 Malaba-Tororo'!N18,'14.08 Malaba-Tororo'!N18,'15.08 Malaba-Tororo'!N18,'16.08 Malaba-Tororo-24h'!N18,'17.08 Malaba-Tororo-24h'!N18,'18.08 Malaba-Tororo'!N18)</f>
        <v>0</v>
      </c>
      <c r="O18" s="15">
        <f t="shared" si="0"/>
        <v>6.7142857142857144</v>
      </c>
      <c r="P18" s="15">
        <f t="shared" si="1"/>
        <v>32.142857142857139</v>
      </c>
      <c r="R18" s="1" t="s">
        <v>14</v>
      </c>
      <c r="S18" s="17">
        <f t="shared" ref="S18:AF18" si="10">SUM(C42:C45)</f>
        <v>11.857142857142858</v>
      </c>
      <c r="T18" s="17">
        <f t="shared" si="10"/>
        <v>0.99999999999999989</v>
      </c>
      <c r="U18" s="17">
        <f t="shared" si="10"/>
        <v>10.285714285714286</v>
      </c>
      <c r="V18" s="17">
        <f t="shared" si="10"/>
        <v>8</v>
      </c>
      <c r="W18" s="17">
        <f t="shared" si="10"/>
        <v>0.42857142857142855</v>
      </c>
      <c r="X18" s="17">
        <f t="shared" si="10"/>
        <v>0</v>
      </c>
      <c r="Y18" s="17">
        <f t="shared" si="10"/>
        <v>5</v>
      </c>
      <c r="Z18" s="17">
        <f t="shared" si="10"/>
        <v>0.8571428571428571</v>
      </c>
      <c r="AA18" s="17">
        <f t="shared" si="10"/>
        <v>0</v>
      </c>
      <c r="AB18" s="17">
        <f t="shared" si="10"/>
        <v>0</v>
      </c>
      <c r="AC18" s="17">
        <f t="shared" si="10"/>
        <v>95.714285714285722</v>
      </c>
      <c r="AD18" s="17">
        <f t="shared" si="10"/>
        <v>0</v>
      </c>
      <c r="AE18" s="31">
        <f t="shared" si="10"/>
        <v>37.428571428571431</v>
      </c>
      <c r="AF18" s="31">
        <f t="shared" si="10"/>
        <v>133.14285714285714</v>
      </c>
    </row>
    <row r="19" spans="2:32" ht="23.1" customHeight="1" x14ac:dyDescent="0.25">
      <c r="B19" s="23" t="s">
        <v>46</v>
      </c>
      <c r="C19" s="49">
        <f>AVERAGE('12.08 Malaba-Tororo'!C19,'13.08 Malaba-Tororo'!C19,'14.08 Malaba-Tororo'!C19,'15.08 Malaba-Tororo'!C19,'16.08 Malaba-Tororo-24h'!C19,'17.08 Malaba-Tororo-24h'!C19,'18.08 Malaba-Tororo'!C19)</f>
        <v>2.4285714285714284</v>
      </c>
      <c r="D19" s="49">
        <f>AVERAGE('12.08 Malaba-Tororo'!D19,'13.08 Malaba-Tororo'!D19,'14.08 Malaba-Tororo'!D19,'15.08 Malaba-Tororo'!D19,'16.08 Malaba-Tororo-24h'!D19,'17.08 Malaba-Tororo-24h'!D19,'18.08 Malaba-Tororo'!D19)</f>
        <v>0.42857142857142855</v>
      </c>
      <c r="E19" s="49">
        <f>AVERAGE('12.08 Malaba-Tororo'!E19,'13.08 Malaba-Tororo'!E19,'14.08 Malaba-Tororo'!E19,'15.08 Malaba-Tororo'!E19,'16.08 Malaba-Tororo-24h'!E19,'17.08 Malaba-Tororo-24h'!E19,'18.08 Malaba-Tororo'!E19)</f>
        <v>2.4285714285714284</v>
      </c>
      <c r="F19" s="49">
        <f>AVERAGE('12.08 Malaba-Tororo'!F19,'13.08 Malaba-Tororo'!F19,'14.08 Malaba-Tororo'!F19,'15.08 Malaba-Tororo'!F19,'16.08 Malaba-Tororo-24h'!F19,'17.08 Malaba-Tororo-24h'!F19,'18.08 Malaba-Tororo'!F19)</f>
        <v>1.2857142857142858</v>
      </c>
      <c r="G19" s="49">
        <f>AVERAGE('12.08 Malaba-Tororo'!G19,'13.08 Malaba-Tororo'!G19,'14.08 Malaba-Tororo'!G19,'15.08 Malaba-Tororo'!G19,'16.08 Malaba-Tororo-24h'!G19,'17.08 Malaba-Tororo-24h'!G19,'18.08 Malaba-Tororo'!G19)</f>
        <v>0</v>
      </c>
      <c r="H19" s="49">
        <f>AVERAGE('12.08 Malaba-Tororo'!H19,'13.08 Malaba-Tororo'!H19,'14.08 Malaba-Tororo'!H19,'15.08 Malaba-Tororo'!H19,'16.08 Malaba-Tororo-24h'!H19,'17.08 Malaba-Tororo-24h'!H19,'18.08 Malaba-Tororo'!H19)</f>
        <v>0</v>
      </c>
      <c r="I19" s="49">
        <f>AVERAGE('12.08 Malaba-Tororo'!I19,'13.08 Malaba-Tororo'!I19,'14.08 Malaba-Tororo'!I19,'15.08 Malaba-Tororo'!I19,'16.08 Malaba-Tororo-24h'!I19,'17.08 Malaba-Tororo-24h'!I19,'18.08 Malaba-Tororo'!I19)</f>
        <v>0.8571428571428571</v>
      </c>
      <c r="J19" s="49">
        <f>AVERAGE('12.08 Malaba-Tororo'!J19,'13.08 Malaba-Tororo'!J19,'14.08 Malaba-Tororo'!J19,'15.08 Malaba-Tororo'!J19,'16.08 Malaba-Tororo-24h'!J19,'17.08 Malaba-Tororo-24h'!J19,'18.08 Malaba-Tororo'!J19)</f>
        <v>0</v>
      </c>
      <c r="K19" s="49">
        <f>AVERAGE('12.08 Malaba-Tororo'!K19,'13.08 Malaba-Tororo'!K19,'14.08 Malaba-Tororo'!K19,'15.08 Malaba-Tororo'!K19,'16.08 Malaba-Tororo-24h'!K19,'17.08 Malaba-Tororo-24h'!K19,'18.08 Malaba-Tororo'!K19)</f>
        <v>0</v>
      </c>
      <c r="L19" s="49">
        <f>AVERAGE('12.08 Malaba-Tororo'!L19,'13.08 Malaba-Tororo'!L19,'14.08 Malaba-Tororo'!L19,'15.08 Malaba-Tororo'!L19,'16.08 Malaba-Tororo-24h'!L19,'17.08 Malaba-Tororo-24h'!L19,'18.08 Malaba-Tororo'!L19)</f>
        <v>0</v>
      </c>
      <c r="M19" s="49">
        <f>AVERAGE('12.08 Malaba-Tororo'!M19,'13.08 Malaba-Tororo'!M19,'14.08 Malaba-Tororo'!M19,'15.08 Malaba-Tororo'!M19,'16.08 Malaba-Tororo-24h'!M19,'17.08 Malaba-Tororo-24h'!M19,'18.08 Malaba-Tororo'!M19)</f>
        <v>22</v>
      </c>
      <c r="N19" s="49">
        <f>AVERAGE('12.08 Malaba-Tororo'!N19,'13.08 Malaba-Tororo'!N19,'14.08 Malaba-Tororo'!N19,'15.08 Malaba-Tororo'!N19,'16.08 Malaba-Tororo-24h'!N19,'17.08 Malaba-Tororo-24h'!N19,'18.08 Malaba-Tororo'!N19)</f>
        <v>0.14285714285714285</v>
      </c>
      <c r="O19" s="15">
        <f t="shared" si="0"/>
        <v>7.5714285714285703</v>
      </c>
      <c r="P19" s="15">
        <f t="shared" si="1"/>
        <v>29.571428571428569</v>
      </c>
      <c r="R19" s="1" t="s">
        <v>15</v>
      </c>
      <c r="S19" s="17">
        <f t="shared" ref="S19:AF19" si="11">SUM(C46:C49)</f>
        <v>17</v>
      </c>
      <c r="T19" s="17">
        <f t="shared" si="11"/>
        <v>2.4285714285714288</v>
      </c>
      <c r="U19" s="17">
        <f t="shared" si="11"/>
        <v>12.857142857142858</v>
      </c>
      <c r="V19" s="17">
        <f t="shared" si="11"/>
        <v>11.857142857142858</v>
      </c>
      <c r="W19" s="17">
        <f t="shared" si="11"/>
        <v>1.1428571428571428</v>
      </c>
      <c r="X19" s="17">
        <f t="shared" si="11"/>
        <v>0</v>
      </c>
      <c r="Y19" s="17">
        <f t="shared" si="11"/>
        <v>5.8571428571428577</v>
      </c>
      <c r="Z19" s="17">
        <f t="shared" si="11"/>
        <v>1.1428571428571428</v>
      </c>
      <c r="AA19" s="17">
        <f t="shared" si="11"/>
        <v>0</v>
      </c>
      <c r="AB19" s="17">
        <f t="shared" si="11"/>
        <v>0</v>
      </c>
      <c r="AC19" s="17">
        <f t="shared" si="11"/>
        <v>96.428571428571431</v>
      </c>
      <c r="AD19" s="17">
        <f t="shared" si="11"/>
        <v>0</v>
      </c>
      <c r="AE19" s="31">
        <f t="shared" si="11"/>
        <v>52.285714285714292</v>
      </c>
      <c r="AF19" s="31">
        <f t="shared" si="11"/>
        <v>148.71428571428572</v>
      </c>
    </row>
    <row r="20" spans="2:32" ht="23.1" customHeight="1" x14ac:dyDescent="0.25">
      <c r="B20" s="23" t="s">
        <v>47</v>
      </c>
      <c r="C20" s="49">
        <f>AVERAGE('12.08 Malaba-Tororo'!C20,'13.08 Malaba-Tororo'!C20,'14.08 Malaba-Tororo'!C20,'15.08 Malaba-Tororo'!C20,'16.08 Malaba-Tororo-24h'!C20,'17.08 Malaba-Tororo-24h'!C20,'18.08 Malaba-Tororo'!C20)</f>
        <v>2.5714285714285716</v>
      </c>
      <c r="D20" s="49">
        <f>AVERAGE('12.08 Malaba-Tororo'!D20,'13.08 Malaba-Tororo'!D20,'14.08 Malaba-Tororo'!D20,'15.08 Malaba-Tororo'!D20,'16.08 Malaba-Tororo-24h'!D20,'17.08 Malaba-Tororo-24h'!D20,'18.08 Malaba-Tororo'!D20)</f>
        <v>0.14285714285714285</v>
      </c>
      <c r="E20" s="49">
        <f>AVERAGE('12.08 Malaba-Tororo'!E20,'13.08 Malaba-Tororo'!E20,'14.08 Malaba-Tororo'!E20,'15.08 Malaba-Tororo'!E20,'16.08 Malaba-Tororo-24h'!E20,'17.08 Malaba-Tororo-24h'!E20,'18.08 Malaba-Tororo'!E20)</f>
        <v>2</v>
      </c>
      <c r="F20" s="49">
        <f>AVERAGE('12.08 Malaba-Tororo'!F20,'13.08 Malaba-Tororo'!F20,'14.08 Malaba-Tororo'!F20,'15.08 Malaba-Tororo'!F20,'16.08 Malaba-Tororo-24h'!F20,'17.08 Malaba-Tororo-24h'!F20,'18.08 Malaba-Tororo'!F20)</f>
        <v>2</v>
      </c>
      <c r="G20" s="49">
        <f>AVERAGE('12.08 Malaba-Tororo'!G20,'13.08 Malaba-Tororo'!G20,'14.08 Malaba-Tororo'!G20,'15.08 Malaba-Tororo'!G20,'16.08 Malaba-Tororo-24h'!G20,'17.08 Malaba-Tororo-24h'!G20,'18.08 Malaba-Tororo'!G20)</f>
        <v>0</v>
      </c>
      <c r="H20" s="49">
        <f>AVERAGE('12.08 Malaba-Tororo'!H20,'13.08 Malaba-Tororo'!H20,'14.08 Malaba-Tororo'!H20,'15.08 Malaba-Tororo'!H20,'16.08 Malaba-Tororo-24h'!H20,'17.08 Malaba-Tororo-24h'!H20,'18.08 Malaba-Tororo'!H20)</f>
        <v>0</v>
      </c>
      <c r="I20" s="49">
        <f>AVERAGE('12.08 Malaba-Tororo'!I20,'13.08 Malaba-Tororo'!I20,'14.08 Malaba-Tororo'!I20,'15.08 Malaba-Tororo'!I20,'16.08 Malaba-Tororo-24h'!I20,'17.08 Malaba-Tororo-24h'!I20,'18.08 Malaba-Tororo'!I20)</f>
        <v>1.5714285714285714</v>
      </c>
      <c r="J20" s="49">
        <f>AVERAGE('12.08 Malaba-Tororo'!J20,'13.08 Malaba-Tororo'!J20,'14.08 Malaba-Tororo'!J20,'15.08 Malaba-Tororo'!J20,'16.08 Malaba-Tororo-24h'!J20,'17.08 Malaba-Tororo-24h'!J20,'18.08 Malaba-Tororo'!J20)</f>
        <v>0.14285714285714285</v>
      </c>
      <c r="K20" s="49">
        <f>AVERAGE('12.08 Malaba-Tororo'!K20,'13.08 Malaba-Tororo'!K20,'14.08 Malaba-Tororo'!K20,'15.08 Malaba-Tororo'!K20,'16.08 Malaba-Tororo-24h'!K20,'17.08 Malaba-Tororo-24h'!K20,'18.08 Malaba-Tororo'!K20)</f>
        <v>0</v>
      </c>
      <c r="L20" s="49">
        <f>AVERAGE('12.08 Malaba-Tororo'!L20,'13.08 Malaba-Tororo'!L20,'14.08 Malaba-Tororo'!L20,'15.08 Malaba-Tororo'!L20,'16.08 Malaba-Tororo-24h'!L20,'17.08 Malaba-Tororo-24h'!L20,'18.08 Malaba-Tororo'!L20)</f>
        <v>0</v>
      </c>
      <c r="M20" s="49">
        <f>AVERAGE('12.08 Malaba-Tororo'!M20,'13.08 Malaba-Tororo'!M20,'14.08 Malaba-Tororo'!M20,'15.08 Malaba-Tororo'!M20,'16.08 Malaba-Tororo-24h'!M20,'17.08 Malaba-Tororo-24h'!M20,'18.08 Malaba-Tororo'!M20)</f>
        <v>30.142857142857142</v>
      </c>
      <c r="N20" s="49">
        <f>AVERAGE('12.08 Malaba-Tororo'!N20,'13.08 Malaba-Tororo'!N20,'14.08 Malaba-Tororo'!N20,'15.08 Malaba-Tororo'!N20,'16.08 Malaba-Tororo-24h'!N20,'17.08 Malaba-Tororo-24h'!N20,'18.08 Malaba-Tororo'!N20)</f>
        <v>0.14285714285714285</v>
      </c>
      <c r="O20" s="15">
        <f t="shared" si="0"/>
        <v>8.5714285714285712</v>
      </c>
      <c r="P20" s="15">
        <f t="shared" si="1"/>
        <v>38.714285714285715</v>
      </c>
      <c r="R20" s="1" t="s">
        <v>16</v>
      </c>
      <c r="S20" s="17">
        <f t="shared" ref="S20:AF20" si="12">SUM(C50:C53)</f>
        <v>10.571428571428571</v>
      </c>
      <c r="T20" s="17">
        <f t="shared" si="12"/>
        <v>2</v>
      </c>
      <c r="U20" s="17">
        <f t="shared" si="12"/>
        <v>13.714285714285715</v>
      </c>
      <c r="V20" s="17">
        <f t="shared" si="12"/>
        <v>13.285714285714286</v>
      </c>
      <c r="W20" s="17">
        <f t="shared" si="12"/>
        <v>0.71428571428571419</v>
      </c>
      <c r="X20" s="17">
        <f t="shared" si="12"/>
        <v>0</v>
      </c>
      <c r="Y20" s="17">
        <f t="shared" si="12"/>
        <v>5.1428571428571423</v>
      </c>
      <c r="Z20" s="17">
        <f t="shared" si="12"/>
        <v>1.2857142857142856</v>
      </c>
      <c r="AA20" s="17">
        <f t="shared" si="12"/>
        <v>0.42857142857142855</v>
      </c>
      <c r="AB20" s="17">
        <f t="shared" si="12"/>
        <v>0</v>
      </c>
      <c r="AC20" s="17">
        <f t="shared" si="12"/>
        <v>84.142857142857139</v>
      </c>
      <c r="AD20" s="17">
        <f t="shared" si="12"/>
        <v>0.42857142857142855</v>
      </c>
      <c r="AE20" s="31">
        <f t="shared" si="12"/>
        <v>47.571428571428569</v>
      </c>
      <c r="AF20" s="31">
        <f t="shared" si="12"/>
        <v>131.71428571428572</v>
      </c>
    </row>
    <row r="21" spans="2:32" ht="23.1" customHeight="1" x14ac:dyDescent="0.25">
      <c r="B21" s="23" t="s">
        <v>48</v>
      </c>
      <c r="C21" s="49">
        <f>AVERAGE('12.08 Malaba-Tororo'!C21,'13.08 Malaba-Tororo'!C21,'14.08 Malaba-Tororo'!C21,'15.08 Malaba-Tororo'!C21,'16.08 Malaba-Tororo-24h'!C21,'17.08 Malaba-Tororo-24h'!C21,'18.08 Malaba-Tororo'!C21)</f>
        <v>1.7142857142857142</v>
      </c>
      <c r="D21" s="49">
        <f>AVERAGE('12.08 Malaba-Tororo'!D21,'13.08 Malaba-Tororo'!D21,'14.08 Malaba-Tororo'!D21,'15.08 Malaba-Tororo'!D21,'16.08 Malaba-Tororo-24h'!D21,'17.08 Malaba-Tororo-24h'!D21,'18.08 Malaba-Tororo'!D21)</f>
        <v>0.5714285714285714</v>
      </c>
      <c r="E21" s="49">
        <f>AVERAGE('12.08 Malaba-Tororo'!E21,'13.08 Malaba-Tororo'!E21,'14.08 Malaba-Tororo'!E21,'15.08 Malaba-Tororo'!E21,'16.08 Malaba-Tororo-24h'!E21,'17.08 Malaba-Tororo-24h'!E21,'18.08 Malaba-Tororo'!E21)</f>
        <v>3.1428571428571428</v>
      </c>
      <c r="F21" s="49">
        <f>AVERAGE('12.08 Malaba-Tororo'!F21,'13.08 Malaba-Tororo'!F21,'14.08 Malaba-Tororo'!F21,'15.08 Malaba-Tororo'!F21,'16.08 Malaba-Tororo-24h'!F21,'17.08 Malaba-Tororo-24h'!F21,'18.08 Malaba-Tororo'!F21)</f>
        <v>1.7142857142857142</v>
      </c>
      <c r="G21" s="49">
        <f>AVERAGE('12.08 Malaba-Tororo'!G21,'13.08 Malaba-Tororo'!G21,'14.08 Malaba-Tororo'!G21,'15.08 Malaba-Tororo'!G21,'16.08 Malaba-Tororo-24h'!G21,'17.08 Malaba-Tororo-24h'!G21,'18.08 Malaba-Tororo'!G21)</f>
        <v>0</v>
      </c>
      <c r="H21" s="49">
        <f>AVERAGE('12.08 Malaba-Tororo'!H21,'13.08 Malaba-Tororo'!H21,'14.08 Malaba-Tororo'!H21,'15.08 Malaba-Tororo'!H21,'16.08 Malaba-Tororo-24h'!H21,'17.08 Malaba-Tororo-24h'!H21,'18.08 Malaba-Tororo'!H21)</f>
        <v>0</v>
      </c>
      <c r="I21" s="49">
        <f>AVERAGE('12.08 Malaba-Tororo'!I21,'13.08 Malaba-Tororo'!I21,'14.08 Malaba-Tororo'!I21,'15.08 Malaba-Tororo'!I21,'16.08 Malaba-Tororo-24h'!I21,'17.08 Malaba-Tororo-24h'!I21,'18.08 Malaba-Tororo'!I21)</f>
        <v>1.7142857142857142</v>
      </c>
      <c r="J21" s="49">
        <f>AVERAGE('12.08 Malaba-Tororo'!J21,'13.08 Malaba-Tororo'!J21,'14.08 Malaba-Tororo'!J21,'15.08 Malaba-Tororo'!J21,'16.08 Malaba-Tororo-24h'!J21,'17.08 Malaba-Tororo-24h'!J21,'18.08 Malaba-Tororo'!J21)</f>
        <v>0</v>
      </c>
      <c r="K21" s="49">
        <f>AVERAGE('12.08 Malaba-Tororo'!K21,'13.08 Malaba-Tororo'!K21,'14.08 Malaba-Tororo'!K21,'15.08 Malaba-Tororo'!K21,'16.08 Malaba-Tororo-24h'!K21,'17.08 Malaba-Tororo-24h'!K21,'18.08 Malaba-Tororo'!K21)</f>
        <v>0</v>
      </c>
      <c r="L21" s="49">
        <f>AVERAGE('12.08 Malaba-Tororo'!L21,'13.08 Malaba-Tororo'!L21,'14.08 Malaba-Tororo'!L21,'15.08 Malaba-Tororo'!L21,'16.08 Malaba-Tororo-24h'!L21,'17.08 Malaba-Tororo-24h'!L21,'18.08 Malaba-Tororo'!L21)</f>
        <v>0</v>
      </c>
      <c r="M21" s="49">
        <f>AVERAGE('12.08 Malaba-Tororo'!M21,'13.08 Malaba-Tororo'!M21,'14.08 Malaba-Tororo'!M21,'15.08 Malaba-Tororo'!M21,'16.08 Malaba-Tororo-24h'!M21,'17.08 Malaba-Tororo-24h'!M21,'18.08 Malaba-Tororo'!M21)</f>
        <v>28</v>
      </c>
      <c r="N21" s="49">
        <f>AVERAGE('12.08 Malaba-Tororo'!N21,'13.08 Malaba-Tororo'!N21,'14.08 Malaba-Tororo'!N21,'15.08 Malaba-Tororo'!N21,'16.08 Malaba-Tororo-24h'!N21,'17.08 Malaba-Tororo-24h'!N21,'18.08 Malaba-Tororo'!N21)</f>
        <v>0</v>
      </c>
      <c r="O21" s="15">
        <f t="shared" si="0"/>
        <v>8.8571428571428577</v>
      </c>
      <c r="P21" s="15">
        <f t="shared" si="1"/>
        <v>36.857142857142861</v>
      </c>
      <c r="R21" s="36" t="s">
        <v>20</v>
      </c>
      <c r="S21" s="34">
        <f t="shared" ref="S21:AF21" si="13">SUM(C54:C57)</f>
        <v>15.857142857142858</v>
      </c>
      <c r="T21" s="17">
        <f t="shared" si="13"/>
        <v>1.5714285714285712</v>
      </c>
      <c r="U21" s="17">
        <f t="shared" si="13"/>
        <v>11.571428571428569</v>
      </c>
      <c r="V21" s="17">
        <f t="shared" si="13"/>
        <v>9.8571428571428559</v>
      </c>
      <c r="W21" s="17">
        <f t="shared" si="13"/>
        <v>0</v>
      </c>
      <c r="X21" s="17">
        <f t="shared" si="13"/>
        <v>0</v>
      </c>
      <c r="Y21" s="17">
        <f t="shared" si="13"/>
        <v>5.1428571428571432</v>
      </c>
      <c r="Z21" s="17">
        <f t="shared" si="13"/>
        <v>1.2857142857142856</v>
      </c>
      <c r="AA21" s="17">
        <f t="shared" si="13"/>
        <v>0</v>
      </c>
      <c r="AB21" s="17">
        <f t="shared" si="13"/>
        <v>0</v>
      </c>
      <c r="AC21" s="17">
        <f t="shared" si="13"/>
        <v>100.28571428571428</v>
      </c>
      <c r="AD21" s="17">
        <f t="shared" si="13"/>
        <v>0.14285714285714285</v>
      </c>
      <c r="AE21" s="31">
        <f t="shared" si="13"/>
        <v>45.428571428571423</v>
      </c>
      <c r="AF21" s="31">
        <f t="shared" si="13"/>
        <v>145.71428571428572</v>
      </c>
    </row>
    <row r="22" spans="2:32" ht="23.1" customHeight="1" x14ac:dyDescent="0.25">
      <c r="B22" s="23" t="s">
        <v>49</v>
      </c>
      <c r="C22" s="49">
        <f>AVERAGE('12.08 Malaba-Tororo'!C22,'13.08 Malaba-Tororo'!C22,'14.08 Malaba-Tororo'!C22,'15.08 Malaba-Tororo'!C22,'16.08 Malaba-Tororo-24h'!C22,'17.08 Malaba-Tororo-24h'!C22,'18.08 Malaba-Tororo'!C22)</f>
        <v>2.7142857142857144</v>
      </c>
      <c r="D22" s="49">
        <f>AVERAGE('12.08 Malaba-Tororo'!D22,'13.08 Malaba-Tororo'!D22,'14.08 Malaba-Tororo'!D22,'15.08 Malaba-Tororo'!D22,'16.08 Malaba-Tororo-24h'!D22,'17.08 Malaba-Tororo-24h'!D22,'18.08 Malaba-Tororo'!D22)</f>
        <v>0.14285714285714285</v>
      </c>
      <c r="E22" s="49">
        <f>AVERAGE('12.08 Malaba-Tororo'!E22,'13.08 Malaba-Tororo'!E22,'14.08 Malaba-Tororo'!E22,'15.08 Malaba-Tororo'!E22,'16.08 Malaba-Tororo-24h'!E22,'17.08 Malaba-Tororo-24h'!E22,'18.08 Malaba-Tororo'!E22)</f>
        <v>1.8571428571428572</v>
      </c>
      <c r="F22" s="49">
        <f>AVERAGE('12.08 Malaba-Tororo'!F22,'13.08 Malaba-Tororo'!F22,'14.08 Malaba-Tororo'!F22,'15.08 Malaba-Tororo'!F22,'16.08 Malaba-Tororo-24h'!F22,'17.08 Malaba-Tororo-24h'!F22,'18.08 Malaba-Tororo'!F22)</f>
        <v>2.2857142857142856</v>
      </c>
      <c r="G22" s="49">
        <f>AVERAGE('12.08 Malaba-Tororo'!G22,'13.08 Malaba-Tororo'!G22,'14.08 Malaba-Tororo'!G22,'15.08 Malaba-Tororo'!G22,'16.08 Malaba-Tororo-24h'!G22,'17.08 Malaba-Tororo-24h'!G22,'18.08 Malaba-Tororo'!G22)</f>
        <v>0</v>
      </c>
      <c r="H22" s="49">
        <f>AVERAGE('12.08 Malaba-Tororo'!H22,'13.08 Malaba-Tororo'!H22,'14.08 Malaba-Tororo'!H22,'15.08 Malaba-Tororo'!H22,'16.08 Malaba-Tororo-24h'!H22,'17.08 Malaba-Tororo-24h'!H22,'18.08 Malaba-Tororo'!H22)</f>
        <v>0</v>
      </c>
      <c r="I22" s="49">
        <f>AVERAGE('12.08 Malaba-Tororo'!I22,'13.08 Malaba-Tororo'!I22,'14.08 Malaba-Tororo'!I22,'15.08 Malaba-Tororo'!I22,'16.08 Malaba-Tororo-24h'!I22,'17.08 Malaba-Tororo-24h'!I22,'18.08 Malaba-Tororo'!I22)</f>
        <v>0.8571428571428571</v>
      </c>
      <c r="J22" s="49">
        <f>AVERAGE('12.08 Malaba-Tororo'!J22,'13.08 Malaba-Tororo'!J22,'14.08 Malaba-Tororo'!J22,'15.08 Malaba-Tororo'!J22,'16.08 Malaba-Tororo-24h'!J22,'17.08 Malaba-Tororo-24h'!J22,'18.08 Malaba-Tororo'!J22)</f>
        <v>0.7142857142857143</v>
      </c>
      <c r="K22" s="49">
        <f>AVERAGE('12.08 Malaba-Tororo'!K22,'13.08 Malaba-Tororo'!K22,'14.08 Malaba-Tororo'!K22,'15.08 Malaba-Tororo'!K22,'16.08 Malaba-Tororo-24h'!K22,'17.08 Malaba-Tororo-24h'!K22,'18.08 Malaba-Tororo'!K22)</f>
        <v>0</v>
      </c>
      <c r="L22" s="49">
        <f>AVERAGE('12.08 Malaba-Tororo'!L22,'13.08 Malaba-Tororo'!L22,'14.08 Malaba-Tororo'!L22,'15.08 Malaba-Tororo'!L22,'16.08 Malaba-Tororo-24h'!L22,'17.08 Malaba-Tororo-24h'!L22,'18.08 Malaba-Tororo'!L22)</f>
        <v>0</v>
      </c>
      <c r="M22" s="49">
        <f>AVERAGE('12.08 Malaba-Tororo'!M22,'13.08 Malaba-Tororo'!M22,'14.08 Malaba-Tororo'!M22,'15.08 Malaba-Tororo'!M22,'16.08 Malaba-Tororo-24h'!M22,'17.08 Malaba-Tororo-24h'!M22,'18.08 Malaba-Tororo'!M22)</f>
        <v>26.857142857142858</v>
      </c>
      <c r="N22" s="49">
        <f>AVERAGE('12.08 Malaba-Tororo'!N22,'13.08 Malaba-Tororo'!N22,'14.08 Malaba-Tororo'!N22,'15.08 Malaba-Tororo'!N22,'16.08 Malaba-Tororo-24h'!N22,'17.08 Malaba-Tororo-24h'!N22,'18.08 Malaba-Tororo'!N22)</f>
        <v>0</v>
      </c>
      <c r="O22" s="15">
        <f t="shared" si="0"/>
        <v>8.5714285714285712</v>
      </c>
      <c r="P22" s="15">
        <f t="shared" si="1"/>
        <v>35.428571428571431</v>
      </c>
      <c r="R22" s="1" t="s">
        <v>146</v>
      </c>
      <c r="S22" s="34">
        <f>SUM(C58:C61)</f>
        <v>13.5</v>
      </c>
      <c r="T22" s="34">
        <f t="shared" ref="T22:AF22" si="14">SUM(D58:D61)</f>
        <v>1.5</v>
      </c>
      <c r="U22" s="34">
        <f t="shared" si="14"/>
        <v>8.5</v>
      </c>
      <c r="V22" s="34">
        <f t="shared" si="14"/>
        <v>5</v>
      </c>
      <c r="W22" s="34">
        <f t="shared" si="14"/>
        <v>1</v>
      </c>
      <c r="X22" s="34">
        <f t="shared" si="14"/>
        <v>0</v>
      </c>
      <c r="Y22" s="34">
        <f t="shared" si="14"/>
        <v>6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66</v>
      </c>
      <c r="AD22" s="34">
        <f t="shared" si="14"/>
        <v>0</v>
      </c>
      <c r="AE22" s="31">
        <f t="shared" si="14"/>
        <v>36.5</v>
      </c>
      <c r="AF22" s="31">
        <f t="shared" si="14"/>
        <v>102.5</v>
      </c>
    </row>
    <row r="23" spans="2:32" ht="23.1" customHeight="1" x14ac:dyDescent="0.25">
      <c r="B23" s="23" t="s">
        <v>50</v>
      </c>
      <c r="C23" s="49">
        <f>AVERAGE('12.08 Malaba-Tororo'!C23,'13.08 Malaba-Tororo'!C23,'14.08 Malaba-Tororo'!C23,'15.08 Malaba-Tororo'!C23,'16.08 Malaba-Tororo-24h'!C23,'17.08 Malaba-Tororo-24h'!C23,'18.08 Malaba-Tororo'!C23)</f>
        <v>3.5714285714285716</v>
      </c>
      <c r="D23" s="49">
        <f>AVERAGE('12.08 Malaba-Tororo'!D23,'13.08 Malaba-Tororo'!D23,'14.08 Malaba-Tororo'!D23,'15.08 Malaba-Tororo'!D23,'16.08 Malaba-Tororo-24h'!D23,'17.08 Malaba-Tororo-24h'!D23,'18.08 Malaba-Tororo'!D23)</f>
        <v>0.14285714285714285</v>
      </c>
      <c r="E23" s="49">
        <f>AVERAGE('12.08 Malaba-Tororo'!E23,'13.08 Malaba-Tororo'!E23,'14.08 Malaba-Tororo'!E23,'15.08 Malaba-Tororo'!E23,'16.08 Malaba-Tororo-24h'!E23,'17.08 Malaba-Tororo-24h'!E23,'18.08 Malaba-Tororo'!E23)</f>
        <v>2.8571428571428572</v>
      </c>
      <c r="F23" s="49">
        <f>AVERAGE('12.08 Malaba-Tororo'!F23,'13.08 Malaba-Tororo'!F23,'14.08 Malaba-Tororo'!F23,'15.08 Malaba-Tororo'!F23,'16.08 Malaba-Tororo-24h'!F23,'17.08 Malaba-Tororo-24h'!F23,'18.08 Malaba-Tororo'!F23)</f>
        <v>2.5714285714285716</v>
      </c>
      <c r="G23" s="49">
        <f>AVERAGE('12.08 Malaba-Tororo'!G23,'13.08 Malaba-Tororo'!G23,'14.08 Malaba-Tororo'!G23,'15.08 Malaba-Tororo'!G23,'16.08 Malaba-Tororo-24h'!G23,'17.08 Malaba-Tororo-24h'!G23,'18.08 Malaba-Tororo'!G23)</f>
        <v>0.14285714285714285</v>
      </c>
      <c r="H23" s="49">
        <f>AVERAGE('12.08 Malaba-Tororo'!H23,'13.08 Malaba-Tororo'!H23,'14.08 Malaba-Tororo'!H23,'15.08 Malaba-Tororo'!H23,'16.08 Malaba-Tororo-24h'!H23,'17.08 Malaba-Tororo-24h'!H23,'18.08 Malaba-Tororo'!H23)</f>
        <v>0</v>
      </c>
      <c r="I23" s="49">
        <f>AVERAGE('12.08 Malaba-Tororo'!I23,'13.08 Malaba-Tororo'!I23,'14.08 Malaba-Tororo'!I23,'15.08 Malaba-Tororo'!I23,'16.08 Malaba-Tororo-24h'!I23,'17.08 Malaba-Tororo-24h'!I23,'18.08 Malaba-Tororo'!I23)</f>
        <v>1</v>
      </c>
      <c r="J23" s="49">
        <f>AVERAGE('12.08 Malaba-Tororo'!J23,'13.08 Malaba-Tororo'!J23,'14.08 Malaba-Tororo'!J23,'15.08 Malaba-Tororo'!J23,'16.08 Malaba-Tororo-24h'!J23,'17.08 Malaba-Tororo-24h'!J23,'18.08 Malaba-Tororo'!J23)</f>
        <v>0</v>
      </c>
      <c r="K23" s="49">
        <f>AVERAGE('12.08 Malaba-Tororo'!K23,'13.08 Malaba-Tororo'!K23,'14.08 Malaba-Tororo'!K23,'15.08 Malaba-Tororo'!K23,'16.08 Malaba-Tororo-24h'!K23,'17.08 Malaba-Tororo-24h'!K23,'18.08 Malaba-Tororo'!K23)</f>
        <v>0.14285714285714285</v>
      </c>
      <c r="L23" s="49">
        <f>AVERAGE('12.08 Malaba-Tororo'!L23,'13.08 Malaba-Tororo'!L23,'14.08 Malaba-Tororo'!L23,'15.08 Malaba-Tororo'!L23,'16.08 Malaba-Tororo-24h'!L23,'17.08 Malaba-Tororo-24h'!L23,'18.08 Malaba-Tororo'!L23)</f>
        <v>0</v>
      </c>
      <c r="M23" s="49">
        <f>AVERAGE('12.08 Malaba-Tororo'!M23,'13.08 Malaba-Tororo'!M23,'14.08 Malaba-Tororo'!M23,'15.08 Malaba-Tororo'!M23,'16.08 Malaba-Tororo-24h'!M23,'17.08 Malaba-Tororo-24h'!M23,'18.08 Malaba-Tororo'!M23)</f>
        <v>27.571428571428573</v>
      </c>
      <c r="N23" s="49">
        <f>AVERAGE('12.08 Malaba-Tororo'!N23,'13.08 Malaba-Tororo'!N23,'14.08 Malaba-Tororo'!N23,'15.08 Malaba-Tororo'!N23,'16.08 Malaba-Tororo-24h'!N23,'17.08 Malaba-Tororo-24h'!N23,'18.08 Malaba-Tororo'!N23)</f>
        <v>0</v>
      </c>
      <c r="O23" s="15">
        <f t="shared" si="0"/>
        <v>10.428571428571427</v>
      </c>
      <c r="P23" s="15">
        <f t="shared" si="1"/>
        <v>38</v>
      </c>
      <c r="R23" s="1" t="s">
        <v>147</v>
      </c>
      <c r="S23" s="34">
        <f>SUM(C62:C65)</f>
        <v>9.5</v>
      </c>
      <c r="T23" s="34">
        <f t="shared" ref="T23:AF23" si="15">SUM(D62:D65)</f>
        <v>1.5</v>
      </c>
      <c r="U23" s="34">
        <f t="shared" si="15"/>
        <v>10.5</v>
      </c>
      <c r="V23" s="34">
        <f t="shared" si="15"/>
        <v>5.5</v>
      </c>
      <c r="W23" s="34">
        <f t="shared" si="15"/>
        <v>0.5</v>
      </c>
      <c r="X23" s="34">
        <f t="shared" si="15"/>
        <v>0</v>
      </c>
      <c r="Y23" s="34">
        <f t="shared" si="15"/>
        <v>6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25</v>
      </c>
      <c r="AD23" s="34">
        <f t="shared" si="15"/>
        <v>0</v>
      </c>
      <c r="AE23" s="31">
        <f t="shared" si="15"/>
        <v>34.5</v>
      </c>
      <c r="AF23" s="31">
        <f t="shared" si="15"/>
        <v>59.5</v>
      </c>
    </row>
    <row r="24" spans="2:32" ht="23.1" customHeight="1" x14ac:dyDescent="0.25">
      <c r="B24" s="23" t="s">
        <v>51</v>
      </c>
      <c r="C24" s="49">
        <f>AVERAGE('12.08 Malaba-Tororo'!C24,'13.08 Malaba-Tororo'!C24,'14.08 Malaba-Tororo'!C24,'15.08 Malaba-Tororo'!C24,'16.08 Malaba-Tororo-24h'!C24,'17.08 Malaba-Tororo-24h'!C24,'18.08 Malaba-Tororo'!C24)</f>
        <v>4.1428571428571432</v>
      </c>
      <c r="D24" s="49">
        <f>AVERAGE('12.08 Malaba-Tororo'!D24,'13.08 Malaba-Tororo'!D24,'14.08 Malaba-Tororo'!D24,'15.08 Malaba-Tororo'!D24,'16.08 Malaba-Tororo-24h'!D24,'17.08 Malaba-Tororo-24h'!D24,'18.08 Malaba-Tororo'!D24)</f>
        <v>0.14285714285714285</v>
      </c>
      <c r="E24" s="49">
        <f>AVERAGE('12.08 Malaba-Tororo'!E24,'13.08 Malaba-Tororo'!E24,'14.08 Malaba-Tororo'!E24,'15.08 Malaba-Tororo'!E24,'16.08 Malaba-Tororo-24h'!E24,'17.08 Malaba-Tororo-24h'!E24,'18.08 Malaba-Tororo'!E24)</f>
        <v>2.4285714285714284</v>
      </c>
      <c r="F24" s="49">
        <f>AVERAGE('12.08 Malaba-Tororo'!F24,'13.08 Malaba-Tororo'!F24,'14.08 Malaba-Tororo'!F24,'15.08 Malaba-Tororo'!F24,'16.08 Malaba-Tororo-24h'!F24,'17.08 Malaba-Tororo-24h'!F24,'18.08 Malaba-Tororo'!F24)</f>
        <v>2</v>
      </c>
      <c r="G24" s="49">
        <f>AVERAGE('12.08 Malaba-Tororo'!G24,'13.08 Malaba-Tororo'!G24,'14.08 Malaba-Tororo'!G24,'15.08 Malaba-Tororo'!G24,'16.08 Malaba-Tororo-24h'!G24,'17.08 Malaba-Tororo-24h'!G24,'18.08 Malaba-Tororo'!G24)</f>
        <v>0.2857142857142857</v>
      </c>
      <c r="H24" s="49">
        <f>AVERAGE('12.08 Malaba-Tororo'!H24,'13.08 Malaba-Tororo'!H24,'14.08 Malaba-Tororo'!H24,'15.08 Malaba-Tororo'!H24,'16.08 Malaba-Tororo-24h'!H24,'17.08 Malaba-Tororo-24h'!H24,'18.08 Malaba-Tororo'!H24)</f>
        <v>0.14285714285714285</v>
      </c>
      <c r="I24" s="49">
        <f>AVERAGE('12.08 Malaba-Tororo'!I24,'13.08 Malaba-Tororo'!I24,'14.08 Malaba-Tororo'!I24,'15.08 Malaba-Tororo'!I24,'16.08 Malaba-Tororo-24h'!I24,'17.08 Malaba-Tororo-24h'!I24,'18.08 Malaba-Tororo'!I24)</f>
        <v>1.2857142857142858</v>
      </c>
      <c r="J24" s="49">
        <f>AVERAGE('12.08 Malaba-Tororo'!J24,'13.08 Malaba-Tororo'!J24,'14.08 Malaba-Tororo'!J24,'15.08 Malaba-Tororo'!J24,'16.08 Malaba-Tororo-24h'!J24,'17.08 Malaba-Tororo-24h'!J24,'18.08 Malaba-Tororo'!J24)</f>
        <v>3.8571428571428572</v>
      </c>
      <c r="K24" s="49">
        <f>AVERAGE('12.08 Malaba-Tororo'!K24,'13.08 Malaba-Tororo'!K24,'14.08 Malaba-Tororo'!K24,'15.08 Malaba-Tororo'!K24,'16.08 Malaba-Tororo-24h'!K24,'17.08 Malaba-Tororo-24h'!K24,'18.08 Malaba-Tororo'!K24)</f>
        <v>0.2857142857142857</v>
      </c>
      <c r="L24" s="49">
        <f>AVERAGE('12.08 Malaba-Tororo'!L24,'13.08 Malaba-Tororo'!L24,'14.08 Malaba-Tororo'!L24,'15.08 Malaba-Tororo'!L24,'16.08 Malaba-Tororo-24h'!L24,'17.08 Malaba-Tororo-24h'!L24,'18.08 Malaba-Tororo'!L24)</f>
        <v>0</v>
      </c>
      <c r="M24" s="49">
        <f>AVERAGE('12.08 Malaba-Tororo'!M24,'13.08 Malaba-Tororo'!M24,'14.08 Malaba-Tororo'!M24,'15.08 Malaba-Tororo'!M24,'16.08 Malaba-Tororo-24h'!M24,'17.08 Malaba-Tororo-24h'!M24,'18.08 Malaba-Tororo'!M24)</f>
        <v>28.714285714285715</v>
      </c>
      <c r="N24" s="49">
        <f>AVERAGE('12.08 Malaba-Tororo'!N24,'13.08 Malaba-Tororo'!N24,'14.08 Malaba-Tororo'!N24,'15.08 Malaba-Tororo'!N24,'16.08 Malaba-Tororo-24h'!N24,'17.08 Malaba-Tororo-24h'!N24,'18.08 Malaba-Tororo'!N24)</f>
        <v>0</v>
      </c>
      <c r="O24" s="15">
        <f t="shared" si="0"/>
        <v>14.571428571428575</v>
      </c>
      <c r="P24" s="15">
        <f t="shared" si="1"/>
        <v>43.285714285714292</v>
      </c>
      <c r="R24" s="1" t="s">
        <v>148</v>
      </c>
      <c r="S24" s="34">
        <f>SUM(C66:C69)</f>
        <v>7</v>
      </c>
      <c r="T24" s="34">
        <f t="shared" ref="T24:AF24" si="16">SUM(D66:D69)</f>
        <v>0</v>
      </c>
      <c r="U24" s="34">
        <f t="shared" si="16"/>
        <v>6.5</v>
      </c>
      <c r="V24" s="34">
        <f t="shared" si="16"/>
        <v>3.5</v>
      </c>
      <c r="W24" s="34">
        <f t="shared" si="16"/>
        <v>0</v>
      </c>
      <c r="X24" s="34">
        <f t="shared" si="16"/>
        <v>0</v>
      </c>
      <c r="Y24" s="34">
        <f t="shared" si="16"/>
        <v>4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26.5</v>
      </c>
      <c r="AD24" s="34">
        <f t="shared" si="16"/>
        <v>0</v>
      </c>
      <c r="AE24" s="31">
        <f t="shared" si="16"/>
        <v>21</v>
      </c>
      <c r="AF24" s="31">
        <f t="shared" si="16"/>
        <v>47.5</v>
      </c>
    </row>
    <row r="25" spans="2:32" ht="23.1" customHeight="1" x14ac:dyDescent="0.25">
      <c r="B25" s="23" t="s">
        <v>52</v>
      </c>
      <c r="C25" s="49">
        <f>AVERAGE('12.08 Malaba-Tororo'!C25,'13.08 Malaba-Tororo'!C25,'14.08 Malaba-Tororo'!C25,'15.08 Malaba-Tororo'!C25,'16.08 Malaba-Tororo-24h'!C25,'17.08 Malaba-Tororo-24h'!C25,'18.08 Malaba-Tororo'!C25)</f>
        <v>3.5714285714285716</v>
      </c>
      <c r="D25" s="49">
        <f>AVERAGE('12.08 Malaba-Tororo'!D25,'13.08 Malaba-Tororo'!D25,'14.08 Malaba-Tororo'!D25,'15.08 Malaba-Tororo'!D25,'16.08 Malaba-Tororo-24h'!D25,'17.08 Malaba-Tororo-24h'!D25,'18.08 Malaba-Tororo'!D25)</f>
        <v>0.42857142857142855</v>
      </c>
      <c r="E25" s="49">
        <f>AVERAGE('12.08 Malaba-Tororo'!E25,'13.08 Malaba-Tororo'!E25,'14.08 Malaba-Tororo'!E25,'15.08 Malaba-Tororo'!E25,'16.08 Malaba-Tororo-24h'!E25,'17.08 Malaba-Tororo-24h'!E25,'18.08 Malaba-Tororo'!E25)</f>
        <v>3.1428571428571428</v>
      </c>
      <c r="F25" s="49">
        <f>AVERAGE('12.08 Malaba-Tororo'!F25,'13.08 Malaba-Tororo'!F25,'14.08 Malaba-Tororo'!F25,'15.08 Malaba-Tororo'!F25,'16.08 Malaba-Tororo-24h'!F25,'17.08 Malaba-Tororo-24h'!F25,'18.08 Malaba-Tororo'!F25)</f>
        <v>2</v>
      </c>
      <c r="G25" s="49">
        <f>AVERAGE('12.08 Malaba-Tororo'!G25,'13.08 Malaba-Tororo'!G25,'14.08 Malaba-Tororo'!G25,'15.08 Malaba-Tororo'!G25,'16.08 Malaba-Tororo-24h'!G25,'17.08 Malaba-Tororo-24h'!G25,'18.08 Malaba-Tororo'!G25)</f>
        <v>0.2857142857142857</v>
      </c>
      <c r="H25" s="49">
        <f>AVERAGE('12.08 Malaba-Tororo'!H25,'13.08 Malaba-Tororo'!H25,'14.08 Malaba-Tororo'!H25,'15.08 Malaba-Tororo'!H25,'16.08 Malaba-Tororo-24h'!H25,'17.08 Malaba-Tororo-24h'!H25,'18.08 Malaba-Tororo'!H25)</f>
        <v>0</v>
      </c>
      <c r="I25" s="49">
        <f>AVERAGE('12.08 Malaba-Tororo'!I25,'13.08 Malaba-Tororo'!I25,'14.08 Malaba-Tororo'!I25,'15.08 Malaba-Tororo'!I25,'16.08 Malaba-Tororo-24h'!I25,'17.08 Malaba-Tororo-24h'!I25,'18.08 Malaba-Tororo'!I25)</f>
        <v>1.1428571428571428</v>
      </c>
      <c r="J25" s="49">
        <f>AVERAGE('12.08 Malaba-Tororo'!J25,'13.08 Malaba-Tororo'!J25,'14.08 Malaba-Tororo'!J25,'15.08 Malaba-Tororo'!J25,'16.08 Malaba-Tororo-24h'!J25,'17.08 Malaba-Tororo-24h'!J25,'18.08 Malaba-Tororo'!J25)</f>
        <v>0</v>
      </c>
      <c r="K25" s="49">
        <f>AVERAGE('12.08 Malaba-Tororo'!K25,'13.08 Malaba-Tororo'!K25,'14.08 Malaba-Tororo'!K25,'15.08 Malaba-Tororo'!K25,'16.08 Malaba-Tororo-24h'!K25,'17.08 Malaba-Tororo-24h'!K25,'18.08 Malaba-Tororo'!K25)</f>
        <v>0</v>
      </c>
      <c r="L25" s="49">
        <f>AVERAGE('12.08 Malaba-Tororo'!L25,'13.08 Malaba-Tororo'!L25,'14.08 Malaba-Tororo'!L25,'15.08 Malaba-Tororo'!L25,'16.08 Malaba-Tororo-24h'!L25,'17.08 Malaba-Tororo-24h'!L25,'18.08 Malaba-Tororo'!L25)</f>
        <v>0</v>
      </c>
      <c r="M25" s="49">
        <f>AVERAGE('12.08 Malaba-Tororo'!M25,'13.08 Malaba-Tororo'!M25,'14.08 Malaba-Tororo'!M25,'15.08 Malaba-Tororo'!M25,'16.08 Malaba-Tororo-24h'!M25,'17.08 Malaba-Tororo-24h'!M25,'18.08 Malaba-Tororo'!M25)</f>
        <v>31.142857142857142</v>
      </c>
      <c r="N25" s="49">
        <f>AVERAGE('12.08 Malaba-Tororo'!N25,'13.08 Malaba-Tororo'!N25,'14.08 Malaba-Tororo'!N25,'15.08 Malaba-Tororo'!N25,'16.08 Malaba-Tororo-24h'!N25,'17.08 Malaba-Tororo-24h'!N25,'18.08 Malaba-Tororo'!N25)</f>
        <v>0</v>
      </c>
      <c r="O25" s="15">
        <f t="shared" si="0"/>
        <v>10.571428571428571</v>
      </c>
      <c r="P25" s="15">
        <f t="shared" si="1"/>
        <v>41.714285714285715</v>
      </c>
      <c r="R25" s="1" t="s">
        <v>149</v>
      </c>
      <c r="S25" s="34">
        <f>SUM(C70:C73)</f>
        <v>5.5</v>
      </c>
      <c r="T25" s="34">
        <f t="shared" ref="T25:AF25" si="17">SUM(D70:D73)</f>
        <v>0</v>
      </c>
      <c r="U25" s="34">
        <f t="shared" si="17"/>
        <v>3</v>
      </c>
      <c r="V25" s="34">
        <f t="shared" si="17"/>
        <v>0.5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0.5</v>
      </c>
      <c r="AA25" s="34">
        <f t="shared" si="17"/>
        <v>0</v>
      </c>
      <c r="AB25" s="34">
        <f t="shared" si="17"/>
        <v>0</v>
      </c>
      <c r="AC25" s="34">
        <f t="shared" si="17"/>
        <v>19</v>
      </c>
      <c r="AD25" s="34">
        <f t="shared" si="17"/>
        <v>0</v>
      </c>
      <c r="AE25" s="31">
        <f t="shared" si="17"/>
        <v>11.5</v>
      </c>
      <c r="AF25" s="31">
        <f t="shared" si="17"/>
        <v>30.5</v>
      </c>
    </row>
    <row r="26" spans="2:32" ht="23.1" customHeight="1" x14ac:dyDescent="0.25">
      <c r="B26" s="23" t="s">
        <v>53</v>
      </c>
      <c r="C26" s="49">
        <f>AVERAGE('12.08 Malaba-Tororo'!C26,'13.08 Malaba-Tororo'!C26,'14.08 Malaba-Tororo'!C26,'15.08 Malaba-Tororo'!C26,'16.08 Malaba-Tororo-24h'!C26,'17.08 Malaba-Tororo-24h'!C26,'18.08 Malaba-Tororo'!C26)</f>
        <v>3.8571428571428572</v>
      </c>
      <c r="D26" s="49">
        <f>AVERAGE('12.08 Malaba-Tororo'!D26,'13.08 Malaba-Tororo'!D26,'14.08 Malaba-Tororo'!D26,'15.08 Malaba-Tororo'!D26,'16.08 Malaba-Tororo-24h'!D26,'17.08 Malaba-Tororo-24h'!D26,'18.08 Malaba-Tororo'!D26)</f>
        <v>0.2857142857142857</v>
      </c>
      <c r="E26" s="49">
        <f>AVERAGE('12.08 Malaba-Tororo'!E26,'13.08 Malaba-Tororo'!E26,'14.08 Malaba-Tororo'!E26,'15.08 Malaba-Tororo'!E26,'16.08 Malaba-Tororo-24h'!E26,'17.08 Malaba-Tororo-24h'!E26,'18.08 Malaba-Tororo'!E26)</f>
        <v>2.7142857142857144</v>
      </c>
      <c r="F26" s="49">
        <f>AVERAGE('12.08 Malaba-Tororo'!F26,'13.08 Malaba-Tororo'!F26,'14.08 Malaba-Tororo'!F26,'15.08 Malaba-Tororo'!F26,'16.08 Malaba-Tororo-24h'!F26,'17.08 Malaba-Tororo-24h'!F26,'18.08 Malaba-Tororo'!F26)</f>
        <v>2.4285714285714284</v>
      </c>
      <c r="G26" s="49">
        <f>AVERAGE('12.08 Malaba-Tororo'!G26,'13.08 Malaba-Tororo'!G26,'14.08 Malaba-Tororo'!G26,'15.08 Malaba-Tororo'!G26,'16.08 Malaba-Tororo-24h'!G26,'17.08 Malaba-Tororo-24h'!G26,'18.08 Malaba-Tororo'!G26)</f>
        <v>0.14285714285714285</v>
      </c>
      <c r="H26" s="49">
        <f>AVERAGE('12.08 Malaba-Tororo'!H26,'13.08 Malaba-Tororo'!H26,'14.08 Malaba-Tororo'!H26,'15.08 Malaba-Tororo'!H26,'16.08 Malaba-Tororo-24h'!H26,'17.08 Malaba-Tororo-24h'!H26,'18.08 Malaba-Tororo'!H26)</f>
        <v>0</v>
      </c>
      <c r="I26" s="49">
        <f>AVERAGE('12.08 Malaba-Tororo'!I26,'13.08 Malaba-Tororo'!I26,'14.08 Malaba-Tororo'!I26,'15.08 Malaba-Tororo'!I26,'16.08 Malaba-Tororo-24h'!I26,'17.08 Malaba-Tororo-24h'!I26,'18.08 Malaba-Tororo'!I26)</f>
        <v>1.7142857142857142</v>
      </c>
      <c r="J26" s="49">
        <f>AVERAGE('12.08 Malaba-Tororo'!J26,'13.08 Malaba-Tororo'!J26,'14.08 Malaba-Tororo'!J26,'15.08 Malaba-Tororo'!J26,'16.08 Malaba-Tororo-24h'!J26,'17.08 Malaba-Tororo-24h'!J26,'18.08 Malaba-Tororo'!J26)</f>
        <v>0</v>
      </c>
      <c r="K26" s="49">
        <f>AVERAGE('12.08 Malaba-Tororo'!K26,'13.08 Malaba-Tororo'!K26,'14.08 Malaba-Tororo'!K26,'15.08 Malaba-Tororo'!K26,'16.08 Malaba-Tororo-24h'!K26,'17.08 Malaba-Tororo-24h'!K26,'18.08 Malaba-Tororo'!K26)</f>
        <v>0</v>
      </c>
      <c r="L26" s="49">
        <f>AVERAGE('12.08 Malaba-Tororo'!L26,'13.08 Malaba-Tororo'!L26,'14.08 Malaba-Tororo'!L26,'15.08 Malaba-Tororo'!L26,'16.08 Malaba-Tororo-24h'!L26,'17.08 Malaba-Tororo-24h'!L26,'18.08 Malaba-Tororo'!L26)</f>
        <v>0</v>
      </c>
      <c r="M26" s="49">
        <f>AVERAGE('12.08 Malaba-Tororo'!M26,'13.08 Malaba-Tororo'!M26,'14.08 Malaba-Tororo'!M26,'15.08 Malaba-Tororo'!M26,'16.08 Malaba-Tororo-24h'!M26,'17.08 Malaba-Tororo-24h'!M26,'18.08 Malaba-Tororo'!M26)</f>
        <v>27.857142857142858</v>
      </c>
      <c r="N26" s="49">
        <f>AVERAGE('12.08 Malaba-Tororo'!N26,'13.08 Malaba-Tororo'!N26,'14.08 Malaba-Tororo'!N26,'15.08 Malaba-Tororo'!N26,'16.08 Malaba-Tororo-24h'!N26,'17.08 Malaba-Tororo-24h'!N26,'18.08 Malaba-Tororo'!N26)</f>
        <v>0</v>
      </c>
      <c r="O26" s="15">
        <f t="shared" si="0"/>
        <v>11.142857142857142</v>
      </c>
      <c r="P26" s="15">
        <f t="shared" si="1"/>
        <v>39</v>
      </c>
      <c r="R26" s="1" t="s">
        <v>150</v>
      </c>
      <c r="S26" s="34">
        <f>SUM(C74:C77)</f>
        <v>2</v>
      </c>
      <c r="T26" s="34">
        <f t="shared" ref="T26:AF26" si="18">SUM(D74:D77)</f>
        <v>0</v>
      </c>
      <c r="U26" s="34">
        <f t="shared" si="18"/>
        <v>2.5</v>
      </c>
      <c r="V26" s="34">
        <f t="shared" si="18"/>
        <v>3.5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11.5</v>
      </c>
      <c r="AD26" s="34">
        <f t="shared" si="18"/>
        <v>0</v>
      </c>
      <c r="AE26" s="31">
        <f t="shared" si="18"/>
        <v>9</v>
      </c>
      <c r="AF26" s="31">
        <f t="shared" si="18"/>
        <v>20.5</v>
      </c>
    </row>
    <row r="27" spans="2:32" ht="23.1" customHeight="1" x14ac:dyDescent="0.25">
      <c r="B27" s="23" t="s">
        <v>54</v>
      </c>
      <c r="C27" s="49">
        <f>AVERAGE('12.08 Malaba-Tororo'!C27,'13.08 Malaba-Tororo'!C27,'14.08 Malaba-Tororo'!C27,'15.08 Malaba-Tororo'!C27,'16.08 Malaba-Tororo-24h'!C27,'17.08 Malaba-Tororo-24h'!C27,'18.08 Malaba-Tororo'!C27)</f>
        <v>3.8571428571428572</v>
      </c>
      <c r="D27" s="49">
        <f>AVERAGE('12.08 Malaba-Tororo'!D27,'13.08 Malaba-Tororo'!D27,'14.08 Malaba-Tororo'!D27,'15.08 Malaba-Tororo'!D27,'16.08 Malaba-Tororo-24h'!D27,'17.08 Malaba-Tororo-24h'!D27,'18.08 Malaba-Tororo'!D27)</f>
        <v>0.42857142857142855</v>
      </c>
      <c r="E27" s="49">
        <f>AVERAGE('12.08 Malaba-Tororo'!E27,'13.08 Malaba-Tororo'!E27,'14.08 Malaba-Tororo'!E27,'15.08 Malaba-Tororo'!E27,'16.08 Malaba-Tororo-24h'!E27,'17.08 Malaba-Tororo-24h'!E27,'18.08 Malaba-Tororo'!E27)</f>
        <v>2.4285714285714284</v>
      </c>
      <c r="F27" s="49">
        <f>AVERAGE('12.08 Malaba-Tororo'!F27,'13.08 Malaba-Tororo'!F27,'14.08 Malaba-Tororo'!F27,'15.08 Malaba-Tororo'!F27,'16.08 Malaba-Tororo-24h'!F27,'17.08 Malaba-Tororo-24h'!F27,'18.08 Malaba-Tororo'!F27)</f>
        <v>3.4285714285714284</v>
      </c>
      <c r="G27" s="49">
        <f>AVERAGE('12.08 Malaba-Tororo'!G27,'13.08 Malaba-Tororo'!G27,'14.08 Malaba-Tororo'!G27,'15.08 Malaba-Tororo'!G27,'16.08 Malaba-Tororo-24h'!G27,'17.08 Malaba-Tororo-24h'!G27,'18.08 Malaba-Tororo'!G27)</f>
        <v>0.2857142857142857</v>
      </c>
      <c r="H27" s="49">
        <f>AVERAGE('12.08 Malaba-Tororo'!H27,'13.08 Malaba-Tororo'!H27,'14.08 Malaba-Tororo'!H27,'15.08 Malaba-Tororo'!H27,'16.08 Malaba-Tororo-24h'!H27,'17.08 Malaba-Tororo-24h'!H27,'18.08 Malaba-Tororo'!H27)</f>
        <v>0</v>
      </c>
      <c r="I27" s="49">
        <f>AVERAGE('12.08 Malaba-Tororo'!I27,'13.08 Malaba-Tororo'!I27,'14.08 Malaba-Tororo'!I27,'15.08 Malaba-Tororo'!I27,'16.08 Malaba-Tororo-24h'!I27,'17.08 Malaba-Tororo-24h'!I27,'18.08 Malaba-Tororo'!I27)</f>
        <v>0.8571428571428571</v>
      </c>
      <c r="J27" s="49">
        <f>AVERAGE('12.08 Malaba-Tororo'!J27,'13.08 Malaba-Tororo'!J27,'14.08 Malaba-Tororo'!J27,'15.08 Malaba-Tororo'!J27,'16.08 Malaba-Tororo-24h'!J27,'17.08 Malaba-Tororo-24h'!J27,'18.08 Malaba-Tororo'!J27)</f>
        <v>0.14285714285714285</v>
      </c>
      <c r="K27" s="49">
        <f>AVERAGE('12.08 Malaba-Tororo'!K27,'13.08 Malaba-Tororo'!K27,'14.08 Malaba-Tororo'!K27,'15.08 Malaba-Tororo'!K27,'16.08 Malaba-Tororo-24h'!K27,'17.08 Malaba-Tororo-24h'!K27,'18.08 Malaba-Tororo'!K27)</f>
        <v>0</v>
      </c>
      <c r="L27" s="49">
        <f>AVERAGE('12.08 Malaba-Tororo'!L27,'13.08 Malaba-Tororo'!L27,'14.08 Malaba-Tororo'!L27,'15.08 Malaba-Tororo'!L27,'16.08 Malaba-Tororo-24h'!L27,'17.08 Malaba-Tororo-24h'!L27,'18.08 Malaba-Tororo'!L27)</f>
        <v>0</v>
      </c>
      <c r="M27" s="49">
        <f>AVERAGE('12.08 Malaba-Tororo'!M27,'13.08 Malaba-Tororo'!M27,'14.08 Malaba-Tororo'!M27,'15.08 Malaba-Tororo'!M27,'16.08 Malaba-Tororo-24h'!M27,'17.08 Malaba-Tororo-24h'!M27,'18.08 Malaba-Tororo'!M27)</f>
        <v>26.428571428571427</v>
      </c>
      <c r="N27" s="49">
        <f>AVERAGE('12.08 Malaba-Tororo'!N27,'13.08 Malaba-Tororo'!N27,'14.08 Malaba-Tororo'!N27,'15.08 Malaba-Tororo'!N27,'16.08 Malaba-Tororo-24h'!N27,'17.08 Malaba-Tororo-24h'!N27,'18.08 Malaba-Tororo'!N27)</f>
        <v>0</v>
      </c>
      <c r="O27" s="15">
        <f t="shared" si="0"/>
        <v>11.428571428571429</v>
      </c>
      <c r="P27" s="15">
        <f t="shared" si="1"/>
        <v>37.857142857142854</v>
      </c>
      <c r="R27" s="1" t="s">
        <v>151</v>
      </c>
      <c r="S27" s="34">
        <f>SUM(C78:C81)</f>
        <v>0.5</v>
      </c>
      <c r="T27" s="34">
        <f t="shared" ref="T27:AF27" si="19">SUM(D78:D81)</f>
        <v>0</v>
      </c>
      <c r="U27" s="34">
        <f t="shared" si="19"/>
        <v>0.5</v>
      </c>
      <c r="V27" s="34">
        <f t="shared" si="19"/>
        <v>1.5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4.5</v>
      </c>
      <c r="AD27" s="34">
        <f t="shared" si="19"/>
        <v>0</v>
      </c>
      <c r="AE27" s="31">
        <f t="shared" si="19"/>
        <v>2.5</v>
      </c>
      <c r="AF27" s="31">
        <f t="shared" si="19"/>
        <v>7</v>
      </c>
    </row>
    <row r="28" spans="2:32" ht="23.1" customHeight="1" x14ac:dyDescent="0.25">
      <c r="B28" s="23" t="s">
        <v>55</v>
      </c>
      <c r="C28" s="49">
        <f>AVERAGE('12.08 Malaba-Tororo'!C28,'13.08 Malaba-Tororo'!C28,'14.08 Malaba-Tororo'!C28,'15.08 Malaba-Tororo'!C28,'16.08 Malaba-Tororo-24h'!C28,'17.08 Malaba-Tororo-24h'!C28,'18.08 Malaba-Tororo'!C28)</f>
        <v>2.7142857142857144</v>
      </c>
      <c r="D28" s="49">
        <f>AVERAGE('12.08 Malaba-Tororo'!D28,'13.08 Malaba-Tororo'!D28,'14.08 Malaba-Tororo'!D28,'15.08 Malaba-Tororo'!D28,'16.08 Malaba-Tororo-24h'!D28,'17.08 Malaba-Tororo-24h'!D28,'18.08 Malaba-Tororo'!D28)</f>
        <v>0.42857142857142855</v>
      </c>
      <c r="E28" s="49">
        <f>AVERAGE('12.08 Malaba-Tororo'!E28,'13.08 Malaba-Tororo'!E28,'14.08 Malaba-Tororo'!E28,'15.08 Malaba-Tororo'!E28,'16.08 Malaba-Tororo-24h'!E28,'17.08 Malaba-Tororo-24h'!E28,'18.08 Malaba-Tororo'!E28)</f>
        <v>3.7142857142857144</v>
      </c>
      <c r="F28" s="49">
        <f>AVERAGE('12.08 Malaba-Tororo'!F28,'13.08 Malaba-Tororo'!F28,'14.08 Malaba-Tororo'!F28,'15.08 Malaba-Tororo'!F28,'16.08 Malaba-Tororo-24h'!F28,'17.08 Malaba-Tororo-24h'!F28,'18.08 Malaba-Tororo'!F28)</f>
        <v>2.1428571428571428</v>
      </c>
      <c r="G28" s="49">
        <f>AVERAGE('12.08 Malaba-Tororo'!G28,'13.08 Malaba-Tororo'!G28,'14.08 Malaba-Tororo'!G28,'15.08 Malaba-Tororo'!G28,'16.08 Malaba-Tororo-24h'!G28,'17.08 Malaba-Tororo-24h'!G28,'18.08 Malaba-Tororo'!G28)</f>
        <v>0</v>
      </c>
      <c r="H28" s="49">
        <f>AVERAGE('12.08 Malaba-Tororo'!H28,'13.08 Malaba-Tororo'!H28,'14.08 Malaba-Tororo'!H28,'15.08 Malaba-Tororo'!H28,'16.08 Malaba-Tororo-24h'!H28,'17.08 Malaba-Tororo-24h'!H28,'18.08 Malaba-Tororo'!H28)</f>
        <v>0</v>
      </c>
      <c r="I28" s="49">
        <f>AVERAGE('12.08 Malaba-Tororo'!I28,'13.08 Malaba-Tororo'!I28,'14.08 Malaba-Tororo'!I28,'15.08 Malaba-Tororo'!I28,'16.08 Malaba-Tororo-24h'!I28,'17.08 Malaba-Tororo-24h'!I28,'18.08 Malaba-Tororo'!I28)</f>
        <v>1.2857142857142858</v>
      </c>
      <c r="J28" s="49">
        <f>AVERAGE('12.08 Malaba-Tororo'!J28,'13.08 Malaba-Tororo'!J28,'14.08 Malaba-Tororo'!J28,'15.08 Malaba-Tororo'!J28,'16.08 Malaba-Tororo-24h'!J28,'17.08 Malaba-Tororo-24h'!J28,'18.08 Malaba-Tororo'!J28)</f>
        <v>0</v>
      </c>
      <c r="K28" s="49">
        <f>AVERAGE('12.08 Malaba-Tororo'!K28,'13.08 Malaba-Tororo'!K28,'14.08 Malaba-Tororo'!K28,'15.08 Malaba-Tororo'!K28,'16.08 Malaba-Tororo-24h'!K28,'17.08 Malaba-Tororo-24h'!K28,'18.08 Malaba-Tororo'!K28)</f>
        <v>0</v>
      </c>
      <c r="L28" s="49">
        <f>AVERAGE('12.08 Malaba-Tororo'!L28,'13.08 Malaba-Tororo'!L28,'14.08 Malaba-Tororo'!L28,'15.08 Malaba-Tororo'!L28,'16.08 Malaba-Tororo-24h'!L28,'17.08 Malaba-Tororo-24h'!L28,'18.08 Malaba-Tororo'!L28)</f>
        <v>0</v>
      </c>
      <c r="M28" s="49">
        <f>AVERAGE('12.08 Malaba-Tororo'!M28,'13.08 Malaba-Tororo'!M28,'14.08 Malaba-Tororo'!M28,'15.08 Malaba-Tororo'!M28,'16.08 Malaba-Tororo-24h'!M28,'17.08 Malaba-Tororo-24h'!M28,'18.08 Malaba-Tororo'!M28)</f>
        <v>33.857142857142854</v>
      </c>
      <c r="N28" s="49">
        <f>AVERAGE('12.08 Malaba-Tororo'!N28,'13.08 Malaba-Tororo'!N28,'14.08 Malaba-Tororo'!N28,'15.08 Malaba-Tororo'!N28,'16.08 Malaba-Tororo-24h'!N28,'17.08 Malaba-Tororo-24h'!N28,'18.08 Malaba-Tororo'!N28)</f>
        <v>0</v>
      </c>
      <c r="O28" s="15">
        <f t="shared" si="0"/>
        <v>10.285714285714286</v>
      </c>
      <c r="P28" s="15">
        <f t="shared" si="1"/>
        <v>44.142857142857139</v>
      </c>
      <c r="R28" s="1" t="s">
        <v>152</v>
      </c>
      <c r="S28" s="34">
        <f>SUM(C82:C85)</f>
        <v>1.5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3</v>
      </c>
      <c r="AF28" s="31">
        <f t="shared" si="20"/>
        <v>4</v>
      </c>
    </row>
    <row r="29" spans="2:32" ht="23.1" customHeight="1" x14ac:dyDescent="0.25">
      <c r="B29" s="23" t="s">
        <v>56</v>
      </c>
      <c r="C29" s="49">
        <f>AVERAGE('12.08 Malaba-Tororo'!C29,'13.08 Malaba-Tororo'!C29,'14.08 Malaba-Tororo'!C29,'15.08 Malaba-Tororo'!C29,'16.08 Malaba-Tororo-24h'!C29,'17.08 Malaba-Tororo-24h'!C29,'18.08 Malaba-Tororo'!C29)</f>
        <v>5</v>
      </c>
      <c r="D29" s="49">
        <f>AVERAGE('12.08 Malaba-Tororo'!D29,'13.08 Malaba-Tororo'!D29,'14.08 Malaba-Tororo'!D29,'15.08 Malaba-Tororo'!D29,'16.08 Malaba-Tororo-24h'!D29,'17.08 Malaba-Tororo-24h'!D29,'18.08 Malaba-Tororo'!D29)</f>
        <v>0.14285714285714285</v>
      </c>
      <c r="E29" s="49">
        <f>AVERAGE('12.08 Malaba-Tororo'!E29,'13.08 Malaba-Tororo'!E29,'14.08 Malaba-Tororo'!E29,'15.08 Malaba-Tororo'!E29,'16.08 Malaba-Tororo-24h'!E29,'17.08 Malaba-Tororo-24h'!E29,'18.08 Malaba-Tororo'!E29)</f>
        <v>2.2857142857142856</v>
      </c>
      <c r="F29" s="49">
        <f>AVERAGE('12.08 Malaba-Tororo'!F29,'13.08 Malaba-Tororo'!F29,'14.08 Malaba-Tororo'!F29,'15.08 Malaba-Tororo'!F29,'16.08 Malaba-Tororo-24h'!F29,'17.08 Malaba-Tororo-24h'!F29,'18.08 Malaba-Tororo'!F29)</f>
        <v>2.1428571428571428</v>
      </c>
      <c r="G29" s="49">
        <f>AVERAGE('12.08 Malaba-Tororo'!G29,'13.08 Malaba-Tororo'!G29,'14.08 Malaba-Tororo'!G29,'15.08 Malaba-Tororo'!G29,'16.08 Malaba-Tororo-24h'!G29,'17.08 Malaba-Tororo-24h'!G29,'18.08 Malaba-Tororo'!G29)</f>
        <v>0</v>
      </c>
      <c r="H29" s="49">
        <f>AVERAGE('12.08 Malaba-Tororo'!H29,'13.08 Malaba-Tororo'!H29,'14.08 Malaba-Tororo'!H29,'15.08 Malaba-Tororo'!H29,'16.08 Malaba-Tororo-24h'!H29,'17.08 Malaba-Tororo-24h'!H29,'18.08 Malaba-Tororo'!H29)</f>
        <v>0</v>
      </c>
      <c r="I29" s="49">
        <f>AVERAGE('12.08 Malaba-Tororo'!I29,'13.08 Malaba-Tororo'!I29,'14.08 Malaba-Tororo'!I29,'15.08 Malaba-Tororo'!I29,'16.08 Malaba-Tororo-24h'!I29,'17.08 Malaba-Tororo-24h'!I29,'18.08 Malaba-Tororo'!I29)</f>
        <v>1.4285714285714286</v>
      </c>
      <c r="J29" s="49">
        <f>AVERAGE('12.08 Malaba-Tororo'!J29,'13.08 Malaba-Tororo'!J29,'14.08 Malaba-Tororo'!J29,'15.08 Malaba-Tororo'!J29,'16.08 Malaba-Tororo-24h'!J29,'17.08 Malaba-Tororo-24h'!J29,'18.08 Malaba-Tororo'!J29)</f>
        <v>0.14285714285714285</v>
      </c>
      <c r="K29" s="49">
        <f>AVERAGE('12.08 Malaba-Tororo'!K29,'13.08 Malaba-Tororo'!K29,'14.08 Malaba-Tororo'!K29,'15.08 Malaba-Tororo'!K29,'16.08 Malaba-Tororo-24h'!K29,'17.08 Malaba-Tororo-24h'!K29,'18.08 Malaba-Tororo'!K29)</f>
        <v>0</v>
      </c>
      <c r="L29" s="49">
        <f>AVERAGE('12.08 Malaba-Tororo'!L29,'13.08 Malaba-Tororo'!L29,'14.08 Malaba-Tororo'!L29,'15.08 Malaba-Tororo'!L29,'16.08 Malaba-Tororo-24h'!L29,'17.08 Malaba-Tororo-24h'!L29,'18.08 Malaba-Tororo'!L29)</f>
        <v>0</v>
      </c>
      <c r="M29" s="49">
        <f>AVERAGE('12.08 Malaba-Tororo'!M29,'13.08 Malaba-Tororo'!M29,'14.08 Malaba-Tororo'!M29,'15.08 Malaba-Tororo'!M29,'16.08 Malaba-Tororo-24h'!M29,'17.08 Malaba-Tororo-24h'!M29,'18.08 Malaba-Tororo'!M29)</f>
        <v>28.142857142857142</v>
      </c>
      <c r="N29" s="49">
        <f>AVERAGE('12.08 Malaba-Tororo'!N29,'13.08 Malaba-Tororo'!N29,'14.08 Malaba-Tororo'!N29,'15.08 Malaba-Tororo'!N29,'16.08 Malaba-Tororo-24h'!N29,'17.08 Malaba-Tororo-24h'!N29,'18.08 Malaba-Tororo'!N29)</f>
        <v>0</v>
      </c>
      <c r="O29" s="15">
        <f t="shared" si="0"/>
        <v>11.142857142857142</v>
      </c>
      <c r="P29" s="15">
        <f t="shared" si="1"/>
        <v>39.285714285714285</v>
      </c>
      <c r="R29" s="1" t="s">
        <v>153</v>
      </c>
      <c r="S29" s="34">
        <f>SUM(C86:C89)</f>
        <v>2.5</v>
      </c>
      <c r="T29" s="34">
        <f t="shared" ref="T29:AF29" si="21">SUM(D86:D89)</f>
        <v>0</v>
      </c>
      <c r="U29" s="34">
        <f t="shared" si="21"/>
        <v>3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0.5</v>
      </c>
      <c r="AD29" s="34">
        <f t="shared" si="21"/>
        <v>0</v>
      </c>
      <c r="AE29" s="31">
        <f t="shared" si="21"/>
        <v>7</v>
      </c>
      <c r="AF29" s="31">
        <f t="shared" si="21"/>
        <v>7.5</v>
      </c>
    </row>
    <row r="30" spans="2:32" ht="23.1" customHeight="1" x14ac:dyDescent="0.25">
      <c r="B30" s="23" t="s">
        <v>57</v>
      </c>
      <c r="C30" s="49">
        <f>AVERAGE('12.08 Malaba-Tororo'!C30,'13.08 Malaba-Tororo'!C30,'14.08 Malaba-Tororo'!C30,'15.08 Malaba-Tororo'!C30,'16.08 Malaba-Tororo-24h'!C30,'17.08 Malaba-Tororo-24h'!C30,'18.08 Malaba-Tororo'!C30)</f>
        <v>3</v>
      </c>
      <c r="D30" s="49">
        <f>AVERAGE('12.08 Malaba-Tororo'!D30,'13.08 Malaba-Tororo'!D30,'14.08 Malaba-Tororo'!D30,'15.08 Malaba-Tororo'!D30,'16.08 Malaba-Tororo-24h'!D30,'17.08 Malaba-Tororo-24h'!D30,'18.08 Malaba-Tororo'!D30)</f>
        <v>0.5714285714285714</v>
      </c>
      <c r="E30" s="49">
        <f>AVERAGE('12.08 Malaba-Tororo'!E30,'13.08 Malaba-Tororo'!E30,'14.08 Malaba-Tororo'!E30,'15.08 Malaba-Tororo'!E30,'16.08 Malaba-Tororo-24h'!E30,'17.08 Malaba-Tororo-24h'!E30,'18.08 Malaba-Tororo'!E30)</f>
        <v>3.5714285714285716</v>
      </c>
      <c r="F30" s="49">
        <f>AVERAGE('12.08 Malaba-Tororo'!F30,'13.08 Malaba-Tororo'!F30,'14.08 Malaba-Tororo'!F30,'15.08 Malaba-Tororo'!F30,'16.08 Malaba-Tororo-24h'!F30,'17.08 Malaba-Tororo-24h'!F30,'18.08 Malaba-Tororo'!F30)</f>
        <v>3.1428571428571428</v>
      </c>
      <c r="G30" s="49">
        <f>AVERAGE('12.08 Malaba-Tororo'!G30,'13.08 Malaba-Tororo'!G30,'14.08 Malaba-Tororo'!G30,'15.08 Malaba-Tororo'!G30,'16.08 Malaba-Tororo-24h'!G30,'17.08 Malaba-Tororo-24h'!G30,'18.08 Malaba-Tororo'!G30)</f>
        <v>0</v>
      </c>
      <c r="H30" s="49">
        <f>AVERAGE('12.08 Malaba-Tororo'!H30,'13.08 Malaba-Tororo'!H30,'14.08 Malaba-Tororo'!H30,'15.08 Malaba-Tororo'!H30,'16.08 Malaba-Tororo-24h'!H30,'17.08 Malaba-Tororo-24h'!H30,'18.08 Malaba-Tororo'!H30)</f>
        <v>0</v>
      </c>
      <c r="I30" s="49">
        <f>AVERAGE('12.08 Malaba-Tororo'!I30,'13.08 Malaba-Tororo'!I30,'14.08 Malaba-Tororo'!I30,'15.08 Malaba-Tororo'!I30,'16.08 Malaba-Tororo-24h'!I30,'17.08 Malaba-Tororo-24h'!I30,'18.08 Malaba-Tororo'!I30)</f>
        <v>2.2857142857142856</v>
      </c>
      <c r="J30" s="49">
        <f>AVERAGE('12.08 Malaba-Tororo'!J30,'13.08 Malaba-Tororo'!J30,'14.08 Malaba-Tororo'!J30,'15.08 Malaba-Tororo'!J30,'16.08 Malaba-Tororo-24h'!J30,'17.08 Malaba-Tororo-24h'!J30,'18.08 Malaba-Tororo'!J30)</f>
        <v>0.2857142857142857</v>
      </c>
      <c r="K30" s="49">
        <f>AVERAGE('12.08 Malaba-Tororo'!K30,'13.08 Malaba-Tororo'!K30,'14.08 Malaba-Tororo'!K30,'15.08 Malaba-Tororo'!K30,'16.08 Malaba-Tororo-24h'!K30,'17.08 Malaba-Tororo-24h'!K30,'18.08 Malaba-Tororo'!K30)</f>
        <v>0</v>
      </c>
      <c r="L30" s="49">
        <f>AVERAGE('12.08 Malaba-Tororo'!L30,'13.08 Malaba-Tororo'!L30,'14.08 Malaba-Tororo'!L30,'15.08 Malaba-Tororo'!L30,'16.08 Malaba-Tororo-24h'!L30,'17.08 Malaba-Tororo-24h'!L30,'18.08 Malaba-Tororo'!L30)</f>
        <v>0</v>
      </c>
      <c r="M30" s="49">
        <f>AVERAGE('12.08 Malaba-Tororo'!M30,'13.08 Malaba-Tororo'!M30,'14.08 Malaba-Tororo'!M30,'15.08 Malaba-Tororo'!M30,'16.08 Malaba-Tororo-24h'!M30,'17.08 Malaba-Tororo-24h'!M30,'18.08 Malaba-Tororo'!M30)</f>
        <v>30.857142857142858</v>
      </c>
      <c r="N30" s="49">
        <f>AVERAGE('12.08 Malaba-Tororo'!N30,'13.08 Malaba-Tororo'!N30,'14.08 Malaba-Tororo'!N30,'15.08 Malaba-Tororo'!N30,'16.08 Malaba-Tororo-24h'!N30,'17.08 Malaba-Tororo-24h'!N30,'18.08 Malaba-Tororo'!N30)</f>
        <v>0</v>
      </c>
      <c r="O30" s="15">
        <f t="shared" si="0"/>
        <v>12.857142857142856</v>
      </c>
      <c r="P30" s="15">
        <f t="shared" si="1"/>
        <v>43.714285714285715</v>
      </c>
      <c r="R30" s="1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2</v>
      </c>
      <c r="V30" s="34">
        <f t="shared" si="22"/>
        <v>3</v>
      </c>
      <c r="W30" s="34">
        <f t="shared" si="22"/>
        <v>0</v>
      </c>
      <c r="X30" s="34">
        <f t="shared" si="22"/>
        <v>0.5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21.5</v>
      </c>
      <c r="AD30" s="34">
        <f t="shared" si="22"/>
        <v>0</v>
      </c>
      <c r="AE30" s="31">
        <f t="shared" si="22"/>
        <v>8.5</v>
      </c>
      <c r="AF30" s="31">
        <f t="shared" si="22"/>
        <v>30</v>
      </c>
    </row>
    <row r="31" spans="2:32" ht="23.1" customHeight="1" x14ac:dyDescent="0.25">
      <c r="B31" s="24" t="s">
        <v>58</v>
      </c>
      <c r="C31" s="49">
        <f>AVERAGE('12.08 Malaba-Tororo'!C31,'13.08 Malaba-Tororo'!C31,'14.08 Malaba-Tororo'!C31,'15.08 Malaba-Tororo'!C31,'16.08 Malaba-Tororo-24h'!C31,'17.08 Malaba-Tororo-24h'!C31,'18.08 Malaba-Tororo'!C31)</f>
        <v>2.8571428571428572</v>
      </c>
      <c r="D31" s="49">
        <f>AVERAGE('12.08 Malaba-Tororo'!D31,'13.08 Malaba-Tororo'!D31,'14.08 Malaba-Tororo'!D31,'15.08 Malaba-Tororo'!D31,'16.08 Malaba-Tororo-24h'!D31,'17.08 Malaba-Tororo-24h'!D31,'18.08 Malaba-Tororo'!D31)</f>
        <v>0.14285714285714285</v>
      </c>
      <c r="E31" s="49">
        <f>AVERAGE('12.08 Malaba-Tororo'!E31,'13.08 Malaba-Tororo'!E31,'14.08 Malaba-Tororo'!E31,'15.08 Malaba-Tororo'!E31,'16.08 Malaba-Tororo-24h'!E31,'17.08 Malaba-Tororo-24h'!E31,'18.08 Malaba-Tororo'!E31)</f>
        <v>2.1428571428571428</v>
      </c>
      <c r="F31" s="49">
        <f>AVERAGE('12.08 Malaba-Tororo'!F31,'13.08 Malaba-Tororo'!F31,'14.08 Malaba-Tororo'!F31,'15.08 Malaba-Tororo'!F31,'16.08 Malaba-Tororo-24h'!F31,'17.08 Malaba-Tororo-24h'!F31,'18.08 Malaba-Tororo'!F31)</f>
        <v>3.1428571428571428</v>
      </c>
      <c r="G31" s="49">
        <f>AVERAGE('12.08 Malaba-Tororo'!G31,'13.08 Malaba-Tororo'!G31,'14.08 Malaba-Tororo'!G31,'15.08 Malaba-Tororo'!G31,'16.08 Malaba-Tororo-24h'!G31,'17.08 Malaba-Tororo-24h'!G31,'18.08 Malaba-Tororo'!G31)</f>
        <v>0</v>
      </c>
      <c r="H31" s="49">
        <f>AVERAGE('12.08 Malaba-Tororo'!H31,'13.08 Malaba-Tororo'!H31,'14.08 Malaba-Tororo'!H31,'15.08 Malaba-Tororo'!H31,'16.08 Malaba-Tororo-24h'!H31,'17.08 Malaba-Tororo-24h'!H31,'18.08 Malaba-Tororo'!H31)</f>
        <v>0</v>
      </c>
      <c r="I31" s="49">
        <f>AVERAGE('12.08 Malaba-Tororo'!I31,'13.08 Malaba-Tororo'!I31,'14.08 Malaba-Tororo'!I31,'15.08 Malaba-Tororo'!I31,'16.08 Malaba-Tororo-24h'!I31,'17.08 Malaba-Tororo-24h'!I31,'18.08 Malaba-Tororo'!I31)</f>
        <v>1.4285714285714286</v>
      </c>
      <c r="J31" s="49">
        <f>AVERAGE('12.08 Malaba-Tororo'!J31,'13.08 Malaba-Tororo'!J31,'14.08 Malaba-Tororo'!J31,'15.08 Malaba-Tororo'!J31,'16.08 Malaba-Tororo-24h'!J31,'17.08 Malaba-Tororo-24h'!J31,'18.08 Malaba-Tororo'!J31)</f>
        <v>0</v>
      </c>
      <c r="K31" s="49">
        <f>AVERAGE('12.08 Malaba-Tororo'!K31,'13.08 Malaba-Tororo'!K31,'14.08 Malaba-Tororo'!K31,'15.08 Malaba-Tororo'!K31,'16.08 Malaba-Tororo-24h'!K31,'17.08 Malaba-Tororo-24h'!K31,'18.08 Malaba-Tororo'!K31)</f>
        <v>0</v>
      </c>
      <c r="L31" s="49">
        <f>AVERAGE('12.08 Malaba-Tororo'!L31,'13.08 Malaba-Tororo'!L31,'14.08 Malaba-Tororo'!L31,'15.08 Malaba-Tororo'!L31,'16.08 Malaba-Tororo-24h'!L31,'17.08 Malaba-Tororo-24h'!L31,'18.08 Malaba-Tororo'!L31)</f>
        <v>0</v>
      </c>
      <c r="M31" s="49">
        <f>AVERAGE('12.08 Malaba-Tororo'!M31,'13.08 Malaba-Tororo'!M31,'14.08 Malaba-Tororo'!M31,'15.08 Malaba-Tororo'!M31,'16.08 Malaba-Tororo-24h'!M31,'17.08 Malaba-Tororo-24h'!M31,'18.08 Malaba-Tororo'!M31)</f>
        <v>25</v>
      </c>
      <c r="N31" s="49">
        <f>AVERAGE('12.08 Malaba-Tororo'!N31,'13.08 Malaba-Tororo'!N31,'14.08 Malaba-Tororo'!N31,'15.08 Malaba-Tororo'!N31,'16.08 Malaba-Tororo-24h'!N31,'17.08 Malaba-Tororo-24h'!N31,'18.08 Malaba-Tororo'!N31)</f>
        <v>0</v>
      </c>
      <c r="O31" s="15">
        <f t="shared" si="0"/>
        <v>9.7142857142857135</v>
      </c>
      <c r="P31" s="15">
        <f t="shared" si="1"/>
        <v>34.714285714285715</v>
      </c>
      <c r="R31" s="1" t="s">
        <v>155</v>
      </c>
      <c r="S31" s="34">
        <f>SUM(C94:C97)</f>
        <v>4</v>
      </c>
      <c r="T31" s="34">
        <f t="shared" ref="T31:AF31" si="23">SUM(D94:D97)</f>
        <v>0</v>
      </c>
      <c r="U31" s="34">
        <f t="shared" si="23"/>
        <v>1.5</v>
      </c>
      <c r="V31" s="34">
        <f t="shared" si="23"/>
        <v>1.5</v>
      </c>
      <c r="W31" s="34">
        <f t="shared" si="23"/>
        <v>0</v>
      </c>
      <c r="X31" s="34">
        <f t="shared" si="23"/>
        <v>1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18</v>
      </c>
      <c r="AD31" s="34">
        <f t="shared" si="23"/>
        <v>0</v>
      </c>
      <c r="AE31" s="31">
        <f t="shared" si="23"/>
        <v>9</v>
      </c>
      <c r="AF31" s="31">
        <f t="shared" si="23"/>
        <v>27</v>
      </c>
    </row>
    <row r="32" spans="2:32" ht="23.1" customHeight="1" x14ac:dyDescent="0.25">
      <c r="B32" s="24" t="s">
        <v>59</v>
      </c>
      <c r="C32" s="49">
        <f>AVERAGE('12.08 Malaba-Tororo'!C32,'13.08 Malaba-Tororo'!C32,'14.08 Malaba-Tororo'!C32,'15.08 Malaba-Tororo'!C32,'16.08 Malaba-Tororo-24h'!C32,'17.08 Malaba-Tororo-24h'!C32,'18.08 Malaba-Tororo'!C32)</f>
        <v>2.7142857142857144</v>
      </c>
      <c r="D32" s="49">
        <f>AVERAGE('12.08 Malaba-Tororo'!D32,'13.08 Malaba-Tororo'!D32,'14.08 Malaba-Tororo'!D32,'15.08 Malaba-Tororo'!D32,'16.08 Malaba-Tororo-24h'!D32,'17.08 Malaba-Tororo-24h'!D32,'18.08 Malaba-Tororo'!D32)</f>
        <v>0.5714285714285714</v>
      </c>
      <c r="E32" s="49">
        <f>AVERAGE('12.08 Malaba-Tororo'!E32,'13.08 Malaba-Tororo'!E32,'14.08 Malaba-Tororo'!E32,'15.08 Malaba-Tororo'!E32,'16.08 Malaba-Tororo-24h'!E32,'17.08 Malaba-Tororo-24h'!E32,'18.08 Malaba-Tororo'!E32)</f>
        <v>3.1428571428571428</v>
      </c>
      <c r="F32" s="49">
        <f>AVERAGE('12.08 Malaba-Tororo'!F32,'13.08 Malaba-Tororo'!F32,'14.08 Malaba-Tororo'!F32,'15.08 Malaba-Tororo'!F32,'16.08 Malaba-Tororo-24h'!F32,'17.08 Malaba-Tororo-24h'!F32,'18.08 Malaba-Tororo'!F32)</f>
        <v>2.1428571428571428</v>
      </c>
      <c r="G32" s="49">
        <f>AVERAGE('12.08 Malaba-Tororo'!G32,'13.08 Malaba-Tororo'!G32,'14.08 Malaba-Tororo'!G32,'15.08 Malaba-Tororo'!G32,'16.08 Malaba-Tororo-24h'!G32,'17.08 Malaba-Tororo-24h'!G32,'18.08 Malaba-Tororo'!G32)</f>
        <v>0.14285714285714285</v>
      </c>
      <c r="H32" s="49">
        <f>AVERAGE('12.08 Malaba-Tororo'!H32,'13.08 Malaba-Tororo'!H32,'14.08 Malaba-Tororo'!H32,'15.08 Malaba-Tororo'!H32,'16.08 Malaba-Tororo-24h'!H32,'17.08 Malaba-Tororo-24h'!H32,'18.08 Malaba-Tororo'!H32)</f>
        <v>0</v>
      </c>
      <c r="I32" s="49">
        <f>AVERAGE('12.08 Malaba-Tororo'!I32,'13.08 Malaba-Tororo'!I32,'14.08 Malaba-Tororo'!I32,'15.08 Malaba-Tororo'!I32,'16.08 Malaba-Tororo-24h'!I32,'17.08 Malaba-Tororo-24h'!I32,'18.08 Malaba-Tororo'!I32)</f>
        <v>1.5714285714285714</v>
      </c>
      <c r="J32" s="49">
        <f>AVERAGE('12.08 Malaba-Tororo'!J32,'13.08 Malaba-Tororo'!J32,'14.08 Malaba-Tororo'!J32,'15.08 Malaba-Tororo'!J32,'16.08 Malaba-Tororo-24h'!J32,'17.08 Malaba-Tororo-24h'!J32,'18.08 Malaba-Tororo'!J32)</f>
        <v>0.14285714285714285</v>
      </c>
      <c r="K32" s="49">
        <f>AVERAGE('12.08 Malaba-Tororo'!K32,'13.08 Malaba-Tororo'!K32,'14.08 Malaba-Tororo'!K32,'15.08 Malaba-Tororo'!K32,'16.08 Malaba-Tororo-24h'!K32,'17.08 Malaba-Tororo-24h'!K32,'18.08 Malaba-Tororo'!K32)</f>
        <v>0.2857142857142857</v>
      </c>
      <c r="L32" s="49">
        <f>AVERAGE('12.08 Malaba-Tororo'!L32,'13.08 Malaba-Tororo'!L32,'14.08 Malaba-Tororo'!L32,'15.08 Malaba-Tororo'!L32,'16.08 Malaba-Tororo-24h'!L32,'17.08 Malaba-Tororo-24h'!L32,'18.08 Malaba-Tororo'!L32)</f>
        <v>0</v>
      </c>
      <c r="M32" s="49">
        <f>AVERAGE('12.08 Malaba-Tororo'!M32,'13.08 Malaba-Tororo'!M32,'14.08 Malaba-Tororo'!M32,'15.08 Malaba-Tororo'!M32,'16.08 Malaba-Tororo-24h'!M32,'17.08 Malaba-Tororo-24h'!M32,'18.08 Malaba-Tororo'!M32)</f>
        <v>24.571428571428573</v>
      </c>
      <c r="N32" s="49">
        <f>AVERAGE('12.08 Malaba-Tororo'!N32,'13.08 Malaba-Tororo'!N32,'14.08 Malaba-Tororo'!N32,'15.08 Malaba-Tororo'!N32,'16.08 Malaba-Tororo-24h'!N32,'17.08 Malaba-Tororo-24h'!N32,'18.08 Malaba-Tororo'!N32)</f>
        <v>0.2857142857142857</v>
      </c>
      <c r="O32" s="15">
        <f t="shared" si="0"/>
        <v>11</v>
      </c>
      <c r="P32" s="15">
        <f t="shared" si="1"/>
        <v>35.571428571428569</v>
      </c>
      <c r="R32" s="1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0.5</v>
      </c>
      <c r="V32" s="34">
        <f t="shared" si="24"/>
        <v>2.5</v>
      </c>
      <c r="W32" s="34">
        <f t="shared" si="24"/>
        <v>0</v>
      </c>
      <c r="X32" s="34">
        <f t="shared" si="24"/>
        <v>2.5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16</v>
      </c>
      <c r="AD32" s="34">
        <f t="shared" si="24"/>
        <v>0</v>
      </c>
      <c r="AE32" s="31">
        <f t="shared" si="24"/>
        <v>7.5</v>
      </c>
      <c r="AF32" s="31">
        <f t="shared" si="24"/>
        <v>23.5</v>
      </c>
    </row>
    <row r="33" spans="2:32" ht="23.1" customHeight="1" x14ac:dyDescent="0.25">
      <c r="B33" s="23" t="s">
        <v>60</v>
      </c>
      <c r="C33" s="49">
        <f>AVERAGE('12.08 Malaba-Tororo'!C33,'13.08 Malaba-Tororo'!C33,'14.08 Malaba-Tororo'!C33,'15.08 Malaba-Tororo'!C33,'16.08 Malaba-Tororo-24h'!C33,'17.08 Malaba-Tororo-24h'!C33,'18.08 Malaba-Tororo'!C33)</f>
        <v>3.2857142857142856</v>
      </c>
      <c r="D33" s="49">
        <f>AVERAGE('12.08 Malaba-Tororo'!D33,'13.08 Malaba-Tororo'!D33,'14.08 Malaba-Tororo'!D33,'15.08 Malaba-Tororo'!D33,'16.08 Malaba-Tororo-24h'!D33,'17.08 Malaba-Tororo-24h'!D33,'18.08 Malaba-Tororo'!D33)</f>
        <v>0</v>
      </c>
      <c r="E33" s="49">
        <f>AVERAGE('12.08 Malaba-Tororo'!E33,'13.08 Malaba-Tororo'!E33,'14.08 Malaba-Tororo'!E33,'15.08 Malaba-Tororo'!E33,'16.08 Malaba-Tororo-24h'!E33,'17.08 Malaba-Tororo-24h'!E33,'18.08 Malaba-Tororo'!E33)</f>
        <v>1</v>
      </c>
      <c r="F33" s="49">
        <f>AVERAGE('12.08 Malaba-Tororo'!F33,'13.08 Malaba-Tororo'!F33,'14.08 Malaba-Tororo'!F33,'15.08 Malaba-Tororo'!F33,'16.08 Malaba-Tororo-24h'!F33,'17.08 Malaba-Tororo-24h'!F33,'18.08 Malaba-Tororo'!F33)</f>
        <v>1.5714285714285714</v>
      </c>
      <c r="G33" s="49">
        <f>AVERAGE('12.08 Malaba-Tororo'!G33,'13.08 Malaba-Tororo'!G33,'14.08 Malaba-Tororo'!G33,'15.08 Malaba-Tororo'!G33,'16.08 Malaba-Tororo-24h'!G33,'17.08 Malaba-Tororo-24h'!G33,'18.08 Malaba-Tororo'!G33)</f>
        <v>0</v>
      </c>
      <c r="H33" s="49">
        <f>AVERAGE('12.08 Malaba-Tororo'!H33,'13.08 Malaba-Tororo'!H33,'14.08 Malaba-Tororo'!H33,'15.08 Malaba-Tororo'!H33,'16.08 Malaba-Tororo-24h'!H33,'17.08 Malaba-Tororo-24h'!H33,'18.08 Malaba-Tororo'!H33)</f>
        <v>0.42857142857142855</v>
      </c>
      <c r="I33" s="49">
        <f>AVERAGE('12.08 Malaba-Tororo'!I33,'13.08 Malaba-Tororo'!I33,'14.08 Malaba-Tororo'!I33,'15.08 Malaba-Tororo'!I33,'16.08 Malaba-Tororo-24h'!I33,'17.08 Malaba-Tororo-24h'!I33,'18.08 Malaba-Tororo'!I33)</f>
        <v>1</v>
      </c>
      <c r="J33" s="49">
        <f>AVERAGE('12.08 Malaba-Tororo'!J33,'13.08 Malaba-Tororo'!J33,'14.08 Malaba-Tororo'!J33,'15.08 Malaba-Tororo'!J33,'16.08 Malaba-Tororo-24h'!J33,'17.08 Malaba-Tororo-24h'!J33,'18.08 Malaba-Tororo'!J33)</f>
        <v>0.2857142857142857</v>
      </c>
      <c r="K33" s="49">
        <f>AVERAGE('12.08 Malaba-Tororo'!K33,'13.08 Malaba-Tororo'!K33,'14.08 Malaba-Tororo'!K33,'15.08 Malaba-Tororo'!K33,'16.08 Malaba-Tororo-24h'!K33,'17.08 Malaba-Tororo-24h'!K33,'18.08 Malaba-Tororo'!K33)</f>
        <v>0</v>
      </c>
      <c r="L33" s="49">
        <f>AVERAGE('12.08 Malaba-Tororo'!L33,'13.08 Malaba-Tororo'!L33,'14.08 Malaba-Tororo'!L33,'15.08 Malaba-Tororo'!L33,'16.08 Malaba-Tororo-24h'!L33,'17.08 Malaba-Tororo-24h'!L33,'18.08 Malaba-Tororo'!L33)</f>
        <v>0</v>
      </c>
      <c r="M33" s="49">
        <f>AVERAGE('12.08 Malaba-Tororo'!M33,'13.08 Malaba-Tororo'!M33,'14.08 Malaba-Tororo'!M33,'15.08 Malaba-Tororo'!M33,'16.08 Malaba-Tororo-24h'!M33,'17.08 Malaba-Tororo-24h'!M33,'18.08 Malaba-Tororo'!M33)</f>
        <v>29</v>
      </c>
      <c r="N33" s="49">
        <f>AVERAGE('12.08 Malaba-Tororo'!N33,'13.08 Malaba-Tororo'!N33,'14.08 Malaba-Tororo'!N33,'15.08 Malaba-Tororo'!N33,'16.08 Malaba-Tororo-24h'!N33,'17.08 Malaba-Tororo-24h'!N33,'18.08 Malaba-Tororo'!N33)</f>
        <v>0</v>
      </c>
      <c r="O33" s="15">
        <f t="shared" si="0"/>
        <v>7.5714285714285712</v>
      </c>
      <c r="P33" s="15">
        <f t="shared" si="1"/>
        <v>36.571428571428569</v>
      </c>
      <c r="R33" s="1" t="s">
        <v>157</v>
      </c>
      <c r="S33" s="34">
        <f>SUM(C102:C105)</f>
        <v>3.5</v>
      </c>
      <c r="T33" s="34">
        <f t="shared" ref="T33:AF33" si="25">SUM(D102:D105)</f>
        <v>0</v>
      </c>
      <c r="U33" s="34">
        <f t="shared" si="25"/>
        <v>2.5</v>
      </c>
      <c r="V33" s="34">
        <f t="shared" si="25"/>
        <v>10</v>
      </c>
      <c r="W33" s="34">
        <f t="shared" si="25"/>
        <v>1</v>
      </c>
      <c r="X33" s="34">
        <f t="shared" si="25"/>
        <v>2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42</v>
      </c>
      <c r="AD33" s="34">
        <f t="shared" si="25"/>
        <v>0</v>
      </c>
      <c r="AE33" s="31">
        <f t="shared" si="25"/>
        <v>20</v>
      </c>
      <c r="AF33" s="31">
        <f t="shared" si="25"/>
        <v>62</v>
      </c>
    </row>
    <row r="34" spans="2:32" ht="23.1" customHeight="1" x14ac:dyDescent="0.25">
      <c r="B34" s="24" t="s">
        <v>61</v>
      </c>
      <c r="C34" s="49">
        <f>AVERAGE('12.08 Malaba-Tororo'!C34,'13.08 Malaba-Tororo'!C34,'14.08 Malaba-Tororo'!C34,'15.08 Malaba-Tororo'!C34,'16.08 Malaba-Tororo-24h'!C34,'17.08 Malaba-Tororo-24h'!C34,'18.08 Malaba-Tororo'!C34)</f>
        <v>4.5714285714285712</v>
      </c>
      <c r="D34" s="49">
        <f>AVERAGE('12.08 Malaba-Tororo'!D34,'13.08 Malaba-Tororo'!D34,'14.08 Malaba-Tororo'!D34,'15.08 Malaba-Tororo'!D34,'16.08 Malaba-Tororo-24h'!D34,'17.08 Malaba-Tororo-24h'!D34,'18.08 Malaba-Tororo'!D34)</f>
        <v>0.5714285714285714</v>
      </c>
      <c r="E34" s="49">
        <f>AVERAGE('12.08 Malaba-Tororo'!E34,'13.08 Malaba-Tororo'!E34,'14.08 Malaba-Tororo'!E34,'15.08 Malaba-Tororo'!E34,'16.08 Malaba-Tororo-24h'!E34,'17.08 Malaba-Tororo-24h'!E34,'18.08 Malaba-Tororo'!E34)</f>
        <v>4</v>
      </c>
      <c r="F34" s="49">
        <f>AVERAGE('12.08 Malaba-Tororo'!F34,'13.08 Malaba-Tororo'!F34,'14.08 Malaba-Tororo'!F34,'15.08 Malaba-Tororo'!F34,'16.08 Malaba-Tororo-24h'!F34,'17.08 Malaba-Tororo-24h'!F34,'18.08 Malaba-Tororo'!F34)</f>
        <v>4</v>
      </c>
      <c r="G34" s="49">
        <f>AVERAGE('12.08 Malaba-Tororo'!G34,'13.08 Malaba-Tororo'!G34,'14.08 Malaba-Tororo'!G34,'15.08 Malaba-Tororo'!G34,'16.08 Malaba-Tororo-24h'!G34,'17.08 Malaba-Tororo-24h'!G34,'18.08 Malaba-Tororo'!G34)</f>
        <v>0.5714285714285714</v>
      </c>
      <c r="H34" s="49">
        <f>AVERAGE('12.08 Malaba-Tororo'!H34,'13.08 Malaba-Tororo'!H34,'14.08 Malaba-Tororo'!H34,'15.08 Malaba-Tororo'!H34,'16.08 Malaba-Tororo-24h'!H34,'17.08 Malaba-Tororo-24h'!H34,'18.08 Malaba-Tororo'!H34)</f>
        <v>0</v>
      </c>
      <c r="I34" s="49">
        <f>AVERAGE('12.08 Malaba-Tororo'!I34,'13.08 Malaba-Tororo'!I34,'14.08 Malaba-Tororo'!I34,'15.08 Malaba-Tororo'!I34,'16.08 Malaba-Tororo-24h'!I34,'17.08 Malaba-Tororo-24h'!I34,'18.08 Malaba-Tororo'!I34)</f>
        <v>0.42857142857142855</v>
      </c>
      <c r="J34" s="49">
        <f>AVERAGE('12.08 Malaba-Tororo'!J34,'13.08 Malaba-Tororo'!J34,'14.08 Malaba-Tororo'!J34,'15.08 Malaba-Tororo'!J34,'16.08 Malaba-Tororo-24h'!J34,'17.08 Malaba-Tororo-24h'!J34,'18.08 Malaba-Tororo'!J34)</f>
        <v>0.42857142857142855</v>
      </c>
      <c r="K34" s="49">
        <f>AVERAGE('12.08 Malaba-Tororo'!K34,'13.08 Malaba-Tororo'!K34,'14.08 Malaba-Tororo'!K34,'15.08 Malaba-Tororo'!K34,'16.08 Malaba-Tororo-24h'!K34,'17.08 Malaba-Tororo-24h'!K34,'18.08 Malaba-Tororo'!K34)</f>
        <v>0.42857142857142855</v>
      </c>
      <c r="L34" s="49">
        <f>AVERAGE('12.08 Malaba-Tororo'!L34,'13.08 Malaba-Tororo'!L34,'14.08 Malaba-Tororo'!L34,'15.08 Malaba-Tororo'!L34,'16.08 Malaba-Tororo-24h'!L34,'17.08 Malaba-Tororo-24h'!L34,'18.08 Malaba-Tororo'!L34)</f>
        <v>0</v>
      </c>
      <c r="M34" s="49">
        <f>AVERAGE('12.08 Malaba-Tororo'!M34,'13.08 Malaba-Tororo'!M34,'14.08 Malaba-Tororo'!M34,'15.08 Malaba-Tororo'!M34,'16.08 Malaba-Tororo-24h'!M34,'17.08 Malaba-Tororo-24h'!M34,'18.08 Malaba-Tororo'!M34)</f>
        <v>27.571428571428573</v>
      </c>
      <c r="N34" s="49">
        <f>AVERAGE('12.08 Malaba-Tororo'!N34,'13.08 Malaba-Tororo'!N34,'14.08 Malaba-Tororo'!N34,'15.08 Malaba-Tororo'!N34,'16.08 Malaba-Tororo-24h'!N34,'17.08 Malaba-Tororo-24h'!N34,'18.08 Malaba-Tororo'!N34)</f>
        <v>0</v>
      </c>
      <c r="O34" s="15">
        <f t="shared" si="0"/>
        <v>15</v>
      </c>
      <c r="P34" s="15">
        <f t="shared" si="1"/>
        <v>42.571428571428569</v>
      </c>
      <c r="R34" s="38" t="s">
        <v>90</v>
      </c>
      <c r="S34" s="39">
        <f t="shared" ref="S34:AF34" si="26">MAX(S10:S12)</f>
        <v>9.9999999999999982</v>
      </c>
      <c r="T34" s="39">
        <f t="shared" si="26"/>
        <v>1.1428571428571428</v>
      </c>
      <c r="U34" s="39">
        <f t="shared" si="26"/>
        <v>9</v>
      </c>
      <c r="V34" s="39">
        <f t="shared" si="26"/>
        <v>7.5714285714285712</v>
      </c>
      <c r="W34" s="39">
        <f t="shared" si="26"/>
        <v>0.2857142857142857</v>
      </c>
      <c r="X34" s="39">
        <f t="shared" si="26"/>
        <v>1.2857142857142856</v>
      </c>
      <c r="Y34" s="39">
        <f t="shared" si="26"/>
        <v>4.1428571428571423</v>
      </c>
      <c r="Z34" s="39">
        <f t="shared" si="26"/>
        <v>0.14285714285714285</v>
      </c>
      <c r="AA34" s="39">
        <f t="shared" si="26"/>
        <v>0</v>
      </c>
      <c r="AB34" s="39">
        <f t="shared" si="26"/>
        <v>0</v>
      </c>
      <c r="AC34" s="39">
        <f t="shared" si="26"/>
        <v>105.57142857142857</v>
      </c>
      <c r="AD34" s="39">
        <f t="shared" si="26"/>
        <v>0.2857142857142857</v>
      </c>
      <c r="AE34" s="40">
        <f t="shared" si="26"/>
        <v>31.714285714285712</v>
      </c>
      <c r="AF34" s="40">
        <f t="shared" si="26"/>
        <v>137.28571428571428</v>
      </c>
    </row>
    <row r="35" spans="2:32" ht="23.1" customHeight="1" x14ac:dyDescent="0.25">
      <c r="B35" s="24" t="s">
        <v>62</v>
      </c>
      <c r="C35" s="49">
        <f>AVERAGE('12.08 Malaba-Tororo'!C35,'13.08 Malaba-Tororo'!C35,'14.08 Malaba-Tororo'!C35,'15.08 Malaba-Tororo'!C35,'16.08 Malaba-Tororo-24h'!C35,'17.08 Malaba-Tororo-24h'!C35,'18.08 Malaba-Tororo'!C35)</f>
        <v>4.1428571428571432</v>
      </c>
      <c r="D35" s="49">
        <f>AVERAGE('12.08 Malaba-Tororo'!D35,'13.08 Malaba-Tororo'!D35,'14.08 Malaba-Tororo'!D35,'15.08 Malaba-Tororo'!D35,'16.08 Malaba-Tororo-24h'!D35,'17.08 Malaba-Tororo-24h'!D35,'18.08 Malaba-Tororo'!D35)</f>
        <v>0.14285714285714285</v>
      </c>
      <c r="E35" s="49">
        <f>AVERAGE('12.08 Malaba-Tororo'!E35,'13.08 Malaba-Tororo'!E35,'14.08 Malaba-Tororo'!E35,'15.08 Malaba-Tororo'!E35,'16.08 Malaba-Tororo-24h'!E35,'17.08 Malaba-Tororo-24h'!E35,'18.08 Malaba-Tororo'!E35)</f>
        <v>2.8571428571428572</v>
      </c>
      <c r="F35" s="49">
        <f>AVERAGE('12.08 Malaba-Tororo'!F35,'13.08 Malaba-Tororo'!F35,'14.08 Malaba-Tororo'!F35,'15.08 Malaba-Tororo'!F35,'16.08 Malaba-Tororo-24h'!F35,'17.08 Malaba-Tororo-24h'!F35,'18.08 Malaba-Tororo'!F35)</f>
        <v>2.4285714285714284</v>
      </c>
      <c r="G35" s="49">
        <f>AVERAGE('12.08 Malaba-Tororo'!G35,'13.08 Malaba-Tororo'!G35,'14.08 Malaba-Tororo'!G35,'15.08 Malaba-Tororo'!G35,'16.08 Malaba-Tororo-24h'!G35,'17.08 Malaba-Tororo-24h'!G35,'18.08 Malaba-Tororo'!G35)</f>
        <v>0</v>
      </c>
      <c r="H35" s="49">
        <f>AVERAGE('12.08 Malaba-Tororo'!H35,'13.08 Malaba-Tororo'!H35,'14.08 Malaba-Tororo'!H35,'15.08 Malaba-Tororo'!H35,'16.08 Malaba-Tororo-24h'!H35,'17.08 Malaba-Tororo-24h'!H35,'18.08 Malaba-Tororo'!H35)</f>
        <v>0</v>
      </c>
      <c r="I35" s="49">
        <f>AVERAGE('12.08 Malaba-Tororo'!I35,'13.08 Malaba-Tororo'!I35,'14.08 Malaba-Tororo'!I35,'15.08 Malaba-Tororo'!I35,'16.08 Malaba-Tororo-24h'!I35,'17.08 Malaba-Tororo-24h'!I35,'18.08 Malaba-Tororo'!I35)</f>
        <v>0.2857142857142857</v>
      </c>
      <c r="J35" s="49">
        <f>AVERAGE('12.08 Malaba-Tororo'!J35,'13.08 Malaba-Tororo'!J35,'14.08 Malaba-Tororo'!J35,'15.08 Malaba-Tororo'!J35,'16.08 Malaba-Tororo-24h'!J35,'17.08 Malaba-Tororo-24h'!J35,'18.08 Malaba-Tororo'!J35)</f>
        <v>0.14285714285714285</v>
      </c>
      <c r="K35" s="49">
        <f>AVERAGE('12.08 Malaba-Tororo'!K35,'13.08 Malaba-Tororo'!K35,'14.08 Malaba-Tororo'!K35,'15.08 Malaba-Tororo'!K35,'16.08 Malaba-Tororo-24h'!K35,'17.08 Malaba-Tororo-24h'!K35,'18.08 Malaba-Tororo'!K35)</f>
        <v>0.42857142857142855</v>
      </c>
      <c r="L35" s="49">
        <f>AVERAGE('12.08 Malaba-Tororo'!L35,'13.08 Malaba-Tororo'!L35,'14.08 Malaba-Tororo'!L35,'15.08 Malaba-Tororo'!L35,'16.08 Malaba-Tororo-24h'!L35,'17.08 Malaba-Tororo-24h'!L35,'18.08 Malaba-Tororo'!L35)</f>
        <v>0</v>
      </c>
      <c r="M35" s="49">
        <f>AVERAGE('12.08 Malaba-Tororo'!M35,'13.08 Malaba-Tororo'!M35,'14.08 Malaba-Tororo'!M35,'15.08 Malaba-Tororo'!M35,'16.08 Malaba-Tororo-24h'!M35,'17.08 Malaba-Tororo-24h'!M35,'18.08 Malaba-Tororo'!M35)</f>
        <v>29.714285714285715</v>
      </c>
      <c r="N35" s="49">
        <f>AVERAGE('12.08 Malaba-Tororo'!N35,'13.08 Malaba-Tororo'!N35,'14.08 Malaba-Tororo'!N35,'15.08 Malaba-Tororo'!N35,'16.08 Malaba-Tororo-24h'!N35,'17.08 Malaba-Tororo-24h'!N35,'18.08 Malaba-Tororo'!N35)</f>
        <v>0</v>
      </c>
      <c r="O35" s="15">
        <f t="shared" si="0"/>
        <v>10.428571428571431</v>
      </c>
      <c r="P35" s="15">
        <f t="shared" si="1"/>
        <v>40.142857142857146</v>
      </c>
      <c r="R35" s="38" t="s">
        <v>91</v>
      </c>
      <c r="S35" s="39">
        <f t="shared" ref="S35:AF35" si="27">MAX(S13:S18)</f>
        <v>15.428571428571429</v>
      </c>
      <c r="T35" s="39">
        <f t="shared" si="27"/>
        <v>1.2857142857142856</v>
      </c>
      <c r="U35" s="39">
        <f t="shared" si="27"/>
        <v>12.714285714285715</v>
      </c>
      <c r="V35" s="39">
        <f t="shared" si="27"/>
        <v>10.714285714285715</v>
      </c>
      <c r="W35" s="39">
        <f t="shared" si="27"/>
        <v>1.1428571428571428</v>
      </c>
      <c r="X35" s="39">
        <f t="shared" si="27"/>
        <v>0.42857142857142855</v>
      </c>
      <c r="Y35" s="39">
        <f t="shared" si="27"/>
        <v>6.2857142857142856</v>
      </c>
      <c r="Z35" s="39">
        <f t="shared" si="27"/>
        <v>4.5714285714285712</v>
      </c>
      <c r="AA35" s="39">
        <f t="shared" si="27"/>
        <v>1</v>
      </c>
      <c r="AB35" s="39">
        <f t="shared" si="27"/>
        <v>0</v>
      </c>
      <c r="AC35" s="39">
        <f t="shared" si="27"/>
        <v>116.28571428571428</v>
      </c>
      <c r="AD35" s="39">
        <f t="shared" si="27"/>
        <v>0.2857142857142857</v>
      </c>
      <c r="AE35" s="40">
        <f t="shared" si="27"/>
        <v>46.285714285714292</v>
      </c>
      <c r="AF35" s="40">
        <f t="shared" si="27"/>
        <v>160.28571428571428</v>
      </c>
    </row>
    <row r="36" spans="2:32" ht="23.1" customHeight="1" x14ac:dyDescent="0.25">
      <c r="B36" s="24" t="s">
        <v>63</v>
      </c>
      <c r="C36" s="49">
        <f>AVERAGE('12.08 Malaba-Tororo'!C36,'13.08 Malaba-Tororo'!C36,'14.08 Malaba-Tororo'!C36,'15.08 Malaba-Tororo'!C36,'16.08 Malaba-Tororo-24h'!C36,'17.08 Malaba-Tororo-24h'!C36,'18.08 Malaba-Tororo'!C36)</f>
        <v>3.2857142857142856</v>
      </c>
      <c r="D36" s="49">
        <f>AVERAGE('12.08 Malaba-Tororo'!D36,'13.08 Malaba-Tororo'!D36,'14.08 Malaba-Tororo'!D36,'15.08 Malaba-Tororo'!D36,'16.08 Malaba-Tororo-24h'!D36,'17.08 Malaba-Tororo-24h'!D36,'18.08 Malaba-Tororo'!D36)</f>
        <v>0.42857142857142855</v>
      </c>
      <c r="E36" s="49">
        <f>AVERAGE('12.08 Malaba-Tororo'!E36,'13.08 Malaba-Tororo'!E36,'14.08 Malaba-Tororo'!E36,'15.08 Malaba-Tororo'!E36,'16.08 Malaba-Tororo-24h'!E36,'17.08 Malaba-Tororo-24h'!E36,'18.08 Malaba-Tororo'!E36)</f>
        <v>3.4285714285714284</v>
      </c>
      <c r="F36" s="49">
        <f>AVERAGE('12.08 Malaba-Tororo'!F36,'13.08 Malaba-Tororo'!F36,'14.08 Malaba-Tororo'!F36,'15.08 Malaba-Tororo'!F36,'16.08 Malaba-Tororo-24h'!F36,'17.08 Malaba-Tororo-24h'!F36,'18.08 Malaba-Tororo'!F36)</f>
        <v>2.2857142857142856</v>
      </c>
      <c r="G36" s="49">
        <f>AVERAGE('12.08 Malaba-Tororo'!G36,'13.08 Malaba-Tororo'!G36,'14.08 Malaba-Tororo'!G36,'15.08 Malaba-Tororo'!G36,'16.08 Malaba-Tororo-24h'!G36,'17.08 Malaba-Tororo-24h'!G36,'18.08 Malaba-Tororo'!G36)</f>
        <v>0</v>
      </c>
      <c r="H36" s="49">
        <f>AVERAGE('12.08 Malaba-Tororo'!H36,'13.08 Malaba-Tororo'!H36,'14.08 Malaba-Tororo'!H36,'15.08 Malaba-Tororo'!H36,'16.08 Malaba-Tororo-24h'!H36,'17.08 Malaba-Tororo-24h'!H36,'18.08 Malaba-Tororo'!H36)</f>
        <v>0</v>
      </c>
      <c r="I36" s="49">
        <f>AVERAGE('12.08 Malaba-Tororo'!I36,'13.08 Malaba-Tororo'!I36,'14.08 Malaba-Tororo'!I36,'15.08 Malaba-Tororo'!I36,'16.08 Malaba-Tororo-24h'!I36,'17.08 Malaba-Tororo-24h'!I36,'18.08 Malaba-Tororo'!I36)</f>
        <v>2</v>
      </c>
      <c r="J36" s="49">
        <f>AVERAGE('12.08 Malaba-Tororo'!J36,'13.08 Malaba-Tororo'!J36,'14.08 Malaba-Tororo'!J36,'15.08 Malaba-Tororo'!J36,'16.08 Malaba-Tororo-24h'!J36,'17.08 Malaba-Tororo-24h'!J36,'18.08 Malaba-Tororo'!J36)</f>
        <v>0</v>
      </c>
      <c r="K36" s="49">
        <f>AVERAGE('12.08 Malaba-Tororo'!K36,'13.08 Malaba-Tororo'!K36,'14.08 Malaba-Tororo'!K36,'15.08 Malaba-Tororo'!K36,'16.08 Malaba-Tororo-24h'!K36,'17.08 Malaba-Tororo-24h'!K36,'18.08 Malaba-Tororo'!K36)</f>
        <v>0</v>
      </c>
      <c r="L36" s="49">
        <f>AVERAGE('12.08 Malaba-Tororo'!L36,'13.08 Malaba-Tororo'!L36,'14.08 Malaba-Tororo'!L36,'15.08 Malaba-Tororo'!L36,'16.08 Malaba-Tororo-24h'!L36,'17.08 Malaba-Tororo-24h'!L36,'18.08 Malaba-Tororo'!L36)</f>
        <v>0</v>
      </c>
      <c r="M36" s="49">
        <f>AVERAGE('12.08 Malaba-Tororo'!M36,'13.08 Malaba-Tororo'!M36,'14.08 Malaba-Tororo'!M36,'15.08 Malaba-Tororo'!M36,'16.08 Malaba-Tororo-24h'!M36,'17.08 Malaba-Tororo-24h'!M36,'18.08 Malaba-Tororo'!M36)</f>
        <v>17.142857142857142</v>
      </c>
      <c r="N36" s="49">
        <f>AVERAGE('12.08 Malaba-Tororo'!N36,'13.08 Malaba-Tororo'!N36,'14.08 Malaba-Tororo'!N36,'15.08 Malaba-Tororo'!N36,'16.08 Malaba-Tororo-24h'!N36,'17.08 Malaba-Tororo-24h'!N36,'18.08 Malaba-Tororo'!N36)</f>
        <v>0</v>
      </c>
      <c r="O36" s="15">
        <f t="shared" si="0"/>
        <v>11.428571428571427</v>
      </c>
      <c r="P36" s="15">
        <f t="shared" si="1"/>
        <v>28.571428571428569</v>
      </c>
      <c r="R36" s="38" t="s">
        <v>92</v>
      </c>
      <c r="S36" s="39">
        <f t="shared" ref="S36:AF36" si="28">MAX(S19:S21)</f>
        <v>17</v>
      </c>
      <c r="T36" s="39">
        <f t="shared" si="28"/>
        <v>2.4285714285714288</v>
      </c>
      <c r="U36" s="39">
        <f t="shared" si="28"/>
        <v>13.714285714285715</v>
      </c>
      <c r="V36" s="39">
        <f t="shared" si="28"/>
        <v>13.285714285714286</v>
      </c>
      <c r="W36" s="39">
        <f t="shared" si="28"/>
        <v>1.1428571428571428</v>
      </c>
      <c r="X36" s="39">
        <f t="shared" si="28"/>
        <v>0</v>
      </c>
      <c r="Y36" s="39">
        <f t="shared" si="28"/>
        <v>5.8571428571428577</v>
      </c>
      <c r="Z36" s="39">
        <f t="shared" si="28"/>
        <v>1.2857142857142856</v>
      </c>
      <c r="AA36" s="39">
        <f t="shared" si="28"/>
        <v>0.42857142857142855</v>
      </c>
      <c r="AB36" s="39">
        <f t="shared" si="28"/>
        <v>0</v>
      </c>
      <c r="AC36" s="39">
        <f t="shared" si="28"/>
        <v>100.28571428571428</v>
      </c>
      <c r="AD36" s="39">
        <f t="shared" si="28"/>
        <v>0.42857142857142855</v>
      </c>
      <c r="AE36" s="40">
        <f t="shared" si="28"/>
        <v>52.285714285714292</v>
      </c>
      <c r="AF36" s="40">
        <f t="shared" si="28"/>
        <v>148.71428571428572</v>
      </c>
    </row>
    <row r="37" spans="2:32" ht="23.1" customHeight="1" x14ac:dyDescent="0.25">
      <c r="B37" s="23" t="s">
        <v>64</v>
      </c>
      <c r="C37" s="49">
        <f>AVERAGE('12.08 Malaba-Tororo'!C37,'13.08 Malaba-Tororo'!C37,'14.08 Malaba-Tororo'!C37,'15.08 Malaba-Tororo'!C37,'16.08 Malaba-Tororo-24h'!C37,'17.08 Malaba-Tororo-24h'!C37,'18.08 Malaba-Tororo'!C37)</f>
        <v>2.5714285714285716</v>
      </c>
      <c r="D37" s="49">
        <f>AVERAGE('12.08 Malaba-Tororo'!D37,'13.08 Malaba-Tororo'!D37,'14.08 Malaba-Tororo'!D37,'15.08 Malaba-Tororo'!D37,'16.08 Malaba-Tororo-24h'!D37,'17.08 Malaba-Tororo-24h'!D37,'18.08 Malaba-Tororo'!D37)</f>
        <v>0.14285714285714285</v>
      </c>
      <c r="E37" s="49">
        <f>AVERAGE('12.08 Malaba-Tororo'!E37,'13.08 Malaba-Tororo'!E37,'14.08 Malaba-Tororo'!E37,'15.08 Malaba-Tororo'!E37,'16.08 Malaba-Tororo-24h'!E37,'17.08 Malaba-Tororo-24h'!E37,'18.08 Malaba-Tororo'!E37)</f>
        <v>2.4285714285714284</v>
      </c>
      <c r="F37" s="49">
        <f>AVERAGE('12.08 Malaba-Tororo'!F37,'13.08 Malaba-Tororo'!F37,'14.08 Malaba-Tororo'!F37,'15.08 Malaba-Tororo'!F37,'16.08 Malaba-Tororo-24h'!F37,'17.08 Malaba-Tororo-24h'!F37,'18.08 Malaba-Tororo'!F37)</f>
        <v>2</v>
      </c>
      <c r="G37" s="49">
        <f>AVERAGE('12.08 Malaba-Tororo'!G37,'13.08 Malaba-Tororo'!G37,'14.08 Malaba-Tororo'!G37,'15.08 Malaba-Tororo'!G37,'16.08 Malaba-Tororo-24h'!G37,'17.08 Malaba-Tororo-24h'!G37,'18.08 Malaba-Tororo'!G37)</f>
        <v>0</v>
      </c>
      <c r="H37" s="49">
        <f>AVERAGE('12.08 Malaba-Tororo'!H37,'13.08 Malaba-Tororo'!H37,'14.08 Malaba-Tororo'!H37,'15.08 Malaba-Tororo'!H37,'16.08 Malaba-Tororo-24h'!H37,'17.08 Malaba-Tororo-24h'!H37,'18.08 Malaba-Tororo'!H37)</f>
        <v>0</v>
      </c>
      <c r="I37" s="49">
        <f>AVERAGE('12.08 Malaba-Tororo'!I37,'13.08 Malaba-Tororo'!I37,'14.08 Malaba-Tororo'!I37,'15.08 Malaba-Tororo'!I37,'16.08 Malaba-Tororo-24h'!I37,'17.08 Malaba-Tororo-24h'!I37,'18.08 Malaba-Tororo'!I37)</f>
        <v>1.5714285714285714</v>
      </c>
      <c r="J37" s="49">
        <f>AVERAGE('12.08 Malaba-Tororo'!J37,'13.08 Malaba-Tororo'!J37,'14.08 Malaba-Tororo'!J37,'15.08 Malaba-Tororo'!J37,'16.08 Malaba-Tororo-24h'!J37,'17.08 Malaba-Tororo-24h'!J37,'18.08 Malaba-Tororo'!J37)</f>
        <v>0.5714285714285714</v>
      </c>
      <c r="K37" s="49">
        <f>AVERAGE('12.08 Malaba-Tororo'!K37,'13.08 Malaba-Tororo'!K37,'14.08 Malaba-Tororo'!K37,'15.08 Malaba-Tororo'!K37,'16.08 Malaba-Tororo-24h'!K37,'17.08 Malaba-Tororo-24h'!K37,'18.08 Malaba-Tororo'!K37)</f>
        <v>0.14285714285714285</v>
      </c>
      <c r="L37" s="49">
        <f>AVERAGE('12.08 Malaba-Tororo'!L37,'13.08 Malaba-Tororo'!L37,'14.08 Malaba-Tororo'!L37,'15.08 Malaba-Tororo'!L37,'16.08 Malaba-Tororo-24h'!L37,'17.08 Malaba-Tororo-24h'!L37,'18.08 Malaba-Tororo'!L37)</f>
        <v>0</v>
      </c>
      <c r="M37" s="49">
        <f>AVERAGE('12.08 Malaba-Tororo'!M37,'13.08 Malaba-Tororo'!M37,'14.08 Malaba-Tororo'!M37,'15.08 Malaba-Tororo'!M37,'16.08 Malaba-Tororo-24h'!M37,'17.08 Malaba-Tororo-24h'!M37,'18.08 Malaba-Tororo'!M37)</f>
        <v>28.857142857142858</v>
      </c>
      <c r="N37" s="49">
        <f>AVERAGE('12.08 Malaba-Tororo'!N37,'13.08 Malaba-Tororo'!N37,'14.08 Malaba-Tororo'!N37,'15.08 Malaba-Tororo'!N37,'16.08 Malaba-Tororo-24h'!N37,'17.08 Malaba-Tororo-24h'!N37,'18.08 Malaba-Tororo'!N37)</f>
        <v>0</v>
      </c>
      <c r="O37" s="15">
        <f t="shared" si="0"/>
        <v>9.428571428571427</v>
      </c>
      <c r="P37" s="15">
        <f t="shared" si="1"/>
        <v>38.285714285714285</v>
      </c>
      <c r="R37" s="37" t="s">
        <v>85</v>
      </c>
      <c r="S37" s="35">
        <f t="shared" ref="S37:AF37" si="29">SUM(S10:S12)</f>
        <v>18.142857142857139</v>
      </c>
      <c r="T37" s="16">
        <f t="shared" si="29"/>
        <v>1.857142857142857</v>
      </c>
      <c r="U37" s="16">
        <f t="shared" si="29"/>
        <v>19</v>
      </c>
      <c r="V37" s="16">
        <f t="shared" si="29"/>
        <v>21.571428571428569</v>
      </c>
      <c r="W37" s="16">
        <f t="shared" si="29"/>
        <v>0.2857142857142857</v>
      </c>
      <c r="X37" s="16">
        <f t="shared" si="29"/>
        <v>2.714285714285714</v>
      </c>
      <c r="Y37" s="16">
        <f t="shared" si="29"/>
        <v>7.7142857142857135</v>
      </c>
      <c r="Z37" s="16">
        <f t="shared" si="29"/>
        <v>0.2857142857142857</v>
      </c>
      <c r="AA37" s="16">
        <f t="shared" si="29"/>
        <v>0</v>
      </c>
      <c r="AB37" s="16">
        <f t="shared" si="29"/>
        <v>0</v>
      </c>
      <c r="AC37" s="16">
        <f t="shared" si="29"/>
        <v>279.14285714285717</v>
      </c>
      <c r="AD37" s="16">
        <f t="shared" si="29"/>
        <v>0.2857142857142857</v>
      </c>
      <c r="AE37" s="32">
        <f t="shared" si="29"/>
        <v>71.857142857142847</v>
      </c>
      <c r="AF37" s="32">
        <f t="shared" si="29"/>
        <v>351</v>
      </c>
    </row>
    <row r="38" spans="2:32" ht="23.1" customHeight="1" x14ac:dyDescent="0.25">
      <c r="B38" s="24" t="s">
        <v>65</v>
      </c>
      <c r="C38" s="49">
        <f>AVERAGE('12.08 Malaba-Tororo'!C38,'13.08 Malaba-Tororo'!C38,'14.08 Malaba-Tororo'!C38,'15.08 Malaba-Tororo'!C38,'16.08 Malaba-Tororo-24h'!C38,'17.08 Malaba-Tororo-24h'!C38,'18.08 Malaba-Tororo'!C38)</f>
        <v>2.5714285714285716</v>
      </c>
      <c r="D38" s="49">
        <f>AVERAGE('12.08 Malaba-Tororo'!D38,'13.08 Malaba-Tororo'!D38,'14.08 Malaba-Tororo'!D38,'15.08 Malaba-Tororo'!D38,'16.08 Malaba-Tororo-24h'!D38,'17.08 Malaba-Tororo-24h'!D38,'18.08 Malaba-Tororo'!D38)</f>
        <v>0.14285714285714285</v>
      </c>
      <c r="E38" s="49">
        <f>AVERAGE('12.08 Malaba-Tororo'!E38,'13.08 Malaba-Tororo'!E38,'14.08 Malaba-Tororo'!E38,'15.08 Malaba-Tororo'!E38,'16.08 Malaba-Tororo-24h'!E38,'17.08 Malaba-Tororo-24h'!E38,'18.08 Malaba-Tororo'!E38)</f>
        <v>2</v>
      </c>
      <c r="F38" s="49">
        <f>AVERAGE('12.08 Malaba-Tororo'!F38,'13.08 Malaba-Tororo'!F38,'14.08 Malaba-Tororo'!F38,'15.08 Malaba-Tororo'!F38,'16.08 Malaba-Tororo-24h'!F38,'17.08 Malaba-Tororo-24h'!F38,'18.08 Malaba-Tororo'!F38)</f>
        <v>2.4285714285714284</v>
      </c>
      <c r="G38" s="49">
        <f>AVERAGE('12.08 Malaba-Tororo'!G38,'13.08 Malaba-Tororo'!G38,'14.08 Malaba-Tororo'!G38,'15.08 Malaba-Tororo'!G38,'16.08 Malaba-Tororo-24h'!G38,'17.08 Malaba-Tororo-24h'!G38,'18.08 Malaba-Tororo'!G38)</f>
        <v>0</v>
      </c>
      <c r="H38" s="49">
        <f>AVERAGE('12.08 Malaba-Tororo'!H38,'13.08 Malaba-Tororo'!H38,'14.08 Malaba-Tororo'!H38,'15.08 Malaba-Tororo'!H38,'16.08 Malaba-Tororo-24h'!H38,'17.08 Malaba-Tororo-24h'!H38,'18.08 Malaba-Tororo'!H38)</f>
        <v>0</v>
      </c>
      <c r="I38" s="49">
        <f>AVERAGE('12.08 Malaba-Tororo'!I38,'13.08 Malaba-Tororo'!I38,'14.08 Malaba-Tororo'!I38,'15.08 Malaba-Tororo'!I38,'16.08 Malaba-Tororo-24h'!I38,'17.08 Malaba-Tororo-24h'!I38,'18.08 Malaba-Tororo'!I38)</f>
        <v>0.8571428571428571</v>
      </c>
      <c r="J38" s="49">
        <f>AVERAGE('12.08 Malaba-Tororo'!J38,'13.08 Malaba-Tororo'!J38,'14.08 Malaba-Tororo'!J38,'15.08 Malaba-Tororo'!J38,'16.08 Malaba-Tororo-24h'!J38,'17.08 Malaba-Tororo-24h'!J38,'18.08 Malaba-Tororo'!J38)</f>
        <v>0.42857142857142855</v>
      </c>
      <c r="K38" s="49">
        <f>AVERAGE('12.08 Malaba-Tororo'!K38,'13.08 Malaba-Tororo'!K38,'14.08 Malaba-Tororo'!K38,'15.08 Malaba-Tororo'!K38,'16.08 Malaba-Tororo-24h'!K38,'17.08 Malaba-Tororo-24h'!K38,'18.08 Malaba-Tororo'!K38)</f>
        <v>0</v>
      </c>
      <c r="L38" s="49">
        <f>AVERAGE('12.08 Malaba-Tororo'!L38,'13.08 Malaba-Tororo'!L38,'14.08 Malaba-Tororo'!L38,'15.08 Malaba-Tororo'!L38,'16.08 Malaba-Tororo-24h'!L38,'17.08 Malaba-Tororo-24h'!L38,'18.08 Malaba-Tororo'!L38)</f>
        <v>0</v>
      </c>
      <c r="M38" s="49">
        <f>AVERAGE('12.08 Malaba-Tororo'!M38,'13.08 Malaba-Tororo'!M38,'14.08 Malaba-Tororo'!M38,'15.08 Malaba-Tororo'!M38,'16.08 Malaba-Tororo-24h'!M38,'17.08 Malaba-Tororo-24h'!M38,'18.08 Malaba-Tororo'!M38)</f>
        <v>23.428571428571427</v>
      </c>
      <c r="N38" s="49">
        <f>AVERAGE('12.08 Malaba-Tororo'!N38,'13.08 Malaba-Tororo'!N38,'14.08 Malaba-Tororo'!N38,'15.08 Malaba-Tororo'!N38,'16.08 Malaba-Tororo-24h'!N38,'17.08 Malaba-Tororo-24h'!N38,'18.08 Malaba-Tororo'!N38)</f>
        <v>0</v>
      </c>
      <c r="O38" s="15">
        <f t="shared" si="0"/>
        <v>8.428571428571427</v>
      </c>
      <c r="P38" s="15">
        <f t="shared" si="1"/>
        <v>31.857142857142854</v>
      </c>
      <c r="R38" s="28" t="s">
        <v>86</v>
      </c>
      <c r="S38" s="16">
        <f t="shared" ref="S38:AF38" si="30">SUM(S13:S18)</f>
        <v>76.857142857142861</v>
      </c>
      <c r="T38" s="16">
        <f t="shared" si="30"/>
        <v>6.9999999999999991</v>
      </c>
      <c r="U38" s="16">
        <f t="shared" si="30"/>
        <v>64.857142857142861</v>
      </c>
      <c r="V38" s="16">
        <f t="shared" si="30"/>
        <v>57.142857142857146</v>
      </c>
      <c r="W38" s="16">
        <f t="shared" si="30"/>
        <v>3.4285714285714284</v>
      </c>
      <c r="X38" s="16">
        <f t="shared" si="30"/>
        <v>0.5714285714285714</v>
      </c>
      <c r="Y38" s="16">
        <f t="shared" si="30"/>
        <v>29.285714285714285</v>
      </c>
      <c r="Z38" s="16">
        <f t="shared" si="30"/>
        <v>9.7142857142857135</v>
      </c>
      <c r="AA38" s="16">
        <f t="shared" si="30"/>
        <v>1.857142857142857</v>
      </c>
      <c r="AB38" s="16">
        <f t="shared" si="30"/>
        <v>0</v>
      </c>
      <c r="AC38" s="16">
        <f t="shared" si="30"/>
        <v>626.71428571428578</v>
      </c>
      <c r="AD38" s="16">
        <f t="shared" si="30"/>
        <v>0.2857142857142857</v>
      </c>
      <c r="AE38" s="32">
        <f t="shared" si="30"/>
        <v>251</v>
      </c>
      <c r="AF38" s="32">
        <f t="shared" si="30"/>
        <v>877.71428571428567</v>
      </c>
    </row>
    <row r="39" spans="2:32" ht="23.1" customHeight="1" x14ac:dyDescent="0.25">
      <c r="B39" s="24" t="s">
        <v>66</v>
      </c>
      <c r="C39" s="49">
        <f>AVERAGE('12.08 Malaba-Tororo'!C39,'13.08 Malaba-Tororo'!C39,'14.08 Malaba-Tororo'!C39,'15.08 Malaba-Tororo'!C39,'16.08 Malaba-Tororo-24h'!C39,'17.08 Malaba-Tororo-24h'!C39,'18.08 Malaba-Tororo'!C39)</f>
        <v>2.1428571428571428</v>
      </c>
      <c r="D39" s="49">
        <f>AVERAGE('12.08 Malaba-Tororo'!D39,'13.08 Malaba-Tororo'!D39,'14.08 Malaba-Tororo'!D39,'15.08 Malaba-Tororo'!D39,'16.08 Malaba-Tororo-24h'!D39,'17.08 Malaba-Tororo-24h'!D39,'18.08 Malaba-Tororo'!D39)</f>
        <v>0.2857142857142857</v>
      </c>
      <c r="E39" s="49">
        <f>AVERAGE('12.08 Malaba-Tororo'!E39,'13.08 Malaba-Tororo'!E39,'14.08 Malaba-Tororo'!E39,'15.08 Malaba-Tororo'!E39,'16.08 Malaba-Tororo-24h'!E39,'17.08 Malaba-Tororo-24h'!E39,'18.08 Malaba-Tororo'!E39)</f>
        <v>2.8571428571428572</v>
      </c>
      <c r="F39" s="49">
        <f>AVERAGE('12.08 Malaba-Tororo'!F39,'13.08 Malaba-Tororo'!F39,'14.08 Malaba-Tororo'!F39,'15.08 Malaba-Tororo'!F39,'16.08 Malaba-Tororo-24h'!F39,'17.08 Malaba-Tororo-24h'!F39,'18.08 Malaba-Tororo'!F39)</f>
        <v>2.1428571428571428</v>
      </c>
      <c r="G39" s="49">
        <f>AVERAGE('12.08 Malaba-Tororo'!G39,'13.08 Malaba-Tororo'!G39,'14.08 Malaba-Tororo'!G39,'15.08 Malaba-Tororo'!G39,'16.08 Malaba-Tororo-24h'!G39,'17.08 Malaba-Tororo-24h'!G39,'18.08 Malaba-Tororo'!G39)</f>
        <v>0</v>
      </c>
      <c r="H39" s="49">
        <f>AVERAGE('12.08 Malaba-Tororo'!H39,'13.08 Malaba-Tororo'!H39,'14.08 Malaba-Tororo'!H39,'15.08 Malaba-Tororo'!H39,'16.08 Malaba-Tororo-24h'!H39,'17.08 Malaba-Tororo-24h'!H39,'18.08 Malaba-Tororo'!H39)</f>
        <v>0</v>
      </c>
      <c r="I39" s="49">
        <f>AVERAGE('12.08 Malaba-Tororo'!I39,'13.08 Malaba-Tororo'!I39,'14.08 Malaba-Tororo'!I39,'15.08 Malaba-Tororo'!I39,'16.08 Malaba-Tororo-24h'!I39,'17.08 Malaba-Tororo-24h'!I39,'18.08 Malaba-Tororo'!I39)</f>
        <v>1</v>
      </c>
      <c r="J39" s="49">
        <f>AVERAGE('12.08 Malaba-Tororo'!J39,'13.08 Malaba-Tororo'!J39,'14.08 Malaba-Tororo'!J39,'15.08 Malaba-Tororo'!J39,'16.08 Malaba-Tororo-24h'!J39,'17.08 Malaba-Tororo-24h'!J39,'18.08 Malaba-Tororo'!J39)</f>
        <v>0.8571428571428571</v>
      </c>
      <c r="K39" s="49">
        <f>AVERAGE('12.08 Malaba-Tororo'!K39,'13.08 Malaba-Tororo'!K39,'14.08 Malaba-Tororo'!K39,'15.08 Malaba-Tororo'!K39,'16.08 Malaba-Tororo-24h'!K39,'17.08 Malaba-Tororo-24h'!K39,'18.08 Malaba-Tororo'!K39)</f>
        <v>0</v>
      </c>
      <c r="L39" s="49">
        <f>AVERAGE('12.08 Malaba-Tororo'!L39,'13.08 Malaba-Tororo'!L39,'14.08 Malaba-Tororo'!L39,'15.08 Malaba-Tororo'!L39,'16.08 Malaba-Tororo-24h'!L39,'17.08 Malaba-Tororo-24h'!L39,'18.08 Malaba-Tororo'!L39)</f>
        <v>0</v>
      </c>
      <c r="M39" s="49">
        <f>AVERAGE('12.08 Malaba-Tororo'!M39,'13.08 Malaba-Tororo'!M39,'14.08 Malaba-Tororo'!M39,'15.08 Malaba-Tororo'!M39,'16.08 Malaba-Tororo-24h'!M39,'17.08 Malaba-Tororo-24h'!M39,'18.08 Malaba-Tororo'!M39)</f>
        <v>23.142857142857142</v>
      </c>
      <c r="N39" s="49">
        <f>AVERAGE('12.08 Malaba-Tororo'!N39,'13.08 Malaba-Tororo'!N39,'14.08 Malaba-Tororo'!N39,'15.08 Malaba-Tororo'!N39,'16.08 Malaba-Tororo-24h'!N39,'17.08 Malaba-Tororo-24h'!N39,'18.08 Malaba-Tororo'!N39)</f>
        <v>0</v>
      </c>
      <c r="O39" s="15">
        <f t="shared" si="0"/>
        <v>9.2857142857142865</v>
      </c>
      <c r="P39" s="15">
        <f t="shared" si="1"/>
        <v>32.428571428571431</v>
      </c>
      <c r="R39" s="29" t="s">
        <v>87</v>
      </c>
      <c r="S39" s="16">
        <f t="shared" ref="S39:AF39" si="31">SUM(S19:S21)</f>
        <v>43.428571428571431</v>
      </c>
      <c r="T39" s="16">
        <f t="shared" si="31"/>
        <v>6</v>
      </c>
      <c r="U39" s="16">
        <f t="shared" si="31"/>
        <v>38.142857142857139</v>
      </c>
      <c r="V39" s="16">
        <f t="shared" si="31"/>
        <v>35</v>
      </c>
      <c r="W39" s="16">
        <f t="shared" si="31"/>
        <v>1.857142857142857</v>
      </c>
      <c r="X39" s="16">
        <f t="shared" si="31"/>
        <v>0</v>
      </c>
      <c r="Y39" s="16">
        <f t="shared" si="31"/>
        <v>16.142857142857142</v>
      </c>
      <c r="Z39" s="16">
        <f t="shared" si="31"/>
        <v>3.714285714285714</v>
      </c>
      <c r="AA39" s="16">
        <f t="shared" si="31"/>
        <v>0.42857142857142855</v>
      </c>
      <c r="AB39" s="16">
        <f t="shared" si="31"/>
        <v>0</v>
      </c>
      <c r="AC39" s="16">
        <f t="shared" si="31"/>
        <v>280.85714285714283</v>
      </c>
      <c r="AD39" s="16">
        <f t="shared" si="31"/>
        <v>0.5714285714285714</v>
      </c>
      <c r="AE39" s="32">
        <f t="shared" si="31"/>
        <v>145.28571428571428</v>
      </c>
      <c r="AF39" s="32">
        <f t="shared" si="31"/>
        <v>426.14285714285717</v>
      </c>
    </row>
    <row r="40" spans="2:32" ht="23.1" customHeight="1" x14ac:dyDescent="0.25">
      <c r="B40" s="24" t="s">
        <v>67</v>
      </c>
      <c r="C40" s="49">
        <f>AVERAGE('12.08 Malaba-Tororo'!C40,'13.08 Malaba-Tororo'!C40,'14.08 Malaba-Tororo'!C40,'15.08 Malaba-Tororo'!C40,'16.08 Malaba-Tororo-24h'!C40,'17.08 Malaba-Tororo-24h'!C40,'18.08 Malaba-Tororo'!C40)</f>
        <v>2.8571428571428572</v>
      </c>
      <c r="D40" s="49">
        <f>AVERAGE('12.08 Malaba-Tororo'!D40,'13.08 Malaba-Tororo'!D40,'14.08 Malaba-Tororo'!D40,'15.08 Malaba-Tororo'!D40,'16.08 Malaba-Tororo-24h'!D40,'17.08 Malaba-Tororo-24h'!D40,'18.08 Malaba-Tororo'!D40)</f>
        <v>0.42857142857142855</v>
      </c>
      <c r="E40" s="49">
        <f>AVERAGE('12.08 Malaba-Tororo'!E40,'13.08 Malaba-Tororo'!E40,'14.08 Malaba-Tororo'!E40,'15.08 Malaba-Tororo'!E40,'16.08 Malaba-Tororo-24h'!E40,'17.08 Malaba-Tororo-24h'!E40,'18.08 Malaba-Tororo'!E40)</f>
        <v>3.2857142857142856</v>
      </c>
      <c r="F40" s="49">
        <f>AVERAGE('12.08 Malaba-Tororo'!F40,'13.08 Malaba-Tororo'!F40,'14.08 Malaba-Tororo'!F40,'15.08 Malaba-Tororo'!F40,'16.08 Malaba-Tororo-24h'!F40,'17.08 Malaba-Tororo-24h'!F40,'18.08 Malaba-Tororo'!F40)</f>
        <v>2.4285714285714284</v>
      </c>
      <c r="G40" s="49">
        <f>AVERAGE('12.08 Malaba-Tororo'!G40,'13.08 Malaba-Tororo'!G40,'14.08 Malaba-Tororo'!G40,'15.08 Malaba-Tororo'!G40,'16.08 Malaba-Tororo-24h'!G40,'17.08 Malaba-Tororo-24h'!G40,'18.08 Malaba-Tororo'!G40)</f>
        <v>1</v>
      </c>
      <c r="H40" s="49">
        <f>AVERAGE('12.08 Malaba-Tororo'!H40,'13.08 Malaba-Tororo'!H40,'14.08 Malaba-Tororo'!H40,'15.08 Malaba-Tororo'!H40,'16.08 Malaba-Tororo-24h'!H40,'17.08 Malaba-Tororo-24h'!H40,'18.08 Malaba-Tororo'!H40)</f>
        <v>0</v>
      </c>
      <c r="I40" s="49">
        <f>AVERAGE('12.08 Malaba-Tororo'!I40,'13.08 Malaba-Tororo'!I40,'14.08 Malaba-Tororo'!I40,'15.08 Malaba-Tororo'!I40,'16.08 Malaba-Tororo-24h'!I40,'17.08 Malaba-Tororo-24h'!I40,'18.08 Malaba-Tororo'!I40)</f>
        <v>1</v>
      </c>
      <c r="J40" s="49">
        <f>AVERAGE('12.08 Malaba-Tororo'!J40,'13.08 Malaba-Tororo'!J40,'14.08 Malaba-Tororo'!J40,'15.08 Malaba-Tororo'!J40,'16.08 Malaba-Tororo-24h'!J40,'17.08 Malaba-Tororo-24h'!J40,'18.08 Malaba-Tororo'!J40)</f>
        <v>0.2857142857142857</v>
      </c>
      <c r="K40" s="49">
        <f>AVERAGE('12.08 Malaba-Tororo'!K40,'13.08 Malaba-Tororo'!K40,'14.08 Malaba-Tororo'!K40,'15.08 Malaba-Tororo'!K40,'16.08 Malaba-Tororo-24h'!K40,'17.08 Malaba-Tororo-24h'!K40,'18.08 Malaba-Tororo'!K40)</f>
        <v>0</v>
      </c>
      <c r="L40" s="49">
        <f>AVERAGE('12.08 Malaba-Tororo'!L40,'13.08 Malaba-Tororo'!L40,'14.08 Malaba-Tororo'!L40,'15.08 Malaba-Tororo'!L40,'16.08 Malaba-Tororo-24h'!L40,'17.08 Malaba-Tororo-24h'!L40,'18.08 Malaba-Tororo'!L40)</f>
        <v>0</v>
      </c>
      <c r="M40" s="49">
        <f>AVERAGE('12.08 Malaba-Tororo'!M40,'13.08 Malaba-Tororo'!M40,'14.08 Malaba-Tororo'!M40,'15.08 Malaba-Tororo'!M40,'16.08 Malaba-Tororo-24h'!M40,'17.08 Malaba-Tororo-24h'!M40,'18.08 Malaba-Tororo'!M40)</f>
        <v>20.857142857142858</v>
      </c>
      <c r="N40" s="49">
        <f>AVERAGE('12.08 Malaba-Tororo'!N40,'13.08 Malaba-Tororo'!N40,'14.08 Malaba-Tororo'!N40,'15.08 Malaba-Tororo'!N40,'16.08 Malaba-Tororo-24h'!N40,'17.08 Malaba-Tororo-24h'!N40,'18.08 Malaba-Tororo'!N40)</f>
        <v>0</v>
      </c>
      <c r="O40" s="15">
        <f t="shared" si="0"/>
        <v>11.285714285714286</v>
      </c>
      <c r="P40" s="15">
        <f t="shared" si="1"/>
        <v>32.142857142857146</v>
      </c>
      <c r="R40" s="5" t="s">
        <v>17</v>
      </c>
      <c r="S40" s="16">
        <f t="shared" ref="S40:AF40" si="32">SUM(S10:S21)</f>
        <v>138.42857142857142</v>
      </c>
      <c r="T40" s="16">
        <f t="shared" si="32"/>
        <v>14.857142857142856</v>
      </c>
      <c r="U40" s="16">
        <f t="shared" si="32"/>
        <v>122.00000000000001</v>
      </c>
      <c r="V40" s="16">
        <f t="shared" si="32"/>
        <v>113.71428571428572</v>
      </c>
      <c r="W40" s="16">
        <f t="shared" si="32"/>
        <v>5.5714285714285703</v>
      </c>
      <c r="X40" s="16">
        <f t="shared" si="32"/>
        <v>3.2857142857142851</v>
      </c>
      <c r="Y40" s="16">
        <f t="shared" si="32"/>
        <v>53.142857142857146</v>
      </c>
      <c r="Z40" s="16">
        <f t="shared" si="32"/>
        <v>13.714285714285712</v>
      </c>
      <c r="AA40" s="16">
        <f t="shared" si="32"/>
        <v>2.2857142857142856</v>
      </c>
      <c r="AB40" s="16">
        <f t="shared" si="32"/>
        <v>0</v>
      </c>
      <c r="AC40" s="16">
        <f t="shared" si="32"/>
        <v>1186.7142857142858</v>
      </c>
      <c r="AD40" s="16">
        <f t="shared" si="32"/>
        <v>1.1428571428571428</v>
      </c>
      <c r="AE40" s="32">
        <f t="shared" si="32"/>
        <v>468.14285714285717</v>
      </c>
      <c r="AF40" s="32">
        <f t="shared" si="32"/>
        <v>1654.8571428571431</v>
      </c>
    </row>
    <row r="41" spans="2:32" ht="23.1" customHeight="1" x14ac:dyDescent="0.25">
      <c r="B41" s="23" t="s">
        <v>68</v>
      </c>
      <c r="C41" s="49">
        <f>AVERAGE('12.08 Malaba-Tororo'!C41,'13.08 Malaba-Tororo'!C41,'14.08 Malaba-Tororo'!C41,'15.08 Malaba-Tororo'!C41,'16.08 Malaba-Tororo-24h'!C41,'17.08 Malaba-Tororo-24h'!C41,'18.08 Malaba-Tororo'!C41)</f>
        <v>1.5714285714285714</v>
      </c>
      <c r="D41" s="49">
        <f>AVERAGE('12.08 Malaba-Tororo'!D41,'13.08 Malaba-Tororo'!D41,'14.08 Malaba-Tororo'!D41,'15.08 Malaba-Tororo'!D41,'16.08 Malaba-Tororo-24h'!D41,'17.08 Malaba-Tororo-24h'!D41,'18.08 Malaba-Tororo'!D41)</f>
        <v>0.42857142857142855</v>
      </c>
      <c r="E41" s="49">
        <f>AVERAGE('12.08 Malaba-Tororo'!E41,'13.08 Malaba-Tororo'!E41,'14.08 Malaba-Tororo'!E41,'15.08 Malaba-Tororo'!E41,'16.08 Malaba-Tororo-24h'!E41,'17.08 Malaba-Tororo-24h'!E41,'18.08 Malaba-Tororo'!E41)</f>
        <v>2.4285714285714284</v>
      </c>
      <c r="F41" s="49">
        <f>AVERAGE('12.08 Malaba-Tororo'!F41,'13.08 Malaba-Tororo'!F41,'14.08 Malaba-Tororo'!F41,'15.08 Malaba-Tororo'!F41,'16.08 Malaba-Tororo-24h'!F41,'17.08 Malaba-Tororo-24h'!F41,'18.08 Malaba-Tororo'!F41)</f>
        <v>2.4285714285714284</v>
      </c>
      <c r="G41" s="49">
        <f>AVERAGE('12.08 Malaba-Tororo'!G41,'13.08 Malaba-Tororo'!G41,'14.08 Malaba-Tororo'!G41,'15.08 Malaba-Tororo'!G41,'16.08 Malaba-Tororo-24h'!G41,'17.08 Malaba-Tororo-24h'!G41,'18.08 Malaba-Tororo'!G41)</f>
        <v>0.14285714285714285</v>
      </c>
      <c r="H41" s="49">
        <f>AVERAGE('12.08 Malaba-Tororo'!H41,'13.08 Malaba-Tororo'!H41,'14.08 Malaba-Tororo'!H41,'15.08 Malaba-Tororo'!H41,'16.08 Malaba-Tororo-24h'!H41,'17.08 Malaba-Tororo-24h'!H41,'18.08 Malaba-Tororo'!H41)</f>
        <v>0</v>
      </c>
      <c r="I41" s="49">
        <f>AVERAGE('12.08 Malaba-Tororo'!I41,'13.08 Malaba-Tororo'!I41,'14.08 Malaba-Tororo'!I41,'15.08 Malaba-Tororo'!I41,'16.08 Malaba-Tororo-24h'!I41,'17.08 Malaba-Tororo-24h'!I41,'18.08 Malaba-Tororo'!I41)</f>
        <v>1.2857142857142858</v>
      </c>
      <c r="J41" s="49">
        <f>AVERAGE('12.08 Malaba-Tororo'!J41,'13.08 Malaba-Tororo'!J41,'14.08 Malaba-Tororo'!J41,'15.08 Malaba-Tororo'!J41,'16.08 Malaba-Tororo-24h'!J41,'17.08 Malaba-Tororo-24h'!J41,'18.08 Malaba-Tororo'!J41)</f>
        <v>0.5714285714285714</v>
      </c>
      <c r="K41" s="49">
        <f>AVERAGE('12.08 Malaba-Tororo'!K41,'13.08 Malaba-Tororo'!K41,'14.08 Malaba-Tororo'!K41,'15.08 Malaba-Tororo'!K41,'16.08 Malaba-Tororo-24h'!K41,'17.08 Malaba-Tororo-24h'!K41,'18.08 Malaba-Tororo'!K41)</f>
        <v>0.14285714285714285</v>
      </c>
      <c r="L41" s="49">
        <f>AVERAGE('12.08 Malaba-Tororo'!L41,'13.08 Malaba-Tororo'!L41,'14.08 Malaba-Tororo'!L41,'15.08 Malaba-Tororo'!L41,'16.08 Malaba-Tororo-24h'!L41,'17.08 Malaba-Tororo-24h'!L41,'18.08 Malaba-Tororo'!L41)</f>
        <v>0</v>
      </c>
      <c r="M41" s="49">
        <f>AVERAGE('12.08 Malaba-Tororo'!M41,'13.08 Malaba-Tororo'!M41,'14.08 Malaba-Tororo'!M41,'15.08 Malaba-Tororo'!M41,'16.08 Malaba-Tororo-24h'!M41,'17.08 Malaba-Tororo-24h'!M41,'18.08 Malaba-Tororo'!M41)</f>
        <v>20.285714285714285</v>
      </c>
      <c r="N41" s="49">
        <f>AVERAGE('12.08 Malaba-Tororo'!N41,'13.08 Malaba-Tororo'!N41,'14.08 Malaba-Tororo'!N41,'15.08 Malaba-Tororo'!N41,'16.08 Malaba-Tororo-24h'!N41,'17.08 Malaba-Tororo-24h'!N41,'18.08 Malaba-Tororo'!N41)</f>
        <v>0</v>
      </c>
      <c r="O41" s="15">
        <f t="shared" si="0"/>
        <v>9</v>
      </c>
      <c r="P41" s="15">
        <f t="shared" si="1"/>
        <v>29.285714285714285</v>
      </c>
      <c r="R41" s="5" t="s">
        <v>174</v>
      </c>
      <c r="S41" s="16">
        <f>SUM(S10:S33)</f>
        <v>190.92857142857142</v>
      </c>
      <c r="T41" s="16">
        <f t="shared" ref="T41:AD41" si="33">SUM(T10:T33)</f>
        <v>17.857142857142854</v>
      </c>
      <c r="U41" s="16">
        <f t="shared" si="33"/>
        <v>164</v>
      </c>
      <c r="V41" s="16">
        <f t="shared" si="33"/>
        <v>151.21428571428572</v>
      </c>
      <c r="W41" s="16">
        <f t="shared" si="33"/>
        <v>8.0714285714285694</v>
      </c>
      <c r="X41" s="16">
        <f t="shared" si="33"/>
        <v>9.2857142857142847</v>
      </c>
      <c r="Y41" s="16">
        <f t="shared" si="33"/>
        <v>76.642857142857139</v>
      </c>
      <c r="Z41" s="16">
        <f t="shared" si="33"/>
        <v>16.714285714285712</v>
      </c>
      <c r="AA41" s="16">
        <f t="shared" si="33"/>
        <v>2.2857142857142856</v>
      </c>
      <c r="AB41" s="16">
        <f t="shared" si="33"/>
        <v>0</v>
      </c>
      <c r="AC41" s="16">
        <f t="shared" si="33"/>
        <v>1438.2142857142858</v>
      </c>
      <c r="AD41" s="16">
        <f t="shared" si="33"/>
        <v>1.1428571428571428</v>
      </c>
      <c r="AE41" s="32">
        <f>SUM(AE10:AE33)</f>
        <v>638.14285714285711</v>
      </c>
      <c r="AF41" s="32">
        <f>SUM(AF10:AF33)</f>
        <v>2076.3571428571431</v>
      </c>
    </row>
    <row r="42" spans="2:32" ht="23.1" customHeight="1" x14ac:dyDescent="0.25">
      <c r="B42" s="24" t="s">
        <v>69</v>
      </c>
      <c r="C42" s="49">
        <f>AVERAGE('12.08 Malaba-Tororo'!C42,'13.08 Malaba-Tororo'!C42,'14.08 Malaba-Tororo'!C42,'15.08 Malaba-Tororo'!C42,'16.08 Malaba-Tororo-24h'!C42,'17.08 Malaba-Tororo-24h'!C42,'18.08 Malaba-Tororo'!C42)</f>
        <v>3.2857142857142856</v>
      </c>
      <c r="D42" s="49">
        <f>AVERAGE('12.08 Malaba-Tororo'!D42,'13.08 Malaba-Tororo'!D42,'14.08 Malaba-Tororo'!D42,'15.08 Malaba-Tororo'!D42,'16.08 Malaba-Tororo-24h'!D42,'17.08 Malaba-Tororo-24h'!D42,'18.08 Malaba-Tororo'!D42)</f>
        <v>0.2857142857142857</v>
      </c>
      <c r="E42" s="49">
        <f>AVERAGE('12.08 Malaba-Tororo'!E42,'13.08 Malaba-Tororo'!E42,'14.08 Malaba-Tororo'!E42,'15.08 Malaba-Tororo'!E42,'16.08 Malaba-Tororo-24h'!E42,'17.08 Malaba-Tororo-24h'!E42,'18.08 Malaba-Tororo'!E42)</f>
        <v>2.5714285714285716</v>
      </c>
      <c r="F42" s="49">
        <f>AVERAGE('12.08 Malaba-Tororo'!F42,'13.08 Malaba-Tororo'!F42,'14.08 Malaba-Tororo'!F42,'15.08 Malaba-Tororo'!F42,'16.08 Malaba-Tororo-24h'!F42,'17.08 Malaba-Tororo-24h'!F42,'18.08 Malaba-Tororo'!F42)</f>
        <v>1.7142857142857142</v>
      </c>
      <c r="G42" s="49">
        <f>AVERAGE('12.08 Malaba-Tororo'!G42,'13.08 Malaba-Tororo'!G42,'14.08 Malaba-Tororo'!G42,'15.08 Malaba-Tororo'!G42,'16.08 Malaba-Tororo-24h'!G42,'17.08 Malaba-Tororo-24h'!G42,'18.08 Malaba-Tororo'!G42)</f>
        <v>0</v>
      </c>
      <c r="H42" s="49">
        <f>AVERAGE('12.08 Malaba-Tororo'!H42,'13.08 Malaba-Tororo'!H42,'14.08 Malaba-Tororo'!H42,'15.08 Malaba-Tororo'!H42,'16.08 Malaba-Tororo-24h'!H42,'17.08 Malaba-Tororo-24h'!H42,'18.08 Malaba-Tororo'!H42)</f>
        <v>0</v>
      </c>
      <c r="I42" s="49">
        <f>AVERAGE('12.08 Malaba-Tororo'!I42,'13.08 Malaba-Tororo'!I42,'14.08 Malaba-Tororo'!I42,'15.08 Malaba-Tororo'!I42,'16.08 Malaba-Tororo-24h'!I42,'17.08 Malaba-Tororo-24h'!I42,'18.08 Malaba-Tororo'!I42)</f>
        <v>1</v>
      </c>
      <c r="J42" s="49">
        <f>AVERAGE('12.08 Malaba-Tororo'!J42,'13.08 Malaba-Tororo'!J42,'14.08 Malaba-Tororo'!J42,'15.08 Malaba-Tororo'!J42,'16.08 Malaba-Tororo-24h'!J42,'17.08 Malaba-Tororo-24h'!J42,'18.08 Malaba-Tororo'!J42)</f>
        <v>0.5714285714285714</v>
      </c>
      <c r="K42" s="49">
        <f>AVERAGE('12.08 Malaba-Tororo'!K42,'13.08 Malaba-Tororo'!K42,'14.08 Malaba-Tororo'!K42,'15.08 Malaba-Tororo'!K42,'16.08 Malaba-Tororo-24h'!K42,'17.08 Malaba-Tororo-24h'!K42,'18.08 Malaba-Tororo'!K42)</f>
        <v>0</v>
      </c>
      <c r="L42" s="49">
        <f>AVERAGE('12.08 Malaba-Tororo'!L42,'13.08 Malaba-Tororo'!L42,'14.08 Malaba-Tororo'!L42,'15.08 Malaba-Tororo'!L42,'16.08 Malaba-Tororo-24h'!L42,'17.08 Malaba-Tororo-24h'!L42,'18.08 Malaba-Tororo'!L42)</f>
        <v>0</v>
      </c>
      <c r="M42" s="49">
        <f>AVERAGE('12.08 Malaba-Tororo'!M42,'13.08 Malaba-Tororo'!M42,'14.08 Malaba-Tororo'!M42,'15.08 Malaba-Tororo'!M42,'16.08 Malaba-Tororo-24h'!M42,'17.08 Malaba-Tororo-24h'!M42,'18.08 Malaba-Tororo'!M42)</f>
        <v>18.285714285714285</v>
      </c>
      <c r="N42" s="49">
        <f>AVERAGE('12.08 Malaba-Tororo'!N42,'13.08 Malaba-Tororo'!N42,'14.08 Malaba-Tororo'!N42,'15.08 Malaba-Tororo'!N42,'16.08 Malaba-Tororo-24h'!N42,'17.08 Malaba-Tororo-24h'!N42,'18.08 Malaba-Tororo'!N42)</f>
        <v>0</v>
      </c>
      <c r="O42" s="15">
        <f t="shared" si="0"/>
        <v>9.4285714285714288</v>
      </c>
      <c r="P42" s="15">
        <f t="shared" si="1"/>
        <v>27.714285714285715</v>
      </c>
      <c r="R42" s="5" t="s">
        <v>160</v>
      </c>
      <c r="S42" s="48">
        <f>S41/S40</f>
        <v>1.3792569659442724</v>
      </c>
      <c r="T42" s="48">
        <f t="shared" ref="T42:AF42" si="34">T41/T40</f>
        <v>1.2019230769230769</v>
      </c>
      <c r="U42" s="48">
        <f t="shared" si="34"/>
        <v>1.3442622950819672</v>
      </c>
      <c r="V42" s="48">
        <f t="shared" si="34"/>
        <v>1.3297738693467336</v>
      </c>
      <c r="W42" s="48">
        <f t="shared" si="34"/>
        <v>1.4487179487179487</v>
      </c>
      <c r="X42" s="48">
        <f t="shared" si="34"/>
        <v>2.8260869565217392</v>
      </c>
      <c r="Y42" s="48">
        <f t="shared" si="34"/>
        <v>1.4422043010752688</v>
      </c>
      <c r="Z42" s="48">
        <f t="shared" si="34"/>
        <v>1.21875</v>
      </c>
      <c r="AA42" s="48">
        <f t="shared" si="34"/>
        <v>1</v>
      </c>
      <c r="AB42" s="48" t="e">
        <f t="shared" si="34"/>
        <v>#DIV/0!</v>
      </c>
      <c r="AC42" s="48">
        <f t="shared" si="34"/>
        <v>1.2119296978451908</v>
      </c>
      <c r="AD42" s="48">
        <f t="shared" si="34"/>
        <v>1</v>
      </c>
      <c r="AE42" s="51">
        <f t="shared" si="34"/>
        <v>1.3631370155630149</v>
      </c>
      <c r="AF42" s="51">
        <f t="shared" si="34"/>
        <v>1.25470476519337</v>
      </c>
    </row>
    <row r="43" spans="2:32" ht="23.1" customHeight="1" x14ac:dyDescent="0.25">
      <c r="B43" s="23" t="s">
        <v>70</v>
      </c>
      <c r="C43" s="49">
        <f>AVERAGE('12.08 Malaba-Tororo'!C43,'13.08 Malaba-Tororo'!C43,'14.08 Malaba-Tororo'!C43,'15.08 Malaba-Tororo'!C43,'16.08 Malaba-Tororo-24h'!C43,'17.08 Malaba-Tororo-24h'!C43,'18.08 Malaba-Tororo'!C43)</f>
        <v>2.5714285714285716</v>
      </c>
      <c r="D43" s="49">
        <f>AVERAGE('12.08 Malaba-Tororo'!D43,'13.08 Malaba-Tororo'!D43,'14.08 Malaba-Tororo'!D43,'15.08 Malaba-Tororo'!D43,'16.08 Malaba-Tororo-24h'!D43,'17.08 Malaba-Tororo-24h'!D43,'18.08 Malaba-Tororo'!D43)</f>
        <v>0.2857142857142857</v>
      </c>
      <c r="E43" s="49">
        <f>AVERAGE('12.08 Malaba-Tororo'!E43,'13.08 Malaba-Tororo'!E43,'14.08 Malaba-Tororo'!E43,'15.08 Malaba-Tororo'!E43,'16.08 Malaba-Tororo-24h'!E43,'17.08 Malaba-Tororo-24h'!E43,'18.08 Malaba-Tororo'!E43)</f>
        <v>2.5714285714285716</v>
      </c>
      <c r="F43" s="49">
        <f>AVERAGE('12.08 Malaba-Tororo'!F43,'13.08 Malaba-Tororo'!F43,'14.08 Malaba-Tororo'!F43,'15.08 Malaba-Tororo'!F43,'16.08 Malaba-Tororo-24h'!F43,'17.08 Malaba-Tororo-24h'!F43,'18.08 Malaba-Tororo'!F43)</f>
        <v>3.2857142857142856</v>
      </c>
      <c r="G43" s="49">
        <f>AVERAGE('12.08 Malaba-Tororo'!G43,'13.08 Malaba-Tororo'!G43,'14.08 Malaba-Tororo'!G43,'15.08 Malaba-Tororo'!G43,'16.08 Malaba-Tororo-24h'!G43,'17.08 Malaba-Tororo-24h'!G43,'18.08 Malaba-Tororo'!G43)</f>
        <v>0</v>
      </c>
      <c r="H43" s="49">
        <f>AVERAGE('12.08 Malaba-Tororo'!H43,'13.08 Malaba-Tororo'!H43,'14.08 Malaba-Tororo'!H43,'15.08 Malaba-Tororo'!H43,'16.08 Malaba-Tororo-24h'!H43,'17.08 Malaba-Tororo-24h'!H43,'18.08 Malaba-Tororo'!H43)</f>
        <v>0</v>
      </c>
      <c r="I43" s="49">
        <f>AVERAGE('12.08 Malaba-Tororo'!I43,'13.08 Malaba-Tororo'!I43,'14.08 Malaba-Tororo'!I43,'15.08 Malaba-Tororo'!I43,'16.08 Malaba-Tororo-24h'!I43,'17.08 Malaba-Tororo-24h'!I43,'18.08 Malaba-Tororo'!I43)</f>
        <v>0.5714285714285714</v>
      </c>
      <c r="J43" s="49">
        <f>AVERAGE('12.08 Malaba-Tororo'!J43,'13.08 Malaba-Tororo'!J43,'14.08 Malaba-Tororo'!J43,'15.08 Malaba-Tororo'!J43,'16.08 Malaba-Tororo-24h'!J43,'17.08 Malaba-Tororo-24h'!J43,'18.08 Malaba-Tororo'!J43)</f>
        <v>0.2857142857142857</v>
      </c>
      <c r="K43" s="49">
        <f>AVERAGE('12.08 Malaba-Tororo'!K43,'13.08 Malaba-Tororo'!K43,'14.08 Malaba-Tororo'!K43,'15.08 Malaba-Tororo'!K43,'16.08 Malaba-Tororo-24h'!K43,'17.08 Malaba-Tororo-24h'!K43,'18.08 Malaba-Tororo'!K43)</f>
        <v>0</v>
      </c>
      <c r="L43" s="49">
        <f>AVERAGE('12.08 Malaba-Tororo'!L43,'13.08 Malaba-Tororo'!L43,'14.08 Malaba-Tororo'!L43,'15.08 Malaba-Tororo'!L43,'16.08 Malaba-Tororo-24h'!L43,'17.08 Malaba-Tororo-24h'!L43,'18.08 Malaba-Tororo'!L43)</f>
        <v>0</v>
      </c>
      <c r="M43" s="49">
        <f>AVERAGE('12.08 Malaba-Tororo'!M43,'13.08 Malaba-Tororo'!M43,'14.08 Malaba-Tororo'!M43,'15.08 Malaba-Tororo'!M43,'16.08 Malaba-Tororo-24h'!M43,'17.08 Malaba-Tororo-24h'!M43,'18.08 Malaba-Tororo'!M43)</f>
        <v>24.714285714285715</v>
      </c>
      <c r="N43" s="49">
        <f>AVERAGE('12.08 Malaba-Tororo'!N43,'13.08 Malaba-Tororo'!N43,'14.08 Malaba-Tororo'!N43,'15.08 Malaba-Tororo'!N43,'16.08 Malaba-Tororo-24h'!N43,'17.08 Malaba-Tororo-24h'!N43,'18.08 Malaba-Tororo'!N43)</f>
        <v>0</v>
      </c>
      <c r="O43" s="15">
        <f t="shared" si="0"/>
        <v>9.571428571428573</v>
      </c>
      <c r="P43" s="15">
        <f t="shared" si="1"/>
        <v>34.285714285714292</v>
      </c>
    </row>
    <row r="44" spans="2:32" ht="23.1" customHeight="1" x14ac:dyDescent="0.25">
      <c r="B44" s="25" t="s">
        <v>71</v>
      </c>
      <c r="C44" s="49">
        <f>AVERAGE('12.08 Malaba-Tororo'!C44,'13.08 Malaba-Tororo'!C44,'14.08 Malaba-Tororo'!C44,'15.08 Malaba-Tororo'!C44,'16.08 Malaba-Tororo-24h'!C44,'17.08 Malaba-Tororo-24h'!C44,'18.08 Malaba-Tororo'!C44)</f>
        <v>4</v>
      </c>
      <c r="D44" s="49">
        <f>AVERAGE('12.08 Malaba-Tororo'!D44,'13.08 Malaba-Tororo'!D44,'14.08 Malaba-Tororo'!D44,'15.08 Malaba-Tororo'!D44,'16.08 Malaba-Tororo-24h'!D44,'17.08 Malaba-Tororo-24h'!D44,'18.08 Malaba-Tororo'!D44)</f>
        <v>0.14285714285714285</v>
      </c>
      <c r="E44" s="49">
        <f>AVERAGE('12.08 Malaba-Tororo'!E44,'13.08 Malaba-Tororo'!E44,'14.08 Malaba-Tororo'!E44,'15.08 Malaba-Tororo'!E44,'16.08 Malaba-Tororo-24h'!E44,'17.08 Malaba-Tororo-24h'!E44,'18.08 Malaba-Tororo'!E44)</f>
        <v>2.2857142857142856</v>
      </c>
      <c r="F44" s="49">
        <f>AVERAGE('12.08 Malaba-Tororo'!F44,'13.08 Malaba-Tororo'!F44,'14.08 Malaba-Tororo'!F44,'15.08 Malaba-Tororo'!F44,'16.08 Malaba-Tororo-24h'!F44,'17.08 Malaba-Tororo-24h'!F44,'18.08 Malaba-Tororo'!F44)</f>
        <v>1.1428571428571428</v>
      </c>
      <c r="G44" s="49">
        <f>AVERAGE('12.08 Malaba-Tororo'!G44,'13.08 Malaba-Tororo'!G44,'14.08 Malaba-Tororo'!G44,'15.08 Malaba-Tororo'!G44,'16.08 Malaba-Tororo-24h'!G44,'17.08 Malaba-Tororo-24h'!G44,'18.08 Malaba-Tororo'!G44)</f>
        <v>0.2857142857142857</v>
      </c>
      <c r="H44" s="49">
        <f>AVERAGE('12.08 Malaba-Tororo'!H44,'13.08 Malaba-Tororo'!H44,'14.08 Malaba-Tororo'!H44,'15.08 Malaba-Tororo'!H44,'16.08 Malaba-Tororo-24h'!H44,'17.08 Malaba-Tororo-24h'!H44,'18.08 Malaba-Tororo'!H44)</f>
        <v>0</v>
      </c>
      <c r="I44" s="49">
        <f>AVERAGE('12.08 Malaba-Tororo'!I44,'13.08 Malaba-Tororo'!I44,'14.08 Malaba-Tororo'!I44,'15.08 Malaba-Tororo'!I44,'16.08 Malaba-Tororo-24h'!I44,'17.08 Malaba-Tororo-24h'!I44,'18.08 Malaba-Tororo'!I44)</f>
        <v>1.4285714285714286</v>
      </c>
      <c r="J44" s="49">
        <f>AVERAGE('12.08 Malaba-Tororo'!J44,'13.08 Malaba-Tororo'!J44,'14.08 Malaba-Tororo'!J44,'15.08 Malaba-Tororo'!J44,'16.08 Malaba-Tororo-24h'!J44,'17.08 Malaba-Tororo-24h'!J44,'18.08 Malaba-Tororo'!J44)</f>
        <v>0</v>
      </c>
      <c r="K44" s="49">
        <f>AVERAGE('12.08 Malaba-Tororo'!K44,'13.08 Malaba-Tororo'!K44,'14.08 Malaba-Tororo'!K44,'15.08 Malaba-Tororo'!K44,'16.08 Malaba-Tororo-24h'!K44,'17.08 Malaba-Tororo-24h'!K44,'18.08 Malaba-Tororo'!K44)</f>
        <v>0</v>
      </c>
      <c r="L44" s="49">
        <f>AVERAGE('12.08 Malaba-Tororo'!L44,'13.08 Malaba-Tororo'!L44,'14.08 Malaba-Tororo'!L44,'15.08 Malaba-Tororo'!L44,'16.08 Malaba-Tororo-24h'!L44,'17.08 Malaba-Tororo-24h'!L44,'18.08 Malaba-Tororo'!L44)</f>
        <v>0</v>
      </c>
      <c r="M44" s="49">
        <f>AVERAGE('12.08 Malaba-Tororo'!M44,'13.08 Malaba-Tororo'!M44,'14.08 Malaba-Tororo'!M44,'15.08 Malaba-Tororo'!M44,'16.08 Malaba-Tororo-24h'!M44,'17.08 Malaba-Tororo-24h'!M44,'18.08 Malaba-Tororo'!M44)</f>
        <v>26.714285714285715</v>
      </c>
      <c r="N44" s="49">
        <f>AVERAGE('12.08 Malaba-Tororo'!N44,'13.08 Malaba-Tororo'!N44,'14.08 Malaba-Tororo'!N44,'15.08 Malaba-Tororo'!N44,'16.08 Malaba-Tororo-24h'!N44,'17.08 Malaba-Tororo-24h'!N44,'18.08 Malaba-Tororo'!N44)</f>
        <v>0</v>
      </c>
      <c r="O44" s="15">
        <f t="shared" si="0"/>
        <v>9.2857142857142847</v>
      </c>
      <c r="P44" s="15">
        <f t="shared" si="1"/>
        <v>36</v>
      </c>
    </row>
    <row r="45" spans="2:32" ht="23.1" customHeight="1" x14ac:dyDescent="0.25">
      <c r="B45" s="23" t="s">
        <v>72</v>
      </c>
      <c r="C45" s="49">
        <f>AVERAGE('12.08 Malaba-Tororo'!C45,'13.08 Malaba-Tororo'!C45,'14.08 Malaba-Tororo'!C45,'15.08 Malaba-Tororo'!C45,'16.08 Malaba-Tororo-24h'!C45,'17.08 Malaba-Tororo-24h'!C45,'18.08 Malaba-Tororo'!C45)</f>
        <v>2</v>
      </c>
      <c r="D45" s="49">
        <f>AVERAGE('12.08 Malaba-Tororo'!D45,'13.08 Malaba-Tororo'!D45,'14.08 Malaba-Tororo'!D45,'15.08 Malaba-Tororo'!D45,'16.08 Malaba-Tororo-24h'!D45,'17.08 Malaba-Tororo-24h'!D45,'18.08 Malaba-Tororo'!D45)</f>
        <v>0.2857142857142857</v>
      </c>
      <c r="E45" s="49">
        <f>AVERAGE('12.08 Malaba-Tororo'!E45,'13.08 Malaba-Tororo'!E45,'14.08 Malaba-Tororo'!E45,'15.08 Malaba-Tororo'!E45,'16.08 Malaba-Tororo-24h'!E45,'17.08 Malaba-Tororo-24h'!E45,'18.08 Malaba-Tororo'!E45)</f>
        <v>2.8571428571428572</v>
      </c>
      <c r="F45" s="49">
        <f>AVERAGE('12.08 Malaba-Tororo'!F45,'13.08 Malaba-Tororo'!F45,'14.08 Malaba-Tororo'!F45,'15.08 Malaba-Tororo'!F45,'16.08 Malaba-Tororo-24h'!F45,'17.08 Malaba-Tororo-24h'!F45,'18.08 Malaba-Tororo'!F45)</f>
        <v>1.8571428571428572</v>
      </c>
      <c r="G45" s="49">
        <f>AVERAGE('12.08 Malaba-Tororo'!G45,'13.08 Malaba-Tororo'!G45,'14.08 Malaba-Tororo'!G45,'15.08 Malaba-Tororo'!G45,'16.08 Malaba-Tororo-24h'!G45,'17.08 Malaba-Tororo-24h'!G45,'18.08 Malaba-Tororo'!G45)</f>
        <v>0.14285714285714285</v>
      </c>
      <c r="H45" s="49">
        <f>AVERAGE('12.08 Malaba-Tororo'!H45,'13.08 Malaba-Tororo'!H45,'14.08 Malaba-Tororo'!H45,'15.08 Malaba-Tororo'!H45,'16.08 Malaba-Tororo-24h'!H45,'17.08 Malaba-Tororo-24h'!H45,'18.08 Malaba-Tororo'!H45)</f>
        <v>0</v>
      </c>
      <c r="I45" s="49">
        <f>AVERAGE('12.08 Malaba-Tororo'!I45,'13.08 Malaba-Tororo'!I45,'14.08 Malaba-Tororo'!I45,'15.08 Malaba-Tororo'!I45,'16.08 Malaba-Tororo-24h'!I45,'17.08 Malaba-Tororo-24h'!I45,'18.08 Malaba-Tororo'!I45)</f>
        <v>2</v>
      </c>
      <c r="J45" s="49">
        <f>AVERAGE('12.08 Malaba-Tororo'!J45,'13.08 Malaba-Tororo'!J45,'14.08 Malaba-Tororo'!J45,'15.08 Malaba-Tororo'!J45,'16.08 Malaba-Tororo-24h'!J45,'17.08 Malaba-Tororo-24h'!J45,'18.08 Malaba-Tororo'!J45)</f>
        <v>0</v>
      </c>
      <c r="K45" s="49">
        <f>AVERAGE('12.08 Malaba-Tororo'!K45,'13.08 Malaba-Tororo'!K45,'14.08 Malaba-Tororo'!K45,'15.08 Malaba-Tororo'!K45,'16.08 Malaba-Tororo-24h'!K45,'17.08 Malaba-Tororo-24h'!K45,'18.08 Malaba-Tororo'!K45)</f>
        <v>0</v>
      </c>
      <c r="L45" s="49">
        <f>AVERAGE('12.08 Malaba-Tororo'!L45,'13.08 Malaba-Tororo'!L45,'14.08 Malaba-Tororo'!L45,'15.08 Malaba-Tororo'!L45,'16.08 Malaba-Tororo-24h'!L45,'17.08 Malaba-Tororo-24h'!L45,'18.08 Malaba-Tororo'!L45)</f>
        <v>0</v>
      </c>
      <c r="M45" s="49">
        <f>AVERAGE('12.08 Malaba-Tororo'!M45,'13.08 Malaba-Tororo'!M45,'14.08 Malaba-Tororo'!M45,'15.08 Malaba-Tororo'!M45,'16.08 Malaba-Tororo-24h'!M45,'17.08 Malaba-Tororo-24h'!M45,'18.08 Malaba-Tororo'!M45)</f>
        <v>26</v>
      </c>
      <c r="N45" s="49">
        <f>AVERAGE('12.08 Malaba-Tororo'!N45,'13.08 Malaba-Tororo'!N45,'14.08 Malaba-Tororo'!N45,'15.08 Malaba-Tororo'!N45,'16.08 Malaba-Tororo-24h'!N45,'17.08 Malaba-Tororo-24h'!N45,'18.08 Malaba-Tororo'!N45)</f>
        <v>0</v>
      </c>
      <c r="O45" s="15">
        <f t="shared" si="0"/>
        <v>9.1428571428571423</v>
      </c>
      <c r="P45" s="15">
        <f t="shared" si="1"/>
        <v>35.142857142857139</v>
      </c>
    </row>
    <row r="46" spans="2:32" ht="23.1" customHeight="1" x14ac:dyDescent="0.25">
      <c r="B46" s="24" t="s">
        <v>73</v>
      </c>
      <c r="C46" s="49">
        <f>AVERAGE('12.08 Malaba-Tororo'!C46,'13.08 Malaba-Tororo'!C46,'14.08 Malaba-Tororo'!C46,'15.08 Malaba-Tororo'!C46,'16.08 Malaba-Tororo-24h'!C46,'17.08 Malaba-Tororo-24h'!C46,'18.08 Malaba-Tororo'!C46)</f>
        <v>4.1428571428571432</v>
      </c>
      <c r="D46" s="49">
        <f>AVERAGE('12.08 Malaba-Tororo'!D46,'13.08 Malaba-Tororo'!D46,'14.08 Malaba-Tororo'!D46,'15.08 Malaba-Tororo'!D46,'16.08 Malaba-Tororo-24h'!D46,'17.08 Malaba-Tororo-24h'!D46,'18.08 Malaba-Tororo'!D46)</f>
        <v>0.14285714285714285</v>
      </c>
      <c r="E46" s="49">
        <f>AVERAGE('12.08 Malaba-Tororo'!E46,'13.08 Malaba-Tororo'!E46,'14.08 Malaba-Tororo'!E46,'15.08 Malaba-Tororo'!E46,'16.08 Malaba-Tororo-24h'!E46,'17.08 Malaba-Tororo-24h'!E46,'18.08 Malaba-Tororo'!E46)</f>
        <v>1.2857142857142858</v>
      </c>
      <c r="F46" s="49">
        <f>AVERAGE('12.08 Malaba-Tororo'!F46,'13.08 Malaba-Tororo'!F46,'14.08 Malaba-Tororo'!F46,'15.08 Malaba-Tororo'!F46,'16.08 Malaba-Tororo-24h'!F46,'17.08 Malaba-Tororo-24h'!F46,'18.08 Malaba-Tororo'!F46)</f>
        <v>4.1428571428571432</v>
      </c>
      <c r="G46" s="49">
        <f>AVERAGE('12.08 Malaba-Tororo'!G46,'13.08 Malaba-Tororo'!G46,'14.08 Malaba-Tororo'!G46,'15.08 Malaba-Tororo'!G46,'16.08 Malaba-Tororo-24h'!G46,'17.08 Malaba-Tororo-24h'!G46,'18.08 Malaba-Tororo'!G46)</f>
        <v>0.14285714285714285</v>
      </c>
      <c r="H46" s="49">
        <f>AVERAGE('12.08 Malaba-Tororo'!H46,'13.08 Malaba-Tororo'!H46,'14.08 Malaba-Tororo'!H46,'15.08 Malaba-Tororo'!H46,'16.08 Malaba-Tororo-24h'!H46,'17.08 Malaba-Tororo-24h'!H46,'18.08 Malaba-Tororo'!H46)</f>
        <v>0</v>
      </c>
      <c r="I46" s="49">
        <f>AVERAGE('12.08 Malaba-Tororo'!I46,'13.08 Malaba-Tororo'!I46,'14.08 Malaba-Tororo'!I46,'15.08 Malaba-Tororo'!I46,'16.08 Malaba-Tororo-24h'!I46,'17.08 Malaba-Tororo-24h'!I46,'18.08 Malaba-Tororo'!I46)</f>
        <v>0.5714285714285714</v>
      </c>
      <c r="J46" s="49">
        <f>AVERAGE('12.08 Malaba-Tororo'!J46,'13.08 Malaba-Tororo'!J46,'14.08 Malaba-Tororo'!J46,'15.08 Malaba-Tororo'!J46,'16.08 Malaba-Tororo-24h'!J46,'17.08 Malaba-Tororo-24h'!J46,'18.08 Malaba-Tororo'!J46)</f>
        <v>0.2857142857142857</v>
      </c>
      <c r="K46" s="49">
        <f>AVERAGE('12.08 Malaba-Tororo'!K46,'13.08 Malaba-Tororo'!K46,'14.08 Malaba-Tororo'!K46,'15.08 Malaba-Tororo'!K46,'16.08 Malaba-Tororo-24h'!K46,'17.08 Malaba-Tororo-24h'!K46,'18.08 Malaba-Tororo'!K46)</f>
        <v>0</v>
      </c>
      <c r="L46" s="49">
        <f>AVERAGE('12.08 Malaba-Tororo'!L46,'13.08 Malaba-Tororo'!L46,'14.08 Malaba-Tororo'!L46,'15.08 Malaba-Tororo'!L46,'16.08 Malaba-Tororo-24h'!L46,'17.08 Malaba-Tororo-24h'!L46,'18.08 Malaba-Tororo'!L46)</f>
        <v>0</v>
      </c>
      <c r="M46" s="49">
        <f>AVERAGE('12.08 Malaba-Tororo'!M46,'13.08 Malaba-Tororo'!M46,'14.08 Malaba-Tororo'!M46,'15.08 Malaba-Tororo'!M46,'16.08 Malaba-Tororo-24h'!M46,'17.08 Malaba-Tororo-24h'!M46,'18.08 Malaba-Tororo'!M46)</f>
        <v>22.857142857142858</v>
      </c>
      <c r="N46" s="49">
        <f>AVERAGE('12.08 Malaba-Tororo'!N46,'13.08 Malaba-Tororo'!N46,'14.08 Malaba-Tororo'!N46,'15.08 Malaba-Tororo'!N46,'16.08 Malaba-Tororo-24h'!N46,'17.08 Malaba-Tororo-24h'!N46,'18.08 Malaba-Tororo'!N46)</f>
        <v>0</v>
      </c>
      <c r="O46" s="15">
        <f t="shared" si="0"/>
        <v>10.714285714285715</v>
      </c>
      <c r="P46" s="15">
        <f t="shared" si="1"/>
        <v>33.571428571428569</v>
      </c>
      <c r="R46" s="8"/>
      <c r="T46"/>
    </row>
    <row r="47" spans="2:32" ht="23.1" customHeight="1" x14ac:dyDescent="0.25">
      <c r="B47" s="24" t="s">
        <v>74</v>
      </c>
      <c r="C47" s="49">
        <f>AVERAGE('12.08 Malaba-Tororo'!C47,'13.08 Malaba-Tororo'!C47,'14.08 Malaba-Tororo'!C47,'15.08 Malaba-Tororo'!C47,'16.08 Malaba-Tororo-24h'!C47,'17.08 Malaba-Tororo-24h'!C47,'18.08 Malaba-Tororo'!C47)</f>
        <v>4.7142857142857144</v>
      </c>
      <c r="D47" s="49">
        <f>AVERAGE('12.08 Malaba-Tororo'!D47,'13.08 Malaba-Tororo'!D47,'14.08 Malaba-Tororo'!D47,'15.08 Malaba-Tororo'!D47,'16.08 Malaba-Tororo-24h'!D47,'17.08 Malaba-Tororo-24h'!D47,'18.08 Malaba-Tororo'!D47)</f>
        <v>0.7142857142857143</v>
      </c>
      <c r="E47" s="49">
        <f>AVERAGE('12.08 Malaba-Tororo'!E47,'13.08 Malaba-Tororo'!E47,'14.08 Malaba-Tororo'!E47,'15.08 Malaba-Tororo'!E47,'16.08 Malaba-Tororo-24h'!E47,'17.08 Malaba-Tororo-24h'!E47,'18.08 Malaba-Tororo'!E47)</f>
        <v>3.4285714285714284</v>
      </c>
      <c r="F47" s="49">
        <f>AVERAGE('12.08 Malaba-Tororo'!F47,'13.08 Malaba-Tororo'!F47,'14.08 Malaba-Tororo'!F47,'15.08 Malaba-Tororo'!F47,'16.08 Malaba-Tororo-24h'!F47,'17.08 Malaba-Tororo-24h'!F47,'18.08 Malaba-Tororo'!F47)</f>
        <v>1.8571428571428572</v>
      </c>
      <c r="G47" s="49">
        <f>AVERAGE('12.08 Malaba-Tororo'!G47,'13.08 Malaba-Tororo'!G47,'14.08 Malaba-Tororo'!G47,'15.08 Malaba-Tororo'!G47,'16.08 Malaba-Tororo-24h'!G47,'17.08 Malaba-Tororo-24h'!G47,'18.08 Malaba-Tororo'!G47)</f>
        <v>0.42857142857142855</v>
      </c>
      <c r="H47" s="49">
        <f>AVERAGE('12.08 Malaba-Tororo'!H47,'13.08 Malaba-Tororo'!H47,'14.08 Malaba-Tororo'!H47,'15.08 Malaba-Tororo'!H47,'16.08 Malaba-Tororo-24h'!H47,'17.08 Malaba-Tororo-24h'!H47,'18.08 Malaba-Tororo'!H47)</f>
        <v>0</v>
      </c>
      <c r="I47" s="49">
        <f>AVERAGE('12.08 Malaba-Tororo'!I47,'13.08 Malaba-Tororo'!I47,'14.08 Malaba-Tororo'!I47,'15.08 Malaba-Tororo'!I47,'16.08 Malaba-Tororo-24h'!I47,'17.08 Malaba-Tororo-24h'!I47,'18.08 Malaba-Tororo'!I47)</f>
        <v>1.4285714285714286</v>
      </c>
      <c r="J47" s="49">
        <f>AVERAGE('12.08 Malaba-Tororo'!J47,'13.08 Malaba-Tororo'!J47,'14.08 Malaba-Tororo'!J47,'15.08 Malaba-Tororo'!J47,'16.08 Malaba-Tororo-24h'!J47,'17.08 Malaba-Tororo-24h'!J47,'18.08 Malaba-Tororo'!J47)</f>
        <v>0.14285714285714285</v>
      </c>
      <c r="K47" s="49">
        <f>AVERAGE('12.08 Malaba-Tororo'!K47,'13.08 Malaba-Tororo'!K47,'14.08 Malaba-Tororo'!K47,'15.08 Malaba-Tororo'!K47,'16.08 Malaba-Tororo-24h'!K47,'17.08 Malaba-Tororo-24h'!K47,'18.08 Malaba-Tororo'!K47)</f>
        <v>0</v>
      </c>
      <c r="L47" s="49">
        <f>AVERAGE('12.08 Malaba-Tororo'!L47,'13.08 Malaba-Tororo'!L47,'14.08 Malaba-Tororo'!L47,'15.08 Malaba-Tororo'!L47,'16.08 Malaba-Tororo-24h'!L47,'17.08 Malaba-Tororo-24h'!L47,'18.08 Malaba-Tororo'!L47)</f>
        <v>0</v>
      </c>
      <c r="M47" s="49">
        <f>AVERAGE('12.08 Malaba-Tororo'!M47,'13.08 Malaba-Tororo'!M47,'14.08 Malaba-Tororo'!M47,'15.08 Malaba-Tororo'!M47,'16.08 Malaba-Tororo-24h'!M47,'17.08 Malaba-Tororo-24h'!M47,'18.08 Malaba-Tororo'!M47)</f>
        <v>24.428571428571427</v>
      </c>
      <c r="N47" s="49">
        <f>AVERAGE('12.08 Malaba-Tororo'!N47,'13.08 Malaba-Tororo'!N47,'14.08 Malaba-Tororo'!N47,'15.08 Malaba-Tororo'!N47,'16.08 Malaba-Tororo-24h'!N47,'17.08 Malaba-Tororo-24h'!N47,'18.08 Malaba-Tororo'!N47)</f>
        <v>0</v>
      </c>
      <c r="O47" s="15">
        <f t="shared" si="0"/>
        <v>12.714285714285715</v>
      </c>
      <c r="P47" s="15">
        <f t="shared" si="1"/>
        <v>37.142857142857139</v>
      </c>
      <c r="R47" s="8"/>
      <c r="T47"/>
    </row>
    <row r="48" spans="2:32" ht="23.1" customHeight="1" x14ac:dyDescent="0.25">
      <c r="B48" s="24" t="s">
        <v>75</v>
      </c>
      <c r="C48" s="49">
        <f>AVERAGE('12.08 Malaba-Tororo'!C48,'13.08 Malaba-Tororo'!C48,'14.08 Malaba-Tororo'!C48,'15.08 Malaba-Tororo'!C48,'16.08 Malaba-Tororo-24h'!C48,'17.08 Malaba-Tororo-24h'!C48,'18.08 Malaba-Tororo'!C48)</f>
        <v>4.7142857142857144</v>
      </c>
      <c r="D48" s="49">
        <f>AVERAGE('12.08 Malaba-Tororo'!D48,'13.08 Malaba-Tororo'!D48,'14.08 Malaba-Tororo'!D48,'15.08 Malaba-Tororo'!D48,'16.08 Malaba-Tororo-24h'!D48,'17.08 Malaba-Tororo-24h'!D48,'18.08 Malaba-Tororo'!D48)</f>
        <v>1</v>
      </c>
      <c r="E48" s="49">
        <f>AVERAGE('12.08 Malaba-Tororo'!E48,'13.08 Malaba-Tororo'!E48,'14.08 Malaba-Tororo'!E48,'15.08 Malaba-Tororo'!E48,'16.08 Malaba-Tororo-24h'!E48,'17.08 Malaba-Tororo-24h'!E48,'18.08 Malaba-Tororo'!E48)</f>
        <v>4.8571428571428568</v>
      </c>
      <c r="F48" s="49">
        <f>AVERAGE('12.08 Malaba-Tororo'!F48,'13.08 Malaba-Tororo'!F48,'14.08 Malaba-Tororo'!F48,'15.08 Malaba-Tororo'!F48,'16.08 Malaba-Tororo-24h'!F48,'17.08 Malaba-Tororo-24h'!F48,'18.08 Malaba-Tororo'!F48)</f>
        <v>2.7142857142857144</v>
      </c>
      <c r="G48" s="49">
        <f>AVERAGE('12.08 Malaba-Tororo'!G48,'13.08 Malaba-Tororo'!G48,'14.08 Malaba-Tororo'!G48,'15.08 Malaba-Tororo'!G48,'16.08 Malaba-Tororo-24h'!G48,'17.08 Malaba-Tororo-24h'!G48,'18.08 Malaba-Tororo'!G48)</f>
        <v>0.42857142857142855</v>
      </c>
      <c r="H48" s="49">
        <f>AVERAGE('12.08 Malaba-Tororo'!H48,'13.08 Malaba-Tororo'!H48,'14.08 Malaba-Tororo'!H48,'15.08 Malaba-Tororo'!H48,'16.08 Malaba-Tororo-24h'!H48,'17.08 Malaba-Tororo-24h'!H48,'18.08 Malaba-Tororo'!H48)</f>
        <v>0</v>
      </c>
      <c r="I48" s="49">
        <f>AVERAGE('12.08 Malaba-Tororo'!I48,'13.08 Malaba-Tororo'!I48,'14.08 Malaba-Tororo'!I48,'15.08 Malaba-Tororo'!I48,'16.08 Malaba-Tororo-24h'!I48,'17.08 Malaba-Tororo-24h'!I48,'18.08 Malaba-Tororo'!I48)</f>
        <v>2.4285714285714284</v>
      </c>
      <c r="J48" s="49">
        <f>AVERAGE('12.08 Malaba-Tororo'!J48,'13.08 Malaba-Tororo'!J48,'14.08 Malaba-Tororo'!J48,'15.08 Malaba-Tororo'!J48,'16.08 Malaba-Tororo-24h'!J48,'17.08 Malaba-Tororo-24h'!J48,'18.08 Malaba-Tororo'!J48)</f>
        <v>0.7142857142857143</v>
      </c>
      <c r="K48" s="49">
        <f>AVERAGE('12.08 Malaba-Tororo'!K48,'13.08 Malaba-Tororo'!K48,'14.08 Malaba-Tororo'!K48,'15.08 Malaba-Tororo'!K48,'16.08 Malaba-Tororo-24h'!K48,'17.08 Malaba-Tororo-24h'!K48,'18.08 Malaba-Tororo'!K48)</f>
        <v>0</v>
      </c>
      <c r="L48" s="49">
        <f>AVERAGE('12.08 Malaba-Tororo'!L48,'13.08 Malaba-Tororo'!L48,'14.08 Malaba-Tororo'!L48,'15.08 Malaba-Tororo'!L48,'16.08 Malaba-Tororo-24h'!L48,'17.08 Malaba-Tororo-24h'!L48,'18.08 Malaba-Tororo'!L48)</f>
        <v>0</v>
      </c>
      <c r="M48" s="49">
        <f>AVERAGE('12.08 Malaba-Tororo'!M48,'13.08 Malaba-Tororo'!M48,'14.08 Malaba-Tororo'!M48,'15.08 Malaba-Tororo'!M48,'16.08 Malaba-Tororo-24h'!M48,'17.08 Malaba-Tororo-24h'!M48,'18.08 Malaba-Tororo'!M48)</f>
        <v>26.571428571428573</v>
      </c>
      <c r="N48" s="49">
        <f>AVERAGE('12.08 Malaba-Tororo'!N48,'13.08 Malaba-Tororo'!N48,'14.08 Malaba-Tororo'!N48,'15.08 Malaba-Tororo'!N48,'16.08 Malaba-Tororo-24h'!N48,'17.08 Malaba-Tororo-24h'!N48,'18.08 Malaba-Tororo'!N48)</f>
        <v>0</v>
      </c>
      <c r="O48" s="15">
        <f t="shared" si="0"/>
        <v>16.857142857142858</v>
      </c>
      <c r="P48" s="15">
        <f t="shared" si="1"/>
        <v>43.428571428571431</v>
      </c>
      <c r="R48" s="8"/>
      <c r="T48"/>
    </row>
    <row r="49" spans="2:20" ht="23.1" customHeight="1" x14ac:dyDescent="0.25">
      <c r="B49" s="23" t="s">
        <v>76</v>
      </c>
      <c r="C49" s="49">
        <f>AVERAGE('12.08 Malaba-Tororo'!C49,'13.08 Malaba-Tororo'!C49,'14.08 Malaba-Tororo'!C49,'15.08 Malaba-Tororo'!C49,'16.08 Malaba-Tororo-24h'!C49,'17.08 Malaba-Tororo-24h'!C49,'18.08 Malaba-Tororo'!C49)</f>
        <v>3.4285714285714284</v>
      </c>
      <c r="D49" s="49">
        <f>AVERAGE('12.08 Malaba-Tororo'!D49,'13.08 Malaba-Tororo'!D49,'14.08 Malaba-Tororo'!D49,'15.08 Malaba-Tororo'!D49,'16.08 Malaba-Tororo-24h'!D49,'17.08 Malaba-Tororo-24h'!D49,'18.08 Malaba-Tororo'!D49)</f>
        <v>0.5714285714285714</v>
      </c>
      <c r="E49" s="49">
        <f>AVERAGE('12.08 Malaba-Tororo'!E49,'13.08 Malaba-Tororo'!E49,'14.08 Malaba-Tororo'!E49,'15.08 Malaba-Tororo'!E49,'16.08 Malaba-Tororo-24h'!E49,'17.08 Malaba-Tororo-24h'!E49,'18.08 Malaba-Tororo'!E49)</f>
        <v>3.2857142857142856</v>
      </c>
      <c r="F49" s="49">
        <f>AVERAGE('12.08 Malaba-Tororo'!F49,'13.08 Malaba-Tororo'!F49,'14.08 Malaba-Tororo'!F49,'15.08 Malaba-Tororo'!F49,'16.08 Malaba-Tororo-24h'!F49,'17.08 Malaba-Tororo-24h'!F49,'18.08 Malaba-Tororo'!F49)</f>
        <v>3.1428571428571428</v>
      </c>
      <c r="G49" s="49">
        <f>AVERAGE('12.08 Malaba-Tororo'!G49,'13.08 Malaba-Tororo'!G49,'14.08 Malaba-Tororo'!G49,'15.08 Malaba-Tororo'!G49,'16.08 Malaba-Tororo-24h'!G49,'17.08 Malaba-Tororo-24h'!G49,'18.08 Malaba-Tororo'!G49)</f>
        <v>0.14285714285714285</v>
      </c>
      <c r="H49" s="49">
        <f>AVERAGE('12.08 Malaba-Tororo'!H49,'13.08 Malaba-Tororo'!H49,'14.08 Malaba-Tororo'!H49,'15.08 Malaba-Tororo'!H49,'16.08 Malaba-Tororo-24h'!H49,'17.08 Malaba-Tororo-24h'!H49,'18.08 Malaba-Tororo'!H49)</f>
        <v>0</v>
      </c>
      <c r="I49" s="49">
        <f>AVERAGE('12.08 Malaba-Tororo'!I49,'13.08 Malaba-Tororo'!I49,'14.08 Malaba-Tororo'!I49,'15.08 Malaba-Tororo'!I49,'16.08 Malaba-Tororo-24h'!I49,'17.08 Malaba-Tororo-24h'!I49,'18.08 Malaba-Tororo'!I49)</f>
        <v>1.4285714285714286</v>
      </c>
      <c r="J49" s="49">
        <f>AVERAGE('12.08 Malaba-Tororo'!J49,'13.08 Malaba-Tororo'!J49,'14.08 Malaba-Tororo'!J49,'15.08 Malaba-Tororo'!J49,'16.08 Malaba-Tororo-24h'!J49,'17.08 Malaba-Tororo-24h'!J49,'18.08 Malaba-Tororo'!J49)</f>
        <v>0</v>
      </c>
      <c r="K49" s="49">
        <f>AVERAGE('12.08 Malaba-Tororo'!K49,'13.08 Malaba-Tororo'!K49,'14.08 Malaba-Tororo'!K49,'15.08 Malaba-Tororo'!K49,'16.08 Malaba-Tororo-24h'!K49,'17.08 Malaba-Tororo-24h'!K49,'18.08 Malaba-Tororo'!K49)</f>
        <v>0</v>
      </c>
      <c r="L49" s="49">
        <f>AVERAGE('12.08 Malaba-Tororo'!L49,'13.08 Malaba-Tororo'!L49,'14.08 Malaba-Tororo'!L49,'15.08 Malaba-Tororo'!L49,'16.08 Malaba-Tororo-24h'!L49,'17.08 Malaba-Tororo-24h'!L49,'18.08 Malaba-Tororo'!L49)</f>
        <v>0</v>
      </c>
      <c r="M49" s="49">
        <f>AVERAGE('12.08 Malaba-Tororo'!M49,'13.08 Malaba-Tororo'!M49,'14.08 Malaba-Tororo'!M49,'15.08 Malaba-Tororo'!M49,'16.08 Malaba-Tororo-24h'!M49,'17.08 Malaba-Tororo-24h'!M49,'18.08 Malaba-Tororo'!M49)</f>
        <v>22.571428571428573</v>
      </c>
      <c r="N49" s="49">
        <f>AVERAGE('12.08 Malaba-Tororo'!N49,'13.08 Malaba-Tororo'!N49,'14.08 Malaba-Tororo'!N49,'15.08 Malaba-Tororo'!N49,'16.08 Malaba-Tororo-24h'!N49,'17.08 Malaba-Tororo-24h'!N49,'18.08 Malaba-Tororo'!N49)</f>
        <v>0</v>
      </c>
      <c r="O49" s="15">
        <f t="shared" si="0"/>
        <v>12</v>
      </c>
      <c r="P49" s="15">
        <f t="shared" si="1"/>
        <v>34.571428571428569</v>
      </c>
      <c r="R49" s="8"/>
      <c r="T49"/>
    </row>
    <row r="50" spans="2:20" ht="23.1" customHeight="1" x14ac:dyDescent="0.25">
      <c r="B50" s="24" t="s">
        <v>77</v>
      </c>
      <c r="C50" s="49">
        <f>AVERAGE('12.08 Malaba-Tororo'!C50,'13.08 Malaba-Tororo'!C50,'14.08 Malaba-Tororo'!C50,'15.08 Malaba-Tororo'!C50,'16.08 Malaba-Tororo-24h'!C50,'17.08 Malaba-Tororo-24h'!C50,'18.08 Malaba-Tororo'!C50)</f>
        <v>3.2857142857142856</v>
      </c>
      <c r="D50" s="49">
        <f>AVERAGE('12.08 Malaba-Tororo'!D50,'13.08 Malaba-Tororo'!D50,'14.08 Malaba-Tororo'!D50,'15.08 Malaba-Tororo'!D50,'16.08 Malaba-Tororo-24h'!D50,'17.08 Malaba-Tororo-24h'!D50,'18.08 Malaba-Tororo'!D50)</f>
        <v>0.7142857142857143</v>
      </c>
      <c r="E50" s="49">
        <f>AVERAGE('12.08 Malaba-Tororo'!E50,'13.08 Malaba-Tororo'!E50,'14.08 Malaba-Tororo'!E50,'15.08 Malaba-Tororo'!E50,'16.08 Malaba-Tororo-24h'!E50,'17.08 Malaba-Tororo-24h'!E50,'18.08 Malaba-Tororo'!E50)</f>
        <v>3.8571428571428572</v>
      </c>
      <c r="F50" s="49">
        <f>AVERAGE('12.08 Malaba-Tororo'!F50,'13.08 Malaba-Tororo'!F50,'14.08 Malaba-Tororo'!F50,'15.08 Malaba-Tororo'!F50,'16.08 Malaba-Tororo-24h'!F50,'17.08 Malaba-Tororo-24h'!F50,'18.08 Malaba-Tororo'!F50)</f>
        <v>4.5714285714285712</v>
      </c>
      <c r="G50" s="49">
        <f>AVERAGE('12.08 Malaba-Tororo'!G50,'13.08 Malaba-Tororo'!G50,'14.08 Malaba-Tororo'!G50,'15.08 Malaba-Tororo'!G50,'16.08 Malaba-Tororo-24h'!G50,'17.08 Malaba-Tororo-24h'!G50,'18.08 Malaba-Tororo'!G50)</f>
        <v>0.14285714285714285</v>
      </c>
      <c r="H50" s="49">
        <f>AVERAGE('12.08 Malaba-Tororo'!H50,'13.08 Malaba-Tororo'!H50,'14.08 Malaba-Tororo'!H50,'15.08 Malaba-Tororo'!H50,'16.08 Malaba-Tororo-24h'!H50,'17.08 Malaba-Tororo-24h'!H50,'18.08 Malaba-Tororo'!H50)</f>
        <v>0</v>
      </c>
      <c r="I50" s="49">
        <f>AVERAGE('12.08 Malaba-Tororo'!I50,'13.08 Malaba-Tororo'!I50,'14.08 Malaba-Tororo'!I50,'15.08 Malaba-Tororo'!I50,'16.08 Malaba-Tororo-24h'!I50,'17.08 Malaba-Tororo-24h'!I50,'18.08 Malaba-Tororo'!I50)</f>
        <v>1.5714285714285714</v>
      </c>
      <c r="J50" s="49">
        <f>AVERAGE('12.08 Malaba-Tororo'!J50,'13.08 Malaba-Tororo'!J50,'14.08 Malaba-Tororo'!J50,'15.08 Malaba-Tororo'!J50,'16.08 Malaba-Tororo-24h'!J50,'17.08 Malaba-Tororo-24h'!J50,'18.08 Malaba-Tororo'!J50)</f>
        <v>0.5714285714285714</v>
      </c>
      <c r="K50" s="49">
        <f>AVERAGE('12.08 Malaba-Tororo'!K50,'13.08 Malaba-Tororo'!K50,'14.08 Malaba-Tororo'!K50,'15.08 Malaba-Tororo'!K50,'16.08 Malaba-Tororo-24h'!K50,'17.08 Malaba-Tororo-24h'!K50,'18.08 Malaba-Tororo'!K50)</f>
        <v>0.42857142857142855</v>
      </c>
      <c r="L50" s="49">
        <f>AVERAGE('12.08 Malaba-Tororo'!L50,'13.08 Malaba-Tororo'!L50,'14.08 Malaba-Tororo'!L50,'15.08 Malaba-Tororo'!L50,'16.08 Malaba-Tororo-24h'!L50,'17.08 Malaba-Tororo-24h'!L50,'18.08 Malaba-Tororo'!L50)</f>
        <v>0</v>
      </c>
      <c r="M50" s="49">
        <f>AVERAGE('12.08 Malaba-Tororo'!M50,'13.08 Malaba-Tororo'!M50,'14.08 Malaba-Tororo'!M50,'15.08 Malaba-Tororo'!M50,'16.08 Malaba-Tororo-24h'!M50,'17.08 Malaba-Tororo-24h'!M50,'18.08 Malaba-Tororo'!M50)</f>
        <v>21</v>
      </c>
      <c r="N50" s="49">
        <f>AVERAGE('12.08 Malaba-Tororo'!N50,'13.08 Malaba-Tororo'!N50,'14.08 Malaba-Tororo'!N50,'15.08 Malaba-Tororo'!N50,'16.08 Malaba-Tororo-24h'!N50,'17.08 Malaba-Tororo-24h'!N50,'18.08 Malaba-Tororo'!N50)</f>
        <v>0.14285714285714285</v>
      </c>
      <c r="O50" s="15">
        <f t="shared" si="0"/>
        <v>15.285714285714285</v>
      </c>
      <c r="P50" s="15">
        <f t="shared" si="1"/>
        <v>36.285714285714285</v>
      </c>
      <c r="R50" s="8"/>
      <c r="T50"/>
    </row>
    <row r="51" spans="2:20" ht="23.1" customHeight="1" x14ac:dyDescent="0.25">
      <c r="B51" s="24" t="s">
        <v>78</v>
      </c>
      <c r="C51" s="49">
        <f>AVERAGE('12.08 Malaba-Tororo'!C51,'13.08 Malaba-Tororo'!C51,'14.08 Malaba-Tororo'!C51,'15.08 Malaba-Tororo'!C51,'16.08 Malaba-Tororo-24h'!C51,'17.08 Malaba-Tororo-24h'!C51,'18.08 Malaba-Tororo'!C51)</f>
        <v>1.5714285714285714</v>
      </c>
      <c r="D51" s="49">
        <f>AVERAGE('12.08 Malaba-Tororo'!D51,'13.08 Malaba-Tororo'!D51,'14.08 Malaba-Tororo'!D51,'15.08 Malaba-Tororo'!D51,'16.08 Malaba-Tororo-24h'!D51,'17.08 Malaba-Tororo-24h'!D51,'18.08 Malaba-Tororo'!D51)</f>
        <v>0.14285714285714285</v>
      </c>
      <c r="E51" s="49">
        <f>AVERAGE('12.08 Malaba-Tororo'!E51,'13.08 Malaba-Tororo'!E51,'14.08 Malaba-Tororo'!E51,'15.08 Malaba-Tororo'!E51,'16.08 Malaba-Tororo-24h'!E51,'17.08 Malaba-Tororo-24h'!E51,'18.08 Malaba-Tororo'!E51)</f>
        <v>2.2857142857142856</v>
      </c>
      <c r="F51" s="49">
        <f>AVERAGE('12.08 Malaba-Tororo'!F51,'13.08 Malaba-Tororo'!F51,'14.08 Malaba-Tororo'!F51,'15.08 Malaba-Tororo'!F51,'16.08 Malaba-Tororo-24h'!F51,'17.08 Malaba-Tororo-24h'!F51,'18.08 Malaba-Tororo'!F51)</f>
        <v>3.4285714285714284</v>
      </c>
      <c r="G51" s="49">
        <f>AVERAGE('12.08 Malaba-Tororo'!G51,'13.08 Malaba-Tororo'!G51,'14.08 Malaba-Tororo'!G51,'15.08 Malaba-Tororo'!G51,'16.08 Malaba-Tororo-24h'!G51,'17.08 Malaba-Tororo-24h'!G51,'18.08 Malaba-Tororo'!G51)</f>
        <v>0.42857142857142855</v>
      </c>
      <c r="H51" s="49">
        <f>AVERAGE('12.08 Malaba-Tororo'!H51,'13.08 Malaba-Tororo'!H51,'14.08 Malaba-Tororo'!H51,'15.08 Malaba-Tororo'!H51,'16.08 Malaba-Tororo-24h'!H51,'17.08 Malaba-Tororo-24h'!H51,'18.08 Malaba-Tororo'!H51)</f>
        <v>0</v>
      </c>
      <c r="I51" s="49">
        <f>AVERAGE('12.08 Malaba-Tororo'!I51,'13.08 Malaba-Tororo'!I51,'14.08 Malaba-Tororo'!I51,'15.08 Malaba-Tororo'!I51,'16.08 Malaba-Tororo-24h'!I51,'17.08 Malaba-Tororo-24h'!I51,'18.08 Malaba-Tororo'!I51)</f>
        <v>0.7142857142857143</v>
      </c>
      <c r="J51" s="49">
        <f>AVERAGE('12.08 Malaba-Tororo'!J51,'13.08 Malaba-Tororo'!J51,'14.08 Malaba-Tororo'!J51,'15.08 Malaba-Tororo'!J51,'16.08 Malaba-Tororo-24h'!J51,'17.08 Malaba-Tororo-24h'!J51,'18.08 Malaba-Tororo'!J51)</f>
        <v>0</v>
      </c>
      <c r="K51" s="49">
        <f>AVERAGE('12.08 Malaba-Tororo'!K51,'13.08 Malaba-Tororo'!K51,'14.08 Malaba-Tororo'!K51,'15.08 Malaba-Tororo'!K51,'16.08 Malaba-Tororo-24h'!K51,'17.08 Malaba-Tororo-24h'!K51,'18.08 Malaba-Tororo'!K51)</f>
        <v>0</v>
      </c>
      <c r="L51" s="49">
        <f>AVERAGE('12.08 Malaba-Tororo'!L51,'13.08 Malaba-Tororo'!L51,'14.08 Malaba-Tororo'!L51,'15.08 Malaba-Tororo'!L51,'16.08 Malaba-Tororo-24h'!L51,'17.08 Malaba-Tororo-24h'!L51,'18.08 Malaba-Tororo'!L51)</f>
        <v>0</v>
      </c>
      <c r="M51" s="49">
        <f>AVERAGE('12.08 Malaba-Tororo'!M51,'13.08 Malaba-Tororo'!M51,'14.08 Malaba-Tororo'!M51,'15.08 Malaba-Tororo'!M51,'16.08 Malaba-Tororo-24h'!M51,'17.08 Malaba-Tororo-24h'!M51,'18.08 Malaba-Tororo'!M51)</f>
        <v>20.142857142857142</v>
      </c>
      <c r="N51" s="49">
        <f>AVERAGE('12.08 Malaba-Tororo'!N51,'13.08 Malaba-Tororo'!N51,'14.08 Malaba-Tororo'!N51,'15.08 Malaba-Tororo'!N51,'16.08 Malaba-Tororo-24h'!N51,'17.08 Malaba-Tororo-24h'!N51,'18.08 Malaba-Tororo'!N51)</f>
        <v>0</v>
      </c>
      <c r="O51" s="15">
        <f t="shared" si="0"/>
        <v>8.5714285714285712</v>
      </c>
      <c r="P51" s="15">
        <f t="shared" si="1"/>
        <v>28.714285714285715</v>
      </c>
      <c r="R51" s="8"/>
      <c r="T51"/>
    </row>
    <row r="52" spans="2:20" ht="23.1" customHeight="1" x14ac:dyDescent="0.25">
      <c r="B52" s="24" t="s">
        <v>79</v>
      </c>
      <c r="C52" s="49">
        <f>AVERAGE('12.08 Malaba-Tororo'!C52,'13.08 Malaba-Tororo'!C52,'14.08 Malaba-Tororo'!C52,'15.08 Malaba-Tororo'!C52,'16.08 Malaba-Tororo-24h'!C52,'17.08 Malaba-Tororo-24h'!C52,'18.08 Malaba-Tororo'!C52)</f>
        <v>1.5714285714285714</v>
      </c>
      <c r="D52" s="49">
        <f>AVERAGE('12.08 Malaba-Tororo'!D52,'13.08 Malaba-Tororo'!D52,'14.08 Malaba-Tororo'!D52,'15.08 Malaba-Tororo'!D52,'16.08 Malaba-Tororo-24h'!D52,'17.08 Malaba-Tororo-24h'!D52,'18.08 Malaba-Tororo'!D52)</f>
        <v>0.5714285714285714</v>
      </c>
      <c r="E52" s="49">
        <f>AVERAGE('12.08 Malaba-Tororo'!E52,'13.08 Malaba-Tororo'!E52,'14.08 Malaba-Tororo'!E52,'15.08 Malaba-Tororo'!E52,'16.08 Malaba-Tororo-24h'!E52,'17.08 Malaba-Tororo-24h'!E52,'18.08 Malaba-Tororo'!E52)</f>
        <v>3.4285714285714284</v>
      </c>
      <c r="F52" s="49">
        <f>AVERAGE('12.08 Malaba-Tororo'!F52,'13.08 Malaba-Tororo'!F52,'14.08 Malaba-Tororo'!F52,'15.08 Malaba-Tororo'!F52,'16.08 Malaba-Tororo-24h'!F52,'17.08 Malaba-Tororo-24h'!F52,'18.08 Malaba-Tororo'!F52)</f>
        <v>2.8571428571428572</v>
      </c>
      <c r="G52" s="49">
        <f>AVERAGE('12.08 Malaba-Tororo'!G52,'13.08 Malaba-Tororo'!G52,'14.08 Malaba-Tororo'!G52,'15.08 Malaba-Tororo'!G52,'16.08 Malaba-Tororo-24h'!G52,'17.08 Malaba-Tororo-24h'!G52,'18.08 Malaba-Tororo'!G52)</f>
        <v>0</v>
      </c>
      <c r="H52" s="49">
        <f>AVERAGE('12.08 Malaba-Tororo'!H52,'13.08 Malaba-Tororo'!H52,'14.08 Malaba-Tororo'!H52,'15.08 Malaba-Tororo'!H52,'16.08 Malaba-Tororo-24h'!H52,'17.08 Malaba-Tororo-24h'!H52,'18.08 Malaba-Tororo'!H52)</f>
        <v>0</v>
      </c>
      <c r="I52" s="49">
        <f>AVERAGE('12.08 Malaba-Tororo'!I52,'13.08 Malaba-Tororo'!I52,'14.08 Malaba-Tororo'!I52,'15.08 Malaba-Tororo'!I52,'16.08 Malaba-Tororo-24h'!I52,'17.08 Malaba-Tororo-24h'!I52,'18.08 Malaba-Tororo'!I52)</f>
        <v>1.2857142857142858</v>
      </c>
      <c r="J52" s="49">
        <f>AVERAGE('12.08 Malaba-Tororo'!J52,'13.08 Malaba-Tororo'!J52,'14.08 Malaba-Tororo'!J52,'15.08 Malaba-Tororo'!J52,'16.08 Malaba-Tororo-24h'!J52,'17.08 Malaba-Tororo-24h'!J52,'18.08 Malaba-Tororo'!J52)</f>
        <v>0.14285714285714285</v>
      </c>
      <c r="K52" s="49">
        <f>AVERAGE('12.08 Malaba-Tororo'!K52,'13.08 Malaba-Tororo'!K52,'14.08 Malaba-Tororo'!K52,'15.08 Malaba-Tororo'!K52,'16.08 Malaba-Tororo-24h'!K52,'17.08 Malaba-Tororo-24h'!K52,'18.08 Malaba-Tororo'!K52)</f>
        <v>0</v>
      </c>
      <c r="L52" s="49">
        <f>AVERAGE('12.08 Malaba-Tororo'!L52,'13.08 Malaba-Tororo'!L52,'14.08 Malaba-Tororo'!L52,'15.08 Malaba-Tororo'!L52,'16.08 Malaba-Tororo-24h'!L52,'17.08 Malaba-Tororo-24h'!L52,'18.08 Malaba-Tororo'!L52)</f>
        <v>0</v>
      </c>
      <c r="M52" s="49">
        <f>AVERAGE('12.08 Malaba-Tororo'!M52,'13.08 Malaba-Tororo'!M52,'14.08 Malaba-Tororo'!M52,'15.08 Malaba-Tororo'!M52,'16.08 Malaba-Tororo-24h'!M52,'17.08 Malaba-Tororo-24h'!M52,'18.08 Malaba-Tororo'!M52)</f>
        <v>22.571428571428573</v>
      </c>
      <c r="N52" s="49">
        <f>AVERAGE('12.08 Malaba-Tororo'!N52,'13.08 Malaba-Tororo'!N52,'14.08 Malaba-Tororo'!N52,'15.08 Malaba-Tororo'!N52,'16.08 Malaba-Tororo-24h'!N52,'17.08 Malaba-Tororo-24h'!N52,'18.08 Malaba-Tororo'!N52)</f>
        <v>0.2857142857142857</v>
      </c>
      <c r="O52" s="15">
        <f t="shared" si="0"/>
        <v>10.142857142857144</v>
      </c>
      <c r="P52" s="15">
        <f t="shared" si="1"/>
        <v>32.714285714285715</v>
      </c>
      <c r="R52" s="8"/>
      <c r="T52"/>
    </row>
    <row r="53" spans="2:20" ht="23.1" customHeight="1" x14ac:dyDescent="0.25">
      <c r="B53" s="23" t="s">
        <v>80</v>
      </c>
      <c r="C53" s="49">
        <f>AVERAGE('12.08 Malaba-Tororo'!C53,'13.08 Malaba-Tororo'!C53,'14.08 Malaba-Tororo'!C53,'15.08 Malaba-Tororo'!C53,'16.08 Malaba-Tororo-24h'!C53,'17.08 Malaba-Tororo-24h'!C53,'18.08 Malaba-Tororo'!C53)</f>
        <v>4.1428571428571432</v>
      </c>
      <c r="D53" s="49">
        <f>AVERAGE('12.08 Malaba-Tororo'!D53,'13.08 Malaba-Tororo'!D53,'14.08 Malaba-Tororo'!D53,'15.08 Malaba-Tororo'!D53,'16.08 Malaba-Tororo-24h'!D53,'17.08 Malaba-Tororo-24h'!D53,'18.08 Malaba-Tororo'!D53)</f>
        <v>0.5714285714285714</v>
      </c>
      <c r="E53" s="49">
        <f>AVERAGE('12.08 Malaba-Tororo'!E53,'13.08 Malaba-Tororo'!E53,'14.08 Malaba-Tororo'!E53,'15.08 Malaba-Tororo'!E53,'16.08 Malaba-Tororo-24h'!E53,'17.08 Malaba-Tororo-24h'!E53,'18.08 Malaba-Tororo'!E53)</f>
        <v>4.1428571428571432</v>
      </c>
      <c r="F53" s="49">
        <f>AVERAGE('12.08 Malaba-Tororo'!F53,'13.08 Malaba-Tororo'!F53,'14.08 Malaba-Tororo'!F53,'15.08 Malaba-Tororo'!F53,'16.08 Malaba-Tororo-24h'!F53,'17.08 Malaba-Tororo-24h'!F53,'18.08 Malaba-Tororo'!F53)</f>
        <v>2.4285714285714284</v>
      </c>
      <c r="G53" s="49">
        <f>AVERAGE('12.08 Malaba-Tororo'!G53,'13.08 Malaba-Tororo'!G53,'14.08 Malaba-Tororo'!G53,'15.08 Malaba-Tororo'!G53,'16.08 Malaba-Tororo-24h'!G53,'17.08 Malaba-Tororo-24h'!G53,'18.08 Malaba-Tororo'!G53)</f>
        <v>0.14285714285714285</v>
      </c>
      <c r="H53" s="49">
        <f>AVERAGE('12.08 Malaba-Tororo'!H53,'13.08 Malaba-Tororo'!H53,'14.08 Malaba-Tororo'!H53,'15.08 Malaba-Tororo'!H53,'16.08 Malaba-Tororo-24h'!H53,'17.08 Malaba-Tororo-24h'!H53,'18.08 Malaba-Tororo'!H53)</f>
        <v>0</v>
      </c>
      <c r="I53" s="49">
        <f>AVERAGE('12.08 Malaba-Tororo'!I53,'13.08 Malaba-Tororo'!I53,'14.08 Malaba-Tororo'!I53,'15.08 Malaba-Tororo'!I53,'16.08 Malaba-Tororo-24h'!I53,'17.08 Malaba-Tororo-24h'!I53,'18.08 Malaba-Tororo'!I53)</f>
        <v>1.5714285714285714</v>
      </c>
      <c r="J53" s="49">
        <f>AVERAGE('12.08 Malaba-Tororo'!J53,'13.08 Malaba-Tororo'!J53,'14.08 Malaba-Tororo'!J53,'15.08 Malaba-Tororo'!J53,'16.08 Malaba-Tororo-24h'!J53,'17.08 Malaba-Tororo-24h'!J53,'18.08 Malaba-Tororo'!J53)</f>
        <v>0.5714285714285714</v>
      </c>
      <c r="K53" s="49">
        <f>AVERAGE('12.08 Malaba-Tororo'!K53,'13.08 Malaba-Tororo'!K53,'14.08 Malaba-Tororo'!K53,'15.08 Malaba-Tororo'!K53,'16.08 Malaba-Tororo-24h'!K53,'17.08 Malaba-Tororo-24h'!K53,'18.08 Malaba-Tororo'!K53)</f>
        <v>0</v>
      </c>
      <c r="L53" s="49">
        <f>AVERAGE('12.08 Malaba-Tororo'!L53,'13.08 Malaba-Tororo'!L53,'14.08 Malaba-Tororo'!L53,'15.08 Malaba-Tororo'!L53,'16.08 Malaba-Tororo-24h'!L53,'17.08 Malaba-Tororo-24h'!L53,'18.08 Malaba-Tororo'!L53)</f>
        <v>0</v>
      </c>
      <c r="M53" s="49">
        <f>AVERAGE('12.08 Malaba-Tororo'!M53,'13.08 Malaba-Tororo'!M53,'14.08 Malaba-Tororo'!M53,'15.08 Malaba-Tororo'!M53,'16.08 Malaba-Tororo-24h'!M53,'17.08 Malaba-Tororo-24h'!M53,'18.08 Malaba-Tororo'!M53)</f>
        <v>20.428571428571427</v>
      </c>
      <c r="N53" s="49">
        <f>AVERAGE('12.08 Malaba-Tororo'!N53,'13.08 Malaba-Tororo'!N53,'14.08 Malaba-Tororo'!N53,'15.08 Malaba-Tororo'!N53,'16.08 Malaba-Tororo-24h'!N53,'17.08 Malaba-Tororo-24h'!N53,'18.08 Malaba-Tororo'!N53)</f>
        <v>0</v>
      </c>
      <c r="O53" s="15">
        <f t="shared" si="0"/>
        <v>13.571428571428571</v>
      </c>
      <c r="P53" s="15">
        <f t="shared" si="1"/>
        <v>34</v>
      </c>
      <c r="R53" s="8"/>
      <c r="T53"/>
    </row>
    <row r="54" spans="2:20" ht="23.1" customHeight="1" x14ac:dyDescent="0.25">
      <c r="B54" s="23" t="s">
        <v>81</v>
      </c>
      <c r="C54" s="49">
        <f>AVERAGE('12.08 Malaba-Tororo'!C54,'13.08 Malaba-Tororo'!C54,'14.08 Malaba-Tororo'!C54,'15.08 Malaba-Tororo'!C54,'16.08 Malaba-Tororo-24h'!C54,'17.08 Malaba-Tororo-24h'!C54,'18.08 Malaba-Tororo'!C54)</f>
        <v>3.2857142857142856</v>
      </c>
      <c r="D54" s="49">
        <f>AVERAGE('12.08 Malaba-Tororo'!D54,'13.08 Malaba-Tororo'!D54,'14.08 Malaba-Tororo'!D54,'15.08 Malaba-Tororo'!D54,'16.08 Malaba-Tororo-24h'!D54,'17.08 Malaba-Tororo-24h'!D54,'18.08 Malaba-Tororo'!D54)</f>
        <v>0.7142857142857143</v>
      </c>
      <c r="E54" s="49">
        <f>AVERAGE('12.08 Malaba-Tororo'!E54,'13.08 Malaba-Tororo'!E54,'14.08 Malaba-Tororo'!E54,'15.08 Malaba-Tororo'!E54,'16.08 Malaba-Tororo-24h'!E54,'17.08 Malaba-Tororo-24h'!E54,'18.08 Malaba-Tororo'!E54)</f>
        <v>3.4285714285714284</v>
      </c>
      <c r="F54" s="49">
        <f>AVERAGE('12.08 Malaba-Tororo'!F54,'13.08 Malaba-Tororo'!F54,'14.08 Malaba-Tororo'!F54,'15.08 Malaba-Tororo'!F54,'16.08 Malaba-Tororo-24h'!F54,'17.08 Malaba-Tororo-24h'!F54,'18.08 Malaba-Tororo'!F54)</f>
        <v>2.1428571428571428</v>
      </c>
      <c r="G54" s="49">
        <f>AVERAGE('12.08 Malaba-Tororo'!G54,'13.08 Malaba-Tororo'!G54,'14.08 Malaba-Tororo'!G54,'15.08 Malaba-Tororo'!G54,'16.08 Malaba-Tororo-24h'!G54,'17.08 Malaba-Tororo-24h'!G54,'18.08 Malaba-Tororo'!G54)</f>
        <v>0</v>
      </c>
      <c r="H54" s="49">
        <f>AVERAGE('12.08 Malaba-Tororo'!H54,'13.08 Malaba-Tororo'!H54,'14.08 Malaba-Tororo'!H54,'15.08 Malaba-Tororo'!H54,'16.08 Malaba-Tororo-24h'!H54,'17.08 Malaba-Tororo-24h'!H54,'18.08 Malaba-Tororo'!H54)</f>
        <v>0</v>
      </c>
      <c r="I54" s="49">
        <f>AVERAGE('12.08 Malaba-Tororo'!I54,'13.08 Malaba-Tororo'!I54,'14.08 Malaba-Tororo'!I54,'15.08 Malaba-Tororo'!I54,'16.08 Malaba-Tororo-24h'!I54,'17.08 Malaba-Tororo-24h'!I54,'18.08 Malaba-Tororo'!I54)</f>
        <v>0.5714285714285714</v>
      </c>
      <c r="J54" s="49">
        <f>AVERAGE('12.08 Malaba-Tororo'!J54,'13.08 Malaba-Tororo'!J54,'14.08 Malaba-Tororo'!J54,'15.08 Malaba-Tororo'!J54,'16.08 Malaba-Tororo-24h'!J54,'17.08 Malaba-Tororo-24h'!J54,'18.08 Malaba-Tororo'!J54)</f>
        <v>0</v>
      </c>
      <c r="K54" s="49">
        <f>AVERAGE('12.08 Malaba-Tororo'!K54,'13.08 Malaba-Tororo'!K54,'14.08 Malaba-Tororo'!K54,'15.08 Malaba-Tororo'!K54,'16.08 Malaba-Tororo-24h'!K54,'17.08 Malaba-Tororo-24h'!K54,'18.08 Malaba-Tororo'!K54)</f>
        <v>0</v>
      </c>
      <c r="L54" s="49">
        <f>AVERAGE('12.08 Malaba-Tororo'!L54,'13.08 Malaba-Tororo'!L54,'14.08 Malaba-Tororo'!L54,'15.08 Malaba-Tororo'!L54,'16.08 Malaba-Tororo-24h'!L54,'17.08 Malaba-Tororo-24h'!L54,'18.08 Malaba-Tororo'!L54)</f>
        <v>0</v>
      </c>
      <c r="M54" s="49">
        <f>AVERAGE('12.08 Malaba-Tororo'!M54,'13.08 Malaba-Tororo'!M54,'14.08 Malaba-Tororo'!M54,'15.08 Malaba-Tororo'!M54,'16.08 Malaba-Tororo-24h'!M54,'17.08 Malaba-Tororo-24h'!M54,'18.08 Malaba-Tororo'!M54)</f>
        <v>25.857142857142858</v>
      </c>
      <c r="N54" s="49">
        <f>AVERAGE('12.08 Malaba-Tororo'!N54,'13.08 Malaba-Tororo'!N54,'14.08 Malaba-Tororo'!N54,'15.08 Malaba-Tororo'!N54,'16.08 Malaba-Tororo-24h'!N54,'17.08 Malaba-Tororo-24h'!N54,'18.08 Malaba-Tororo'!N54)</f>
        <v>0</v>
      </c>
      <c r="O54" s="15">
        <f t="shared" si="0"/>
        <v>10.142857142857142</v>
      </c>
      <c r="P54" s="15">
        <f t="shared" si="1"/>
        <v>36</v>
      </c>
      <c r="R54" s="8"/>
      <c r="T54"/>
    </row>
    <row r="55" spans="2:20" ht="23.1" customHeight="1" x14ac:dyDescent="0.25">
      <c r="B55" s="23" t="s">
        <v>82</v>
      </c>
      <c r="C55" s="49">
        <f>AVERAGE('12.08 Malaba-Tororo'!C55,'13.08 Malaba-Tororo'!C55,'14.08 Malaba-Tororo'!C55,'15.08 Malaba-Tororo'!C55,'16.08 Malaba-Tororo-24h'!C55,'17.08 Malaba-Tororo-24h'!C55,'18.08 Malaba-Tororo'!C55)</f>
        <v>4.1428571428571432</v>
      </c>
      <c r="D55" s="49">
        <f>AVERAGE('12.08 Malaba-Tororo'!D55,'13.08 Malaba-Tororo'!D55,'14.08 Malaba-Tororo'!D55,'15.08 Malaba-Tororo'!D55,'16.08 Malaba-Tororo-24h'!D55,'17.08 Malaba-Tororo-24h'!D55,'18.08 Malaba-Tororo'!D55)</f>
        <v>0.2857142857142857</v>
      </c>
      <c r="E55" s="49">
        <f>AVERAGE('12.08 Malaba-Tororo'!E55,'13.08 Malaba-Tororo'!E55,'14.08 Malaba-Tororo'!E55,'15.08 Malaba-Tororo'!E55,'16.08 Malaba-Tororo-24h'!E55,'17.08 Malaba-Tororo-24h'!E55,'18.08 Malaba-Tororo'!E55)</f>
        <v>2.2857142857142856</v>
      </c>
      <c r="F55" s="49">
        <f>AVERAGE('12.08 Malaba-Tororo'!F55,'13.08 Malaba-Tororo'!F55,'14.08 Malaba-Tororo'!F55,'15.08 Malaba-Tororo'!F55,'16.08 Malaba-Tororo-24h'!F55,'17.08 Malaba-Tororo-24h'!F55,'18.08 Malaba-Tororo'!F55)</f>
        <v>3.1428571428571428</v>
      </c>
      <c r="G55" s="49">
        <f>AVERAGE('12.08 Malaba-Tororo'!G55,'13.08 Malaba-Tororo'!G55,'14.08 Malaba-Tororo'!G55,'15.08 Malaba-Tororo'!G55,'16.08 Malaba-Tororo-24h'!G55,'17.08 Malaba-Tororo-24h'!G55,'18.08 Malaba-Tororo'!G55)</f>
        <v>0</v>
      </c>
      <c r="H55" s="49">
        <f>AVERAGE('12.08 Malaba-Tororo'!H55,'13.08 Malaba-Tororo'!H55,'14.08 Malaba-Tororo'!H55,'15.08 Malaba-Tororo'!H55,'16.08 Malaba-Tororo-24h'!H55,'17.08 Malaba-Tororo-24h'!H55,'18.08 Malaba-Tororo'!H55)</f>
        <v>0</v>
      </c>
      <c r="I55" s="49">
        <f>AVERAGE('12.08 Malaba-Tororo'!I55,'13.08 Malaba-Tororo'!I55,'14.08 Malaba-Tororo'!I55,'15.08 Malaba-Tororo'!I55,'16.08 Malaba-Tororo-24h'!I55,'17.08 Malaba-Tororo-24h'!I55,'18.08 Malaba-Tororo'!I55)</f>
        <v>1.1428571428571428</v>
      </c>
      <c r="J55" s="49">
        <f>AVERAGE('12.08 Malaba-Tororo'!J55,'13.08 Malaba-Tororo'!J55,'14.08 Malaba-Tororo'!J55,'15.08 Malaba-Tororo'!J55,'16.08 Malaba-Tororo-24h'!J55,'17.08 Malaba-Tororo-24h'!J55,'18.08 Malaba-Tororo'!J55)</f>
        <v>0.14285714285714285</v>
      </c>
      <c r="K55" s="49">
        <f>AVERAGE('12.08 Malaba-Tororo'!K55,'13.08 Malaba-Tororo'!K55,'14.08 Malaba-Tororo'!K55,'15.08 Malaba-Tororo'!K55,'16.08 Malaba-Tororo-24h'!K55,'17.08 Malaba-Tororo-24h'!K55,'18.08 Malaba-Tororo'!K55)</f>
        <v>0</v>
      </c>
      <c r="L55" s="49">
        <f>AVERAGE('12.08 Malaba-Tororo'!L55,'13.08 Malaba-Tororo'!L55,'14.08 Malaba-Tororo'!L55,'15.08 Malaba-Tororo'!L55,'16.08 Malaba-Tororo-24h'!L55,'17.08 Malaba-Tororo-24h'!L55,'18.08 Malaba-Tororo'!L55)</f>
        <v>0</v>
      </c>
      <c r="M55" s="49">
        <f>AVERAGE('12.08 Malaba-Tororo'!M55,'13.08 Malaba-Tororo'!M55,'14.08 Malaba-Tororo'!M55,'15.08 Malaba-Tororo'!M55,'16.08 Malaba-Tororo-24h'!M55,'17.08 Malaba-Tororo-24h'!M55,'18.08 Malaba-Tororo'!M55)</f>
        <v>24.714285714285715</v>
      </c>
      <c r="N55" s="49">
        <f>AVERAGE('12.08 Malaba-Tororo'!N55,'13.08 Malaba-Tororo'!N55,'14.08 Malaba-Tororo'!N55,'15.08 Malaba-Tororo'!N55,'16.08 Malaba-Tororo-24h'!N55,'17.08 Malaba-Tororo-24h'!N55,'18.08 Malaba-Tororo'!N55)</f>
        <v>0</v>
      </c>
      <c r="O55" s="15">
        <f t="shared" si="0"/>
        <v>11.142857142857142</v>
      </c>
      <c r="P55" s="15">
        <f t="shared" si="1"/>
        <v>35.857142857142861</v>
      </c>
      <c r="R55" s="8"/>
      <c r="T55"/>
    </row>
    <row r="56" spans="2:20" ht="23.1" customHeight="1" x14ac:dyDescent="0.25">
      <c r="B56" s="23" t="s">
        <v>83</v>
      </c>
      <c r="C56" s="49">
        <f>AVERAGE('12.08 Malaba-Tororo'!C56,'13.08 Malaba-Tororo'!C56,'14.08 Malaba-Tororo'!C56,'15.08 Malaba-Tororo'!C56,'16.08 Malaba-Tororo-24h'!C56,'17.08 Malaba-Tororo-24h'!C56,'18.08 Malaba-Tororo'!C56)</f>
        <v>3.1428571428571428</v>
      </c>
      <c r="D56" s="49">
        <f>AVERAGE('12.08 Malaba-Tororo'!D56,'13.08 Malaba-Tororo'!D56,'14.08 Malaba-Tororo'!D56,'15.08 Malaba-Tororo'!D56,'16.08 Malaba-Tororo-24h'!D56,'17.08 Malaba-Tororo-24h'!D56,'18.08 Malaba-Tororo'!D56)</f>
        <v>0.2857142857142857</v>
      </c>
      <c r="E56" s="49">
        <f>AVERAGE('12.08 Malaba-Tororo'!E56,'13.08 Malaba-Tororo'!E56,'14.08 Malaba-Tororo'!E56,'15.08 Malaba-Tororo'!E56,'16.08 Malaba-Tororo-24h'!E56,'17.08 Malaba-Tororo-24h'!E56,'18.08 Malaba-Tororo'!E56)</f>
        <v>3.1428571428571428</v>
      </c>
      <c r="F56" s="49">
        <f>AVERAGE('12.08 Malaba-Tororo'!F56,'13.08 Malaba-Tororo'!F56,'14.08 Malaba-Tororo'!F56,'15.08 Malaba-Tororo'!F56,'16.08 Malaba-Tororo-24h'!F56,'17.08 Malaba-Tororo-24h'!F56,'18.08 Malaba-Tororo'!F56)</f>
        <v>2.4285714285714284</v>
      </c>
      <c r="G56" s="49">
        <f>AVERAGE('12.08 Malaba-Tororo'!G56,'13.08 Malaba-Tororo'!G56,'14.08 Malaba-Tororo'!G56,'15.08 Malaba-Tororo'!G56,'16.08 Malaba-Tororo-24h'!G56,'17.08 Malaba-Tororo-24h'!G56,'18.08 Malaba-Tororo'!G56)</f>
        <v>0</v>
      </c>
      <c r="H56" s="49">
        <f>AVERAGE('12.08 Malaba-Tororo'!H56,'13.08 Malaba-Tororo'!H56,'14.08 Malaba-Tororo'!H56,'15.08 Malaba-Tororo'!H56,'16.08 Malaba-Tororo-24h'!H56,'17.08 Malaba-Tororo-24h'!H56,'18.08 Malaba-Tororo'!H56)</f>
        <v>0</v>
      </c>
      <c r="I56" s="49">
        <f>AVERAGE('12.08 Malaba-Tororo'!I56,'13.08 Malaba-Tororo'!I56,'14.08 Malaba-Tororo'!I56,'15.08 Malaba-Tororo'!I56,'16.08 Malaba-Tororo-24h'!I56,'17.08 Malaba-Tororo-24h'!I56,'18.08 Malaba-Tororo'!I56)</f>
        <v>2</v>
      </c>
      <c r="J56" s="49">
        <f>AVERAGE('12.08 Malaba-Tororo'!J56,'13.08 Malaba-Tororo'!J56,'14.08 Malaba-Tororo'!J56,'15.08 Malaba-Tororo'!J56,'16.08 Malaba-Tororo-24h'!J56,'17.08 Malaba-Tororo-24h'!J56,'18.08 Malaba-Tororo'!J56)</f>
        <v>0.42857142857142855</v>
      </c>
      <c r="K56" s="49">
        <f>AVERAGE('12.08 Malaba-Tororo'!K56,'13.08 Malaba-Tororo'!K56,'14.08 Malaba-Tororo'!K56,'15.08 Malaba-Tororo'!K56,'16.08 Malaba-Tororo-24h'!K56,'17.08 Malaba-Tororo-24h'!K56,'18.08 Malaba-Tororo'!K56)</f>
        <v>0</v>
      </c>
      <c r="L56" s="49">
        <f>AVERAGE('12.08 Malaba-Tororo'!L56,'13.08 Malaba-Tororo'!L56,'14.08 Malaba-Tororo'!L56,'15.08 Malaba-Tororo'!L56,'16.08 Malaba-Tororo-24h'!L56,'17.08 Malaba-Tororo-24h'!L56,'18.08 Malaba-Tororo'!L56)</f>
        <v>0</v>
      </c>
      <c r="M56" s="49">
        <f>AVERAGE('12.08 Malaba-Tororo'!M56,'13.08 Malaba-Tororo'!M56,'14.08 Malaba-Tororo'!M56,'15.08 Malaba-Tororo'!M56,'16.08 Malaba-Tororo-24h'!M56,'17.08 Malaba-Tororo-24h'!M56,'18.08 Malaba-Tororo'!M56)</f>
        <v>22.428571428571427</v>
      </c>
      <c r="N56" s="49">
        <f>AVERAGE('12.08 Malaba-Tororo'!N56,'13.08 Malaba-Tororo'!N56,'14.08 Malaba-Tororo'!N56,'15.08 Malaba-Tororo'!N56,'16.08 Malaba-Tororo-24h'!N56,'17.08 Malaba-Tororo-24h'!N56,'18.08 Malaba-Tororo'!N56)</f>
        <v>0.14285714285714285</v>
      </c>
      <c r="O56" s="15">
        <f t="shared" si="0"/>
        <v>11.571428571428571</v>
      </c>
      <c r="P56" s="15">
        <f t="shared" si="1"/>
        <v>34</v>
      </c>
      <c r="R56" s="8"/>
      <c r="T56"/>
    </row>
    <row r="57" spans="2:20" ht="23.1" customHeight="1" x14ac:dyDescent="0.25">
      <c r="B57" s="23" t="s">
        <v>84</v>
      </c>
      <c r="C57" s="49">
        <f>AVERAGE('12.08 Malaba-Tororo'!C57,'13.08 Malaba-Tororo'!C57,'14.08 Malaba-Tororo'!C57,'15.08 Malaba-Tororo'!C57,'16.08 Malaba-Tororo-24h'!C57,'17.08 Malaba-Tororo-24h'!C57,'18.08 Malaba-Tororo'!C57)</f>
        <v>5.2857142857142856</v>
      </c>
      <c r="D57" s="49">
        <f>AVERAGE('12.08 Malaba-Tororo'!D57,'13.08 Malaba-Tororo'!D57,'14.08 Malaba-Tororo'!D57,'15.08 Malaba-Tororo'!D57,'16.08 Malaba-Tororo-24h'!D57,'17.08 Malaba-Tororo-24h'!D57,'18.08 Malaba-Tororo'!D57)</f>
        <v>0.2857142857142857</v>
      </c>
      <c r="E57" s="49">
        <f>AVERAGE('12.08 Malaba-Tororo'!E57,'13.08 Malaba-Tororo'!E57,'14.08 Malaba-Tororo'!E57,'15.08 Malaba-Tororo'!E57,'16.08 Malaba-Tororo-24h'!E57,'17.08 Malaba-Tororo-24h'!E57,'18.08 Malaba-Tororo'!E57)</f>
        <v>2.7142857142857144</v>
      </c>
      <c r="F57" s="49">
        <f>AVERAGE('12.08 Malaba-Tororo'!F57,'13.08 Malaba-Tororo'!F57,'14.08 Malaba-Tororo'!F57,'15.08 Malaba-Tororo'!F57,'16.08 Malaba-Tororo-24h'!F57,'17.08 Malaba-Tororo-24h'!F57,'18.08 Malaba-Tororo'!F57)</f>
        <v>2.1428571428571428</v>
      </c>
      <c r="G57" s="49">
        <f>AVERAGE('12.08 Malaba-Tororo'!G57,'13.08 Malaba-Tororo'!G57,'14.08 Malaba-Tororo'!G57,'15.08 Malaba-Tororo'!G57,'16.08 Malaba-Tororo-24h'!G57,'17.08 Malaba-Tororo-24h'!G57,'18.08 Malaba-Tororo'!G57)</f>
        <v>0</v>
      </c>
      <c r="H57" s="49">
        <f>AVERAGE('12.08 Malaba-Tororo'!H57,'13.08 Malaba-Tororo'!H57,'14.08 Malaba-Tororo'!H57,'15.08 Malaba-Tororo'!H57,'16.08 Malaba-Tororo-24h'!H57,'17.08 Malaba-Tororo-24h'!H57,'18.08 Malaba-Tororo'!H57)</f>
        <v>0</v>
      </c>
      <c r="I57" s="49">
        <f>AVERAGE('12.08 Malaba-Tororo'!I57,'13.08 Malaba-Tororo'!I57,'14.08 Malaba-Tororo'!I57,'15.08 Malaba-Tororo'!I57,'16.08 Malaba-Tororo-24h'!I57,'17.08 Malaba-Tororo-24h'!I57,'18.08 Malaba-Tororo'!I57)</f>
        <v>1.4285714285714286</v>
      </c>
      <c r="J57" s="49">
        <f>AVERAGE('12.08 Malaba-Tororo'!J57,'13.08 Malaba-Tororo'!J57,'14.08 Malaba-Tororo'!J57,'15.08 Malaba-Tororo'!J57,'16.08 Malaba-Tororo-24h'!J57,'17.08 Malaba-Tororo-24h'!J57,'18.08 Malaba-Tororo'!J57)</f>
        <v>0.7142857142857143</v>
      </c>
      <c r="K57" s="49">
        <f>AVERAGE('12.08 Malaba-Tororo'!K57,'13.08 Malaba-Tororo'!K57,'14.08 Malaba-Tororo'!K57,'15.08 Malaba-Tororo'!K57,'16.08 Malaba-Tororo-24h'!K57,'17.08 Malaba-Tororo-24h'!K57,'18.08 Malaba-Tororo'!K57)</f>
        <v>0</v>
      </c>
      <c r="L57" s="49">
        <f>AVERAGE('12.08 Malaba-Tororo'!L57,'13.08 Malaba-Tororo'!L57,'14.08 Malaba-Tororo'!L57,'15.08 Malaba-Tororo'!L57,'16.08 Malaba-Tororo-24h'!L57,'17.08 Malaba-Tororo-24h'!L57,'18.08 Malaba-Tororo'!L57)</f>
        <v>0</v>
      </c>
      <c r="M57" s="49">
        <f>AVERAGE('12.08 Malaba-Tororo'!M57,'13.08 Malaba-Tororo'!M57,'14.08 Malaba-Tororo'!M57,'15.08 Malaba-Tororo'!M57,'16.08 Malaba-Tororo-24h'!M57,'17.08 Malaba-Tororo-24h'!M57,'18.08 Malaba-Tororo'!M57)</f>
        <v>27.285714285714285</v>
      </c>
      <c r="N57" s="49">
        <f>AVERAGE('12.08 Malaba-Tororo'!N57,'13.08 Malaba-Tororo'!N57,'14.08 Malaba-Tororo'!N57,'15.08 Malaba-Tororo'!N57,'16.08 Malaba-Tororo-24h'!N57,'17.08 Malaba-Tororo-24h'!N57,'18.08 Malaba-Tororo'!N57)</f>
        <v>0</v>
      </c>
      <c r="O57" s="15">
        <f t="shared" si="0"/>
        <v>12.571428571428569</v>
      </c>
      <c r="P57" s="15">
        <f t="shared" si="1"/>
        <v>39.857142857142854</v>
      </c>
      <c r="R57" s="8"/>
      <c r="T57"/>
    </row>
    <row r="58" spans="2:20" ht="23.1" customHeight="1" x14ac:dyDescent="0.25">
      <c r="B58" s="23" t="s">
        <v>99</v>
      </c>
      <c r="C58" s="49">
        <f>AVERAGE('16.08 Malaba-Tororo-24h'!C58,'17.08 Malaba-Tororo-24h'!C58)</f>
        <v>4</v>
      </c>
      <c r="D58" s="49">
        <f>AVERAGE('16.08 Malaba-Tororo-24h'!D58,'17.08 Malaba-Tororo-24h'!D58)</f>
        <v>1</v>
      </c>
      <c r="E58" s="49">
        <f>AVERAGE('16.08 Malaba-Tororo-24h'!E58,'17.08 Malaba-Tororo-24h'!E58)</f>
        <v>4</v>
      </c>
      <c r="F58" s="49">
        <f>AVERAGE('16.08 Malaba-Tororo-24h'!F58,'17.08 Malaba-Tororo-24h'!F58)</f>
        <v>2</v>
      </c>
      <c r="G58" s="49">
        <f>AVERAGE('16.08 Malaba-Tororo-24h'!G58,'17.08 Malaba-Tororo-24h'!G58)</f>
        <v>0</v>
      </c>
      <c r="H58" s="49">
        <f>AVERAGE('16.08 Malaba-Tororo-24h'!H58,'17.08 Malaba-Tororo-24h'!H58)</f>
        <v>0</v>
      </c>
      <c r="I58" s="49">
        <f>AVERAGE('16.08 Malaba-Tororo-24h'!I58,'17.08 Malaba-Tororo-24h'!I58)</f>
        <v>1</v>
      </c>
      <c r="J58" s="49">
        <f>AVERAGE('16.08 Malaba-Tororo-24h'!J58,'17.08 Malaba-Tororo-24h'!J58)</f>
        <v>1</v>
      </c>
      <c r="K58" s="49">
        <f>AVERAGE('16.08 Malaba-Tororo-24h'!K58,'17.08 Malaba-Tororo-24h'!K58)</f>
        <v>0</v>
      </c>
      <c r="L58" s="49">
        <f>AVERAGE('16.08 Malaba-Tororo-24h'!L58,'17.08 Malaba-Tororo-24h'!L58)</f>
        <v>0</v>
      </c>
      <c r="M58" s="49">
        <f>AVERAGE('16.08 Malaba-Tororo-24h'!M58,'17.08 Malaba-Tororo-24h'!M58)</f>
        <v>23</v>
      </c>
      <c r="N58" s="49">
        <f>AVERAGE('16.08 Malaba-Tororo-24h'!N58,'17.08 Malaba-Tororo-24h'!N58)</f>
        <v>0</v>
      </c>
      <c r="O58" s="15">
        <f t="shared" si="0"/>
        <v>13</v>
      </c>
      <c r="P58" s="15">
        <f t="shared" si="1"/>
        <v>36</v>
      </c>
      <c r="R58" s="8"/>
      <c r="T58"/>
    </row>
    <row r="59" spans="2:20" ht="23.1" customHeight="1" x14ac:dyDescent="0.25">
      <c r="B59" s="23" t="s">
        <v>100</v>
      </c>
      <c r="C59" s="49">
        <f>AVERAGE('16.08 Malaba-Tororo-24h'!C59,'17.08 Malaba-Tororo-24h'!C59)</f>
        <v>1</v>
      </c>
      <c r="D59" s="49">
        <f>AVERAGE('16.08 Malaba-Tororo-24h'!D59,'17.08 Malaba-Tororo-24h'!D59)</f>
        <v>0</v>
      </c>
      <c r="E59" s="49">
        <f>AVERAGE('16.08 Malaba-Tororo-24h'!E59,'17.08 Malaba-Tororo-24h'!E59)</f>
        <v>1</v>
      </c>
      <c r="F59" s="49">
        <f>AVERAGE('16.08 Malaba-Tororo-24h'!F59,'17.08 Malaba-Tororo-24h'!F59)</f>
        <v>1.5</v>
      </c>
      <c r="G59" s="49">
        <f>AVERAGE('16.08 Malaba-Tororo-24h'!G59,'17.08 Malaba-Tororo-24h'!G59)</f>
        <v>0</v>
      </c>
      <c r="H59" s="49">
        <f>AVERAGE('16.08 Malaba-Tororo-24h'!H59,'17.08 Malaba-Tororo-24h'!H59)</f>
        <v>0</v>
      </c>
      <c r="I59" s="49">
        <f>AVERAGE('16.08 Malaba-Tororo-24h'!I59,'17.08 Malaba-Tororo-24h'!I59)</f>
        <v>1</v>
      </c>
      <c r="J59" s="49">
        <f>AVERAGE('16.08 Malaba-Tororo-24h'!J59,'17.08 Malaba-Tororo-24h'!J59)</f>
        <v>0</v>
      </c>
      <c r="K59" s="49">
        <f>AVERAGE('16.08 Malaba-Tororo-24h'!K59,'17.08 Malaba-Tororo-24h'!K59)</f>
        <v>0</v>
      </c>
      <c r="L59" s="49">
        <f>AVERAGE('16.08 Malaba-Tororo-24h'!L59,'17.08 Malaba-Tororo-24h'!L59)</f>
        <v>0</v>
      </c>
      <c r="M59" s="49">
        <f>AVERAGE('16.08 Malaba-Tororo-24h'!M59,'17.08 Malaba-Tororo-24h'!M59)</f>
        <v>3.5</v>
      </c>
      <c r="N59" s="49">
        <f>AVERAGE('16.08 Malaba-Tororo-24h'!N59,'17.08 Malaba-Tororo-24h'!N59)</f>
        <v>0</v>
      </c>
      <c r="O59" s="15">
        <f t="shared" si="0"/>
        <v>4.5</v>
      </c>
      <c r="P59" s="15">
        <f t="shared" si="1"/>
        <v>8</v>
      </c>
      <c r="R59" s="8"/>
      <c r="T59"/>
    </row>
    <row r="60" spans="2:20" ht="23.1" customHeight="1" x14ac:dyDescent="0.25">
      <c r="B60" s="23" t="s">
        <v>101</v>
      </c>
      <c r="C60" s="49">
        <f>AVERAGE('16.08 Malaba-Tororo-24h'!C60,'17.08 Malaba-Tororo-24h'!C60)</f>
        <v>5.5</v>
      </c>
      <c r="D60" s="49">
        <f>AVERAGE('16.08 Malaba-Tororo-24h'!D60,'17.08 Malaba-Tororo-24h'!D60)</f>
        <v>0.5</v>
      </c>
      <c r="E60" s="49">
        <f>AVERAGE('16.08 Malaba-Tororo-24h'!E60,'17.08 Malaba-Tororo-24h'!E60)</f>
        <v>3</v>
      </c>
      <c r="F60" s="49">
        <f>AVERAGE('16.08 Malaba-Tororo-24h'!F60,'17.08 Malaba-Tororo-24h'!F60)</f>
        <v>1</v>
      </c>
      <c r="G60" s="49">
        <f>AVERAGE('16.08 Malaba-Tororo-24h'!G60,'17.08 Malaba-Tororo-24h'!G60)</f>
        <v>0</v>
      </c>
      <c r="H60" s="49">
        <f>AVERAGE('16.08 Malaba-Tororo-24h'!H60,'17.08 Malaba-Tororo-24h'!H60)</f>
        <v>0</v>
      </c>
      <c r="I60" s="49">
        <f>AVERAGE('16.08 Malaba-Tororo-24h'!I60,'17.08 Malaba-Tororo-24h'!I60)</f>
        <v>3.5</v>
      </c>
      <c r="J60" s="49">
        <f>AVERAGE('16.08 Malaba-Tororo-24h'!J60,'17.08 Malaba-Tororo-24h'!J60)</f>
        <v>0</v>
      </c>
      <c r="K60" s="49">
        <f>AVERAGE('16.08 Malaba-Tororo-24h'!K60,'17.08 Malaba-Tororo-24h'!K60)</f>
        <v>0</v>
      </c>
      <c r="L60" s="49">
        <f>AVERAGE('16.08 Malaba-Tororo-24h'!L60,'17.08 Malaba-Tororo-24h'!L60)</f>
        <v>0</v>
      </c>
      <c r="M60" s="49">
        <f>AVERAGE('16.08 Malaba-Tororo-24h'!M60,'17.08 Malaba-Tororo-24h'!M60)</f>
        <v>23.5</v>
      </c>
      <c r="N60" s="49">
        <f>AVERAGE('16.08 Malaba-Tororo-24h'!N60,'17.08 Malaba-Tororo-24h'!N60)</f>
        <v>0</v>
      </c>
      <c r="O60" s="15">
        <f t="shared" si="0"/>
        <v>13.5</v>
      </c>
      <c r="P60" s="15">
        <f t="shared" si="1"/>
        <v>37</v>
      </c>
      <c r="R60" s="8"/>
      <c r="T60"/>
    </row>
    <row r="61" spans="2:20" ht="23.1" customHeight="1" x14ac:dyDescent="0.25">
      <c r="B61" s="23" t="s">
        <v>102</v>
      </c>
      <c r="C61" s="49">
        <f>AVERAGE('16.08 Malaba-Tororo-24h'!C61,'17.08 Malaba-Tororo-24h'!C61)</f>
        <v>3</v>
      </c>
      <c r="D61" s="49">
        <f>AVERAGE('16.08 Malaba-Tororo-24h'!D61,'17.08 Malaba-Tororo-24h'!D61)</f>
        <v>0</v>
      </c>
      <c r="E61" s="49">
        <f>AVERAGE('16.08 Malaba-Tororo-24h'!E61,'17.08 Malaba-Tororo-24h'!E61)</f>
        <v>0.5</v>
      </c>
      <c r="F61" s="49">
        <f>AVERAGE('16.08 Malaba-Tororo-24h'!F61,'17.08 Malaba-Tororo-24h'!F61)</f>
        <v>0.5</v>
      </c>
      <c r="G61" s="49">
        <f>AVERAGE('16.08 Malaba-Tororo-24h'!G61,'17.08 Malaba-Tororo-24h'!G61)</f>
        <v>1</v>
      </c>
      <c r="H61" s="49">
        <f>AVERAGE('16.08 Malaba-Tororo-24h'!H61,'17.08 Malaba-Tororo-24h'!H61)</f>
        <v>0</v>
      </c>
      <c r="I61" s="49">
        <f>AVERAGE('16.08 Malaba-Tororo-24h'!I61,'17.08 Malaba-Tororo-24h'!I61)</f>
        <v>0.5</v>
      </c>
      <c r="J61" s="49">
        <f>AVERAGE('16.08 Malaba-Tororo-24h'!J61,'17.08 Malaba-Tororo-24h'!J61)</f>
        <v>0</v>
      </c>
      <c r="K61" s="49">
        <f>AVERAGE('16.08 Malaba-Tororo-24h'!K61,'17.08 Malaba-Tororo-24h'!K61)</f>
        <v>0</v>
      </c>
      <c r="L61" s="49">
        <f>AVERAGE('16.08 Malaba-Tororo-24h'!L61,'17.08 Malaba-Tororo-24h'!L61)</f>
        <v>0</v>
      </c>
      <c r="M61" s="49">
        <f>AVERAGE('16.08 Malaba-Tororo-24h'!M61,'17.08 Malaba-Tororo-24h'!M61)</f>
        <v>16</v>
      </c>
      <c r="N61" s="49">
        <f>AVERAGE('16.08 Malaba-Tororo-24h'!N61,'17.08 Malaba-Tororo-24h'!N61)</f>
        <v>0</v>
      </c>
      <c r="O61" s="15">
        <f t="shared" si="0"/>
        <v>5.5</v>
      </c>
      <c r="P61" s="15">
        <f t="shared" si="1"/>
        <v>21.5</v>
      </c>
      <c r="R61" s="8"/>
      <c r="T61"/>
    </row>
    <row r="62" spans="2:20" ht="23.1" customHeight="1" x14ac:dyDescent="0.25">
      <c r="B62" s="23" t="s">
        <v>107</v>
      </c>
      <c r="C62" s="49">
        <f>AVERAGE('16.08 Malaba-Tororo-24h'!C62,'17.08 Malaba-Tororo-24h'!C62)</f>
        <v>1</v>
      </c>
      <c r="D62" s="49">
        <f>AVERAGE('16.08 Malaba-Tororo-24h'!D62,'17.08 Malaba-Tororo-24h'!D62)</f>
        <v>0</v>
      </c>
      <c r="E62" s="49">
        <f>AVERAGE('16.08 Malaba-Tororo-24h'!E62,'17.08 Malaba-Tororo-24h'!E62)</f>
        <v>1.5</v>
      </c>
      <c r="F62" s="49">
        <f>AVERAGE('16.08 Malaba-Tororo-24h'!F62,'17.08 Malaba-Tororo-24h'!F62)</f>
        <v>3.5</v>
      </c>
      <c r="G62" s="49">
        <f>AVERAGE('16.08 Malaba-Tororo-24h'!G62,'17.08 Malaba-Tororo-24h'!G62)</f>
        <v>0.5</v>
      </c>
      <c r="H62" s="49">
        <f>AVERAGE('16.08 Malaba-Tororo-24h'!H62,'17.08 Malaba-Tororo-24h'!H62)</f>
        <v>0</v>
      </c>
      <c r="I62" s="49">
        <f>AVERAGE('16.08 Malaba-Tororo-24h'!I62,'17.08 Malaba-Tororo-24h'!I62)</f>
        <v>1</v>
      </c>
      <c r="J62" s="49">
        <f>AVERAGE('16.08 Malaba-Tororo-24h'!J62,'17.08 Malaba-Tororo-24h'!J62)</f>
        <v>1</v>
      </c>
      <c r="K62" s="49">
        <f>AVERAGE('16.08 Malaba-Tororo-24h'!K62,'17.08 Malaba-Tororo-24h'!K62)</f>
        <v>0</v>
      </c>
      <c r="L62" s="49">
        <f>AVERAGE('16.08 Malaba-Tororo-24h'!L62,'17.08 Malaba-Tororo-24h'!L62)</f>
        <v>0</v>
      </c>
      <c r="M62" s="49">
        <f>AVERAGE('16.08 Malaba-Tororo-24h'!M62,'17.08 Malaba-Tororo-24h'!M62)</f>
        <v>6.5</v>
      </c>
      <c r="N62" s="49">
        <f>AVERAGE('16.08 Malaba-Tororo-24h'!N62,'17.08 Malaba-Tororo-24h'!N62)</f>
        <v>0</v>
      </c>
      <c r="O62" s="15">
        <f t="shared" si="0"/>
        <v>8.5</v>
      </c>
      <c r="P62" s="15">
        <f t="shared" si="1"/>
        <v>15</v>
      </c>
      <c r="R62" s="8"/>
      <c r="T62"/>
    </row>
    <row r="63" spans="2:20" ht="23.1" customHeight="1" x14ac:dyDescent="0.25">
      <c r="B63" s="23" t="s">
        <v>108</v>
      </c>
      <c r="C63" s="49">
        <f>AVERAGE('16.08 Malaba-Tororo-24h'!C63,'17.08 Malaba-Tororo-24h'!C63)</f>
        <v>2.5</v>
      </c>
      <c r="D63" s="49">
        <f>AVERAGE('16.08 Malaba-Tororo-24h'!D63,'17.08 Malaba-Tororo-24h'!D63)</f>
        <v>0.5</v>
      </c>
      <c r="E63" s="49">
        <f>AVERAGE('16.08 Malaba-Tororo-24h'!E63,'17.08 Malaba-Tororo-24h'!E63)</f>
        <v>2</v>
      </c>
      <c r="F63" s="49">
        <f>AVERAGE('16.08 Malaba-Tororo-24h'!F63,'17.08 Malaba-Tororo-24h'!F63)</f>
        <v>0</v>
      </c>
      <c r="G63" s="49">
        <f>AVERAGE('16.08 Malaba-Tororo-24h'!G63,'17.08 Malaba-Tororo-24h'!G63)</f>
        <v>0</v>
      </c>
      <c r="H63" s="49">
        <f>AVERAGE('16.08 Malaba-Tororo-24h'!H63,'17.08 Malaba-Tororo-24h'!H63)</f>
        <v>0</v>
      </c>
      <c r="I63" s="49">
        <f>AVERAGE('16.08 Malaba-Tororo-24h'!I63,'17.08 Malaba-Tororo-24h'!I63)</f>
        <v>2.5</v>
      </c>
      <c r="J63" s="49">
        <f>AVERAGE('16.08 Malaba-Tororo-24h'!J63,'17.08 Malaba-Tororo-24h'!J63)</f>
        <v>0</v>
      </c>
      <c r="K63" s="49">
        <f>AVERAGE('16.08 Malaba-Tororo-24h'!K63,'17.08 Malaba-Tororo-24h'!K63)</f>
        <v>0</v>
      </c>
      <c r="L63" s="49">
        <f>AVERAGE('16.08 Malaba-Tororo-24h'!L63,'17.08 Malaba-Tororo-24h'!L63)</f>
        <v>0</v>
      </c>
      <c r="M63" s="49">
        <f>AVERAGE('16.08 Malaba-Tororo-24h'!M63,'17.08 Malaba-Tororo-24h'!M63)</f>
        <v>5</v>
      </c>
      <c r="N63" s="49">
        <f>AVERAGE('16.08 Malaba-Tororo-24h'!N63,'17.08 Malaba-Tororo-24h'!N63)</f>
        <v>0</v>
      </c>
      <c r="O63" s="15">
        <f t="shared" si="0"/>
        <v>7.5</v>
      </c>
      <c r="P63" s="15">
        <f t="shared" si="1"/>
        <v>12.5</v>
      </c>
      <c r="R63" s="8"/>
      <c r="T63"/>
    </row>
    <row r="64" spans="2:20" ht="23.1" customHeight="1" x14ac:dyDescent="0.25">
      <c r="B64" s="23" t="s">
        <v>109</v>
      </c>
      <c r="C64" s="49">
        <f>AVERAGE('16.08 Malaba-Tororo-24h'!C64,'17.08 Malaba-Tororo-24h'!C64)</f>
        <v>4</v>
      </c>
      <c r="D64" s="49">
        <f>AVERAGE('16.08 Malaba-Tororo-24h'!D64,'17.08 Malaba-Tororo-24h'!D64)</f>
        <v>1</v>
      </c>
      <c r="E64" s="49">
        <f>AVERAGE('16.08 Malaba-Tororo-24h'!E64,'17.08 Malaba-Tororo-24h'!E64)</f>
        <v>4.5</v>
      </c>
      <c r="F64" s="49">
        <f>AVERAGE('16.08 Malaba-Tororo-24h'!F64,'17.08 Malaba-Tororo-24h'!F64)</f>
        <v>1</v>
      </c>
      <c r="G64" s="49">
        <f>AVERAGE('16.08 Malaba-Tororo-24h'!G64,'17.08 Malaba-Tororo-24h'!G64)</f>
        <v>0</v>
      </c>
      <c r="H64" s="49">
        <f>AVERAGE('16.08 Malaba-Tororo-24h'!H64,'17.08 Malaba-Tororo-24h'!H64)</f>
        <v>0</v>
      </c>
      <c r="I64" s="49">
        <f>AVERAGE('16.08 Malaba-Tororo-24h'!I64,'17.08 Malaba-Tororo-24h'!I64)</f>
        <v>0.5</v>
      </c>
      <c r="J64" s="49">
        <f>AVERAGE('16.08 Malaba-Tororo-24h'!J64,'17.08 Malaba-Tororo-24h'!J64)</f>
        <v>0</v>
      </c>
      <c r="K64" s="49">
        <f>AVERAGE('16.08 Malaba-Tororo-24h'!K64,'17.08 Malaba-Tororo-24h'!K64)</f>
        <v>0</v>
      </c>
      <c r="L64" s="49">
        <f>AVERAGE('16.08 Malaba-Tororo-24h'!L64,'17.08 Malaba-Tororo-24h'!L64)</f>
        <v>0</v>
      </c>
      <c r="M64" s="49">
        <f>AVERAGE('16.08 Malaba-Tororo-24h'!M64,'17.08 Malaba-Tororo-24h'!M64)</f>
        <v>9</v>
      </c>
      <c r="N64" s="49">
        <f>AVERAGE('16.08 Malaba-Tororo-24h'!N64,'17.08 Malaba-Tororo-24h'!N64)</f>
        <v>0</v>
      </c>
      <c r="O64" s="15">
        <f t="shared" si="0"/>
        <v>11</v>
      </c>
      <c r="P64" s="15">
        <f t="shared" si="1"/>
        <v>20</v>
      </c>
      <c r="R64" s="8"/>
      <c r="T64"/>
    </row>
    <row r="65" spans="2:20" ht="23.1" customHeight="1" x14ac:dyDescent="0.25">
      <c r="B65" s="23" t="s">
        <v>158</v>
      </c>
      <c r="C65" s="49">
        <f>AVERAGE('16.08 Malaba-Tororo-24h'!C65,'17.08 Malaba-Tororo-24h'!C65)</f>
        <v>2</v>
      </c>
      <c r="D65" s="49">
        <f>AVERAGE('16.08 Malaba-Tororo-24h'!D65,'17.08 Malaba-Tororo-24h'!D65)</f>
        <v>0</v>
      </c>
      <c r="E65" s="49">
        <f>AVERAGE('16.08 Malaba-Tororo-24h'!E65,'17.08 Malaba-Tororo-24h'!E65)</f>
        <v>2.5</v>
      </c>
      <c r="F65" s="49">
        <f>AVERAGE('16.08 Malaba-Tororo-24h'!F65,'17.08 Malaba-Tororo-24h'!F65)</f>
        <v>1</v>
      </c>
      <c r="G65" s="49">
        <f>AVERAGE('16.08 Malaba-Tororo-24h'!G65,'17.08 Malaba-Tororo-24h'!G65)</f>
        <v>0</v>
      </c>
      <c r="H65" s="49">
        <f>AVERAGE('16.08 Malaba-Tororo-24h'!H65,'17.08 Malaba-Tororo-24h'!H65)</f>
        <v>0</v>
      </c>
      <c r="I65" s="49">
        <f>AVERAGE('16.08 Malaba-Tororo-24h'!I65,'17.08 Malaba-Tororo-24h'!I65)</f>
        <v>2</v>
      </c>
      <c r="J65" s="49">
        <f>AVERAGE('16.08 Malaba-Tororo-24h'!J65,'17.08 Malaba-Tororo-24h'!J65)</f>
        <v>0</v>
      </c>
      <c r="K65" s="49">
        <f>AVERAGE('16.08 Malaba-Tororo-24h'!K65,'17.08 Malaba-Tororo-24h'!K65)</f>
        <v>0</v>
      </c>
      <c r="L65" s="49">
        <f>AVERAGE('16.08 Malaba-Tororo-24h'!L65,'17.08 Malaba-Tororo-24h'!L65)</f>
        <v>0</v>
      </c>
      <c r="M65" s="49">
        <f>AVERAGE('16.08 Malaba-Tororo-24h'!M65,'17.08 Malaba-Tororo-24h'!M65)</f>
        <v>4.5</v>
      </c>
      <c r="N65" s="49">
        <f>AVERAGE('16.08 Malaba-Tororo-24h'!N65,'17.08 Malaba-Tororo-24h'!N65)</f>
        <v>0</v>
      </c>
      <c r="O65" s="15">
        <f t="shared" si="0"/>
        <v>7.5</v>
      </c>
      <c r="P65" s="15">
        <f t="shared" si="1"/>
        <v>12</v>
      </c>
      <c r="R65" s="8"/>
      <c r="T65"/>
    </row>
    <row r="66" spans="2:20" ht="23.1" customHeight="1" x14ac:dyDescent="0.25">
      <c r="B66" s="23" t="s">
        <v>103</v>
      </c>
      <c r="C66" s="49">
        <f>AVERAGE('16.08 Malaba-Tororo-24h'!C66,'17.08 Malaba-Tororo-24h'!C66)</f>
        <v>3.5</v>
      </c>
      <c r="D66" s="49">
        <f>AVERAGE('16.08 Malaba-Tororo-24h'!D66,'17.08 Malaba-Tororo-24h'!D66)</f>
        <v>0</v>
      </c>
      <c r="E66" s="49">
        <f>AVERAGE('16.08 Malaba-Tororo-24h'!E66,'17.08 Malaba-Tororo-24h'!E66)</f>
        <v>2</v>
      </c>
      <c r="F66" s="49">
        <f>AVERAGE('16.08 Malaba-Tororo-24h'!F66,'17.08 Malaba-Tororo-24h'!F66)</f>
        <v>1.5</v>
      </c>
      <c r="G66" s="49">
        <f>AVERAGE('16.08 Malaba-Tororo-24h'!G66,'17.08 Malaba-Tororo-24h'!G66)</f>
        <v>0</v>
      </c>
      <c r="H66" s="49">
        <f>AVERAGE('16.08 Malaba-Tororo-24h'!H66,'17.08 Malaba-Tororo-24h'!H66)</f>
        <v>0</v>
      </c>
      <c r="I66" s="49">
        <f>AVERAGE('16.08 Malaba-Tororo-24h'!I66,'17.08 Malaba-Tororo-24h'!I66)</f>
        <v>1</v>
      </c>
      <c r="J66" s="49">
        <f>AVERAGE('16.08 Malaba-Tororo-24h'!J66,'17.08 Malaba-Tororo-24h'!J66)</f>
        <v>0</v>
      </c>
      <c r="K66" s="49">
        <f>AVERAGE('16.08 Malaba-Tororo-24h'!K66,'17.08 Malaba-Tororo-24h'!K66)</f>
        <v>0</v>
      </c>
      <c r="L66" s="49">
        <f>AVERAGE('16.08 Malaba-Tororo-24h'!L66,'17.08 Malaba-Tororo-24h'!L66)</f>
        <v>0</v>
      </c>
      <c r="M66" s="49">
        <f>AVERAGE('16.08 Malaba-Tororo-24h'!M66,'17.08 Malaba-Tororo-24h'!M66)</f>
        <v>5</v>
      </c>
      <c r="N66" s="49">
        <f>AVERAGE('16.08 Malaba-Tororo-24h'!N66,'17.08 Malaba-Tororo-24h'!N66)</f>
        <v>0</v>
      </c>
      <c r="O66" s="15">
        <f t="shared" si="0"/>
        <v>8</v>
      </c>
      <c r="P66" s="15">
        <f t="shared" si="1"/>
        <v>13</v>
      </c>
      <c r="R66" s="8"/>
      <c r="T66"/>
    </row>
    <row r="67" spans="2:20" ht="23.1" customHeight="1" x14ac:dyDescent="0.25">
      <c r="B67" s="23" t="s">
        <v>104</v>
      </c>
      <c r="C67" s="49">
        <f>AVERAGE('16.08 Malaba-Tororo-24h'!C67,'17.08 Malaba-Tororo-24h'!C67)</f>
        <v>2</v>
      </c>
      <c r="D67" s="49">
        <f>AVERAGE('16.08 Malaba-Tororo-24h'!D67,'17.08 Malaba-Tororo-24h'!D67)</f>
        <v>0</v>
      </c>
      <c r="E67" s="49">
        <f>AVERAGE('16.08 Malaba-Tororo-24h'!E67,'17.08 Malaba-Tororo-24h'!E67)</f>
        <v>1</v>
      </c>
      <c r="F67" s="49">
        <f>AVERAGE('16.08 Malaba-Tororo-24h'!F67,'17.08 Malaba-Tororo-24h'!F67)</f>
        <v>1</v>
      </c>
      <c r="G67" s="49">
        <f>AVERAGE('16.08 Malaba-Tororo-24h'!G67,'17.08 Malaba-Tororo-24h'!G67)</f>
        <v>0</v>
      </c>
      <c r="H67" s="49">
        <f>AVERAGE('16.08 Malaba-Tororo-24h'!H67,'17.08 Malaba-Tororo-24h'!H67)</f>
        <v>0</v>
      </c>
      <c r="I67" s="49">
        <f>AVERAGE('16.08 Malaba-Tororo-24h'!I67,'17.08 Malaba-Tororo-24h'!I67)</f>
        <v>1</v>
      </c>
      <c r="J67" s="49">
        <f>AVERAGE('16.08 Malaba-Tororo-24h'!J67,'17.08 Malaba-Tororo-24h'!J67)</f>
        <v>0</v>
      </c>
      <c r="K67" s="49">
        <f>AVERAGE('16.08 Malaba-Tororo-24h'!K67,'17.08 Malaba-Tororo-24h'!K67)</f>
        <v>0</v>
      </c>
      <c r="L67" s="49">
        <f>AVERAGE('16.08 Malaba-Tororo-24h'!L67,'17.08 Malaba-Tororo-24h'!L67)</f>
        <v>0</v>
      </c>
      <c r="M67" s="49">
        <f>AVERAGE('16.08 Malaba-Tororo-24h'!M67,'17.08 Malaba-Tororo-24h'!M67)</f>
        <v>7.5</v>
      </c>
      <c r="N67" s="49">
        <f>AVERAGE('16.08 Malaba-Tororo-24h'!N67,'17.08 Malaba-Tororo-24h'!N67)</f>
        <v>0</v>
      </c>
      <c r="O67" s="15">
        <f t="shared" si="0"/>
        <v>5</v>
      </c>
      <c r="P67" s="15">
        <f t="shared" si="1"/>
        <v>12.5</v>
      </c>
      <c r="R67" s="8"/>
      <c r="T67"/>
    </row>
    <row r="68" spans="2:20" ht="23.1" customHeight="1" x14ac:dyDescent="0.25">
      <c r="B68" s="23" t="s">
        <v>105</v>
      </c>
      <c r="C68" s="49">
        <f>AVERAGE('16.08 Malaba-Tororo-24h'!C68,'17.08 Malaba-Tororo-24h'!C68)</f>
        <v>0</v>
      </c>
      <c r="D68" s="49">
        <f>AVERAGE('16.08 Malaba-Tororo-24h'!D68,'17.08 Malaba-Tororo-24h'!D68)</f>
        <v>0</v>
      </c>
      <c r="E68" s="49">
        <f>AVERAGE('16.08 Malaba-Tororo-24h'!E68,'17.08 Malaba-Tororo-24h'!E68)</f>
        <v>2</v>
      </c>
      <c r="F68" s="49">
        <f>AVERAGE('16.08 Malaba-Tororo-24h'!F68,'17.08 Malaba-Tororo-24h'!F68)</f>
        <v>0</v>
      </c>
      <c r="G68" s="49">
        <f>AVERAGE('16.08 Malaba-Tororo-24h'!G68,'17.08 Malaba-Tororo-24h'!G68)</f>
        <v>0</v>
      </c>
      <c r="H68" s="49">
        <f>AVERAGE('16.08 Malaba-Tororo-24h'!H68,'17.08 Malaba-Tororo-24h'!H68)</f>
        <v>0</v>
      </c>
      <c r="I68" s="49">
        <f>AVERAGE('16.08 Malaba-Tororo-24h'!I68,'17.08 Malaba-Tororo-24h'!I68)</f>
        <v>0.5</v>
      </c>
      <c r="J68" s="49">
        <f>AVERAGE('16.08 Malaba-Tororo-24h'!J68,'17.08 Malaba-Tororo-24h'!J68)</f>
        <v>0</v>
      </c>
      <c r="K68" s="49">
        <f>AVERAGE('16.08 Malaba-Tororo-24h'!K68,'17.08 Malaba-Tororo-24h'!K68)</f>
        <v>0</v>
      </c>
      <c r="L68" s="49">
        <f>AVERAGE('16.08 Malaba-Tororo-24h'!L68,'17.08 Malaba-Tororo-24h'!L68)</f>
        <v>0</v>
      </c>
      <c r="M68" s="49">
        <f>AVERAGE('16.08 Malaba-Tororo-24h'!M68,'17.08 Malaba-Tororo-24h'!M68)</f>
        <v>6</v>
      </c>
      <c r="N68" s="49">
        <f>AVERAGE('16.08 Malaba-Tororo-24h'!N68,'17.08 Malaba-Tororo-24h'!N68)</f>
        <v>0</v>
      </c>
      <c r="O68" s="15">
        <f t="shared" si="0"/>
        <v>2.5</v>
      </c>
      <c r="P68" s="15">
        <f t="shared" si="1"/>
        <v>8.5</v>
      </c>
      <c r="R68" s="8"/>
      <c r="T68"/>
    </row>
    <row r="69" spans="2:20" ht="23.1" customHeight="1" x14ac:dyDescent="0.25">
      <c r="B69" s="23" t="s">
        <v>106</v>
      </c>
      <c r="C69" s="49">
        <f>AVERAGE('16.08 Malaba-Tororo-24h'!C69,'17.08 Malaba-Tororo-24h'!C69)</f>
        <v>1.5</v>
      </c>
      <c r="D69" s="49">
        <f>AVERAGE('16.08 Malaba-Tororo-24h'!D69,'17.08 Malaba-Tororo-24h'!D69)</f>
        <v>0</v>
      </c>
      <c r="E69" s="49">
        <f>AVERAGE('16.08 Malaba-Tororo-24h'!E69,'17.08 Malaba-Tororo-24h'!E69)</f>
        <v>1.5</v>
      </c>
      <c r="F69" s="49">
        <f>AVERAGE('16.08 Malaba-Tororo-24h'!F69,'17.08 Malaba-Tororo-24h'!F69)</f>
        <v>1</v>
      </c>
      <c r="G69" s="49">
        <f>AVERAGE('16.08 Malaba-Tororo-24h'!G69,'17.08 Malaba-Tororo-24h'!G69)</f>
        <v>0</v>
      </c>
      <c r="H69" s="49">
        <f>AVERAGE('16.08 Malaba-Tororo-24h'!H69,'17.08 Malaba-Tororo-24h'!H69)</f>
        <v>0</v>
      </c>
      <c r="I69" s="49">
        <f>AVERAGE('16.08 Malaba-Tororo-24h'!I69,'17.08 Malaba-Tororo-24h'!I69)</f>
        <v>1.5</v>
      </c>
      <c r="J69" s="49">
        <f>AVERAGE('16.08 Malaba-Tororo-24h'!J69,'17.08 Malaba-Tororo-24h'!J69)</f>
        <v>0</v>
      </c>
      <c r="K69" s="49">
        <f>AVERAGE('16.08 Malaba-Tororo-24h'!K69,'17.08 Malaba-Tororo-24h'!K69)</f>
        <v>0</v>
      </c>
      <c r="L69" s="49">
        <f>AVERAGE('16.08 Malaba-Tororo-24h'!L69,'17.08 Malaba-Tororo-24h'!L69)</f>
        <v>0</v>
      </c>
      <c r="M69" s="49">
        <f>AVERAGE('16.08 Malaba-Tororo-24h'!M69,'17.08 Malaba-Tororo-24h'!M69)</f>
        <v>8</v>
      </c>
      <c r="N69" s="49">
        <f>AVERAGE('16.08 Malaba-Tororo-24h'!N69,'17.08 Malaba-Tororo-24h'!N69)</f>
        <v>0</v>
      </c>
      <c r="O69" s="15">
        <f t="shared" si="0"/>
        <v>5.5</v>
      </c>
      <c r="P69" s="15">
        <f t="shared" si="1"/>
        <v>13.5</v>
      </c>
      <c r="R69" s="8"/>
      <c r="T69"/>
    </row>
    <row r="70" spans="2:20" ht="23.1" customHeight="1" x14ac:dyDescent="0.25">
      <c r="B70" s="23" t="s">
        <v>110</v>
      </c>
      <c r="C70" s="49">
        <f>AVERAGE('16.08 Malaba-Tororo-24h'!C70,'17.08 Malaba-Tororo-24h'!C70)</f>
        <v>2</v>
      </c>
      <c r="D70" s="49">
        <f>AVERAGE('16.08 Malaba-Tororo-24h'!D70,'17.08 Malaba-Tororo-24h'!D70)</f>
        <v>0</v>
      </c>
      <c r="E70" s="49">
        <f>AVERAGE('16.08 Malaba-Tororo-24h'!E70,'17.08 Malaba-Tororo-24h'!E70)</f>
        <v>0.5</v>
      </c>
      <c r="F70" s="49">
        <f>AVERAGE('16.08 Malaba-Tororo-24h'!F70,'17.08 Malaba-Tororo-24h'!F70)</f>
        <v>0</v>
      </c>
      <c r="G70" s="49">
        <f>AVERAGE('16.08 Malaba-Tororo-24h'!G70,'17.08 Malaba-Tororo-24h'!G70)</f>
        <v>0</v>
      </c>
      <c r="H70" s="49">
        <f>AVERAGE('16.08 Malaba-Tororo-24h'!H70,'17.08 Malaba-Tororo-24h'!H70)</f>
        <v>0</v>
      </c>
      <c r="I70" s="49">
        <f>AVERAGE('16.08 Malaba-Tororo-24h'!I70,'17.08 Malaba-Tororo-24h'!I70)</f>
        <v>0.5</v>
      </c>
      <c r="J70" s="49">
        <f>AVERAGE('16.08 Malaba-Tororo-24h'!J70,'17.08 Malaba-Tororo-24h'!J70)</f>
        <v>0</v>
      </c>
      <c r="K70" s="49">
        <f>AVERAGE('16.08 Malaba-Tororo-24h'!K70,'17.08 Malaba-Tororo-24h'!K70)</f>
        <v>0</v>
      </c>
      <c r="L70" s="49">
        <f>AVERAGE('16.08 Malaba-Tororo-24h'!L70,'17.08 Malaba-Tororo-24h'!L70)</f>
        <v>0</v>
      </c>
      <c r="M70" s="49">
        <f>AVERAGE('16.08 Malaba-Tororo-24h'!M70,'17.08 Malaba-Tororo-24h'!M70)</f>
        <v>5</v>
      </c>
      <c r="N70" s="49">
        <f>AVERAGE('16.08 Malaba-Tororo-24h'!N70,'17.08 Malaba-Tororo-24h'!N70)</f>
        <v>0</v>
      </c>
      <c r="O70" s="15">
        <f t="shared" si="0"/>
        <v>3</v>
      </c>
      <c r="P70" s="15">
        <f t="shared" si="1"/>
        <v>8</v>
      </c>
      <c r="R70" s="8"/>
      <c r="T70"/>
    </row>
    <row r="71" spans="2:20" ht="23.1" customHeight="1" x14ac:dyDescent="0.25">
      <c r="B71" s="23" t="s">
        <v>111</v>
      </c>
      <c r="C71" s="49">
        <f>AVERAGE('16.08 Malaba-Tororo-24h'!C71,'17.08 Malaba-Tororo-24h'!C71)</f>
        <v>1</v>
      </c>
      <c r="D71" s="49">
        <f>AVERAGE('16.08 Malaba-Tororo-24h'!D71,'17.08 Malaba-Tororo-24h'!D71)</f>
        <v>0</v>
      </c>
      <c r="E71" s="49">
        <f>AVERAGE('16.08 Malaba-Tororo-24h'!E71,'17.08 Malaba-Tororo-24h'!E71)</f>
        <v>1</v>
      </c>
      <c r="F71" s="49">
        <f>AVERAGE('16.08 Malaba-Tororo-24h'!F71,'17.08 Malaba-Tororo-24h'!F71)</f>
        <v>0.5</v>
      </c>
      <c r="G71" s="49">
        <f>AVERAGE('16.08 Malaba-Tororo-24h'!G71,'17.08 Malaba-Tororo-24h'!G71)</f>
        <v>0</v>
      </c>
      <c r="H71" s="49">
        <f>AVERAGE('16.08 Malaba-Tororo-24h'!H71,'17.08 Malaba-Tororo-24h'!H71)</f>
        <v>0</v>
      </c>
      <c r="I71" s="49">
        <f>AVERAGE('16.08 Malaba-Tororo-24h'!I71,'17.08 Malaba-Tororo-24h'!I71)</f>
        <v>0</v>
      </c>
      <c r="J71" s="49">
        <f>AVERAGE('16.08 Malaba-Tororo-24h'!J71,'17.08 Malaba-Tororo-24h'!J71)</f>
        <v>0.5</v>
      </c>
      <c r="K71" s="49">
        <f>AVERAGE('16.08 Malaba-Tororo-24h'!K71,'17.08 Malaba-Tororo-24h'!K71)</f>
        <v>0</v>
      </c>
      <c r="L71" s="49">
        <f>AVERAGE('16.08 Malaba-Tororo-24h'!L71,'17.08 Malaba-Tororo-24h'!L71)</f>
        <v>0</v>
      </c>
      <c r="M71" s="49">
        <f>AVERAGE('16.08 Malaba-Tororo-24h'!M71,'17.08 Malaba-Tororo-24h'!M71)</f>
        <v>4</v>
      </c>
      <c r="N71" s="49">
        <f>AVERAGE('16.08 Malaba-Tororo-24h'!N71,'17.08 Malaba-Tororo-24h'!N71)</f>
        <v>0</v>
      </c>
      <c r="O71" s="15">
        <f t="shared" si="0"/>
        <v>3</v>
      </c>
      <c r="P71" s="15">
        <f t="shared" si="1"/>
        <v>7</v>
      </c>
      <c r="R71" s="8"/>
      <c r="T71"/>
    </row>
    <row r="72" spans="2:20" ht="23.1" customHeight="1" x14ac:dyDescent="0.25">
      <c r="B72" s="23" t="s">
        <v>112</v>
      </c>
      <c r="C72" s="49">
        <f>AVERAGE('16.08 Malaba-Tororo-24h'!C72,'17.08 Malaba-Tororo-24h'!C72)</f>
        <v>0.5</v>
      </c>
      <c r="D72" s="49">
        <f>AVERAGE('16.08 Malaba-Tororo-24h'!D72,'17.08 Malaba-Tororo-24h'!D72)</f>
        <v>0</v>
      </c>
      <c r="E72" s="49">
        <f>AVERAGE('16.08 Malaba-Tororo-24h'!E72,'17.08 Malaba-Tororo-24h'!E72)</f>
        <v>1</v>
      </c>
      <c r="F72" s="49">
        <f>AVERAGE('16.08 Malaba-Tororo-24h'!F72,'17.08 Malaba-Tororo-24h'!F72)</f>
        <v>0</v>
      </c>
      <c r="G72" s="49">
        <f>AVERAGE('16.08 Malaba-Tororo-24h'!G72,'17.08 Malaba-Tororo-24h'!G72)</f>
        <v>0</v>
      </c>
      <c r="H72" s="49">
        <f>AVERAGE('16.08 Malaba-Tororo-24h'!H72,'17.08 Malaba-Tororo-24h'!H72)</f>
        <v>0</v>
      </c>
      <c r="I72" s="49">
        <f>AVERAGE('16.08 Malaba-Tororo-24h'!I72,'17.08 Malaba-Tororo-24h'!I72)</f>
        <v>1</v>
      </c>
      <c r="J72" s="49">
        <f>AVERAGE('16.08 Malaba-Tororo-24h'!J72,'17.08 Malaba-Tororo-24h'!J72)</f>
        <v>0</v>
      </c>
      <c r="K72" s="49">
        <f>AVERAGE('16.08 Malaba-Tororo-24h'!K72,'17.08 Malaba-Tororo-24h'!K72)</f>
        <v>0</v>
      </c>
      <c r="L72" s="49">
        <f>AVERAGE('16.08 Malaba-Tororo-24h'!L72,'17.08 Malaba-Tororo-24h'!L72)</f>
        <v>0</v>
      </c>
      <c r="M72" s="49">
        <f>AVERAGE('16.08 Malaba-Tororo-24h'!M72,'17.08 Malaba-Tororo-24h'!M72)</f>
        <v>6.5</v>
      </c>
      <c r="N72" s="49">
        <f>AVERAGE('16.08 Malaba-Tororo-24h'!N72,'17.08 Malaba-Tororo-24h'!N72)</f>
        <v>0</v>
      </c>
      <c r="O72" s="15">
        <f t="shared" si="0"/>
        <v>2.5</v>
      </c>
      <c r="P72" s="15">
        <f t="shared" si="1"/>
        <v>9</v>
      </c>
      <c r="R72" s="8"/>
      <c r="T72"/>
    </row>
    <row r="73" spans="2:20" ht="23.1" customHeight="1" x14ac:dyDescent="0.25">
      <c r="B73" s="23" t="s">
        <v>113</v>
      </c>
      <c r="C73" s="49">
        <f>AVERAGE('16.08 Malaba-Tororo-24h'!C73,'17.08 Malaba-Tororo-24h'!C73)</f>
        <v>2</v>
      </c>
      <c r="D73" s="49">
        <f>AVERAGE('16.08 Malaba-Tororo-24h'!D73,'17.08 Malaba-Tororo-24h'!D73)</f>
        <v>0</v>
      </c>
      <c r="E73" s="49">
        <f>AVERAGE('16.08 Malaba-Tororo-24h'!E73,'17.08 Malaba-Tororo-24h'!E73)</f>
        <v>0.5</v>
      </c>
      <c r="F73" s="49">
        <f>AVERAGE('16.08 Malaba-Tororo-24h'!F73,'17.08 Malaba-Tororo-24h'!F73)</f>
        <v>0</v>
      </c>
      <c r="G73" s="49">
        <f>AVERAGE('16.08 Malaba-Tororo-24h'!G73,'17.08 Malaba-Tororo-24h'!G73)</f>
        <v>0</v>
      </c>
      <c r="H73" s="49">
        <f>AVERAGE('16.08 Malaba-Tororo-24h'!H73,'17.08 Malaba-Tororo-24h'!H73)</f>
        <v>0</v>
      </c>
      <c r="I73" s="49">
        <f>AVERAGE('16.08 Malaba-Tororo-24h'!I73,'17.08 Malaba-Tororo-24h'!I73)</f>
        <v>0.5</v>
      </c>
      <c r="J73" s="49">
        <f>AVERAGE('16.08 Malaba-Tororo-24h'!J73,'17.08 Malaba-Tororo-24h'!J73)</f>
        <v>0</v>
      </c>
      <c r="K73" s="49">
        <f>AVERAGE('16.08 Malaba-Tororo-24h'!K73,'17.08 Malaba-Tororo-24h'!K73)</f>
        <v>0</v>
      </c>
      <c r="L73" s="49">
        <f>AVERAGE('16.08 Malaba-Tororo-24h'!L73,'17.08 Malaba-Tororo-24h'!L73)</f>
        <v>0</v>
      </c>
      <c r="M73" s="49">
        <f>AVERAGE('16.08 Malaba-Tororo-24h'!M73,'17.08 Malaba-Tororo-24h'!M73)</f>
        <v>3.5</v>
      </c>
      <c r="N73" s="49">
        <f>AVERAGE('16.08 Malaba-Tororo-24h'!N73,'17.08 Malaba-Tororo-24h'!N73)</f>
        <v>0</v>
      </c>
      <c r="O73" s="15">
        <f t="shared" si="0"/>
        <v>3</v>
      </c>
      <c r="P73" s="15">
        <f t="shared" si="1"/>
        <v>6.5</v>
      </c>
      <c r="R73" s="8"/>
      <c r="T73"/>
    </row>
    <row r="74" spans="2:20" ht="23.1" customHeight="1" x14ac:dyDescent="0.25">
      <c r="B74" s="23" t="s">
        <v>114</v>
      </c>
      <c r="C74" s="49">
        <f>AVERAGE('16.08 Malaba-Tororo-24h'!C74,'17.08 Malaba-Tororo-24h'!C74)</f>
        <v>1</v>
      </c>
      <c r="D74" s="49">
        <f>AVERAGE('16.08 Malaba-Tororo-24h'!D74,'17.08 Malaba-Tororo-24h'!D74)</f>
        <v>0</v>
      </c>
      <c r="E74" s="49">
        <f>AVERAGE('16.08 Malaba-Tororo-24h'!E74,'17.08 Malaba-Tororo-24h'!E74)</f>
        <v>1</v>
      </c>
      <c r="F74" s="49">
        <f>AVERAGE('16.08 Malaba-Tororo-24h'!F74,'17.08 Malaba-Tororo-24h'!F74)</f>
        <v>1.5</v>
      </c>
      <c r="G74" s="49">
        <f>AVERAGE('16.08 Malaba-Tororo-24h'!G74,'17.08 Malaba-Tororo-24h'!G74)</f>
        <v>0</v>
      </c>
      <c r="H74" s="49">
        <f>AVERAGE('16.08 Malaba-Tororo-24h'!H74,'17.08 Malaba-Tororo-24h'!H74)</f>
        <v>0</v>
      </c>
      <c r="I74" s="49">
        <f>AVERAGE('16.08 Malaba-Tororo-24h'!I74,'17.08 Malaba-Tororo-24h'!I74)</f>
        <v>0.5</v>
      </c>
      <c r="J74" s="49">
        <f>AVERAGE('16.08 Malaba-Tororo-24h'!J74,'17.08 Malaba-Tororo-24h'!J74)</f>
        <v>0</v>
      </c>
      <c r="K74" s="49">
        <f>AVERAGE('16.08 Malaba-Tororo-24h'!K74,'17.08 Malaba-Tororo-24h'!K74)</f>
        <v>0</v>
      </c>
      <c r="L74" s="49">
        <f>AVERAGE('16.08 Malaba-Tororo-24h'!L74,'17.08 Malaba-Tororo-24h'!L74)</f>
        <v>0</v>
      </c>
      <c r="M74" s="49">
        <f>AVERAGE('16.08 Malaba-Tororo-24h'!M74,'17.08 Malaba-Tororo-24h'!M74)</f>
        <v>5</v>
      </c>
      <c r="N74" s="49">
        <f>AVERAGE('16.08 Malaba-Tororo-24h'!N74,'17.08 Malaba-Tororo-24h'!N74)</f>
        <v>0</v>
      </c>
      <c r="O74" s="15">
        <f t="shared" ref="O74:O105" si="35">SUM(C74:L74,N74)</f>
        <v>4</v>
      </c>
      <c r="P74" s="15">
        <f t="shared" ref="P74:P105" si="36">SUM(C74:N74)</f>
        <v>9</v>
      </c>
      <c r="R74" s="8"/>
      <c r="T74"/>
    </row>
    <row r="75" spans="2:20" ht="23.1" customHeight="1" x14ac:dyDescent="0.25">
      <c r="B75" s="23" t="s">
        <v>115</v>
      </c>
      <c r="C75" s="49">
        <f>AVERAGE('16.08 Malaba-Tororo-24h'!C75,'17.08 Malaba-Tororo-24h'!C75)</f>
        <v>0.5</v>
      </c>
      <c r="D75" s="49">
        <f>AVERAGE('16.08 Malaba-Tororo-24h'!D75,'17.08 Malaba-Tororo-24h'!D75)</f>
        <v>0</v>
      </c>
      <c r="E75" s="49">
        <f>AVERAGE('16.08 Malaba-Tororo-24h'!E75,'17.08 Malaba-Tororo-24h'!E75)</f>
        <v>0</v>
      </c>
      <c r="F75" s="49">
        <f>AVERAGE('16.08 Malaba-Tororo-24h'!F75,'17.08 Malaba-Tororo-24h'!F75)</f>
        <v>2</v>
      </c>
      <c r="G75" s="49">
        <f>AVERAGE('16.08 Malaba-Tororo-24h'!G75,'17.08 Malaba-Tororo-24h'!G75)</f>
        <v>0</v>
      </c>
      <c r="H75" s="49">
        <f>AVERAGE('16.08 Malaba-Tororo-24h'!H75,'17.08 Malaba-Tororo-24h'!H75)</f>
        <v>0</v>
      </c>
      <c r="I75" s="49">
        <f>AVERAGE('16.08 Malaba-Tororo-24h'!I75,'17.08 Malaba-Tororo-24h'!I75)</f>
        <v>0</v>
      </c>
      <c r="J75" s="49">
        <f>AVERAGE('16.08 Malaba-Tororo-24h'!J75,'17.08 Malaba-Tororo-24h'!J75)</f>
        <v>0</v>
      </c>
      <c r="K75" s="49">
        <f>AVERAGE('16.08 Malaba-Tororo-24h'!K75,'17.08 Malaba-Tororo-24h'!K75)</f>
        <v>0</v>
      </c>
      <c r="L75" s="49">
        <f>AVERAGE('16.08 Malaba-Tororo-24h'!L75,'17.08 Malaba-Tororo-24h'!L75)</f>
        <v>0</v>
      </c>
      <c r="M75" s="49">
        <f>AVERAGE('16.08 Malaba-Tororo-24h'!M75,'17.08 Malaba-Tororo-24h'!M75)</f>
        <v>4.5</v>
      </c>
      <c r="N75" s="49">
        <f>AVERAGE('16.08 Malaba-Tororo-24h'!N75,'17.08 Malaba-Tororo-24h'!N75)</f>
        <v>0</v>
      </c>
      <c r="O75" s="15">
        <f t="shared" si="35"/>
        <v>2.5</v>
      </c>
      <c r="P75" s="15">
        <f t="shared" si="36"/>
        <v>7</v>
      </c>
      <c r="R75" s="8"/>
      <c r="T75"/>
    </row>
    <row r="76" spans="2:20" ht="23.1" customHeight="1" x14ac:dyDescent="0.25">
      <c r="B76" s="23" t="s">
        <v>116</v>
      </c>
      <c r="C76" s="49">
        <f>AVERAGE('16.08 Malaba-Tororo-24h'!C76,'17.08 Malaba-Tororo-24h'!C76)</f>
        <v>0.5</v>
      </c>
      <c r="D76" s="49">
        <f>AVERAGE('16.08 Malaba-Tororo-24h'!D76,'17.08 Malaba-Tororo-24h'!D76)</f>
        <v>0</v>
      </c>
      <c r="E76" s="49">
        <f>AVERAGE('16.08 Malaba-Tororo-24h'!E76,'17.08 Malaba-Tororo-24h'!E76)</f>
        <v>1.5</v>
      </c>
      <c r="F76" s="49">
        <f>AVERAGE('16.08 Malaba-Tororo-24h'!F76,'17.08 Malaba-Tororo-24h'!F76)</f>
        <v>0</v>
      </c>
      <c r="G76" s="49">
        <f>AVERAGE('16.08 Malaba-Tororo-24h'!G76,'17.08 Malaba-Tororo-24h'!G76)</f>
        <v>0</v>
      </c>
      <c r="H76" s="49">
        <f>AVERAGE('16.08 Malaba-Tororo-24h'!H76,'17.08 Malaba-Tororo-24h'!H76)</f>
        <v>0</v>
      </c>
      <c r="I76" s="49">
        <f>AVERAGE('16.08 Malaba-Tororo-24h'!I76,'17.08 Malaba-Tororo-24h'!I76)</f>
        <v>0</v>
      </c>
      <c r="J76" s="49">
        <f>AVERAGE('16.08 Malaba-Tororo-24h'!J76,'17.08 Malaba-Tororo-24h'!J76)</f>
        <v>0</v>
      </c>
      <c r="K76" s="49">
        <f>AVERAGE('16.08 Malaba-Tororo-24h'!K76,'17.08 Malaba-Tororo-24h'!K76)</f>
        <v>0</v>
      </c>
      <c r="L76" s="49">
        <f>AVERAGE('16.08 Malaba-Tororo-24h'!L76,'17.08 Malaba-Tororo-24h'!L76)</f>
        <v>0</v>
      </c>
      <c r="M76" s="49">
        <f>AVERAGE('16.08 Malaba-Tororo-24h'!M76,'17.08 Malaba-Tororo-24h'!M76)</f>
        <v>1.5</v>
      </c>
      <c r="N76" s="49">
        <f>AVERAGE('16.08 Malaba-Tororo-24h'!N76,'17.08 Malaba-Tororo-24h'!N76)</f>
        <v>0</v>
      </c>
      <c r="O76" s="15">
        <f t="shared" si="35"/>
        <v>2</v>
      </c>
      <c r="P76" s="15">
        <f t="shared" si="36"/>
        <v>3.5</v>
      </c>
      <c r="R76" s="8"/>
      <c r="T76"/>
    </row>
    <row r="77" spans="2:20" ht="23.1" customHeight="1" x14ac:dyDescent="0.25">
      <c r="B77" s="23" t="s">
        <v>117</v>
      </c>
      <c r="C77" s="49">
        <f>AVERAGE('16.08 Malaba-Tororo-24h'!C77,'17.08 Malaba-Tororo-24h'!C77)</f>
        <v>0</v>
      </c>
      <c r="D77" s="49">
        <f>AVERAGE('16.08 Malaba-Tororo-24h'!D77,'17.08 Malaba-Tororo-24h'!D77)</f>
        <v>0</v>
      </c>
      <c r="E77" s="49">
        <f>AVERAGE('16.08 Malaba-Tororo-24h'!E77,'17.08 Malaba-Tororo-24h'!E77)</f>
        <v>0</v>
      </c>
      <c r="F77" s="49">
        <f>AVERAGE('16.08 Malaba-Tororo-24h'!F77,'17.08 Malaba-Tororo-24h'!F77)</f>
        <v>0</v>
      </c>
      <c r="G77" s="49">
        <f>AVERAGE('16.08 Malaba-Tororo-24h'!G77,'17.08 Malaba-Tororo-24h'!G77)</f>
        <v>0</v>
      </c>
      <c r="H77" s="49">
        <f>AVERAGE('16.08 Malaba-Tororo-24h'!H77,'17.08 Malaba-Tororo-24h'!H77)</f>
        <v>0</v>
      </c>
      <c r="I77" s="49">
        <f>AVERAGE('16.08 Malaba-Tororo-24h'!I77,'17.08 Malaba-Tororo-24h'!I77)</f>
        <v>0.5</v>
      </c>
      <c r="J77" s="49">
        <f>AVERAGE('16.08 Malaba-Tororo-24h'!J77,'17.08 Malaba-Tororo-24h'!J77)</f>
        <v>0</v>
      </c>
      <c r="K77" s="49">
        <f>AVERAGE('16.08 Malaba-Tororo-24h'!K77,'17.08 Malaba-Tororo-24h'!K77)</f>
        <v>0</v>
      </c>
      <c r="L77" s="49">
        <f>AVERAGE('16.08 Malaba-Tororo-24h'!L77,'17.08 Malaba-Tororo-24h'!L77)</f>
        <v>0</v>
      </c>
      <c r="M77" s="49">
        <f>AVERAGE('16.08 Malaba-Tororo-24h'!M77,'17.08 Malaba-Tororo-24h'!M77)</f>
        <v>0.5</v>
      </c>
      <c r="N77" s="49">
        <f>AVERAGE('16.08 Malaba-Tororo-24h'!N77,'17.08 Malaba-Tororo-24h'!N77)</f>
        <v>0</v>
      </c>
      <c r="O77" s="15">
        <f t="shared" si="35"/>
        <v>0.5</v>
      </c>
      <c r="P77" s="15">
        <f t="shared" si="36"/>
        <v>1</v>
      </c>
      <c r="R77" s="8"/>
      <c r="T77"/>
    </row>
    <row r="78" spans="2:20" ht="23.1" customHeight="1" x14ac:dyDescent="0.25">
      <c r="B78" s="24" t="s">
        <v>118</v>
      </c>
      <c r="C78" s="49">
        <f>AVERAGE('16.08 Malaba-Tororo-24h'!C78,'17.08 Malaba-Tororo-24h'!C78)</f>
        <v>0</v>
      </c>
      <c r="D78" s="49">
        <f>AVERAGE('16.08 Malaba-Tororo-24h'!D78,'17.08 Malaba-Tororo-24h'!D78)</f>
        <v>0</v>
      </c>
      <c r="E78" s="49">
        <f>AVERAGE('16.08 Malaba-Tororo-24h'!E78,'17.08 Malaba-Tororo-24h'!E78)</f>
        <v>0.5</v>
      </c>
      <c r="F78" s="49">
        <f>AVERAGE('16.08 Malaba-Tororo-24h'!F78,'17.08 Malaba-Tororo-24h'!F78)</f>
        <v>1.5</v>
      </c>
      <c r="G78" s="49">
        <f>AVERAGE('16.08 Malaba-Tororo-24h'!G78,'17.08 Malaba-Tororo-24h'!G78)</f>
        <v>0</v>
      </c>
      <c r="H78" s="49">
        <f>AVERAGE('16.08 Malaba-Tororo-24h'!H78,'17.08 Malaba-Tororo-24h'!H78)</f>
        <v>0</v>
      </c>
      <c r="I78" s="49">
        <f>AVERAGE('16.08 Malaba-Tororo-24h'!I78,'17.08 Malaba-Tororo-24h'!I78)</f>
        <v>0</v>
      </c>
      <c r="J78" s="49">
        <f>AVERAGE('16.08 Malaba-Tororo-24h'!J78,'17.08 Malaba-Tororo-24h'!J78)</f>
        <v>0</v>
      </c>
      <c r="K78" s="49">
        <f>AVERAGE('16.08 Malaba-Tororo-24h'!K78,'17.08 Malaba-Tororo-24h'!K78)</f>
        <v>0</v>
      </c>
      <c r="L78" s="49">
        <f>AVERAGE('16.08 Malaba-Tororo-24h'!L78,'17.08 Malaba-Tororo-24h'!L78)</f>
        <v>0</v>
      </c>
      <c r="M78" s="49">
        <f>AVERAGE('16.08 Malaba-Tororo-24h'!M78,'17.08 Malaba-Tororo-24h'!M78)</f>
        <v>1</v>
      </c>
      <c r="N78" s="49">
        <f>AVERAGE('16.08 Malaba-Tororo-24h'!N78,'17.08 Malaba-Tororo-24h'!N78)</f>
        <v>0</v>
      </c>
      <c r="O78" s="15">
        <f t="shared" si="35"/>
        <v>2</v>
      </c>
      <c r="P78" s="15">
        <f t="shared" si="36"/>
        <v>3</v>
      </c>
      <c r="R78" s="8"/>
      <c r="T78"/>
    </row>
    <row r="79" spans="2:20" ht="23.1" customHeight="1" x14ac:dyDescent="0.25">
      <c r="B79" s="23" t="s">
        <v>119</v>
      </c>
      <c r="C79" s="49">
        <f>AVERAGE('16.08 Malaba-Tororo-24h'!C79,'17.08 Malaba-Tororo-24h'!C79)</f>
        <v>0.5</v>
      </c>
      <c r="D79" s="49">
        <f>AVERAGE('16.08 Malaba-Tororo-24h'!D79,'17.08 Malaba-Tororo-24h'!D79)</f>
        <v>0</v>
      </c>
      <c r="E79" s="49">
        <f>AVERAGE('16.08 Malaba-Tororo-24h'!E79,'17.08 Malaba-Tororo-24h'!E79)</f>
        <v>0</v>
      </c>
      <c r="F79" s="49">
        <f>AVERAGE('16.08 Malaba-Tororo-24h'!F79,'17.08 Malaba-Tororo-24h'!F79)</f>
        <v>0</v>
      </c>
      <c r="G79" s="49">
        <f>AVERAGE('16.08 Malaba-Tororo-24h'!G79,'17.08 Malaba-Tororo-24h'!G79)</f>
        <v>0</v>
      </c>
      <c r="H79" s="49">
        <f>AVERAGE('16.08 Malaba-Tororo-24h'!H79,'17.08 Malaba-Tororo-24h'!H79)</f>
        <v>0</v>
      </c>
      <c r="I79" s="49">
        <f>AVERAGE('16.08 Malaba-Tororo-24h'!I79,'17.08 Malaba-Tororo-24h'!I79)</f>
        <v>0</v>
      </c>
      <c r="J79" s="49">
        <f>AVERAGE('16.08 Malaba-Tororo-24h'!J79,'17.08 Malaba-Tororo-24h'!J79)</f>
        <v>0</v>
      </c>
      <c r="K79" s="49">
        <f>AVERAGE('16.08 Malaba-Tororo-24h'!K79,'17.08 Malaba-Tororo-24h'!K79)</f>
        <v>0</v>
      </c>
      <c r="L79" s="49">
        <f>AVERAGE('16.08 Malaba-Tororo-24h'!L79,'17.08 Malaba-Tororo-24h'!L79)</f>
        <v>0</v>
      </c>
      <c r="M79" s="49">
        <f>AVERAGE('16.08 Malaba-Tororo-24h'!M79,'17.08 Malaba-Tororo-24h'!M79)</f>
        <v>2.5</v>
      </c>
      <c r="N79" s="49">
        <f>AVERAGE('16.08 Malaba-Tororo-24h'!N79,'17.08 Malaba-Tororo-24h'!N79)</f>
        <v>0</v>
      </c>
      <c r="O79" s="15">
        <f t="shared" si="35"/>
        <v>0.5</v>
      </c>
      <c r="P79" s="15">
        <f t="shared" si="36"/>
        <v>3</v>
      </c>
      <c r="R79" s="8"/>
      <c r="T79"/>
    </row>
    <row r="80" spans="2:20" ht="23.1" customHeight="1" x14ac:dyDescent="0.25">
      <c r="B80" s="25" t="s">
        <v>120</v>
      </c>
      <c r="C80" s="49">
        <f>AVERAGE('16.08 Malaba-Tororo-24h'!C80,'17.08 Malaba-Tororo-24h'!C80)</f>
        <v>0</v>
      </c>
      <c r="D80" s="49">
        <f>AVERAGE('16.08 Malaba-Tororo-24h'!D80,'17.08 Malaba-Tororo-24h'!D80)</f>
        <v>0</v>
      </c>
      <c r="E80" s="49">
        <f>AVERAGE('16.08 Malaba-Tororo-24h'!E80,'17.08 Malaba-Tororo-24h'!E80)</f>
        <v>0</v>
      </c>
      <c r="F80" s="49">
        <f>AVERAGE('16.08 Malaba-Tororo-24h'!F80,'17.08 Malaba-Tororo-24h'!F80)</f>
        <v>0</v>
      </c>
      <c r="G80" s="49">
        <f>AVERAGE('16.08 Malaba-Tororo-24h'!G80,'17.08 Malaba-Tororo-24h'!G80)</f>
        <v>0</v>
      </c>
      <c r="H80" s="49">
        <f>AVERAGE('16.08 Malaba-Tororo-24h'!H80,'17.08 Malaba-Tororo-24h'!H80)</f>
        <v>0</v>
      </c>
      <c r="I80" s="49">
        <f>AVERAGE('16.08 Malaba-Tororo-24h'!I80,'17.08 Malaba-Tororo-24h'!I80)</f>
        <v>0</v>
      </c>
      <c r="J80" s="49">
        <f>AVERAGE('16.08 Malaba-Tororo-24h'!J80,'17.08 Malaba-Tororo-24h'!J80)</f>
        <v>0</v>
      </c>
      <c r="K80" s="49">
        <f>AVERAGE('16.08 Malaba-Tororo-24h'!K80,'17.08 Malaba-Tororo-24h'!K80)</f>
        <v>0</v>
      </c>
      <c r="L80" s="49">
        <f>AVERAGE('16.08 Malaba-Tororo-24h'!L80,'17.08 Malaba-Tororo-24h'!L80)</f>
        <v>0</v>
      </c>
      <c r="M80" s="49">
        <f>AVERAGE('16.08 Malaba-Tororo-24h'!M80,'17.08 Malaba-Tororo-24h'!M80)</f>
        <v>0</v>
      </c>
      <c r="N80" s="49">
        <f>AVERAGE('16.08 Malaba-Tororo-24h'!N80,'17.08 Malaba-Tororo-24h'!N80)</f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23" t="s">
        <v>121</v>
      </c>
      <c r="C81" s="49">
        <f>AVERAGE('16.08 Malaba-Tororo-24h'!C81,'17.08 Malaba-Tororo-24h'!C81)</f>
        <v>0</v>
      </c>
      <c r="D81" s="49">
        <f>AVERAGE('16.08 Malaba-Tororo-24h'!D81,'17.08 Malaba-Tororo-24h'!D81)</f>
        <v>0</v>
      </c>
      <c r="E81" s="49">
        <f>AVERAGE('16.08 Malaba-Tororo-24h'!E81,'17.08 Malaba-Tororo-24h'!E81)</f>
        <v>0</v>
      </c>
      <c r="F81" s="49">
        <f>AVERAGE('16.08 Malaba-Tororo-24h'!F81,'17.08 Malaba-Tororo-24h'!F81)</f>
        <v>0</v>
      </c>
      <c r="G81" s="49">
        <f>AVERAGE('16.08 Malaba-Tororo-24h'!G81,'17.08 Malaba-Tororo-24h'!G81)</f>
        <v>0</v>
      </c>
      <c r="H81" s="49">
        <f>AVERAGE('16.08 Malaba-Tororo-24h'!H81,'17.08 Malaba-Tororo-24h'!H81)</f>
        <v>0</v>
      </c>
      <c r="I81" s="49">
        <f>AVERAGE('16.08 Malaba-Tororo-24h'!I81,'17.08 Malaba-Tororo-24h'!I81)</f>
        <v>0</v>
      </c>
      <c r="J81" s="49">
        <f>AVERAGE('16.08 Malaba-Tororo-24h'!J81,'17.08 Malaba-Tororo-24h'!J81)</f>
        <v>0</v>
      </c>
      <c r="K81" s="49">
        <f>AVERAGE('16.08 Malaba-Tororo-24h'!K81,'17.08 Malaba-Tororo-24h'!K81)</f>
        <v>0</v>
      </c>
      <c r="L81" s="49">
        <f>AVERAGE('16.08 Malaba-Tororo-24h'!L81,'17.08 Malaba-Tororo-24h'!L81)</f>
        <v>0</v>
      </c>
      <c r="M81" s="49">
        <f>AVERAGE('16.08 Malaba-Tororo-24h'!M81,'17.08 Malaba-Tororo-24h'!M81)</f>
        <v>1</v>
      </c>
      <c r="N81" s="49">
        <f>AVERAGE('16.08 Malaba-Tororo-24h'!N81,'17.08 Malaba-Tororo-24h'!N81)</f>
        <v>0</v>
      </c>
      <c r="O81" s="15">
        <f t="shared" si="35"/>
        <v>0</v>
      </c>
      <c r="P81" s="15">
        <f t="shared" si="36"/>
        <v>1</v>
      </c>
      <c r="R81" s="8"/>
      <c r="T81"/>
    </row>
    <row r="82" spans="2:20" ht="23.1" customHeight="1" x14ac:dyDescent="0.25">
      <c r="B82" s="24" t="s">
        <v>122</v>
      </c>
      <c r="C82" s="49">
        <f>AVERAGE('16.08 Malaba-Tororo-24h'!C82,'17.08 Malaba-Tororo-24h'!C82)</f>
        <v>0</v>
      </c>
      <c r="D82" s="49">
        <f>AVERAGE('16.08 Malaba-Tororo-24h'!D82,'17.08 Malaba-Tororo-24h'!D82)</f>
        <v>0</v>
      </c>
      <c r="E82" s="49">
        <f>AVERAGE('16.08 Malaba-Tororo-24h'!E82,'17.08 Malaba-Tororo-24h'!E82)</f>
        <v>0.5</v>
      </c>
      <c r="F82" s="49">
        <f>AVERAGE('16.08 Malaba-Tororo-24h'!F82,'17.08 Malaba-Tororo-24h'!F82)</f>
        <v>0</v>
      </c>
      <c r="G82" s="49">
        <f>AVERAGE('16.08 Malaba-Tororo-24h'!G82,'17.08 Malaba-Tororo-24h'!G82)</f>
        <v>0</v>
      </c>
      <c r="H82" s="49">
        <f>AVERAGE('16.08 Malaba-Tororo-24h'!H82,'17.08 Malaba-Tororo-24h'!H82)</f>
        <v>0</v>
      </c>
      <c r="I82" s="49">
        <f>AVERAGE('16.08 Malaba-Tororo-24h'!I82,'17.08 Malaba-Tororo-24h'!I82)</f>
        <v>0.5</v>
      </c>
      <c r="J82" s="49">
        <f>AVERAGE('16.08 Malaba-Tororo-24h'!J82,'17.08 Malaba-Tororo-24h'!J82)</f>
        <v>0</v>
      </c>
      <c r="K82" s="49">
        <f>AVERAGE('16.08 Malaba-Tororo-24h'!K82,'17.08 Malaba-Tororo-24h'!K82)</f>
        <v>0</v>
      </c>
      <c r="L82" s="49">
        <f>AVERAGE('16.08 Malaba-Tororo-24h'!L82,'17.08 Malaba-Tororo-24h'!L82)</f>
        <v>0</v>
      </c>
      <c r="M82" s="49">
        <f>AVERAGE('16.08 Malaba-Tororo-24h'!M82,'17.08 Malaba-Tororo-24h'!M82)</f>
        <v>0.5</v>
      </c>
      <c r="N82" s="49">
        <f>AVERAGE('16.08 Malaba-Tororo-24h'!N82,'17.08 Malaba-Tororo-24h'!N82)</f>
        <v>0</v>
      </c>
      <c r="O82" s="15">
        <f t="shared" si="35"/>
        <v>1</v>
      </c>
      <c r="P82" s="15">
        <f t="shared" si="36"/>
        <v>1.5</v>
      </c>
      <c r="R82" s="8"/>
      <c r="T82"/>
    </row>
    <row r="83" spans="2:20" ht="23.1" customHeight="1" x14ac:dyDescent="0.25">
      <c r="B83" s="23" t="s">
        <v>123</v>
      </c>
      <c r="C83" s="49">
        <f>AVERAGE('16.08 Malaba-Tororo-24h'!C83,'17.08 Malaba-Tororo-24h'!C83)</f>
        <v>1</v>
      </c>
      <c r="D83" s="49">
        <f>AVERAGE('16.08 Malaba-Tororo-24h'!D83,'17.08 Malaba-Tororo-24h'!D83)</f>
        <v>0</v>
      </c>
      <c r="E83" s="49">
        <f>AVERAGE('16.08 Malaba-Tororo-24h'!E83,'17.08 Malaba-Tororo-24h'!E83)</f>
        <v>0</v>
      </c>
      <c r="F83" s="49">
        <f>AVERAGE('16.08 Malaba-Tororo-24h'!F83,'17.08 Malaba-Tororo-24h'!F83)</f>
        <v>0</v>
      </c>
      <c r="G83" s="49">
        <f>AVERAGE('16.08 Malaba-Tororo-24h'!G83,'17.08 Malaba-Tororo-24h'!G83)</f>
        <v>0</v>
      </c>
      <c r="H83" s="49">
        <f>AVERAGE('16.08 Malaba-Tororo-24h'!H83,'17.08 Malaba-Tororo-24h'!H83)</f>
        <v>0</v>
      </c>
      <c r="I83" s="49">
        <f>AVERAGE('16.08 Malaba-Tororo-24h'!I83,'17.08 Malaba-Tororo-24h'!I83)</f>
        <v>0</v>
      </c>
      <c r="J83" s="49">
        <f>AVERAGE('16.08 Malaba-Tororo-24h'!J83,'17.08 Malaba-Tororo-24h'!J83)</f>
        <v>0</v>
      </c>
      <c r="K83" s="49">
        <f>AVERAGE('16.08 Malaba-Tororo-24h'!K83,'17.08 Malaba-Tororo-24h'!K83)</f>
        <v>0</v>
      </c>
      <c r="L83" s="49">
        <f>AVERAGE('16.08 Malaba-Tororo-24h'!L83,'17.08 Malaba-Tororo-24h'!L83)</f>
        <v>0</v>
      </c>
      <c r="M83" s="49">
        <f>AVERAGE('16.08 Malaba-Tororo-24h'!M83,'17.08 Malaba-Tororo-24h'!M83)</f>
        <v>0.5</v>
      </c>
      <c r="N83" s="49">
        <f>AVERAGE('16.08 Malaba-Tororo-24h'!N83,'17.08 Malaba-Tororo-24h'!N83)</f>
        <v>0</v>
      </c>
      <c r="O83" s="15">
        <f t="shared" si="35"/>
        <v>1</v>
      </c>
      <c r="P83" s="15">
        <f t="shared" si="36"/>
        <v>1.5</v>
      </c>
      <c r="R83" s="8"/>
      <c r="T83"/>
    </row>
    <row r="84" spans="2:20" ht="23.1" customHeight="1" x14ac:dyDescent="0.25">
      <c r="B84" s="25" t="s">
        <v>124</v>
      </c>
      <c r="C84" s="49">
        <f>AVERAGE('16.08 Malaba-Tororo-24h'!C84,'17.08 Malaba-Tororo-24h'!C84)</f>
        <v>0</v>
      </c>
      <c r="D84" s="49">
        <f>AVERAGE('16.08 Malaba-Tororo-24h'!D84,'17.08 Malaba-Tororo-24h'!D84)</f>
        <v>0</v>
      </c>
      <c r="E84" s="49">
        <f>AVERAGE('16.08 Malaba-Tororo-24h'!E84,'17.08 Malaba-Tororo-24h'!E84)</f>
        <v>0</v>
      </c>
      <c r="F84" s="49">
        <f>AVERAGE('16.08 Malaba-Tororo-24h'!F84,'17.08 Malaba-Tororo-24h'!F84)</f>
        <v>0</v>
      </c>
      <c r="G84" s="49">
        <f>AVERAGE('16.08 Malaba-Tororo-24h'!G84,'17.08 Malaba-Tororo-24h'!G84)</f>
        <v>0</v>
      </c>
      <c r="H84" s="49">
        <f>AVERAGE('16.08 Malaba-Tororo-24h'!H84,'17.08 Malaba-Tororo-24h'!H84)</f>
        <v>0</v>
      </c>
      <c r="I84" s="49">
        <f>AVERAGE('16.08 Malaba-Tororo-24h'!I84,'17.08 Malaba-Tororo-24h'!I84)</f>
        <v>0</v>
      </c>
      <c r="J84" s="49">
        <f>AVERAGE('16.08 Malaba-Tororo-24h'!J84,'17.08 Malaba-Tororo-24h'!J84)</f>
        <v>0</v>
      </c>
      <c r="K84" s="49">
        <f>AVERAGE('16.08 Malaba-Tororo-24h'!K84,'17.08 Malaba-Tororo-24h'!K84)</f>
        <v>0</v>
      </c>
      <c r="L84" s="49">
        <f>AVERAGE('16.08 Malaba-Tororo-24h'!L84,'17.08 Malaba-Tororo-24h'!L84)</f>
        <v>0</v>
      </c>
      <c r="M84" s="49">
        <f>AVERAGE('16.08 Malaba-Tororo-24h'!M84,'17.08 Malaba-Tororo-24h'!M84)</f>
        <v>0</v>
      </c>
      <c r="N84" s="49">
        <f>AVERAGE('16.08 Malaba-Tororo-24h'!N84,'17.08 Malaba-Tororo-24h'!N84)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AVERAGE('16.08 Malaba-Tororo-24h'!C85,'17.08 Malaba-Tororo-24h'!C85)</f>
        <v>0.5</v>
      </c>
      <c r="D85" s="49">
        <f>AVERAGE('16.08 Malaba-Tororo-24h'!D85,'17.08 Malaba-Tororo-24h'!D85)</f>
        <v>0</v>
      </c>
      <c r="E85" s="49">
        <f>AVERAGE('16.08 Malaba-Tororo-24h'!E85,'17.08 Malaba-Tororo-24h'!E85)</f>
        <v>0.5</v>
      </c>
      <c r="F85" s="49">
        <f>AVERAGE('16.08 Malaba-Tororo-24h'!F85,'17.08 Malaba-Tororo-24h'!F85)</f>
        <v>0</v>
      </c>
      <c r="G85" s="49">
        <f>AVERAGE('16.08 Malaba-Tororo-24h'!G85,'17.08 Malaba-Tororo-24h'!G85)</f>
        <v>0</v>
      </c>
      <c r="H85" s="49">
        <f>AVERAGE('16.08 Malaba-Tororo-24h'!H85,'17.08 Malaba-Tororo-24h'!H85)</f>
        <v>0</v>
      </c>
      <c r="I85" s="49">
        <f>AVERAGE('16.08 Malaba-Tororo-24h'!I85,'17.08 Malaba-Tororo-24h'!I85)</f>
        <v>0</v>
      </c>
      <c r="J85" s="49">
        <f>AVERAGE('16.08 Malaba-Tororo-24h'!J85,'17.08 Malaba-Tororo-24h'!J85)</f>
        <v>0</v>
      </c>
      <c r="K85" s="49">
        <f>AVERAGE('16.08 Malaba-Tororo-24h'!K85,'17.08 Malaba-Tororo-24h'!K85)</f>
        <v>0</v>
      </c>
      <c r="L85" s="49">
        <f>AVERAGE('16.08 Malaba-Tororo-24h'!L85,'17.08 Malaba-Tororo-24h'!L85)</f>
        <v>0</v>
      </c>
      <c r="M85" s="49">
        <f>AVERAGE('16.08 Malaba-Tororo-24h'!M85,'17.08 Malaba-Tororo-24h'!M85)</f>
        <v>0</v>
      </c>
      <c r="N85" s="49">
        <f>AVERAGE('16.08 Malaba-Tororo-24h'!N85,'17.08 Malaba-Tororo-24h'!N85)</f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24" t="s">
        <v>126</v>
      </c>
      <c r="C86" s="49">
        <f>AVERAGE('16.08 Malaba-Tororo-24h'!C86,'17.08 Malaba-Tororo-24h'!C86)</f>
        <v>1</v>
      </c>
      <c r="D86" s="49">
        <f>AVERAGE('16.08 Malaba-Tororo-24h'!D86,'17.08 Malaba-Tororo-24h'!D86)</f>
        <v>0</v>
      </c>
      <c r="E86" s="49">
        <f>AVERAGE('16.08 Malaba-Tororo-24h'!E86,'17.08 Malaba-Tororo-24h'!E86)</f>
        <v>1</v>
      </c>
      <c r="F86" s="49">
        <f>AVERAGE('16.08 Malaba-Tororo-24h'!F86,'17.08 Malaba-Tororo-24h'!F86)</f>
        <v>0</v>
      </c>
      <c r="G86" s="49">
        <f>AVERAGE('16.08 Malaba-Tororo-24h'!G86,'17.08 Malaba-Tororo-24h'!G86)</f>
        <v>0</v>
      </c>
      <c r="H86" s="49">
        <f>AVERAGE('16.08 Malaba-Tororo-24h'!H86,'17.08 Malaba-Tororo-24h'!H86)</f>
        <v>0</v>
      </c>
      <c r="I86" s="49">
        <f>AVERAGE('16.08 Malaba-Tororo-24h'!I86,'17.08 Malaba-Tororo-24h'!I86)</f>
        <v>0</v>
      </c>
      <c r="J86" s="49">
        <f>AVERAGE('16.08 Malaba-Tororo-24h'!J86,'17.08 Malaba-Tororo-24h'!J86)</f>
        <v>0</v>
      </c>
      <c r="K86" s="49">
        <f>AVERAGE('16.08 Malaba-Tororo-24h'!K86,'17.08 Malaba-Tororo-24h'!K86)</f>
        <v>0</v>
      </c>
      <c r="L86" s="49">
        <f>AVERAGE('16.08 Malaba-Tororo-24h'!L86,'17.08 Malaba-Tororo-24h'!L86)</f>
        <v>0</v>
      </c>
      <c r="M86" s="49">
        <f>AVERAGE('16.08 Malaba-Tororo-24h'!M86,'17.08 Malaba-Tororo-24h'!M86)</f>
        <v>0.5</v>
      </c>
      <c r="N86" s="49">
        <f>AVERAGE('16.08 Malaba-Tororo-24h'!N86,'17.08 Malaba-Tororo-24h'!N86)</f>
        <v>0</v>
      </c>
      <c r="O86" s="15">
        <f t="shared" si="35"/>
        <v>2</v>
      </c>
      <c r="P86" s="15">
        <f t="shared" si="36"/>
        <v>2.5</v>
      </c>
      <c r="R86" s="8"/>
      <c r="T86"/>
    </row>
    <row r="87" spans="2:20" ht="23.1" customHeight="1" x14ac:dyDescent="0.25">
      <c r="B87" s="23" t="s">
        <v>127</v>
      </c>
      <c r="C87" s="49">
        <f>AVERAGE('16.08 Malaba-Tororo-24h'!C87,'17.08 Malaba-Tororo-24h'!C87)</f>
        <v>0.5</v>
      </c>
      <c r="D87" s="49">
        <f>AVERAGE('16.08 Malaba-Tororo-24h'!D87,'17.08 Malaba-Tororo-24h'!D87)</f>
        <v>0</v>
      </c>
      <c r="E87" s="49">
        <f>AVERAGE('16.08 Malaba-Tororo-24h'!E87,'17.08 Malaba-Tororo-24h'!E87)</f>
        <v>0</v>
      </c>
      <c r="F87" s="49">
        <f>AVERAGE('16.08 Malaba-Tororo-24h'!F87,'17.08 Malaba-Tororo-24h'!F87)</f>
        <v>1</v>
      </c>
      <c r="G87" s="49">
        <f>AVERAGE('16.08 Malaba-Tororo-24h'!G87,'17.08 Malaba-Tororo-24h'!G87)</f>
        <v>0</v>
      </c>
      <c r="H87" s="49">
        <f>AVERAGE('16.08 Malaba-Tororo-24h'!H87,'17.08 Malaba-Tororo-24h'!H87)</f>
        <v>0</v>
      </c>
      <c r="I87" s="49">
        <f>AVERAGE('16.08 Malaba-Tororo-24h'!I87,'17.08 Malaba-Tororo-24h'!I87)</f>
        <v>0</v>
      </c>
      <c r="J87" s="49">
        <f>AVERAGE('16.08 Malaba-Tororo-24h'!J87,'17.08 Malaba-Tororo-24h'!J87)</f>
        <v>0</v>
      </c>
      <c r="K87" s="49">
        <f>AVERAGE('16.08 Malaba-Tororo-24h'!K87,'17.08 Malaba-Tororo-24h'!K87)</f>
        <v>0</v>
      </c>
      <c r="L87" s="49">
        <f>AVERAGE('16.08 Malaba-Tororo-24h'!L87,'17.08 Malaba-Tororo-24h'!L87)</f>
        <v>0</v>
      </c>
      <c r="M87" s="49">
        <f>AVERAGE('16.08 Malaba-Tororo-24h'!M87,'17.08 Malaba-Tororo-24h'!M87)</f>
        <v>0</v>
      </c>
      <c r="N87" s="49">
        <f>AVERAGE('16.08 Malaba-Tororo-24h'!N87,'17.08 Malaba-Tororo-24h'!N87)</f>
        <v>0</v>
      </c>
      <c r="O87" s="15">
        <f t="shared" si="35"/>
        <v>1.5</v>
      </c>
      <c r="P87" s="15">
        <f t="shared" si="36"/>
        <v>1.5</v>
      </c>
      <c r="R87" s="8"/>
      <c r="T87"/>
    </row>
    <row r="88" spans="2:20" ht="23.1" customHeight="1" x14ac:dyDescent="0.25">
      <c r="B88" s="25" t="s">
        <v>128</v>
      </c>
      <c r="C88" s="49">
        <f>AVERAGE('16.08 Malaba-Tororo-24h'!C88,'17.08 Malaba-Tororo-24h'!C88)</f>
        <v>1</v>
      </c>
      <c r="D88" s="49">
        <f>AVERAGE('16.08 Malaba-Tororo-24h'!D88,'17.08 Malaba-Tororo-24h'!D88)</f>
        <v>0</v>
      </c>
      <c r="E88" s="49">
        <f>AVERAGE('16.08 Malaba-Tororo-24h'!E88,'17.08 Malaba-Tororo-24h'!E88)</f>
        <v>1.5</v>
      </c>
      <c r="F88" s="49">
        <f>AVERAGE('16.08 Malaba-Tororo-24h'!F88,'17.08 Malaba-Tororo-24h'!F88)</f>
        <v>0</v>
      </c>
      <c r="G88" s="49">
        <f>AVERAGE('16.08 Malaba-Tororo-24h'!G88,'17.08 Malaba-Tororo-24h'!G88)</f>
        <v>0</v>
      </c>
      <c r="H88" s="49">
        <f>AVERAGE('16.08 Malaba-Tororo-24h'!H88,'17.08 Malaba-Tororo-24h'!H88)</f>
        <v>0</v>
      </c>
      <c r="I88" s="49">
        <f>AVERAGE('16.08 Malaba-Tororo-24h'!I88,'17.08 Malaba-Tororo-24h'!I88)</f>
        <v>0</v>
      </c>
      <c r="J88" s="49">
        <f>AVERAGE('16.08 Malaba-Tororo-24h'!J88,'17.08 Malaba-Tororo-24h'!J88)</f>
        <v>0</v>
      </c>
      <c r="K88" s="49">
        <f>AVERAGE('16.08 Malaba-Tororo-24h'!K88,'17.08 Malaba-Tororo-24h'!K88)</f>
        <v>0</v>
      </c>
      <c r="L88" s="49">
        <f>AVERAGE('16.08 Malaba-Tororo-24h'!L88,'17.08 Malaba-Tororo-24h'!L88)</f>
        <v>0</v>
      </c>
      <c r="M88" s="49">
        <f>AVERAGE('16.08 Malaba-Tororo-24h'!M88,'17.08 Malaba-Tororo-24h'!M88)</f>
        <v>0</v>
      </c>
      <c r="N88" s="49">
        <f>AVERAGE('16.08 Malaba-Tororo-24h'!N88,'17.08 Malaba-Tororo-24h'!N88)</f>
        <v>0</v>
      </c>
      <c r="O88" s="15">
        <f t="shared" si="35"/>
        <v>2.5</v>
      </c>
      <c r="P88" s="15">
        <f t="shared" si="36"/>
        <v>2.5</v>
      </c>
      <c r="R88" s="8"/>
      <c r="T88"/>
    </row>
    <row r="89" spans="2:20" ht="23.1" customHeight="1" x14ac:dyDescent="0.25">
      <c r="B89" s="23" t="s">
        <v>129</v>
      </c>
      <c r="C89" s="49">
        <f>AVERAGE('16.08 Malaba-Tororo-24h'!C89,'17.08 Malaba-Tororo-24h'!C89)</f>
        <v>0</v>
      </c>
      <c r="D89" s="49">
        <f>AVERAGE('16.08 Malaba-Tororo-24h'!D89,'17.08 Malaba-Tororo-24h'!D89)</f>
        <v>0</v>
      </c>
      <c r="E89" s="49">
        <f>AVERAGE('16.08 Malaba-Tororo-24h'!E89,'17.08 Malaba-Tororo-24h'!E89)</f>
        <v>0.5</v>
      </c>
      <c r="F89" s="49">
        <f>AVERAGE('16.08 Malaba-Tororo-24h'!F89,'17.08 Malaba-Tororo-24h'!F89)</f>
        <v>0</v>
      </c>
      <c r="G89" s="49">
        <f>AVERAGE('16.08 Malaba-Tororo-24h'!G89,'17.08 Malaba-Tororo-24h'!G89)</f>
        <v>0</v>
      </c>
      <c r="H89" s="49">
        <f>AVERAGE('16.08 Malaba-Tororo-24h'!H89,'17.08 Malaba-Tororo-24h'!H89)</f>
        <v>0</v>
      </c>
      <c r="I89" s="49">
        <f>AVERAGE('16.08 Malaba-Tororo-24h'!I89,'17.08 Malaba-Tororo-24h'!I89)</f>
        <v>0</v>
      </c>
      <c r="J89" s="49">
        <f>AVERAGE('16.08 Malaba-Tororo-24h'!J89,'17.08 Malaba-Tororo-24h'!J89)</f>
        <v>0.5</v>
      </c>
      <c r="K89" s="49">
        <f>AVERAGE('16.08 Malaba-Tororo-24h'!K89,'17.08 Malaba-Tororo-24h'!K89)</f>
        <v>0</v>
      </c>
      <c r="L89" s="49">
        <f>AVERAGE('16.08 Malaba-Tororo-24h'!L89,'17.08 Malaba-Tororo-24h'!L89)</f>
        <v>0</v>
      </c>
      <c r="M89" s="49">
        <f>AVERAGE('16.08 Malaba-Tororo-24h'!M89,'17.08 Malaba-Tororo-24h'!M89)</f>
        <v>0</v>
      </c>
      <c r="N89" s="49">
        <f>AVERAGE('16.08 Malaba-Tororo-24h'!N89,'17.08 Malaba-Tororo-24h'!N89)</f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24" t="s">
        <v>130</v>
      </c>
      <c r="C90" s="49">
        <f>AVERAGE('16.08 Malaba-Tororo-24h'!C90,'17.08 Malaba-Tororo-24h'!C90)</f>
        <v>0</v>
      </c>
      <c r="D90" s="49">
        <f>AVERAGE('16.08 Malaba-Tororo-24h'!D90,'17.08 Malaba-Tororo-24h'!D90)</f>
        <v>0</v>
      </c>
      <c r="E90" s="49">
        <f>AVERAGE('16.08 Malaba-Tororo-24h'!E90,'17.08 Malaba-Tororo-24h'!E90)</f>
        <v>1</v>
      </c>
      <c r="F90" s="49">
        <f>AVERAGE('16.08 Malaba-Tororo-24h'!F90,'17.08 Malaba-Tororo-24h'!F90)</f>
        <v>0.5</v>
      </c>
      <c r="G90" s="49">
        <f>AVERAGE('16.08 Malaba-Tororo-24h'!G90,'17.08 Malaba-Tororo-24h'!G90)</f>
        <v>0</v>
      </c>
      <c r="H90" s="49">
        <f>AVERAGE('16.08 Malaba-Tororo-24h'!H90,'17.08 Malaba-Tororo-24h'!H90)</f>
        <v>0.5</v>
      </c>
      <c r="I90" s="49">
        <f>AVERAGE('16.08 Malaba-Tororo-24h'!I90,'17.08 Malaba-Tororo-24h'!I90)</f>
        <v>1</v>
      </c>
      <c r="J90" s="49">
        <f>AVERAGE('16.08 Malaba-Tororo-24h'!J90,'17.08 Malaba-Tororo-24h'!J90)</f>
        <v>0</v>
      </c>
      <c r="K90" s="49">
        <f>AVERAGE('16.08 Malaba-Tororo-24h'!K90,'17.08 Malaba-Tororo-24h'!K90)</f>
        <v>0</v>
      </c>
      <c r="L90" s="49">
        <f>AVERAGE('16.08 Malaba-Tororo-24h'!L90,'17.08 Malaba-Tororo-24h'!L90)</f>
        <v>0</v>
      </c>
      <c r="M90" s="49">
        <f>AVERAGE('16.08 Malaba-Tororo-24h'!M90,'17.08 Malaba-Tororo-24h'!M90)</f>
        <v>4.5</v>
      </c>
      <c r="N90" s="49">
        <f>AVERAGE('16.08 Malaba-Tororo-24h'!N90,'17.08 Malaba-Tororo-24h'!N90)</f>
        <v>0</v>
      </c>
      <c r="O90" s="15">
        <f t="shared" si="35"/>
        <v>3</v>
      </c>
      <c r="P90" s="15">
        <f t="shared" si="36"/>
        <v>7.5</v>
      </c>
      <c r="R90" s="8"/>
      <c r="T90"/>
    </row>
    <row r="91" spans="2:20" ht="23.1" customHeight="1" x14ac:dyDescent="0.25">
      <c r="B91" s="23" t="s">
        <v>131</v>
      </c>
      <c r="C91" s="49">
        <f>AVERAGE('16.08 Malaba-Tororo-24h'!C91,'17.08 Malaba-Tororo-24h'!C91)</f>
        <v>1.5</v>
      </c>
      <c r="D91" s="49">
        <f>AVERAGE('16.08 Malaba-Tororo-24h'!D91,'17.08 Malaba-Tororo-24h'!D91)</f>
        <v>0</v>
      </c>
      <c r="E91" s="49">
        <f>AVERAGE('16.08 Malaba-Tororo-24h'!E91,'17.08 Malaba-Tororo-24h'!E91)</f>
        <v>0.5</v>
      </c>
      <c r="F91" s="49">
        <f>AVERAGE('16.08 Malaba-Tororo-24h'!F91,'17.08 Malaba-Tororo-24h'!F91)</f>
        <v>0.5</v>
      </c>
      <c r="G91" s="49">
        <f>AVERAGE('16.08 Malaba-Tororo-24h'!G91,'17.08 Malaba-Tororo-24h'!G91)</f>
        <v>0</v>
      </c>
      <c r="H91" s="49">
        <f>AVERAGE('16.08 Malaba-Tororo-24h'!H91,'17.08 Malaba-Tororo-24h'!H91)</f>
        <v>0</v>
      </c>
      <c r="I91" s="49">
        <f>AVERAGE('16.08 Malaba-Tororo-24h'!I91,'17.08 Malaba-Tororo-24h'!I91)</f>
        <v>0</v>
      </c>
      <c r="J91" s="49">
        <f>AVERAGE('16.08 Malaba-Tororo-24h'!J91,'17.08 Malaba-Tororo-24h'!J91)</f>
        <v>0</v>
      </c>
      <c r="K91" s="49">
        <f>AVERAGE('16.08 Malaba-Tororo-24h'!K91,'17.08 Malaba-Tororo-24h'!K91)</f>
        <v>0</v>
      </c>
      <c r="L91" s="49">
        <f>AVERAGE('16.08 Malaba-Tororo-24h'!L91,'17.08 Malaba-Tororo-24h'!L91)</f>
        <v>0</v>
      </c>
      <c r="M91" s="49">
        <f>AVERAGE('16.08 Malaba-Tororo-24h'!M91,'17.08 Malaba-Tororo-24h'!M91)</f>
        <v>7.5</v>
      </c>
      <c r="N91" s="49">
        <f>AVERAGE('16.08 Malaba-Tororo-24h'!N91,'17.08 Malaba-Tororo-24h'!N91)</f>
        <v>0</v>
      </c>
      <c r="O91" s="15">
        <f t="shared" si="35"/>
        <v>2.5</v>
      </c>
      <c r="P91" s="15">
        <f t="shared" si="36"/>
        <v>10</v>
      </c>
      <c r="R91" s="8"/>
      <c r="T91"/>
    </row>
    <row r="92" spans="2:20" ht="23.1" customHeight="1" x14ac:dyDescent="0.25">
      <c r="B92" s="25" t="s">
        <v>132</v>
      </c>
      <c r="C92" s="49">
        <f>AVERAGE('16.08 Malaba-Tororo-24h'!C92,'17.08 Malaba-Tororo-24h'!C92)</f>
        <v>0</v>
      </c>
      <c r="D92" s="49">
        <f>AVERAGE('16.08 Malaba-Tororo-24h'!D92,'17.08 Malaba-Tororo-24h'!D92)</f>
        <v>0</v>
      </c>
      <c r="E92" s="49">
        <f>AVERAGE('16.08 Malaba-Tororo-24h'!E92,'17.08 Malaba-Tororo-24h'!E92)</f>
        <v>0.5</v>
      </c>
      <c r="F92" s="49">
        <f>AVERAGE('16.08 Malaba-Tororo-24h'!F92,'17.08 Malaba-Tororo-24h'!F92)</f>
        <v>2</v>
      </c>
      <c r="G92" s="49">
        <f>AVERAGE('16.08 Malaba-Tororo-24h'!G92,'17.08 Malaba-Tororo-24h'!G92)</f>
        <v>0</v>
      </c>
      <c r="H92" s="49">
        <f>AVERAGE('16.08 Malaba-Tororo-24h'!H92,'17.08 Malaba-Tororo-24h'!H92)</f>
        <v>0</v>
      </c>
      <c r="I92" s="49">
        <f>AVERAGE('16.08 Malaba-Tororo-24h'!I92,'17.08 Malaba-Tororo-24h'!I92)</f>
        <v>0</v>
      </c>
      <c r="J92" s="49">
        <f>AVERAGE('16.08 Malaba-Tororo-24h'!J92,'17.08 Malaba-Tororo-24h'!J92)</f>
        <v>0</v>
      </c>
      <c r="K92" s="49">
        <f>AVERAGE('16.08 Malaba-Tororo-24h'!K92,'17.08 Malaba-Tororo-24h'!K92)</f>
        <v>0</v>
      </c>
      <c r="L92" s="49">
        <f>AVERAGE('16.08 Malaba-Tororo-24h'!L92,'17.08 Malaba-Tororo-24h'!L92)</f>
        <v>0</v>
      </c>
      <c r="M92" s="49">
        <f>AVERAGE('16.08 Malaba-Tororo-24h'!M92,'17.08 Malaba-Tororo-24h'!M92)</f>
        <v>5</v>
      </c>
      <c r="N92" s="49">
        <f>AVERAGE('16.08 Malaba-Tororo-24h'!N92,'17.08 Malaba-Tororo-24h'!N92)</f>
        <v>0</v>
      </c>
      <c r="O92" s="15">
        <f t="shared" si="35"/>
        <v>2.5</v>
      </c>
      <c r="P92" s="15">
        <f t="shared" si="36"/>
        <v>7.5</v>
      </c>
      <c r="R92" s="8"/>
      <c r="T92"/>
    </row>
    <row r="93" spans="2:20" ht="23.1" customHeight="1" x14ac:dyDescent="0.25">
      <c r="B93" s="23" t="s">
        <v>133</v>
      </c>
      <c r="C93" s="49">
        <f>AVERAGE('16.08 Malaba-Tororo-24h'!C93,'17.08 Malaba-Tororo-24h'!C93)</f>
        <v>0.5</v>
      </c>
      <c r="D93" s="49">
        <f>AVERAGE('16.08 Malaba-Tororo-24h'!D93,'17.08 Malaba-Tororo-24h'!D93)</f>
        <v>0</v>
      </c>
      <c r="E93" s="49">
        <f>AVERAGE('16.08 Malaba-Tororo-24h'!E93,'17.08 Malaba-Tororo-24h'!E93)</f>
        <v>0</v>
      </c>
      <c r="F93" s="49">
        <f>AVERAGE('16.08 Malaba-Tororo-24h'!F93,'17.08 Malaba-Tororo-24h'!F93)</f>
        <v>0</v>
      </c>
      <c r="G93" s="49">
        <f>AVERAGE('16.08 Malaba-Tororo-24h'!G93,'17.08 Malaba-Tororo-24h'!G93)</f>
        <v>0</v>
      </c>
      <c r="H93" s="49">
        <f>AVERAGE('16.08 Malaba-Tororo-24h'!H93,'17.08 Malaba-Tororo-24h'!H93)</f>
        <v>0</v>
      </c>
      <c r="I93" s="49">
        <f>AVERAGE('16.08 Malaba-Tororo-24h'!I93,'17.08 Malaba-Tororo-24h'!I93)</f>
        <v>0</v>
      </c>
      <c r="J93" s="49">
        <f>AVERAGE('16.08 Malaba-Tororo-24h'!J93,'17.08 Malaba-Tororo-24h'!J93)</f>
        <v>0</v>
      </c>
      <c r="K93" s="49">
        <f>AVERAGE('16.08 Malaba-Tororo-24h'!K93,'17.08 Malaba-Tororo-24h'!K93)</f>
        <v>0</v>
      </c>
      <c r="L93" s="49">
        <f>AVERAGE('16.08 Malaba-Tororo-24h'!L93,'17.08 Malaba-Tororo-24h'!L93)</f>
        <v>0</v>
      </c>
      <c r="M93" s="49">
        <f>AVERAGE('16.08 Malaba-Tororo-24h'!M93,'17.08 Malaba-Tororo-24h'!M93)</f>
        <v>4.5</v>
      </c>
      <c r="N93" s="49">
        <f>AVERAGE('16.08 Malaba-Tororo-24h'!N93,'17.08 Malaba-Tororo-24h'!N93)</f>
        <v>0</v>
      </c>
      <c r="O93" s="15">
        <f t="shared" si="35"/>
        <v>0.5</v>
      </c>
      <c r="P93" s="15">
        <f t="shared" si="36"/>
        <v>5</v>
      </c>
      <c r="R93" s="8"/>
      <c r="T93"/>
    </row>
    <row r="94" spans="2:20" ht="23.1" customHeight="1" x14ac:dyDescent="0.25">
      <c r="B94" s="24" t="s">
        <v>134</v>
      </c>
      <c r="C94" s="49">
        <f>AVERAGE('16.08 Malaba-Tororo-24h'!C94,'17.08 Malaba-Tororo-24h'!C94)</f>
        <v>1</v>
      </c>
      <c r="D94" s="49">
        <f>AVERAGE('16.08 Malaba-Tororo-24h'!D94,'17.08 Malaba-Tororo-24h'!D94)</f>
        <v>0</v>
      </c>
      <c r="E94" s="49">
        <f>AVERAGE('16.08 Malaba-Tororo-24h'!E94,'17.08 Malaba-Tororo-24h'!E94)</f>
        <v>0</v>
      </c>
      <c r="F94" s="49">
        <f>AVERAGE('16.08 Malaba-Tororo-24h'!F94,'17.08 Malaba-Tororo-24h'!F94)</f>
        <v>1</v>
      </c>
      <c r="G94" s="49">
        <f>AVERAGE('16.08 Malaba-Tororo-24h'!G94,'17.08 Malaba-Tororo-24h'!G94)</f>
        <v>0</v>
      </c>
      <c r="H94" s="49">
        <f>AVERAGE('16.08 Malaba-Tororo-24h'!H94,'17.08 Malaba-Tororo-24h'!H94)</f>
        <v>0.5</v>
      </c>
      <c r="I94" s="49">
        <f>AVERAGE('16.08 Malaba-Tororo-24h'!I94,'17.08 Malaba-Tororo-24h'!I94)</f>
        <v>0.5</v>
      </c>
      <c r="J94" s="49">
        <f>AVERAGE('16.08 Malaba-Tororo-24h'!J94,'17.08 Malaba-Tororo-24h'!J94)</f>
        <v>0</v>
      </c>
      <c r="K94" s="49">
        <f>AVERAGE('16.08 Malaba-Tororo-24h'!K94,'17.08 Malaba-Tororo-24h'!K94)</f>
        <v>0</v>
      </c>
      <c r="L94" s="49">
        <f>AVERAGE('16.08 Malaba-Tororo-24h'!L94,'17.08 Malaba-Tororo-24h'!L94)</f>
        <v>0</v>
      </c>
      <c r="M94" s="49">
        <f>AVERAGE('16.08 Malaba-Tororo-24h'!M94,'17.08 Malaba-Tororo-24h'!M94)</f>
        <v>4.5</v>
      </c>
      <c r="N94" s="49">
        <f>AVERAGE('16.08 Malaba-Tororo-24h'!N94,'17.08 Malaba-Tororo-24h'!N94)</f>
        <v>0</v>
      </c>
      <c r="O94" s="15">
        <f t="shared" si="35"/>
        <v>3</v>
      </c>
      <c r="P94" s="15">
        <f t="shared" si="36"/>
        <v>7.5</v>
      </c>
      <c r="R94" s="8"/>
      <c r="T94"/>
    </row>
    <row r="95" spans="2:20" ht="23.1" customHeight="1" x14ac:dyDescent="0.25">
      <c r="B95" s="23" t="s">
        <v>135</v>
      </c>
      <c r="C95" s="49">
        <f>AVERAGE('16.08 Malaba-Tororo-24h'!C95,'17.08 Malaba-Tororo-24h'!C95)</f>
        <v>1</v>
      </c>
      <c r="D95" s="49">
        <f>AVERAGE('16.08 Malaba-Tororo-24h'!D95,'17.08 Malaba-Tororo-24h'!D95)</f>
        <v>0</v>
      </c>
      <c r="E95" s="49">
        <f>AVERAGE('16.08 Malaba-Tororo-24h'!E95,'17.08 Malaba-Tororo-24h'!E95)</f>
        <v>0.5</v>
      </c>
      <c r="F95" s="49">
        <f>AVERAGE('16.08 Malaba-Tororo-24h'!F95,'17.08 Malaba-Tororo-24h'!F95)</f>
        <v>0</v>
      </c>
      <c r="G95" s="49">
        <f>AVERAGE('16.08 Malaba-Tororo-24h'!G95,'17.08 Malaba-Tororo-24h'!G95)</f>
        <v>0</v>
      </c>
      <c r="H95" s="49">
        <f>AVERAGE('16.08 Malaba-Tororo-24h'!H95,'17.08 Malaba-Tororo-24h'!H95)</f>
        <v>0.5</v>
      </c>
      <c r="I95" s="49">
        <f>AVERAGE('16.08 Malaba-Tororo-24h'!I95,'17.08 Malaba-Tororo-24h'!I95)</f>
        <v>0</v>
      </c>
      <c r="J95" s="49">
        <f>AVERAGE('16.08 Malaba-Tororo-24h'!J95,'17.08 Malaba-Tororo-24h'!J95)</f>
        <v>0</v>
      </c>
      <c r="K95" s="49">
        <f>AVERAGE('16.08 Malaba-Tororo-24h'!K95,'17.08 Malaba-Tororo-24h'!K95)</f>
        <v>0</v>
      </c>
      <c r="L95" s="49">
        <f>AVERAGE('16.08 Malaba-Tororo-24h'!L95,'17.08 Malaba-Tororo-24h'!L95)</f>
        <v>0</v>
      </c>
      <c r="M95" s="49">
        <f>AVERAGE('16.08 Malaba-Tororo-24h'!M95,'17.08 Malaba-Tororo-24h'!M95)</f>
        <v>4</v>
      </c>
      <c r="N95" s="49">
        <f>AVERAGE('16.08 Malaba-Tororo-24h'!N95,'17.08 Malaba-Tororo-24h'!N95)</f>
        <v>0</v>
      </c>
      <c r="O95" s="15">
        <f t="shared" si="35"/>
        <v>2</v>
      </c>
      <c r="P95" s="15">
        <f t="shared" si="36"/>
        <v>6</v>
      </c>
      <c r="R95" s="8"/>
      <c r="T95"/>
    </row>
    <row r="96" spans="2:20" ht="23.1" customHeight="1" x14ac:dyDescent="0.25">
      <c r="B96" s="25" t="s">
        <v>136</v>
      </c>
      <c r="C96" s="49">
        <f>AVERAGE('16.08 Malaba-Tororo-24h'!C96,'17.08 Malaba-Tororo-24h'!C96)</f>
        <v>1.5</v>
      </c>
      <c r="D96" s="49">
        <f>AVERAGE('16.08 Malaba-Tororo-24h'!D96,'17.08 Malaba-Tororo-24h'!D96)</f>
        <v>0</v>
      </c>
      <c r="E96" s="49">
        <f>AVERAGE('16.08 Malaba-Tororo-24h'!E96,'17.08 Malaba-Tororo-24h'!E96)</f>
        <v>0</v>
      </c>
      <c r="F96" s="49">
        <f>AVERAGE('16.08 Malaba-Tororo-24h'!F96,'17.08 Malaba-Tororo-24h'!F96)</f>
        <v>0</v>
      </c>
      <c r="G96" s="49">
        <f>AVERAGE('16.08 Malaba-Tororo-24h'!G96,'17.08 Malaba-Tororo-24h'!G96)</f>
        <v>0</v>
      </c>
      <c r="H96" s="49">
        <f>AVERAGE('16.08 Malaba-Tororo-24h'!H96,'17.08 Malaba-Tororo-24h'!H96)</f>
        <v>0</v>
      </c>
      <c r="I96" s="49">
        <f>AVERAGE('16.08 Malaba-Tororo-24h'!I96,'17.08 Malaba-Tororo-24h'!I96)</f>
        <v>0.5</v>
      </c>
      <c r="J96" s="49">
        <f>AVERAGE('16.08 Malaba-Tororo-24h'!J96,'17.08 Malaba-Tororo-24h'!J96)</f>
        <v>0</v>
      </c>
      <c r="K96" s="49">
        <f>AVERAGE('16.08 Malaba-Tororo-24h'!K96,'17.08 Malaba-Tororo-24h'!K96)</f>
        <v>0</v>
      </c>
      <c r="L96" s="49">
        <f>AVERAGE('16.08 Malaba-Tororo-24h'!L96,'17.08 Malaba-Tororo-24h'!L96)</f>
        <v>0</v>
      </c>
      <c r="M96" s="49">
        <f>AVERAGE('16.08 Malaba-Tororo-24h'!M96,'17.08 Malaba-Tororo-24h'!M96)</f>
        <v>4.5</v>
      </c>
      <c r="N96" s="49">
        <f>AVERAGE('16.08 Malaba-Tororo-24h'!N96,'17.08 Malaba-Tororo-24h'!N96)</f>
        <v>0</v>
      </c>
      <c r="O96" s="15">
        <f t="shared" si="35"/>
        <v>2</v>
      </c>
      <c r="P96" s="15">
        <f t="shared" si="36"/>
        <v>6.5</v>
      </c>
      <c r="R96" s="8"/>
      <c r="T96"/>
    </row>
    <row r="97" spans="2:20" ht="23.1" customHeight="1" x14ac:dyDescent="0.25">
      <c r="B97" s="23" t="s">
        <v>137</v>
      </c>
      <c r="C97" s="49">
        <f>AVERAGE('16.08 Malaba-Tororo-24h'!C97,'17.08 Malaba-Tororo-24h'!C97)</f>
        <v>0.5</v>
      </c>
      <c r="D97" s="49">
        <f>AVERAGE('16.08 Malaba-Tororo-24h'!D97,'17.08 Malaba-Tororo-24h'!D97)</f>
        <v>0</v>
      </c>
      <c r="E97" s="49">
        <f>AVERAGE('16.08 Malaba-Tororo-24h'!E97,'17.08 Malaba-Tororo-24h'!E97)</f>
        <v>1</v>
      </c>
      <c r="F97" s="49">
        <f>AVERAGE('16.08 Malaba-Tororo-24h'!F97,'17.08 Malaba-Tororo-24h'!F97)</f>
        <v>0.5</v>
      </c>
      <c r="G97" s="49">
        <f>AVERAGE('16.08 Malaba-Tororo-24h'!G97,'17.08 Malaba-Tororo-24h'!G97)</f>
        <v>0</v>
      </c>
      <c r="H97" s="49">
        <f>AVERAGE('16.08 Malaba-Tororo-24h'!H97,'17.08 Malaba-Tororo-24h'!H97)</f>
        <v>0</v>
      </c>
      <c r="I97" s="49">
        <f>AVERAGE('16.08 Malaba-Tororo-24h'!I97,'17.08 Malaba-Tororo-24h'!I97)</f>
        <v>0</v>
      </c>
      <c r="J97" s="49">
        <f>AVERAGE('16.08 Malaba-Tororo-24h'!J97,'17.08 Malaba-Tororo-24h'!J97)</f>
        <v>0</v>
      </c>
      <c r="K97" s="49">
        <f>AVERAGE('16.08 Malaba-Tororo-24h'!K97,'17.08 Malaba-Tororo-24h'!K97)</f>
        <v>0</v>
      </c>
      <c r="L97" s="49">
        <f>AVERAGE('16.08 Malaba-Tororo-24h'!L97,'17.08 Malaba-Tororo-24h'!L97)</f>
        <v>0</v>
      </c>
      <c r="M97" s="49">
        <f>AVERAGE('16.08 Malaba-Tororo-24h'!M97,'17.08 Malaba-Tororo-24h'!M97)</f>
        <v>5</v>
      </c>
      <c r="N97" s="49">
        <f>AVERAGE('16.08 Malaba-Tororo-24h'!N97,'17.08 Malaba-Tororo-24h'!N97)</f>
        <v>0</v>
      </c>
      <c r="O97" s="15">
        <f t="shared" si="35"/>
        <v>2</v>
      </c>
      <c r="P97" s="15">
        <f t="shared" si="36"/>
        <v>7</v>
      </c>
      <c r="R97" s="8"/>
      <c r="T97"/>
    </row>
    <row r="98" spans="2:20" ht="23.1" customHeight="1" x14ac:dyDescent="0.25">
      <c r="B98" s="24" t="s">
        <v>138</v>
      </c>
      <c r="C98" s="49">
        <f>AVERAGE('16.08 Malaba-Tororo-24h'!C98,'17.08 Malaba-Tororo-24h'!C98)</f>
        <v>0</v>
      </c>
      <c r="D98" s="49">
        <f>AVERAGE('16.08 Malaba-Tororo-24h'!D98,'17.08 Malaba-Tororo-24h'!D98)</f>
        <v>0</v>
      </c>
      <c r="E98" s="49">
        <f>AVERAGE('16.08 Malaba-Tororo-24h'!E98,'17.08 Malaba-Tororo-24h'!E98)</f>
        <v>0.5</v>
      </c>
      <c r="F98" s="49">
        <f>AVERAGE('16.08 Malaba-Tororo-24h'!F98,'17.08 Malaba-Tororo-24h'!F98)</f>
        <v>0.5</v>
      </c>
      <c r="G98" s="49">
        <f>AVERAGE('16.08 Malaba-Tororo-24h'!G98,'17.08 Malaba-Tororo-24h'!G98)</f>
        <v>0</v>
      </c>
      <c r="H98" s="49">
        <f>AVERAGE('16.08 Malaba-Tororo-24h'!H98,'17.08 Malaba-Tororo-24h'!H98)</f>
        <v>0.5</v>
      </c>
      <c r="I98" s="49">
        <f>AVERAGE('16.08 Malaba-Tororo-24h'!I98,'17.08 Malaba-Tororo-24h'!I98)</f>
        <v>0.5</v>
      </c>
      <c r="J98" s="49">
        <f>AVERAGE('16.08 Malaba-Tororo-24h'!J98,'17.08 Malaba-Tororo-24h'!J98)</f>
        <v>0</v>
      </c>
      <c r="K98" s="49">
        <f>AVERAGE('16.08 Malaba-Tororo-24h'!K98,'17.08 Malaba-Tororo-24h'!K98)</f>
        <v>0</v>
      </c>
      <c r="L98" s="49">
        <f>AVERAGE('16.08 Malaba-Tororo-24h'!L98,'17.08 Malaba-Tororo-24h'!L98)</f>
        <v>0</v>
      </c>
      <c r="M98" s="49">
        <f>AVERAGE('16.08 Malaba-Tororo-24h'!M98,'17.08 Malaba-Tororo-24h'!M98)</f>
        <v>3</v>
      </c>
      <c r="N98" s="49">
        <f>AVERAGE('16.08 Malaba-Tororo-24h'!N98,'17.08 Malaba-Tororo-24h'!N98)</f>
        <v>0</v>
      </c>
      <c r="O98" s="15">
        <f t="shared" si="35"/>
        <v>2</v>
      </c>
      <c r="P98" s="15">
        <f t="shared" si="36"/>
        <v>5</v>
      </c>
      <c r="R98" s="8"/>
      <c r="T98"/>
    </row>
    <row r="99" spans="2:20" ht="23.1" customHeight="1" x14ac:dyDescent="0.25">
      <c r="B99" s="23" t="s">
        <v>139</v>
      </c>
      <c r="C99" s="49">
        <f>AVERAGE('16.08 Malaba-Tororo-24h'!C99,'17.08 Malaba-Tororo-24h'!C99)</f>
        <v>0.5</v>
      </c>
      <c r="D99" s="49">
        <f>AVERAGE('16.08 Malaba-Tororo-24h'!D99,'17.08 Malaba-Tororo-24h'!D99)</f>
        <v>0</v>
      </c>
      <c r="E99" s="49">
        <f>AVERAGE('16.08 Malaba-Tororo-24h'!E99,'17.08 Malaba-Tororo-24h'!E99)</f>
        <v>0</v>
      </c>
      <c r="F99" s="49">
        <f>AVERAGE('16.08 Malaba-Tororo-24h'!F99,'17.08 Malaba-Tororo-24h'!F99)</f>
        <v>0.5</v>
      </c>
      <c r="G99" s="49">
        <f>AVERAGE('16.08 Malaba-Tororo-24h'!G99,'17.08 Malaba-Tororo-24h'!G99)</f>
        <v>0</v>
      </c>
      <c r="H99" s="49">
        <f>AVERAGE('16.08 Malaba-Tororo-24h'!H99,'17.08 Malaba-Tororo-24h'!H99)</f>
        <v>0.5</v>
      </c>
      <c r="I99" s="49">
        <f>AVERAGE('16.08 Malaba-Tororo-24h'!I99,'17.08 Malaba-Tororo-24h'!I99)</f>
        <v>0</v>
      </c>
      <c r="J99" s="49">
        <f>AVERAGE('16.08 Malaba-Tororo-24h'!J99,'17.08 Malaba-Tororo-24h'!J99)</f>
        <v>0</v>
      </c>
      <c r="K99" s="49">
        <f>AVERAGE('16.08 Malaba-Tororo-24h'!K99,'17.08 Malaba-Tororo-24h'!K99)</f>
        <v>0</v>
      </c>
      <c r="L99" s="49">
        <f>AVERAGE('16.08 Malaba-Tororo-24h'!L99,'17.08 Malaba-Tororo-24h'!L99)</f>
        <v>0</v>
      </c>
      <c r="M99" s="49">
        <f>AVERAGE('16.08 Malaba-Tororo-24h'!M99,'17.08 Malaba-Tororo-24h'!M99)</f>
        <v>3.5</v>
      </c>
      <c r="N99" s="49">
        <f>AVERAGE('16.08 Malaba-Tororo-24h'!N99,'17.08 Malaba-Tororo-24h'!N99)</f>
        <v>0</v>
      </c>
      <c r="O99" s="15">
        <f t="shared" si="35"/>
        <v>1.5</v>
      </c>
      <c r="P99" s="15">
        <f t="shared" si="36"/>
        <v>5</v>
      </c>
      <c r="R99" s="8"/>
      <c r="T99"/>
    </row>
    <row r="100" spans="2:20" ht="23.1" customHeight="1" x14ac:dyDescent="0.25">
      <c r="B100" s="25" t="s">
        <v>140</v>
      </c>
      <c r="C100" s="49">
        <f>AVERAGE('16.08 Malaba-Tororo-24h'!C100,'17.08 Malaba-Tororo-24h'!C100)</f>
        <v>0</v>
      </c>
      <c r="D100" s="49">
        <f>AVERAGE('16.08 Malaba-Tororo-24h'!D100,'17.08 Malaba-Tororo-24h'!D100)</f>
        <v>0</v>
      </c>
      <c r="E100" s="49">
        <f>AVERAGE('16.08 Malaba-Tororo-24h'!E100,'17.08 Malaba-Tororo-24h'!E100)</f>
        <v>0</v>
      </c>
      <c r="F100" s="49">
        <f>AVERAGE('16.08 Malaba-Tororo-24h'!F100,'17.08 Malaba-Tororo-24h'!F100)</f>
        <v>0.5</v>
      </c>
      <c r="G100" s="49">
        <f>AVERAGE('16.08 Malaba-Tororo-24h'!G100,'17.08 Malaba-Tororo-24h'!G100)</f>
        <v>0</v>
      </c>
      <c r="H100" s="49">
        <f>AVERAGE('16.08 Malaba-Tororo-24h'!H100,'17.08 Malaba-Tororo-24h'!H100)</f>
        <v>1</v>
      </c>
      <c r="I100" s="49">
        <f>AVERAGE('16.08 Malaba-Tororo-24h'!I100,'17.08 Malaba-Tororo-24h'!I100)</f>
        <v>0.5</v>
      </c>
      <c r="J100" s="49">
        <f>AVERAGE('16.08 Malaba-Tororo-24h'!J100,'17.08 Malaba-Tororo-24h'!J100)</f>
        <v>0</v>
      </c>
      <c r="K100" s="49">
        <f>AVERAGE('16.08 Malaba-Tororo-24h'!K100,'17.08 Malaba-Tororo-24h'!K100)</f>
        <v>0</v>
      </c>
      <c r="L100" s="49">
        <f>AVERAGE('16.08 Malaba-Tororo-24h'!L100,'17.08 Malaba-Tororo-24h'!L100)</f>
        <v>0</v>
      </c>
      <c r="M100" s="49">
        <f>AVERAGE('16.08 Malaba-Tororo-24h'!M100,'17.08 Malaba-Tororo-24h'!M100)</f>
        <v>4</v>
      </c>
      <c r="N100" s="49">
        <f>AVERAGE('16.08 Malaba-Tororo-24h'!N100,'17.08 Malaba-Tororo-24h'!N100)</f>
        <v>0</v>
      </c>
      <c r="O100" s="15">
        <f t="shared" si="35"/>
        <v>2</v>
      </c>
      <c r="P100" s="15">
        <f t="shared" si="36"/>
        <v>6</v>
      </c>
      <c r="R100" s="8"/>
      <c r="T100"/>
    </row>
    <row r="101" spans="2:20" ht="23.1" customHeight="1" x14ac:dyDescent="0.25">
      <c r="B101" s="23" t="s">
        <v>141</v>
      </c>
      <c r="C101" s="49">
        <f>AVERAGE('16.08 Malaba-Tororo-24h'!C101,'17.08 Malaba-Tororo-24h'!C101)</f>
        <v>0.5</v>
      </c>
      <c r="D101" s="49">
        <f>AVERAGE('16.08 Malaba-Tororo-24h'!D101,'17.08 Malaba-Tororo-24h'!D101)</f>
        <v>0</v>
      </c>
      <c r="E101" s="49">
        <f>AVERAGE('16.08 Malaba-Tororo-24h'!E101,'17.08 Malaba-Tororo-24h'!E101)</f>
        <v>0</v>
      </c>
      <c r="F101" s="49">
        <f>AVERAGE('16.08 Malaba-Tororo-24h'!F101,'17.08 Malaba-Tororo-24h'!F101)</f>
        <v>1</v>
      </c>
      <c r="G101" s="49">
        <f>AVERAGE('16.08 Malaba-Tororo-24h'!G101,'17.08 Malaba-Tororo-24h'!G101)</f>
        <v>0</v>
      </c>
      <c r="H101" s="49">
        <f>AVERAGE('16.08 Malaba-Tororo-24h'!H101,'17.08 Malaba-Tororo-24h'!H101)</f>
        <v>0.5</v>
      </c>
      <c r="I101" s="49">
        <f>AVERAGE('16.08 Malaba-Tororo-24h'!I101,'17.08 Malaba-Tororo-24h'!I101)</f>
        <v>0</v>
      </c>
      <c r="J101" s="49">
        <f>AVERAGE('16.08 Malaba-Tororo-24h'!J101,'17.08 Malaba-Tororo-24h'!J101)</f>
        <v>0</v>
      </c>
      <c r="K101" s="49">
        <f>AVERAGE('16.08 Malaba-Tororo-24h'!K101,'17.08 Malaba-Tororo-24h'!K101)</f>
        <v>0</v>
      </c>
      <c r="L101" s="49">
        <f>AVERAGE('16.08 Malaba-Tororo-24h'!L101,'17.08 Malaba-Tororo-24h'!L101)</f>
        <v>0</v>
      </c>
      <c r="M101" s="49">
        <f>AVERAGE('16.08 Malaba-Tororo-24h'!M101,'17.08 Malaba-Tororo-24h'!M101)</f>
        <v>5.5</v>
      </c>
      <c r="N101" s="49">
        <f>AVERAGE('16.08 Malaba-Tororo-24h'!N101,'17.08 Malaba-Tororo-24h'!N101)</f>
        <v>0</v>
      </c>
      <c r="O101" s="15">
        <f t="shared" si="35"/>
        <v>2</v>
      </c>
      <c r="P101" s="15">
        <f t="shared" si="36"/>
        <v>7.5</v>
      </c>
      <c r="R101" s="8"/>
      <c r="T101"/>
    </row>
    <row r="102" spans="2:20" ht="23.1" customHeight="1" x14ac:dyDescent="0.25">
      <c r="B102" s="24" t="s">
        <v>142</v>
      </c>
      <c r="C102" s="49">
        <f>AVERAGE('16.08 Malaba-Tororo-24h'!C102,'17.08 Malaba-Tororo-24h'!C102)</f>
        <v>1.5</v>
      </c>
      <c r="D102" s="49">
        <f>AVERAGE('16.08 Malaba-Tororo-24h'!D102,'17.08 Malaba-Tororo-24h'!D102)</f>
        <v>0</v>
      </c>
      <c r="E102" s="49">
        <f>AVERAGE('16.08 Malaba-Tororo-24h'!E102,'17.08 Malaba-Tororo-24h'!E102)</f>
        <v>1</v>
      </c>
      <c r="F102" s="49">
        <f>AVERAGE('16.08 Malaba-Tororo-24h'!F102,'17.08 Malaba-Tororo-24h'!F102)</f>
        <v>3.5</v>
      </c>
      <c r="G102" s="49">
        <f>AVERAGE('16.08 Malaba-Tororo-24h'!G102,'17.08 Malaba-Tororo-24h'!G102)</f>
        <v>0</v>
      </c>
      <c r="H102" s="49">
        <f>AVERAGE('16.08 Malaba-Tororo-24h'!H102,'17.08 Malaba-Tororo-24h'!H102)</f>
        <v>0.5</v>
      </c>
      <c r="I102" s="49">
        <f>AVERAGE('16.08 Malaba-Tororo-24h'!I102,'17.08 Malaba-Tororo-24h'!I102)</f>
        <v>0</v>
      </c>
      <c r="J102" s="49">
        <f>AVERAGE('16.08 Malaba-Tororo-24h'!J102,'17.08 Malaba-Tororo-24h'!J102)</f>
        <v>0</v>
      </c>
      <c r="K102" s="49">
        <f>AVERAGE('16.08 Malaba-Tororo-24h'!K102,'17.08 Malaba-Tororo-24h'!K102)</f>
        <v>0</v>
      </c>
      <c r="L102" s="49">
        <f>AVERAGE('16.08 Malaba-Tororo-24h'!L102,'17.08 Malaba-Tororo-24h'!L102)</f>
        <v>0</v>
      </c>
      <c r="M102" s="49">
        <f>AVERAGE('16.08 Malaba-Tororo-24h'!M102,'17.08 Malaba-Tororo-24h'!M102)</f>
        <v>7.5</v>
      </c>
      <c r="N102" s="49">
        <f>AVERAGE('16.08 Malaba-Tororo-24h'!N102,'17.08 Malaba-Tororo-24h'!N102)</f>
        <v>0</v>
      </c>
      <c r="O102" s="15">
        <f t="shared" si="35"/>
        <v>6.5</v>
      </c>
      <c r="P102" s="15">
        <f t="shared" si="36"/>
        <v>14</v>
      </c>
      <c r="R102" s="8"/>
      <c r="T102"/>
    </row>
    <row r="103" spans="2:20" ht="23.1" customHeight="1" x14ac:dyDescent="0.25">
      <c r="B103" s="23" t="s">
        <v>143</v>
      </c>
      <c r="C103" s="49">
        <f>AVERAGE('16.08 Malaba-Tororo-24h'!C103,'17.08 Malaba-Tororo-24h'!C103)</f>
        <v>0</v>
      </c>
      <c r="D103" s="49">
        <f>AVERAGE('16.08 Malaba-Tororo-24h'!D103,'17.08 Malaba-Tororo-24h'!D103)</f>
        <v>0</v>
      </c>
      <c r="E103" s="49">
        <f>AVERAGE('16.08 Malaba-Tororo-24h'!E103,'17.08 Malaba-Tororo-24h'!E103)</f>
        <v>0</v>
      </c>
      <c r="F103" s="49">
        <f>AVERAGE('16.08 Malaba-Tororo-24h'!F103,'17.08 Malaba-Tororo-24h'!F103)</f>
        <v>1</v>
      </c>
      <c r="G103" s="49">
        <f>AVERAGE('16.08 Malaba-Tororo-24h'!G103,'17.08 Malaba-Tororo-24h'!G103)</f>
        <v>0</v>
      </c>
      <c r="H103" s="49">
        <f>AVERAGE('16.08 Malaba-Tororo-24h'!H103,'17.08 Malaba-Tororo-24h'!H103)</f>
        <v>0.5</v>
      </c>
      <c r="I103" s="49">
        <f>AVERAGE('16.08 Malaba-Tororo-24h'!I103,'17.08 Malaba-Tororo-24h'!I103)</f>
        <v>0</v>
      </c>
      <c r="J103" s="49">
        <f>AVERAGE('16.08 Malaba-Tororo-24h'!J103,'17.08 Malaba-Tororo-24h'!J103)</f>
        <v>0</v>
      </c>
      <c r="K103" s="49">
        <f>AVERAGE('16.08 Malaba-Tororo-24h'!K103,'17.08 Malaba-Tororo-24h'!K103)</f>
        <v>0</v>
      </c>
      <c r="L103" s="49">
        <f>AVERAGE('16.08 Malaba-Tororo-24h'!L103,'17.08 Malaba-Tororo-24h'!L103)</f>
        <v>0</v>
      </c>
      <c r="M103" s="49">
        <f>AVERAGE('16.08 Malaba-Tororo-24h'!M103,'17.08 Malaba-Tororo-24h'!M103)</f>
        <v>8.5</v>
      </c>
      <c r="N103" s="49">
        <f>AVERAGE('16.08 Malaba-Tororo-24h'!N103,'17.08 Malaba-Tororo-24h'!N103)</f>
        <v>0</v>
      </c>
      <c r="O103" s="15">
        <f t="shared" si="35"/>
        <v>1.5</v>
      </c>
      <c r="P103" s="15">
        <f t="shared" si="36"/>
        <v>10</v>
      </c>
      <c r="R103" s="8"/>
      <c r="T103"/>
    </row>
    <row r="104" spans="2:20" ht="23.1" customHeight="1" x14ac:dyDescent="0.25">
      <c r="B104" s="25" t="s">
        <v>144</v>
      </c>
      <c r="C104" s="49">
        <f>AVERAGE('16.08 Malaba-Tororo-24h'!C104,'17.08 Malaba-Tororo-24h'!C104)</f>
        <v>0.5</v>
      </c>
      <c r="D104" s="49">
        <f>AVERAGE('16.08 Malaba-Tororo-24h'!D104,'17.08 Malaba-Tororo-24h'!D104)</f>
        <v>0</v>
      </c>
      <c r="E104" s="49">
        <f>AVERAGE('16.08 Malaba-Tororo-24h'!E104,'17.08 Malaba-Tororo-24h'!E104)</f>
        <v>0.5</v>
      </c>
      <c r="F104" s="49">
        <f>AVERAGE('16.08 Malaba-Tororo-24h'!F104,'17.08 Malaba-Tororo-24h'!F104)</f>
        <v>4.5</v>
      </c>
      <c r="G104" s="49">
        <f>AVERAGE('16.08 Malaba-Tororo-24h'!G104,'17.08 Malaba-Tororo-24h'!G104)</f>
        <v>0.5</v>
      </c>
      <c r="H104" s="49">
        <f>AVERAGE('16.08 Malaba-Tororo-24h'!H104,'17.08 Malaba-Tororo-24h'!H104)</f>
        <v>0.5</v>
      </c>
      <c r="I104" s="49">
        <f>AVERAGE('16.08 Malaba-Tororo-24h'!I104,'17.08 Malaba-Tororo-24h'!I104)</f>
        <v>1</v>
      </c>
      <c r="J104" s="49">
        <f>AVERAGE('16.08 Malaba-Tororo-24h'!J104,'17.08 Malaba-Tororo-24h'!J104)</f>
        <v>0</v>
      </c>
      <c r="K104" s="49">
        <f>AVERAGE('16.08 Malaba-Tororo-24h'!K104,'17.08 Malaba-Tororo-24h'!K104)</f>
        <v>0</v>
      </c>
      <c r="L104" s="49">
        <f>AVERAGE('16.08 Malaba-Tororo-24h'!L104,'17.08 Malaba-Tororo-24h'!L104)</f>
        <v>0</v>
      </c>
      <c r="M104" s="49">
        <f>AVERAGE('16.08 Malaba-Tororo-24h'!M104,'17.08 Malaba-Tororo-24h'!M104)</f>
        <v>9</v>
      </c>
      <c r="N104" s="49">
        <f>AVERAGE('16.08 Malaba-Tororo-24h'!N104,'17.08 Malaba-Tororo-24h'!N104)</f>
        <v>0</v>
      </c>
      <c r="O104" s="15">
        <f t="shared" si="35"/>
        <v>7.5</v>
      </c>
      <c r="P104" s="15">
        <f t="shared" si="36"/>
        <v>16.5</v>
      </c>
      <c r="R104" s="8"/>
      <c r="T104"/>
    </row>
    <row r="105" spans="2:20" ht="23.1" customHeight="1" x14ac:dyDescent="0.25">
      <c r="B105" s="23" t="s">
        <v>145</v>
      </c>
      <c r="C105" s="49">
        <f>AVERAGE('16.08 Malaba-Tororo-24h'!C105,'17.08 Malaba-Tororo-24h'!C105)</f>
        <v>1.5</v>
      </c>
      <c r="D105" s="49">
        <f>AVERAGE('16.08 Malaba-Tororo-24h'!D105,'17.08 Malaba-Tororo-24h'!D105)</f>
        <v>0</v>
      </c>
      <c r="E105" s="49">
        <f>AVERAGE('16.08 Malaba-Tororo-24h'!E105,'17.08 Malaba-Tororo-24h'!E105)</f>
        <v>1</v>
      </c>
      <c r="F105" s="49">
        <f>AVERAGE('16.08 Malaba-Tororo-24h'!F105,'17.08 Malaba-Tororo-24h'!F105)</f>
        <v>1</v>
      </c>
      <c r="G105" s="49">
        <f>AVERAGE('16.08 Malaba-Tororo-24h'!G105,'17.08 Malaba-Tororo-24h'!G105)</f>
        <v>0.5</v>
      </c>
      <c r="H105" s="49">
        <f>AVERAGE('16.08 Malaba-Tororo-24h'!H105,'17.08 Malaba-Tororo-24h'!H105)</f>
        <v>0.5</v>
      </c>
      <c r="I105" s="49">
        <f>AVERAGE('16.08 Malaba-Tororo-24h'!I105,'17.08 Malaba-Tororo-24h'!I105)</f>
        <v>0</v>
      </c>
      <c r="J105" s="49">
        <f>AVERAGE('16.08 Malaba-Tororo-24h'!J105,'17.08 Malaba-Tororo-24h'!J105)</f>
        <v>0</v>
      </c>
      <c r="K105" s="49">
        <f>AVERAGE('16.08 Malaba-Tororo-24h'!K105,'17.08 Malaba-Tororo-24h'!K105)</f>
        <v>0</v>
      </c>
      <c r="L105" s="49">
        <f>AVERAGE('16.08 Malaba-Tororo-24h'!L105,'17.08 Malaba-Tororo-24h'!L105)</f>
        <v>0</v>
      </c>
      <c r="M105" s="49">
        <f>AVERAGE('16.08 Malaba-Tororo-24h'!M105,'17.08 Malaba-Tororo-24h'!M105)</f>
        <v>17</v>
      </c>
      <c r="N105" s="49">
        <f>AVERAGE('16.08 Malaba-Tororo-24h'!N105,'17.08 Malaba-Tororo-24h'!N105)</f>
        <v>0</v>
      </c>
      <c r="O105" s="15">
        <f t="shared" si="35"/>
        <v>4.5</v>
      </c>
      <c r="P105" s="15">
        <f t="shared" si="36"/>
        <v>21.5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190.92857142857142</v>
      </c>
      <c r="D106" s="16">
        <f t="shared" ref="D106:P106" si="37">SUM(D10:D105)</f>
        <v>17.857142857142858</v>
      </c>
      <c r="E106" s="16">
        <f t="shared" si="37"/>
        <v>164.00000000000006</v>
      </c>
      <c r="F106" s="16">
        <f t="shared" si="37"/>
        <v>151.21428571428572</v>
      </c>
      <c r="G106" s="16">
        <f t="shared" si="37"/>
        <v>8.071428571428573</v>
      </c>
      <c r="H106" s="16">
        <f t="shared" si="37"/>
        <v>9.2857142857142847</v>
      </c>
      <c r="I106" s="16">
        <f t="shared" si="37"/>
        <v>76.642857142857139</v>
      </c>
      <c r="J106" s="16">
        <f t="shared" si="37"/>
        <v>16.714285714285715</v>
      </c>
      <c r="K106" s="16">
        <f t="shared" si="37"/>
        <v>2.2857142857142856</v>
      </c>
      <c r="L106" s="16">
        <f t="shared" si="37"/>
        <v>0</v>
      </c>
      <c r="M106" s="16">
        <f t="shared" si="37"/>
        <v>1438.2142857142856</v>
      </c>
      <c r="N106" s="16">
        <f t="shared" si="37"/>
        <v>1.1428571428571428</v>
      </c>
      <c r="O106" s="16">
        <f t="shared" si="37"/>
        <v>638.14285714285711</v>
      </c>
      <c r="P106" s="16">
        <f t="shared" si="37"/>
        <v>2076.3571428571431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9.1953627575767985E-2</v>
      </c>
      <c r="D107" s="43">
        <f t="shared" si="38"/>
        <v>8.6002270459940126E-3</v>
      </c>
      <c r="E107" s="43">
        <f t="shared" si="38"/>
        <v>7.8984485190409043E-2</v>
      </c>
      <c r="F107" s="43">
        <f t="shared" si="38"/>
        <v>7.2826722625477305E-2</v>
      </c>
      <c r="G107" s="43">
        <f t="shared" si="38"/>
        <v>3.8873026247892946E-3</v>
      </c>
      <c r="H107" s="43">
        <f t="shared" si="38"/>
        <v>4.4721180639168863E-3</v>
      </c>
      <c r="I107" s="43">
        <f t="shared" si="38"/>
        <v>3.6912174481406303E-2</v>
      </c>
      <c r="J107" s="43">
        <f t="shared" si="38"/>
        <v>8.0498125150503964E-3</v>
      </c>
      <c r="K107" s="43">
        <f t="shared" si="38"/>
        <v>1.1008290618872336E-3</v>
      </c>
      <c r="L107" s="43">
        <f t="shared" si="38"/>
        <v>0</v>
      </c>
      <c r="M107" s="43">
        <f t="shared" si="38"/>
        <v>0.69266228628435778</v>
      </c>
      <c r="N107" s="43">
        <f t="shared" si="38"/>
        <v>5.5041453094361681E-4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0.29919408999328406</v>
      </c>
      <c r="D108" s="44">
        <f t="shared" ref="D108:N108" si="39">D106/$O$106</f>
        <v>2.7982986344302668E-2</v>
      </c>
      <c r="E108" s="44">
        <f t="shared" si="39"/>
        <v>0.25699574658607577</v>
      </c>
      <c r="F108" s="44">
        <f t="shared" si="39"/>
        <v>0.23695992836355498</v>
      </c>
      <c r="G108" s="44">
        <f t="shared" si="39"/>
        <v>1.2648309827624807E-2</v>
      </c>
      <c r="H108" s="44">
        <f t="shared" si="39"/>
        <v>1.4551152899037384E-2</v>
      </c>
      <c r="I108" s="44">
        <f t="shared" si="39"/>
        <v>0.12010297738974704</v>
      </c>
      <c r="J108" s="44">
        <f t="shared" si="39"/>
        <v>2.6192075218267295E-2</v>
      </c>
      <c r="K108" s="44">
        <f t="shared" si="39"/>
        <v>3.5818222520707411E-3</v>
      </c>
      <c r="L108" s="44">
        <f t="shared" si="39"/>
        <v>0</v>
      </c>
      <c r="M108" s="44"/>
      <c r="N108" s="44">
        <f t="shared" si="39"/>
        <v>1.7909111260353706E-3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60" workbookViewId="0">
      <selection activeCell="T104" sqref="T10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'18.08 Tororo-Malaba'!C3:G3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'18.08 Tororo-Malaba'!G5:H5</f>
        <v>xxx</v>
      </c>
      <c r="H5" s="64"/>
      <c r="I5" s="14"/>
      <c r="J5" s="2" t="s">
        <v>5</v>
      </c>
      <c r="K5" s="63" t="str">
        <f>'18.08 Tororo-Malaba'!K5:L5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'18.08 Tororo-Malaba'!D6:E6</f>
        <v>Tororo</v>
      </c>
      <c r="E6" s="64"/>
      <c r="F6" s="2" t="s">
        <v>2</v>
      </c>
      <c r="G6" s="63" t="str">
        <f>'18.08 Tororo-Malaba'!G6:H6</f>
        <v>Malaba</v>
      </c>
      <c r="H6" s="64"/>
      <c r="J6" s="2" t="s">
        <v>21</v>
      </c>
      <c r="K6" s="63" t="str">
        <f>'18.08 Tororo-Malaba'!K6:L6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AVERAGE('12.08 Tororo-Malaba'!C10,'13.08 Tororo-Malaba'!C10,'14.08 Tororo-Malaba'!C10,'15.08 Tororo-Malaba'!C10,'16.08 Tororo-Malaba-24h'!C10,'17.08 Tororo-Malaba-24h'!C10,'18.08 Tororo-Malaba'!C10)</f>
        <v>1.2857142857142858</v>
      </c>
      <c r="D10" s="49">
        <f>AVERAGE('12.08 Tororo-Malaba'!D10,'13.08 Tororo-Malaba'!D10,'14.08 Tororo-Malaba'!D10,'15.08 Tororo-Malaba'!D10,'16.08 Tororo-Malaba-24h'!D10,'17.08 Tororo-Malaba-24h'!D10,'18.08 Tororo-Malaba'!D10)</f>
        <v>0</v>
      </c>
      <c r="E10" s="49">
        <f>AVERAGE('12.08 Tororo-Malaba'!E10,'13.08 Tororo-Malaba'!E10,'14.08 Tororo-Malaba'!E10,'15.08 Tororo-Malaba'!E10,'16.08 Tororo-Malaba-24h'!E10,'17.08 Tororo-Malaba-24h'!E10,'18.08 Tororo-Malaba'!E10)</f>
        <v>0.7142857142857143</v>
      </c>
      <c r="F10" s="49">
        <f>AVERAGE('12.08 Tororo-Malaba'!F10,'13.08 Tororo-Malaba'!F10,'14.08 Tororo-Malaba'!F10,'15.08 Tororo-Malaba'!F10,'16.08 Tororo-Malaba-24h'!F10,'17.08 Tororo-Malaba-24h'!F10,'18.08 Tororo-Malaba'!F10)</f>
        <v>0.8571428571428571</v>
      </c>
      <c r="G10" s="49">
        <f>AVERAGE('12.08 Tororo-Malaba'!G10,'13.08 Tororo-Malaba'!G10,'14.08 Tororo-Malaba'!G10,'15.08 Tororo-Malaba'!G10,'16.08 Tororo-Malaba-24h'!G10,'17.08 Tororo-Malaba-24h'!G10,'18.08 Tororo-Malaba'!G10)</f>
        <v>0</v>
      </c>
      <c r="H10" s="49">
        <f>AVERAGE('12.08 Tororo-Malaba'!H10,'13.08 Tororo-Malaba'!H10,'14.08 Tororo-Malaba'!H10,'15.08 Tororo-Malaba'!H10,'16.08 Tororo-Malaba-24h'!H10,'17.08 Tororo-Malaba-24h'!H10,'18.08 Tororo-Malaba'!H10)</f>
        <v>0.14285714285714285</v>
      </c>
      <c r="I10" s="49">
        <f>AVERAGE('12.08 Tororo-Malaba'!I10,'13.08 Tororo-Malaba'!I10,'14.08 Tororo-Malaba'!I10,'15.08 Tororo-Malaba'!I10,'16.08 Tororo-Malaba-24h'!I10,'17.08 Tororo-Malaba-24h'!I10,'18.08 Tororo-Malaba'!I10)</f>
        <v>0.42857142857142855</v>
      </c>
      <c r="J10" s="49">
        <f>AVERAGE('12.08 Tororo-Malaba'!J10,'13.08 Tororo-Malaba'!J10,'14.08 Tororo-Malaba'!J10,'15.08 Tororo-Malaba'!J10,'16.08 Tororo-Malaba-24h'!J10,'17.08 Tororo-Malaba-24h'!J10,'18.08 Tororo-Malaba'!J10)</f>
        <v>0</v>
      </c>
      <c r="K10" s="49">
        <f>AVERAGE('12.08 Tororo-Malaba'!K10,'13.08 Tororo-Malaba'!K10,'14.08 Tororo-Malaba'!K10,'15.08 Tororo-Malaba'!K10,'16.08 Tororo-Malaba-24h'!K10,'17.08 Tororo-Malaba-24h'!K10,'18.08 Tororo-Malaba'!K10)</f>
        <v>0</v>
      </c>
      <c r="L10" s="49">
        <f>AVERAGE('12.08 Tororo-Malaba'!L10,'13.08 Tororo-Malaba'!L10,'14.08 Tororo-Malaba'!L10,'15.08 Tororo-Malaba'!L10,'16.08 Tororo-Malaba-24h'!L10,'17.08 Tororo-Malaba-24h'!L10,'18.08 Tororo-Malaba'!L10)</f>
        <v>0</v>
      </c>
      <c r="M10" s="49">
        <f>AVERAGE('12.08 Tororo-Malaba'!M10,'13.08 Tororo-Malaba'!M10,'14.08 Tororo-Malaba'!M10,'15.08 Tororo-Malaba'!M10,'16.08 Tororo-Malaba-24h'!M10,'17.08 Tororo-Malaba-24h'!M10,'18.08 Tororo-Malaba'!M10)</f>
        <v>11.142857142857142</v>
      </c>
      <c r="N10" s="49">
        <f>AVERAGE('12.08 Tororo-Malaba'!N10,'13.08 Tororo-Malaba'!N10,'14.08 Tororo-Malaba'!N10,'15.08 Tororo-Malaba'!N10,'16.08 Tororo-Malaba-24h'!N10,'17.08 Tororo-Malaba-24h'!N10,'18.08 Tororo-Malaba'!N10)</f>
        <v>0</v>
      </c>
      <c r="O10" s="15">
        <f t="shared" ref="O10:O73" si="0">SUM(C10:L10,N10)</f>
        <v>3.4285714285714284</v>
      </c>
      <c r="P10" s="15">
        <f t="shared" ref="P10:P73" si="1">SUM(C10:N10)</f>
        <v>14.571428571428571</v>
      </c>
      <c r="R10" s="1" t="s">
        <v>6</v>
      </c>
      <c r="S10" s="17">
        <f t="shared" ref="S10:AF10" si="2">SUM(C10:C13)</f>
        <v>5.8571428571428577</v>
      </c>
      <c r="T10" s="17">
        <f t="shared" si="2"/>
        <v>0.14285714285714285</v>
      </c>
      <c r="U10" s="17">
        <f t="shared" si="2"/>
        <v>3.7142857142857144</v>
      </c>
      <c r="V10" s="17">
        <f t="shared" si="2"/>
        <v>4</v>
      </c>
      <c r="W10" s="17">
        <f t="shared" si="2"/>
        <v>0.8571428571428571</v>
      </c>
      <c r="X10" s="17">
        <f t="shared" si="2"/>
        <v>0.14285714285714285</v>
      </c>
      <c r="Y10" s="17">
        <f t="shared" si="2"/>
        <v>3.5714285714285716</v>
      </c>
      <c r="Z10" s="17">
        <f t="shared" si="2"/>
        <v>0.2857142857142857</v>
      </c>
      <c r="AA10" s="17">
        <f t="shared" si="2"/>
        <v>0</v>
      </c>
      <c r="AB10" s="17">
        <f t="shared" si="2"/>
        <v>0</v>
      </c>
      <c r="AC10" s="17">
        <f t="shared" si="2"/>
        <v>71.571428571428569</v>
      </c>
      <c r="AD10" s="17">
        <f t="shared" si="2"/>
        <v>0</v>
      </c>
      <c r="AE10" s="31">
        <f t="shared" si="2"/>
        <v>18.571428571428569</v>
      </c>
      <c r="AF10" s="31">
        <f t="shared" si="2"/>
        <v>90.142857142857139</v>
      </c>
    </row>
    <row r="11" spans="2:32" s="6" customFormat="1" ht="23.1" customHeight="1" x14ac:dyDescent="0.25">
      <c r="B11" s="23" t="s">
        <v>38</v>
      </c>
      <c r="C11" s="49">
        <f>AVERAGE('12.08 Tororo-Malaba'!C11,'13.08 Tororo-Malaba'!C11,'14.08 Tororo-Malaba'!C11,'15.08 Tororo-Malaba'!C11,'16.08 Tororo-Malaba-24h'!C11,'17.08 Tororo-Malaba-24h'!C11,'18.08 Tororo-Malaba'!C11)</f>
        <v>1.5714285714285714</v>
      </c>
      <c r="D11" s="49">
        <f>AVERAGE('12.08 Tororo-Malaba'!D11,'13.08 Tororo-Malaba'!D11,'14.08 Tororo-Malaba'!D11,'15.08 Tororo-Malaba'!D11,'16.08 Tororo-Malaba-24h'!D11,'17.08 Tororo-Malaba-24h'!D11,'18.08 Tororo-Malaba'!D11)</f>
        <v>0</v>
      </c>
      <c r="E11" s="49">
        <f>AVERAGE('12.08 Tororo-Malaba'!E11,'13.08 Tororo-Malaba'!E11,'14.08 Tororo-Malaba'!E11,'15.08 Tororo-Malaba'!E11,'16.08 Tororo-Malaba-24h'!E11,'17.08 Tororo-Malaba-24h'!E11,'18.08 Tororo-Malaba'!E11)</f>
        <v>0.7142857142857143</v>
      </c>
      <c r="F11" s="49">
        <f>AVERAGE('12.08 Tororo-Malaba'!F11,'13.08 Tororo-Malaba'!F11,'14.08 Tororo-Malaba'!F11,'15.08 Tororo-Malaba'!F11,'16.08 Tororo-Malaba-24h'!F11,'17.08 Tororo-Malaba-24h'!F11,'18.08 Tororo-Malaba'!F11)</f>
        <v>1.1428571428571428</v>
      </c>
      <c r="G11" s="49">
        <f>AVERAGE('12.08 Tororo-Malaba'!G11,'13.08 Tororo-Malaba'!G11,'14.08 Tororo-Malaba'!G11,'15.08 Tororo-Malaba'!G11,'16.08 Tororo-Malaba-24h'!G11,'17.08 Tororo-Malaba-24h'!G11,'18.08 Tororo-Malaba'!G11)</f>
        <v>0</v>
      </c>
      <c r="H11" s="49">
        <f>AVERAGE('12.08 Tororo-Malaba'!H11,'13.08 Tororo-Malaba'!H11,'14.08 Tororo-Malaba'!H11,'15.08 Tororo-Malaba'!H11,'16.08 Tororo-Malaba-24h'!H11,'17.08 Tororo-Malaba-24h'!H11,'18.08 Tororo-Malaba'!H11)</f>
        <v>0</v>
      </c>
      <c r="I11" s="49">
        <f>AVERAGE('12.08 Tororo-Malaba'!I11,'13.08 Tororo-Malaba'!I11,'14.08 Tororo-Malaba'!I11,'15.08 Tororo-Malaba'!I11,'16.08 Tororo-Malaba-24h'!I11,'17.08 Tororo-Malaba-24h'!I11,'18.08 Tororo-Malaba'!I11)</f>
        <v>1.7142857142857142</v>
      </c>
      <c r="J11" s="49">
        <f>AVERAGE('12.08 Tororo-Malaba'!J11,'13.08 Tororo-Malaba'!J11,'14.08 Tororo-Malaba'!J11,'15.08 Tororo-Malaba'!J11,'16.08 Tororo-Malaba-24h'!J11,'17.08 Tororo-Malaba-24h'!J11,'18.08 Tororo-Malaba'!J11)</f>
        <v>0.14285714285714285</v>
      </c>
      <c r="K11" s="49">
        <f>AVERAGE('12.08 Tororo-Malaba'!K11,'13.08 Tororo-Malaba'!K11,'14.08 Tororo-Malaba'!K11,'15.08 Tororo-Malaba'!K11,'16.08 Tororo-Malaba-24h'!K11,'17.08 Tororo-Malaba-24h'!K11,'18.08 Tororo-Malaba'!K11)</f>
        <v>0</v>
      </c>
      <c r="L11" s="49">
        <f>AVERAGE('12.08 Tororo-Malaba'!L11,'13.08 Tororo-Malaba'!L11,'14.08 Tororo-Malaba'!L11,'15.08 Tororo-Malaba'!L11,'16.08 Tororo-Malaba-24h'!L11,'17.08 Tororo-Malaba-24h'!L11,'18.08 Tororo-Malaba'!L11)</f>
        <v>0</v>
      </c>
      <c r="M11" s="49">
        <f>AVERAGE('12.08 Tororo-Malaba'!M11,'13.08 Tororo-Malaba'!M11,'14.08 Tororo-Malaba'!M11,'15.08 Tororo-Malaba'!M11,'16.08 Tororo-Malaba-24h'!M11,'17.08 Tororo-Malaba-24h'!M11,'18.08 Tororo-Malaba'!M11)</f>
        <v>17.285714285714285</v>
      </c>
      <c r="N11" s="49">
        <f>AVERAGE('12.08 Tororo-Malaba'!N11,'13.08 Tororo-Malaba'!N11,'14.08 Tororo-Malaba'!N11,'15.08 Tororo-Malaba'!N11,'16.08 Tororo-Malaba-24h'!N11,'17.08 Tororo-Malaba-24h'!N11,'18.08 Tororo-Malaba'!N11)</f>
        <v>0</v>
      </c>
      <c r="O11" s="15">
        <f t="shared" si="0"/>
        <v>5.2857142857142856</v>
      </c>
      <c r="P11" s="15">
        <f t="shared" si="1"/>
        <v>22.571428571428569</v>
      </c>
      <c r="R11" s="1" t="s">
        <v>7</v>
      </c>
      <c r="S11" s="17">
        <f t="shared" ref="S11:AF11" si="3">SUM(C14:C17)</f>
        <v>7.4285714285714288</v>
      </c>
      <c r="T11" s="17">
        <f t="shared" si="3"/>
        <v>0.42857142857142855</v>
      </c>
      <c r="U11" s="17">
        <f t="shared" si="3"/>
        <v>4.7142857142857135</v>
      </c>
      <c r="V11" s="17">
        <f t="shared" si="3"/>
        <v>5.7142857142857135</v>
      </c>
      <c r="W11" s="17">
        <f t="shared" si="3"/>
        <v>0</v>
      </c>
      <c r="X11" s="17">
        <f t="shared" si="3"/>
        <v>0</v>
      </c>
      <c r="Y11" s="17">
        <f t="shared" si="3"/>
        <v>2.7142857142857144</v>
      </c>
      <c r="Z11" s="17">
        <f t="shared" si="3"/>
        <v>0.14285714285714285</v>
      </c>
      <c r="AA11" s="17">
        <f t="shared" si="3"/>
        <v>0</v>
      </c>
      <c r="AB11" s="17">
        <f t="shared" si="3"/>
        <v>0</v>
      </c>
      <c r="AC11" s="17">
        <f t="shared" si="3"/>
        <v>98.142857142857139</v>
      </c>
      <c r="AD11" s="17">
        <f t="shared" si="3"/>
        <v>0.14285714285714285</v>
      </c>
      <c r="AE11" s="31">
        <f t="shared" si="3"/>
        <v>21.285714285714285</v>
      </c>
      <c r="AF11" s="31">
        <f t="shared" si="3"/>
        <v>119.42857142857143</v>
      </c>
    </row>
    <row r="12" spans="2:32" ht="23.1" customHeight="1" x14ac:dyDescent="0.25">
      <c r="B12" s="23" t="s">
        <v>39</v>
      </c>
      <c r="C12" s="49">
        <f>AVERAGE('12.08 Tororo-Malaba'!C12,'13.08 Tororo-Malaba'!C12,'14.08 Tororo-Malaba'!C12,'15.08 Tororo-Malaba'!C12,'16.08 Tororo-Malaba-24h'!C12,'17.08 Tororo-Malaba-24h'!C12,'18.08 Tororo-Malaba'!C12)</f>
        <v>2</v>
      </c>
      <c r="D12" s="49">
        <f>AVERAGE('12.08 Tororo-Malaba'!D12,'13.08 Tororo-Malaba'!D12,'14.08 Tororo-Malaba'!D12,'15.08 Tororo-Malaba'!D12,'16.08 Tororo-Malaba-24h'!D12,'17.08 Tororo-Malaba-24h'!D12,'18.08 Tororo-Malaba'!D12)</f>
        <v>0</v>
      </c>
      <c r="E12" s="49">
        <f>AVERAGE('12.08 Tororo-Malaba'!E12,'13.08 Tororo-Malaba'!E12,'14.08 Tororo-Malaba'!E12,'15.08 Tororo-Malaba'!E12,'16.08 Tororo-Malaba-24h'!E12,'17.08 Tororo-Malaba-24h'!E12,'18.08 Tororo-Malaba'!E12)</f>
        <v>0.42857142857142855</v>
      </c>
      <c r="F12" s="49">
        <f>AVERAGE('12.08 Tororo-Malaba'!F12,'13.08 Tororo-Malaba'!F12,'14.08 Tororo-Malaba'!F12,'15.08 Tororo-Malaba'!F12,'16.08 Tororo-Malaba-24h'!F12,'17.08 Tororo-Malaba-24h'!F12,'18.08 Tororo-Malaba'!F12)</f>
        <v>1</v>
      </c>
      <c r="G12" s="49">
        <f>AVERAGE('12.08 Tororo-Malaba'!G12,'13.08 Tororo-Malaba'!G12,'14.08 Tororo-Malaba'!G12,'15.08 Tororo-Malaba'!G12,'16.08 Tororo-Malaba-24h'!G12,'17.08 Tororo-Malaba-24h'!G12,'18.08 Tororo-Malaba'!G12)</f>
        <v>0.42857142857142855</v>
      </c>
      <c r="H12" s="49">
        <f>AVERAGE('12.08 Tororo-Malaba'!H12,'13.08 Tororo-Malaba'!H12,'14.08 Tororo-Malaba'!H12,'15.08 Tororo-Malaba'!H12,'16.08 Tororo-Malaba-24h'!H12,'17.08 Tororo-Malaba-24h'!H12,'18.08 Tororo-Malaba'!H12)</f>
        <v>0</v>
      </c>
      <c r="I12" s="49">
        <f>AVERAGE('12.08 Tororo-Malaba'!I12,'13.08 Tororo-Malaba'!I12,'14.08 Tororo-Malaba'!I12,'15.08 Tororo-Malaba'!I12,'16.08 Tororo-Malaba-24h'!I12,'17.08 Tororo-Malaba-24h'!I12,'18.08 Tororo-Malaba'!I12)</f>
        <v>0.5714285714285714</v>
      </c>
      <c r="J12" s="49">
        <f>AVERAGE('12.08 Tororo-Malaba'!J12,'13.08 Tororo-Malaba'!J12,'14.08 Tororo-Malaba'!J12,'15.08 Tororo-Malaba'!J12,'16.08 Tororo-Malaba-24h'!J12,'17.08 Tororo-Malaba-24h'!J12,'18.08 Tororo-Malaba'!J12)</f>
        <v>0.14285714285714285</v>
      </c>
      <c r="K12" s="49">
        <f>AVERAGE('12.08 Tororo-Malaba'!K12,'13.08 Tororo-Malaba'!K12,'14.08 Tororo-Malaba'!K12,'15.08 Tororo-Malaba'!K12,'16.08 Tororo-Malaba-24h'!K12,'17.08 Tororo-Malaba-24h'!K12,'18.08 Tororo-Malaba'!K12)</f>
        <v>0</v>
      </c>
      <c r="L12" s="49">
        <f>AVERAGE('12.08 Tororo-Malaba'!L12,'13.08 Tororo-Malaba'!L12,'14.08 Tororo-Malaba'!L12,'15.08 Tororo-Malaba'!L12,'16.08 Tororo-Malaba-24h'!L12,'17.08 Tororo-Malaba-24h'!L12,'18.08 Tororo-Malaba'!L12)</f>
        <v>0</v>
      </c>
      <c r="M12" s="49">
        <f>AVERAGE('12.08 Tororo-Malaba'!M12,'13.08 Tororo-Malaba'!M12,'14.08 Tororo-Malaba'!M12,'15.08 Tororo-Malaba'!M12,'16.08 Tororo-Malaba-24h'!M12,'17.08 Tororo-Malaba-24h'!M12,'18.08 Tororo-Malaba'!M12)</f>
        <v>20</v>
      </c>
      <c r="N12" s="49">
        <f>AVERAGE('12.08 Tororo-Malaba'!N12,'13.08 Tororo-Malaba'!N12,'14.08 Tororo-Malaba'!N12,'15.08 Tororo-Malaba'!N12,'16.08 Tororo-Malaba-24h'!N12,'17.08 Tororo-Malaba-24h'!N12,'18.08 Tororo-Malaba'!N12)</f>
        <v>0</v>
      </c>
      <c r="O12" s="15">
        <f t="shared" si="0"/>
        <v>4.5714285714285712</v>
      </c>
      <c r="P12" s="15">
        <f t="shared" si="1"/>
        <v>24.571428571428569</v>
      </c>
      <c r="R12" s="1" t="s">
        <v>8</v>
      </c>
      <c r="S12" s="17">
        <f t="shared" ref="S12:AF12" si="4">SUM(C18:C21)</f>
        <v>8.1428571428571423</v>
      </c>
      <c r="T12" s="17">
        <f t="shared" si="4"/>
        <v>0.42857142857142855</v>
      </c>
      <c r="U12" s="17">
        <f t="shared" si="4"/>
        <v>7.4285714285714288</v>
      </c>
      <c r="V12" s="17">
        <f t="shared" si="4"/>
        <v>7.7142857142857153</v>
      </c>
      <c r="W12" s="17">
        <f t="shared" si="4"/>
        <v>0</v>
      </c>
      <c r="X12" s="17">
        <f t="shared" si="4"/>
        <v>0</v>
      </c>
      <c r="Y12" s="17">
        <f t="shared" si="4"/>
        <v>2.1428571428571428</v>
      </c>
      <c r="Z12" s="17">
        <f t="shared" si="4"/>
        <v>0.14285714285714285</v>
      </c>
      <c r="AA12" s="17">
        <f t="shared" si="4"/>
        <v>0</v>
      </c>
      <c r="AB12" s="17">
        <f t="shared" si="4"/>
        <v>0</v>
      </c>
      <c r="AC12" s="17">
        <f t="shared" si="4"/>
        <v>103.85714285714286</v>
      </c>
      <c r="AD12" s="17">
        <f t="shared" si="4"/>
        <v>0.5714285714285714</v>
      </c>
      <c r="AE12" s="31">
        <f t="shared" si="4"/>
        <v>26.571428571428573</v>
      </c>
      <c r="AF12" s="31">
        <f t="shared" si="4"/>
        <v>130.42857142857144</v>
      </c>
    </row>
    <row r="13" spans="2:32" ht="23.1" customHeight="1" x14ac:dyDescent="0.25">
      <c r="B13" s="23" t="s">
        <v>40</v>
      </c>
      <c r="C13" s="49">
        <f>AVERAGE('12.08 Tororo-Malaba'!C13,'13.08 Tororo-Malaba'!C13,'14.08 Tororo-Malaba'!C13,'15.08 Tororo-Malaba'!C13,'16.08 Tororo-Malaba-24h'!C13,'17.08 Tororo-Malaba-24h'!C13,'18.08 Tororo-Malaba'!C13)</f>
        <v>1</v>
      </c>
      <c r="D13" s="49">
        <f>AVERAGE('12.08 Tororo-Malaba'!D13,'13.08 Tororo-Malaba'!D13,'14.08 Tororo-Malaba'!D13,'15.08 Tororo-Malaba'!D13,'16.08 Tororo-Malaba-24h'!D13,'17.08 Tororo-Malaba-24h'!D13,'18.08 Tororo-Malaba'!D13)</f>
        <v>0.14285714285714285</v>
      </c>
      <c r="E13" s="49">
        <f>AVERAGE('12.08 Tororo-Malaba'!E13,'13.08 Tororo-Malaba'!E13,'14.08 Tororo-Malaba'!E13,'15.08 Tororo-Malaba'!E13,'16.08 Tororo-Malaba-24h'!E13,'17.08 Tororo-Malaba-24h'!E13,'18.08 Tororo-Malaba'!E13)</f>
        <v>1.8571428571428572</v>
      </c>
      <c r="F13" s="49">
        <f>AVERAGE('12.08 Tororo-Malaba'!F13,'13.08 Tororo-Malaba'!F13,'14.08 Tororo-Malaba'!F13,'15.08 Tororo-Malaba'!F13,'16.08 Tororo-Malaba-24h'!F13,'17.08 Tororo-Malaba-24h'!F13,'18.08 Tororo-Malaba'!F13)</f>
        <v>1</v>
      </c>
      <c r="G13" s="49">
        <f>AVERAGE('12.08 Tororo-Malaba'!G13,'13.08 Tororo-Malaba'!G13,'14.08 Tororo-Malaba'!G13,'15.08 Tororo-Malaba'!G13,'16.08 Tororo-Malaba-24h'!G13,'17.08 Tororo-Malaba-24h'!G13,'18.08 Tororo-Malaba'!G13)</f>
        <v>0.42857142857142855</v>
      </c>
      <c r="H13" s="49">
        <f>AVERAGE('12.08 Tororo-Malaba'!H13,'13.08 Tororo-Malaba'!H13,'14.08 Tororo-Malaba'!H13,'15.08 Tororo-Malaba'!H13,'16.08 Tororo-Malaba-24h'!H13,'17.08 Tororo-Malaba-24h'!H13,'18.08 Tororo-Malaba'!H13)</f>
        <v>0</v>
      </c>
      <c r="I13" s="49">
        <f>AVERAGE('12.08 Tororo-Malaba'!I13,'13.08 Tororo-Malaba'!I13,'14.08 Tororo-Malaba'!I13,'15.08 Tororo-Malaba'!I13,'16.08 Tororo-Malaba-24h'!I13,'17.08 Tororo-Malaba-24h'!I13,'18.08 Tororo-Malaba'!I13)</f>
        <v>0.8571428571428571</v>
      </c>
      <c r="J13" s="49">
        <f>AVERAGE('12.08 Tororo-Malaba'!J13,'13.08 Tororo-Malaba'!J13,'14.08 Tororo-Malaba'!J13,'15.08 Tororo-Malaba'!J13,'16.08 Tororo-Malaba-24h'!J13,'17.08 Tororo-Malaba-24h'!J13,'18.08 Tororo-Malaba'!J13)</f>
        <v>0</v>
      </c>
      <c r="K13" s="49">
        <f>AVERAGE('12.08 Tororo-Malaba'!K13,'13.08 Tororo-Malaba'!K13,'14.08 Tororo-Malaba'!K13,'15.08 Tororo-Malaba'!K13,'16.08 Tororo-Malaba-24h'!K13,'17.08 Tororo-Malaba-24h'!K13,'18.08 Tororo-Malaba'!K13)</f>
        <v>0</v>
      </c>
      <c r="L13" s="49">
        <f>AVERAGE('12.08 Tororo-Malaba'!L13,'13.08 Tororo-Malaba'!L13,'14.08 Tororo-Malaba'!L13,'15.08 Tororo-Malaba'!L13,'16.08 Tororo-Malaba-24h'!L13,'17.08 Tororo-Malaba-24h'!L13,'18.08 Tororo-Malaba'!L13)</f>
        <v>0</v>
      </c>
      <c r="M13" s="49">
        <f>AVERAGE('12.08 Tororo-Malaba'!M13,'13.08 Tororo-Malaba'!M13,'14.08 Tororo-Malaba'!M13,'15.08 Tororo-Malaba'!M13,'16.08 Tororo-Malaba-24h'!M13,'17.08 Tororo-Malaba-24h'!M13,'18.08 Tororo-Malaba'!M13)</f>
        <v>23.142857142857142</v>
      </c>
      <c r="N13" s="49">
        <f>AVERAGE('12.08 Tororo-Malaba'!N13,'13.08 Tororo-Malaba'!N13,'14.08 Tororo-Malaba'!N13,'15.08 Tororo-Malaba'!N13,'16.08 Tororo-Malaba-24h'!N13,'17.08 Tororo-Malaba-24h'!N13,'18.08 Tororo-Malaba'!N13)</f>
        <v>0</v>
      </c>
      <c r="O13" s="15">
        <f t="shared" si="0"/>
        <v>5.2857142857142856</v>
      </c>
      <c r="P13" s="15">
        <f t="shared" si="1"/>
        <v>28.428571428571427</v>
      </c>
      <c r="R13" s="1" t="s">
        <v>9</v>
      </c>
      <c r="S13" s="17">
        <f t="shared" ref="S13:AF13" si="5">SUM(C22:C25)</f>
        <v>9.1428571428571423</v>
      </c>
      <c r="T13" s="17">
        <f t="shared" si="5"/>
        <v>0.71428571428571419</v>
      </c>
      <c r="U13" s="17">
        <f t="shared" si="5"/>
        <v>7.4285714285714288</v>
      </c>
      <c r="V13" s="17">
        <f t="shared" si="5"/>
        <v>6.8571428571428577</v>
      </c>
      <c r="W13" s="17">
        <f t="shared" si="5"/>
        <v>0.2857142857142857</v>
      </c>
      <c r="X13" s="17">
        <f t="shared" si="5"/>
        <v>0.42857142857142855</v>
      </c>
      <c r="Y13" s="17">
        <f t="shared" si="5"/>
        <v>2.1428571428571428</v>
      </c>
      <c r="Z13" s="17">
        <f t="shared" si="5"/>
        <v>0.85714285714285698</v>
      </c>
      <c r="AA13" s="17">
        <f t="shared" si="5"/>
        <v>0</v>
      </c>
      <c r="AB13" s="17">
        <f t="shared" si="5"/>
        <v>0</v>
      </c>
      <c r="AC13" s="17">
        <f t="shared" si="5"/>
        <v>102</v>
      </c>
      <c r="AD13" s="17">
        <f t="shared" si="5"/>
        <v>0.14285714285714285</v>
      </c>
      <c r="AE13" s="31">
        <f t="shared" si="5"/>
        <v>28</v>
      </c>
      <c r="AF13" s="31">
        <f t="shared" si="5"/>
        <v>130</v>
      </c>
    </row>
    <row r="14" spans="2:32" ht="23.1" customHeight="1" x14ac:dyDescent="0.25">
      <c r="B14" s="23" t="s">
        <v>41</v>
      </c>
      <c r="C14" s="49">
        <f>AVERAGE('12.08 Tororo-Malaba'!C14,'13.08 Tororo-Malaba'!C14,'14.08 Tororo-Malaba'!C14,'15.08 Tororo-Malaba'!C14,'16.08 Tororo-Malaba-24h'!C14,'17.08 Tororo-Malaba-24h'!C14,'18.08 Tororo-Malaba'!C14)</f>
        <v>1.8571428571428572</v>
      </c>
      <c r="D14" s="49">
        <f>AVERAGE('12.08 Tororo-Malaba'!D14,'13.08 Tororo-Malaba'!D14,'14.08 Tororo-Malaba'!D14,'15.08 Tororo-Malaba'!D14,'16.08 Tororo-Malaba-24h'!D14,'17.08 Tororo-Malaba-24h'!D14,'18.08 Tororo-Malaba'!D14)</f>
        <v>0.2857142857142857</v>
      </c>
      <c r="E14" s="49">
        <f>AVERAGE('12.08 Tororo-Malaba'!E14,'13.08 Tororo-Malaba'!E14,'14.08 Tororo-Malaba'!E14,'15.08 Tororo-Malaba'!E14,'16.08 Tororo-Malaba-24h'!E14,'17.08 Tororo-Malaba-24h'!E14,'18.08 Tororo-Malaba'!E14)</f>
        <v>1.7142857142857142</v>
      </c>
      <c r="F14" s="49">
        <f>AVERAGE('12.08 Tororo-Malaba'!F14,'13.08 Tororo-Malaba'!F14,'14.08 Tororo-Malaba'!F14,'15.08 Tororo-Malaba'!F14,'16.08 Tororo-Malaba-24h'!F14,'17.08 Tororo-Malaba-24h'!F14,'18.08 Tororo-Malaba'!F14)</f>
        <v>1.4285714285714286</v>
      </c>
      <c r="G14" s="49">
        <f>AVERAGE('12.08 Tororo-Malaba'!G14,'13.08 Tororo-Malaba'!G14,'14.08 Tororo-Malaba'!G14,'15.08 Tororo-Malaba'!G14,'16.08 Tororo-Malaba-24h'!G14,'17.08 Tororo-Malaba-24h'!G14,'18.08 Tororo-Malaba'!G14)</f>
        <v>0</v>
      </c>
      <c r="H14" s="49">
        <f>AVERAGE('12.08 Tororo-Malaba'!H14,'13.08 Tororo-Malaba'!H14,'14.08 Tororo-Malaba'!H14,'15.08 Tororo-Malaba'!H14,'16.08 Tororo-Malaba-24h'!H14,'17.08 Tororo-Malaba-24h'!H14,'18.08 Tororo-Malaba'!H14)</f>
        <v>0</v>
      </c>
      <c r="I14" s="49">
        <f>AVERAGE('12.08 Tororo-Malaba'!I14,'13.08 Tororo-Malaba'!I14,'14.08 Tororo-Malaba'!I14,'15.08 Tororo-Malaba'!I14,'16.08 Tororo-Malaba-24h'!I14,'17.08 Tororo-Malaba-24h'!I14,'18.08 Tororo-Malaba'!I14)</f>
        <v>0.42857142857142855</v>
      </c>
      <c r="J14" s="49">
        <f>AVERAGE('12.08 Tororo-Malaba'!J14,'13.08 Tororo-Malaba'!J14,'14.08 Tororo-Malaba'!J14,'15.08 Tororo-Malaba'!J14,'16.08 Tororo-Malaba-24h'!J14,'17.08 Tororo-Malaba-24h'!J14,'18.08 Tororo-Malaba'!J14)</f>
        <v>0</v>
      </c>
      <c r="K14" s="49">
        <f>AVERAGE('12.08 Tororo-Malaba'!K14,'13.08 Tororo-Malaba'!K14,'14.08 Tororo-Malaba'!K14,'15.08 Tororo-Malaba'!K14,'16.08 Tororo-Malaba-24h'!K14,'17.08 Tororo-Malaba-24h'!K14,'18.08 Tororo-Malaba'!K14)</f>
        <v>0</v>
      </c>
      <c r="L14" s="49">
        <f>AVERAGE('12.08 Tororo-Malaba'!L14,'13.08 Tororo-Malaba'!L14,'14.08 Tororo-Malaba'!L14,'15.08 Tororo-Malaba'!L14,'16.08 Tororo-Malaba-24h'!L14,'17.08 Tororo-Malaba-24h'!L14,'18.08 Tororo-Malaba'!L14)</f>
        <v>0</v>
      </c>
      <c r="M14" s="49">
        <f>AVERAGE('12.08 Tororo-Malaba'!M14,'13.08 Tororo-Malaba'!M14,'14.08 Tororo-Malaba'!M14,'15.08 Tororo-Malaba'!M14,'16.08 Tororo-Malaba-24h'!M14,'17.08 Tororo-Malaba-24h'!M14,'18.08 Tororo-Malaba'!M14)</f>
        <v>25</v>
      </c>
      <c r="N14" s="49">
        <f>AVERAGE('12.08 Tororo-Malaba'!N14,'13.08 Tororo-Malaba'!N14,'14.08 Tororo-Malaba'!N14,'15.08 Tororo-Malaba'!N14,'16.08 Tororo-Malaba-24h'!N14,'17.08 Tororo-Malaba-24h'!N14,'18.08 Tororo-Malaba'!N14)</f>
        <v>0</v>
      </c>
      <c r="O14" s="15">
        <f t="shared" si="0"/>
        <v>5.7142857142857144</v>
      </c>
      <c r="P14" s="15">
        <f t="shared" si="1"/>
        <v>30.714285714285715</v>
      </c>
      <c r="R14" s="1" t="s">
        <v>10</v>
      </c>
      <c r="S14" s="17">
        <f t="shared" ref="S14:AF14" si="6">SUM(C26:C29)</f>
        <v>12.285714285714285</v>
      </c>
      <c r="T14" s="17">
        <f t="shared" si="6"/>
        <v>0.2857142857142857</v>
      </c>
      <c r="U14" s="17">
        <f t="shared" si="6"/>
        <v>7.8571428571428577</v>
      </c>
      <c r="V14" s="17">
        <f t="shared" si="6"/>
        <v>10.285714285714285</v>
      </c>
      <c r="W14" s="17">
        <f t="shared" si="6"/>
        <v>0.42857142857142855</v>
      </c>
      <c r="X14" s="17">
        <f t="shared" si="6"/>
        <v>0.14285714285714285</v>
      </c>
      <c r="Y14" s="17">
        <f t="shared" si="6"/>
        <v>2.4285714285714288</v>
      </c>
      <c r="Z14" s="17">
        <f t="shared" si="6"/>
        <v>0.2857142857142857</v>
      </c>
      <c r="AA14" s="17">
        <f t="shared" si="6"/>
        <v>0</v>
      </c>
      <c r="AB14" s="17">
        <f t="shared" si="6"/>
        <v>0</v>
      </c>
      <c r="AC14" s="17">
        <f t="shared" si="6"/>
        <v>107</v>
      </c>
      <c r="AD14" s="17">
        <f t="shared" si="6"/>
        <v>0</v>
      </c>
      <c r="AE14" s="31">
        <f t="shared" si="6"/>
        <v>34</v>
      </c>
      <c r="AF14" s="31">
        <f t="shared" si="6"/>
        <v>141</v>
      </c>
    </row>
    <row r="15" spans="2:32" ht="23.1" customHeight="1" x14ac:dyDescent="0.25">
      <c r="B15" s="23" t="s">
        <v>42</v>
      </c>
      <c r="C15" s="49">
        <f>AVERAGE('12.08 Tororo-Malaba'!C15,'13.08 Tororo-Malaba'!C15,'14.08 Tororo-Malaba'!C15,'15.08 Tororo-Malaba'!C15,'16.08 Tororo-Malaba-24h'!C15,'17.08 Tororo-Malaba-24h'!C15,'18.08 Tororo-Malaba'!C15)</f>
        <v>1.5714285714285714</v>
      </c>
      <c r="D15" s="49">
        <f>AVERAGE('12.08 Tororo-Malaba'!D15,'13.08 Tororo-Malaba'!D15,'14.08 Tororo-Malaba'!D15,'15.08 Tororo-Malaba'!D15,'16.08 Tororo-Malaba-24h'!D15,'17.08 Tororo-Malaba-24h'!D15,'18.08 Tororo-Malaba'!D15)</f>
        <v>0</v>
      </c>
      <c r="E15" s="49">
        <f>AVERAGE('12.08 Tororo-Malaba'!E15,'13.08 Tororo-Malaba'!E15,'14.08 Tororo-Malaba'!E15,'15.08 Tororo-Malaba'!E15,'16.08 Tororo-Malaba-24h'!E15,'17.08 Tororo-Malaba-24h'!E15,'18.08 Tororo-Malaba'!E15)</f>
        <v>0.42857142857142855</v>
      </c>
      <c r="F15" s="49">
        <f>AVERAGE('12.08 Tororo-Malaba'!F15,'13.08 Tororo-Malaba'!F15,'14.08 Tororo-Malaba'!F15,'15.08 Tororo-Malaba'!F15,'16.08 Tororo-Malaba-24h'!F15,'17.08 Tororo-Malaba-24h'!F15,'18.08 Tororo-Malaba'!F15)</f>
        <v>1.1428571428571428</v>
      </c>
      <c r="G15" s="49">
        <f>AVERAGE('12.08 Tororo-Malaba'!G15,'13.08 Tororo-Malaba'!G15,'14.08 Tororo-Malaba'!G15,'15.08 Tororo-Malaba'!G15,'16.08 Tororo-Malaba-24h'!G15,'17.08 Tororo-Malaba-24h'!G15,'18.08 Tororo-Malaba'!G15)</f>
        <v>0</v>
      </c>
      <c r="H15" s="49">
        <f>AVERAGE('12.08 Tororo-Malaba'!H15,'13.08 Tororo-Malaba'!H15,'14.08 Tororo-Malaba'!H15,'15.08 Tororo-Malaba'!H15,'16.08 Tororo-Malaba-24h'!H15,'17.08 Tororo-Malaba-24h'!H15,'18.08 Tororo-Malaba'!H15)</f>
        <v>0</v>
      </c>
      <c r="I15" s="49">
        <f>AVERAGE('12.08 Tororo-Malaba'!I15,'13.08 Tororo-Malaba'!I15,'14.08 Tororo-Malaba'!I15,'15.08 Tororo-Malaba'!I15,'16.08 Tororo-Malaba-24h'!I15,'17.08 Tororo-Malaba-24h'!I15,'18.08 Tororo-Malaba'!I15)</f>
        <v>1</v>
      </c>
      <c r="J15" s="49">
        <f>AVERAGE('12.08 Tororo-Malaba'!J15,'13.08 Tororo-Malaba'!J15,'14.08 Tororo-Malaba'!J15,'15.08 Tororo-Malaba'!J15,'16.08 Tororo-Malaba-24h'!J15,'17.08 Tororo-Malaba-24h'!J15,'18.08 Tororo-Malaba'!J15)</f>
        <v>0</v>
      </c>
      <c r="K15" s="49">
        <f>AVERAGE('12.08 Tororo-Malaba'!K15,'13.08 Tororo-Malaba'!K15,'14.08 Tororo-Malaba'!K15,'15.08 Tororo-Malaba'!K15,'16.08 Tororo-Malaba-24h'!K15,'17.08 Tororo-Malaba-24h'!K15,'18.08 Tororo-Malaba'!K15)</f>
        <v>0</v>
      </c>
      <c r="L15" s="49">
        <f>AVERAGE('12.08 Tororo-Malaba'!L15,'13.08 Tororo-Malaba'!L15,'14.08 Tororo-Malaba'!L15,'15.08 Tororo-Malaba'!L15,'16.08 Tororo-Malaba-24h'!L15,'17.08 Tororo-Malaba-24h'!L15,'18.08 Tororo-Malaba'!L15)</f>
        <v>0</v>
      </c>
      <c r="M15" s="49">
        <f>AVERAGE('12.08 Tororo-Malaba'!M15,'13.08 Tororo-Malaba'!M15,'14.08 Tororo-Malaba'!M15,'15.08 Tororo-Malaba'!M15,'16.08 Tororo-Malaba-24h'!M15,'17.08 Tororo-Malaba-24h'!M15,'18.08 Tororo-Malaba'!M15)</f>
        <v>23.857142857142858</v>
      </c>
      <c r="N15" s="49">
        <f>AVERAGE('12.08 Tororo-Malaba'!N15,'13.08 Tororo-Malaba'!N15,'14.08 Tororo-Malaba'!N15,'15.08 Tororo-Malaba'!N15,'16.08 Tororo-Malaba-24h'!N15,'17.08 Tororo-Malaba-24h'!N15,'18.08 Tororo-Malaba'!N15)</f>
        <v>0</v>
      </c>
      <c r="O15" s="15">
        <f t="shared" si="0"/>
        <v>4.1428571428571423</v>
      </c>
      <c r="P15" s="15">
        <f t="shared" si="1"/>
        <v>28</v>
      </c>
      <c r="R15" s="1" t="s">
        <v>11</v>
      </c>
      <c r="S15" s="17">
        <f t="shared" ref="S15:AF15" si="7">SUM(C30:C33)</f>
        <v>10</v>
      </c>
      <c r="T15" s="17">
        <f t="shared" si="7"/>
        <v>0.71428571428571419</v>
      </c>
      <c r="U15" s="17">
        <f t="shared" si="7"/>
        <v>7.7142857142857135</v>
      </c>
      <c r="V15" s="17">
        <f t="shared" si="7"/>
        <v>8</v>
      </c>
      <c r="W15" s="17">
        <f t="shared" si="7"/>
        <v>0.42857142857142855</v>
      </c>
      <c r="X15" s="17">
        <f t="shared" si="7"/>
        <v>0</v>
      </c>
      <c r="Y15" s="17">
        <f t="shared" si="7"/>
        <v>2.2857142857142856</v>
      </c>
      <c r="Z15" s="17">
        <f t="shared" si="7"/>
        <v>0.14285714285714285</v>
      </c>
      <c r="AA15" s="17">
        <f t="shared" si="7"/>
        <v>0</v>
      </c>
      <c r="AB15" s="17">
        <f t="shared" si="7"/>
        <v>0</v>
      </c>
      <c r="AC15" s="17">
        <f t="shared" si="7"/>
        <v>106.71428571428571</v>
      </c>
      <c r="AD15" s="17">
        <f t="shared" si="7"/>
        <v>0</v>
      </c>
      <c r="AE15" s="31">
        <f t="shared" si="7"/>
        <v>29.285714285714285</v>
      </c>
      <c r="AF15" s="31">
        <f t="shared" si="7"/>
        <v>136</v>
      </c>
    </row>
    <row r="16" spans="2:32" ht="23.1" customHeight="1" x14ac:dyDescent="0.25">
      <c r="B16" s="23" t="s">
        <v>43</v>
      </c>
      <c r="C16" s="49">
        <f>AVERAGE('12.08 Tororo-Malaba'!C16,'13.08 Tororo-Malaba'!C16,'14.08 Tororo-Malaba'!C16,'15.08 Tororo-Malaba'!C16,'16.08 Tororo-Malaba-24h'!C16,'17.08 Tororo-Malaba-24h'!C16,'18.08 Tororo-Malaba'!C16)</f>
        <v>2.7142857142857144</v>
      </c>
      <c r="D16" s="49">
        <f>AVERAGE('12.08 Tororo-Malaba'!D16,'13.08 Tororo-Malaba'!D16,'14.08 Tororo-Malaba'!D16,'15.08 Tororo-Malaba'!D16,'16.08 Tororo-Malaba-24h'!D16,'17.08 Tororo-Malaba-24h'!D16,'18.08 Tororo-Malaba'!D16)</f>
        <v>0.14285714285714285</v>
      </c>
      <c r="E16" s="49">
        <f>AVERAGE('12.08 Tororo-Malaba'!E16,'13.08 Tororo-Malaba'!E16,'14.08 Tororo-Malaba'!E16,'15.08 Tororo-Malaba'!E16,'16.08 Tororo-Malaba-24h'!E16,'17.08 Tororo-Malaba-24h'!E16,'18.08 Tororo-Malaba'!E16)</f>
        <v>1.4285714285714286</v>
      </c>
      <c r="F16" s="49">
        <f>AVERAGE('12.08 Tororo-Malaba'!F16,'13.08 Tororo-Malaba'!F16,'14.08 Tororo-Malaba'!F16,'15.08 Tororo-Malaba'!F16,'16.08 Tororo-Malaba-24h'!F16,'17.08 Tororo-Malaba-24h'!F16,'18.08 Tororo-Malaba'!F16)</f>
        <v>1.1428571428571428</v>
      </c>
      <c r="G16" s="49">
        <f>AVERAGE('12.08 Tororo-Malaba'!G16,'13.08 Tororo-Malaba'!G16,'14.08 Tororo-Malaba'!G16,'15.08 Tororo-Malaba'!G16,'16.08 Tororo-Malaba-24h'!G16,'17.08 Tororo-Malaba-24h'!G16,'18.08 Tororo-Malaba'!G16)</f>
        <v>0</v>
      </c>
      <c r="H16" s="49">
        <f>AVERAGE('12.08 Tororo-Malaba'!H16,'13.08 Tororo-Malaba'!H16,'14.08 Tororo-Malaba'!H16,'15.08 Tororo-Malaba'!H16,'16.08 Tororo-Malaba-24h'!H16,'17.08 Tororo-Malaba-24h'!H16,'18.08 Tororo-Malaba'!H16)</f>
        <v>0</v>
      </c>
      <c r="I16" s="49">
        <f>AVERAGE('12.08 Tororo-Malaba'!I16,'13.08 Tororo-Malaba'!I16,'14.08 Tororo-Malaba'!I16,'15.08 Tororo-Malaba'!I16,'16.08 Tororo-Malaba-24h'!I16,'17.08 Tororo-Malaba-24h'!I16,'18.08 Tororo-Malaba'!I16)</f>
        <v>0.5714285714285714</v>
      </c>
      <c r="J16" s="49">
        <f>AVERAGE('12.08 Tororo-Malaba'!J16,'13.08 Tororo-Malaba'!J16,'14.08 Tororo-Malaba'!J16,'15.08 Tororo-Malaba'!J16,'16.08 Tororo-Malaba-24h'!J16,'17.08 Tororo-Malaba-24h'!J16,'18.08 Tororo-Malaba'!J16)</f>
        <v>0</v>
      </c>
      <c r="K16" s="49">
        <f>AVERAGE('12.08 Tororo-Malaba'!K16,'13.08 Tororo-Malaba'!K16,'14.08 Tororo-Malaba'!K16,'15.08 Tororo-Malaba'!K16,'16.08 Tororo-Malaba-24h'!K16,'17.08 Tororo-Malaba-24h'!K16,'18.08 Tororo-Malaba'!K16)</f>
        <v>0</v>
      </c>
      <c r="L16" s="49">
        <f>AVERAGE('12.08 Tororo-Malaba'!L16,'13.08 Tororo-Malaba'!L16,'14.08 Tororo-Malaba'!L16,'15.08 Tororo-Malaba'!L16,'16.08 Tororo-Malaba-24h'!L16,'17.08 Tororo-Malaba-24h'!L16,'18.08 Tororo-Malaba'!L16)</f>
        <v>0</v>
      </c>
      <c r="M16" s="49">
        <f>AVERAGE('12.08 Tororo-Malaba'!M16,'13.08 Tororo-Malaba'!M16,'14.08 Tororo-Malaba'!M16,'15.08 Tororo-Malaba'!M16,'16.08 Tororo-Malaba-24h'!M16,'17.08 Tororo-Malaba-24h'!M16,'18.08 Tororo-Malaba'!M16)</f>
        <v>23.571428571428573</v>
      </c>
      <c r="N16" s="49">
        <f>AVERAGE('12.08 Tororo-Malaba'!N16,'13.08 Tororo-Malaba'!N16,'14.08 Tororo-Malaba'!N16,'15.08 Tororo-Malaba'!N16,'16.08 Tororo-Malaba-24h'!N16,'17.08 Tororo-Malaba-24h'!N16,'18.08 Tororo-Malaba'!N16)</f>
        <v>0.14285714285714285</v>
      </c>
      <c r="O16" s="15">
        <f t="shared" si="0"/>
        <v>6.1428571428571432</v>
      </c>
      <c r="P16" s="15">
        <f t="shared" si="1"/>
        <v>29.714285714285715</v>
      </c>
      <c r="R16" s="1" t="s">
        <v>12</v>
      </c>
      <c r="S16" s="17">
        <f t="shared" ref="S16:AF16" si="8">SUM(C34:C37)</f>
        <v>12.142857142857144</v>
      </c>
      <c r="T16" s="17">
        <f t="shared" si="8"/>
        <v>1</v>
      </c>
      <c r="U16" s="17">
        <f t="shared" si="8"/>
        <v>8.2857142857142847</v>
      </c>
      <c r="V16" s="17">
        <f t="shared" si="8"/>
        <v>12.142857142857142</v>
      </c>
      <c r="W16" s="17">
        <f t="shared" si="8"/>
        <v>0</v>
      </c>
      <c r="X16" s="17">
        <f t="shared" si="8"/>
        <v>0</v>
      </c>
      <c r="Y16" s="17">
        <f t="shared" si="8"/>
        <v>2.7142857142857144</v>
      </c>
      <c r="Z16" s="17">
        <f t="shared" si="8"/>
        <v>0.2857142857142857</v>
      </c>
      <c r="AA16" s="17">
        <f t="shared" si="8"/>
        <v>0</v>
      </c>
      <c r="AB16" s="17">
        <f t="shared" si="8"/>
        <v>0</v>
      </c>
      <c r="AC16" s="17">
        <f t="shared" si="8"/>
        <v>98.428571428571431</v>
      </c>
      <c r="AD16" s="17">
        <f t="shared" si="8"/>
        <v>0</v>
      </c>
      <c r="AE16" s="31">
        <f t="shared" si="8"/>
        <v>36.571428571428569</v>
      </c>
      <c r="AF16" s="31">
        <f t="shared" si="8"/>
        <v>135</v>
      </c>
    </row>
    <row r="17" spans="2:32" ht="23.1" customHeight="1" x14ac:dyDescent="0.25">
      <c r="B17" s="23" t="s">
        <v>44</v>
      </c>
      <c r="C17" s="49">
        <f>AVERAGE('12.08 Tororo-Malaba'!C17,'13.08 Tororo-Malaba'!C17,'14.08 Tororo-Malaba'!C17,'15.08 Tororo-Malaba'!C17,'16.08 Tororo-Malaba-24h'!C17,'17.08 Tororo-Malaba-24h'!C17,'18.08 Tororo-Malaba'!C17)</f>
        <v>1.2857142857142858</v>
      </c>
      <c r="D17" s="49">
        <f>AVERAGE('12.08 Tororo-Malaba'!D17,'13.08 Tororo-Malaba'!D17,'14.08 Tororo-Malaba'!D17,'15.08 Tororo-Malaba'!D17,'16.08 Tororo-Malaba-24h'!D17,'17.08 Tororo-Malaba-24h'!D17,'18.08 Tororo-Malaba'!D17)</f>
        <v>0</v>
      </c>
      <c r="E17" s="49">
        <f>AVERAGE('12.08 Tororo-Malaba'!E17,'13.08 Tororo-Malaba'!E17,'14.08 Tororo-Malaba'!E17,'15.08 Tororo-Malaba'!E17,'16.08 Tororo-Malaba-24h'!E17,'17.08 Tororo-Malaba-24h'!E17,'18.08 Tororo-Malaba'!E17)</f>
        <v>1.1428571428571428</v>
      </c>
      <c r="F17" s="49">
        <f>AVERAGE('12.08 Tororo-Malaba'!F17,'13.08 Tororo-Malaba'!F17,'14.08 Tororo-Malaba'!F17,'15.08 Tororo-Malaba'!F17,'16.08 Tororo-Malaba-24h'!F17,'17.08 Tororo-Malaba-24h'!F17,'18.08 Tororo-Malaba'!F17)</f>
        <v>2</v>
      </c>
      <c r="G17" s="49">
        <f>AVERAGE('12.08 Tororo-Malaba'!G17,'13.08 Tororo-Malaba'!G17,'14.08 Tororo-Malaba'!G17,'15.08 Tororo-Malaba'!G17,'16.08 Tororo-Malaba-24h'!G17,'17.08 Tororo-Malaba-24h'!G17,'18.08 Tororo-Malaba'!G17)</f>
        <v>0</v>
      </c>
      <c r="H17" s="49">
        <f>AVERAGE('12.08 Tororo-Malaba'!H17,'13.08 Tororo-Malaba'!H17,'14.08 Tororo-Malaba'!H17,'15.08 Tororo-Malaba'!H17,'16.08 Tororo-Malaba-24h'!H17,'17.08 Tororo-Malaba-24h'!H17,'18.08 Tororo-Malaba'!H17)</f>
        <v>0</v>
      </c>
      <c r="I17" s="49">
        <f>AVERAGE('12.08 Tororo-Malaba'!I17,'13.08 Tororo-Malaba'!I17,'14.08 Tororo-Malaba'!I17,'15.08 Tororo-Malaba'!I17,'16.08 Tororo-Malaba-24h'!I17,'17.08 Tororo-Malaba-24h'!I17,'18.08 Tororo-Malaba'!I17)</f>
        <v>0.7142857142857143</v>
      </c>
      <c r="J17" s="49">
        <f>AVERAGE('12.08 Tororo-Malaba'!J17,'13.08 Tororo-Malaba'!J17,'14.08 Tororo-Malaba'!J17,'15.08 Tororo-Malaba'!J17,'16.08 Tororo-Malaba-24h'!J17,'17.08 Tororo-Malaba-24h'!J17,'18.08 Tororo-Malaba'!J17)</f>
        <v>0.14285714285714285</v>
      </c>
      <c r="K17" s="49">
        <f>AVERAGE('12.08 Tororo-Malaba'!K17,'13.08 Tororo-Malaba'!K17,'14.08 Tororo-Malaba'!K17,'15.08 Tororo-Malaba'!K17,'16.08 Tororo-Malaba-24h'!K17,'17.08 Tororo-Malaba-24h'!K17,'18.08 Tororo-Malaba'!K17)</f>
        <v>0</v>
      </c>
      <c r="L17" s="49">
        <f>AVERAGE('12.08 Tororo-Malaba'!L17,'13.08 Tororo-Malaba'!L17,'14.08 Tororo-Malaba'!L17,'15.08 Tororo-Malaba'!L17,'16.08 Tororo-Malaba-24h'!L17,'17.08 Tororo-Malaba-24h'!L17,'18.08 Tororo-Malaba'!L17)</f>
        <v>0</v>
      </c>
      <c r="M17" s="49">
        <f>AVERAGE('12.08 Tororo-Malaba'!M17,'13.08 Tororo-Malaba'!M17,'14.08 Tororo-Malaba'!M17,'15.08 Tororo-Malaba'!M17,'16.08 Tororo-Malaba-24h'!M17,'17.08 Tororo-Malaba-24h'!M17,'18.08 Tororo-Malaba'!M17)</f>
        <v>25.714285714285715</v>
      </c>
      <c r="N17" s="49">
        <f>AVERAGE('12.08 Tororo-Malaba'!N17,'13.08 Tororo-Malaba'!N17,'14.08 Tororo-Malaba'!N17,'15.08 Tororo-Malaba'!N17,'16.08 Tororo-Malaba-24h'!N17,'17.08 Tororo-Malaba-24h'!N17,'18.08 Tororo-Malaba'!N17)</f>
        <v>0</v>
      </c>
      <c r="O17" s="15">
        <f t="shared" si="0"/>
        <v>5.2857142857142865</v>
      </c>
      <c r="P17" s="15">
        <f t="shared" si="1"/>
        <v>31</v>
      </c>
      <c r="R17" s="1" t="s">
        <v>13</v>
      </c>
      <c r="S17" s="17">
        <f t="shared" ref="S17:AF17" si="9">SUM(C38:C41)</f>
        <v>14.142857142857142</v>
      </c>
      <c r="T17" s="17">
        <f t="shared" si="9"/>
        <v>1.1428571428571428</v>
      </c>
      <c r="U17" s="17">
        <f t="shared" si="9"/>
        <v>9.7142857142857135</v>
      </c>
      <c r="V17" s="17">
        <f t="shared" si="9"/>
        <v>9.5714285714285712</v>
      </c>
      <c r="W17" s="17">
        <f t="shared" si="9"/>
        <v>0.2857142857142857</v>
      </c>
      <c r="X17" s="17">
        <f t="shared" si="9"/>
        <v>0.14285714285714285</v>
      </c>
      <c r="Y17" s="17">
        <f t="shared" si="9"/>
        <v>3.1428571428571432</v>
      </c>
      <c r="Z17" s="17">
        <f t="shared" si="9"/>
        <v>0.8571428571428571</v>
      </c>
      <c r="AA17" s="17">
        <f t="shared" si="9"/>
        <v>0</v>
      </c>
      <c r="AB17" s="17">
        <f t="shared" si="9"/>
        <v>0</v>
      </c>
      <c r="AC17" s="17">
        <f t="shared" si="9"/>
        <v>96.285714285714278</v>
      </c>
      <c r="AD17" s="17">
        <f t="shared" si="9"/>
        <v>0</v>
      </c>
      <c r="AE17" s="31">
        <f t="shared" si="9"/>
        <v>39</v>
      </c>
      <c r="AF17" s="31">
        <f t="shared" si="9"/>
        <v>135.28571428571428</v>
      </c>
    </row>
    <row r="18" spans="2:32" ht="23.1" customHeight="1" x14ac:dyDescent="0.25">
      <c r="B18" s="23" t="s">
        <v>45</v>
      </c>
      <c r="C18" s="49">
        <f>AVERAGE('12.08 Tororo-Malaba'!C18,'13.08 Tororo-Malaba'!C18,'14.08 Tororo-Malaba'!C18,'15.08 Tororo-Malaba'!C18,'16.08 Tororo-Malaba-24h'!C18,'17.08 Tororo-Malaba-24h'!C18,'18.08 Tororo-Malaba'!C18)</f>
        <v>1.8571428571428572</v>
      </c>
      <c r="D18" s="49">
        <f>AVERAGE('12.08 Tororo-Malaba'!D18,'13.08 Tororo-Malaba'!D18,'14.08 Tororo-Malaba'!D18,'15.08 Tororo-Malaba'!D18,'16.08 Tororo-Malaba-24h'!D18,'17.08 Tororo-Malaba-24h'!D18,'18.08 Tororo-Malaba'!D18)</f>
        <v>0</v>
      </c>
      <c r="E18" s="49">
        <f>AVERAGE('12.08 Tororo-Malaba'!E18,'13.08 Tororo-Malaba'!E18,'14.08 Tororo-Malaba'!E18,'15.08 Tororo-Malaba'!E18,'16.08 Tororo-Malaba-24h'!E18,'17.08 Tororo-Malaba-24h'!E18,'18.08 Tororo-Malaba'!E18)</f>
        <v>1.7142857142857142</v>
      </c>
      <c r="F18" s="49">
        <f>AVERAGE('12.08 Tororo-Malaba'!F18,'13.08 Tororo-Malaba'!F18,'14.08 Tororo-Malaba'!F18,'15.08 Tororo-Malaba'!F18,'16.08 Tororo-Malaba-24h'!F18,'17.08 Tororo-Malaba-24h'!F18,'18.08 Tororo-Malaba'!F18)</f>
        <v>1.2857142857142858</v>
      </c>
      <c r="G18" s="49">
        <f>AVERAGE('12.08 Tororo-Malaba'!G18,'13.08 Tororo-Malaba'!G18,'14.08 Tororo-Malaba'!G18,'15.08 Tororo-Malaba'!G18,'16.08 Tororo-Malaba-24h'!G18,'17.08 Tororo-Malaba-24h'!G18,'18.08 Tororo-Malaba'!G18)</f>
        <v>0</v>
      </c>
      <c r="H18" s="49">
        <f>AVERAGE('12.08 Tororo-Malaba'!H18,'13.08 Tororo-Malaba'!H18,'14.08 Tororo-Malaba'!H18,'15.08 Tororo-Malaba'!H18,'16.08 Tororo-Malaba-24h'!H18,'17.08 Tororo-Malaba-24h'!H18,'18.08 Tororo-Malaba'!H18)</f>
        <v>0</v>
      </c>
      <c r="I18" s="49">
        <f>AVERAGE('12.08 Tororo-Malaba'!I18,'13.08 Tororo-Malaba'!I18,'14.08 Tororo-Malaba'!I18,'15.08 Tororo-Malaba'!I18,'16.08 Tororo-Malaba-24h'!I18,'17.08 Tororo-Malaba-24h'!I18,'18.08 Tororo-Malaba'!I18)</f>
        <v>0.7142857142857143</v>
      </c>
      <c r="J18" s="49">
        <f>AVERAGE('12.08 Tororo-Malaba'!J18,'13.08 Tororo-Malaba'!J18,'14.08 Tororo-Malaba'!J18,'15.08 Tororo-Malaba'!J18,'16.08 Tororo-Malaba-24h'!J18,'17.08 Tororo-Malaba-24h'!J18,'18.08 Tororo-Malaba'!J18)</f>
        <v>0</v>
      </c>
      <c r="K18" s="49">
        <f>AVERAGE('12.08 Tororo-Malaba'!K18,'13.08 Tororo-Malaba'!K18,'14.08 Tororo-Malaba'!K18,'15.08 Tororo-Malaba'!K18,'16.08 Tororo-Malaba-24h'!K18,'17.08 Tororo-Malaba-24h'!K18,'18.08 Tororo-Malaba'!K18)</f>
        <v>0</v>
      </c>
      <c r="L18" s="49">
        <f>AVERAGE('12.08 Tororo-Malaba'!L18,'13.08 Tororo-Malaba'!L18,'14.08 Tororo-Malaba'!L18,'15.08 Tororo-Malaba'!L18,'16.08 Tororo-Malaba-24h'!L18,'17.08 Tororo-Malaba-24h'!L18,'18.08 Tororo-Malaba'!L18)</f>
        <v>0</v>
      </c>
      <c r="M18" s="49">
        <f>AVERAGE('12.08 Tororo-Malaba'!M18,'13.08 Tororo-Malaba'!M18,'14.08 Tororo-Malaba'!M18,'15.08 Tororo-Malaba'!M18,'16.08 Tororo-Malaba-24h'!M18,'17.08 Tororo-Malaba-24h'!M18,'18.08 Tororo-Malaba'!M18)</f>
        <v>24</v>
      </c>
      <c r="N18" s="49">
        <f>AVERAGE('12.08 Tororo-Malaba'!N18,'13.08 Tororo-Malaba'!N18,'14.08 Tororo-Malaba'!N18,'15.08 Tororo-Malaba'!N18,'16.08 Tororo-Malaba-24h'!N18,'17.08 Tororo-Malaba-24h'!N18,'18.08 Tororo-Malaba'!N18)</f>
        <v>0</v>
      </c>
      <c r="O18" s="15">
        <f t="shared" si="0"/>
        <v>5.5714285714285712</v>
      </c>
      <c r="P18" s="15">
        <f t="shared" si="1"/>
        <v>29.571428571428569</v>
      </c>
      <c r="R18" s="1" t="s">
        <v>14</v>
      </c>
      <c r="S18" s="17">
        <f t="shared" ref="S18:AF18" si="10">SUM(C42:C45)</f>
        <v>10.142857142857142</v>
      </c>
      <c r="T18" s="17">
        <f t="shared" si="10"/>
        <v>0.2857142857142857</v>
      </c>
      <c r="U18" s="17">
        <f t="shared" si="10"/>
        <v>6.5714285714285712</v>
      </c>
      <c r="V18" s="17">
        <f t="shared" si="10"/>
        <v>11</v>
      </c>
      <c r="W18" s="17">
        <f t="shared" si="10"/>
        <v>0.14285714285714285</v>
      </c>
      <c r="X18" s="17">
        <f t="shared" si="10"/>
        <v>0.14285714285714285</v>
      </c>
      <c r="Y18" s="17">
        <f t="shared" si="10"/>
        <v>3.2857142857142856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96</v>
      </c>
      <c r="AD18" s="17">
        <f t="shared" si="10"/>
        <v>0.14285714285714285</v>
      </c>
      <c r="AE18" s="31">
        <f t="shared" si="10"/>
        <v>31.714285714285712</v>
      </c>
      <c r="AF18" s="31">
        <f t="shared" si="10"/>
        <v>127.71428571428569</v>
      </c>
    </row>
    <row r="19" spans="2:32" ht="23.1" customHeight="1" x14ac:dyDescent="0.25">
      <c r="B19" s="23" t="s">
        <v>46</v>
      </c>
      <c r="C19" s="49">
        <f>AVERAGE('12.08 Tororo-Malaba'!C19,'13.08 Tororo-Malaba'!C19,'14.08 Tororo-Malaba'!C19,'15.08 Tororo-Malaba'!C19,'16.08 Tororo-Malaba-24h'!C19,'17.08 Tororo-Malaba-24h'!C19,'18.08 Tororo-Malaba'!C19)</f>
        <v>2.7142857142857144</v>
      </c>
      <c r="D19" s="49">
        <f>AVERAGE('12.08 Tororo-Malaba'!D19,'13.08 Tororo-Malaba'!D19,'14.08 Tororo-Malaba'!D19,'15.08 Tororo-Malaba'!D19,'16.08 Tororo-Malaba-24h'!D19,'17.08 Tororo-Malaba-24h'!D19,'18.08 Tororo-Malaba'!D19)</f>
        <v>0</v>
      </c>
      <c r="E19" s="49">
        <f>AVERAGE('12.08 Tororo-Malaba'!E19,'13.08 Tororo-Malaba'!E19,'14.08 Tororo-Malaba'!E19,'15.08 Tororo-Malaba'!E19,'16.08 Tororo-Malaba-24h'!E19,'17.08 Tororo-Malaba-24h'!E19,'18.08 Tororo-Malaba'!E19)</f>
        <v>1.1428571428571428</v>
      </c>
      <c r="F19" s="49">
        <f>AVERAGE('12.08 Tororo-Malaba'!F19,'13.08 Tororo-Malaba'!F19,'14.08 Tororo-Malaba'!F19,'15.08 Tororo-Malaba'!F19,'16.08 Tororo-Malaba-24h'!F19,'17.08 Tororo-Malaba-24h'!F19,'18.08 Tororo-Malaba'!F19)</f>
        <v>2.4285714285714284</v>
      </c>
      <c r="G19" s="49">
        <f>AVERAGE('12.08 Tororo-Malaba'!G19,'13.08 Tororo-Malaba'!G19,'14.08 Tororo-Malaba'!G19,'15.08 Tororo-Malaba'!G19,'16.08 Tororo-Malaba-24h'!G19,'17.08 Tororo-Malaba-24h'!G19,'18.08 Tororo-Malaba'!G19)</f>
        <v>0</v>
      </c>
      <c r="H19" s="49">
        <f>AVERAGE('12.08 Tororo-Malaba'!H19,'13.08 Tororo-Malaba'!H19,'14.08 Tororo-Malaba'!H19,'15.08 Tororo-Malaba'!H19,'16.08 Tororo-Malaba-24h'!H19,'17.08 Tororo-Malaba-24h'!H19,'18.08 Tororo-Malaba'!H19)</f>
        <v>0</v>
      </c>
      <c r="I19" s="49">
        <f>AVERAGE('12.08 Tororo-Malaba'!I19,'13.08 Tororo-Malaba'!I19,'14.08 Tororo-Malaba'!I19,'15.08 Tororo-Malaba'!I19,'16.08 Tororo-Malaba-24h'!I19,'17.08 Tororo-Malaba-24h'!I19,'18.08 Tororo-Malaba'!I19)</f>
        <v>0.2857142857142857</v>
      </c>
      <c r="J19" s="49">
        <f>AVERAGE('12.08 Tororo-Malaba'!J19,'13.08 Tororo-Malaba'!J19,'14.08 Tororo-Malaba'!J19,'15.08 Tororo-Malaba'!J19,'16.08 Tororo-Malaba-24h'!J19,'17.08 Tororo-Malaba-24h'!J19,'18.08 Tororo-Malaba'!J19)</f>
        <v>0</v>
      </c>
      <c r="K19" s="49">
        <f>AVERAGE('12.08 Tororo-Malaba'!K19,'13.08 Tororo-Malaba'!K19,'14.08 Tororo-Malaba'!K19,'15.08 Tororo-Malaba'!K19,'16.08 Tororo-Malaba-24h'!K19,'17.08 Tororo-Malaba-24h'!K19,'18.08 Tororo-Malaba'!K19)</f>
        <v>0</v>
      </c>
      <c r="L19" s="49">
        <f>AVERAGE('12.08 Tororo-Malaba'!L19,'13.08 Tororo-Malaba'!L19,'14.08 Tororo-Malaba'!L19,'15.08 Tororo-Malaba'!L19,'16.08 Tororo-Malaba-24h'!L19,'17.08 Tororo-Malaba-24h'!L19,'18.08 Tororo-Malaba'!L19)</f>
        <v>0</v>
      </c>
      <c r="M19" s="49">
        <f>AVERAGE('12.08 Tororo-Malaba'!M19,'13.08 Tororo-Malaba'!M19,'14.08 Tororo-Malaba'!M19,'15.08 Tororo-Malaba'!M19,'16.08 Tororo-Malaba-24h'!M19,'17.08 Tororo-Malaba-24h'!M19,'18.08 Tororo-Malaba'!M19)</f>
        <v>27.714285714285715</v>
      </c>
      <c r="N19" s="49">
        <f>AVERAGE('12.08 Tororo-Malaba'!N19,'13.08 Tororo-Malaba'!N19,'14.08 Tororo-Malaba'!N19,'15.08 Tororo-Malaba'!N19,'16.08 Tororo-Malaba-24h'!N19,'17.08 Tororo-Malaba-24h'!N19,'18.08 Tororo-Malaba'!N19)</f>
        <v>0</v>
      </c>
      <c r="O19" s="15">
        <f t="shared" si="0"/>
        <v>6.5714285714285712</v>
      </c>
      <c r="P19" s="15">
        <f t="shared" si="1"/>
        <v>34.285714285714285</v>
      </c>
      <c r="R19" s="1" t="s">
        <v>15</v>
      </c>
      <c r="S19" s="17">
        <f t="shared" ref="S19:AF19" si="11">SUM(C46:C49)</f>
        <v>11.857142857142858</v>
      </c>
      <c r="T19" s="17">
        <f t="shared" si="11"/>
        <v>0.14285714285714285</v>
      </c>
      <c r="U19" s="17">
        <f t="shared" si="11"/>
        <v>5.7142857142857135</v>
      </c>
      <c r="V19" s="17">
        <f t="shared" si="11"/>
        <v>12.285714285714285</v>
      </c>
      <c r="W19" s="17">
        <f t="shared" si="11"/>
        <v>0.2857142857142857</v>
      </c>
      <c r="X19" s="17">
        <f t="shared" si="11"/>
        <v>0.14285714285714285</v>
      </c>
      <c r="Y19" s="17">
        <f t="shared" si="11"/>
        <v>4</v>
      </c>
      <c r="Z19" s="17">
        <f t="shared" si="11"/>
        <v>0.42857142857142855</v>
      </c>
      <c r="AA19" s="17">
        <f t="shared" si="11"/>
        <v>0.14285714285714285</v>
      </c>
      <c r="AB19" s="17">
        <f t="shared" si="11"/>
        <v>0</v>
      </c>
      <c r="AC19" s="17">
        <f t="shared" si="11"/>
        <v>98.428571428571416</v>
      </c>
      <c r="AD19" s="17">
        <f t="shared" si="11"/>
        <v>0</v>
      </c>
      <c r="AE19" s="31">
        <f t="shared" si="11"/>
        <v>35</v>
      </c>
      <c r="AF19" s="31">
        <f t="shared" si="11"/>
        <v>133.42857142857144</v>
      </c>
    </row>
    <row r="20" spans="2:32" ht="23.1" customHeight="1" x14ac:dyDescent="0.25">
      <c r="B20" s="23" t="s">
        <v>47</v>
      </c>
      <c r="C20" s="49">
        <f>AVERAGE('12.08 Tororo-Malaba'!C20,'13.08 Tororo-Malaba'!C20,'14.08 Tororo-Malaba'!C20,'15.08 Tororo-Malaba'!C20,'16.08 Tororo-Malaba-24h'!C20,'17.08 Tororo-Malaba-24h'!C20,'18.08 Tororo-Malaba'!C20)</f>
        <v>1.5714285714285714</v>
      </c>
      <c r="D20" s="49">
        <f>AVERAGE('12.08 Tororo-Malaba'!D20,'13.08 Tororo-Malaba'!D20,'14.08 Tororo-Malaba'!D20,'15.08 Tororo-Malaba'!D20,'16.08 Tororo-Malaba-24h'!D20,'17.08 Tororo-Malaba-24h'!D20,'18.08 Tororo-Malaba'!D20)</f>
        <v>0.2857142857142857</v>
      </c>
      <c r="E20" s="49">
        <f>AVERAGE('12.08 Tororo-Malaba'!E20,'13.08 Tororo-Malaba'!E20,'14.08 Tororo-Malaba'!E20,'15.08 Tororo-Malaba'!E20,'16.08 Tororo-Malaba-24h'!E20,'17.08 Tororo-Malaba-24h'!E20,'18.08 Tororo-Malaba'!E20)</f>
        <v>2.7142857142857144</v>
      </c>
      <c r="F20" s="49">
        <f>AVERAGE('12.08 Tororo-Malaba'!F20,'13.08 Tororo-Malaba'!F20,'14.08 Tororo-Malaba'!F20,'15.08 Tororo-Malaba'!F20,'16.08 Tororo-Malaba-24h'!F20,'17.08 Tororo-Malaba-24h'!F20,'18.08 Tororo-Malaba'!F20)</f>
        <v>1.4285714285714286</v>
      </c>
      <c r="G20" s="49">
        <f>AVERAGE('12.08 Tororo-Malaba'!G20,'13.08 Tororo-Malaba'!G20,'14.08 Tororo-Malaba'!G20,'15.08 Tororo-Malaba'!G20,'16.08 Tororo-Malaba-24h'!G20,'17.08 Tororo-Malaba-24h'!G20,'18.08 Tororo-Malaba'!G20)</f>
        <v>0</v>
      </c>
      <c r="H20" s="49">
        <f>AVERAGE('12.08 Tororo-Malaba'!H20,'13.08 Tororo-Malaba'!H20,'14.08 Tororo-Malaba'!H20,'15.08 Tororo-Malaba'!H20,'16.08 Tororo-Malaba-24h'!H20,'17.08 Tororo-Malaba-24h'!H20,'18.08 Tororo-Malaba'!H20)</f>
        <v>0</v>
      </c>
      <c r="I20" s="49">
        <f>AVERAGE('12.08 Tororo-Malaba'!I20,'13.08 Tororo-Malaba'!I20,'14.08 Tororo-Malaba'!I20,'15.08 Tororo-Malaba'!I20,'16.08 Tororo-Malaba-24h'!I20,'17.08 Tororo-Malaba-24h'!I20,'18.08 Tororo-Malaba'!I20)</f>
        <v>0.2857142857142857</v>
      </c>
      <c r="J20" s="49">
        <f>AVERAGE('12.08 Tororo-Malaba'!J20,'13.08 Tororo-Malaba'!J20,'14.08 Tororo-Malaba'!J20,'15.08 Tororo-Malaba'!J20,'16.08 Tororo-Malaba-24h'!J20,'17.08 Tororo-Malaba-24h'!J20,'18.08 Tororo-Malaba'!J20)</f>
        <v>0</v>
      </c>
      <c r="K20" s="49">
        <f>AVERAGE('12.08 Tororo-Malaba'!K20,'13.08 Tororo-Malaba'!K20,'14.08 Tororo-Malaba'!K20,'15.08 Tororo-Malaba'!K20,'16.08 Tororo-Malaba-24h'!K20,'17.08 Tororo-Malaba-24h'!K20,'18.08 Tororo-Malaba'!K20)</f>
        <v>0</v>
      </c>
      <c r="L20" s="49">
        <f>AVERAGE('12.08 Tororo-Malaba'!L20,'13.08 Tororo-Malaba'!L20,'14.08 Tororo-Malaba'!L20,'15.08 Tororo-Malaba'!L20,'16.08 Tororo-Malaba-24h'!L20,'17.08 Tororo-Malaba-24h'!L20,'18.08 Tororo-Malaba'!L20)</f>
        <v>0</v>
      </c>
      <c r="M20" s="49">
        <f>AVERAGE('12.08 Tororo-Malaba'!M20,'13.08 Tororo-Malaba'!M20,'14.08 Tororo-Malaba'!M20,'15.08 Tororo-Malaba'!M20,'16.08 Tororo-Malaba-24h'!M20,'17.08 Tororo-Malaba-24h'!M20,'18.08 Tororo-Malaba'!M20)</f>
        <v>25.571428571428573</v>
      </c>
      <c r="N20" s="49">
        <f>AVERAGE('12.08 Tororo-Malaba'!N20,'13.08 Tororo-Malaba'!N20,'14.08 Tororo-Malaba'!N20,'15.08 Tororo-Malaba'!N20,'16.08 Tororo-Malaba-24h'!N20,'17.08 Tororo-Malaba-24h'!N20,'18.08 Tororo-Malaba'!N20)</f>
        <v>0.2857142857142857</v>
      </c>
      <c r="O20" s="15">
        <f t="shared" si="0"/>
        <v>6.5714285714285712</v>
      </c>
      <c r="P20" s="15">
        <f t="shared" si="1"/>
        <v>32.142857142857146</v>
      </c>
      <c r="R20" s="1" t="s">
        <v>16</v>
      </c>
      <c r="S20" s="17">
        <f t="shared" ref="S20:AF20" si="12">SUM(C50:C53)</f>
        <v>12.857142857142858</v>
      </c>
      <c r="T20" s="17">
        <f t="shared" si="12"/>
        <v>0.8571428571428571</v>
      </c>
      <c r="U20" s="17">
        <f t="shared" si="12"/>
        <v>8</v>
      </c>
      <c r="V20" s="17">
        <f t="shared" si="12"/>
        <v>9.7142857142857153</v>
      </c>
      <c r="W20" s="17">
        <f t="shared" si="12"/>
        <v>0.2857142857142857</v>
      </c>
      <c r="X20" s="17">
        <f t="shared" si="12"/>
        <v>0</v>
      </c>
      <c r="Y20" s="17">
        <f t="shared" si="12"/>
        <v>3.5714285714285712</v>
      </c>
      <c r="Z20" s="17">
        <f t="shared" si="12"/>
        <v>0.99999999999999989</v>
      </c>
      <c r="AA20" s="17">
        <f t="shared" si="12"/>
        <v>0</v>
      </c>
      <c r="AB20" s="17">
        <f t="shared" si="12"/>
        <v>0</v>
      </c>
      <c r="AC20" s="17">
        <f t="shared" si="12"/>
        <v>89.857142857142847</v>
      </c>
      <c r="AD20" s="17">
        <f t="shared" si="12"/>
        <v>0</v>
      </c>
      <c r="AE20" s="31">
        <f t="shared" si="12"/>
        <v>36.285714285714285</v>
      </c>
      <c r="AF20" s="31">
        <f t="shared" si="12"/>
        <v>126.14285714285714</v>
      </c>
    </row>
    <row r="21" spans="2:32" ht="23.1" customHeight="1" x14ac:dyDescent="0.25">
      <c r="B21" s="23" t="s">
        <v>48</v>
      </c>
      <c r="C21" s="49">
        <f>AVERAGE('12.08 Tororo-Malaba'!C21,'13.08 Tororo-Malaba'!C21,'14.08 Tororo-Malaba'!C21,'15.08 Tororo-Malaba'!C21,'16.08 Tororo-Malaba-24h'!C21,'17.08 Tororo-Malaba-24h'!C21,'18.08 Tororo-Malaba'!C21)</f>
        <v>2</v>
      </c>
      <c r="D21" s="49">
        <f>AVERAGE('12.08 Tororo-Malaba'!D21,'13.08 Tororo-Malaba'!D21,'14.08 Tororo-Malaba'!D21,'15.08 Tororo-Malaba'!D21,'16.08 Tororo-Malaba-24h'!D21,'17.08 Tororo-Malaba-24h'!D21,'18.08 Tororo-Malaba'!D21)</f>
        <v>0.14285714285714285</v>
      </c>
      <c r="E21" s="49">
        <f>AVERAGE('12.08 Tororo-Malaba'!E21,'13.08 Tororo-Malaba'!E21,'14.08 Tororo-Malaba'!E21,'15.08 Tororo-Malaba'!E21,'16.08 Tororo-Malaba-24h'!E21,'17.08 Tororo-Malaba-24h'!E21,'18.08 Tororo-Malaba'!E21)</f>
        <v>1.8571428571428572</v>
      </c>
      <c r="F21" s="49">
        <f>AVERAGE('12.08 Tororo-Malaba'!F21,'13.08 Tororo-Malaba'!F21,'14.08 Tororo-Malaba'!F21,'15.08 Tororo-Malaba'!F21,'16.08 Tororo-Malaba-24h'!F21,'17.08 Tororo-Malaba-24h'!F21,'18.08 Tororo-Malaba'!F21)</f>
        <v>2.5714285714285716</v>
      </c>
      <c r="G21" s="49">
        <f>AVERAGE('12.08 Tororo-Malaba'!G21,'13.08 Tororo-Malaba'!G21,'14.08 Tororo-Malaba'!G21,'15.08 Tororo-Malaba'!G21,'16.08 Tororo-Malaba-24h'!G21,'17.08 Tororo-Malaba-24h'!G21,'18.08 Tororo-Malaba'!G21)</f>
        <v>0</v>
      </c>
      <c r="H21" s="49">
        <f>AVERAGE('12.08 Tororo-Malaba'!H21,'13.08 Tororo-Malaba'!H21,'14.08 Tororo-Malaba'!H21,'15.08 Tororo-Malaba'!H21,'16.08 Tororo-Malaba-24h'!H21,'17.08 Tororo-Malaba-24h'!H21,'18.08 Tororo-Malaba'!H21)</f>
        <v>0</v>
      </c>
      <c r="I21" s="49">
        <f>AVERAGE('12.08 Tororo-Malaba'!I21,'13.08 Tororo-Malaba'!I21,'14.08 Tororo-Malaba'!I21,'15.08 Tororo-Malaba'!I21,'16.08 Tororo-Malaba-24h'!I21,'17.08 Tororo-Malaba-24h'!I21,'18.08 Tororo-Malaba'!I21)</f>
        <v>0.8571428571428571</v>
      </c>
      <c r="J21" s="49">
        <f>AVERAGE('12.08 Tororo-Malaba'!J21,'13.08 Tororo-Malaba'!J21,'14.08 Tororo-Malaba'!J21,'15.08 Tororo-Malaba'!J21,'16.08 Tororo-Malaba-24h'!J21,'17.08 Tororo-Malaba-24h'!J21,'18.08 Tororo-Malaba'!J21)</f>
        <v>0.14285714285714285</v>
      </c>
      <c r="K21" s="49">
        <f>AVERAGE('12.08 Tororo-Malaba'!K21,'13.08 Tororo-Malaba'!K21,'14.08 Tororo-Malaba'!K21,'15.08 Tororo-Malaba'!K21,'16.08 Tororo-Malaba-24h'!K21,'17.08 Tororo-Malaba-24h'!K21,'18.08 Tororo-Malaba'!K21)</f>
        <v>0</v>
      </c>
      <c r="L21" s="49">
        <f>AVERAGE('12.08 Tororo-Malaba'!L21,'13.08 Tororo-Malaba'!L21,'14.08 Tororo-Malaba'!L21,'15.08 Tororo-Malaba'!L21,'16.08 Tororo-Malaba-24h'!L21,'17.08 Tororo-Malaba-24h'!L21,'18.08 Tororo-Malaba'!L21)</f>
        <v>0</v>
      </c>
      <c r="M21" s="49">
        <f>AVERAGE('12.08 Tororo-Malaba'!M21,'13.08 Tororo-Malaba'!M21,'14.08 Tororo-Malaba'!M21,'15.08 Tororo-Malaba'!M21,'16.08 Tororo-Malaba-24h'!M21,'17.08 Tororo-Malaba-24h'!M21,'18.08 Tororo-Malaba'!M21)</f>
        <v>26.571428571428573</v>
      </c>
      <c r="N21" s="49">
        <f>AVERAGE('12.08 Tororo-Malaba'!N21,'13.08 Tororo-Malaba'!N21,'14.08 Tororo-Malaba'!N21,'15.08 Tororo-Malaba'!N21,'16.08 Tororo-Malaba-24h'!N21,'17.08 Tororo-Malaba-24h'!N21,'18.08 Tororo-Malaba'!N21)</f>
        <v>0.2857142857142857</v>
      </c>
      <c r="O21" s="15">
        <f t="shared" si="0"/>
        <v>7.8571428571428568</v>
      </c>
      <c r="P21" s="15">
        <f t="shared" si="1"/>
        <v>34.428571428571431</v>
      </c>
      <c r="R21" s="36" t="s">
        <v>20</v>
      </c>
      <c r="S21" s="34">
        <f t="shared" ref="S21:AF21" si="13">SUM(C54:C57)</f>
        <v>13.142857142857142</v>
      </c>
      <c r="T21" s="17">
        <f t="shared" si="13"/>
        <v>0.2857142857142857</v>
      </c>
      <c r="U21" s="17">
        <f t="shared" si="13"/>
        <v>5.5714285714285712</v>
      </c>
      <c r="V21" s="17">
        <f t="shared" si="13"/>
        <v>10.428571428571427</v>
      </c>
      <c r="W21" s="17">
        <f t="shared" si="13"/>
        <v>1.2857142857142856</v>
      </c>
      <c r="X21" s="17">
        <f t="shared" si="13"/>
        <v>2.1428571428571428</v>
      </c>
      <c r="Y21" s="17">
        <f t="shared" si="13"/>
        <v>3</v>
      </c>
      <c r="Z21" s="17">
        <f t="shared" si="13"/>
        <v>0.42857142857142855</v>
      </c>
      <c r="AA21" s="17">
        <f t="shared" si="13"/>
        <v>0.14285714285714285</v>
      </c>
      <c r="AB21" s="17">
        <f t="shared" si="13"/>
        <v>0</v>
      </c>
      <c r="AC21" s="17">
        <f t="shared" si="13"/>
        <v>90.714285714285722</v>
      </c>
      <c r="AD21" s="17">
        <f t="shared" si="13"/>
        <v>0</v>
      </c>
      <c r="AE21" s="31">
        <f t="shared" si="13"/>
        <v>36.428571428571431</v>
      </c>
      <c r="AF21" s="31">
        <f t="shared" si="13"/>
        <v>127.14285714285715</v>
      </c>
    </row>
    <row r="22" spans="2:32" ht="23.1" customHeight="1" x14ac:dyDescent="0.25">
      <c r="B22" s="23" t="s">
        <v>49</v>
      </c>
      <c r="C22" s="49">
        <f>AVERAGE('12.08 Tororo-Malaba'!C22,'13.08 Tororo-Malaba'!C22,'14.08 Tororo-Malaba'!C22,'15.08 Tororo-Malaba'!C22,'16.08 Tororo-Malaba-24h'!C22,'17.08 Tororo-Malaba-24h'!C22,'18.08 Tororo-Malaba'!C22)</f>
        <v>2.2857142857142856</v>
      </c>
      <c r="D22" s="49">
        <f>AVERAGE('12.08 Tororo-Malaba'!D22,'13.08 Tororo-Malaba'!D22,'14.08 Tororo-Malaba'!D22,'15.08 Tororo-Malaba'!D22,'16.08 Tororo-Malaba-24h'!D22,'17.08 Tororo-Malaba-24h'!D22,'18.08 Tororo-Malaba'!D22)</f>
        <v>0.14285714285714285</v>
      </c>
      <c r="E22" s="49">
        <f>AVERAGE('12.08 Tororo-Malaba'!E22,'13.08 Tororo-Malaba'!E22,'14.08 Tororo-Malaba'!E22,'15.08 Tororo-Malaba'!E22,'16.08 Tororo-Malaba-24h'!E22,'17.08 Tororo-Malaba-24h'!E22,'18.08 Tororo-Malaba'!E22)</f>
        <v>1.5714285714285714</v>
      </c>
      <c r="F22" s="49">
        <f>AVERAGE('12.08 Tororo-Malaba'!F22,'13.08 Tororo-Malaba'!F22,'14.08 Tororo-Malaba'!F22,'15.08 Tororo-Malaba'!F22,'16.08 Tororo-Malaba-24h'!F22,'17.08 Tororo-Malaba-24h'!F22,'18.08 Tororo-Malaba'!F22)</f>
        <v>1.7142857142857142</v>
      </c>
      <c r="G22" s="49">
        <f>AVERAGE('12.08 Tororo-Malaba'!G22,'13.08 Tororo-Malaba'!G22,'14.08 Tororo-Malaba'!G22,'15.08 Tororo-Malaba'!G22,'16.08 Tororo-Malaba-24h'!G22,'17.08 Tororo-Malaba-24h'!G22,'18.08 Tororo-Malaba'!G22)</f>
        <v>0.2857142857142857</v>
      </c>
      <c r="H22" s="49">
        <f>AVERAGE('12.08 Tororo-Malaba'!H22,'13.08 Tororo-Malaba'!H22,'14.08 Tororo-Malaba'!H22,'15.08 Tororo-Malaba'!H22,'16.08 Tororo-Malaba-24h'!H22,'17.08 Tororo-Malaba-24h'!H22,'18.08 Tororo-Malaba'!H22)</f>
        <v>0</v>
      </c>
      <c r="I22" s="49">
        <f>AVERAGE('12.08 Tororo-Malaba'!I22,'13.08 Tororo-Malaba'!I22,'14.08 Tororo-Malaba'!I22,'15.08 Tororo-Malaba'!I22,'16.08 Tororo-Malaba-24h'!I22,'17.08 Tororo-Malaba-24h'!I22,'18.08 Tororo-Malaba'!I22)</f>
        <v>0.42857142857142855</v>
      </c>
      <c r="J22" s="49">
        <f>AVERAGE('12.08 Tororo-Malaba'!J22,'13.08 Tororo-Malaba'!J22,'14.08 Tororo-Malaba'!J22,'15.08 Tororo-Malaba'!J22,'16.08 Tororo-Malaba-24h'!J22,'17.08 Tororo-Malaba-24h'!J22,'18.08 Tororo-Malaba'!J22)</f>
        <v>0.14285714285714285</v>
      </c>
      <c r="K22" s="49">
        <f>AVERAGE('12.08 Tororo-Malaba'!K22,'13.08 Tororo-Malaba'!K22,'14.08 Tororo-Malaba'!K22,'15.08 Tororo-Malaba'!K22,'16.08 Tororo-Malaba-24h'!K22,'17.08 Tororo-Malaba-24h'!K22,'18.08 Tororo-Malaba'!K22)</f>
        <v>0</v>
      </c>
      <c r="L22" s="49">
        <f>AVERAGE('12.08 Tororo-Malaba'!L22,'13.08 Tororo-Malaba'!L22,'14.08 Tororo-Malaba'!L22,'15.08 Tororo-Malaba'!L22,'16.08 Tororo-Malaba-24h'!L22,'17.08 Tororo-Malaba-24h'!L22,'18.08 Tororo-Malaba'!L22)</f>
        <v>0</v>
      </c>
      <c r="M22" s="49">
        <f>AVERAGE('12.08 Tororo-Malaba'!M22,'13.08 Tororo-Malaba'!M22,'14.08 Tororo-Malaba'!M22,'15.08 Tororo-Malaba'!M22,'16.08 Tororo-Malaba-24h'!M22,'17.08 Tororo-Malaba-24h'!M22,'18.08 Tororo-Malaba'!M22)</f>
        <v>29.857142857142858</v>
      </c>
      <c r="N22" s="49">
        <f>AVERAGE('12.08 Tororo-Malaba'!N22,'13.08 Tororo-Malaba'!N22,'14.08 Tororo-Malaba'!N22,'15.08 Tororo-Malaba'!N22,'16.08 Tororo-Malaba-24h'!N22,'17.08 Tororo-Malaba-24h'!N22,'18.08 Tororo-Malaba'!N22)</f>
        <v>0.14285714285714285</v>
      </c>
      <c r="O22" s="15">
        <f t="shared" si="0"/>
        <v>6.7142857142857153</v>
      </c>
      <c r="P22" s="15">
        <f t="shared" si="1"/>
        <v>36.571428571428577</v>
      </c>
      <c r="R22" s="1" t="s">
        <v>146</v>
      </c>
      <c r="S22" s="34">
        <f>SUM(C58:C61)</f>
        <v>14</v>
      </c>
      <c r="T22" s="34">
        <f t="shared" ref="T22:AF22" si="14">SUM(D58:D61)</f>
        <v>1.5</v>
      </c>
      <c r="U22" s="34">
        <f t="shared" si="14"/>
        <v>9</v>
      </c>
      <c r="V22" s="34">
        <f t="shared" si="14"/>
        <v>13.5</v>
      </c>
      <c r="W22" s="34">
        <f t="shared" si="14"/>
        <v>0</v>
      </c>
      <c r="X22" s="34">
        <f t="shared" si="14"/>
        <v>0</v>
      </c>
      <c r="Y22" s="34">
        <f t="shared" si="14"/>
        <v>3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81.5</v>
      </c>
      <c r="AD22" s="34">
        <f t="shared" si="14"/>
        <v>0</v>
      </c>
      <c r="AE22" s="31">
        <f t="shared" si="14"/>
        <v>42</v>
      </c>
      <c r="AF22" s="31">
        <f t="shared" si="14"/>
        <v>123.5</v>
      </c>
    </row>
    <row r="23" spans="2:32" ht="23.1" customHeight="1" x14ac:dyDescent="0.25">
      <c r="B23" s="23" t="s">
        <v>50</v>
      </c>
      <c r="C23" s="49">
        <f>AVERAGE('12.08 Tororo-Malaba'!C23,'13.08 Tororo-Malaba'!C23,'14.08 Tororo-Malaba'!C23,'15.08 Tororo-Malaba'!C23,'16.08 Tororo-Malaba-24h'!C23,'17.08 Tororo-Malaba-24h'!C23,'18.08 Tororo-Malaba'!C23)</f>
        <v>2.7142857142857144</v>
      </c>
      <c r="D23" s="49">
        <f>AVERAGE('12.08 Tororo-Malaba'!D23,'13.08 Tororo-Malaba'!D23,'14.08 Tororo-Malaba'!D23,'15.08 Tororo-Malaba'!D23,'16.08 Tororo-Malaba-24h'!D23,'17.08 Tororo-Malaba-24h'!D23,'18.08 Tororo-Malaba'!D23)</f>
        <v>0.5714285714285714</v>
      </c>
      <c r="E23" s="49">
        <f>AVERAGE('12.08 Tororo-Malaba'!E23,'13.08 Tororo-Malaba'!E23,'14.08 Tororo-Malaba'!E23,'15.08 Tororo-Malaba'!E23,'16.08 Tororo-Malaba-24h'!E23,'17.08 Tororo-Malaba-24h'!E23,'18.08 Tororo-Malaba'!E23)</f>
        <v>2.8571428571428572</v>
      </c>
      <c r="F23" s="49">
        <f>AVERAGE('12.08 Tororo-Malaba'!F23,'13.08 Tororo-Malaba'!F23,'14.08 Tororo-Malaba'!F23,'15.08 Tororo-Malaba'!F23,'16.08 Tororo-Malaba-24h'!F23,'17.08 Tororo-Malaba-24h'!F23,'18.08 Tororo-Malaba'!F23)</f>
        <v>1.4285714285714286</v>
      </c>
      <c r="G23" s="49">
        <f>AVERAGE('12.08 Tororo-Malaba'!G23,'13.08 Tororo-Malaba'!G23,'14.08 Tororo-Malaba'!G23,'15.08 Tororo-Malaba'!G23,'16.08 Tororo-Malaba-24h'!G23,'17.08 Tororo-Malaba-24h'!G23,'18.08 Tororo-Malaba'!G23)</f>
        <v>0</v>
      </c>
      <c r="H23" s="49">
        <f>AVERAGE('12.08 Tororo-Malaba'!H23,'13.08 Tororo-Malaba'!H23,'14.08 Tororo-Malaba'!H23,'15.08 Tororo-Malaba'!H23,'16.08 Tororo-Malaba-24h'!H23,'17.08 Tororo-Malaba-24h'!H23,'18.08 Tororo-Malaba'!H23)</f>
        <v>0</v>
      </c>
      <c r="I23" s="49">
        <f>AVERAGE('12.08 Tororo-Malaba'!I23,'13.08 Tororo-Malaba'!I23,'14.08 Tororo-Malaba'!I23,'15.08 Tororo-Malaba'!I23,'16.08 Tororo-Malaba-24h'!I23,'17.08 Tororo-Malaba-24h'!I23,'18.08 Tororo-Malaba'!I23)</f>
        <v>1</v>
      </c>
      <c r="J23" s="49">
        <f>AVERAGE('12.08 Tororo-Malaba'!J23,'13.08 Tororo-Malaba'!J23,'14.08 Tororo-Malaba'!J23,'15.08 Tororo-Malaba'!J23,'16.08 Tororo-Malaba-24h'!J23,'17.08 Tororo-Malaba-24h'!J23,'18.08 Tororo-Malaba'!J23)</f>
        <v>0.5714285714285714</v>
      </c>
      <c r="K23" s="49">
        <f>AVERAGE('12.08 Tororo-Malaba'!K23,'13.08 Tororo-Malaba'!K23,'14.08 Tororo-Malaba'!K23,'15.08 Tororo-Malaba'!K23,'16.08 Tororo-Malaba-24h'!K23,'17.08 Tororo-Malaba-24h'!K23,'18.08 Tororo-Malaba'!K23)</f>
        <v>0</v>
      </c>
      <c r="L23" s="49">
        <f>AVERAGE('12.08 Tororo-Malaba'!L23,'13.08 Tororo-Malaba'!L23,'14.08 Tororo-Malaba'!L23,'15.08 Tororo-Malaba'!L23,'16.08 Tororo-Malaba-24h'!L23,'17.08 Tororo-Malaba-24h'!L23,'18.08 Tororo-Malaba'!L23)</f>
        <v>0</v>
      </c>
      <c r="M23" s="49">
        <f>AVERAGE('12.08 Tororo-Malaba'!M23,'13.08 Tororo-Malaba'!M23,'14.08 Tororo-Malaba'!M23,'15.08 Tororo-Malaba'!M23,'16.08 Tororo-Malaba-24h'!M23,'17.08 Tororo-Malaba-24h'!M23,'18.08 Tororo-Malaba'!M23)</f>
        <v>19.714285714285715</v>
      </c>
      <c r="N23" s="49">
        <f>AVERAGE('12.08 Tororo-Malaba'!N23,'13.08 Tororo-Malaba'!N23,'14.08 Tororo-Malaba'!N23,'15.08 Tororo-Malaba'!N23,'16.08 Tororo-Malaba-24h'!N23,'17.08 Tororo-Malaba-24h'!N23,'18.08 Tororo-Malaba'!N23)</f>
        <v>0</v>
      </c>
      <c r="O23" s="15">
        <f t="shared" si="0"/>
        <v>9.1428571428571423</v>
      </c>
      <c r="P23" s="15">
        <f t="shared" si="1"/>
        <v>28.857142857142858</v>
      </c>
      <c r="R23" s="1" t="s">
        <v>147</v>
      </c>
      <c r="S23" s="34">
        <f>SUM(C62:C65)</f>
        <v>10.5</v>
      </c>
      <c r="T23" s="34">
        <f t="shared" ref="T23:AF23" si="15">SUM(D62:D65)</f>
        <v>0.5</v>
      </c>
      <c r="U23" s="34">
        <f t="shared" si="15"/>
        <v>6</v>
      </c>
      <c r="V23" s="34">
        <f t="shared" si="15"/>
        <v>7</v>
      </c>
      <c r="W23" s="34">
        <f t="shared" si="15"/>
        <v>0</v>
      </c>
      <c r="X23" s="34">
        <f t="shared" si="15"/>
        <v>0</v>
      </c>
      <c r="Y23" s="34">
        <f t="shared" si="15"/>
        <v>2.5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43</v>
      </c>
      <c r="AD23" s="34">
        <f t="shared" si="15"/>
        <v>0</v>
      </c>
      <c r="AE23" s="31">
        <f t="shared" si="15"/>
        <v>26.5</v>
      </c>
      <c r="AF23" s="31">
        <f t="shared" si="15"/>
        <v>69.5</v>
      </c>
    </row>
    <row r="24" spans="2:32" ht="23.1" customHeight="1" x14ac:dyDescent="0.25">
      <c r="B24" s="23" t="s">
        <v>51</v>
      </c>
      <c r="C24" s="49">
        <f>AVERAGE('12.08 Tororo-Malaba'!C24,'13.08 Tororo-Malaba'!C24,'14.08 Tororo-Malaba'!C24,'15.08 Tororo-Malaba'!C24,'16.08 Tororo-Malaba-24h'!C24,'17.08 Tororo-Malaba-24h'!C24,'18.08 Tororo-Malaba'!C24)</f>
        <v>2.4285714285714284</v>
      </c>
      <c r="D24" s="49">
        <f>AVERAGE('12.08 Tororo-Malaba'!D24,'13.08 Tororo-Malaba'!D24,'14.08 Tororo-Malaba'!D24,'15.08 Tororo-Malaba'!D24,'16.08 Tororo-Malaba-24h'!D24,'17.08 Tororo-Malaba-24h'!D24,'18.08 Tororo-Malaba'!D24)</f>
        <v>0</v>
      </c>
      <c r="E24" s="49">
        <f>AVERAGE('12.08 Tororo-Malaba'!E24,'13.08 Tororo-Malaba'!E24,'14.08 Tororo-Malaba'!E24,'15.08 Tororo-Malaba'!E24,'16.08 Tororo-Malaba-24h'!E24,'17.08 Tororo-Malaba-24h'!E24,'18.08 Tororo-Malaba'!E24)</f>
        <v>1.5714285714285714</v>
      </c>
      <c r="F24" s="49">
        <f>AVERAGE('12.08 Tororo-Malaba'!F24,'13.08 Tororo-Malaba'!F24,'14.08 Tororo-Malaba'!F24,'15.08 Tororo-Malaba'!F24,'16.08 Tororo-Malaba-24h'!F24,'17.08 Tororo-Malaba-24h'!F24,'18.08 Tororo-Malaba'!F24)</f>
        <v>2.2857142857142856</v>
      </c>
      <c r="G24" s="49">
        <f>AVERAGE('12.08 Tororo-Malaba'!G24,'13.08 Tororo-Malaba'!G24,'14.08 Tororo-Malaba'!G24,'15.08 Tororo-Malaba'!G24,'16.08 Tororo-Malaba-24h'!G24,'17.08 Tororo-Malaba-24h'!G24,'18.08 Tororo-Malaba'!G24)</f>
        <v>0</v>
      </c>
      <c r="H24" s="49">
        <f>AVERAGE('12.08 Tororo-Malaba'!H24,'13.08 Tororo-Malaba'!H24,'14.08 Tororo-Malaba'!H24,'15.08 Tororo-Malaba'!H24,'16.08 Tororo-Malaba-24h'!H24,'17.08 Tororo-Malaba-24h'!H24,'18.08 Tororo-Malaba'!H24)</f>
        <v>0</v>
      </c>
      <c r="I24" s="49">
        <f>AVERAGE('12.08 Tororo-Malaba'!I24,'13.08 Tororo-Malaba'!I24,'14.08 Tororo-Malaba'!I24,'15.08 Tororo-Malaba'!I24,'16.08 Tororo-Malaba-24h'!I24,'17.08 Tororo-Malaba-24h'!I24,'18.08 Tororo-Malaba'!I24)</f>
        <v>0.5714285714285714</v>
      </c>
      <c r="J24" s="49">
        <f>AVERAGE('12.08 Tororo-Malaba'!J24,'13.08 Tororo-Malaba'!J24,'14.08 Tororo-Malaba'!J24,'15.08 Tororo-Malaba'!J24,'16.08 Tororo-Malaba-24h'!J24,'17.08 Tororo-Malaba-24h'!J24,'18.08 Tororo-Malaba'!J24)</f>
        <v>0</v>
      </c>
      <c r="K24" s="49">
        <f>AVERAGE('12.08 Tororo-Malaba'!K24,'13.08 Tororo-Malaba'!K24,'14.08 Tororo-Malaba'!K24,'15.08 Tororo-Malaba'!K24,'16.08 Tororo-Malaba-24h'!K24,'17.08 Tororo-Malaba-24h'!K24,'18.08 Tororo-Malaba'!K24)</f>
        <v>0</v>
      </c>
      <c r="L24" s="49">
        <f>AVERAGE('12.08 Tororo-Malaba'!L24,'13.08 Tororo-Malaba'!L24,'14.08 Tororo-Malaba'!L24,'15.08 Tororo-Malaba'!L24,'16.08 Tororo-Malaba-24h'!L24,'17.08 Tororo-Malaba-24h'!L24,'18.08 Tororo-Malaba'!L24)</f>
        <v>0</v>
      </c>
      <c r="M24" s="49">
        <f>AVERAGE('12.08 Tororo-Malaba'!M24,'13.08 Tororo-Malaba'!M24,'14.08 Tororo-Malaba'!M24,'15.08 Tororo-Malaba'!M24,'16.08 Tororo-Malaba-24h'!M24,'17.08 Tororo-Malaba-24h'!M24,'18.08 Tororo-Malaba'!M24)</f>
        <v>24.714285714285715</v>
      </c>
      <c r="N24" s="49">
        <f>AVERAGE('12.08 Tororo-Malaba'!N24,'13.08 Tororo-Malaba'!N24,'14.08 Tororo-Malaba'!N24,'15.08 Tororo-Malaba'!N24,'16.08 Tororo-Malaba-24h'!N24,'17.08 Tororo-Malaba-24h'!N24,'18.08 Tororo-Malaba'!N24)</f>
        <v>0</v>
      </c>
      <c r="O24" s="15">
        <f t="shared" si="0"/>
        <v>6.8571428571428568</v>
      </c>
      <c r="P24" s="15">
        <f t="shared" si="1"/>
        <v>31.571428571428573</v>
      </c>
      <c r="R24" s="1" t="s">
        <v>148</v>
      </c>
      <c r="S24" s="34">
        <f>SUM(C66:C69)</f>
        <v>11</v>
      </c>
      <c r="T24" s="34">
        <f t="shared" ref="T24:AF24" si="16">SUM(D66:D69)</f>
        <v>0</v>
      </c>
      <c r="U24" s="34">
        <f t="shared" si="16"/>
        <v>3</v>
      </c>
      <c r="V24" s="34">
        <f t="shared" si="16"/>
        <v>7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1</v>
      </c>
      <c r="AA24" s="34">
        <f t="shared" si="16"/>
        <v>0.5</v>
      </c>
      <c r="AB24" s="34">
        <f t="shared" si="16"/>
        <v>0</v>
      </c>
      <c r="AC24" s="34">
        <f t="shared" si="16"/>
        <v>20</v>
      </c>
      <c r="AD24" s="34">
        <f t="shared" si="16"/>
        <v>0</v>
      </c>
      <c r="AE24" s="31">
        <f t="shared" si="16"/>
        <v>23.5</v>
      </c>
      <c r="AF24" s="31">
        <f t="shared" si="16"/>
        <v>43.5</v>
      </c>
    </row>
    <row r="25" spans="2:32" ht="23.1" customHeight="1" x14ac:dyDescent="0.25">
      <c r="B25" s="23" t="s">
        <v>52</v>
      </c>
      <c r="C25" s="49">
        <f>AVERAGE('12.08 Tororo-Malaba'!C25,'13.08 Tororo-Malaba'!C25,'14.08 Tororo-Malaba'!C25,'15.08 Tororo-Malaba'!C25,'16.08 Tororo-Malaba-24h'!C25,'17.08 Tororo-Malaba-24h'!C25,'18.08 Tororo-Malaba'!C25)</f>
        <v>1.7142857142857142</v>
      </c>
      <c r="D25" s="49">
        <f>AVERAGE('12.08 Tororo-Malaba'!D25,'13.08 Tororo-Malaba'!D25,'14.08 Tororo-Malaba'!D25,'15.08 Tororo-Malaba'!D25,'16.08 Tororo-Malaba-24h'!D25,'17.08 Tororo-Malaba-24h'!D25,'18.08 Tororo-Malaba'!D25)</f>
        <v>0</v>
      </c>
      <c r="E25" s="49">
        <f>AVERAGE('12.08 Tororo-Malaba'!E25,'13.08 Tororo-Malaba'!E25,'14.08 Tororo-Malaba'!E25,'15.08 Tororo-Malaba'!E25,'16.08 Tororo-Malaba-24h'!E25,'17.08 Tororo-Malaba-24h'!E25,'18.08 Tororo-Malaba'!E25)</f>
        <v>1.4285714285714286</v>
      </c>
      <c r="F25" s="49">
        <f>AVERAGE('12.08 Tororo-Malaba'!F25,'13.08 Tororo-Malaba'!F25,'14.08 Tororo-Malaba'!F25,'15.08 Tororo-Malaba'!F25,'16.08 Tororo-Malaba-24h'!F25,'17.08 Tororo-Malaba-24h'!F25,'18.08 Tororo-Malaba'!F25)</f>
        <v>1.4285714285714286</v>
      </c>
      <c r="G25" s="49">
        <f>AVERAGE('12.08 Tororo-Malaba'!G25,'13.08 Tororo-Malaba'!G25,'14.08 Tororo-Malaba'!G25,'15.08 Tororo-Malaba'!G25,'16.08 Tororo-Malaba-24h'!G25,'17.08 Tororo-Malaba-24h'!G25,'18.08 Tororo-Malaba'!G25)</f>
        <v>0</v>
      </c>
      <c r="H25" s="49">
        <f>AVERAGE('12.08 Tororo-Malaba'!H25,'13.08 Tororo-Malaba'!H25,'14.08 Tororo-Malaba'!H25,'15.08 Tororo-Malaba'!H25,'16.08 Tororo-Malaba-24h'!H25,'17.08 Tororo-Malaba-24h'!H25,'18.08 Tororo-Malaba'!H25)</f>
        <v>0.42857142857142855</v>
      </c>
      <c r="I25" s="49">
        <f>AVERAGE('12.08 Tororo-Malaba'!I25,'13.08 Tororo-Malaba'!I25,'14.08 Tororo-Malaba'!I25,'15.08 Tororo-Malaba'!I25,'16.08 Tororo-Malaba-24h'!I25,'17.08 Tororo-Malaba-24h'!I25,'18.08 Tororo-Malaba'!I25)</f>
        <v>0.14285714285714285</v>
      </c>
      <c r="J25" s="49">
        <f>AVERAGE('12.08 Tororo-Malaba'!J25,'13.08 Tororo-Malaba'!J25,'14.08 Tororo-Malaba'!J25,'15.08 Tororo-Malaba'!J25,'16.08 Tororo-Malaba-24h'!J25,'17.08 Tororo-Malaba-24h'!J25,'18.08 Tororo-Malaba'!J25)</f>
        <v>0.14285714285714285</v>
      </c>
      <c r="K25" s="49">
        <f>AVERAGE('12.08 Tororo-Malaba'!K25,'13.08 Tororo-Malaba'!K25,'14.08 Tororo-Malaba'!K25,'15.08 Tororo-Malaba'!K25,'16.08 Tororo-Malaba-24h'!K25,'17.08 Tororo-Malaba-24h'!K25,'18.08 Tororo-Malaba'!K25)</f>
        <v>0</v>
      </c>
      <c r="L25" s="49">
        <f>AVERAGE('12.08 Tororo-Malaba'!L25,'13.08 Tororo-Malaba'!L25,'14.08 Tororo-Malaba'!L25,'15.08 Tororo-Malaba'!L25,'16.08 Tororo-Malaba-24h'!L25,'17.08 Tororo-Malaba-24h'!L25,'18.08 Tororo-Malaba'!L25)</f>
        <v>0</v>
      </c>
      <c r="M25" s="49">
        <f>AVERAGE('12.08 Tororo-Malaba'!M25,'13.08 Tororo-Malaba'!M25,'14.08 Tororo-Malaba'!M25,'15.08 Tororo-Malaba'!M25,'16.08 Tororo-Malaba-24h'!M25,'17.08 Tororo-Malaba-24h'!M25,'18.08 Tororo-Malaba'!M25)</f>
        <v>27.714285714285715</v>
      </c>
      <c r="N25" s="49">
        <f>AVERAGE('12.08 Tororo-Malaba'!N25,'13.08 Tororo-Malaba'!N25,'14.08 Tororo-Malaba'!N25,'15.08 Tororo-Malaba'!N25,'16.08 Tororo-Malaba-24h'!N25,'17.08 Tororo-Malaba-24h'!N25,'18.08 Tororo-Malaba'!N25)</f>
        <v>0</v>
      </c>
      <c r="O25" s="15">
        <f t="shared" si="0"/>
        <v>5.2857142857142865</v>
      </c>
      <c r="P25" s="15">
        <f t="shared" si="1"/>
        <v>33</v>
      </c>
      <c r="R25" s="1" t="s">
        <v>149</v>
      </c>
      <c r="S25" s="34">
        <f>SUM(C70:C73)</f>
        <v>8.5</v>
      </c>
      <c r="T25" s="34">
        <f t="shared" ref="T25:AF25" si="17">SUM(D70:D73)</f>
        <v>0</v>
      </c>
      <c r="U25" s="34">
        <f t="shared" si="17"/>
        <v>3.5</v>
      </c>
      <c r="V25" s="34">
        <f t="shared" si="17"/>
        <v>5.5</v>
      </c>
      <c r="W25" s="34">
        <f t="shared" si="17"/>
        <v>0</v>
      </c>
      <c r="X25" s="34">
        <f t="shared" si="17"/>
        <v>2</v>
      </c>
      <c r="Y25" s="34">
        <f t="shared" si="17"/>
        <v>2.5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18</v>
      </c>
      <c r="AD25" s="34">
        <f t="shared" si="17"/>
        <v>0</v>
      </c>
      <c r="AE25" s="31">
        <f t="shared" si="17"/>
        <v>22</v>
      </c>
      <c r="AF25" s="31">
        <f t="shared" si="17"/>
        <v>40</v>
      </c>
    </row>
    <row r="26" spans="2:32" ht="23.1" customHeight="1" x14ac:dyDescent="0.25">
      <c r="B26" s="23" t="s">
        <v>53</v>
      </c>
      <c r="C26" s="49">
        <f>AVERAGE('12.08 Tororo-Malaba'!C26,'13.08 Tororo-Malaba'!C26,'14.08 Tororo-Malaba'!C26,'15.08 Tororo-Malaba'!C26,'16.08 Tororo-Malaba-24h'!C26,'17.08 Tororo-Malaba-24h'!C26,'18.08 Tororo-Malaba'!C26)</f>
        <v>3.4285714285714284</v>
      </c>
      <c r="D26" s="49">
        <f>AVERAGE('12.08 Tororo-Malaba'!D26,'13.08 Tororo-Malaba'!D26,'14.08 Tororo-Malaba'!D26,'15.08 Tororo-Malaba'!D26,'16.08 Tororo-Malaba-24h'!D26,'17.08 Tororo-Malaba-24h'!D26,'18.08 Tororo-Malaba'!D26)</f>
        <v>0.2857142857142857</v>
      </c>
      <c r="E26" s="49">
        <f>AVERAGE('12.08 Tororo-Malaba'!E26,'13.08 Tororo-Malaba'!E26,'14.08 Tororo-Malaba'!E26,'15.08 Tororo-Malaba'!E26,'16.08 Tororo-Malaba-24h'!E26,'17.08 Tororo-Malaba-24h'!E26,'18.08 Tororo-Malaba'!E26)</f>
        <v>2.4285714285714284</v>
      </c>
      <c r="F26" s="49">
        <f>AVERAGE('12.08 Tororo-Malaba'!F26,'13.08 Tororo-Malaba'!F26,'14.08 Tororo-Malaba'!F26,'15.08 Tororo-Malaba'!F26,'16.08 Tororo-Malaba-24h'!F26,'17.08 Tororo-Malaba-24h'!F26,'18.08 Tororo-Malaba'!F26)</f>
        <v>2</v>
      </c>
      <c r="G26" s="49">
        <f>AVERAGE('12.08 Tororo-Malaba'!G26,'13.08 Tororo-Malaba'!G26,'14.08 Tororo-Malaba'!G26,'15.08 Tororo-Malaba'!G26,'16.08 Tororo-Malaba-24h'!G26,'17.08 Tororo-Malaba-24h'!G26,'18.08 Tororo-Malaba'!G26)</f>
        <v>0</v>
      </c>
      <c r="H26" s="49">
        <f>AVERAGE('12.08 Tororo-Malaba'!H26,'13.08 Tororo-Malaba'!H26,'14.08 Tororo-Malaba'!H26,'15.08 Tororo-Malaba'!H26,'16.08 Tororo-Malaba-24h'!H26,'17.08 Tororo-Malaba-24h'!H26,'18.08 Tororo-Malaba'!H26)</f>
        <v>0</v>
      </c>
      <c r="I26" s="49">
        <f>AVERAGE('12.08 Tororo-Malaba'!I26,'13.08 Tororo-Malaba'!I26,'14.08 Tororo-Malaba'!I26,'15.08 Tororo-Malaba'!I26,'16.08 Tororo-Malaba-24h'!I26,'17.08 Tororo-Malaba-24h'!I26,'18.08 Tororo-Malaba'!I26)</f>
        <v>0.14285714285714285</v>
      </c>
      <c r="J26" s="49">
        <f>AVERAGE('12.08 Tororo-Malaba'!J26,'13.08 Tororo-Malaba'!J26,'14.08 Tororo-Malaba'!J26,'15.08 Tororo-Malaba'!J26,'16.08 Tororo-Malaba-24h'!J26,'17.08 Tororo-Malaba-24h'!J26,'18.08 Tororo-Malaba'!J26)</f>
        <v>0</v>
      </c>
      <c r="K26" s="49">
        <f>AVERAGE('12.08 Tororo-Malaba'!K26,'13.08 Tororo-Malaba'!K26,'14.08 Tororo-Malaba'!K26,'15.08 Tororo-Malaba'!K26,'16.08 Tororo-Malaba-24h'!K26,'17.08 Tororo-Malaba-24h'!K26,'18.08 Tororo-Malaba'!K26)</f>
        <v>0</v>
      </c>
      <c r="L26" s="49">
        <f>AVERAGE('12.08 Tororo-Malaba'!L26,'13.08 Tororo-Malaba'!L26,'14.08 Tororo-Malaba'!L26,'15.08 Tororo-Malaba'!L26,'16.08 Tororo-Malaba-24h'!L26,'17.08 Tororo-Malaba-24h'!L26,'18.08 Tororo-Malaba'!L26)</f>
        <v>0</v>
      </c>
      <c r="M26" s="49">
        <f>AVERAGE('12.08 Tororo-Malaba'!M26,'13.08 Tororo-Malaba'!M26,'14.08 Tororo-Malaba'!M26,'15.08 Tororo-Malaba'!M26,'16.08 Tororo-Malaba-24h'!M26,'17.08 Tororo-Malaba-24h'!M26,'18.08 Tororo-Malaba'!M26)</f>
        <v>27.714285714285715</v>
      </c>
      <c r="N26" s="49">
        <f>AVERAGE('12.08 Tororo-Malaba'!N26,'13.08 Tororo-Malaba'!N26,'14.08 Tororo-Malaba'!N26,'15.08 Tororo-Malaba'!N26,'16.08 Tororo-Malaba-24h'!N26,'17.08 Tororo-Malaba-24h'!N26,'18.08 Tororo-Malaba'!N26)</f>
        <v>0</v>
      </c>
      <c r="O26" s="15">
        <f t="shared" si="0"/>
        <v>8.2857142857142847</v>
      </c>
      <c r="P26" s="15">
        <f t="shared" si="1"/>
        <v>36</v>
      </c>
      <c r="R26" s="1" t="s">
        <v>150</v>
      </c>
      <c r="S26" s="34">
        <f>SUM(C74:C77)</f>
        <v>5</v>
      </c>
      <c r="T26" s="34">
        <f t="shared" ref="T26:AF26" si="18">SUM(D74:D77)</f>
        <v>0.5</v>
      </c>
      <c r="U26" s="34">
        <f t="shared" si="18"/>
        <v>4.5</v>
      </c>
      <c r="V26" s="34">
        <f t="shared" si="18"/>
        <v>0.5</v>
      </c>
      <c r="W26" s="34">
        <f t="shared" si="18"/>
        <v>0</v>
      </c>
      <c r="X26" s="34">
        <f t="shared" si="18"/>
        <v>1</v>
      </c>
      <c r="Y26" s="34">
        <f t="shared" si="18"/>
        <v>0.5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12</v>
      </c>
      <c r="AD26" s="34">
        <f t="shared" si="18"/>
        <v>0</v>
      </c>
      <c r="AE26" s="31">
        <f t="shared" si="18"/>
        <v>12</v>
      </c>
      <c r="AF26" s="31">
        <f t="shared" si="18"/>
        <v>24</v>
      </c>
    </row>
    <row r="27" spans="2:32" ht="23.1" customHeight="1" x14ac:dyDescent="0.25">
      <c r="B27" s="23" t="s">
        <v>54</v>
      </c>
      <c r="C27" s="49">
        <f>AVERAGE('12.08 Tororo-Malaba'!C27,'13.08 Tororo-Malaba'!C27,'14.08 Tororo-Malaba'!C27,'15.08 Tororo-Malaba'!C27,'16.08 Tororo-Malaba-24h'!C27,'17.08 Tororo-Malaba-24h'!C27,'18.08 Tororo-Malaba'!C27)</f>
        <v>2.4285714285714284</v>
      </c>
      <c r="D27" s="49">
        <f>AVERAGE('12.08 Tororo-Malaba'!D27,'13.08 Tororo-Malaba'!D27,'14.08 Tororo-Malaba'!D27,'15.08 Tororo-Malaba'!D27,'16.08 Tororo-Malaba-24h'!D27,'17.08 Tororo-Malaba-24h'!D27,'18.08 Tororo-Malaba'!D27)</f>
        <v>0</v>
      </c>
      <c r="E27" s="49">
        <f>AVERAGE('12.08 Tororo-Malaba'!E27,'13.08 Tororo-Malaba'!E27,'14.08 Tororo-Malaba'!E27,'15.08 Tororo-Malaba'!E27,'16.08 Tororo-Malaba-24h'!E27,'17.08 Tororo-Malaba-24h'!E27,'18.08 Tororo-Malaba'!E27)</f>
        <v>1.8571428571428572</v>
      </c>
      <c r="F27" s="49">
        <f>AVERAGE('12.08 Tororo-Malaba'!F27,'13.08 Tororo-Malaba'!F27,'14.08 Tororo-Malaba'!F27,'15.08 Tororo-Malaba'!F27,'16.08 Tororo-Malaba-24h'!F27,'17.08 Tororo-Malaba-24h'!F27,'18.08 Tororo-Malaba'!F27)</f>
        <v>3.2857142857142856</v>
      </c>
      <c r="G27" s="49">
        <f>AVERAGE('12.08 Tororo-Malaba'!G27,'13.08 Tororo-Malaba'!G27,'14.08 Tororo-Malaba'!G27,'15.08 Tororo-Malaba'!G27,'16.08 Tororo-Malaba-24h'!G27,'17.08 Tororo-Malaba-24h'!G27,'18.08 Tororo-Malaba'!G27)</f>
        <v>0</v>
      </c>
      <c r="H27" s="49">
        <f>AVERAGE('12.08 Tororo-Malaba'!H27,'13.08 Tororo-Malaba'!H27,'14.08 Tororo-Malaba'!H27,'15.08 Tororo-Malaba'!H27,'16.08 Tororo-Malaba-24h'!H27,'17.08 Tororo-Malaba-24h'!H27,'18.08 Tororo-Malaba'!H27)</f>
        <v>0</v>
      </c>
      <c r="I27" s="49">
        <f>AVERAGE('12.08 Tororo-Malaba'!I27,'13.08 Tororo-Malaba'!I27,'14.08 Tororo-Malaba'!I27,'15.08 Tororo-Malaba'!I27,'16.08 Tororo-Malaba-24h'!I27,'17.08 Tororo-Malaba-24h'!I27,'18.08 Tororo-Malaba'!I27)</f>
        <v>1</v>
      </c>
      <c r="J27" s="49">
        <f>AVERAGE('12.08 Tororo-Malaba'!J27,'13.08 Tororo-Malaba'!J27,'14.08 Tororo-Malaba'!J27,'15.08 Tororo-Malaba'!J27,'16.08 Tororo-Malaba-24h'!J27,'17.08 Tororo-Malaba-24h'!J27,'18.08 Tororo-Malaba'!J27)</f>
        <v>0</v>
      </c>
      <c r="K27" s="49">
        <f>AVERAGE('12.08 Tororo-Malaba'!K27,'13.08 Tororo-Malaba'!K27,'14.08 Tororo-Malaba'!K27,'15.08 Tororo-Malaba'!K27,'16.08 Tororo-Malaba-24h'!K27,'17.08 Tororo-Malaba-24h'!K27,'18.08 Tororo-Malaba'!K27)</f>
        <v>0</v>
      </c>
      <c r="L27" s="49">
        <f>AVERAGE('12.08 Tororo-Malaba'!L27,'13.08 Tororo-Malaba'!L27,'14.08 Tororo-Malaba'!L27,'15.08 Tororo-Malaba'!L27,'16.08 Tororo-Malaba-24h'!L27,'17.08 Tororo-Malaba-24h'!L27,'18.08 Tororo-Malaba'!L27)</f>
        <v>0</v>
      </c>
      <c r="M27" s="49">
        <f>AVERAGE('12.08 Tororo-Malaba'!M27,'13.08 Tororo-Malaba'!M27,'14.08 Tororo-Malaba'!M27,'15.08 Tororo-Malaba'!M27,'16.08 Tororo-Malaba-24h'!M27,'17.08 Tororo-Malaba-24h'!M27,'18.08 Tororo-Malaba'!M27)</f>
        <v>24.714285714285715</v>
      </c>
      <c r="N27" s="49">
        <f>AVERAGE('12.08 Tororo-Malaba'!N27,'13.08 Tororo-Malaba'!N27,'14.08 Tororo-Malaba'!N27,'15.08 Tororo-Malaba'!N27,'16.08 Tororo-Malaba-24h'!N27,'17.08 Tororo-Malaba-24h'!N27,'18.08 Tororo-Malaba'!N27)</f>
        <v>0</v>
      </c>
      <c r="O27" s="15">
        <f t="shared" si="0"/>
        <v>8.5714285714285712</v>
      </c>
      <c r="P27" s="15">
        <f t="shared" si="1"/>
        <v>33.285714285714285</v>
      </c>
      <c r="R27" s="1" t="s">
        <v>151</v>
      </c>
      <c r="S27" s="34">
        <f>SUM(C78:C81)</f>
        <v>1.5</v>
      </c>
      <c r="T27" s="34">
        <f t="shared" ref="T27:AF27" si="19">SUM(D78:D81)</f>
        <v>0</v>
      </c>
      <c r="U27" s="34">
        <f t="shared" si="19"/>
        <v>0.5</v>
      </c>
      <c r="V27" s="34">
        <f t="shared" si="19"/>
        <v>1</v>
      </c>
      <c r="W27" s="34">
        <f t="shared" si="19"/>
        <v>0</v>
      </c>
      <c r="X27" s="34">
        <f t="shared" si="19"/>
        <v>1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7.5</v>
      </c>
      <c r="AD27" s="34">
        <f t="shared" si="19"/>
        <v>0</v>
      </c>
      <c r="AE27" s="31">
        <f t="shared" si="19"/>
        <v>5</v>
      </c>
      <c r="AF27" s="31">
        <f t="shared" si="19"/>
        <v>12.5</v>
      </c>
    </row>
    <row r="28" spans="2:32" ht="23.1" customHeight="1" x14ac:dyDescent="0.25">
      <c r="B28" s="23" t="s">
        <v>55</v>
      </c>
      <c r="C28" s="49">
        <f>AVERAGE('12.08 Tororo-Malaba'!C28,'13.08 Tororo-Malaba'!C28,'14.08 Tororo-Malaba'!C28,'15.08 Tororo-Malaba'!C28,'16.08 Tororo-Malaba-24h'!C28,'17.08 Tororo-Malaba-24h'!C28,'18.08 Tororo-Malaba'!C28)</f>
        <v>3.1428571428571428</v>
      </c>
      <c r="D28" s="49">
        <f>AVERAGE('12.08 Tororo-Malaba'!D28,'13.08 Tororo-Malaba'!D28,'14.08 Tororo-Malaba'!D28,'15.08 Tororo-Malaba'!D28,'16.08 Tororo-Malaba-24h'!D28,'17.08 Tororo-Malaba-24h'!D28,'18.08 Tororo-Malaba'!D28)</f>
        <v>0</v>
      </c>
      <c r="E28" s="49">
        <f>AVERAGE('12.08 Tororo-Malaba'!E28,'13.08 Tororo-Malaba'!E28,'14.08 Tororo-Malaba'!E28,'15.08 Tororo-Malaba'!E28,'16.08 Tororo-Malaba-24h'!E28,'17.08 Tororo-Malaba-24h'!E28,'18.08 Tororo-Malaba'!E28)</f>
        <v>2.1428571428571428</v>
      </c>
      <c r="F28" s="49">
        <f>AVERAGE('12.08 Tororo-Malaba'!F28,'13.08 Tororo-Malaba'!F28,'14.08 Tororo-Malaba'!F28,'15.08 Tororo-Malaba'!F28,'16.08 Tororo-Malaba-24h'!F28,'17.08 Tororo-Malaba-24h'!F28,'18.08 Tororo-Malaba'!F28)</f>
        <v>2.8571428571428572</v>
      </c>
      <c r="G28" s="49">
        <f>AVERAGE('12.08 Tororo-Malaba'!G28,'13.08 Tororo-Malaba'!G28,'14.08 Tororo-Malaba'!G28,'15.08 Tororo-Malaba'!G28,'16.08 Tororo-Malaba-24h'!G28,'17.08 Tororo-Malaba-24h'!G28,'18.08 Tororo-Malaba'!G28)</f>
        <v>0</v>
      </c>
      <c r="H28" s="49">
        <f>AVERAGE('12.08 Tororo-Malaba'!H28,'13.08 Tororo-Malaba'!H28,'14.08 Tororo-Malaba'!H28,'15.08 Tororo-Malaba'!H28,'16.08 Tororo-Malaba-24h'!H28,'17.08 Tororo-Malaba-24h'!H28,'18.08 Tororo-Malaba'!H28)</f>
        <v>0</v>
      </c>
      <c r="I28" s="49">
        <f>AVERAGE('12.08 Tororo-Malaba'!I28,'13.08 Tororo-Malaba'!I28,'14.08 Tororo-Malaba'!I28,'15.08 Tororo-Malaba'!I28,'16.08 Tororo-Malaba-24h'!I28,'17.08 Tororo-Malaba-24h'!I28,'18.08 Tororo-Malaba'!I28)</f>
        <v>0.7142857142857143</v>
      </c>
      <c r="J28" s="49">
        <f>AVERAGE('12.08 Tororo-Malaba'!J28,'13.08 Tororo-Malaba'!J28,'14.08 Tororo-Malaba'!J28,'15.08 Tororo-Malaba'!J28,'16.08 Tororo-Malaba-24h'!J28,'17.08 Tororo-Malaba-24h'!J28,'18.08 Tororo-Malaba'!J28)</f>
        <v>0</v>
      </c>
      <c r="K28" s="49">
        <f>AVERAGE('12.08 Tororo-Malaba'!K28,'13.08 Tororo-Malaba'!K28,'14.08 Tororo-Malaba'!K28,'15.08 Tororo-Malaba'!K28,'16.08 Tororo-Malaba-24h'!K28,'17.08 Tororo-Malaba-24h'!K28,'18.08 Tororo-Malaba'!K28)</f>
        <v>0</v>
      </c>
      <c r="L28" s="49">
        <f>AVERAGE('12.08 Tororo-Malaba'!L28,'13.08 Tororo-Malaba'!L28,'14.08 Tororo-Malaba'!L28,'15.08 Tororo-Malaba'!L28,'16.08 Tororo-Malaba-24h'!L28,'17.08 Tororo-Malaba-24h'!L28,'18.08 Tororo-Malaba'!L28)</f>
        <v>0</v>
      </c>
      <c r="M28" s="49">
        <f>AVERAGE('12.08 Tororo-Malaba'!M28,'13.08 Tororo-Malaba'!M28,'14.08 Tororo-Malaba'!M28,'15.08 Tororo-Malaba'!M28,'16.08 Tororo-Malaba-24h'!M28,'17.08 Tororo-Malaba-24h'!M28,'18.08 Tororo-Malaba'!M28)</f>
        <v>28.142857142857142</v>
      </c>
      <c r="N28" s="49">
        <f>AVERAGE('12.08 Tororo-Malaba'!N28,'13.08 Tororo-Malaba'!N28,'14.08 Tororo-Malaba'!N28,'15.08 Tororo-Malaba'!N28,'16.08 Tororo-Malaba-24h'!N28,'17.08 Tororo-Malaba-24h'!N28,'18.08 Tororo-Malaba'!N28)</f>
        <v>0</v>
      </c>
      <c r="O28" s="15">
        <f t="shared" si="0"/>
        <v>8.8571428571428559</v>
      </c>
      <c r="P28" s="15">
        <f t="shared" si="1"/>
        <v>37</v>
      </c>
      <c r="R28" s="1" t="s">
        <v>152</v>
      </c>
      <c r="S28" s="34">
        <f>SUM(C82:C85)</f>
        <v>0.5</v>
      </c>
      <c r="T28" s="34">
        <f t="shared" ref="T28:AF28" si="20">SUM(D82:D85)</f>
        <v>0</v>
      </c>
      <c r="U28" s="34">
        <f t="shared" si="20"/>
        <v>2</v>
      </c>
      <c r="V28" s="34">
        <f t="shared" si="20"/>
        <v>1</v>
      </c>
      <c r="W28" s="34">
        <f t="shared" si="20"/>
        <v>0</v>
      </c>
      <c r="X28" s="34">
        <f t="shared" si="20"/>
        <v>1.5</v>
      </c>
      <c r="Y28" s="34">
        <f t="shared" si="20"/>
        <v>0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5.5</v>
      </c>
      <c r="AF28" s="31">
        <f t="shared" si="20"/>
        <v>6.5</v>
      </c>
    </row>
    <row r="29" spans="2:32" ht="23.1" customHeight="1" x14ac:dyDescent="0.25">
      <c r="B29" s="23" t="s">
        <v>56</v>
      </c>
      <c r="C29" s="49">
        <f>AVERAGE('12.08 Tororo-Malaba'!C29,'13.08 Tororo-Malaba'!C29,'14.08 Tororo-Malaba'!C29,'15.08 Tororo-Malaba'!C29,'16.08 Tororo-Malaba-24h'!C29,'17.08 Tororo-Malaba-24h'!C29,'18.08 Tororo-Malaba'!C29)</f>
        <v>3.2857142857142856</v>
      </c>
      <c r="D29" s="49">
        <f>AVERAGE('12.08 Tororo-Malaba'!D29,'13.08 Tororo-Malaba'!D29,'14.08 Tororo-Malaba'!D29,'15.08 Tororo-Malaba'!D29,'16.08 Tororo-Malaba-24h'!D29,'17.08 Tororo-Malaba-24h'!D29,'18.08 Tororo-Malaba'!D29)</f>
        <v>0</v>
      </c>
      <c r="E29" s="49">
        <f>AVERAGE('12.08 Tororo-Malaba'!E29,'13.08 Tororo-Malaba'!E29,'14.08 Tororo-Malaba'!E29,'15.08 Tororo-Malaba'!E29,'16.08 Tororo-Malaba-24h'!E29,'17.08 Tororo-Malaba-24h'!E29,'18.08 Tororo-Malaba'!E29)</f>
        <v>1.4285714285714286</v>
      </c>
      <c r="F29" s="49">
        <f>AVERAGE('12.08 Tororo-Malaba'!F29,'13.08 Tororo-Malaba'!F29,'14.08 Tororo-Malaba'!F29,'15.08 Tororo-Malaba'!F29,'16.08 Tororo-Malaba-24h'!F29,'17.08 Tororo-Malaba-24h'!F29,'18.08 Tororo-Malaba'!F29)</f>
        <v>2.1428571428571428</v>
      </c>
      <c r="G29" s="49">
        <f>AVERAGE('12.08 Tororo-Malaba'!G29,'13.08 Tororo-Malaba'!G29,'14.08 Tororo-Malaba'!G29,'15.08 Tororo-Malaba'!G29,'16.08 Tororo-Malaba-24h'!G29,'17.08 Tororo-Malaba-24h'!G29,'18.08 Tororo-Malaba'!G29)</f>
        <v>0.42857142857142855</v>
      </c>
      <c r="H29" s="49">
        <f>AVERAGE('12.08 Tororo-Malaba'!H29,'13.08 Tororo-Malaba'!H29,'14.08 Tororo-Malaba'!H29,'15.08 Tororo-Malaba'!H29,'16.08 Tororo-Malaba-24h'!H29,'17.08 Tororo-Malaba-24h'!H29,'18.08 Tororo-Malaba'!H29)</f>
        <v>0.14285714285714285</v>
      </c>
      <c r="I29" s="49">
        <f>AVERAGE('12.08 Tororo-Malaba'!I29,'13.08 Tororo-Malaba'!I29,'14.08 Tororo-Malaba'!I29,'15.08 Tororo-Malaba'!I29,'16.08 Tororo-Malaba-24h'!I29,'17.08 Tororo-Malaba-24h'!I29,'18.08 Tororo-Malaba'!I29)</f>
        <v>0.5714285714285714</v>
      </c>
      <c r="J29" s="49">
        <f>AVERAGE('12.08 Tororo-Malaba'!J29,'13.08 Tororo-Malaba'!J29,'14.08 Tororo-Malaba'!J29,'15.08 Tororo-Malaba'!J29,'16.08 Tororo-Malaba-24h'!J29,'17.08 Tororo-Malaba-24h'!J29,'18.08 Tororo-Malaba'!J29)</f>
        <v>0.2857142857142857</v>
      </c>
      <c r="K29" s="49">
        <f>AVERAGE('12.08 Tororo-Malaba'!K29,'13.08 Tororo-Malaba'!K29,'14.08 Tororo-Malaba'!K29,'15.08 Tororo-Malaba'!K29,'16.08 Tororo-Malaba-24h'!K29,'17.08 Tororo-Malaba-24h'!K29,'18.08 Tororo-Malaba'!K29)</f>
        <v>0</v>
      </c>
      <c r="L29" s="49">
        <f>AVERAGE('12.08 Tororo-Malaba'!L29,'13.08 Tororo-Malaba'!L29,'14.08 Tororo-Malaba'!L29,'15.08 Tororo-Malaba'!L29,'16.08 Tororo-Malaba-24h'!L29,'17.08 Tororo-Malaba-24h'!L29,'18.08 Tororo-Malaba'!L29)</f>
        <v>0</v>
      </c>
      <c r="M29" s="49">
        <f>AVERAGE('12.08 Tororo-Malaba'!M29,'13.08 Tororo-Malaba'!M29,'14.08 Tororo-Malaba'!M29,'15.08 Tororo-Malaba'!M29,'16.08 Tororo-Malaba-24h'!M29,'17.08 Tororo-Malaba-24h'!M29,'18.08 Tororo-Malaba'!M29)</f>
        <v>26.428571428571427</v>
      </c>
      <c r="N29" s="49">
        <f>AVERAGE('12.08 Tororo-Malaba'!N29,'13.08 Tororo-Malaba'!N29,'14.08 Tororo-Malaba'!N29,'15.08 Tororo-Malaba'!N29,'16.08 Tororo-Malaba-24h'!N29,'17.08 Tororo-Malaba-24h'!N29,'18.08 Tororo-Malaba'!N29)</f>
        <v>0</v>
      </c>
      <c r="O29" s="15">
        <f t="shared" si="0"/>
        <v>8.2857142857142883</v>
      </c>
      <c r="P29" s="15">
        <f t="shared" si="1"/>
        <v>34.714285714285715</v>
      </c>
      <c r="R29" s="1" t="s">
        <v>153</v>
      </c>
      <c r="S29" s="34">
        <f>SUM(C86:C89)</f>
        <v>3</v>
      </c>
      <c r="T29" s="34">
        <f t="shared" ref="T29:AF29" si="21">SUM(D86:D89)</f>
        <v>0</v>
      </c>
      <c r="U29" s="34">
        <f t="shared" si="21"/>
        <v>1.5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6</v>
      </c>
      <c r="AF29" s="31">
        <f t="shared" si="21"/>
        <v>6</v>
      </c>
    </row>
    <row r="30" spans="2:32" ht="23.1" customHeight="1" x14ac:dyDescent="0.25">
      <c r="B30" s="23" t="s">
        <v>57</v>
      </c>
      <c r="C30" s="49">
        <f>AVERAGE('12.08 Tororo-Malaba'!C30,'13.08 Tororo-Malaba'!C30,'14.08 Tororo-Malaba'!C30,'15.08 Tororo-Malaba'!C30,'16.08 Tororo-Malaba-24h'!C30,'17.08 Tororo-Malaba-24h'!C30,'18.08 Tororo-Malaba'!C30)</f>
        <v>2.8571428571428572</v>
      </c>
      <c r="D30" s="49">
        <f>AVERAGE('12.08 Tororo-Malaba'!D30,'13.08 Tororo-Malaba'!D30,'14.08 Tororo-Malaba'!D30,'15.08 Tororo-Malaba'!D30,'16.08 Tororo-Malaba-24h'!D30,'17.08 Tororo-Malaba-24h'!D30,'18.08 Tororo-Malaba'!D30)</f>
        <v>0.2857142857142857</v>
      </c>
      <c r="E30" s="49">
        <f>AVERAGE('12.08 Tororo-Malaba'!E30,'13.08 Tororo-Malaba'!E30,'14.08 Tororo-Malaba'!E30,'15.08 Tororo-Malaba'!E30,'16.08 Tororo-Malaba-24h'!E30,'17.08 Tororo-Malaba-24h'!E30,'18.08 Tororo-Malaba'!E30)</f>
        <v>2.1428571428571428</v>
      </c>
      <c r="F30" s="49">
        <f>AVERAGE('12.08 Tororo-Malaba'!F30,'13.08 Tororo-Malaba'!F30,'14.08 Tororo-Malaba'!F30,'15.08 Tororo-Malaba'!F30,'16.08 Tororo-Malaba-24h'!F30,'17.08 Tororo-Malaba-24h'!F30,'18.08 Tororo-Malaba'!F30)</f>
        <v>2</v>
      </c>
      <c r="G30" s="49">
        <f>AVERAGE('12.08 Tororo-Malaba'!G30,'13.08 Tororo-Malaba'!G30,'14.08 Tororo-Malaba'!G30,'15.08 Tororo-Malaba'!G30,'16.08 Tororo-Malaba-24h'!G30,'17.08 Tororo-Malaba-24h'!G30,'18.08 Tororo-Malaba'!G30)</f>
        <v>0</v>
      </c>
      <c r="H30" s="49">
        <f>AVERAGE('12.08 Tororo-Malaba'!H30,'13.08 Tororo-Malaba'!H30,'14.08 Tororo-Malaba'!H30,'15.08 Tororo-Malaba'!H30,'16.08 Tororo-Malaba-24h'!H30,'17.08 Tororo-Malaba-24h'!H30,'18.08 Tororo-Malaba'!H30)</f>
        <v>0</v>
      </c>
      <c r="I30" s="49">
        <f>AVERAGE('12.08 Tororo-Malaba'!I30,'13.08 Tororo-Malaba'!I30,'14.08 Tororo-Malaba'!I30,'15.08 Tororo-Malaba'!I30,'16.08 Tororo-Malaba-24h'!I30,'17.08 Tororo-Malaba-24h'!I30,'18.08 Tororo-Malaba'!I30)</f>
        <v>0.42857142857142855</v>
      </c>
      <c r="J30" s="49">
        <f>AVERAGE('12.08 Tororo-Malaba'!J30,'13.08 Tororo-Malaba'!J30,'14.08 Tororo-Malaba'!J30,'15.08 Tororo-Malaba'!J30,'16.08 Tororo-Malaba-24h'!J30,'17.08 Tororo-Malaba-24h'!J30,'18.08 Tororo-Malaba'!J30)</f>
        <v>0</v>
      </c>
      <c r="K30" s="49">
        <f>AVERAGE('12.08 Tororo-Malaba'!K30,'13.08 Tororo-Malaba'!K30,'14.08 Tororo-Malaba'!K30,'15.08 Tororo-Malaba'!K30,'16.08 Tororo-Malaba-24h'!K30,'17.08 Tororo-Malaba-24h'!K30,'18.08 Tororo-Malaba'!K30)</f>
        <v>0</v>
      </c>
      <c r="L30" s="49">
        <f>AVERAGE('12.08 Tororo-Malaba'!L30,'13.08 Tororo-Malaba'!L30,'14.08 Tororo-Malaba'!L30,'15.08 Tororo-Malaba'!L30,'16.08 Tororo-Malaba-24h'!L30,'17.08 Tororo-Malaba-24h'!L30,'18.08 Tororo-Malaba'!L30)</f>
        <v>0</v>
      </c>
      <c r="M30" s="49">
        <f>AVERAGE('12.08 Tororo-Malaba'!M30,'13.08 Tororo-Malaba'!M30,'14.08 Tororo-Malaba'!M30,'15.08 Tororo-Malaba'!M30,'16.08 Tororo-Malaba-24h'!M30,'17.08 Tororo-Malaba-24h'!M30,'18.08 Tororo-Malaba'!M30)</f>
        <v>28.285714285714285</v>
      </c>
      <c r="N30" s="49">
        <f>AVERAGE('12.08 Tororo-Malaba'!N30,'13.08 Tororo-Malaba'!N30,'14.08 Tororo-Malaba'!N30,'15.08 Tororo-Malaba'!N30,'16.08 Tororo-Malaba-24h'!N30,'17.08 Tororo-Malaba-24h'!N30,'18.08 Tororo-Malaba'!N30)</f>
        <v>0</v>
      </c>
      <c r="O30" s="15">
        <f t="shared" si="0"/>
        <v>7.7142857142857144</v>
      </c>
      <c r="P30" s="15">
        <f t="shared" si="1"/>
        <v>36</v>
      </c>
      <c r="R30" s="1" t="s">
        <v>154</v>
      </c>
      <c r="S30" s="34">
        <f>SUM(C90:C93)</f>
        <v>1.5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1.5</v>
      </c>
      <c r="W30" s="34">
        <f t="shared" si="22"/>
        <v>0</v>
      </c>
      <c r="X30" s="34">
        <f t="shared" si="22"/>
        <v>0.5</v>
      </c>
      <c r="Y30" s="34">
        <f t="shared" si="22"/>
        <v>1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22</v>
      </c>
      <c r="AD30" s="34">
        <f t="shared" si="22"/>
        <v>0</v>
      </c>
      <c r="AE30" s="31">
        <f t="shared" si="22"/>
        <v>5.5</v>
      </c>
      <c r="AF30" s="31">
        <f t="shared" si="22"/>
        <v>27.5</v>
      </c>
    </row>
    <row r="31" spans="2:32" ht="23.1" customHeight="1" x14ac:dyDescent="0.25">
      <c r="B31" s="24" t="s">
        <v>58</v>
      </c>
      <c r="C31" s="49">
        <f>AVERAGE('12.08 Tororo-Malaba'!C31,'13.08 Tororo-Malaba'!C31,'14.08 Tororo-Malaba'!C31,'15.08 Tororo-Malaba'!C31,'16.08 Tororo-Malaba-24h'!C31,'17.08 Tororo-Malaba-24h'!C31,'18.08 Tororo-Malaba'!C31)</f>
        <v>1.8571428571428572</v>
      </c>
      <c r="D31" s="49">
        <f>AVERAGE('12.08 Tororo-Malaba'!D31,'13.08 Tororo-Malaba'!D31,'14.08 Tororo-Malaba'!D31,'15.08 Tororo-Malaba'!D31,'16.08 Tororo-Malaba-24h'!D31,'17.08 Tororo-Malaba-24h'!D31,'18.08 Tororo-Malaba'!D31)</f>
        <v>0.42857142857142855</v>
      </c>
      <c r="E31" s="49">
        <f>AVERAGE('12.08 Tororo-Malaba'!E31,'13.08 Tororo-Malaba'!E31,'14.08 Tororo-Malaba'!E31,'15.08 Tororo-Malaba'!E31,'16.08 Tororo-Malaba-24h'!E31,'17.08 Tororo-Malaba-24h'!E31,'18.08 Tororo-Malaba'!E31)</f>
        <v>2.5714285714285716</v>
      </c>
      <c r="F31" s="49">
        <f>AVERAGE('12.08 Tororo-Malaba'!F31,'13.08 Tororo-Malaba'!F31,'14.08 Tororo-Malaba'!F31,'15.08 Tororo-Malaba'!F31,'16.08 Tororo-Malaba-24h'!F31,'17.08 Tororo-Malaba-24h'!F31,'18.08 Tororo-Malaba'!F31)</f>
        <v>1.5714285714285714</v>
      </c>
      <c r="G31" s="49">
        <f>AVERAGE('12.08 Tororo-Malaba'!G31,'13.08 Tororo-Malaba'!G31,'14.08 Tororo-Malaba'!G31,'15.08 Tororo-Malaba'!G31,'16.08 Tororo-Malaba-24h'!G31,'17.08 Tororo-Malaba-24h'!G31,'18.08 Tororo-Malaba'!G31)</f>
        <v>0.2857142857142857</v>
      </c>
      <c r="H31" s="49">
        <f>AVERAGE('12.08 Tororo-Malaba'!H31,'13.08 Tororo-Malaba'!H31,'14.08 Tororo-Malaba'!H31,'15.08 Tororo-Malaba'!H31,'16.08 Tororo-Malaba-24h'!H31,'17.08 Tororo-Malaba-24h'!H31,'18.08 Tororo-Malaba'!H31)</f>
        <v>0</v>
      </c>
      <c r="I31" s="49">
        <f>AVERAGE('12.08 Tororo-Malaba'!I31,'13.08 Tororo-Malaba'!I31,'14.08 Tororo-Malaba'!I31,'15.08 Tororo-Malaba'!I31,'16.08 Tororo-Malaba-24h'!I31,'17.08 Tororo-Malaba-24h'!I31,'18.08 Tororo-Malaba'!I31)</f>
        <v>0.2857142857142857</v>
      </c>
      <c r="J31" s="49">
        <f>AVERAGE('12.08 Tororo-Malaba'!J31,'13.08 Tororo-Malaba'!J31,'14.08 Tororo-Malaba'!J31,'15.08 Tororo-Malaba'!J31,'16.08 Tororo-Malaba-24h'!J31,'17.08 Tororo-Malaba-24h'!J31,'18.08 Tororo-Malaba'!J31)</f>
        <v>0</v>
      </c>
      <c r="K31" s="49">
        <f>AVERAGE('12.08 Tororo-Malaba'!K31,'13.08 Tororo-Malaba'!K31,'14.08 Tororo-Malaba'!K31,'15.08 Tororo-Malaba'!K31,'16.08 Tororo-Malaba-24h'!K31,'17.08 Tororo-Malaba-24h'!K31,'18.08 Tororo-Malaba'!K31)</f>
        <v>0</v>
      </c>
      <c r="L31" s="49">
        <f>AVERAGE('12.08 Tororo-Malaba'!L31,'13.08 Tororo-Malaba'!L31,'14.08 Tororo-Malaba'!L31,'15.08 Tororo-Malaba'!L31,'16.08 Tororo-Malaba-24h'!L31,'17.08 Tororo-Malaba-24h'!L31,'18.08 Tororo-Malaba'!L31)</f>
        <v>0</v>
      </c>
      <c r="M31" s="49">
        <f>AVERAGE('12.08 Tororo-Malaba'!M31,'13.08 Tororo-Malaba'!M31,'14.08 Tororo-Malaba'!M31,'15.08 Tororo-Malaba'!M31,'16.08 Tororo-Malaba-24h'!M31,'17.08 Tororo-Malaba-24h'!M31,'18.08 Tororo-Malaba'!M31)</f>
        <v>26.571428571428573</v>
      </c>
      <c r="N31" s="49">
        <f>AVERAGE('12.08 Tororo-Malaba'!N31,'13.08 Tororo-Malaba'!N31,'14.08 Tororo-Malaba'!N31,'15.08 Tororo-Malaba'!N31,'16.08 Tororo-Malaba-24h'!N31,'17.08 Tororo-Malaba-24h'!N31,'18.08 Tororo-Malaba'!N31)</f>
        <v>0</v>
      </c>
      <c r="O31" s="15">
        <f t="shared" si="0"/>
        <v>7</v>
      </c>
      <c r="P31" s="15">
        <f t="shared" si="1"/>
        <v>33.571428571428569</v>
      </c>
      <c r="R31" s="1" t="s">
        <v>155</v>
      </c>
      <c r="S31" s="34">
        <f>SUM(C94:C97)</f>
        <v>0.5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23</v>
      </c>
      <c r="AD31" s="34">
        <f t="shared" si="23"/>
        <v>0</v>
      </c>
      <c r="AE31" s="31">
        <f t="shared" si="23"/>
        <v>4.5</v>
      </c>
      <c r="AF31" s="31">
        <f t="shared" si="23"/>
        <v>27.5</v>
      </c>
    </row>
    <row r="32" spans="2:32" ht="23.1" customHeight="1" x14ac:dyDescent="0.25">
      <c r="B32" s="24" t="s">
        <v>59</v>
      </c>
      <c r="C32" s="49">
        <f>AVERAGE('12.08 Tororo-Malaba'!C32,'13.08 Tororo-Malaba'!C32,'14.08 Tororo-Malaba'!C32,'15.08 Tororo-Malaba'!C32,'16.08 Tororo-Malaba-24h'!C32,'17.08 Tororo-Malaba-24h'!C32,'18.08 Tororo-Malaba'!C32)</f>
        <v>3.1428571428571428</v>
      </c>
      <c r="D32" s="49">
        <f>AVERAGE('12.08 Tororo-Malaba'!D32,'13.08 Tororo-Malaba'!D32,'14.08 Tororo-Malaba'!D32,'15.08 Tororo-Malaba'!D32,'16.08 Tororo-Malaba-24h'!D32,'17.08 Tororo-Malaba-24h'!D32,'18.08 Tororo-Malaba'!D32)</f>
        <v>0</v>
      </c>
      <c r="E32" s="49">
        <f>AVERAGE('12.08 Tororo-Malaba'!E32,'13.08 Tororo-Malaba'!E32,'14.08 Tororo-Malaba'!E32,'15.08 Tororo-Malaba'!E32,'16.08 Tororo-Malaba-24h'!E32,'17.08 Tororo-Malaba-24h'!E32,'18.08 Tororo-Malaba'!E32)</f>
        <v>1.8571428571428572</v>
      </c>
      <c r="F32" s="49">
        <f>AVERAGE('12.08 Tororo-Malaba'!F32,'13.08 Tororo-Malaba'!F32,'14.08 Tororo-Malaba'!F32,'15.08 Tororo-Malaba'!F32,'16.08 Tororo-Malaba-24h'!F32,'17.08 Tororo-Malaba-24h'!F32,'18.08 Tororo-Malaba'!F32)</f>
        <v>2.2857142857142856</v>
      </c>
      <c r="G32" s="49">
        <f>AVERAGE('12.08 Tororo-Malaba'!G32,'13.08 Tororo-Malaba'!G32,'14.08 Tororo-Malaba'!G32,'15.08 Tororo-Malaba'!G32,'16.08 Tororo-Malaba-24h'!G32,'17.08 Tororo-Malaba-24h'!G32,'18.08 Tororo-Malaba'!G32)</f>
        <v>0</v>
      </c>
      <c r="H32" s="49">
        <f>AVERAGE('12.08 Tororo-Malaba'!H32,'13.08 Tororo-Malaba'!H32,'14.08 Tororo-Malaba'!H32,'15.08 Tororo-Malaba'!H32,'16.08 Tororo-Malaba-24h'!H32,'17.08 Tororo-Malaba-24h'!H32,'18.08 Tororo-Malaba'!H32)</f>
        <v>0</v>
      </c>
      <c r="I32" s="49">
        <f>AVERAGE('12.08 Tororo-Malaba'!I32,'13.08 Tororo-Malaba'!I32,'14.08 Tororo-Malaba'!I32,'15.08 Tororo-Malaba'!I32,'16.08 Tororo-Malaba-24h'!I32,'17.08 Tororo-Malaba-24h'!I32,'18.08 Tororo-Malaba'!I32)</f>
        <v>0.8571428571428571</v>
      </c>
      <c r="J32" s="49">
        <f>AVERAGE('12.08 Tororo-Malaba'!J32,'13.08 Tororo-Malaba'!J32,'14.08 Tororo-Malaba'!J32,'15.08 Tororo-Malaba'!J32,'16.08 Tororo-Malaba-24h'!J32,'17.08 Tororo-Malaba-24h'!J32,'18.08 Tororo-Malaba'!J32)</f>
        <v>0.14285714285714285</v>
      </c>
      <c r="K32" s="49">
        <f>AVERAGE('12.08 Tororo-Malaba'!K32,'13.08 Tororo-Malaba'!K32,'14.08 Tororo-Malaba'!K32,'15.08 Tororo-Malaba'!K32,'16.08 Tororo-Malaba-24h'!K32,'17.08 Tororo-Malaba-24h'!K32,'18.08 Tororo-Malaba'!K32)</f>
        <v>0</v>
      </c>
      <c r="L32" s="49">
        <f>AVERAGE('12.08 Tororo-Malaba'!L32,'13.08 Tororo-Malaba'!L32,'14.08 Tororo-Malaba'!L32,'15.08 Tororo-Malaba'!L32,'16.08 Tororo-Malaba-24h'!L32,'17.08 Tororo-Malaba-24h'!L32,'18.08 Tororo-Malaba'!L32)</f>
        <v>0</v>
      </c>
      <c r="M32" s="49">
        <f>AVERAGE('12.08 Tororo-Malaba'!M32,'13.08 Tororo-Malaba'!M32,'14.08 Tororo-Malaba'!M32,'15.08 Tororo-Malaba'!M32,'16.08 Tororo-Malaba-24h'!M32,'17.08 Tororo-Malaba-24h'!M32,'18.08 Tororo-Malaba'!M32)</f>
        <v>29.285714285714285</v>
      </c>
      <c r="N32" s="49">
        <f>AVERAGE('12.08 Tororo-Malaba'!N32,'13.08 Tororo-Malaba'!N32,'14.08 Tororo-Malaba'!N32,'15.08 Tororo-Malaba'!N32,'16.08 Tororo-Malaba-24h'!N32,'17.08 Tororo-Malaba-24h'!N32,'18.08 Tororo-Malaba'!N32)</f>
        <v>0</v>
      </c>
      <c r="O32" s="15">
        <f t="shared" si="0"/>
        <v>8.2857142857142847</v>
      </c>
      <c r="P32" s="15">
        <f t="shared" si="1"/>
        <v>37.571428571428569</v>
      </c>
      <c r="R32" s="1" t="s">
        <v>156</v>
      </c>
      <c r="S32" s="34">
        <f>SUM(C98:C101)</f>
        <v>0.5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3</v>
      </c>
      <c r="W32" s="34">
        <f t="shared" si="24"/>
        <v>0</v>
      </c>
      <c r="X32" s="34">
        <f t="shared" si="24"/>
        <v>0.5</v>
      </c>
      <c r="Y32" s="34">
        <f t="shared" si="24"/>
        <v>0.5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20</v>
      </c>
      <c r="AD32" s="34">
        <f t="shared" si="24"/>
        <v>0</v>
      </c>
      <c r="AE32" s="31">
        <f t="shared" si="24"/>
        <v>5</v>
      </c>
      <c r="AF32" s="31">
        <f t="shared" si="24"/>
        <v>25</v>
      </c>
    </row>
    <row r="33" spans="2:32" ht="23.1" customHeight="1" x14ac:dyDescent="0.25">
      <c r="B33" s="23" t="s">
        <v>60</v>
      </c>
      <c r="C33" s="49">
        <f>AVERAGE('12.08 Tororo-Malaba'!C33,'13.08 Tororo-Malaba'!C33,'14.08 Tororo-Malaba'!C33,'15.08 Tororo-Malaba'!C33,'16.08 Tororo-Malaba-24h'!C33,'17.08 Tororo-Malaba-24h'!C33,'18.08 Tororo-Malaba'!C33)</f>
        <v>2.1428571428571428</v>
      </c>
      <c r="D33" s="49">
        <f>AVERAGE('12.08 Tororo-Malaba'!D33,'13.08 Tororo-Malaba'!D33,'14.08 Tororo-Malaba'!D33,'15.08 Tororo-Malaba'!D33,'16.08 Tororo-Malaba-24h'!D33,'17.08 Tororo-Malaba-24h'!D33,'18.08 Tororo-Malaba'!D33)</f>
        <v>0</v>
      </c>
      <c r="E33" s="49">
        <f>AVERAGE('12.08 Tororo-Malaba'!E33,'13.08 Tororo-Malaba'!E33,'14.08 Tororo-Malaba'!E33,'15.08 Tororo-Malaba'!E33,'16.08 Tororo-Malaba-24h'!E33,'17.08 Tororo-Malaba-24h'!E33,'18.08 Tororo-Malaba'!E33)</f>
        <v>1.1428571428571428</v>
      </c>
      <c r="F33" s="49">
        <f>AVERAGE('12.08 Tororo-Malaba'!F33,'13.08 Tororo-Malaba'!F33,'14.08 Tororo-Malaba'!F33,'15.08 Tororo-Malaba'!F33,'16.08 Tororo-Malaba-24h'!F33,'17.08 Tororo-Malaba-24h'!F33,'18.08 Tororo-Malaba'!F33)</f>
        <v>2.1428571428571428</v>
      </c>
      <c r="G33" s="49">
        <f>AVERAGE('12.08 Tororo-Malaba'!G33,'13.08 Tororo-Malaba'!G33,'14.08 Tororo-Malaba'!G33,'15.08 Tororo-Malaba'!G33,'16.08 Tororo-Malaba-24h'!G33,'17.08 Tororo-Malaba-24h'!G33,'18.08 Tororo-Malaba'!G33)</f>
        <v>0.14285714285714285</v>
      </c>
      <c r="H33" s="49">
        <f>AVERAGE('12.08 Tororo-Malaba'!H33,'13.08 Tororo-Malaba'!H33,'14.08 Tororo-Malaba'!H33,'15.08 Tororo-Malaba'!H33,'16.08 Tororo-Malaba-24h'!H33,'17.08 Tororo-Malaba-24h'!H33,'18.08 Tororo-Malaba'!H33)</f>
        <v>0</v>
      </c>
      <c r="I33" s="49">
        <f>AVERAGE('12.08 Tororo-Malaba'!I33,'13.08 Tororo-Malaba'!I33,'14.08 Tororo-Malaba'!I33,'15.08 Tororo-Malaba'!I33,'16.08 Tororo-Malaba-24h'!I33,'17.08 Tororo-Malaba-24h'!I33,'18.08 Tororo-Malaba'!I33)</f>
        <v>0.7142857142857143</v>
      </c>
      <c r="J33" s="49">
        <f>AVERAGE('12.08 Tororo-Malaba'!J33,'13.08 Tororo-Malaba'!J33,'14.08 Tororo-Malaba'!J33,'15.08 Tororo-Malaba'!J33,'16.08 Tororo-Malaba-24h'!J33,'17.08 Tororo-Malaba-24h'!J33,'18.08 Tororo-Malaba'!J33)</f>
        <v>0</v>
      </c>
      <c r="K33" s="49">
        <f>AVERAGE('12.08 Tororo-Malaba'!K33,'13.08 Tororo-Malaba'!K33,'14.08 Tororo-Malaba'!K33,'15.08 Tororo-Malaba'!K33,'16.08 Tororo-Malaba-24h'!K33,'17.08 Tororo-Malaba-24h'!K33,'18.08 Tororo-Malaba'!K33)</f>
        <v>0</v>
      </c>
      <c r="L33" s="49">
        <f>AVERAGE('12.08 Tororo-Malaba'!L33,'13.08 Tororo-Malaba'!L33,'14.08 Tororo-Malaba'!L33,'15.08 Tororo-Malaba'!L33,'16.08 Tororo-Malaba-24h'!L33,'17.08 Tororo-Malaba-24h'!L33,'18.08 Tororo-Malaba'!L33)</f>
        <v>0</v>
      </c>
      <c r="M33" s="49">
        <f>AVERAGE('12.08 Tororo-Malaba'!M33,'13.08 Tororo-Malaba'!M33,'14.08 Tororo-Malaba'!M33,'15.08 Tororo-Malaba'!M33,'16.08 Tororo-Malaba-24h'!M33,'17.08 Tororo-Malaba-24h'!M33,'18.08 Tororo-Malaba'!M33)</f>
        <v>22.571428571428573</v>
      </c>
      <c r="N33" s="49">
        <f>AVERAGE('12.08 Tororo-Malaba'!N33,'13.08 Tororo-Malaba'!N33,'14.08 Tororo-Malaba'!N33,'15.08 Tororo-Malaba'!N33,'16.08 Tororo-Malaba-24h'!N33,'17.08 Tororo-Malaba-24h'!N33,'18.08 Tororo-Malaba'!N33)</f>
        <v>0</v>
      </c>
      <c r="O33" s="15">
        <f t="shared" si="0"/>
        <v>6.2857142857142865</v>
      </c>
      <c r="P33" s="15">
        <f t="shared" si="1"/>
        <v>28.857142857142861</v>
      </c>
      <c r="R33" s="1" t="s">
        <v>157</v>
      </c>
      <c r="S33" s="34">
        <f>SUM(C102:C105)</f>
        <v>4.5</v>
      </c>
      <c r="T33" s="34">
        <f t="shared" ref="T33:AF33" si="25">SUM(D102:D105)</f>
        <v>0</v>
      </c>
      <c r="U33" s="34">
        <f t="shared" si="25"/>
        <v>0.5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1.5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53.5</v>
      </c>
      <c r="AD33" s="34">
        <f t="shared" si="25"/>
        <v>0</v>
      </c>
      <c r="AE33" s="31">
        <f t="shared" si="25"/>
        <v>10</v>
      </c>
      <c r="AF33" s="31">
        <f t="shared" si="25"/>
        <v>63.5</v>
      </c>
    </row>
    <row r="34" spans="2:32" ht="23.1" customHeight="1" x14ac:dyDescent="0.25">
      <c r="B34" s="24" t="s">
        <v>61</v>
      </c>
      <c r="C34" s="49">
        <f>AVERAGE('12.08 Tororo-Malaba'!C34,'13.08 Tororo-Malaba'!C34,'14.08 Tororo-Malaba'!C34,'15.08 Tororo-Malaba'!C34,'16.08 Tororo-Malaba-24h'!C34,'17.08 Tororo-Malaba-24h'!C34,'18.08 Tororo-Malaba'!C34)</f>
        <v>2.1428571428571428</v>
      </c>
      <c r="D34" s="49">
        <f>AVERAGE('12.08 Tororo-Malaba'!D34,'13.08 Tororo-Malaba'!D34,'14.08 Tororo-Malaba'!D34,'15.08 Tororo-Malaba'!D34,'16.08 Tororo-Malaba-24h'!D34,'17.08 Tororo-Malaba-24h'!D34,'18.08 Tororo-Malaba'!D34)</f>
        <v>0</v>
      </c>
      <c r="E34" s="49">
        <f>AVERAGE('12.08 Tororo-Malaba'!E34,'13.08 Tororo-Malaba'!E34,'14.08 Tororo-Malaba'!E34,'15.08 Tororo-Malaba'!E34,'16.08 Tororo-Malaba-24h'!E34,'17.08 Tororo-Malaba-24h'!E34,'18.08 Tororo-Malaba'!E34)</f>
        <v>1</v>
      </c>
      <c r="F34" s="49">
        <f>AVERAGE('12.08 Tororo-Malaba'!F34,'13.08 Tororo-Malaba'!F34,'14.08 Tororo-Malaba'!F34,'15.08 Tororo-Malaba'!F34,'16.08 Tororo-Malaba-24h'!F34,'17.08 Tororo-Malaba-24h'!F34,'18.08 Tororo-Malaba'!F34)</f>
        <v>2.8571428571428572</v>
      </c>
      <c r="G34" s="49">
        <f>AVERAGE('12.08 Tororo-Malaba'!G34,'13.08 Tororo-Malaba'!G34,'14.08 Tororo-Malaba'!G34,'15.08 Tororo-Malaba'!G34,'16.08 Tororo-Malaba-24h'!G34,'17.08 Tororo-Malaba-24h'!G34,'18.08 Tororo-Malaba'!G34)</f>
        <v>0</v>
      </c>
      <c r="H34" s="49">
        <f>AVERAGE('12.08 Tororo-Malaba'!H34,'13.08 Tororo-Malaba'!H34,'14.08 Tororo-Malaba'!H34,'15.08 Tororo-Malaba'!H34,'16.08 Tororo-Malaba-24h'!H34,'17.08 Tororo-Malaba-24h'!H34,'18.08 Tororo-Malaba'!H34)</f>
        <v>0</v>
      </c>
      <c r="I34" s="49">
        <f>AVERAGE('12.08 Tororo-Malaba'!I34,'13.08 Tororo-Malaba'!I34,'14.08 Tororo-Malaba'!I34,'15.08 Tororo-Malaba'!I34,'16.08 Tororo-Malaba-24h'!I34,'17.08 Tororo-Malaba-24h'!I34,'18.08 Tororo-Malaba'!I34)</f>
        <v>0.2857142857142857</v>
      </c>
      <c r="J34" s="49">
        <f>AVERAGE('12.08 Tororo-Malaba'!J34,'13.08 Tororo-Malaba'!J34,'14.08 Tororo-Malaba'!J34,'15.08 Tororo-Malaba'!J34,'16.08 Tororo-Malaba-24h'!J34,'17.08 Tororo-Malaba-24h'!J34,'18.08 Tororo-Malaba'!J34)</f>
        <v>0</v>
      </c>
      <c r="K34" s="49">
        <f>AVERAGE('12.08 Tororo-Malaba'!K34,'13.08 Tororo-Malaba'!K34,'14.08 Tororo-Malaba'!K34,'15.08 Tororo-Malaba'!K34,'16.08 Tororo-Malaba-24h'!K34,'17.08 Tororo-Malaba-24h'!K34,'18.08 Tororo-Malaba'!K34)</f>
        <v>0</v>
      </c>
      <c r="L34" s="49">
        <f>AVERAGE('12.08 Tororo-Malaba'!L34,'13.08 Tororo-Malaba'!L34,'14.08 Tororo-Malaba'!L34,'15.08 Tororo-Malaba'!L34,'16.08 Tororo-Malaba-24h'!L34,'17.08 Tororo-Malaba-24h'!L34,'18.08 Tororo-Malaba'!L34)</f>
        <v>0</v>
      </c>
      <c r="M34" s="49">
        <f>AVERAGE('12.08 Tororo-Malaba'!M34,'13.08 Tororo-Malaba'!M34,'14.08 Tororo-Malaba'!M34,'15.08 Tororo-Malaba'!M34,'16.08 Tororo-Malaba-24h'!M34,'17.08 Tororo-Malaba-24h'!M34,'18.08 Tororo-Malaba'!M34)</f>
        <v>23.857142857142858</v>
      </c>
      <c r="N34" s="49">
        <f>AVERAGE('12.08 Tororo-Malaba'!N34,'13.08 Tororo-Malaba'!N34,'14.08 Tororo-Malaba'!N34,'15.08 Tororo-Malaba'!N34,'16.08 Tororo-Malaba-24h'!N34,'17.08 Tororo-Malaba-24h'!N34,'18.08 Tororo-Malaba'!N34)</f>
        <v>0</v>
      </c>
      <c r="O34" s="15">
        <f t="shared" si="0"/>
        <v>6.2857142857142856</v>
      </c>
      <c r="P34" s="15">
        <f t="shared" si="1"/>
        <v>30.142857142857142</v>
      </c>
      <c r="R34" s="38" t="s">
        <v>90</v>
      </c>
      <c r="S34" s="39">
        <f t="shared" ref="S34:AF34" si="26">MAX(S10:S12)</f>
        <v>8.1428571428571423</v>
      </c>
      <c r="T34" s="39">
        <f t="shared" si="26"/>
        <v>0.42857142857142855</v>
      </c>
      <c r="U34" s="39">
        <f t="shared" si="26"/>
        <v>7.4285714285714288</v>
      </c>
      <c r="V34" s="39">
        <f t="shared" si="26"/>
        <v>7.7142857142857153</v>
      </c>
      <c r="W34" s="39">
        <f t="shared" si="26"/>
        <v>0.8571428571428571</v>
      </c>
      <c r="X34" s="39">
        <f t="shared" si="26"/>
        <v>0.14285714285714285</v>
      </c>
      <c r="Y34" s="39">
        <f t="shared" si="26"/>
        <v>3.5714285714285716</v>
      </c>
      <c r="Z34" s="39">
        <f t="shared" si="26"/>
        <v>0.2857142857142857</v>
      </c>
      <c r="AA34" s="39">
        <f t="shared" si="26"/>
        <v>0</v>
      </c>
      <c r="AB34" s="39">
        <f t="shared" si="26"/>
        <v>0</v>
      </c>
      <c r="AC34" s="39">
        <f t="shared" si="26"/>
        <v>103.85714285714286</v>
      </c>
      <c r="AD34" s="39">
        <f t="shared" si="26"/>
        <v>0.5714285714285714</v>
      </c>
      <c r="AE34" s="40">
        <f t="shared" si="26"/>
        <v>26.571428571428573</v>
      </c>
      <c r="AF34" s="40">
        <f t="shared" si="26"/>
        <v>130.42857142857144</v>
      </c>
    </row>
    <row r="35" spans="2:32" ht="23.1" customHeight="1" x14ac:dyDescent="0.25">
      <c r="B35" s="24" t="s">
        <v>62</v>
      </c>
      <c r="C35" s="49">
        <f>AVERAGE('12.08 Tororo-Malaba'!C35,'13.08 Tororo-Malaba'!C35,'14.08 Tororo-Malaba'!C35,'15.08 Tororo-Malaba'!C35,'16.08 Tororo-Malaba-24h'!C35,'17.08 Tororo-Malaba-24h'!C35,'18.08 Tororo-Malaba'!C35)</f>
        <v>3.2857142857142856</v>
      </c>
      <c r="D35" s="49">
        <f>AVERAGE('12.08 Tororo-Malaba'!D35,'13.08 Tororo-Malaba'!D35,'14.08 Tororo-Malaba'!D35,'15.08 Tororo-Malaba'!D35,'16.08 Tororo-Malaba-24h'!D35,'17.08 Tororo-Malaba-24h'!D35,'18.08 Tororo-Malaba'!D35)</f>
        <v>0.42857142857142855</v>
      </c>
      <c r="E35" s="49">
        <f>AVERAGE('12.08 Tororo-Malaba'!E35,'13.08 Tororo-Malaba'!E35,'14.08 Tororo-Malaba'!E35,'15.08 Tororo-Malaba'!E35,'16.08 Tororo-Malaba-24h'!E35,'17.08 Tororo-Malaba-24h'!E35,'18.08 Tororo-Malaba'!E35)</f>
        <v>3.1428571428571428</v>
      </c>
      <c r="F35" s="49">
        <f>AVERAGE('12.08 Tororo-Malaba'!F35,'13.08 Tororo-Malaba'!F35,'14.08 Tororo-Malaba'!F35,'15.08 Tororo-Malaba'!F35,'16.08 Tororo-Malaba-24h'!F35,'17.08 Tororo-Malaba-24h'!F35,'18.08 Tororo-Malaba'!F35)</f>
        <v>3.2857142857142856</v>
      </c>
      <c r="G35" s="49">
        <f>AVERAGE('12.08 Tororo-Malaba'!G35,'13.08 Tororo-Malaba'!G35,'14.08 Tororo-Malaba'!G35,'15.08 Tororo-Malaba'!G35,'16.08 Tororo-Malaba-24h'!G35,'17.08 Tororo-Malaba-24h'!G35,'18.08 Tororo-Malaba'!G35)</f>
        <v>0</v>
      </c>
      <c r="H35" s="49">
        <f>AVERAGE('12.08 Tororo-Malaba'!H35,'13.08 Tororo-Malaba'!H35,'14.08 Tororo-Malaba'!H35,'15.08 Tororo-Malaba'!H35,'16.08 Tororo-Malaba-24h'!H35,'17.08 Tororo-Malaba-24h'!H35,'18.08 Tororo-Malaba'!H35)</f>
        <v>0</v>
      </c>
      <c r="I35" s="49">
        <f>AVERAGE('12.08 Tororo-Malaba'!I35,'13.08 Tororo-Malaba'!I35,'14.08 Tororo-Malaba'!I35,'15.08 Tororo-Malaba'!I35,'16.08 Tororo-Malaba-24h'!I35,'17.08 Tororo-Malaba-24h'!I35,'18.08 Tororo-Malaba'!I35)</f>
        <v>0.2857142857142857</v>
      </c>
      <c r="J35" s="49">
        <f>AVERAGE('12.08 Tororo-Malaba'!J35,'13.08 Tororo-Malaba'!J35,'14.08 Tororo-Malaba'!J35,'15.08 Tororo-Malaba'!J35,'16.08 Tororo-Malaba-24h'!J35,'17.08 Tororo-Malaba-24h'!J35,'18.08 Tororo-Malaba'!J35)</f>
        <v>0</v>
      </c>
      <c r="K35" s="49">
        <f>AVERAGE('12.08 Tororo-Malaba'!K35,'13.08 Tororo-Malaba'!K35,'14.08 Tororo-Malaba'!K35,'15.08 Tororo-Malaba'!K35,'16.08 Tororo-Malaba-24h'!K35,'17.08 Tororo-Malaba-24h'!K35,'18.08 Tororo-Malaba'!K35)</f>
        <v>0</v>
      </c>
      <c r="L35" s="49">
        <f>AVERAGE('12.08 Tororo-Malaba'!L35,'13.08 Tororo-Malaba'!L35,'14.08 Tororo-Malaba'!L35,'15.08 Tororo-Malaba'!L35,'16.08 Tororo-Malaba-24h'!L35,'17.08 Tororo-Malaba-24h'!L35,'18.08 Tororo-Malaba'!L35)</f>
        <v>0</v>
      </c>
      <c r="M35" s="49">
        <f>AVERAGE('12.08 Tororo-Malaba'!M35,'13.08 Tororo-Malaba'!M35,'14.08 Tororo-Malaba'!M35,'15.08 Tororo-Malaba'!M35,'16.08 Tororo-Malaba-24h'!M35,'17.08 Tororo-Malaba-24h'!M35,'18.08 Tororo-Malaba'!M35)</f>
        <v>26.571428571428573</v>
      </c>
      <c r="N35" s="49">
        <f>AVERAGE('12.08 Tororo-Malaba'!N35,'13.08 Tororo-Malaba'!N35,'14.08 Tororo-Malaba'!N35,'15.08 Tororo-Malaba'!N35,'16.08 Tororo-Malaba-24h'!N35,'17.08 Tororo-Malaba-24h'!N35,'18.08 Tororo-Malaba'!N35)</f>
        <v>0</v>
      </c>
      <c r="O35" s="15">
        <f t="shared" si="0"/>
        <v>10.428571428571429</v>
      </c>
      <c r="P35" s="15">
        <f t="shared" si="1"/>
        <v>37</v>
      </c>
      <c r="R35" s="38" t="s">
        <v>91</v>
      </c>
      <c r="S35" s="39">
        <f t="shared" ref="S35:AF35" si="27">MAX(S13:S18)</f>
        <v>14.142857142857142</v>
      </c>
      <c r="T35" s="39">
        <f t="shared" si="27"/>
        <v>1.1428571428571428</v>
      </c>
      <c r="U35" s="39">
        <f t="shared" si="27"/>
        <v>9.7142857142857135</v>
      </c>
      <c r="V35" s="39">
        <f t="shared" si="27"/>
        <v>12.142857142857142</v>
      </c>
      <c r="W35" s="39">
        <f t="shared" si="27"/>
        <v>0.42857142857142855</v>
      </c>
      <c r="X35" s="39">
        <f t="shared" si="27"/>
        <v>0.42857142857142855</v>
      </c>
      <c r="Y35" s="39">
        <f t="shared" si="27"/>
        <v>3.2857142857142856</v>
      </c>
      <c r="Z35" s="39">
        <f t="shared" si="27"/>
        <v>0.8571428571428571</v>
      </c>
      <c r="AA35" s="39">
        <f t="shared" si="27"/>
        <v>0</v>
      </c>
      <c r="AB35" s="39">
        <f t="shared" si="27"/>
        <v>0</v>
      </c>
      <c r="AC35" s="39">
        <f t="shared" si="27"/>
        <v>107</v>
      </c>
      <c r="AD35" s="39">
        <f t="shared" si="27"/>
        <v>0.14285714285714285</v>
      </c>
      <c r="AE35" s="40">
        <f t="shared" si="27"/>
        <v>39</v>
      </c>
      <c r="AF35" s="40">
        <f t="shared" si="27"/>
        <v>141</v>
      </c>
    </row>
    <row r="36" spans="2:32" ht="23.1" customHeight="1" x14ac:dyDescent="0.25">
      <c r="B36" s="24" t="s">
        <v>63</v>
      </c>
      <c r="C36" s="49">
        <f>AVERAGE('12.08 Tororo-Malaba'!C36,'13.08 Tororo-Malaba'!C36,'14.08 Tororo-Malaba'!C36,'15.08 Tororo-Malaba'!C36,'16.08 Tororo-Malaba-24h'!C36,'17.08 Tororo-Malaba-24h'!C36,'18.08 Tororo-Malaba'!C36)</f>
        <v>4.2857142857142856</v>
      </c>
      <c r="D36" s="49">
        <f>AVERAGE('12.08 Tororo-Malaba'!D36,'13.08 Tororo-Malaba'!D36,'14.08 Tororo-Malaba'!D36,'15.08 Tororo-Malaba'!D36,'16.08 Tororo-Malaba-24h'!D36,'17.08 Tororo-Malaba-24h'!D36,'18.08 Tororo-Malaba'!D36)</f>
        <v>0.5714285714285714</v>
      </c>
      <c r="E36" s="49">
        <f>AVERAGE('12.08 Tororo-Malaba'!E36,'13.08 Tororo-Malaba'!E36,'14.08 Tororo-Malaba'!E36,'15.08 Tororo-Malaba'!E36,'16.08 Tororo-Malaba-24h'!E36,'17.08 Tororo-Malaba-24h'!E36,'18.08 Tororo-Malaba'!E36)</f>
        <v>2.7142857142857144</v>
      </c>
      <c r="F36" s="49">
        <f>AVERAGE('12.08 Tororo-Malaba'!F36,'13.08 Tororo-Malaba'!F36,'14.08 Tororo-Malaba'!F36,'15.08 Tororo-Malaba'!F36,'16.08 Tororo-Malaba-24h'!F36,'17.08 Tororo-Malaba-24h'!F36,'18.08 Tororo-Malaba'!F36)</f>
        <v>3.7142857142857144</v>
      </c>
      <c r="G36" s="49">
        <f>AVERAGE('12.08 Tororo-Malaba'!G36,'13.08 Tororo-Malaba'!G36,'14.08 Tororo-Malaba'!G36,'15.08 Tororo-Malaba'!G36,'16.08 Tororo-Malaba-24h'!G36,'17.08 Tororo-Malaba-24h'!G36,'18.08 Tororo-Malaba'!G36)</f>
        <v>0</v>
      </c>
      <c r="H36" s="49">
        <f>AVERAGE('12.08 Tororo-Malaba'!H36,'13.08 Tororo-Malaba'!H36,'14.08 Tororo-Malaba'!H36,'15.08 Tororo-Malaba'!H36,'16.08 Tororo-Malaba-24h'!H36,'17.08 Tororo-Malaba-24h'!H36,'18.08 Tororo-Malaba'!H36)</f>
        <v>0</v>
      </c>
      <c r="I36" s="49">
        <f>AVERAGE('12.08 Tororo-Malaba'!I36,'13.08 Tororo-Malaba'!I36,'14.08 Tororo-Malaba'!I36,'15.08 Tororo-Malaba'!I36,'16.08 Tororo-Malaba-24h'!I36,'17.08 Tororo-Malaba-24h'!I36,'18.08 Tororo-Malaba'!I36)</f>
        <v>0.7142857142857143</v>
      </c>
      <c r="J36" s="49">
        <f>AVERAGE('12.08 Tororo-Malaba'!J36,'13.08 Tororo-Malaba'!J36,'14.08 Tororo-Malaba'!J36,'15.08 Tororo-Malaba'!J36,'16.08 Tororo-Malaba-24h'!J36,'17.08 Tororo-Malaba-24h'!J36,'18.08 Tororo-Malaba'!J36)</f>
        <v>0.2857142857142857</v>
      </c>
      <c r="K36" s="49">
        <f>AVERAGE('12.08 Tororo-Malaba'!K36,'13.08 Tororo-Malaba'!K36,'14.08 Tororo-Malaba'!K36,'15.08 Tororo-Malaba'!K36,'16.08 Tororo-Malaba-24h'!K36,'17.08 Tororo-Malaba-24h'!K36,'18.08 Tororo-Malaba'!K36)</f>
        <v>0</v>
      </c>
      <c r="L36" s="49">
        <f>AVERAGE('12.08 Tororo-Malaba'!L36,'13.08 Tororo-Malaba'!L36,'14.08 Tororo-Malaba'!L36,'15.08 Tororo-Malaba'!L36,'16.08 Tororo-Malaba-24h'!L36,'17.08 Tororo-Malaba-24h'!L36,'18.08 Tororo-Malaba'!L36)</f>
        <v>0</v>
      </c>
      <c r="M36" s="49">
        <f>AVERAGE('12.08 Tororo-Malaba'!M36,'13.08 Tororo-Malaba'!M36,'14.08 Tororo-Malaba'!M36,'15.08 Tororo-Malaba'!M36,'16.08 Tororo-Malaba-24h'!M36,'17.08 Tororo-Malaba-24h'!M36,'18.08 Tororo-Malaba'!M36)</f>
        <v>23.571428571428573</v>
      </c>
      <c r="N36" s="49">
        <f>AVERAGE('12.08 Tororo-Malaba'!N36,'13.08 Tororo-Malaba'!N36,'14.08 Tororo-Malaba'!N36,'15.08 Tororo-Malaba'!N36,'16.08 Tororo-Malaba-24h'!N36,'17.08 Tororo-Malaba-24h'!N36,'18.08 Tororo-Malaba'!N36)</f>
        <v>0</v>
      </c>
      <c r="O36" s="15">
        <f t="shared" si="0"/>
        <v>12.285714285714285</v>
      </c>
      <c r="P36" s="15">
        <f t="shared" si="1"/>
        <v>35.857142857142861</v>
      </c>
      <c r="R36" s="38" t="s">
        <v>92</v>
      </c>
      <c r="S36" s="39">
        <f t="shared" ref="S36:AF36" si="28">MAX(S19:S21)</f>
        <v>13.142857142857142</v>
      </c>
      <c r="T36" s="39">
        <f t="shared" si="28"/>
        <v>0.8571428571428571</v>
      </c>
      <c r="U36" s="39">
        <f t="shared" si="28"/>
        <v>8</v>
      </c>
      <c r="V36" s="39">
        <f t="shared" si="28"/>
        <v>12.285714285714285</v>
      </c>
      <c r="W36" s="39">
        <f t="shared" si="28"/>
        <v>1.2857142857142856</v>
      </c>
      <c r="X36" s="39">
        <f t="shared" si="28"/>
        <v>2.1428571428571428</v>
      </c>
      <c r="Y36" s="39">
        <f t="shared" si="28"/>
        <v>4</v>
      </c>
      <c r="Z36" s="39">
        <f t="shared" si="28"/>
        <v>0.99999999999999989</v>
      </c>
      <c r="AA36" s="39">
        <f t="shared" si="28"/>
        <v>0.14285714285714285</v>
      </c>
      <c r="AB36" s="39">
        <f t="shared" si="28"/>
        <v>0</v>
      </c>
      <c r="AC36" s="39">
        <f t="shared" si="28"/>
        <v>98.428571428571416</v>
      </c>
      <c r="AD36" s="39">
        <f t="shared" si="28"/>
        <v>0</v>
      </c>
      <c r="AE36" s="40">
        <f t="shared" si="28"/>
        <v>36.428571428571431</v>
      </c>
      <c r="AF36" s="40">
        <f t="shared" si="28"/>
        <v>133.42857142857144</v>
      </c>
    </row>
    <row r="37" spans="2:32" ht="23.1" customHeight="1" x14ac:dyDescent="0.25">
      <c r="B37" s="23" t="s">
        <v>64</v>
      </c>
      <c r="C37" s="49">
        <f>AVERAGE('12.08 Tororo-Malaba'!C37,'13.08 Tororo-Malaba'!C37,'14.08 Tororo-Malaba'!C37,'15.08 Tororo-Malaba'!C37,'16.08 Tororo-Malaba-24h'!C37,'17.08 Tororo-Malaba-24h'!C37,'18.08 Tororo-Malaba'!C37)</f>
        <v>2.4285714285714284</v>
      </c>
      <c r="D37" s="49">
        <f>AVERAGE('12.08 Tororo-Malaba'!D37,'13.08 Tororo-Malaba'!D37,'14.08 Tororo-Malaba'!D37,'15.08 Tororo-Malaba'!D37,'16.08 Tororo-Malaba-24h'!D37,'17.08 Tororo-Malaba-24h'!D37,'18.08 Tororo-Malaba'!D37)</f>
        <v>0</v>
      </c>
      <c r="E37" s="49">
        <f>AVERAGE('12.08 Tororo-Malaba'!E37,'13.08 Tororo-Malaba'!E37,'14.08 Tororo-Malaba'!E37,'15.08 Tororo-Malaba'!E37,'16.08 Tororo-Malaba-24h'!E37,'17.08 Tororo-Malaba-24h'!E37,'18.08 Tororo-Malaba'!E37)</f>
        <v>1.4285714285714286</v>
      </c>
      <c r="F37" s="49">
        <f>AVERAGE('12.08 Tororo-Malaba'!F37,'13.08 Tororo-Malaba'!F37,'14.08 Tororo-Malaba'!F37,'15.08 Tororo-Malaba'!F37,'16.08 Tororo-Malaba-24h'!F37,'17.08 Tororo-Malaba-24h'!F37,'18.08 Tororo-Malaba'!F37)</f>
        <v>2.2857142857142856</v>
      </c>
      <c r="G37" s="49">
        <f>AVERAGE('12.08 Tororo-Malaba'!G37,'13.08 Tororo-Malaba'!G37,'14.08 Tororo-Malaba'!G37,'15.08 Tororo-Malaba'!G37,'16.08 Tororo-Malaba-24h'!G37,'17.08 Tororo-Malaba-24h'!G37,'18.08 Tororo-Malaba'!G37)</f>
        <v>0</v>
      </c>
      <c r="H37" s="49">
        <f>AVERAGE('12.08 Tororo-Malaba'!H37,'13.08 Tororo-Malaba'!H37,'14.08 Tororo-Malaba'!H37,'15.08 Tororo-Malaba'!H37,'16.08 Tororo-Malaba-24h'!H37,'17.08 Tororo-Malaba-24h'!H37,'18.08 Tororo-Malaba'!H37)</f>
        <v>0</v>
      </c>
      <c r="I37" s="49">
        <f>AVERAGE('12.08 Tororo-Malaba'!I37,'13.08 Tororo-Malaba'!I37,'14.08 Tororo-Malaba'!I37,'15.08 Tororo-Malaba'!I37,'16.08 Tororo-Malaba-24h'!I37,'17.08 Tororo-Malaba-24h'!I37,'18.08 Tororo-Malaba'!I37)</f>
        <v>1.4285714285714286</v>
      </c>
      <c r="J37" s="49">
        <f>AVERAGE('12.08 Tororo-Malaba'!J37,'13.08 Tororo-Malaba'!J37,'14.08 Tororo-Malaba'!J37,'15.08 Tororo-Malaba'!J37,'16.08 Tororo-Malaba-24h'!J37,'17.08 Tororo-Malaba-24h'!J37,'18.08 Tororo-Malaba'!J37)</f>
        <v>0</v>
      </c>
      <c r="K37" s="49">
        <f>AVERAGE('12.08 Tororo-Malaba'!K37,'13.08 Tororo-Malaba'!K37,'14.08 Tororo-Malaba'!K37,'15.08 Tororo-Malaba'!K37,'16.08 Tororo-Malaba-24h'!K37,'17.08 Tororo-Malaba-24h'!K37,'18.08 Tororo-Malaba'!K37)</f>
        <v>0</v>
      </c>
      <c r="L37" s="49">
        <f>AVERAGE('12.08 Tororo-Malaba'!L37,'13.08 Tororo-Malaba'!L37,'14.08 Tororo-Malaba'!L37,'15.08 Tororo-Malaba'!L37,'16.08 Tororo-Malaba-24h'!L37,'17.08 Tororo-Malaba-24h'!L37,'18.08 Tororo-Malaba'!L37)</f>
        <v>0</v>
      </c>
      <c r="M37" s="49">
        <f>AVERAGE('12.08 Tororo-Malaba'!M37,'13.08 Tororo-Malaba'!M37,'14.08 Tororo-Malaba'!M37,'15.08 Tororo-Malaba'!M37,'16.08 Tororo-Malaba-24h'!M37,'17.08 Tororo-Malaba-24h'!M37,'18.08 Tororo-Malaba'!M37)</f>
        <v>24.428571428571427</v>
      </c>
      <c r="N37" s="49">
        <f>AVERAGE('12.08 Tororo-Malaba'!N37,'13.08 Tororo-Malaba'!N37,'14.08 Tororo-Malaba'!N37,'15.08 Tororo-Malaba'!N37,'16.08 Tororo-Malaba-24h'!N37,'17.08 Tororo-Malaba-24h'!N37,'18.08 Tororo-Malaba'!N37)</f>
        <v>0</v>
      </c>
      <c r="O37" s="15">
        <f t="shared" si="0"/>
        <v>7.5714285714285712</v>
      </c>
      <c r="P37" s="15">
        <f t="shared" si="1"/>
        <v>32</v>
      </c>
      <c r="R37" s="37" t="s">
        <v>85</v>
      </c>
      <c r="S37" s="35">
        <f t="shared" ref="S37:AF37" si="29">SUM(S10:S12)</f>
        <v>21.428571428571431</v>
      </c>
      <c r="T37" s="16">
        <f t="shared" si="29"/>
        <v>1</v>
      </c>
      <c r="U37" s="16">
        <f t="shared" si="29"/>
        <v>15.857142857142856</v>
      </c>
      <c r="V37" s="16">
        <f t="shared" si="29"/>
        <v>17.428571428571431</v>
      </c>
      <c r="W37" s="16">
        <f t="shared" si="29"/>
        <v>0.8571428571428571</v>
      </c>
      <c r="X37" s="16">
        <f t="shared" si="29"/>
        <v>0.14285714285714285</v>
      </c>
      <c r="Y37" s="16">
        <f t="shared" si="29"/>
        <v>8.4285714285714288</v>
      </c>
      <c r="Z37" s="16">
        <f t="shared" si="29"/>
        <v>0.5714285714285714</v>
      </c>
      <c r="AA37" s="16">
        <f t="shared" si="29"/>
        <v>0</v>
      </c>
      <c r="AB37" s="16">
        <f t="shared" si="29"/>
        <v>0</v>
      </c>
      <c r="AC37" s="16">
        <f t="shared" si="29"/>
        <v>273.57142857142856</v>
      </c>
      <c r="AD37" s="16">
        <f t="shared" si="29"/>
        <v>0.71428571428571419</v>
      </c>
      <c r="AE37" s="32">
        <f t="shared" si="29"/>
        <v>66.428571428571431</v>
      </c>
      <c r="AF37" s="32">
        <f t="shared" si="29"/>
        <v>340</v>
      </c>
    </row>
    <row r="38" spans="2:32" ht="23.1" customHeight="1" x14ac:dyDescent="0.25">
      <c r="B38" s="24" t="s">
        <v>65</v>
      </c>
      <c r="C38" s="49">
        <f>AVERAGE('12.08 Tororo-Malaba'!C38,'13.08 Tororo-Malaba'!C38,'14.08 Tororo-Malaba'!C38,'15.08 Tororo-Malaba'!C38,'16.08 Tororo-Malaba-24h'!C38,'17.08 Tororo-Malaba-24h'!C38,'18.08 Tororo-Malaba'!C38)</f>
        <v>2.4285714285714284</v>
      </c>
      <c r="D38" s="49">
        <f>AVERAGE('12.08 Tororo-Malaba'!D38,'13.08 Tororo-Malaba'!D38,'14.08 Tororo-Malaba'!D38,'15.08 Tororo-Malaba'!D38,'16.08 Tororo-Malaba-24h'!D38,'17.08 Tororo-Malaba-24h'!D38,'18.08 Tororo-Malaba'!D38)</f>
        <v>0.42857142857142855</v>
      </c>
      <c r="E38" s="49">
        <f>AVERAGE('12.08 Tororo-Malaba'!E38,'13.08 Tororo-Malaba'!E38,'14.08 Tororo-Malaba'!E38,'15.08 Tororo-Malaba'!E38,'16.08 Tororo-Malaba-24h'!E38,'17.08 Tororo-Malaba-24h'!E38,'18.08 Tororo-Malaba'!E38)</f>
        <v>2.8571428571428572</v>
      </c>
      <c r="F38" s="49">
        <f>AVERAGE('12.08 Tororo-Malaba'!F38,'13.08 Tororo-Malaba'!F38,'14.08 Tororo-Malaba'!F38,'15.08 Tororo-Malaba'!F38,'16.08 Tororo-Malaba-24h'!F38,'17.08 Tororo-Malaba-24h'!F38,'18.08 Tororo-Malaba'!F38)</f>
        <v>2.2857142857142856</v>
      </c>
      <c r="G38" s="49">
        <f>AVERAGE('12.08 Tororo-Malaba'!G38,'13.08 Tororo-Malaba'!G38,'14.08 Tororo-Malaba'!G38,'15.08 Tororo-Malaba'!G38,'16.08 Tororo-Malaba-24h'!G38,'17.08 Tororo-Malaba-24h'!G38,'18.08 Tororo-Malaba'!G38)</f>
        <v>0.14285714285714285</v>
      </c>
      <c r="H38" s="49">
        <f>AVERAGE('12.08 Tororo-Malaba'!H38,'13.08 Tororo-Malaba'!H38,'14.08 Tororo-Malaba'!H38,'15.08 Tororo-Malaba'!H38,'16.08 Tororo-Malaba-24h'!H38,'17.08 Tororo-Malaba-24h'!H38,'18.08 Tororo-Malaba'!H38)</f>
        <v>0</v>
      </c>
      <c r="I38" s="49">
        <f>AVERAGE('12.08 Tororo-Malaba'!I38,'13.08 Tororo-Malaba'!I38,'14.08 Tororo-Malaba'!I38,'15.08 Tororo-Malaba'!I38,'16.08 Tororo-Malaba-24h'!I38,'17.08 Tororo-Malaba-24h'!I38,'18.08 Tororo-Malaba'!I38)</f>
        <v>1.1428571428571428</v>
      </c>
      <c r="J38" s="49">
        <f>AVERAGE('12.08 Tororo-Malaba'!J38,'13.08 Tororo-Malaba'!J38,'14.08 Tororo-Malaba'!J38,'15.08 Tororo-Malaba'!J38,'16.08 Tororo-Malaba-24h'!J38,'17.08 Tororo-Malaba-24h'!J38,'18.08 Tororo-Malaba'!J38)</f>
        <v>0.42857142857142855</v>
      </c>
      <c r="K38" s="49">
        <f>AVERAGE('12.08 Tororo-Malaba'!K38,'13.08 Tororo-Malaba'!K38,'14.08 Tororo-Malaba'!K38,'15.08 Tororo-Malaba'!K38,'16.08 Tororo-Malaba-24h'!K38,'17.08 Tororo-Malaba-24h'!K38,'18.08 Tororo-Malaba'!K38)</f>
        <v>0</v>
      </c>
      <c r="L38" s="49">
        <f>AVERAGE('12.08 Tororo-Malaba'!L38,'13.08 Tororo-Malaba'!L38,'14.08 Tororo-Malaba'!L38,'15.08 Tororo-Malaba'!L38,'16.08 Tororo-Malaba-24h'!L38,'17.08 Tororo-Malaba-24h'!L38,'18.08 Tororo-Malaba'!L38)</f>
        <v>0</v>
      </c>
      <c r="M38" s="49">
        <f>AVERAGE('12.08 Tororo-Malaba'!M38,'13.08 Tororo-Malaba'!M38,'14.08 Tororo-Malaba'!M38,'15.08 Tororo-Malaba'!M38,'16.08 Tororo-Malaba-24h'!M38,'17.08 Tororo-Malaba-24h'!M38,'18.08 Tororo-Malaba'!M38)</f>
        <v>23.857142857142858</v>
      </c>
      <c r="N38" s="49">
        <f>AVERAGE('12.08 Tororo-Malaba'!N38,'13.08 Tororo-Malaba'!N38,'14.08 Tororo-Malaba'!N38,'15.08 Tororo-Malaba'!N38,'16.08 Tororo-Malaba-24h'!N38,'17.08 Tororo-Malaba-24h'!N38,'18.08 Tororo-Malaba'!N38)</f>
        <v>0</v>
      </c>
      <c r="O38" s="15">
        <f t="shared" si="0"/>
        <v>9.7142857142857135</v>
      </c>
      <c r="P38" s="15">
        <f t="shared" si="1"/>
        <v>33.571428571428569</v>
      </c>
      <c r="R38" s="28" t="s">
        <v>86</v>
      </c>
      <c r="S38" s="16">
        <f t="shared" ref="S38:AF38" si="30">SUM(S13:S18)</f>
        <v>67.857142857142847</v>
      </c>
      <c r="T38" s="16">
        <f t="shared" si="30"/>
        <v>4.1428571428571423</v>
      </c>
      <c r="U38" s="16">
        <f t="shared" si="30"/>
        <v>47.571428571428569</v>
      </c>
      <c r="V38" s="16">
        <f t="shared" si="30"/>
        <v>57.857142857142854</v>
      </c>
      <c r="W38" s="16">
        <f t="shared" si="30"/>
        <v>1.5714285714285712</v>
      </c>
      <c r="X38" s="16">
        <f t="shared" si="30"/>
        <v>0.85714285714285698</v>
      </c>
      <c r="Y38" s="16">
        <f t="shared" si="30"/>
        <v>16</v>
      </c>
      <c r="Z38" s="16">
        <f t="shared" si="30"/>
        <v>2.4285714285714284</v>
      </c>
      <c r="AA38" s="16">
        <f t="shared" si="30"/>
        <v>0</v>
      </c>
      <c r="AB38" s="16">
        <f t="shared" si="30"/>
        <v>0</v>
      </c>
      <c r="AC38" s="16">
        <f t="shared" si="30"/>
        <v>606.42857142857144</v>
      </c>
      <c r="AD38" s="16">
        <f t="shared" si="30"/>
        <v>0.2857142857142857</v>
      </c>
      <c r="AE38" s="32">
        <f t="shared" si="30"/>
        <v>198.57142857142856</v>
      </c>
      <c r="AF38" s="32">
        <f t="shared" si="30"/>
        <v>804.99999999999989</v>
      </c>
    </row>
    <row r="39" spans="2:32" ht="23.1" customHeight="1" x14ac:dyDescent="0.25">
      <c r="B39" s="24" t="s">
        <v>66</v>
      </c>
      <c r="C39" s="49">
        <f>AVERAGE('12.08 Tororo-Malaba'!C39,'13.08 Tororo-Malaba'!C39,'14.08 Tororo-Malaba'!C39,'15.08 Tororo-Malaba'!C39,'16.08 Tororo-Malaba-24h'!C39,'17.08 Tororo-Malaba-24h'!C39,'18.08 Tororo-Malaba'!C39)</f>
        <v>5</v>
      </c>
      <c r="D39" s="49">
        <f>AVERAGE('12.08 Tororo-Malaba'!D39,'13.08 Tororo-Malaba'!D39,'14.08 Tororo-Malaba'!D39,'15.08 Tororo-Malaba'!D39,'16.08 Tororo-Malaba-24h'!D39,'17.08 Tororo-Malaba-24h'!D39,'18.08 Tororo-Malaba'!D39)</f>
        <v>0.14285714285714285</v>
      </c>
      <c r="E39" s="49">
        <f>AVERAGE('12.08 Tororo-Malaba'!E39,'13.08 Tororo-Malaba'!E39,'14.08 Tororo-Malaba'!E39,'15.08 Tororo-Malaba'!E39,'16.08 Tororo-Malaba-24h'!E39,'17.08 Tororo-Malaba-24h'!E39,'18.08 Tororo-Malaba'!E39)</f>
        <v>1.8571428571428572</v>
      </c>
      <c r="F39" s="49">
        <f>AVERAGE('12.08 Tororo-Malaba'!F39,'13.08 Tororo-Malaba'!F39,'14.08 Tororo-Malaba'!F39,'15.08 Tororo-Malaba'!F39,'16.08 Tororo-Malaba-24h'!F39,'17.08 Tororo-Malaba-24h'!F39,'18.08 Tororo-Malaba'!F39)</f>
        <v>3.4285714285714284</v>
      </c>
      <c r="G39" s="49">
        <f>AVERAGE('12.08 Tororo-Malaba'!G39,'13.08 Tororo-Malaba'!G39,'14.08 Tororo-Malaba'!G39,'15.08 Tororo-Malaba'!G39,'16.08 Tororo-Malaba-24h'!G39,'17.08 Tororo-Malaba-24h'!G39,'18.08 Tororo-Malaba'!G39)</f>
        <v>0.14285714285714285</v>
      </c>
      <c r="H39" s="49">
        <f>AVERAGE('12.08 Tororo-Malaba'!H39,'13.08 Tororo-Malaba'!H39,'14.08 Tororo-Malaba'!H39,'15.08 Tororo-Malaba'!H39,'16.08 Tororo-Malaba-24h'!H39,'17.08 Tororo-Malaba-24h'!H39,'18.08 Tororo-Malaba'!H39)</f>
        <v>0.14285714285714285</v>
      </c>
      <c r="I39" s="49">
        <f>AVERAGE('12.08 Tororo-Malaba'!I39,'13.08 Tororo-Malaba'!I39,'14.08 Tororo-Malaba'!I39,'15.08 Tororo-Malaba'!I39,'16.08 Tororo-Malaba-24h'!I39,'17.08 Tororo-Malaba-24h'!I39,'18.08 Tororo-Malaba'!I39)</f>
        <v>0.7142857142857143</v>
      </c>
      <c r="J39" s="49">
        <f>AVERAGE('12.08 Tororo-Malaba'!J39,'13.08 Tororo-Malaba'!J39,'14.08 Tororo-Malaba'!J39,'15.08 Tororo-Malaba'!J39,'16.08 Tororo-Malaba-24h'!J39,'17.08 Tororo-Malaba-24h'!J39,'18.08 Tororo-Malaba'!J39)</f>
        <v>0.14285714285714285</v>
      </c>
      <c r="K39" s="49">
        <f>AVERAGE('12.08 Tororo-Malaba'!K39,'13.08 Tororo-Malaba'!K39,'14.08 Tororo-Malaba'!K39,'15.08 Tororo-Malaba'!K39,'16.08 Tororo-Malaba-24h'!K39,'17.08 Tororo-Malaba-24h'!K39,'18.08 Tororo-Malaba'!K39)</f>
        <v>0</v>
      </c>
      <c r="L39" s="49">
        <f>AVERAGE('12.08 Tororo-Malaba'!L39,'13.08 Tororo-Malaba'!L39,'14.08 Tororo-Malaba'!L39,'15.08 Tororo-Malaba'!L39,'16.08 Tororo-Malaba-24h'!L39,'17.08 Tororo-Malaba-24h'!L39,'18.08 Tororo-Malaba'!L39)</f>
        <v>0</v>
      </c>
      <c r="M39" s="49">
        <f>AVERAGE('12.08 Tororo-Malaba'!M39,'13.08 Tororo-Malaba'!M39,'14.08 Tororo-Malaba'!M39,'15.08 Tororo-Malaba'!M39,'16.08 Tororo-Malaba-24h'!M39,'17.08 Tororo-Malaba-24h'!M39,'18.08 Tororo-Malaba'!M39)</f>
        <v>22.857142857142858</v>
      </c>
      <c r="N39" s="49">
        <f>AVERAGE('12.08 Tororo-Malaba'!N39,'13.08 Tororo-Malaba'!N39,'14.08 Tororo-Malaba'!N39,'15.08 Tororo-Malaba'!N39,'16.08 Tororo-Malaba-24h'!N39,'17.08 Tororo-Malaba-24h'!N39,'18.08 Tororo-Malaba'!N39)</f>
        <v>0</v>
      </c>
      <c r="O39" s="15">
        <f t="shared" si="0"/>
        <v>11.571428571428569</v>
      </c>
      <c r="P39" s="15">
        <f t="shared" si="1"/>
        <v>34.428571428571431</v>
      </c>
      <c r="R39" s="29" t="s">
        <v>87</v>
      </c>
      <c r="S39" s="16">
        <f t="shared" ref="S39:AF39" si="31">SUM(S19:S21)</f>
        <v>37.857142857142861</v>
      </c>
      <c r="T39" s="16">
        <f t="shared" si="31"/>
        <v>1.2857142857142856</v>
      </c>
      <c r="U39" s="16">
        <f t="shared" si="31"/>
        <v>19.285714285714285</v>
      </c>
      <c r="V39" s="16">
        <f t="shared" si="31"/>
        <v>32.428571428571431</v>
      </c>
      <c r="W39" s="16">
        <f t="shared" si="31"/>
        <v>1.857142857142857</v>
      </c>
      <c r="X39" s="16">
        <f t="shared" si="31"/>
        <v>2.2857142857142856</v>
      </c>
      <c r="Y39" s="16">
        <f t="shared" si="31"/>
        <v>10.571428571428571</v>
      </c>
      <c r="Z39" s="16">
        <f t="shared" si="31"/>
        <v>1.857142857142857</v>
      </c>
      <c r="AA39" s="16">
        <f t="shared" si="31"/>
        <v>0.2857142857142857</v>
      </c>
      <c r="AB39" s="16">
        <f t="shared" si="31"/>
        <v>0</v>
      </c>
      <c r="AC39" s="16">
        <f t="shared" si="31"/>
        <v>279</v>
      </c>
      <c r="AD39" s="16">
        <f t="shared" si="31"/>
        <v>0</v>
      </c>
      <c r="AE39" s="32">
        <f t="shared" si="31"/>
        <v>107.71428571428571</v>
      </c>
      <c r="AF39" s="32">
        <f t="shared" si="31"/>
        <v>386.71428571428572</v>
      </c>
    </row>
    <row r="40" spans="2:32" ht="23.1" customHeight="1" x14ac:dyDescent="0.25">
      <c r="B40" s="24" t="s">
        <v>67</v>
      </c>
      <c r="C40" s="49">
        <f>AVERAGE('12.08 Tororo-Malaba'!C40,'13.08 Tororo-Malaba'!C40,'14.08 Tororo-Malaba'!C40,'15.08 Tororo-Malaba'!C40,'16.08 Tororo-Malaba-24h'!C40,'17.08 Tororo-Malaba-24h'!C40,'18.08 Tororo-Malaba'!C40)</f>
        <v>3.5714285714285716</v>
      </c>
      <c r="D40" s="49">
        <f>AVERAGE('12.08 Tororo-Malaba'!D40,'13.08 Tororo-Malaba'!D40,'14.08 Tororo-Malaba'!D40,'15.08 Tororo-Malaba'!D40,'16.08 Tororo-Malaba-24h'!D40,'17.08 Tororo-Malaba-24h'!D40,'18.08 Tororo-Malaba'!D40)</f>
        <v>0.14285714285714285</v>
      </c>
      <c r="E40" s="49">
        <f>AVERAGE('12.08 Tororo-Malaba'!E40,'13.08 Tororo-Malaba'!E40,'14.08 Tororo-Malaba'!E40,'15.08 Tororo-Malaba'!E40,'16.08 Tororo-Malaba-24h'!E40,'17.08 Tororo-Malaba-24h'!E40,'18.08 Tororo-Malaba'!E40)</f>
        <v>2.4285714285714284</v>
      </c>
      <c r="F40" s="49">
        <f>AVERAGE('12.08 Tororo-Malaba'!F40,'13.08 Tororo-Malaba'!F40,'14.08 Tororo-Malaba'!F40,'15.08 Tororo-Malaba'!F40,'16.08 Tororo-Malaba-24h'!F40,'17.08 Tororo-Malaba-24h'!F40,'18.08 Tororo-Malaba'!F40)</f>
        <v>1.8571428571428572</v>
      </c>
      <c r="G40" s="49">
        <f>AVERAGE('12.08 Tororo-Malaba'!G40,'13.08 Tororo-Malaba'!G40,'14.08 Tororo-Malaba'!G40,'15.08 Tororo-Malaba'!G40,'16.08 Tororo-Malaba-24h'!G40,'17.08 Tororo-Malaba-24h'!G40,'18.08 Tororo-Malaba'!G40)</f>
        <v>0</v>
      </c>
      <c r="H40" s="49">
        <f>AVERAGE('12.08 Tororo-Malaba'!H40,'13.08 Tororo-Malaba'!H40,'14.08 Tororo-Malaba'!H40,'15.08 Tororo-Malaba'!H40,'16.08 Tororo-Malaba-24h'!H40,'17.08 Tororo-Malaba-24h'!H40,'18.08 Tororo-Malaba'!H40)</f>
        <v>0</v>
      </c>
      <c r="I40" s="49">
        <f>AVERAGE('12.08 Tororo-Malaba'!I40,'13.08 Tororo-Malaba'!I40,'14.08 Tororo-Malaba'!I40,'15.08 Tororo-Malaba'!I40,'16.08 Tororo-Malaba-24h'!I40,'17.08 Tororo-Malaba-24h'!I40,'18.08 Tororo-Malaba'!I40)</f>
        <v>0.7142857142857143</v>
      </c>
      <c r="J40" s="49">
        <f>AVERAGE('12.08 Tororo-Malaba'!J40,'13.08 Tororo-Malaba'!J40,'14.08 Tororo-Malaba'!J40,'15.08 Tororo-Malaba'!J40,'16.08 Tororo-Malaba-24h'!J40,'17.08 Tororo-Malaba-24h'!J40,'18.08 Tororo-Malaba'!J40)</f>
        <v>0</v>
      </c>
      <c r="K40" s="49">
        <f>AVERAGE('12.08 Tororo-Malaba'!K40,'13.08 Tororo-Malaba'!K40,'14.08 Tororo-Malaba'!K40,'15.08 Tororo-Malaba'!K40,'16.08 Tororo-Malaba-24h'!K40,'17.08 Tororo-Malaba-24h'!K40,'18.08 Tororo-Malaba'!K40)</f>
        <v>0</v>
      </c>
      <c r="L40" s="49">
        <f>AVERAGE('12.08 Tororo-Malaba'!L40,'13.08 Tororo-Malaba'!L40,'14.08 Tororo-Malaba'!L40,'15.08 Tororo-Malaba'!L40,'16.08 Tororo-Malaba-24h'!L40,'17.08 Tororo-Malaba-24h'!L40,'18.08 Tororo-Malaba'!L40)</f>
        <v>0</v>
      </c>
      <c r="M40" s="49">
        <f>AVERAGE('12.08 Tororo-Malaba'!M40,'13.08 Tororo-Malaba'!M40,'14.08 Tororo-Malaba'!M40,'15.08 Tororo-Malaba'!M40,'16.08 Tororo-Malaba-24h'!M40,'17.08 Tororo-Malaba-24h'!M40,'18.08 Tororo-Malaba'!M40)</f>
        <v>25.285714285714285</v>
      </c>
      <c r="N40" s="49">
        <f>AVERAGE('12.08 Tororo-Malaba'!N40,'13.08 Tororo-Malaba'!N40,'14.08 Tororo-Malaba'!N40,'15.08 Tororo-Malaba'!N40,'16.08 Tororo-Malaba-24h'!N40,'17.08 Tororo-Malaba-24h'!N40,'18.08 Tororo-Malaba'!N40)</f>
        <v>0</v>
      </c>
      <c r="O40" s="15">
        <f t="shared" si="0"/>
        <v>8.7142857142857135</v>
      </c>
      <c r="P40" s="15">
        <f t="shared" si="1"/>
        <v>34</v>
      </c>
      <c r="R40" s="5" t="s">
        <v>17</v>
      </c>
      <c r="S40" s="16">
        <f t="shared" ref="S40:AF40" si="32">SUM(S10:S21)</f>
        <v>127.14285714285714</v>
      </c>
      <c r="T40" s="16">
        <f t="shared" si="32"/>
        <v>6.4285714285714288</v>
      </c>
      <c r="U40" s="16">
        <f t="shared" si="32"/>
        <v>82.714285714285708</v>
      </c>
      <c r="V40" s="16">
        <f t="shared" si="32"/>
        <v>107.71428571428571</v>
      </c>
      <c r="W40" s="16">
        <f t="shared" si="32"/>
        <v>4.2857142857142847</v>
      </c>
      <c r="X40" s="16">
        <f t="shared" si="32"/>
        <v>3.2857142857142856</v>
      </c>
      <c r="Y40" s="16">
        <f t="shared" si="32"/>
        <v>35</v>
      </c>
      <c r="Z40" s="16">
        <f t="shared" si="32"/>
        <v>4.8571428571428568</v>
      </c>
      <c r="AA40" s="16">
        <f t="shared" si="32"/>
        <v>0.2857142857142857</v>
      </c>
      <c r="AB40" s="16">
        <f t="shared" si="32"/>
        <v>0</v>
      </c>
      <c r="AC40" s="16">
        <f t="shared" si="32"/>
        <v>1159</v>
      </c>
      <c r="AD40" s="16">
        <f t="shared" si="32"/>
        <v>0.99999999999999978</v>
      </c>
      <c r="AE40" s="32">
        <f t="shared" si="32"/>
        <v>372.71428571428572</v>
      </c>
      <c r="AF40" s="32">
        <f t="shared" si="32"/>
        <v>1531.7142857142858</v>
      </c>
    </row>
    <row r="41" spans="2:32" ht="23.1" customHeight="1" x14ac:dyDescent="0.25">
      <c r="B41" s="23" t="s">
        <v>68</v>
      </c>
      <c r="C41" s="49">
        <f>AVERAGE('12.08 Tororo-Malaba'!C41,'13.08 Tororo-Malaba'!C41,'14.08 Tororo-Malaba'!C41,'15.08 Tororo-Malaba'!C41,'16.08 Tororo-Malaba-24h'!C41,'17.08 Tororo-Malaba-24h'!C41,'18.08 Tororo-Malaba'!C41)</f>
        <v>3.1428571428571428</v>
      </c>
      <c r="D41" s="49">
        <f>AVERAGE('12.08 Tororo-Malaba'!D41,'13.08 Tororo-Malaba'!D41,'14.08 Tororo-Malaba'!D41,'15.08 Tororo-Malaba'!D41,'16.08 Tororo-Malaba-24h'!D41,'17.08 Tororo-Malaba-24h'!D41,'18.08 Tororo-Malaba'!D41)</f>
        <v>0.42857142857142855</v>
      </c>
      <c r="E41" s="49">
        <f>AVERAGE('12.08 Tororo-Malaba'!E41,'13.08 Tororo-Malaba'!E41,'14.08 Tororo-Malaba'!E41,'15.08 Tororo-Malaba'!E41,'16.08 Tororo-Malaba-24h'!E41,'17.08 Tororo-Malaba-24h'!E41,'18.08 Tororo-Malaba'!E41)</f>
        <v>2.5714285714285716</v>
      </c>
      <c r="F41" s="49">
        <f>AVERAGE('12.08 Tororo-Malaba'!F41,'13.08 Tororo-Malaba'!F41,'14.08 Tororo-Malaba'!F41,'15.08 Tororo-Malaba'!F41,'16.08 Tororo-Malaba-24h'!F41,'17.08 Tororo-Malaba-24h'!F41,'18.08 Tororo-Malaba'!F41)</f>
        <v>2</v>
      </c>
      <c r="G41" s="49">
        <f>AVERAGE('12.08 Tororo-Malaba'!G41,'13.08 Tororo-Malaba'!G41,'14.08 Tororo-Malaba'!G41,'15.08 Tororo-Malaba'!G41,'16.08 Tororo-Malaba-24h'!G41,'17.08 Tororo-Malaba-24h'!G41,'18.08 Tororo-Malaba'!G41)</f>
        <v>0</v>
      </c>
      <c r="H41" s="49">
        <f>AVERAGE('12.08 Tororo-Malaba'!H41,'13.08 Tororo-Malaba'!H41,'14.08 Tororo-Malaba'!H41,'15.08 Tororo-Malaba'!H41,'16.08 Tororo-Malaba-24h'!H41,'17.08 Tororo-Malaba-24h'!H41,'18.08 Tororo-Malaba'!H41)</f>
        <v>0</v>
      </c>
      <c r="I41" s="49">
        <f>AVERAGE('12.08 Tororo-Malaba'!I41,'13.08 Tororo-Malaba'!I41,'14.08 Tororo-Malaba'!I41,'15.08 Tororo-Malaba'!I41,'16.08 Tororo-Malaba-24h'!I41,'17.08 Tororo-Malaba-24h'!I41,'18.08 Tororo-Malaba'!I41)</f>
        <v>0.5714285714285714</v>
      </c>
      <c r="J41" s="49">
        <f>AVERAGE('12.08 Tororo-Malaba'!J41,'13.08 Tororo-Malaba'!J41,'14.08 Tororo-Malaba'!J41,'15.08 Tororo-Malaba'!J41,'16.08 Tororo-Malaba-24h'!J41,'17.08 Tororo-Malaba-24h'!J41,'18.08 Tororo-Malaba'!J41)</f>
        <v>0.2857142857142857</v>
      </c>
      <c r="K41" s="49">
        <f>AVERAGE('12.08 Tororo-Malaba'!K41,'13.08 Tororo-Malaba'!K41,'14.08 Tororo-Malaba'!K41,'15.08 Tororo-Malaba'!K41,'16.08 Tororo-Malaba-24h'!K41,'17.08 Tororo-Malaba-24h'!K41,'18.08 Tororo-Malaba'!K41)</f>
        <v>0</v>
      </c>
      <c r="L41" s="49">
        <f>AVERAGE('12.08 Tororo-Malaba'!L41,'13.08 Tororo-Malaba'!L41,'14.08 Tororo-Malaba'!L41,'15.08 Tororo-Malaba'!L41,'16.08 Tororo-Malaba-24h'!L41,'17.08 Tororo-Malaba-24h'!L41,'18.08 Tororo-Malaba'!L41)</f>
        <v>0</v>
      </c>
      <c r="M41" s="49">
        <f>AVERAGE('12.08 Tororo-Malaba'!M41,'13.08 Tororo-Malaba'!M41,'14.08 Tororo-Malaba'!M41,'15.08 Tororo-Malaba'!M41,'16.08 Tororo-Malaba-24h'!M41,'17.08 Tororo-Malaba-24h'!M41,'18.08 Tororo-Malaba'!M41)</f>
        <v>24.285714285714285</v>
      </c>
      <c r="N41" s="49">
        <f>AVERAGE('12.08 Tororo-Malaba'!N41,'13.08 Tororo-Malaba'!N41,'14.08 Tororo-Malaba'!N41,'15.08 Tororo-Malaba'!N41,'16.08 Tororo-Malaba-24h'!N41,'17.08 Tororo-Malaba-24h'!N41,'18.08 Tororo-Malaba'!N41)</f>
        <v>0</v>
      </c>
      <c r="O41" s="15">
        <f t="shared" si="0"/>
        <v>9</v>
      </c>
      <c r="P41" s="15">
        <f t="shared" si="1"/>
        <v>33.285714285714285</v>
      </c>
      <c r="R41" s="5" t="s">
        <v>174</v>
      </c>
      <c r="S41" s="52">
        <f>SUM(S10:S33)</f>
        <v>188.14285714285714</v>
      </c>
      <c r="T41" s="52">
        <f t="shared" ref="T41:AD41" si="33">SUM(T10:T33)</f>
        <v>8.9285714285714288</v>
      </c>
      <c r="U41" s="52">
        <f t="shared" si="33"/>
        <v>114.71428571428571</v>
      </c>
      <c r="V41" s="52">
        <f t="shared" si="33"/>
        <v>151.71428571428572</v>
      </c>
      <c r="W41" s="52">
        <f t="shared" si="33"/>
        <v>4.2857142857142847</v>
      </c>
      <c r="X41" s="52">
        <f t="shared" si="33"/>
        <v>9.7857142857142847</v>
      </c>
      <c r="Y41" s="52">
        <f t="shared" si="33"/>
        <v>52</v>
      </c>
      <c r="Z41" s="52">
        <f t="shared" si="33"/>
        <v>8.8571428571428577</v>
      </c>
      <c r="AA41" s="52">
        <f t="shared" si="33"/>
        <v>0.7857142857142857</v>
      </c>
      <c r="AB41" s="52">
        <f t="shared" si="33"/>
        <v>0</v>
      </c>
      <c r="AC41" s="52">
        <f t="shared" si="33"/>
        <v>1460.5</v>
      </c>
      <c r="AD41" s="52">
        <f t="shared" si="33"/>
        <v>0.99999999999999978</v>
      </c>
      <c r="AE41" s="53">
        <f>SUM(AE10:AE33)</f>
        <v>540.21428571428578</v>
      </c>
      <c r="AF41" s="53">
        <f>SUM(AF10:AF33)</f>
        <v>2000.7142857142858</v>
      </c>
    </row>
    <row r="42" spans="2:32" ht="23.1" customHeight="1" x14ac:dyDescent="0.25">
      <c r="B42" s="24" t="s">
        <v>69</v>
      </c>
      <c r="C42" s="49">
        <f>AVERAGE('12.08 Tororo-Malaba'!C42,'13.08 Tororo-Malaba'!C42,'14.08 Tororo-Malaba'!C42,'15.08 Tororo-Malaba'!C42,'16.08 Tororo-Malaba-24h'!C42,'17.08 Tororo-Malaba-24h'!C42,'18.08 Tororo-Malaba'!C42)</f>
        <v>3</v>
      </c>
      <c r="D42" s="49">
        <f>AVERAGE('12.08 Tororo-Malaba'!D42,'13.08 Tororo-Malaba'!D42,'14.08 Tororo-Malaba'!D42,'15.08 Tororo-Malaba'!D42,'16.08 Tororo-Malaba-24h'!D42,'17.08 Tororo-Malaba-24h'!D42,'18.08 Tororo-Malaba'!D42)</f>
        <v>0</v>
      </c>
      <c r="E42" s="49">
        <f>AVERAGE('12.08 Tororo-Malaba'!E42,'13.08 Tororo-Malaba'!E42,'14.08 Tororo-Malaba'!E42,'15.08 Tororo-Malaba'!E42,'16.08 Tororo-Malaba-24h'!E42,'17.08 Tororo-Malaba-24h'!E42,'18.08 Tororo-Malaba'!E42)</f>
        <v>1.5714285714285714</v>
      </c>
      <c r="F42" s="49">
        <f>AVERAGE('12.08 Tororo-Malaba'!F42,'13.08 Tororo-Malaba'!F42,'14.08 Tororo-Malaba'!F42,'15.08 Tororo-Malaba'!F42,'16.08 Tororo-Malaba-24h'!F42,'17.08 Tororo-Malaba-24h'!F42,'18.08 Tororo-Malaba'!F42)</f>
        <v>2</v>
      </c>
      <c r="G42" s="49">
        <f>AVERAGE('12.08 Tororo-Malaba'!G42,'13.08 Tororo-Malaba'!G42,'14.08 Tororo-Malaba'!G42,'15.08 Tororo-Malaba'!G42,'16.08 Tororo-Malaba-24h'!G42,'17.08 Tororo-Malaba-24h'!G42,'18.08 Tororo-Malaba'!G42)</f>
        <v>0</v>
      </c>
      <c r="H42" s="49">
        <f>AVERAGE('12.08 Tororo-Malaba'!H42,'13.08 Tororo-Malaba'!H42,'14.08 Tororo-Malaba'!H42,'15.08 Tororo-Malaba'!H42,'16.08 Tororo-Malaba-24h'!H42,'17.08 Tororo-Malaba-24h'!H42,'18.08 Tororo-Malaba'!H42)</f>
        <v>0</v>
      </c>
      <c r="I42" s="49">
        <f>AVERAGE('12.08 Tororo-Malaba'!I42,'13.08 Tororo-Malaba'!I42,'14.08 Tororo-Malaba'!I42,'15.08 Tororo-Malaba'!I42,'16.08 Tororo-Malaba-24h'!I42,'17.08 Tororo-Malaba-24h'!I42,'18.08 Tororo-Malaba'!I42)</f>
        <v>0.5714285714285714</v>
      </c>
      <c r="J42" s="49">
        <f>AVERAGE('12.08 Tororo-Malaba'!J42,'13.08 Tororo-Malaba'!J42,'14.08 Tororo-Malaba'!J42,'15.08 Tororo-Malaba'!J42,'16.08 Tororo-Malaba-24h'!J42,'17.08 Tororo-Malaba-24h'!J42,'18.08 Tororo-Malaba'!J42)</f>
        <v>0</v>
      </c>
      <c r="K42" s="49">
        <f>AVERAGE('12.08 Tororo-Malaba'!K42,'13.08 Tororo-Malaba'!K42,'14.08 Tororo-Malaba'!K42,'15.08 Tororo-Malaba'!K42,'16.08 Tororo-Malaba-24h'!K42,'17.08 Tororo-Malaba-24h'!K42,'18.08 Tororo-Malaba'!K42)</f>
        <v>0</v>
      </c>
      <c r="L42" s="49">
        <f>AVERAGE('12.08 Tororo-Malaba'!L42,'13.08 Tororo-Malaba'!L42,'14.08 Tororo-Malaba'!L42,'15.08 Tororo-Malaba'!L42,'16.08 Tororo-Malaba-24h'!L42,'17.08 Tororo-Malaba-24h'!L42,'18.08 Tororo-Malaba'!L42)</f>
        <v>0</v>
      </c>
      <c r="M42" s="49">
        <f>AVERAGE('12.08 Tororo-Malaba'!M42,'13.08 Tororo-Malaba'!M42,'14.08 Tororo-Malaba'!M42,'15.08 Tororo-Malaba'!M42,'16.08 Tororo-Malaba-24h'!M42,'17.08 Tororo-Malaba-24h'!M42,'18.08 Tororo-Malaba'!M42)</f>
        <v>23</v>
      </c>
      <c r="N42" s="49">
        <f>AVERAGE('12.08 Tororo-Malaba'!N42,'13.08 Tororo-Malaba'!N42,'14.08 Tororo-Malaba'!N42,'15.08 Tororo-Malaba'!N42,'16.08 Tororo-Malaba-24h'!N42,'17.08 Tororo-Malaba-24h'!N42,'18.08 Tororo-Malaba'!N42)</f>
        <v>0.14285714285714285</v>
      </c>
      <c r="O42" s="15">
        <f t="shared" si="0"/>
        <v>7.2857142857142856</v>
      </c>
      <c r="P42" s="15">
        <f t="shared" si="1"/>
        <v>30.285714285714285</v>
      </c>
      <c r="R42" s="5" t="s">
        <v>160</v>
      </c>
      <c r="S42" s="48">
        <f>S41/S40</f>
        <v>1.4797752808988764</v>
      </c>
      <c r="T42" s="48">
        <f t="shared" ref="T42:AF42" si="34">T41/T40</f>
        <v>1.3888888888888888</v>
      </c>
      <c r="U42" s="48">
        <f t="shared" si="34"/>
        <v>1.386873920552677</v>
      </c>
      <c r="V42" s="48">
        <f t="shared" si="34"/>
        <v>1.4084880636604775</v>
      </c>
      <c r="W42" s="48">
        <f t="shared" si="34"/>
        <v>1</v>
      </c>
      <c r="X42" s="48">
        <f t="shared" si="34"/>
        <v>2.9782608695652173</v>
      </c>
      <c r="Y42" s="48">
        <f t="shared" si="34"/>
        <v>1.4857142857142858</v>
      </c>
      <c r="Z42" s="48">
        <f t="shared" si="34"/>
        <v>1.8235294117647061</v>
      </c>
      <c r="AA42" s="48">
        <f t="shared" si="34"/>
        <v>2.75</v>
      </c>
      <c r="AB42" s="48" t="e">
        <f t="shared" si="34"/>
        <v>#DIV/0!</v>
      </c>
      <c r="AC42" s="48">
        <f t="shared" si="34"/>
        <v>1.2601380500431407</v>
      </c>
      <c r="AD42" s="48">
        <f t="shared" si="34"/>
        <v>1</v>
      </c>
      <c r="AE42" s="51">
        <f t="shared" si="34"/>
        <v>1.4494059026446915</v>
      </c>
      <c r="AF42" s="51">
        <f t="shared" si="34"/>
        <v>1.3061928744637195</v>
      </c>
    </row>
    <row r="43" spans="2:32" ht="23.1" customHeight="1" x14ac:dyDescent="0.25">
      <c r="B43" s="23" t="s">
        <v>70</v>
      </c>
      <c r="C43" s="49">
        <f>AVERAGE('12.08 Tororo-Malaba'!C43,'13.08 Tororo-Malaba'!C43,'14.08 Tororo-Malaba'!C43,'15.08 Tororo-Malaba'!C43,'16.08 Tororo-Malaba-24h'!C43,'17.08 Tororo-Malaba-24h'!C43,'18.08 Tororo-Malaba'!C43)</f>
        <v>2.5714285714285716</v>
      </c>
      <c r="D43" s="49">
        <f>AVERAGE('12.08 Tororo-Malaba'!D43,'13.08 Tororo-Malaba'!D43,'14.08 Tororo-Malaba'!D43,'15.08 Tororo-Malaba'!D43,'16.08 Tororo-Malaba-24h'!D43,'17.08 Tororo-Malaba-24h'!D43,'18.08 Tororo-Malaba'!D43)</f>
        <v>0</v>
      </c>
      <c r="E43" s="49">
        <f>AVERAGE('12.08 Tororo-Malaba'!E43,'13.08 Tororo-Malaba'!E43,'14.08 Tororo-Malaba'!E43,'15.08 Tororo-Malaba'!E43,'16.08 Tororo-Malaba-24h'!E43,'17.08 Tororo-Malaba-24h'!E43,'18.08 Tororo-Malaba'!E43)</f>
        <v>1</v>
      </c>
      <c r="F43" s="49">
        <f>AVERAGE('12.08 Tororo-Malaba'!F43,'13.08 Tororo-Malaba'!F43,'14.08 Tororo-Malaba'!F43,'15.08 Tororo-Malaba'!F43,'16.08 Tororo-Malaba-24h'!F43,'17.08 Tororo-Malaba-24h'!F43,'18.08 Tororo-Malaba'!F43)</f>
        <v>2.8571428571428572</v>
      </c>
      <c r="G43" s="49">
        <f>AVERAGE('12.08 Tororo-Malaba'!G43,'13.08 Tororo-Malaba'!G43,'14.08 Tororo-Malaba'!G43,'15.08 Tororo-Malaba'!G43,'16.08 Tororo-Malaba-24h'!G43,'17.08 Tororo-Malaba-24h'!G43,'18.08 Tororo-Malaba'!G43)</f>
        <v>0.14285714285714285</v>
      </c>
      <c r="H43" s="49">
        <f>AVERAGE('12.08 Tororo-Malaba'!H43,'13.08 Tororo-Malaba'!H43,'14.08 Tororo-Malaba'!H43,'15.08 Tororo-Malaba'!H43,'16.08 Tororo-Malaba-24h'!H43,'17.08 Tororo-Malaba-24h'!H43,'18.08 Tororo-Malaba'!H43)</f>
        <v>0.14285714285714285</v>
      </c>
      <c r="I43" s="49">
        <f>AVERAGE('12.08 Tororo-Malaba'!I43,'13.08 Tororo-Malaba'!I43,'14.08 Tororo-Malaba'!I43,'15.08 Tororo-Malaba'!I43,'16.08 Tororo-Malaba-24h'!I43,'17.08 Tororo-Malaba-24h'!I43,'18.08 Tororo-Malaba'!I43)</f>
        <v>1</v>
      </c>
      <c r="J43" s="49">
        <f>AVERAGE('12.08 Tororo-Malaba'!J43,'13.08 Tororo-Malaba'!J43,'14.08 Tororo-Malaba'!J43,'15.08 Tororo-Malaba'!J43,'16.08 Tororo-Malaba-24h'!J43,'17.08 Tororo-Malaba-24h'!J43,'18.08 Tororo-Malaba'!J43)</f>
        <v>0</v>
      </c>
      <c r="K43" s="49">
        <f>AVERAGE('12.08 Tororo-Malaba'!K43,'13.08 Tororo-Malaba'!K43,'14.08 Tororo-Malaba'!K43,'15.08 Tororo-Malaba'!K43,'16.08 Tororo-Malaba-24h'!K43,'17.08 Tororo-Malaba-24h'!K43,'18.08 Tororo-Malaba'!K43)</f>
        <v>0</v>
      </c>
      <c r="L43" s="49">
        <f>AVERAGE('12.08 Tororo-Malaba'!L43,'13.08 Tororo-Malaba'!L43,'14.08 Tororo-Malaba'!L43,'15.08 Tororo-Malaba'!L43,'16.08 Tororo-Malaba-24h'!L43,'17.08 Tororo-Malaba-24h'!L43,'18.08 Tororo-Malaba'!L43)</f>
        <v>0</v>
      </c>
      <c r="M43" s="49">
        <f>AVERAGE('12.08 Tororo-Malaba'!M43,'13.08 Tororo-Malaba'!M43,'14.08 Tororo-Malaba'!M43,'15.08 Tororo-Malaba'!M43,'16.08 Tororo-Malaba-24h'!M43,'17.08 Tororo-Malaba-24h'!M43,'18.08 Tororo-Malaba'!M43)</f>
        <v>25.857142857142858</v>
      </c>
      <c r="N43" s="49">
        <f>AVERAGE('12.08 Tororo-Malaba'!N43,'13.08 Tororo-Malaba'!N43,'14.08 Tororo-Malaba'!N43,'15.08 Tororo-Malaba'!N43,'16.08 Tororo-Malaba-24h'!N43,'17.08 Tororo-Malaba-24h'!N43,'18.08 Tororo-Malaba'!N43)</f>
        <v>0</v>
      </c>
      <c r="O43" s="15">
        <f t="shared" si="0"/>
        <v>7.7142857142857153</v>
      </c>
      <c r="P43" s="15">
        <f t="shared" si="1"/>
        <v>33.571428571428569</v>
      </c>
    </row>
    <row r="44" spans="2:32" ht="23.1" customHeight="1" x14ac:dyDescent="0.25">
      <c r="B44" s="25" t="s">
        <v>71</v>
      </c>
      <c r="C44" s="49">
        <f>AVERAGE('12.08 Tororo-Malaba'!C44,'13.08 Tororo-Malaba'!C44,'14.08 Tororo-Malaba'!C44,'15.08 Tororo-Malaba'!C44,'16.08 Tororo-Malaba-24h'!C44,'17.08 Tororo-Malaba-24h'!C44,'18.08 Tororo-Malaba'!C44)</f>
        <v>2.2857142857142856</v>
      </c>
      <c r="D44" s="49">
        <f>AVERAGE('12.08 Tororo-Malaba'!D44,'13.08 Tororo-Malaba'!D44,'14.08 Tororo-Malaba'!D44,'15.08 Tororo-Malaba'!D44,'16.08 Tororo-Malaba-24h'!D44,'17.08 Tororo-Malaba-24h'!D44,'18.08 Tororo-Malaba'!D44)</f>
        <v>0.2857142857142857</v>
      </c>
      <c r="E44" s="49">
        <f>AVERAGE('12.08 Tororo-Malaba'!E44,'13.08 Tororo-Malaba'!E44,'14.08 Tororo-Malaba'!E44,'15.08 Tororo-Malaba'!E44,'16.08 Tororo-Malaba-24h'!E44,'17.08 Tororo-Malaba-24h'!E44,'18.08 Tororo-Malaba'!E44)</f>
        <v>2</v>
      </c>
      <c r="F44" s="49">
        <f>AVERAGE('12.08 Tororo-Malaba'!F44,'13.08 Tororo-Malaba'!F44,'14.08 Tororo-Malaba'!F44,'15.08 Tororo-Malaba'!F44,'16.08 Tororo-Malaba-24h'!F44,'17.08 Tororo-Malaba-24h'!F44,'18.08 Tororo-Malaba'!F44)</f>
        <v>2.7142857142857144</v>
      </c>
      <c r="G44" s="49">
        <f>AVERAGE('12.08 Tororo-Malaba'!G44,'13.08 Tororo-Malaba'!G44,'14.08 Tororo-Malaba'!G44,'15.08 Tororo-Malaba'!G44,'16.08 Tororo-Malaba-24h'!G44,'17.08 Tororo-Malaba-24h'!G44,'18.08 Tororo-Malaba'!G44)</f>
        <v>0</v>
      </c>
      <c r="H44" s="49">
        <f>AVERAGE('12.08 Tororo-Malaba'!H44,'13.08 Tororo-Malaba'!H44,'14.08 Tororo-Malaba'!H44,'15.08 Tororo-Malaba'!H44,'16.08 Tororo-Malaba-24h'!H44,'17.08 Tororo-Malaba-24h'!H44,'18.08 Tororo-Malaba'!H44)</f>
        <v>0</v>
      </c>
      <c r="I44" s="49">
        <f>AVERAGE('12.08 Tororo-Malaba'!I44,'13.08 Tororo-Malaba'!I44,'14.08 Tororo-Malaba'!I44,'15.08 Tororo-Malaba'!I44,'16.08 Tororo-Malaba-24h'!I44,'17.08 Tororo-Malaba-24h'!I44,'18.08 Tororo-Malaba'!I44)</f>
        <v>1</v>
      </c>
      <c r="J44" s="49">
        <f>AVERAGE('12.08 Tororo-Malaba'!J44,'13.08 Tororo-Malaba'!J44,'14.08 Tororo-Malaba'!J44,'15.08 Tororo-Malaba'!J44,'16.08 Tororo-Malaba-24h'!J44,'17.08 Tororo-Malaba-24h'!J44,'18.08 Tororo-Malaba'!J44)</f>
        <v>0</v>
      </c>
      <c r="K44" s="49">
        <f>AVERAGE('12.08 Tororo-Malaba'!K44,'13.08 Tororo-Malaba'!K44,'14.08 Tororo-Malaba'!K44,'15.08 Tororo-Malaba'!K44,'16.08 Tororo-Malaba-24h'!K44,'17.08 Tororo-Malaba-24h'!K44,'18.08 Tororo-Malaba'!K44)</f>
        <v>0</v>
      </c>
      <c r="L44" s="49">
        <f>AVERAGE('12.08 Tororo-Malaba'!L44,'13.08 Tororo-Malaba'!L44,'14.08 Tororo-Malaba'!L44,'15.08 Tororo-Malaba'!L44,'16.08 Tororo-Malaba-24h'!L44,'17.08 Tororo-Malaba-24h'!L44,'18.08 Tororo-Malaba'!L44)</f>
        <v>0</v>
      </c>
      <c r="M44" s="49">
        <f>AVERAGE('12.08 Tororo-Malaba'!M44,'13.08 Tororo-Malaba'!M44,'14.08 Tororo-Malaba'!M44,'15.08 Tororo-Malaba'!M44,'16.08 Tororo-Malaba-24h'!M44,'17.08 Tororo-Malaba-24h'!M44,'18.08 Tororo-Malaba'!M44)</f>
        <v>27.285714285714285</v>
      </c>
      <c r="N44" s="49">
        <f>AVERAGE('12.08 Tororo-Malaba'!N44,'13.08 Tororo-Malaba'!N44,'14.08 Tororo-Malaba'!N44,'15.08 Tororo-Malaba'!N44,'16.08 Tororo-Malaba-24h'!N44,'17.08 Tororo-Malaba-24h'!N44,'18.08 Tororo-Malaba'!N44)</f>
        <v>0</v>
      </c>
      <c r="O44" s="15">
        <f t="shared" si="0"/>
        <v>8.2857142857142847</v>
      </c>
      <c r="P44" s="15">
        <f t="shared" si="1"/>
        <v>35.571428571428569</v>
      </c>
    </row>
    <row r="45" spans="2:32" ht="23.1" customHeight="1" x14ac:dyDescent="0.25">
      <c r="B45" s="23" t="s">
        <v>72</v>
      </c>
      <c r="C45" s="49">
        <f>AVERAGE('12.08 Tororo-Malaba'!C45,'13.08 Tororo-Malaba'!C45,'14.08 Tororo-Malaba'!C45,'15.08 Tororo-Malaba'!C45,'16.08 Tororo-Malaba-24h'!C45,'17.08 Tororo-Malaba-24h'!C45,'18.08 Tororo-Malaba'!C45)</f>
        <v>2.2857142857142856</v>
      </c>
      <c r="D45" s="49">
        <f>AVERAGE('12.08 Tororo-Malaba'!D45,'13.08 Tororo-Malaba'!D45,'14.08 Tororo-Malaba'!D45,'15.08 Tororo-Malaba'!D45,'16.08 Tororo-Malaba-24h'!D45,'17.08 Tororo-Malaba-24h'!D45,'18.08 Tororo-Malaba'!D45)</f>
        <v>0</v>
      </c>
      <c r="E45" s="49">
        <f>AVERAGE('12.08 Tororo-Malaba'!E45,'13.08 Tororo-Malaba'!E45,'14.08 Tororo-Malaba'!E45,'15.08 Tororo-Malaba'!E45,'16.08 Tororo-Malaba-24h'!E45,'17.08 Tororo-Malaba-24h'!E45,'18.08 Tororo-Malaba'!E45)</f>
        <v>2</v>
      </c>
      <c r="F45" s="49">
        <f>AVERAGE('12.08 Tororo-Malaba'!F45,'13.08 Tororo-Malaba'!F45,'14.08 Tororo-Malaba'!F45,'15.08 Tororo-Malaba'!F45,'16.08 Tororo-Malaba-24h'!F45,'17.08 Tororo-Malaba-24h'!F45,'18.08 Tororo-Malaba'!F45)</f>
        <v>3.4285714285714284</v>
      </c>
      <c r="G45" s="49">
        <f>AVERAGE('12.08 Tororo-Malaba'!G45,'13.08 Tororo-Malaba'!G45,'14.08 Tororo-Malaba'!G45,'15.08 Tororo-Malaba'!G45,'16.08 Tororo-Malaba-24h'!G45,'17.08 Tororo-Malaba-24h'!G45,'18.08 Tororo-Malaba'!G45)</f>
        <v>0</v>
      </c>
      <c r="H45" s="49">
        <f>AVERAGE('12.08 Tororo-Malaba'!H45,'13.08 Tororo-Malaba'!H45,'14.08 Tororo-Malaba'!H45,'15.08 Tororo-Malaba'!H45,'16.08 Tororo-Malaba-24h'!H45,'17.08 Tororo-Malaba-24h'!H45,'18.08 Tororo-Malaba'!H45)</f>
        <v>0</v>
      </c>
      <c r="I45" s="49">
        <f>AVERAGE('12.08 Tororo-Malaba'!I45,'13.08 Tororo-Malaba'!I45,'14.08 Tororo-Malaba'!I45,'15.08 Tororo-Malaba'!I45,'16.08 Tororo-Malaba-24h'!I45,'17.08 Tororo-Malaba-24h'!I45,'18.08 Tororo-Malaba'!I45)</f>
        <v>0.7142857142857143</v>
      </c>
      <c r="J45" s="49">
        <f>AVERAGE('12.08 Tororo-Malaba'!J45,'13.08 Tororo-Malaba'!J45,'14.08 Tororo-Malaba'!J45,'15.08 Tororo-Malaba'!J45,'16.08 Tororo-Malaba-24h'!J45,'17.08 Tororo-Malaba-24h'!J45,'18.08 Tororo-Malaba'!J45)</f>
        <v>0</v>
      </c>
      <c r="K45" s="49">
        <f>AVERAGE('12.08 Tororo-Malaba'!K45,'13.08 Tororo-Malaba'!K45,'14.08 Tororo-Malaba'!K45,'15.08 Tororo-Malaba'!K45,'16.08 Tororo-Malaba-24h'!K45,'17.08 Tororo-Malaba-24h'!K45,'18.08 Tororo-Malaba'!K45)</f>
        <v>0</v>
      </c>
      <c r="L45" s="49">
        <f>AVERAGE('12.08 Tororo-Malaba'!L45,'13.08 Tororo-Malaba'!L45,'14.08 Tororo-Malaba'!L45,'15.08 Tororo-Malaba'!L45,'16.08 Tororo-Malaba-24h'!L45,'17.08 Tororo-Malaba-24h'!L45,'18.08 Tororo-Malaba'!L45)</f>
        <v>0</v>
      </c>
      <c r="M45" s="49">
        <f>AVERAGE('12.08 Tororo-Malaba'!M45,'13.08 Tororo-Malaba'!M45,'14.08 Tororo-Malaba'!M45,'15.08 Tororo-Malaba'!M45,'16.08 Tororo-Malaba-24h'!M45,'17.08 Tororo-Malaba-24h'!M45,'18.08 Tororo-Malaba'!M45)</f>
        <v>19.857142857142858</v>
      </c>
      <c r="N45" s="49">
        <f>AVERAGE('12.08 Tororo-Malaba'!N45,'13.08 Tororo-Malaba'!N45,'14.08 Tororo-Malaba'!N45,'15.08 Tororo-Malaba'!N45,'16.08 Tororo-Malaba-24h'!N45,'17.08 Tororo-Malaba-24h'!N45,'18.08 Tororo-Malaba'!N45)</f>
        <v>0</v>
      </c>
      <c r="O45" s="15">
        <f t="shared" si="0"/>
        <v>8.428571428571427</v>
      </c>
      <c r="P45" s="15">
        <f t="shared" si="1"/>
        <v>28.285714285714285</v>
      </c>
    </row>
    <row r="46" spans="2:32" ht="23.1" customHeight="1" x14ac:dyDescent="0.25">
      <c r="B46" s="24" t="s">
        <v>73</v>
      </c>
      <c r="C46" s="49">
        <f>AVERAGE('12.08 Tororo-Malaba'!C46,'13.08 Tororo-Malaba'!C46,'14.08 Tororo-Malaba'!C46,'15.08 Tororo-Malaba'!C46,'16.08 Tororo-Malaba-24h'!C46,'17.08 Tororo-Malaba-24h'!C46,'18.08 Tororo-Malaba'!C46)</f>
        <v>2.4285714285714284</v>
      </c>
      <c r="D46" s="49">
        <f>AVERAGE('12.08 Tororo-Malaba'!D46,'13.08 Tororo-Malaba'!D46,'14.08 Tororo-Malaba'!D46,'15.08 Tororo-Malaba'!D46,'16.08 Tororo-Malaba-24h'!D46,'17.08 Tororo-Malaba-24h'!D46,'18.08 Tororo-Malaba'!D46)</f>
        <v>0.14285714285714285</v>
      </c>
      <c r="E46" s="49">
        <f>AVERAGE('12.08 Tororo-Malaba'!E46,'13.08 Tororo-Malaba'!E46,'14.08 Tororo-Malaba'!E46,'15.08 Tororo-Malaba'!E46,'16.08 Tororo-Malaba-24h'!E46,'17.08 Tororo-Malaba-24h'!E46,'18.08 Tororo-Malaba'!E46)</f>
        <v>2.1428571428571428</v>
      </c>
      <c r="F46" s="49">
        <f>AVERAGE('12.08 Tororo-Malaba'!F46,'13.08 Tororo-Malaba'!F46,'14.08 Tororo-Malaba'!F46,'15.08 Tororo-Malaba'!F46,'16.08 Tororo-Malaba-24h'!F46,'17.08 Tororo-Malaba-24h'!F46,'18.08 Tororo-Malaba'!F46)</f>
        <v>2.2857142857142856</v>
      </c>
      <c r="G46" s="49">
        <f>AVERAGE('12.08 Tororo-Malaba'!G46,'13.08 Tororo-Malaba'!G46,'14.08 Tororo-Malaba'!G46,'15.08 Tororo-Malaba'!G46,'16.08 Tororo-Malaba-24h'!G46,'17.08 Tororo-Malaba-24h'!G46,'18.08 Tororo-Malaba'!G46)</f>
        <v>0</v>
      </c>
      <c r="H46" s="49">
        <f>AVERAGE('12.08 Tororo-Malaba'!H46,'13.08 Tororo-Malaba'!H46,'14.08 Tororo-Malaba'!H46,'15.08 Tororo-Malaba'!H46,'16.08 Tororo-Malaba-24h'!H46,'17.08 Tororo-Malaba-24h'!H46,'18.08 Tororo-Malaba'!H46)</f>
        <v>0</v>
      </c>
      <c r="I46" s="49">
        <f>AVERAGE('12.08 Tororo-Malaba'!I46,'13.08 Tororo-Malaba'!I46,'14.08 Tororo-Malaba'!I46,'15.08 Tororo-Malaba'!I46,'16.08 Tororo-Malaba-24h'!I46,'17.08 Tororo-Malaba-24h'!I46,'18.08 Tororo-Malaba'!I46)</f>
        <v>1.4285714285714286</v>
      </c>
      <c r="J46" s="49">
        <f>AVERAGE('12.08 Tororo-Malaba'!J46,'13.08 Tororo-Malaba'!J46,'14.08 Tororo-Malaba'!J46,'15.08 Tororo-Malaba'!J46,'16.08 Tororo-Malaba-24h'!J46,'17.08 Tororo-Malaba-24h'!J46,'18.08 Tororo-Malaba'!J46)</f>
        <v>0.14285714285714285</v>
      </c>
      <c r="K46" s="49">
        <f>AVERAGE('12.08 Tororo-Malaba'!K46,'13.08 Tororo-Malaba'!K46,'14.08 Tororo-Malaba'!K46,'15.08 Tororo-Malaba'!K46,'16.08 Tororo-Malaba-24h'!K46,'17.08 Tororo-Malaba-24h'!K46,'18.08 Tororo-Malaba'!K46)</f>
        <v>0</v>
      </c>
      <c r="L46" s="49">
        <f>AVERAGE('12.08 Tororo-Malaba'!L46,'13.08 Tororo-Malaba'!L46,'14.08 Tororo-Malaba'!L46,'15.08 Tororo-Malaba'!L46,'16.08 Tororo-Malaba-24h'!L46,'17.08 Tororo-Malaba-24h'!L46,'18.08 Tororo-Malaba'!L46)</f>
        <v>0</v>
      </c>
      <c r="M46" s="49">
        <f>AVERAGE('12.08 Tororo-Malaba'!M46,'13.08 Tororo-Malaba'!M46,'14.08 Tororo-Malaba'!M46,'15.08 Tororo-Malaba'!M46,'16.08 Tororo-Malaba-24h'!M46,'17.08 Tororo-Malaba-24h'!M46,'18.08 Tororo-Malaba'!M46)</f>
        <v>22.571428571428573</v>
      </c>
      <c r="N46" s="49">
        <f>AVERAGE('12.08 Tororo-Malaba'!N46,'13.08 Tororo-Malaba'!N46,'14.08 Tororo-Malaba'!N46,'15.08 Tororo-Malaba'!N46,'16.08 Tororo-Malaba-24h'!N46,'17.08 Tororo-Malaba-24h'!N46,'18.08 Tororo-Malaba'!N46)</f>
        <v>0</v>
      </c>
      <c r="O46" s="15">
        <f t="shared" si="0"/>
        <v>8.5714285714285694</v>
      </c>
      <c r="P46" s="15">
        <f t="shared" si="1"/>
        <v>31.142857142857142</v>
      </c>
      <c r="R46" s="8"/>
      <c r="T46"/>
    </row>
    <row r="47" spans="2:32" ht="23.1" customHeight="1" x14ac:dyDescent="0.25">
      <c r="B47" s="24" t="s">
        <v>74</v>
      </c>
      <c r="C47" s="49">
        <f>AVERAGE('12.08 Tororo-Malaba'!C47,'13.08 Tororo-Malaba'!C47,'14.08 Tororo-Malaba'!C47,'15.08 Tororo-Malaba'!C47,'16.08 Tororo-Malaba-24h'!C47,'17.08 Tororo-Malaba-24h'!C47,'18.08 Tororo-Malaba'!C47)</f>
        <v>4.2857142857142856</v>
      </c>
      <c r="D47" s="49">
        <f>AVERAGE('12.08 Tororo-Malaba'!D47,'13.08 Tororo-Malaba'!D47,'14.08 Tororo-Malaba'!D47,'15.08 Tororo-Malaba'!D47,'16.08 Tororo-Malaba-24h'!D47,'17.08 Tororo-Malaba-24h'!D47,'18.08 Tororo-Malaba'!D47)</f>
        <v>0</v>
      </c>
      <c r="E47" s="49">
        <f>AVERAGE('12.08 Tororo-Malaba'!E47,'13.08 Tororo-Malaba'!E47,'14.08 Tororo-Malaba'!E47,'15.08 Tororo-Malaba'!E47,'16.08 Tororo-Malaba-24h'!E47,'17.08 Tororo-Malaba-24h'!E47,'18.08 Tororo-Malaba'!E47)</f>
        <v>0.8571428571428571</v>
      </c>
      <c r="F47" s="49">
        <f>AVERAGE('12.08 Tororo-Malaba'!F47,'13.08 Tororo-Malaba'!F47,'14.08 Tororo-Malaba'!F47,'15.08 Tororo-Malaba'!F47,'16.08 Tororo-Malaba-24h'!F47,'17.08 Tororo-Malaba-24h'!F47,'18.08 Tororo-Malaba'!F47)</f>
        <v>2.1428571428571428</v>
      </c>
      <c r="G47" s="49">
        <f>AVERAGE('12.08 Tororo-Malaba'!G47,'13.08 Tororo-Malaba'!G47,'14.08 Tororo-Malaba'!G47,'15.08 Tororo-Malaba'!G47,'16.08 Tororo-Malaba-24h'!G47,'17.08 Tororo-Malaba-24h'!G47,'18.08 Tororo-Malaba'!G47)</f>
        <v>0</v>
      </c>
      <c r="H47" s="49">
        <f>AVERAGE('12.08 Tororo-Malaba'!H47,'13.08 Tororo-Malaba'!H47,'14.08 Tororo-Malaba'!H47,'15.08 Tororo-Malaba'!H47,'16.08 Tororo-Malaba-24h'!H47,'17.08 Tororo-Malaba-24h'!H47,'18.08 Tororo-Malaba'!H47)</f>
        <v>0</v>
      </c>
      <c r="I47" s="49">
        <f>AVERAGE('12.08 Tororo-Malaba'!I47,'13.08 Tororo-Malaba'!I47,'14.08 Tororo-Malaba'!I47,'15.08 Tororo-Malaba'!I47,'16.08 Tororo-Malaba-24h'!I47,'17.08 Tororo-Malaba-24h'!I47,'18.08 Tororo-Malaba'!I47)</f>
        <v>1.4285714285714286</v>
      </c>
      <c r="J47" s="49">
        <f>AVERAGE('12.08 Tororo-Malaba'!J47,'13.08 Tororo-Malaba'!J47,'14.08 Tororo-Malaba'!J47,'15.08 Tororo-Malaba'!J47,'16.08 Tororo-Malaba-24h'!J47,'17.08 Tororo-Malaba-24h'!J47,'18.08 Tororo-Malaba'!J47)</f>
        <v>0</v>
      </c>
      <c r="K47" s="49">
        <f>AVERAGE('12.08 Tororo-Malaba'!K47,'13.08 Tororo-Malaba'!K47,'14.08 Tororo-Malaba'!K47,'15.08 Tororo-Malaba'!K47,'16.08 Tororo-Malaba-24h'!K47,'17.08 Tororo-Malaba-24h'!K47,'18.08 Tororo-Malaba'!K47)</f>
        <v>0</v>
      </c>
      <c r="L47" s="49">
        <f>AVERAGE('12.08 Tororo-Malaba'!L47,'13.08 Tororo-Malaba'!L47,'14.08 Tororo-Malaba'!L47,'15.08 Tororo-Malaba'!L47,'16.08 Tororo-Malaba-24h'!L47,'17.08 Tororo-Malaba-24h'!L47,'18.08 Tororo-Malaba'!L47)</f>
        <v>0</v>
      </c>
      <c r="M47" s="49">
        <f>AVERAGE('12.08 Tororo-Malaba'!M47,'13.08 Tororo-Malaba'!M47,'14.08 Tororo-Malaba'!M47,'15.08 Tororo-Malaba'!M47,'16.08 Tororo-Malaba-24h'!M47,'17.08 Tororo-Malaba-24h'!M47,'18.08 Tororo-Malaba'!M47)</f>
        <v>26.857142857142858</v>
      </c>
      <c r="N47" s="49">
        <f>AVERAGE('12.08 Tororo-Malaba'!N47,'13.08 Tororo-Malaba'!N47,'14.08 Tororo-Malaba'!N47,'15.08 Tororo-Malaba'!N47,'16.08 Tororo-Malaba-24h'!N47,'17.08 Tororo-Malaba-24h'!N47,'18.08 Tororo-Malaba'!N47)</f>
        <v>0</v>
      </c>
      <c r="O47" s="15">
        <f t="shared" si="0"/>
        <v>8.7142857142857135</v>
      </c>
      <c r="P47" s="15">
        <f t="shared" si="1"/>
        <v>35.571428571428569</v>
      </c>
      <c r="R47" s="8"/>
      <c r="T47"/>
    </row>
    <row r="48" spans="2:32" ht="23.1" customHeight="1" x14ac:dyDescent="0.25">
      <c r="B48" s="24" t="s">
        <v>75</v>
      </c>
      <c r="C48" s="49">
        <f>AVERAGE('12.08 Tororo-Malaba'!C48,'13.08 Tororo-Malaba'!C48,'14.08 Tororo-Malaba'!C48,'15.08 Tororo-Malaba'!C48,'16.08 Tororo-Malaba-24h'!C48,'17.08 Tororo-Malaba-24h'!C48,'18.08 Tororo-Malaba'!C48)</f>
        <v>2.4285714285714284</v>
      </c>
      <c r="D48" s="49">
        <f>AVERAGE('12.08 Tororo-Malaba'!D48,'13.08 Tororo-Malaba'!D48,'14.08 Tororo-Malaba'!D48,'15.08 Tororo-Malaba'!D48,'16.08 Tororo-Malaba-24h'!D48,'17.08 Tororo-Malaba-24h'!D48,'18.08 Tororo-Malaba'!D48)</f>
        <v>0</v>
      </c>
      <c r="E48" s="49">
        <f>AVERAGE('12.08 Tororo-Malaba'!E48,'13.08 Tororo-Malaba'!E48,'14.08 Tororo-Malaba'!E48,'15.08 Tororo-Malaba'!E48,'16.08 Tororo-Malaba-24h'!E48,'17.08 Tororo-Malaba-24h'!E48,'18.08 Tororo-Malaba'!E48)</f>
        <v>1.5714285714285714</v>
      </c>
      <c r="F48" s="49">
        <f>AVERAGE('12.08 Tororo-Malaba'!F48,'13.08 Tororo-Malaba'!F48,'14.08 Tororo-Malaba'!F48,'15.08 Tororo-Malaba'!F48,'16.08 Tororo-Malaba-24h'!F48,'17.08 Tororo-Malaba-24h'!F48,'18.08 Tororo-Malaba'!F48)</f>
        <v>3.5714285714285716</v>
      </c>
      <c r="G48" s="49">
        <f>AVERAGE('12.08 Tororo-Malaba'!G48,'13.08 Tororo-Malaba'!G48,'14.08 Tororo-Malaba'!G48,'15.08 Tororo-Malaba'!G48,'16.08 Tororo-Malaba-24h'!G48,'17.08 Tororo-Malaba-24h'!G48,'18.08 Tororo-Malaba'!G48)</f>
        <v>0</v>
      </c>
      <c r="H48" s="49">
        <f>AVERAGE('12.08 Tororo-Malaba'!H48,'13.08 Tororo-Malaba'!H48,'14.08 Tororo-Malaba'!H48,'15.08 Tororo-Malaba'!H48,'16.08 Tororo-Malaba-24h'!H48,'17.08 Tororo-Malaba-24h'!H48,'18.08 Tororo-Malaba'!H48)</f>
        <v>0</v>
      </c>
      <c r="I48" s="49">
        <f>AVERAGE('12.08 Tororo-Malaba'!I48,'13.08 Tororo-Malaba'!I48,'14.08 Tororo-Malaba'!I48,'15.08 Tororo-Malaba'!I48,'16.08 Tororo-Malaba-24h'!I48,'17.08 Tororo-Malaba-24h'!I48,'18.08 Tororo-Malaba'!I48)</f>
        <v>0.5714285714285714</v>
      </c>
      <c r="J48" s="49">
        <f>AVERAGE('12.08 Tororo-Malaba'!J48,'13.08 Tororo-Malaba'!J48,'14.08 Tororo-Malaba'!J48,'15.08 Tororo-Malaba'!J48,'16.08 Tororo-Malaba-24h'!J48,'17.08 Tororo-Malaba-24h'!J48,'18.08 Tororo-Malaba'!J48)</f>
        <v>0.2857142857142857</v>
      </c>
      <c r="K48" s="49">
        <f>AVERAGE('12.08 Tororo-Malaba'!K48,'13.08 Tororo-Malaba'!K48,'14.08 Tororo-Malaba'!K48,'15.08 Tororo-Malaba'!K48,'16.08 Tororo-Malaba-24h'!K48,'17.08 Tororo-Malaba-24h'!K48,'18.08 Tororo-Malaba'!K48)</f>
        <v>0</v>
      </c>
      <c r="L48" s="49">
        <f>AVERAGE('12.08 Tororo-Malaba'!L48,'13.08 Tororo-Malaba'!L48,'14.08 Tororo-Malaba'!L48,'15.08 Tororo-Malaba'!L48,'16.08 Tororo-Malaba-24h'!L48,'17.08 Tororo-Malaba-24h'!L48,'18.08 Tororo-Malaba'!L48)</f>
        <v>0</v>
      </c>
      <c r="M48" s="49">
        <f>AVERAGE('12.08 Tororo-Malaba'!M48,'13.08 Tororo-Malaba'!M48,'14.08 Tororo-Malaba'!M48,'15.08 Tororo-Malaba'!M48,'16.08 Tororo-Malaba-24h'!M48,'17.08 Tororo-Malaba-24h'!M48,'18.08 Tororo-Malaba'!M48)</f>
        <v>22.714285714285715</v>
      </c>
      <c r="N48" s="49">
        <f>AVERAGE('12.08 Tororo-Malaba'!N48,'13.08 Tororo-Malaba'!N48,'14.08 Tororo-Malaba'!N48,'15.08 Tororo-Malaba'!N48,'16.08 Tororo-Malaba-24h'!N48,'17.08 Tororo-Malaba-24h'!N48,'18.08 Tororo-Malaba'!N48)</f>
        <v>0</v>
      </c>
      <c r="O48" s="15">
        <f t="shared" si="0"/>
        <v>8.4285714285714288</v>
      </c>
      <c r="P48" s="15">
        <f t="shared" si="1"/>
        <v>31.142857142857146</v>
      </c>
      <c r="R48" s="8"/>
      <c r="T48"/>
    </row>
    <row r="49" spans="2:20" ht="23.1" customHeight="1" x14ac:dyDescent="0.25">
      <c r="B49" s="23" t="s">
        <v>76</v>
      </c>
      <c r="C49" s="49">
        <f>AVERAGE('12.08 Tororo-Malaba'!C49,'13.08 Tororo-Malaba'!C49,'14.08 Tororo-Malaba'!C49,'15.08 Tororo-Malaba'!C49,'16.08 Tororo-Malaba-24h'!C49,'17.08 Tororo-Malaba-24h'!C49,'18.08 Tororo-Malaba'!C49)</f>
        <v>2.7142857142857144</v>
      </c>
      <c r="D49" s="49">
        <f>AVERAGE('12.08 Tororo-Malaba'!D49,'13.08 Tororo-Malaba'!D49,'14.08 Tororo-Malaba'!D49,'15.08 Tororo-Malaba'!D49,'16.08 Tororo-Malaba-24h'!D49,'17.08 Tororo-Malaba-24h'!D49,'18.08 Tororo-Malaba'!D49)</f>
        <v>0</v>
      </c>
      <c r="E49" s="49">
        <f>AVERAGE('12.08 Tororo-Malaba'!E49,'13.08 Tororo-Malaba'!E49,'14.08 Tororo-Malaba'!E49,'15.08 Tororo-Malaba'!E49,'16.08 Tororo-Malaba-24h'!E49,'17.08 Tororo-Malaba-24h'!E49,'18.08 Tororo-Malaba'!E49)</f>
        <v>1.1428571428571428</v>
      </c>
      <c r="F49" s="49">
        <f>AVERAGE('12.08 Tororo-Malaba'!F49,'13.08 Tororo-Malaba'!F49,'14.08 Tororo-Malaba'!F49,'15.08 Tororo-Malaba'!F49,'16.08 Tororo-Malaba-24h'!F49,'17.08 Tororo-Malaba-24h'!F49,'18.08 Tororo-Malaba'!F49)</f>
        <v>4.2857142857142856</v>
      </c>
      <c r="G49" s="49">
        <f>AVERAGE('12.08 Tororo-Malaba'!G49,'13.08 Tororo-Malaba'!G49,'14.08 Tororo-Malaba'!G49,'15.08 Tororo-Malaba'!G49,'16.08 Tororo-Malaba-24h'!G49,'17.08 Tororo-Malaba-24h'!G49,'18.08 Tororo-Malaba'!G49)</f>
        <v>0.2857142857142857</v>
      </c>
      <c r="H49" s="49">
        <f>AVERAGE('12.08 Tororo-Malaba'!H49,'13.08 Tororo-Malaba'!H49,'14.08 Tororo-Malaba'!H49,'15.08 Tororo-Malaba'!H49,'16.08 Tororo-Malaba-24h'!H49,'17.08 Tororo-Malaba-24h'!H49,'18.08 Tororo-Malaba'!H49)</f>
        <v>0.14285714285714285</v>
      </c>
      <c r="I49" s="49">
        <f>AVERAGE('12.08 Tororo-Malaba'!I49,'13.08 Tororo-Malaba'!I49,'14.08 Tororo-Malaba'!I49,'15.08 Tororo-Malaba'!I49,'16.08 Tororo-Malaba-24h'!I49,'17.08 Tororo-Malaba-24h'!I49,'18.08 Tororo-Malaba'!I49)</f>
        <v>0.5714285714285714</v>
      </c>
      <c r="J49" s="49">
        <f>AVERAGE('12.08 Tororo-Malaba'!J49,'13.08 Tororo-Malaba'!J49,'14.08 Tororo-Malaba'!J49,'15.08 Tororo-Malaba'!J49,'16.08 Tororo-Malaba-24h'!J49,'17.08 Tororo-Malaba-24h'!J49,'18.08 Tororo-Malaba'!J49)</f>
        <v>0</v>
      </c>
      <c r="K49" s="49">
        <f>AVERAGE('12.08 Tororo-Malaba'!K49,'13.08 Tororo-Malaba'!K49,'14.08 Tororo-Malaba'!K49,'15.08 Tororo-Malaba'!K49,'16.08 Tororo-Malaba-24h'!K49,'17.08 Tororo-Malaba-24h'!K49,'18.08 Tororo-Malaba'!K49)</f>
        <v>0.14285714285714285</v>
      </c>
      <c r="L49" s="49">
        <f>AVERAGE('12.08 Tororo-Malaba'!L49,'13.08 Tororo-Malaba'!L49,'14.08 Tororo-Malaba'!L49,'15.08 Tororo-Malaba'!L49,'16.08 Tororo-Malaba-24h'!L49,'17.08 Tororo-Malaba-24h'!L49,'18.08 Tororo-Malaba'!L49)</f>
        <v>0</v>
      </c>
      <c r="M49" s="49">
        <f>AVERAGE('12.08 Tororo-Malaba'!M49,'13.08 Tororo-Malaba'!M49,'14.08 Tororo-Malaba'!M49,'15.08 Tororo-Malaba'!M49,'16.08 Tororo-Malaba-24h'!M49,'17.08 Tororo-Malaba-24h'!M49,'18.08 Tororo-Malaba'!M49)</f>
        <v>26.285714285714285</v>
      </c>
      <c r="N49" s="49">
        <f>AVERAGE('12.08 Tororo-Malaba'!N49,'13.08 Tororo-Malaba'!N49,'14.08 Tororo-Malaba'!N49,'15.08 Tororo-Malaba'!N49,'16.08 Tororo-Malaba-24h'!N49,'17.08 Tororo-Malaba-24h'!N49,'18.08 Tororo-Malaba'!N49)</f>
        <v>0</v>
      </c>
      <c r="O49" s="15">
        <f t="shared" si="0"/>
        <v>9.2857142857142847</v>
      </c>
      <c r="P49" s="15">
        <f t="shared" si="1"/>
        <v>35.571428571428569</v>
      </c>
      <c r="R49" s="8"/>
      <c r="T49"/>
    </row>
    <row r="50" spans="2:20" ht="23.1" customHeight="1" x14ac:dyDescent="0.25">
      <c r="B50" s="24" t="s">
        <v>77</v>
      </c>
      <c r="C50" s="49">
        <f>AVERAGE('12.08 Tororo-Malaba'!C50,'13.08 Tororo-Malaba'!C50,'14.08 Tororo-Malaba'!C50,'15.08 Tororo-Malaba'!C50,'16.08 Tororo-Malaba-24h'!C50,'17.08 Tororo-Malaba-24h'!C50,'18.08 Tororo-Malaba'!C50)</f>
        <v>3</v>
      </c>
      <c r="D50" s="49">
        <f>AVERAGE('12.08 Tororo-Malaba'!D50,'13.08 Tororo-Malaba'!D50,'14.08 Tororo-Malaba'!D50,'15.08 Tororo-Malaba'!D50,'16.08 Tororo-Malaba-24h'!D50,'17.08 Tororo-Malaba-24h'!D50,'18.08 Tororo-Malaba'!D50)</f>
        <v>0.2857142857142857</v>
      </c>
      <c r="E50" s="49">
        <f>AVERAGE('12.08 Tororo-Malaba'!E50,'13.08 Tororo-Malaba'!E50,'14.08 Tororo-Malaba'!E50,'15.08 Tororo-Malaba'!E50,'16.08 Tororo-Malaba-24h'!E50,'17.08 Tororo-Malaba-24h'!E50,'18.08 Tororo-Malaba'!E50)</f>
        <v>2.2857142857142856</v>
      </c>
      <c r="F50" s="49">
        <f>AVERAGE('12.08 Tororo-Malaba'!F50,'13.08 Tororo-Malaba'!F50,'14.08 Tororo-Malaba'!F50,'15.08 Tororo-Malaba'!F50,'16.08 Tororo-Malaba-24h'!F50,'17.08 Tororo-Malaba-24h'!F50,'18.08 Tororo-Malaba'!F50)</f>
        <v>2.5714285714285716</v>
      </c>
      <c r="G50" s="49">
        <f>AVERAGE('12.08 Tororo-Malaba'!G50,'13.08 Tororo-Malaba'!G50,'14.08 Tororo-Malaba'!G50,'15.08 Tororo-Malaba'!G50,'16.08 Tororo-Malaba-24h'!G50,'17.08 Tororo-Malaba-24h'!G50,'18.08 Tororo-Malaba'!G50)</f>
        <v>0</v>
      </c>
      <c r="H50" s="49">
        <f>AVERAGE('12.08 Tororo-Malaba'!H50,'13.08 Tororo-Malaba'!H50,'14.08 Tororo-Malaba'!H50,'15.08 Tororo-Malaba'!H50,'16.08 Tororo-Malaba-24h'!H50,'17.08 Tororo-Malaba-24h'!H50,'18.08 Tororo-Malaba'!H50)</f>
        <v>0</v>
      </c>
      <c r="I50" s="49">
        <f>AVERAGE('12.08 Tororo-Malaba'!I50,'13.08 Tororo-Malaba'!I50,'14.08 Tororo-Malaba'!I50,'15.08 Tororo-Malaba'!I50,'16.08 Tororo-Malaba-24h'!I50,'17.08 Tororo-Malaba-24h'!I50,'18.08 Tororo-Malaba'!I50)</f>
        <v>1.4285714285714286</v>
      </c>
      <c r="J50" s="49">
        <f>AVERAGE('12.08 Tororo-Malaba'!J50,'13.08 Tororo-Malaba'!J50,'14.08 Tororo-Malaba'!J50,'15.08 Tororo-Malaba'!J50,'16.08 Tororo-Malaba-24h'!J50,'17.08 Tororo-Malaba-24h'!J50,'18.08 Tororo-Malaba'!J50)</f>
        <v>0.42857142857142855</v>
      </c>
      <c r="K50" s="49">
        <f>AVERAGE('12.08 Tororo-Malaba'!K50,'13.08 Tororo-Malaba'!K50,'14.08 Tororo-Malaba'!K50,'15.08 Tororo-Malaba'!K50,'16.08 Tororo-Malaba-24h'!K50,'17.08 Tororo-Malaba-24h'!K50,'18.08 Tororo-Malaba'!K50)</f>
        <v>0</v>
      </c>
      <c r="L50" s="49">
        <f>AVERAGE('12.08 Tororo-Malaba'!L50,'13.08 Tororo-Malaba'!L50,'14.08 Tororo-Malaba'!L50,'15.08 Tororo-Malaba'!L50,'16.08 Tororo-Malaba-24h'!L50,'17.08 Tororo-Malaba-24h'!L50,'18.08 Tororo-Malaba'!L50)</f>
        <v>0</v>
      </c>
      <c r="M50" s="49">
        <f>AVERAGE('12.08 Tororo-Malaba'!M50,'13.08 Tororo-Malaba'!M50,'14.08 Tororo-Malaba'!M50,'15.08 Tororo-Malaba'!M50,'16.08 Tororo-Malaba-24h'!M50,'17.08 Tororo-Malaba-24h'!M50,'18.08 Tororo-Malaba'!M50)</f>
        <v>23.571428571428573</v>
      </c>
      <c r="N50" s="49">
        <f>AVERAGE('12.08 Tororo-Malaba'!N50,'13.08 Tororo-Malaba'!N50,'14.08 Tororo-Malaba'!N50,'15.08 Tororo-Malaba'!N50,'16.08 Tororo-Malaba-24h'!N50,'17.08 Tororo-Malaba-24h'!N50,'18.08 Tororo-Malaba'!N50)</f>
        <v>0</v>
      </c>
      <c r="O50" s="15">
        <f t="shared" si="0"/>
        <v>10</v>
      </c>
      <c r="P50" s="15">
        <f t="shared" si="1"/>
        <v>33.571428571428569</v>
      </c>
      <c r="R50" s="8"/>
      <c r="T50"/>
    </row>
    <row r="51" spans="2:20" ht="23.1" customHeight="1" x14ac:dyDescent="0.25">
      <c r="B51" s="24" t="s">
        <v>78</v>
      </c>
      <c r="C51" s="49">
        <f>AVERAGE('12.08 Tororo-Malaba'!C51,'13.08 Tororo-Malaba'!C51,'14.08 Tororo-Malaba'!C51,'15.08 Tororo-Malaba'!C51,'16.08 Tororo-Malaba-24h'!C51,'17.08 Tororo-Malaba-24h'!C51,'18.08 Tororo-Malaba'!C51)</f>
        <v>3.4285714285714284</v>
      </c>
      <c r="D51" s="49">
        <f>AVERAGE('12.08 Tororo-Malaba'!D51,'13.08 Tororo-Malaba'!D51,'14.08 Tororo-Malaba'!D51,'15.08 Tororo-Malaba'!D51,'16.08 Tororo-Malaba-24h'!D51,'17.08 Tororo-Malaba-24h'!D51,'18.08 Tororo-Malaba'!D51)</f>
        <v>0.5714285714285714</v>
      </c>
      <c r="E51" s="49">
        <f>AVERAGE('12.08 Tororo-Malaba'!E51,'13.08 Tororo-Malaba'!E51,'14.08 Tororo-Malaba'!E51,'15.08 Tororo-Malaba'!E51,'16.08 Tororo-Malaba-24h'!E51,'17.08 Tororo-Malaba-24h'!E51,'18.08 Tororo-Malaba'!E51)</f>
        <v>2.7142857142857144</v>
      </c>
      <c r="F51" s="49">
        <f>AVERAGE('12.08 Tororo-Malaba'!F51,'13.08 Tororo-Malaba'!F51,'14.08 Tororo-Malaba'!F51,'15.08 Tororo-Malaba'!F51,'16.08 Tororo-Malaba-24h'!F51,'17.08 Tororo-Malaba-24h'!F51,'18.08 Tororo-Malaba'!F51)</f>
        <v>1.5714285714285714</v>
      </c>
      <c r="G51" s="49">
        <f>AVERAGE('12.08 Tororo-Malaba'!G51,'13.08 Tororo-Malaba'!G51,'14.08 Tororo-Malaba'!G51,'15.08 Tororo-Malaba'!G51,'16.08 Tororo-Malaba-24h'!G51,'17.08 Tororo-Malaba-24h'!G51,'18.08 Tororo-Malaba'!G51)</f>
        <v>0.2857142857142857</v>
      </c>
      <c r="H51" s="49">
        <f>AVERAGE('12.08 Tororo-Malaba'!H51,'13.08 Tororo-Malaba'!H51,'14.08 Tororo-Malaba'!H51,'15.08 Tororo-Malaba'!H51,'16.08 Tororo-Malaba-24h'!H51,'17.08 Tororo-Malaba-24h'!H51,'18.08 Tororo-Malaba'!H51)</f>
        <v>0</v>
      </c>
      <c r="I51" s="49">
        <f>AVERAGE('12.08 Tororo-Malaba'!I51,'13.08 Tororo-Malaba'!I51,'14.08 Tororo-Malaba'!I51,'15.08 Tororo-Malaba'!I51,'16.08 Tororo-Malaba-24h'!I51,'17.08 Tororo-Malaba-24h'!I51,'18.08 Tororo-Malaba'!I51)</f>
        <v>0.14285714285714285</v>
      </c>
      <c r="J51" s="49">
        <f>AVERAGE('12.08 Tororo-Malaba'!J51,'13.08 Tororo-Malaba'!J51,'14.08 Tororo-Malaba'!J51,'15.08 Tororo-Malaba'!J51,'16.08 Tororo-Malaba-24h'!J51,'17.08 Tororo-Malaba-24h'!J51,'18.08 Tororo-Malaba'!J51)</f>
        <v>0.2857142857142857</v>
      </c>
      <c r="K51" s="49">
        <f>AVERAGE('12.08 Tororo-Malaba'!K51,'13.08 Tororo-Malaba'!K51,'14.08 Tororo-Malaba'!K51,'15.08 Tororo-Malaba'!K51,'16.08 Tororo-Malaba-24h'!K51,'17.08 Tororo-Malaba-24h'!K51,'18.08 Tororo-Malaba'!K51)</f>
        <v>0</v>
      </c>
      <c r="L51" s="49">
        <f>AVERAGE('12.08 Tororo-Malaba'!L51,'13.08 Tororo-Malaba'!L51,'14.08 Tororo-Malaba'!L51,'15.08 Tororo-Malaba'!L51,'16.08 Tororo-Malaba-24h'!L51,'17.08 Tororo-Malaba-24h'!L51,'18.08 Tororo-Malaba'!L51)</f>
        <v>0</v>
      </c>
      <c r="M51" s="49">
        <f>AVERAGE('12.08 Tororo-Malaba'!M51,'13.08 Tororo-Malaba'!M51,'14.08 Tororo-Malaba'!M51,'15.08 Tororo-Malaba'!M51,'16.08 Tororo-Malaba-24h'!M51,'17.08 Tororo-Malaba-24h'!M51,'18.08 Tororo-Malaba'!M51)</f>
        <v>20</v>
      </c>
      <c r="N51" s="49">
        <f>AVERAGE('12.08 Tororo-Malaba'!N51,'13.08 Tororo-Malaba'!N51,'14.08 Tororo-Malaba'!N51,'15.08 Tororo-Malaba'!N51,'16.08 Tororo-Malaba-24h'!N51,'17.08 Tororo-Malaba-24h'!N51,'18.08 Tororo-Malaba'!N51)</f>
        <v>0</v>
      </c>
      <c r="O51" s="15">
        <f t="shared" si="0"/>
        <v>9.0000000000000018</v>
      </c>
      <c r="P51" s="15">
        <f t="shared" si="1"/>
        <v>29</v>
      </c>
      <c r="R51" s="8"/>
      <c r="T51"/>
    </row>
    <row r="52" spans="2:20" ht="23.1" customHeight="1" x14ac:dyDescent="0.25">
      <c r="B52" s="24" t="s">
        <v>79</v>
      </c>
      <c r="C52" s="49">
        <f>AVERAGE('12.08 Tororo-Malaba'!C52,'13.08 Tororo-Malaba'!C52,'14.08 Tororo-Malaba'!C52,'15.08 Tororo-Malaba'!C52,'16.08 Tororo-Malaba-24h'!C52,'17.08 Tororo-Malaba-24h'!C52,'18.08 Tororo-Malaba'!C52)</f>
        <v>2.8571428571428572</v>
      </c>
      <c r="D52" s="49">
        <f>AVERAGE('12.08 Tororo-Malaba'!D52,'13.08 Tororo-Malaba'!D52,'14.08 Tororo-Malaba'!D52,'15.08 Tororo-Malaba'!D52,'16.08 Tororo-Malaba-24h'!D52,'17.08 Tororo-Malaba-24h'!D52,'18.08 Tororo-Malaba'!D52)</f>
        <v>0</v>
      </c>
      <c r="E52" s="49">
        <f>AVERAGE('12.08 Tororo-Malaba'!E52,'13.08 Tororo-Malaba'!E52,'14.08 Tororo-Malaba'!E52,'15.08 Tororo-Malaba'!E52,'16.08 Tororo-Malaba-24h'!E52,'17.08 Tororo-Malaba-24h'!E52,'18.08 Tororo-Malaba'!E52)</f>
        <v>1.2857142857142858</v>
      </c>
      <c r="F52" s="49">
        <f>AVERAGE('12.08 Tororo-Malaba'!F52,'13.08 Tororo-Malaba'!F52,'14.08 Tororo-Malaba'!F52,'15.08 Tororo-Malaba'!F52,'16.08 Tororo-Malaba-24h'!F52,'17.08 Tororo-Malaba-24h'!F52,'18.08 Tororo-Malaba'!F52)</f>
        <v>2.5714285714285716</v>
      </c>
      <c r="G52" s="49">
        <f>AVERAGE('12.08 Tororo-Malaba'!G52,'13.08 Tororo-Malaba'!G52,'14.08 Tororo-Malaba'!G52,'15.08 Tororo-Malaba'!G52,'16.08 Tororo-Malaba-24h'!G52,'17.08 Tororo-Malaba-24h'!G52,'18.08 Tororo-Malaba'!G52)</f>
        <v>0</v>
      </c>
      <c r="H52" s="49">
        <f>AVERAGE('12.08 Tororo-Malaba'!H52,'13.08 Tororo-Malaba'!H52,'14.08 Tororo-Malaba'!H52,'15.08 Tororo-Malaba'!H52,'16.08 Tororo-Malaba-24h'!H52,'17.08 Tororo-Malaba-24h'!H52,'18.08 Tororo-Malaba'!H52)</f>
        <v>0</v>
      </c>
      <c r="I52" s="49">
        <f>AVERAGE('12.08 Tororo-Malaba'!I52,'13.08 Tororo-Malaba'!I52,'14.08 Tororo-Malaba'!I52,'15.08 Tororo-Malaba'!I52,'16.08 Tororo-Malaba-24h'!I52,'17.08 Tororo-Malaba-24h'!I52,'18.08 Tororo-Malaba'!I52)</f>
        <v>0.7142857142857143</v>
      </c>
      <c r="J52" s="49">
        <f>AVERAGE('12.08 Tororo-Malaba'!J52,'13.08 Tororo-Malaba'!J52,'14.08 Tororo-Malaba'!J52,'15.08 Tororo-Malaba'!J52,'16.08 Tororo-Malaba-24h'!J52,'17.08 Tororo-Malaba-24h'!J52,'18.08 Tororo-Malaba'!J52)</f>
        <v>0.2857142857142857</v>
      </c>
      <c r="K52" s="49">
        <f>AVERAGE('12.08 Tororo-Malaba'!K52,'13.08 Tororo-Malaba'!K52,'14.08 Tororo-Malaba'!K52,'15.08 Tororo-Malaba'!K52,'16.08 Tororo-Malaba-24h'!K52,'17.08 Tororo-Malaba-24h'!K52,'18.08 Tororo-Malaba'!K52)</f>
        <v>0</v>
      </c>
      <c r="L52" s="49">
        <f>AVERAGE('12.08 Tororo-Malaba'!L52,'13.08 Tororo-Malaba'!L52,'14.08 Tororo-Malaba'!L52,'15.08 Tororo-Malaba'!L52,'16.08 Tororo-Malaba-24h'!L52,'17.08 Tororo-Malaba-24h'!L52,'18.08 Tororo-Malaba'!L52)</f>
        <v>0</v>
      </c>
      <c r="M52" s="49">
        <f>AVERAGE('12.08 Tororo-Malaba'!M52,'13.08 Tororo-Malaba'!M52,'14.08 Tororo-Malaba'!M52,'15.08 Tororo-Malaba'!M52,'16.08 Tororo-Malaba-24h'!M52,'17.08 Tororo-Malaba-24h'!M52,'18.08 Tororo-Malaba'!M52)</f>
        <v>25.142857142857142</v>
      </c>
      <c r="N52" s="49">
        <f>AVERAGE('12.08 Tororo-Malaba'!N52,'13.08 Tororo-Malaba'!N52,'14.08 Tororo-Malaba'!N52,'15.08 Tororo-Malaba'!N52,'16.08 Tororo-Malaba-24h'!N52,'17.08 Tororo-Malaba-24h'!N52,'18.08 Tororo-Malaba'!N52)</f>
        <v>0</v>
      </c>
      <c r="O52" s="15">
        <f t="shared" si="0"/>
        <v>7.7142857142857153</v>
      </c>
      <c r="P52" s="15">
        <f t="shared" si="1"/>
        <v>32.857142857142861</v>
      </c>
      <c r="R52" s="8"/>
      <c r="T52"/>
    </row>
    <row r="53" spans="2:20" ht="23.1" customHeight="1" x14ac:dyDescent="0.25">
      <c r="B53" s="23" t="s">
        <v>80</v>
      </c>
      <c r="C53" s="49">
        <f>AVERAGE('12.08 Tororo-Malaba'!C53,'13.08 Tororo-Malaba'!C53,'14.08 Tororo-Malaba'!C53,'15.08 Tororo-Malaba'!C53,'16.08 Tororo-Malaba-24h'!C53,'17.08 Tororo-Malaba-24h'!C53,'18.08 Tororo-Malaba'!C53)</f>
        <v>3.5714285714285716</v>
      </c>
      <c r="D53" s="49">
        <f>AVERAGE('12.08 Tororo-Malaba'!D53,'13.08 Tororo-Malaba'!D53,'14.08 Tororo-Malaba'!D53,'15.08 Tororo-Malaba'!D53,'16.08 Tororo-Malaba-24h'!D53,'17.08 Tororo-Malaba-24h'!D53,'18.08 Tororo-Malaba'!D53)</f>
        <v>0</v>
      </c>
      <c r="E53" s="49">
        <f>AVERAGE('12.08 Tororo-Malaba'!E53,'13.08 Tororo-Malaba'!E53,'14.08 Tororo-Malaba'!E53,'15.08 Tororo-Malaba'!E53,'16.08 Tororo-Malaba-24h'!E53,'17.08 Tororo-Malaba-24h'!E53,'18.08 Tororo-Malaba'!E53)</f>
        <v>1.7142857142857142</v>
      </c>
      <c r="F53" s="49">
        <f>AVERAGE('12.08 Tororo-Malaba'!F53,'13.08 Tororo-Malaba'!F53,'14.08 Tororo-Malaba'!F53,'15.08 Tororo-Malaba'!F53,'16.08 Tororo-Malaba-24h'!F53,'17.08 Tororo-Malaba-24h'!F53,'18.08 Tororo-Malaba'!F53)</f>
        <v>3</v>
      </c>
      <c r="G53" s="49">
        <f>AVERAGE('12.08 Tororo-Malaba'!G53,'13.08 Tororo-Malaba'!G53,'14.08 Tororo-Malaba'!G53,'15.08 Tororo-Malaba'!G53,'16.08 Tororo-Malaba-24h'!G53,'17.08 Tororo-Malaba-24h'!G53,'18.08 Tororo-Malaba'!G53)</f>
        <v>0</v>
      </c>
      <c r="H53" s="49">
        <f>AVERAGE('12.08 Tororo-Malaba'!H53,'13.08 Tororo-Malaba'!H53,'14.08 Tororo-Malaba'!H53,'15.08 Tororo-Malaba'!H53,'16.08 Tororo-Malaba-24h'!H53,'17.08 Tororo-Malaba-24h'!H53,'18.08 Tororo-Malaba'!H53)</f>
        <v>0</v>
      </c>
      <c r="I53" s="49">
        <f>AVERAGE('12.08 Tororo-Malaba'!I53,'13.08 Tororo-Malaba'!I53,'14.08 Tororo-Malaba'!I53,'15.08 Tororo-Malaba'!I53,'16.08 Tororo-Malaba-24h'!I53,'17.08 Tororo-Malaba-24h'!I53,'18.08 Tororo-Malaba'!I53)</f>
        <v>1.2857142857142858</v>
      </c>
      <c r="J53" s="49">
        <f>AVERAGE('12.08 Tororo-Malaba'!J53,'13.08 Tororo-Malaba'!J53,'14.08 Tororo-Malaba'!J53,'15.08 Tororo-Malaba'!J53,'16.08 Tororo-Malaba-24h'!J53,'17.08 Tororo-Malaba-24h'!J53,'18.08 Tororo-Malaba'!J53)</f>
        <v>0</v>
      </c>
      <c r="K53" s="49">
        <f>AVERAGE('12.08 Tororo-Malaba'!K53,'13.08 Tororo-Malaba'!K53,'14.08 Tororo-Malaba'!K53,'15.08 Tororo-Malaba'!K53,'16.08 Tororo-Malaba-24h'!K53,'17.08 Tororo-Malaba-24h'!K53,'18.08 Tororo-Malaba'!K53)</f>
        <v>0</v>
      </c>
      <c r="L53" s="49">
        <f>AVERAGE('12.08 Tororo-Malaba'!L53,'13.08 Tororo-Malaba'!L53,'14.08 Tororo-Malaba'!L53,'15.08 Tororo-Malaba'!L53,'16.08 Tororo-Malaba-24h'!L53,'17.08 Tororo-Malaba-24h'!L53,'18.08 Tororo-Malaba'!L53)</f>
        <v>0</v>
      </c>
      <c r="M53" s="49">
        <f>AVERAGE('12.08 Tororo-Malaba'!M53,'13.08 Tororo-Malaba'!M53,'14.08 Tororo-Malaba'!M53,'15.08 Tororo-Malaba'!M53,'16.08 Tororo-Malaba-24h'!M53,'17.08 Tororo-Malaba-24h'!M53,'18.08 Tororo-Malaba'!M53)</f>
        <v>21.142857142857142</v>
      </c>
      <c r="N53" s="49">
        <f>AVERAGE('12.08 Tororo-Malaba'!N53,'13.08 Tororo-Malaba'!N53,'14.08 Tororo-Malaba'!N53,'15.08 Tororo-Malaba'!N53,'16.08 Tororo-Malaba-24h'!N53,'17.08 Tororo-Malaba-24h'!N53,'18.08 Tororo-Malaba'!N53)</f>
        <v>0</v>
      </c>
      <c r="O53" s="15">
        <f t="shared" si="0"/>
        <v>9.5714285714285712</v>
      </c>
      <c r="P53" s="15">
        <f t="shared" si="1"/>
        <v>30.714285714285715</v>
      </c>
      <c r="R53" s="8"/>
      <c r="T53"/>
    </row>
    <row r="54" spans="2:20" ht="23.1" customHeight="1" x14ac:dyDescent="0.25">
      <c r="B54" s="23" t="s">
        <v>81</v>
      </c>
      <c r="C54" s="49">
        <f>AVERAGE('12.08 Tororo-Malaba'!C54,'13.08 Tororo-Malaba'!C54,'14.08 Tororo-Malaba'!C54,'15.08 Tororo-Malaba'!C54,'16.08 Tororo-Malaba-24h'!C54,'17.08 Tororo-Malaba-24h'!C54,'18.08 Tororo-Malaba'!C54)</f>
        <v>3.4285714285714284</v>
      </c>
      <c r="D54" s="49">
        <f>AVERAGE('12.08 Tororo-Malaba'!D54,'13.08 Tororo-Malaba'!D54,'14.08 Tororo-Malaba'!D54,'15.08 Tororo-Malaba'!D54,'16.08 Tororo-Malaba-24h'!D54,'17.08 Tororo-Malaba-24h'!D54,'18.08 Tororo-Malaba'!D54)</f>
        <v>0</v>
      </c>
      <c r="E54" s="49">
        <f>AVERAGE('12.08 Tororo-Malaba'!E54,'13.08 Tororo-Malaba'!E54,'14.08 Tororo-Malaba'!E54,'15.08 Tororo-Malaba'!E54,'16.08 Tororo-Malaba-24h'!E54,'17.08 Tororo-Malaba-24h'!E54,'18.08 Tororo-Malaba'!E54)</f>
        <v>1.4285714285714286</v>
      </c>
      <c r="F54" s="49">
        <f>AVERAGE('12.08 Tororo-Malaba'!F54,'13.08 Tororo-Malaba'!F54,'14.08 Tororo-Malaba'!F54,'15.08 Tororo-Malaba'!F54,'16.08 Tororo-Malaba-24h'!F54,'17.08 Tororo-Malaba-24h'!F54,'18.08 Tororo-Malaba'!F54)</f>
        <v>2.4285714285714284</v>
      </c>
      <c r="G54" s="49">
        <f>AVERAGE('12.08 Tororo-Malaba'!G54,'13.08 Tororo-Malaba'!G54,'14.08 Tororo-Malaba'!G54,'15.08 Tororo-Malaba'!G54,'16.08 Tororo-Malaba-24h'!G54,'17.08 Tororo-Malaba-24h'!G54,'18.08 Tororo-Malaba'!G54)</f>
        <v>0.14285714285714285</v>
      </c>
      <c r="H54" s="49">
        <f>AVERAGE('12.08 Tororo-Malaba'!H54,'13.08 Tororo-Malaba'!H54,'14.08 Tororo-Malaba'!H54,'15.08 Tororo-Malaba'!H54,'16.08 Tororo-Malaba-24h'!H54,'17.08 Tororo-Malaba-24h'!H54,'18.08 Tororo-Malaba'!H54)</f>
        <v>0.14285714285714285</v>
      </c>
      <c r="I54" s="49">
        <f>AVERAGE('12.08 Tororo-Malaba'!I54,'13.08 Tororo-Malaba'!I54,'14.08 Tororo-Malaba'!I54,'15.08 Tororo-Malaba'!I54,'16.08 Tororo-Malaba-24h'!I54,'17.08 Tororo-Malaba-24h'!I54,'18.08 Tororo-Malaba'!I54)</f>
        <v>0.7142857142857143</v>
      </c>
      <c r="J54" s="49">
        <f>AVERAGE('12.08 Tororo-Malaba'!J54,'13.08 Tororo-Malaba'!J54,'14.08 Tororo-Malaba'!J54,'15.08 Tororo-Malaba'!J54,'16.08 Tororo-Malaba-24h'!J54,'17.08 Tororo-Malaba-24h'!J54,'18.08 Tororo-Malaba'!J54)</f>
        <v>0.14285714285714285</v>
      </c>
      <c r="K54" s="49">
        <f>AVERAGE('12.08 Tororo-Malaba'!K54,'13.08 Tororo-Malaba'!K54,'14.08 Tororo-Malaba'!K54,'15.08 Tororo-Malaba'!K54,'16.08 Tororo-Malaba-24h'!K54,'17.08 Tororo-Malaba-24h'!K54,'18.08 Tororo-Malaba'!K54)</f>
        <v>0.14285714285714285</v>
      </c>
      <c r="L54" s="49">
        <f>AVERAGE('12.08 Tororo-Malaba'!L54,'13.08 Tororo-Malaba'!L54,'14.08 Tororo-Malaba'!L54,'15.08 Tororo-Malaba'!L54,'16.08 Tororo-Malaba-24h'!L54,'17.08 Tororo-Malaba-24h'!L54,'18.08 Tororo-Malaba'!L54)</f>
        <v>0</v>
      </c>
      <c r="M54" s="49">
        <f>AVERAGE('12.08 Tororo-Malaba'!M54,'13.08 Tororo-Malaba'!M54,'14.08 Tororo-Malaba'!M54,'15.08 Tororo-Malaba'!M54,'16.08 Tororo-Malaba-24h'!M54,'17.08 Tororo-Malaba-24h'!M54,'18.08 Tororo-Malaba'!M54)</f>
        <v>25</v>
      </c>
      <c r="N54" s="49">
        <f>AVERAGE('12.08 Tororo-Malaba'!N54,'13.08 Tororo-Malaba'!N54,'14.08 Tororo-Malaba'!N54,'15.08 Tororo-Malaba'!N54,'16.08 Tororo-Malaba-24h'!N54,'17.08 Tororo-Malaba-24h'!N54,'18.08 Tororo-Malaba'!N54)</f>
        <v>0</v>
      </c>
      <c r="O54" s="15">
        <f t="shared" si="0"/>
        <v>8.5714285714285694</v>
      </c>
      <c r="P54" s="15">
        <f t="shared" si="1"/>
        <v>33.571428571428569</v>
      </c>
      <c r="R54" s="8"/>
      <c r="T54"/>
    </row>
    <row r="55" spans="2:20" ht="23.1" customHeight="1" x14ac:dyDescent="0.25">
      <c r="B55" s="23" t="s">
        <v>82</v>
      </c>
      <c r="C55" s="49">
        <f>AVERAGE('12.08 Tororo-Malaba'!C55,'13.08 Tororo-Malaba'!C55,'14.08 Tororo-Malaba'!C55,'15.08 Tororo-Malaba'!C55,'16.08 Tororo-Malaba-24h'!C55,'17.08 Tororo-Malaba-24h'!C55,'18.08 Tororo-Malaba'!C55)</f>
        <v>3.8571428571428572</v>
      </c>
      <c r="D55" s="49">
        <f>AVERAGE('12.08 Tororo-Malaba'!D55,'13.08 Tororo-Malaba'!D55,'14.08 Tororo-Malaba'!D55,'15.08 Tororo-Malaba'!D55,'16.08 Tororo-Malaba-24h'!D55,'17.08 Tororo-Malaba-24h'!D55,'18.08 Tororo-Malaba'!D55)</f>
        <v>0</v>
      </c>
      <c r="E55" s="49">
        <f>AVERAGE('12.08 Tororo-Malaba'!E55,'13.08 Tororo-Malaba'!E55,'14.08 Tororo-Malaba'!E55,'15.08 Tororo-Malaba'!E55,'16.08 Tororo-Malaba-24h'!E55,'17.08 Tororo-Malaba-24h'!E55,'18.08 Tororo-Malaba'!E55)</f>
        <v>0.7142857142857143</v>
      </c>
      <c r="F55" s="49">
        <f>AVERAGE('12.08 Tororo-Malaba'!F55,'13.08 Tororo-Malaba'!F55,'14.08 Tororo-Malaba'!F55,'15.08 Tororo-Malaba'!F55,'16.08 Tororo-Malaba-24h'!F55,'17.08 Tororo-Malaba-24h'!F55,'18.08 Tororo-Malaba'!F55)</f>
        <v>3.2857142857142856</v>
      </c>
      <c r="G55" s="49">
        <f>AVERAGE('12.08 Tororo-Malaba'!G55,'13.08 Tororo-Malaba'!G55,'14.08 Tororo-Malaba'!G55,'15.08 Tororo-Malaba'!G55,'16.08 Tororo-Malaba-24h'!G55,'17.08 Tororo-Malaba-24h'!G55,'18.08 Tororo-Malaba'!G55)</f>
        <v>0.5714285714285714</v>
      </c>
      <c r="H55" s="49">
        <f>AVERAGE('12.08 Tororo-Malaba'!H55,'13.08 Tororo-Malaba'!H55,'14.08 Tororo-Malaba'!H55,'15.08 Tororo-Malaba'!H55,'16.08 Tororo-Malaba-24h'!H55,'17.08 Tororo-Malaba-24h'!H55,'18.08 Tororo-Malaba'!H55)</f>
        <v>0.5714285714285714</v>
      </c>
      <c r="I55" s="49">
        <f>AVERAGE('12.08 Tororo-Malaba'!I55,'13.08 Tororo-Malaba'!I55,'14.08 Tororo-Malaba'!I55,'15.08 Tororo-Malaba'!I55,'16.08 Tororo-Malaba-24h'!I55,'17.08 Tororo-Malaba-24h'!I55,'18.08 Tororo-Malaba'!I55)</f>
        <v>0.42857142857142855</v>
      </c>
      <c r="J55" s="49">
        <f>AVERAGE('12.08 Tororo-Malaba'!J55,'13.08 Tororo-Malaba'!J55,'14.08 Tororo-Malaba'!J55,'15.08 Tororo-Malaba'!J55,'16.08 Tororo-Malaba-24h'!J55,'17.08 Tororo-Malaba-24h'!J55,'18.08 Tororo-Malaba'!J55)</f>
        <v>0.2857142857142857</v>
      </c>
      <c r="K55" s="49">
        <f>AVERAGE('12.08 Tororo-Malaba'!K55,'13.08 Tororo-Malaba'!K55,'14.08 Tororo-Malaba'!K55,'15.08 Tororo-Malaba'!K55,'16.08 Tororo-Malaba-24h'!K55,'17.08 Tororo-Malaba-24h'!K55,'18.08 Tororo-Malaba'!K55)</f>
        <v>0</v>
      </c>
      <c r="L55" s="49">
        <f>AVERAGE('12.08 Tororo-Malaba'!L55,'13.08 Tororo-Malaba'!L55,'14.08 Tororo-Malaba'!L55,'15.08 Tororo-Malaba'!L55,'16.08 Tororo-Malaba-24h'!L55,'17.08 Tororo-Malaba-24h'!L55,'18.08 Tororo-Malaba'!L55)</f>
        <v>0</v>
      </c>
      <c r="M55" s="49">
        <f>AVERAGE('12.08 Tororo-Malaba'!M55,'13.08 Tororo-Malaba'!M55,'14.08 Tororo-Malaba'!M55,'15.08 Tororo-Malaba'!M55,'16.08 Tororo-Malaba-24h'!M55,'17.08 Tororo-Malaba-24h'!M55,'18.08 Tororo-Malaba'!M55)</f>
        <v>22.714285714285715</v>
      </c>
      <c r="N55" s="49">
        <f>AVERAGE('12.08 Tororo-Malaba'!N55,'13.08 Tororo-Malaba'!N55,'14.08 Tororo-Malaba'!N55,'15.08 Tororo-Malaba'!N55,'16.08 Tororo-Malaba-24h'!N55,'17.08 Tororo-Malaba-24h'!N55,'18.08 Tororo-Malaba'!N55)</f>
        <v>0</v>
      </c>
      <c r="O55" s="15">
        <f t="shared" si="0"/>
        <v>9.7142857142857153</v>
      </c>
      <c r="P55" s="15">
        <f t="shared" si="1"/>
        <v>32.428571428571431</v>
      </c>
      <c r="R55" s="8"/>
      <c r="T55"/>
    </row>
    <row r="56" spans="2:20" ht="23.1" customHeight="1" x14ac:dyDescent="0.25">
      <c r="B56" s="23" t="s">
        <v>83</v>
      </c>
      <c r="C56" s="49">
        <f>AVERAGE('12.08 Tororo-Malaba'!C56,'13.08 Tororo-Malaba'!C56,'14.08 Tororo-Malaba'!C56,'15.08 Tororo-Malaba'!C56,'16.08 Tororo-Malaba-24h'!C56,'17.08 Tororo-Malaba-24h'!C56,'18.08 Tororo-Malaba'!C56)</f>
        <v>2.8571428571428572</v>
      </c>
      <c r="D56" s="49">
        <f>AVERAGE('12.08 Tororo-Malaba'!D56,'13.08 Tororo-Malaba'!D56,'14.08 Tororo-Malaba'!D56,'15.08 Tororo-Malaba'!D56,'16.08 Tororo-Malaba-24h'!D56,'17.08 Tororo-Malaba-24h'!D56,'18.08 Tororo-Malaba'!D56)</f>
        <v>0.14285714285714285</v>
      </c>
      <c r="E56" s="49">
        <f>AVERAGE('12.08 Tororo-Malaba'!E56,'13.08 Tororo-Malaba'!E56,'14.08 Tororo-Malaba'!E56,'15.08 Tororo-Malaba'!E56,'16.08 Tororo-Malaba-24h'!E56,'17.08 Tororo-Malaba-24h'!E56,'18.08 Tororo-Malaba'!E56)</f>
        <v>1.8571428571428572</v>
      </c>
      <c r="F56" s="49">
        <f>AVERAGE('12.08 Tororo-Malaba'!F56,'13.08 Tororo-Malaba'!F56,'14.08 Tororo-Malaba'!F56,'15.08 Tororo-Malaba'!F56,'16.08 Tororo-Malaba-24h'!F56,'17.08 Tororo-Malaba-24h'!F56,'18.08 Tororo-Malaba'!F56)</f>
        <v>1.7142857142857142</v>
      </c>
      <c r="G56" s="49">
        <f>AVERAGE('12.08 Tororo-Malaba'!G56,'13.08 Tororo-Malaba'!G56,'14.08 Tororo-Malaba'!G56,'15.08 Tororo-Malaba'!G56,'16.08 Tororo-Malaba-24h'!G56,'17.08 Tororo-Malaba-24h'!G56,'18.08 Tororo-Malaba'!G56)</f>
        <v>0</v>
      </c>
      <c r="H56" s="49">
        <f>AVERAGE('12.08 Tororo-Malaba'!H56,'13.08 Tororo-Malaba'!H56,'14.08 Tororo-Malaba'!H56,'15.08 Tororo-Malaba'!H56,'16.08 Tororo-Malaba-24h'!H56,'17.08 Tororo-Malaba-24h'!H56,'18.08 Tororo-Malaba'!H56)</f>
        <v>0.5714285714285714</v>
      </c>
      <c r="I56" s="49">
        <f>AVERAGE('12.08 Tororo-Malaba'!I56,'13.08 Tororo-Malaba'!I56,'14.08 Tororo-Malaba'!I56,'15.08 Tororo-Malaba'!I56,'16.08 Tororo-Malaba-24h'!I56,'17.08 Tororo-Malaba-24h'!I56,'18.08 Tororo-Malaba'!I56)</f>
        <v>0.5714285714285714</v>
      </c>
      <c r="J56" s="49">
        <f>AVERAGE('12.08 Tororo-Malaba'!J56,'13.08 Tororo-Malaba'!J56,'14.08 Tororo-Malaba'!J56,'15.08 Tororo-Malaba'!J56,'16.08 Tororo-Malaba-24h'!J56,'17.08 Tororo-Malaba-24h'!J56,'18.08 Tororo-Malaba'!J56)</f>
        <v>0</v>
      </c>
      <c r="K56" s="49">
        <f>AVERAGE('12.08 Tororo-Malaba'!K56,'13.08 Tororo-Malaba'!K56,'14.08 Tororo-Malaba'!K56,'15.08 Tororo-Malaba'!K56,'16.08 Tororo-Malaba-24h'!K56,'17.08 Tororo-Malaba-24h'!K56,'18.08 Tororo-Malaba'!K56)</f>
        <v>0</v>
      </c>
      <c r="L56" s="49">
        <f>AVERAGE('12.08 Tororo-Malaba'!L56,'13.08 Tororo-Malaba'!L56,'14.08 Tororo-Malaba'!L56,'15.08 Tororo-Malaba'!L56,'16.08 Tororo-Malaba-24h'!L56,'17.08 Tororo-Malaba-24h'!L56,'18.08 Tororo-Malaba'!L56)</f>
        <v>0</v>
      </c>
      <c r="M56" s="49">
        <f>AVERAGE('12.08 Tororo-Malaba'!M56,'13.08 Tororo-Malaba'!M56,'14.08 Tororo-Malaba'!M56,'15.08 Tororo-Malaba'!M56,'16.08 Tororo-Malaba-24h'!M56,'17.08 Tororo-Malaba-24h'!M56,'18.08 Tororo-Malaba'!M56)</f>
        <v>22.571428571428573</v>
      </c>
      <c r="N56" s="49">
        <f>AVERAGE('12.08 Tororo-Malaba'!N56,'13.08 Tororo-Malaba'!N56,'14.08 Tororo-Malaba'!N56,'15.08 Tororo-Malaba'!N56,'16.08 Tororo-Malaba-24h'!N56,'17.08 Tororo-Malaba-24h'!N56,'18.08 Tororo-Malaba'!N56)</f>
        <v>0</v>
      </c>
      <c r="O56" s="15">
        <f t="shared" si="0"/>
        <v>7.7142857142857144</v>
      </c>
      <c r="P56" s="15">
        <f t="shared" si="1"/>
        <v>30.285714285714288</v>
      </c>
      <c r="R56" s="8"/>
      <c r="T56"/>
    </row>
    <row r="57" spans="2:20" ht="23.1" customHeight="1" x14ac:dyDescent="0.25">
      <c r="B57" s="23" t="s">
        <v>84</v>
      </c>
      <c r="C57" s="49">
        <f>AVERAGE('12.08 Tororo-Malaba'!C57,'13.08 Tororo-Malaba'!C57,'14.08 Tororo-Malaba'!C57,'15.08 Tororo-Malaba'!C57,'16.08 Tororo-Malaba-24h'!C57,'17.08 Tororo-Malaba-24h'!C57,'18.08 Tororo-Malaba'!C57)</f>
        <v>3</v>
      </c>
      <c r="D57" s="49">
        <f>AVERAGE('12.08 Tororo-Malaba'!D57,'13.08 Tororo-Malaba'!D57,'14.08 Tororo-Malaba'!D57,'15.08 Tororo-Malaba'!D57,'16.08 Tororo-Malaba-24h'!D57,'17.08 Tororo-Malaba-24h'!D57,'18.08 Tororo-Malaba'!D57)</f>
        <v>0.14285714285714285</v>
      </c>
      <c r="E57" s="49">
        <f>AVERAGE('12.08 Tororo-Malaba'!E57,'13.08 Tororo-Malaba'!E57,'14.08 Tororo-Malaba'!E57,'15.08 Tororo-Malaba'!E57,'16.08 Tororo-Malaba-24h'!E57,'17.08 Tororo-Malaba-24h'!E57,'18.08 Tororo-Malaba'!E57)</f>
        <v>1.5714285714285714</v>
      </c>
      <c r="F57" s="49">
        <f>AVERAGE('12.08 Tororo-Malaba'!F57,'13.08 Tororo-Malaba'!F57,'14.08 Tororo-Malaba'!F57,'15.08 Tororo-Malaba'!F57,'16.08 Tororo-Malaba-24h'!F57,'17.08 Tororo-Malaba-24h'!F57,'18.08 Tororo-Malaba'!F57)</f>
        <v>3</v>
      </c>
      <c r="G57" s="49">
        <f>AVERAGE('12.08 Tororo-Malaba'!G57,'13.08 Tororo-Malaba'!G57,'14.08 Tororo-Malaba'!G57,'15.08 Tororo-Malaba'!G57,'16.08 Tororo-Malaba-24h'!G57,'17.08 Tororo-Malaba-24h'!G57,'18.08 Tororo-Malaba'!G57)</f>
        <v>0.5714285714285714</v>
      </c>
      <c r="H57" s="49">
        <f>AVERAGE('12.08 Tororo-Malaba'!H57,'13.08 Tororo-Malaba'!H57,'14.08 Tororo-Malaba'!H57,'15.08 Tororo-Malaba'!H57,'16.08 Tororo-Malaba-24h'!H57,'17.08 Tororo-Malaba-24h'!H57,'18.08 Tororo-Malaba'!H57)</f>
        <v>0.8571428571428571</v>
      </c>
      <c r="I57" s="49">
        <f>AVERAGE('12.08 Tororo-Malaba'!I57,'13.08 Tororo-Malaba'!I57,'14.08 Tororo-Malaba'!I57,'15.08 Tororo-Malaba'!I57,'16.08 Tororo-Malaba-24h'!I57,'17.08 Tororo-Malaba-24h'!I57,'18.08 Tororo-Malaba'!I57)</f>
        <v>1.2857142857142858</v>
      </c>
      <c r="J57" s="49">
        <f>AVERAGE('12.08 Tororo-Malaba'!J57,'13.08 Tororo-Malaba'!J57,'14.08 Tororo-Malaba'!J57,'15.08 Tororo-Malaba'!J57,'16.08 Tororo-Malaba-24h'!J57,'17.08 Tororo-Malaba-24h'!J57,'18.08 Tororo-Malaba'!J57)</f>
        <v>0</v>
      </c>
      <c r="K57" s="49">
        <f>AVERAGE('12.08 Tororo-Malaba'!K57,'13.08 Tororo-Malaba'!K57,'14.08 Tororo-Malaba'!K57,'15.08 Tororo-Malaba'!K57,'16.08 Tororo-Malaba-24h'!K57,'17.08 Tororo-Malaba-24h'!K57,'18.08 Tororo-Malaba'!K57)</f>
        <v>0</v>
      </c>
      <c r="L57" s="49">
        <f>AVERAGE('12.08 Tororo-Malaba'!L57,'13.08 Tororo-Malaba'!L57,'14.08 Tororo-Malaba'!L57,'15.08 Tororo-Malaba'!L57,'16.08 Tororo-Malaba-24h'!L57,'17.08 Tororo-Malaba-24h'!L57,'18.08 Tororo-Malaba'!L57)</f>
        <v>0</v>
      </c>
      <c r="M57" s="49">
        <f>AVERAGE('12.08 Tororo-Malaba'!M57,'13.08 Tororo-Malaba'!M57,'14.08 Tororo-Malaba'!M57,'15.08 Tororo-Malaba'!M57,'16.08 Tororo-Malaba-24h'!M57,'17.08 Tororo-Malaba-24h'!M57,'18.08 Tororo-Malaba'!M57)</f>
        <v>20.428571428571427</v>
      </c>
      <c r="N57" s="49">
        <f>AVERAGE('12.08 Tororo-Malaba'!N57,'13.08 Tororo-Malaba'!N57,'14.08 Tororo-Malaba'!N57,'15.08 Tororo-Malaba'!N57,'16.08 Tororo-Malaba-24h'!N57,'17.08 Tororo-Malaba-24h'!N57,'18.08 Tororo-Malaba'!N57)</f>
        <v>0</v>
      </c>
      <c r="O57" s="15">
        <f t="shared" si="0"/>
        <v>10.428571428571431</v>
      </c>
      <c r="P57" s="15">
        <f t="shared" si="1"/>
        <v>30.857142857142858</v>
      </c>
      <c r="R57" s="8"/>
      <c r="T57"/>
    </row>
    <row r="58" spans="2:20" ht="23.1" customHeight="1" x14ac:dyDescent="0.25">
      <c r="B58" s="23" t="s">
        <v>99</v>
      </c>
      <c r="C58" s="49">
        <f>AVERAGE('16.08 Tororo-Malaba-24h'!C58,'17.08 Tororo-Malaba-24h'!C58)</f>
        <v>3.5</v>
      </c>
      <c r="D58" s="49">
        <f>AVERAGE('16.08 Tororo-Malaba-24h'!D58,'17.08 Tororo-Malaba-24h'!D58)</f>
        <v>1</v>
      </c>
      <c r="E58" s="49">
        <f>AVERAGE('16.08 Tororo-Malaba-24h'!E58,'17.08 Tororo-Malaba-24h'!E58)</f>
        <v>3.5</v>
      </c>
      <c r="F58" s="49">
        <f>AVERAGE('16.08 Tororo-Malaba-24h'!F58,'17.08 Tororo-Malaba-24h'!F58)</f>
        <v>2</v>
      </c>
      <c r="G58" s="49">
        <f>AVERAGE('16.08 Tororo-Malaba-24h'!G58,'17.08 Tororo-Malaba-24h'!G58)</f>
        <v>0</v>
      </c>
      <c r="H58" s="49">
        <f>AVERAGE('16.08 Tororo-Malaba-24h'!H58,'17.08 Tororo-Malaba-24h'!H58)</f>
        <v>0</v>
      </c>
      <c r="I58" s="49">
        <f>AVERAGE('16.08 Tororo-Malaba-24h'!I58,'17.08 Tororo-Malaba-24h'!I58)</f>
        <v>1</v>
      </c>
      <c r="J58" s="49">
        <f>AVERAGE('16.08 Tororo-Malaba-24h'!J58,'17.08 Tororo-Malaba-24h'!J58)</f>
        <v>1</v>
      </c>
      <c r="K58" s="49">
        <f>AVERAGE('16.08 Tororo-Malaba-24h'!K58,'17.08 Tororo-Malaba-24h'!K58)</f>
        <v>0</v>
      </c>
      <c r="L58" s="49">
        <f>AVERAGE('16.08 Tororo-Malaba-24h'!L58,'17.08 Tororo-Malaba-24h'!L58)</f>
        <v>0</v>
      </c>
      <c r="M58" s="49">
        <f>AVERAGE('16.08 Tororo-Malaba-24h'!M58,'17.08 Tororo-Malaba-24h'!M58)</f>
        <v>22.5</v>
      </c>
      <c r="N58" s="49">
        <f>AVERAGE('16.08 Tororo-Malaba-24h'!N58,'17.08 Tororo-Malaba-24h'!N58)</f>
        <v>0</v>
      </c>
      <c r="O58" s="15">
        <f t="shared" si="0"/>
        <v>12</v>
      </c>
      <c r="P58" s="15">
        <f t="shared" si="1"/>
        <v>34.5</v>
      </c>
      <c r="R58" s="8"/>
      <c r="T58"/>
    </row>
    <row r="59" spans="2:20" ht="23.1" customHeight="1" x14ac:dyDescent="0.25">
      <c r="B59" s="23" t="s">
        <v>100</v>
      </c>
      <c r="C59" s="49">
        <f>AVERAGE('16.08 Tororo-Malaba-24h'!C59,'17.08 Tororo-Malaba-24h'!C59)</f>
        <v>4.5</v>
      </c>
      <c r="D59" s="49">
        <f>AVERAGE('16.08 Tororo-Malaba-24h'!D59,'17.08 Tororo-Malaba-24h'!D59)</f>
        <v>0.5</v>
      </c>
      <c r="E59" s="49">
        <f>AVERAGE('16.08 Tororo-Malaba-24h'!E59,'17.08 Tororo-Malaba-24h'!E59)</f>
        <v>2.5</v>
      </c>
      <c r="F59" s="49">
        <f>AVERAGE('16.08 Tororo-Malaba-24h'!F59,'17.08 Tororo-Malaba-24h'!F59)</f>
        <v>3</v>
      </c>
      <c r="G59" s="49">
        <f>AVERAGE('16.08 Tororo-Malaba-24h'!G59,'17.08 Tororo-Malaba-24h'!G59)</f>
        <v>0</v>
      </c>
      <c r="H59" s="49">
        <f>AVERAGE('16.08 Tororo-Malaba-24h'!H59,'17.08 Tororo-Malaba-24h'!H59)</f>
        <v>0</v>
      </c>
      <c r="I59" s="49">
        <f>AVERAGE('16.08 Tororo-Malaba-24h'!I59,'17.08 Tororo-Malaba-24h'!I59)</f>
        <v>1</v>
      </c>
      <c r="J59" s="49">
        <f>AVERAGE('16.08 Tororo-Malaba-24h'!J59,'17.08 Tororo-Malaba-24h'!J59)</f>
        <v>0</v>
      </c>
      <c r="K59" s="49">
        <f>AVERAGE('16.08 Tororo-Malaba-24h'!K59,'17.08 Tororo-Malaba-24h'!K59)</f>
        <v>0</v>
      </c>
      <c r="L59" s="49">
        <f>AVERAGE('16.08 Tororo-Malaba-24h'!L59,'17.08 Tororo-Malaba-24h'!L59)</f>
        <v>0</v>
      </c>
      <c r="M59" s="49">
        <f>AVERAGE('16.08 Tororo-Malaba-24h'!M59,'17.08 Tororo-Malaba-24h'!M59)</f>
        <v>24.5</v>
      </c>
      <c r="N59" s="49">
        <f>AVERAGE('16.08 Tororo-Malaba-24h'!N59,'17.08 Tororo-Malaba-24h'!N59)</f>
        <v>0</v>
      </c>
      <c r="O59" s="15">
        <f t="shared" si="0"/>
        <v>11.5</v>
      </c>
      <c r="P59" s="15">
        <f t="shared" si="1"/>
        <v>36</v>
      </c>
      <c r="R59" s="8"/>
      <c r="T59"/>
    </row>
    <row r="60" spans="2:20" ht="23.1" customHeight="1" x14ac:dyDescent="0.25">
      <c r="B60" s="23" t="s">
        <v>101</v>
      </c>
      <c r="C60" s="49">
        <f>AVERAGE('16.08 Tororo-Malaba-24h'!C60,'17.08 Tororo-Malaba-24h'!C60)</f>
        <v>4.5</v>
      </c>
      <c r="D60" s="49">
        <f>AVERAGE('16.08 Tororo-Malaba-24h'!D60,'17.08 Tororo-Malaba-24h'!D60)</f>
        <v>0</v>
      </c>
      <c r="E60" s="49">
        <f>AVERAGE('16.08 Tororo-Malaba-24h'!E60,'17.08 Tororo-Malaba-24h'!E60)</f>
        <v>1.5</v>
      </c>
      <c r="F60" s="49">
        <f>AVERAGE('16.08 Tororo-Malaba-24h'!F60,'17.08 Tororo-Malaba-24h'!F60)</f>
        <v>5.5</v>
      </c>
      <c r="G60" s="49">
        <f>AVERAGE('16.08 Tororo-Malaba-24h'!G60,'17.08 Tororo-Malaba-24h'!G60)</f>
        <v>0</v>
      </c>
      <c r="H60" s="49">
        <f>AVERAGE('16.08 Tororo-Malaba-24h'!H60,'17.08 Tororo-Malaba-24h'!H60)</f>
        <v>0</v>
      </c>
      <c r="I60" s="49">
        <f>AVERAGE('16.08 Tororo-Malaba-24h'!I60,'17.08 Tororo-Malaba-24h'!I60)</f>
        <v>0</v>
      </c>
      <c r="J60" s="49">
        <f>AVERAGE('16.08 Tororo-Malaba-24h'!J60,'17.08 Tororo-Malaba-24h'!J60)</f>
        <v>0</v>
      </c>
      <c r="K60" s="49">
        <f>AVERAGE('16.08 Tororo-Malaba-24h'!K60,'17.08 Tororo-Malaba-24h'!K60)</f>
        <v>0</v>
      </c>
      <c r="L60" s="49">
        <f>AVERAGE('16.08 Tororo-Malaba-24h'!L60,'17.08 Tororo-Malaba-24h'!L60)</f>
        <v>0</v>
      </c>
      <c r="M60" s="49">
        <f>AVERAGE('16.08 Tororo-Malaba-24h'!M60,'17.08 Tororo-Malaba-24h'!M60)</f>
        <v>22</v>
      </c>
      <c r="N60" s="49">
        <f>AVERAGE('16.08 Tororo-Malaba-24h'!N60,'17.08 Tororo-Malaba-24h'!N60)</f>
        <v>0</v>
      </c>
      <c r="O60" s="15">
        <f t="shared" si="0"/>
        <v>11.5</v>
      </c>
      <c r="P60" s="15">
        <f t="shared" si="1"/>
        <v>33.5</v>
      </c>
      <c r="R60" s="8"/>
      <c r="T60"/>
    </row>
    <row r="61" spans="2:20" ht="23.1" customHeight="1" x14ac:dyDescent="0.25">
      <c r="B61" s="23" t="s">
        <v>102</v>
      </c>
      <c r="C61" s="49">
        <f>AVERAGE('16.08 Tororo-Malaba-24h'!C61,'17.08 Tororo-Malaba-24h'!C61)</f>
        <v>1.5</v>
      </c>
      <c r="D61" s="49">
        <f>AVERAGE('16.08 Tororo-Malaba-24h'!D61,'17.08 Tororo-Malaba-24h'!D61)</f>
        <v>0</v>
      </c>
      <c r="E61" s="49">
        <f>AVERAGE('16.08 Tororo-Malaba-24h'!E61,'17.08 Tororo-Malaba-24h'!E61)</f>
        <v>1.5</v>
      </c>
      <c r="F61" s="49">
        <f>AVERAGE('16.08 Tororo-Malaba-24h'!F61,'17.08 Tororo-Malaba-24h'!F61)</f>
        <v>3</v>
      </c>
      <c r="G61" s="49">
        <f>AVERAGE('16.08 Tororo-Malaba-24h'!G61,'17.08 Tororo-Malaba-24h'!G61)</f>
        <v>0</v>
      </c>
      <c r="H61" s="49">
        <f>AVERAGE('16.08 Tororo-Malaba-24h'!H61,'17.08 Tororo-Malaba-24h'!H61)</f>
        <v>0</v>
      </c>
      <c r="I61" s="49">
        <f>AVERAGE('16.08 Tororo-Malaba-24h'!I61,'17.08 Tororo-Malaba-24h'!I61)</f>
        <v>1</v>
      </c>
      <c r="J61" s="49">
        <f>AVERAGE('16.08 Tororo-Malaba-24h'!J61,'17.08 Tororo-Malaba-24h'!J61)</f>
        <v>0</v>
      </c>
      <c r="K61" s="49">
        <f>AVERAGE('16.08 Tororo-Malaba-24h'!K61,'17.08 Tororo-Malaba-24h'!K61)</f>
        <v>0</v>
      </c>
      <c r="L61" s="49">
        <f>AVERAGE('16.08 Tororo-Malaba-24h'!L61,'17.08 Tororo-Malaba-24h'!L61)</f>
        <v>0</v>
      </c>
      <c r="M61" s="49">
        <f>AVERAGE('16.08 Tororo-Malaba-24h'!M61,'17.08 Tororo-Malaba-24h'!M61)</f>
        <v>12.5</v>
      </c>
      <c r="N61" s="49">
        <f>AVERAGE('16.08 Tororo-Malaba-24h'!N61,'17.08 Tororo-Malaba-24h'!N61)</f>
        <v>0</v>
      </c>
      <c r="O61" s="15">
        <f t="shared" si="0"/>
        <v>7</v>
      </c>
      <c r="P61" s="15">
        <f t="shared" si="1"/>
        <v>19.5</v>
      </c>
      <c r="R61" s="8"/>
      <c r="T61"/>
    </row>
    <row r="62" spans="2:20" ht="23.1" customHeight="1" x14ac:dyDescent="0.25">
      <c r="B62" s="23" t="s">
        <v>107</v>
      </c>
      <c r="C62" s="49">
        <f>AVERAGE('16.08 Tororo-Malaba-24h'!C62,'17.08 Tororo-Malaba-24h'!C62)</f>
        <v>3</v>
      </c>
      <c r="D62" s="49">
        <f>AVERAGE('16.08 Tororo-Malaba-24h'!D62,'17.08 Tororo-Malaba-24h'!D62)</f>
        <v>0</v>
      </c>
      <c r="E62" s="49">
        <f>AVERAGE('16.08 Tororo-Malaba-24h'!E62,'17.08 Tororo-Malaba-24h'!E62)</f>
        <v>1</v>
      </c>
      <c r="F62" s="49">
        <f>AVERAGE('16.08 Tororo-Malaba-24h'!F62,'17.08 Tororo-Malaba-24h'!F62)</f>
        <v>2</v>
      </c>
      <c r="G62" s="49">
        <f>AVERAGE('16.08 Tororo-Malaba-24h'!G62,'17.08 Tororo-Malaba-24h'!G62)</f>
        <v>0</v>
      </c>
      <c r="H62" s="49">
        <f>AVERAGE('16.08 Tororo-Malaba-24h'!H62,'17.08 Tororo-Malaba-24h'!H62)</f>
        <v>0</v>
      </c>
      <c r="I62" s="49">
        <f>AVERAGE('16.08 Tororo-Malaba-24h'!I62,'17.08 Tororo-Malaba-24h'!I62)</f>
        <v>0.5</v>
      </c>
      <c r="J62" s="49">
        <f>AVERAGE('16.08 Tororo-Malaba-24h'!J62,'17.08 Tororo-Malaba-24h'!J62)</f>
        <v>0</v>
      </c>
      <c r="K62" s="49">
        <f>AVERAGE('16.08 Tororo-Malaba-24h'!K62,'17.08 Tororo-Malaba-24h'!K62)</f>
        <v>0</v>
      </c>
      <c r="L62" s="49">
        <f>AVERAGE('16.08 Tororo-Malaba-24h'!L62,'17.08 Tororo-Malaba-24h'!L62)</f>
        <v>0</v>
      </c>
      <c r="M62" s="49">
        <f>AVERAGE('16.08 Tororo-Malaba-24h'!M62,'17.08 Tororo-Malaba-24h'!M62)</f>
        <v>19.5</v>
      </c>
      <c r="N62" s="49">
        <f>AVERAGE('16.08 Tororo-Malaba-24h'!N62,'17.08 Tororo-Malaba-24h'!N62)</f>
        <v>0</v>
      </c>
      <c r="O62" s="15">
        <f t="shared" si="0"/>
        <v>6.5</v>
      </c>
      <c r="P62" s="15">
        <f t="shared" si="1"/>
        <v>26</v>
      </c>
      <c r="R62" s="8"/>
      <c r="T62"/>
    </row>
    <row r="63" spans="2:20" ht="23.1" customHeight="1" x14ac:dyDescent="0.25">
      <c r="B63" s="23" t="s">
        <v>108</v>
      </c>
      <c r="C63" s="49">
        <f>AVERAGE('16.08 Tororo-Malaba-24h'!C63,'17.08 Tororo-Malaba-24h'!C63)</f>
        <v>2</v>
      </c>
      <c r="D63" s="49">
        <f>AVERAGE('16.08 Tororo-Malaba-24h'!D63,'17.08 Tororo-Malaba-24h'!D63)</f>
        <v>0.5</v>
      </c>
      <c r="E63" s="49">
        <f>AVERAGE('16.08 Tororo-Malaba-24h'!E63,'17.08 Tororo-Malaba-24h'!E63)</f>
        <v>3</v>
      </c>
      <c r="F63" s="49">
        <f>AVERAGE('16.08 Tororo-Malaba-24h'!F63,'17.08 Tororo-Malaba-24h'!F63)</f>
        <v>1.5</v>
      </c>
      <c r="G63" s="49">
        <f>AVERAGE('16.08 Tororo-Malaba-24h'!G63,'17.08 Tororo-Malaba-24h'!G63)</f>
        <v>0</v>
      </c>
      <c r="H63" s="49">
        <f>AVERAGE('16.08 Tororo-Malaba-24h'!H63,'17.08 Tororo-Malaba-24h'!H63)</f>
        <v>0</v>
      </c>
      <c r="I63" s="49">
        <f>AVERAGE('16.08 Tororo-Malaba-24h'!I63,'17.08 Tororo-Malaba-24h'!I63)</f>
        <v>2</v>
      </c>
      <c r="J63" s="49">
        <f>AVERAGE('16.08 Tororo-Malaba-24h'!J63,'17.08 Tororo-Malaba-24h'!J63)</f>
        <v>0</v>
      </c>
      <c r="K63" s="49">
        <f>AVERAGE('16.08 Tororo-Malaba-24h'!K63,'17.08 Tororo-Malaba-24h'!K63)</f>
        <v>0</v>
      </c>
      <c r="L63" s="49">
        <f>AVERAGE('16.08 Tororo-Malaba-24h'!L63,'17.08 Tororo-Malaba-24h'!L63)</f>
        <v>0</v>
      </c>
      <c r="M63" s="49">
        <f>AVERAGE('16.08 Tororo-Malaba-24h'!M63,'17.08 Tororo-Malaba-24h'!M63)</f>
        <v>13</v>
      </c>
      <c r="N63" s="49">
        <f>AVERAGE('16.08 Tororo-Malaba-24h'!N63,'17.08 Tororo-Malaba-24h'!N63)</f>
        <v>0</v>
      </c>
      <c r="O63" s="15">
        <f t="shared" si="0"/>
        <v>9</v>
      </c>
      <c r="P63" s="15">
        <f t="shared" si="1"/>
        <v>22</v>
      </c>
      <c r="R63" s="8"/>
      <c r="T63"/>
    </row>
    <row r="64" spans="2:20" ht="23.1" customHeight="1" x14ac:dyDescent="0.25">
      <c r="B64" s="23" t="s">
        <v>109</v>
      </c>
      <c r="C64" s="49">
        <f>AVERAGE('16.08 Tororo-Malaba-24h'!C64,'17.08 Tororo-Malaba-24h'!C64)</f>
        <v>4</v>
      </c>
      <c r="D64" s="49">
        <f>AVERAGE('16.08 Tororo-Malaba-24h'!D64,'17.08 Tororo-Malaba-24h'!D64)</f>
        <v>0</v>
      </c>
      <c r="E64" s="49">
        <f>AVERAGE('16.08 Tororo-Malaba-24h'!E64,'17.08 Tororo-Malaba-24h'!E64)</f>
        <v>2</v>
      </c>
      <c r="F64" s="49">
        <f>AVERAGE('16.08 Tororo-Malaba-24h'!F64,'17.08 Tororo-Malaba-24h'!F64)</f>
        <v>2</v>
      </c>
      <c r="G64" s="49">
        <f>AVERAGE('16.08 Tororo-Malaba-24h'!G64,'17.08 Tororo-Malaba-24h'!G64)</f>
        <v>0</v>
      </c>
      <c r="H64" s="49">
        <f>AVERAGE('16.08 Tororo-Malaba-24h'!H64,'17.08 Tororo-Malaba-24h'!H64)</f>
        <v>0</v>
      </c>
      <c r="I64" s="49">
        <f>AVERAGE('16.08 Tororo-Malaba-24h'!I64,'17.08 Tororo-Malaba-24h'!I64)</f>
        <v>0</v>
      </c>
      <c r="J64" s="49">
        <f>AVERAGE('16.08 Tororo-Malaba-24h'!J64,'17.08 Tororo-Malaba-24h'!J64)</f>
        <v>0</v>
      </c>
      <c r="K64" s="49">
        <f>AVERAGE('16.08 Tororo-Malaba-24h'!K64,'17.08 Tororo-Malaba-24h'!K64)</f>
        <v>0</v>
      </c>
      <c r="L64" s="49">
        <f>AVERAGE('16.08 Tororo-Malaba-24h'!L64,'17.08 Tororo-Malaba-24h'!L64)</f>
        <v>0</v>
      </c>
      <c r="M64" s="49">
        <f>AVERAGE('16.08 Tororo-Malaba-24h'!M64,'17.08 Tororo-Malaba-24h'!M64)</f>
        <v>5</v>
      </c>
      <c r="N64" s="49">
        <f>AVERAGE('16.08 Tororo-Malaba-24h'!N64,'17.08 Tororo-Malaba-24h'!N64)</f>
        <v>0</v>
      </c>
      <c r="O64" s="15">
        <f t="shared" si="0"/>
        <v>8</v>
      </c>
      <c r="P64" s="15">
        <f t="shared" si="1"/>
        <v>13</v>
      </c>
      <c r="R64" s="8"/>
      <c r="T64"/>
    </row>
    <row r="65" spans="2:20" ht="23.1" customHeight="1" x14ac:dyDescent="0.25">
      <c r="B65" s="23" t="s">
        <v>158</v>
      </c>
      <c r="C65" s="49">
        <f>AVERAGE('16.08 Tororo-Malaba-24h'!C65,'17.08 Tororo-Malaba-24h'!C65)</f>
        <v>1.5</v>
      </c>
      <c r="D65" s="49">
        <f>AVERAGE('16.08 Tororo-Malaba-24h'!D65,'17.08 Tororo-Malaba-24h'!D65)</f>
        <v>0</v>
      </c>
      <c r="E65" s="49">
        <f>AVERAGE('16.08 Tororo-Malaba-24h'!E65,'17.08 Tororo-Malaba-24h'!E65)</f>
        <v>0</v>
      </c>
      <c r="F65" s="49">
        <f>AVERAGE('16.08 Tororo-Malaba-24h'!F65,'17.08 Tororo-Malaba-24h'!F65)</f>
        <v>1.5</v>
      </c>
      <c r="G65" s="49">
        <f>AVERAGE('16.08 Tororo-Malaba-24h'!G65,'17.08 Tororo-Malaba-24h'!G65)</f>
        <v>0</v>
      </c>
      <c r="H65" s="49">
        <f>AVERAGE('16.08 Tororo-Malaba-24h'!H65,'17.08 Tororo-Malaba-24h'!H65)</f>
        <v>0</v>
      </c>
      <c r="I65" s="49">
        <f>AVERAGE('16.08 Tororo-Malaba-24h'!I65,'17.08 Tororo-Malaba-24h'!I65)</f>
        <v>0</v>
      </c>
      <c r="J65" s="49">
        <f>AVERAGE('16.08 Tororo-Malaba-24h'!J65,'17.08 Tororo-Malaba-24h'!J65)</f>
        <v>0</v>
      </c>
      <c r="K65" s="49">
        <f>AVERAGE('16.08 Tororo-Malaba-24h'!K65,'17.08 Tororo-Malaba-24h'!K65)</f>
        <v>0</v>
      </c>
      <c r="L65" s="49">
        <f>AVERAGE('16.08 Tororo-Malaba-24h'!L65,'17.08 Tororo-Malaba-24h'!L65)</f>
        <v>0</v>
      </c>
      <c r="M65" s="49">
        <f>AVERAGE('16.08 Tororo-Malaba-24h'!M65,'17.08 Tororo-Malaba-24h'!M65)</f>
        <v>5.5</v>
      </c>
      <c r="N65" s="49">
        <f>AVERAGE('16.08 Tororo-Malaba-24h'!N65,'17.08 Tororo-Malaba-24h'!N65)</f>
        <v>0</v>
      </c>
      <c r="O65" s="15">
        <f t="shared" si="0"/>
        <v>3</v>
      </c>
      <c r="P65" s="15">
        <f t="shared" si="1"/>
        <v>8.5</v>
      </c>
      <c r="R65" s="8"/>
      <c r="T65"/>
    </row>
    <row r="66" spans="2:20" ht="23.1" customHeight="1" x14ac:dyDescent="0.25">
      <c r="B66" s="23" t="s">
        <v>103</v>
      </c>
      <c r="C66" s="49">
        <f>AVERAGE('16.08 Tororo-Malaba-24h'!C66,'17.08 Tororo-Malaba-24h'!C66)</f>
        <v>2.5</v>
      </c>
      <c r="D66" s="49">
        <f>AVERAGE('16.08 Tororo-Malaba-24h'!D66,'17.08 Tororo-Malaba-24h'!D66)</f>
        <v>0</v>
      </c>
      <c r="E66" s="49">
        <f>AVERAGE('16.08 Tororo-Malaba-24h'!E66,'17.08 Tororo-Malaba-24h'!E66)</f>
        <v>0.5</v>
      </c>
      <c r="F66" s="49">
        <f>AVERAGE('16.08 Tororo-Malaba-24h'!F66,'17.08 Tororo-Malaba-24h'!F66)</f>
        <v>1</v>
      </c>
      <c r="G66" s="49">
        <f>AVERAGE('16.08 Tororo-Malaba-24h'!G66,'17.08 Tororo-Malaba-24h'!G66)</f>
        <v>0</v>
      </c>
      <c r="H66" s="49">
        <f>AVERAGE('16.08 Tororo-Malaba-24h'!H66,'17.08 Tororo-Malaba-24h'!H66)</f>
        <v>0</v>
      </c>
      <c r="I66" s="49">
        <f>AVERAGE('16.08 Tororo-Malaba-24h'!I66,'17.08 Tororo-Malaba-24h'!I66)</f>
        <v>0</v>
      </c>
      <c r="J66" s="49">
        <f>AVERAGE('16.08 Tororo-Malaba-24h'!J66,'17.08 Tororo-Malaba-24h'!J66)</f>
        <v>0</v>
      </c>
      <c r="K66" s="49">
        <f>AVERAGE('16.08 Tororo-Malaba-24h'!K66,'17.08 Tororo-Malaba-24h'!K66)</f>
        <v>0</v>
      </c>
      <c r="L66" s="49">
        <f>AVERAGE('16.08 Tororo-Malaba-24h'!L66,'17.08 Tororo-Malaba-24h'!L66)</f>
        <v>0</v>
      </c>
      <c r="M66" s="49">
        <f>AVERAGE('16.08 Tororo-Malaba-24h'!M66,'17.08 Tororo-Malaba-24h'!M66)</f>
        <v>8.5</v>
      </c>
      <c r="N66" s="49">
        <f>AVERAGE('16.08 Tororo-Malaba-24h'!N66,'17.08 Tororo-Malaba-24h'!N66)</f>
        <v>0</v>
      </c>
      <c r="O66" s="15">
        <f t="shared" si="0"/>
        <v>4</v>
      </c>
      <c r="P66" s="15">
        <f t="shared" si="1"/>
        <v>12.5</v>
      </c>
      <c r="R66" s="8"/>
      <c r="T66"/>
    </row>
    <row r="67" spans="2:20" ht="23.1" customHeight="1" x14ac:dyDescent="0.25">
      <c r="B67" s="23" t="s">
        <v>104</v>
      </c>
      <c r="C67" s="49">
        <f>AVERAGE('16.08 Tororo-Malaba-24h'!C67,'17.08 Tororo-Malaba-24h'!C67)</f>
        <v>2.5</v>
      </c>
      <c r="D67" s="49">
        <f>AVERAGE('16.08 Tororo-Malaba-24h'!D67,'17.08 Tororo-Malaba-24h'!D67)</f>
        <v>0</v>
      </c>
      <c r="E67" s="49">
        <f>AVERAGE('16.08 Tororo-Malaba-24h'!E67,'17.08 Tororo-Malaba-24h'!E67)</f>
        <v>0.5</v>
      </c>
      <c r="F67" s="49">
        <f>AVERAGE('16.08 Tororo-Malaba-24h'!F67,'17.08 Tororo-Malaba-24h'!F67)</f>
        <v>1</v>
      </c>
      <c r="G67" s="49">
        <f>AVERAGE('16.08 Tororo-Malaba-24h'!G67,'17.08 Tororo-Malaba-24h'!G67)</f>
        <v>0</v>
      </c>
      <c r="H67" s="49">
        <f>AVERAGE('16.08 Tororo-Malaba-24h'!H67,'17.08 Tororo-Malaba-24h'!H67)</f>
        <v>0</v>
      </c>
      <c r="I67" s="49">
        <f>AVERAGE('16.08 Tororo-Malaba-24h'!I67,'17.08 Tororo-Malaba-24h'!I67)</f>
        <v>0.5</v>
      </c>
      <c r="J67" s="49">
        <f>AVERAGE('16.08 Tororo-Malaba-24h'!J67,'17.08 Tororo-Malaba-24h'!J67)</f>
        <v>0</v>
      </c>
      <c r="K67" s="49">
        <f>AVERAGE('16.08 Tororo-Malaba-24h'!K67,'17.08 Tororo-Malaba-24h'!K67)</f>
        <v>0</v>
      </c>
      <c r="L67" s="49">
        <f>AVERAGE('16.08 Tororo-Malaba-24h'!L67,'17.08 Tororo-Malaba-24h'!L67)</f>
        <v>0</v>
      </c>
      <c r="M67" s="49">
        <f>AVERAGE('16.08 Tororo-Malaba-24h'!M67,'17.08 Tororo-Malaba-24h'!M67)</f>
        <v>4.5</v>
      </c>
      <c r="N67" s="49">
        <f>AVERAGE('16.08 Tororo-Malaba-24h'!N67,'17.08 Tororo-Malaba-24h'!N67)</f>
        <v>0</v>
      </c>
      <c r="O67" s="15">
        <f t="shared" si="0"/>
        <v>4.5</v>
      </c>
      <c r="P67" s="15">
        <f t="shared" si="1"/>
        <v>9</v>
      </c>
      <c r="R67" s="8"/>
      <c r="T67"/>
    </row>
    <row r="68" spans="2:20" ht="23.1" customHeight="1" x14ac:dyDescent="0.25">
      <c r="B68" s="23" t="s">
        <v>105</v>
      </c>
      <c r="C68" s="49">
        <f>AVERAGE('16.08 Tororo-Malaba-24h'!C68,'17.08 Tororo-Malaba-24h'!C68)</f>
        <v>3</v>
      </c>
      <c r="D68" s="49">
        <f>AVERAGE('16.08 Tororo-Malaba-24h'!D68,'17.08 Tororo-Malaba-24h'!D68)</f>
        <v>0</v>
      </c>
      <c r="E68" s="49">
        <f>AVERAGE('16.08 Tororo-Malaba-24h'!E68,'17.08 Tororo-Malaba-24h'!E68)</f>
        <v>1</v>
      </c>
      <c r="F68" s="49">
        <f>AVERAGE('16.08 Tororo-Malaba-24h'!F68,'17.08 Tororo-Malaba-24h'!F68)</f>
        <v>3</v>
      </c>
      <c r="G68" s="49">
        <f>AVERAGE('16.08 Tororo-Malaba-24h'!G68,'17.08 Tororo-Malaba-24h'!G68)</f>
        <v>0</v>
      </c>
      <c r="H68" s="49">
        <f>AVERAGE('16.08 Tororo-Malaba-24h'!H68,'17.08 Tororo-Malaba-24h'!H68)</f>
        <v>0</v>
      </c>
      <c r="I68" s="49">
        <f>AVERAGE('16.08 Tororo-Malaba-24h'!I68,'17.08 Tororo-Malaba-24h'!I68)</f>
        <v>0</v>
      </c>
      <c r="J68" s="49">
        <f>AVERAGE('16.08 Tororo-Malaba-24h'!J68,'17.08 Tororo-Malaba-24h'!J68)</f>
        <v>0</v>
      </c>
      <c r="K68" s="49">
        <f>AVERAGE('16.08 Tororo-Malaba-24h'!K68,'17.08 Tororo-Malaba-24h'!K68)</f>
        <v>0</v>
      </c>
      <c r="L68" s="49">
        <f>AVERAGE('16.08 Tororo-Malaba-24h'!L68,'17.08 Tororo-Malaba-24h'!L68)</f>
        <v>0</v>
      </c>
      <c r="M68" s="49">
        <f>AVERAGE('16.08 Tororo-Malaba-24h'!M68,'17.08 Tororo-Malaba-24h'!M68)</f>
        <v>3.5</v>
      </c>
      <c r="N68" s="49">
        <f>AVERAGE('16.08 Tororo-Malaba-24h'!N68,'17.08 Tororo-Malaba-24h'!N68)</f>
        <v>0</v>
      </c>
      <c r="O68" s="15">
        <f t="shared" si="0"/>
        <v>7</v>
      </c>
      <c r="P68" s="15">
        <f t="shared" si="1"/>
        <v>10.5</v>
      </c>
      <c r="R68" s="8"/>
      <c r="T68"/>
    </row>
    <row r="69" spans="2:20" ht="23.1" customHeight="1" x14ac:dyDescent="0.25">
      <c r="B69" s="23" t="s">
        <v>106</v>
      </c>
      <c r="C69" s="49">
        <f>AVERAGE('16.08 Tororo-Malaba-24h'!C69,'17.08 Tororo-Malaba-24h'!C69)</f>
        <v>3</v>
      </c>
      <c r="D69" s="49">
        <f>AVERAGE('16.08 Tororo-Malaba-24h'!D69,'17.08 Tororo-Malaba-24h'!D69)</f>
        <v>0</v>
      </c>
      <c r="E69" s="49">
        <f>AVERAGE('16.08 Tororo-Malaba-24h'!E69,'17.08 Tororo-Malaba-24h'!E69)</f>
        <v>1</v>
      </c>
      <c r="F69" s="49">
        <f>AVERAGE('16.08 Tororo-Malaba-24h'!F69,'17.08 Tororo-Malaba-24h'!F69)</f>
        <v>2</v>
      </c>
      <c r="G69" s="49">
        <f>AVERAGE('16.08 Tororo-Malaba-24h'!G69,'17.08 Tororo-Malaba-24h'!G69)</f>
        <v>0</v>
      </c>
      <c r="H69" s="49">
        <f>AVERAGE('16.08 Tororo-Malaba-24h'!H69,'17.08 Tororo-Malaba-24h'!H69)</f>
        <v>0</v>
      </c>
      <c r="I69" s="49">
        <f>AVERAGE('16.08 Tororo-Malaba-24h'!I69,'17.08 Tororo-Malaba-24h'!I69)</f>
        <v>0.5</v>
      </c>
      <c r="J69" s="49">
        <f>AVERAGE('16.08 Tororo-Malaba-24h'!J69,'17.08 Tororo-Malaba-24h'!J69)</f>
        <v>1</v>
      </c>
      <c r="K69" s="49">
        <f>AVERAGE('16.08 Tororo-Malaba-24h'!K69,'17.08 Tororo-Malaba-24h'!K69)</f>
        <v>0.5</v>
      </c>
      <c r="L69" s="49">
        <f>AVERAGE('16.08 Tororo-Malaba-24h'!L69,'17.08 Tororo-Malaba-24h'!L69)</f>
        <v>0</v>
      </c>
      <c r="M69" s="49">
        <f>AVERAGE('16.08 Tororo-Malaba-24h'!M69,'17.08 Tororo-Malaba-24h'!M69)</f>
        <v>3.5</v>
      </c>
      <c r="N69" s="49">
        <f>AVERAGE('16.08 Tororo-Malaba-24h'!N69,'17.08 Tororo-Malaba-24h'!N69)</f>
        <v>0</v>
      </c>
      <c r="O69" s="15">
        <f t="shared" si="0"/>
        <v>8</v>
      </c>
      <c r="P69" s="15">
        <f t="shared" si="1"/>
        <v>11.5</v>
      </c>
      <c r="R69" s="8"/>
      <c r="T69"/>
    </row>
    <row r="70" spans="2:20" ht="23.1" customHeight="1" x14ac:dyDescent="0.25">
      <c r="B70" s="23" t="s">
        <v>110</v>
      </c>
      <c r="C70" s="49">
        <f>AVERAGE('16.08 Tororo-Malaba-24h'!C70,'17.08 Tororo-Malaba-24h'!C70)</f>
        <v>2.5</v>
      </c>
      <c r="D70" s="49">
        <f>AVERAGE('16.08 Tororo-Malaba-24h'!D70,'17.08 Tororo-Malaba-24h'!D70)</f>
        <v>0</v>
      </c>
      <c r="E70" s="49">
        <f>AVERAGE('16.08 Tororo-Malaba-24h'!E70,'17.08 Tororo-Malaba-24h'!E70)</f>
        <v>0.5</v>
      </c>
      <c r="F70" s="49">
        <f>AVERAGE('16.08 Tororo-Malaba-24h'!F70,'17.08 Tororo-Malaba-24h'!F70)</f>
        <v>1.5</v>
      </c>
      <c r="G70" s="49">
        <f>AVERAGE('16.08 Tororo-Malaba-24h'!G70,'17.08 Tororo-Malaba-24h'!G70)</f>
        <v>0</v>
      </c>
      <c r="H70" s="49">
        <f>AVERAGE('16.08 Tororo-Malaba-24h'!H70,'17.08 Tororo-Malaba-24h'!H70)</f>
        <v>0</v>
      </c>
      <c r="I70" s="49">
        <f>AVERAGE('16.08 Tororo-Malaba-24h'!I70,'17.08 Tororo-Malaba-24h'!I70)</f>
        <v>1</v>
      </c>
      <c r="J70" s="49">
        <f>AVERAGE('16.08 Tororo-Malaba-24h'!J70,'17.08 Tororo-Malaba-24h'!J70)</f>
        <v>0</v>
      </c>
      <c r="K70" s="49">
        <f>AVERAGE('16.08 Tororo-Malaba-24h'!K70,'17.08 Tororo-Malaba-24h'!K70)</f>
        <v>0</v>
      </c>
      <c r="L70" s="49">
        <f>AVERAGE('16.08 Tororo-Malaba-24h'!L70,'17.08 Tororo-Malaba-24h'!L70)</f>
        <v>0</v>
      </c>
      <c r="M70" s="49">
        <f>AVERAGE('16.08 Tororo-Malaba-24h'!M70,'17.08 Tororo-Malaba-24h'!M70)</f>
        <v>9</v>
      </c>
      <c r="N70" s="49">
        <f>AVERAGE('16.08 Tororo-Malaba-24h'!N70,'17.08 Tororo-Malaba-24h'!N70)</f>
        <v>0</v>
      </c>
      <c r="O70" s="15">
        <f t="shared" si="0"/>
        <v>5.5</v>
      </c>
      <c r="P70" s="15">
        <f t="shared" si="1"/>
        <v>14.5</v>
      </c>
      <c r="R70" s="8"/>
      <c r="T70"/>
    </row>
    <row r="71" spans="2:20" ht="23.1" customHeight="1" x14ac:dyDescent="0.25">
      <c r="B71" s="23" t="s">
        <v>111</v>
      </c>
      <c r="C71" s="49">
        <f>AVERAGE('16.08 Tororo-Malaba-24h'!C71,'17.08 Tororo-Malaba-24h'!C71)</f>
        <v>2.5</v>
      </c>
      <c r="D71" s="49">
        <f>AVERAGE('16.08 Tororo-Malaba-24h'!D71,'17.08 Tororo-Malaba-24h'!D71)</f>
        <v>0</v>
      </c>
      <c r="E71" s="49">
        <f>AVERAGE('16.08 Tororo-Malaba-24h'!E71,'17.08 Tororo-Malaba-24h'!E71)</f>
        <v>1</v>
      </c>
      <c r="F71" s="49">
        <f>AVERAGE('16.08 Tororo-Malaba-24h'!F71,'17.08 Tororo-Malaba-24h'!F71)</f>
        <v>1</v>
      </c>
      <c r="G71" s="49">
        <f>AVERAGE('16.08 Tororo-Malaba-24h'!G71,'17.08 Tororo-Malaba-24h'!G71)</f>
        <v>0</v>
      </c>
      <c r="H71" s="49">
        <f>AVERAGE('16.08 Tororo-Malaba-24h'!H71,'17.08 Tororo-Malaba-24h'!H71)</f>
        <v>0</v>
      </c>
      <c r="I71" s="49">
        <f>AVERAGE('16.08 Tororo-Malaba-24h'!I71,'17.08 Tororo-Malaba-24h'!I71)</f>
        <v>1</v>
      </c>
      <c r="J71" s="49">
        <f>AVERAGE('16.08 Tororo-Malaba-24h'!J71,'17.08 Tororo-Malaba-24h'!J71)</f>
        <v>0</v>
      </c>
      <c r="K71" s="49">
        <f>AVERAGE('16.08 Tororo-Malaba-24h'!K71,'17.08 Tororo-Malaba-24h'!K71)</f>
        <v>0</v>
      </c>
      <c r="L71" s="49">
        <f>AVERAGE('16.08 Tororo-Malaba-24h'!L71,'17.08 Tororo-Malaba-24h'!L71)</f>
        <v>0</v>
      </c>
      <c r="M71" s="49">
        <f>AVERAGE('16.08 Tororo-Malaba-24h'!M71,'17.08 Tororo-Malaba-24h'!M71)</f>
        <v>4</v>
      </c>
      <c r="N71" s="49">
        <f>AVERAGE('16.08 Tororo-Malaba-24h'!N71,'17.08 Tororo-Malaba-24h'!N71)</f>
        <v>0</v>
      </c>
      <c r="O71" s="15">
        <f t="shared" si="0"/>
        <v>5.5</v>
      </c>
      <c r="P71" s="15">
        <f t="shared" si="1"/>
        <v>9.5</v>
      </c>
      <c r="R71" s="8"/>
      <c r="T71"/>
    </row>
    <row r="72" spans="2:20" ht="23.1" customHeight="1" x14ac:dyDescent="0.25">
      <c r="B72" s="23" t="s">
        <v>112</v>
      </c>
      <c r="C72" s="49">
        <f>AVERAGE('16.08 Tororo-Malaba-24h'!C72,'17.08 Tororo-Malaba-24h'!C72)</f>
        <v>2</v>
      </c>
      <c r="D72" s="49">
        <f>AVERAGE('16.08 Tororo-Malaba-24h'!D72,'17.08 Tororo-Malaba-24h'!D72)</f>
        <v>0</v>
      </c>
      <c r="E72" s="49">
        <f>AVERAGE('16.08 Tororo-Malaba-24h'!E72,'17.08 Tororo-Malaba-24h'!E72)</f>
        <v>1</v>
      </c>
      <c r="F72" s="49">
        <f>AVERAGE('16.08 Tororo-Malaba-24h'!F72,'17.08 Tororo-Malaba-24h'!F72)</f>
        <v>3</v>
      </c>
      <c r="G72" s="49">
        <f>AVERAGE('16.08 Tororo-Malaba-24h'!G72,'17.08 Tororo-Malaba-24h'!G72)</f>
        <v>0</v>
      </c>
      <c r="H72" s="49">
        <f>AVERAGE('16.08 Tororo-Malaba-24h'!H72,'17.08 Tororo-Malaba-24h'!H72)</f>
        <v>0.5</v>
      </c>
      <c r="I72" s="49">
        <f>AVERAGE('16.08 Tororo-Malaba-24h'!I72,'17.08 Tororo-Malaba-24h'!I72)</f>
        <v>0</v>
      </c>
      <c r="J72" s="49">
        <f>AVERAGE('16.08 Tororo-Malaba-24h'!J72,'17.08 Tororo-Malaba-24h'!J72)</f>
        <v>0</v>
      </c>
      <c r="K72" s="49">
        <f>AVERAGE('16.08 Tororo-Malaba-24h'!K72,'17.08 Tororo-Malaba-24h'!K72)</f>
        <v>0</v>
      </c>
      <c r="L72" s="49">
        <f>AVERAGE('16.08 Tororo-Malaba-24h'!L72,'17.08 Tororo-Malaba-24h'!L72)</f>
        <v>0</v>
      </c>
      <c r="M72" s="49">
        <f>AVERAGE('16.08 Tororo-Malaba-24h'!M72,'17.08 Tororo-Malaba-24h'!M72)</f>
        <v>3</v>
      </c>
      <c r="N72" s="49">
        <f>AVERAGE('16.08 Tororo-Malaba-24h'!N72,'17.08 Tororo-Malaba-24h'!N72)</f>
        <v>0</v>
      </c>
      <c r="O72" s="15">
        <f t="shared" si="0"/>
        <v>6.5</v>
      </c>
      <c r="P72" s="15">
        <f t="shared" si="1"/>
        <v>9.5</v>
      </c>
      <c r="R72" s="8"/>
      <c r="T72"/>
    </row>
    <row r="73" spans="2:20" ht="23.1" customHeight="1" x14ac:dyDescent="0.25">
      <c r="B73" s="23" t="s">
        <v>113</v>
      </c>
      <c r="C73" s="49">
        <f>AVERAGE('16.08 Tororo-Malaba-24h'!C73,'17.08 Tororo-Malaba-24h'!C73)</f>
        <v>1.5</v>
      </c>
      <c r="D73" s="49">
        <f>AVERAGE('16.08 Tororo-Malaba-24h'!D73,'17.08 Tororo-Malaba-24h'!D73)</f>
        <v>0</v>
      </c>
      <c r="E73" s="49">
        <f>AVERAGE('16.08 Tororo-Malaba-24h'!E73,'17.08 Tororo-Malaba-24h'!E73)</f>
        <v>1</v>
      </c>
      <c r="F73" s="49">
        <f>AVERAGE('16.08 Tororo-Malaba-24h'!F73,'17.08 Tororo-Malaba-24h'!F73)</f>
        <v>0</v>
      </c>
      <c r="G73" s="49">
        <f>AVERAGE('16.08 Tororo-Malaba-24h'!G73,'17.08 Tororo-Malaba-24h'!G73)</f>
        <v>0</v>
      </c>
      <c r="H73" s="49">
        <f>AVERAGE('16.08 Tororo-Malaba-24h'!H73,'17.08 Tororo-Malaba-24h'!H73)</f>
        <v>1.5</v>
      </c>
      <c r="I73" s="49">
        <f>AVERAGE('16.08 Tororo-Malaba-24h'!I73,'17.08 Tororo-Malaba-24h'!I73)</f>
        <v>0.5</v>
      </c>
      <c r="J73" s="49">
        <f>AVERAGE('16.08 Tororo-Malaba-24h'!J73,'17.08 Tororo-Malaba-24h'!J73)</f>
        <v>0</v>
      </c>
      <c r="K73" s="49">
        <f>AVERAGE('16.08 Tororo-Malaba-24h'!K73,'17.08 Tororo-Malaba-24h'!K73)</f>
        <v>0</v>
      </c>
      <c r="L73" s="49">
        <f>AVERAGE('16.08 Tororo-Malaba-24h'!L73,'17.08 Tororo-Malaba-24h'!L73)</f>
        <v>0</v>
      </c>
      <c r="M73" s="49">
        <f>AVERAGE('16.08 Tororo-Malaba-24h'!M73,'17.08 Tororo-Malaba-24h'!M73)</f>
        <v>2</v>
      </c>
      <c r="N73" s="49">
        <f>AVERAGE('16.08 Tororo-Malaba-24h'!N73,'17.08 Tororo-Malaba-24h'!N73)</f>
        <v>0</v>
      </c>
      <c r="O73" s="15">
        <f t="shared" si="0"/>
        <v>4.5</v>
      </c>
      <c r="P73" s="15">
        <f t="shared" si="1"/>
        <v>6.5</v>
      </c>
      <c r="R73" s="8"/>
      <c r="T73"/>
    </row>
    <row r="74" spans="2:20" ht="23.1" customHeight="1" x14ac:dyDescent="0.25">
      <c r="B74" s="23" t="s">
        <v>114</v>
      </c>
      <c r="C74" s="49">
        <f>AVERAGE('16.08 Tororo-Malaba-24h'!C74,'17.08 Tororo-Malaba-24h'!C74)</f>
        <v>3</v>
      </c>
      <c r="D74" s="49">
        <f>AVERAGE('16.08 Tororo-Malaba-24h'!D74,'17.08 Tororo-Malaba-24h'!D74)</f>
        <v>0.5</v>
      </c>
      <c r="E74" s="49">
        <f>AVERAGE('16.08 Tororo-Malaba-24h'!E74,'17.08 Tororo-Malaba-24h'!E74)</f>
        <v>2.5</v>
      </c>
      <c r="F74" s="49">
        <f>AVERAGE('16.08 Tororo-Malaba-24h'!F74,'17.08 Tororo-Malaba-24h'!F74)</f>
        <v>0.5</v>
      </c>
      <c r="G74" s="49">
        <f>AVERAGE('16.08 Tororo-Malaba-24h'!G74,'17.08 Tororo-Malaba-24h'!G74)</f>
        <v>0</v>
      </c>
      <c r="H74" s="49">
        <f>AVERAGE('16.08 Tororo-Malaba-24h'!H74,'17.08 Tororo-Malaba-24h'!H74)</f>
        <v>0</v>
      </c>
      <c r="I74" s="49">
        <f>AVERAGE('16.08 Tororo-Malaba-24h'!I74,'17.08 Tororo-Malaba-24h'!I74)</f>
        <v>0</v>
      </c>
      <c r="J74" s="49">
        <f>AVERAGE('16.08 Tororo-Malaba-24h'!J74,'17.08 Tororo-Malaba-24h'!J74)</f>
        <v>0</v>
      </c>
      <c r="K74" s="49">
        <f>AVERAGE('16.08 Tororo-Malaba-24h'!K74,'17.08 Tororo-Malaba-24h'!K74)</f>
        <v>0</v>
      </c>
      <c r="L74" s="49">
        <f>AVERAGE('16.08 Tororo-Malaba-24h'!L74,'17.08 Tororo-Malaba-24h'!L74)</f>
        <v>0</v>
      </c>
      <c r="M74" s="49">
        <f>AVERAGE('16.08 Tororo-Malaba-24h'!M74,'17.08 Tororo-Malaba-24h'!M74)</f>
        <v>5</v>
      </c>
      <c r="N74" s="49">
        <f>AVERAGE('16.08 Tororo-Malaba-24h'!N74,'17.08 Tororo-Malaba-24h'!N74)</f>
        <v>0</v>
      </c>
      <c r="O74" s="15">
        <f t="shared" ref="O74:O105" si="35">SUM(C74:L74,N74)</f>
        <v>6.5</v>
      </c>
      <c r="P74" s="15">
        <f t="shared" ref="P74:P105" si="36">SUM(C74:N74)</f>
        <v>11.5</v>
      </c>
      <c r="R74" s="8"/>
      <c r="T74"/>
    </row>
    <row r="75" spans="2:20" ht="23.1" customHeight="1" x14ac:dyDescent="0.25">
      <c r="B75" s="23" t="s">
        <v>115</v>
      </c>
      <c r="C75" s="49">
        <f>AVERAGE('16.08 Tororo-Malaba-24h'!C75,'17.08 Tororo-Malaba-24h'!C75)</f>
        <v>0</v>
      </c>
      <c r="D75" s="49">
        <f>AVERAGE('16.08 Tororo-Malaba-24h'!D75,'17.08 Tororo-Malaba-24h'!D75)</f>
        <v>0</v>
      </c>
      <c r="E75" s="49">
        <f>AVERAGE('16.08 Tororo-Malaba-24h'!E75,'17.08 Tororo-Malaba-24h'!E75)</f>
        <v>0.5</v>
      </c>
      <c r="F75" s="49">
        <f>AVERAGE('16.08 Tororo-Malaba-24h'!F75,'17.08 Tororo-Malaba-24h'!F75)</f>
        <v>0</v>
      </c>
      <c r="G75" s="49">
        <f>AVERAGE('16.08 Tororo-Malaba-24h'!G75,'17.08 Tororo-Malaba-24h'!G75)</f>
        <v>0</v>
      </c>
      <c r="H75" s="49">
        <f>AVERAGE('16.08 Tororo-Malaba-24h'!H75,'17.08 Tororo-Malaba-24h'!H75)</f>
        <v>0</v>
      </c>
      <c r="I75" s="49">
        <f>AVERAGE('16.08 Tororo-Malaba-24h'!I75,'17.08 Tororo-Malaba-24h'!I75)</f>
        <v>0.5</v>
      </c>
      <c r="J75" s="49">
        <f>AVERAGE('16.08 Tororo-Malaba-24h'!J75,'17.08 Tororo-Malaba-24h'!J75)</f>
        <v>0</v>
      </c>
      <c r="K75" s="49">
        <f>AVERAGE('16.08 Tororo-Malaba-24h'!K75,'17.08 Tororo-Malaba-24h'!K75)</f>
        <v>0</v>
      </c>
      <c r="L75" s="49">
        <f>AVERAGE('16.08 Tororo-Malaba-24h'!L75,'17.08 Tororo-Malaba-24h'!L75)</f>
        <v>0</v>
      </c>
      <c r="M75" s="49">
        <f>AVERAGE('16.08 Tororo-Malaba-24h'!M75,'17.08 Tororo-Malaba-24h'!M75)</f>
        <v>3.5</v>
      </c>
      <c r="N75" s="49">
        <f>AVERAGE('16.08 Tororo-Malaba-24h'!N75,'17.08 Tororo-Malaba-24h'!N75)</f>
        <v>0</v>
      </c>
      <c r="O75" s="15">
        <f t="shared" si="35"/>
        <v>1</v>
      </c>
      <c r="P75" s="15">
        <f t="shared" si="36"/>
        <v>4.5</v>
      </c>
      <c r="R75" s="8"/>
      <c r="T75"/>
    </row>
    <row r="76" spans="2:20" ht="23.1" customHeight="1" x14ac:dyDescent="0.25">
      <c r="B76" s="23" t="s">
        <v>116</v>
      </c>
      <c r="C76" s="49">
        <f>AVERAGE('16.08 Tororo-Malaba-24h'!C76,'17.08 Tororo-Malaba-24h'!C76)</f>
        <v>1.5</v>
      </c>
      <c r="D76" s="49">
        <f>AVERAGE('16.08 Tororo-Malaba-24h'!D76,'17.08 Tororo-Malaba-24h'!D76)</f>
        <v>0</v>
      </c>
      <c r="E76" s="49">
        <f>AVERAGE('16.08 Tororo-Malaba-24h'!E76,'17.08 Tororo-Malaba-24h'!E76)</f>
        <v>1.5</v>
      </c>
      <c r="F76" s="49">
        <f>AVERAGE('16.08 Tororo-Malaba-24h'!F76,'17.08 Tororo-Malaba-24h'!F76)</f>
        <v>0</v>
      </c>
      <c r="G76" s="49">
        <f>AVERAGE('16.08 Tororo-Malaba-24h'!G76,'17.08 Tororo-Malaba-24h'!G76)</f>
        <v>0</v>
      </c>
      <c r="H76" s="49">
        <f>AVERAGE('16.08 Tororo-Malaba-24h'!H76,'17.08 Tororo-Malaba-24h'!H76)</f>
        <v>0.5</v>
      </c>
      <c r="I76" s="49">
        <f>AVERAGE('16.08 Tororo-Malaba-24h'!I76,'17.08 Tororo-Malaba-24h'!I76)</f>
        <v>0</v>
      </c>
      <c r="J76" s="49">
        <f>AVERAGE('16.08 Tororo-Malaba-24h'!J76,'17.08 Tororo-Malaba-24h'!J76)</f>
        <v>0</v>
      </c>
      <c r="K76" s="49">
        <f>AVERAGE('16.08 Tororo-Malaba-24h'!K76,'17.08 Tororo-Malaba-24h'!K76)</f>
        <v>0</v>
      </c>
      <c r="L76" s="49">
        <f>AVERAGE('16.08 Tororo-Malaba-24h'!L76,'17.08 Tororo-Malaba-24h'!L76)</f>
        <v>0</v>
      </c>
      <c r="M76" s="49">
        <f>AVERAGE('16.08 Tororo-Malaba-24h'!M76,'17.08 Tororo-Malaba-24h'!M76)</f>
        <v>3.5</v>
      </c>
      <c r="N76" s="49">
        <f>AVERAGE('16.08 Tororo-Malaba-24h'!N76,'17.08 Tororo-Malaba-24h'!N76)</f>
        <v>0</v>
      </c>
      <c r="O76" s="15">
        <f t="shared" si="35"/>
        <v>3.5</v>
      </c>
      <c r="P76" s="15">
        <f t="shared" si="36"/>
        <v>7</v>
      </c>
      <c r="R76" s="8"/>
      <c r="T76"/>
    </row>
    <row r="77" spans="2:20" ht="23.1" customHeight="1" x14ac:dyDescent="0.25">
      <c r="B77" s="23" t="s">
        <v>117</v>
      </c>
      <c r="C77" s="49">
        <f>AVERAGE('16.08 Tororo-Malaba-24h'!C77,'17.08 Tororo-Malaba-24h'!C77)</f>
        <v>0.5</v>
      </c>
      <c r="D77" s="49">
        <f>AVERAGE('16.08 Tororo-Malaba-24h'!D77,'17.08 Tororo-Malaba-24h'!D77)</f>
        <v>0</v>
      </c>
      <c r="E77" s="49">
        <f>AVERAGE('16.08 Tororo-Malaba-24h'!E77,'17.08 Tororo-Malaba-24h'!E77)</f>
        <v>0</v>
      </c>
      <c r="F77" s="49">
        <f>AVERAGE('16.08 Tororo-Malaba-24h'!F77,'17.08 Tororo-Malaba-24h'!F77)</f>
        <v>0</v>
      </c>
      <c r="G77" s="49">
        <f>AVERAGE('16.08 Tororo-Malaba-24h'!G77,'17.08 Tororo-Malaba-24h'!G77)</f>
        <v>0</v>
      </c>
      <c r="H77" s="49">
        <f>AVERAGE('16.08 Tororo-Malaba-24h'!H77,'17.08 Tororo-Malaba-24h'!H77)</f>
        <v>0.5</v>
      </c>
      <c r="I77" s="49">
        <f>AVERAGE('16.08 Tororo-Malaba-24h'!I77,'17.08 Tororo-Malaba-24h'!I77)</f>
        <v>0</v>
      </c>
      <c r="J77" s="49">
        <f>AVERAGE('16.08 Tororo-Malaba-24h'!J77,'17.08 Tororo-Malaba-24h'!J77)</f>
        <v>0</v>
      </c>
      <c r="K77" s="49">
        <f>AVERAGE('16.08 Tororo-Malaba-24h'!K77,'17.08 Tororo-Malaba-24h'!K77)</f>
        <v>0</v>
      </c>
      <c r="L77" s="49">
        <f>AVERAGE('16.08 Tororo-Malaba-24h'!L77,'17.08 Tororo-Malaba-24h'!L77)</f>
        <v>0</v>
      </c>
      <c r="M77" s="49">
        <f>AVERAGE('16.08 Tororo-Malaba-24h'!M77,'17.08 Tororo-Malaba-24h'!M77)</f>
        <v>0</v>
      </c>
      <c r="N77" s="49">
        <f>AVERAGE('16.08 Tororo-Malaba-24h'!N77,'17.08 Tororo-Malaba-24h'!N77)</f>
        <v>0</v>
      </c>
      <c r="O77" s="15">
        <f t="shared" si="35"/>
        <v>1</v>
      </c>
      <c r="P77" s="15">
        <f t="shared" si="36"/>
        <v>1</v>
      </c>
      <c r="R77" s="8"/>
      <c r="T77"/>
    </row>
    <row r="78" spans="2:20" ht="23.1" customHeight="1" x14ac:dyDescent="0.25">
      <c r="B78" s="24" t="s">
        <v>118</v>
      </c>
      <c r="C78" s="49">
        <f>AVERAGE('16.08 Tororo-Malaba-24h'!C78,'17.08 Tororo-Malaba-24h'!C78)</f>
        <v>0</v>
      </c>
      <c r="D78" s="49">
        <f>AVERAGE('16.08 Tororo-Malaba-24h'!D78,'17.08 Tororo-Malaba-24h'!D78)</f>
        <v>0</v>
      </c>
      <c r="E78" s="49">
        <f>AVERAGE('16.08 Tororo-Malaba-24h'!E78,'17.08 Tororo-Malaba-24h'!E78)</f>
        <v>0</v>
      </c>
      <c r="F78" s="49">
        <f>AVERAGE('16.08 Tororo-Malaba-24h'!F78,'17.08 Tororo-Malaba-24h'!F78)</f>
        <v>0</v>
      </c>
      <c r="G78" s="49">
        <f>AVERAGE('16.08 Tororo-Malaba-24h'!G78,'17.08 Tororo-Malaba-24h'!G78)</f>
        <v>0</v>
      </c>
      <c r="H78" s="49">
        <f>AVERAGE('16.08 Tororo-Malaba-24h'!H78,'17.08 Tororo-Malaba-24h'!H78)</f>
        <v>0.5</v>
      </c>
      <c r="I78" s="49">
        <f>AVERAGE('16.08 Tororo-Malaba-24h'!I78,'17.08 Tororo-Malaba-24h'!I78)</f>
        <v>0</v>
      </c>
      <c r="J78" s="49">
        <f>AVERAGE('16.08 Tororo-Malaba-24h'!J78,'17.08 Tororo-Malaba-24h'!J78)</f>
        <v>0</v>
      </c>
      <c r="K78" s="49">
        <f>AVERAGE('16.08 Tororo-Malaba-24h'!K78,'17.08 Tororo-Malaba-24h'!K78)</f>
        <v>0</v>
      </c>
      <c r="L78" s="49">
        <f>AVERAGE('16.08 Tororo-Malaba-24h'!L78,'17.08 Tororo-Malaba-24h'!L78)</f>
        <v>0</v>
      </c>
      <c r="M78" s="49">
        <f>AVERAGE('16.08 Tororo-Malaba-24h'!M78,'17.08 Tororo-Malaba-24h'!M78)</f>
        <v>0</v>
      </c>
      <c r="N78" s="49">
        <f>AVERAGE('16.08 Tororo-Malaba-24h'!N78,'17.08 Tororo-Malaba-24h'!N78)</f>
        <v>0</v>
      </c>
      <c r="O78" s="15">
        <f t="shared" si="35"/>
        <v>0.5</v>
      </c>
      <c r="P78" s="15">
        <f t="shared" si="36"/>
        <v>0.5</v>
      </c>
      <c r="R78" s="8"/>
      <c r="T78"/>
    </row>
    <row r="79" spans="2:20" ht="23.1" customHeight="1" x14ac:dyDescent="0.25">
      <c r="B79" s="23" t="s">
        <v>119</v>
      </c>
      <c r="C79" s="49">
        <f>AVERAGE('16.08 Tororo-Malaba-24h'!C79,'17.08 Tororo-Malaba-24h'!C79)</f>
        <v>1</v>
      </c>
      <c r="D79" s="49">
        <f>AVERAGE('16.08 Tororo-Malaba-24h'!D79,'17.08 Tororo-Malaba-24h'!D79)</f>
        <v>0</v>
      </c>
      <c r="E79" s="49">
        <f>AVERAGE('16.08 Tororo-Malaba-24h'!E79,'17.08 Tororo-Malaba-24h'!E79)</f>
        <v>0</v>
      </c>
      <c r="F79" s="49">
        <f>AVERAGE('16.08 Tororo-Malaba-24h'!F79,'17.08 Tororo-Malaba-24h'!F79)</f>
        <v>0.5</v>
      </c>
      <c r="G79" s="49">
        <f>AVERAGE('16.08 Tororo-Malaba-24h'!G79,'17.08 Tororo-Malaba-24h'!G79)</f>
        <v>0</v>
      </c>
      <c r="H79" s="49">
        <f>AVERAGE('16.08 Tororo-Malaba-24h'!H79,'17.08 Tororo-Malaba-24h'!H79)</f>
        <v>0</v>
      </c>
      <c r="I79" s="49">
        <f>AVERAGE('16.08 Tororo-Malaba-24h'!I79,'17.08 Tororo-Malaba-24h'!I79)</f>
        <v>1</v>
      </c>
      <c r="J79" s="49">
        <f>AVERAGE('16.08 Tororo-Malaba-24h'!J79,'17.08 Tororo-Malaba-24h'!J79)</f>
        <v>0</v>
      </c>
      <c r="K79" s="49">
        <f>AVERAGE('16.08 Tororo-Malaba-24h'!K79,'17.08 Tororo-Malaba-24h'!K79)</f>
        <v>0</v>
      </c>
      <c r="L79" s="49">
        <f>AVERAGE('16.08 Tororo-Malaba-24h'!L79,'17.08 Tororo-Malaba-24h'!L79)</f>
        <v>0</v>
      </c>
      <c r="M79" s="49">
        <f>AVERAGE('16.08 Tororo-Malaba-24h'!M79,'17.08 Tororo-Malaba-24h'!M79)</f>
        <v>2.5</v>
      </c>
      <c r="N79" s="49">
        <f>AVERAGE('16.08 Tororo-Malaba-24h'!N79,'17.08 Tororo-Malaba-24h'!N79)</f>
        <v>0</v>
      </c>
      <c r="O79" s="15">
        <f t="shared" si="35"/>
        <v>2.5</v>
      </c>
      <c r="P79" s="15">
        <f t="shared" si="36"/>
        <v>5</v>
      </c>
      <c r="R79" s="8"/>
      <c r="T79"/>
    </row>
    <row r="80" spans="2:20" ht="23.1" customHeight="1" x14ac:dyDescent="0.25">
      <c r="B80" s="25" t="s">
        <v>120</v>
      </c>
      <c r="C80" s="49">
        <f>AVERAGE('16.08 Tororo-Malaba-24h'!C80,'17.08 Tororo-Malaba-24h'!C80)</f>
        <v>0.5</v>
      </c>
      <c r="D80" s="49">
        <f>AVERAGE('16.08 Tororo-Malaba-24h'!D80,'17.08 Tororo-Malaba-24h'!D80)</f>
        <v>0</v>
      </c>
      <c r="E80" s="49">
        <f>AVERAGE('16.08 Tororo-Malaba-24h'!E80,'17.08 Tororo-Malaba-24h'!E80)</f>
        <v>0.5</v>
      </c>
      <c r="F80" s="49">
        <f>AVERAGE('16.08 Tororo-Malaba-24h'!F80,'17.08 Tororo-Malaba-24h'!F80)</f>
        <v>0.5</v>
      </c>
      <c r="G80" s="49">
        <f>AVERAGE('16.08 Tororo-Malaba-24h'!G80,'17.08 Tororo-Malaba-24h'!G80)</f>
        <v>0</v>
      </c>
      <c r="H80" s="49">
        <f>AVERAGE('16.08 Tororo-Malaba-24h'!H80,'17.08 Tororo-Malaba-24h'!H80)</f>
        <v>0.5</v>
      </c>
      <c r="I80" s="49">
        <f>AVERAGE('16.08 Tororo-Malaba-24h'!I80,'17.08 Tororo-Malaba-24h'!I80)</f>
        <v>0</v>
      </c>
      <c r="J80" s="49">
        <f>AVERAGE('16.08 Tororo-Malaba-24h'!J80,'17.08 Tororo-Malaba-24h'!J80)</f>
        <v>0</v>
      </c>
      <c r="K80" s="49">
        <f>AVERAGE('16.08 Tororo-Malaba-24h'!K80,'17.08 Tororo-Malaba-24h'!K80)</f>
        <v>0</v>
      </c>
      <c r="L80" s="49">
        <f>AVERAGE('16.08 Tororo-Malaba-24h'!L80,'17.08 Tororo-Malaba-24h'!L80)</f>
        <v>0</v>
      </c>
      <c r="M80" s="49">
        <f>AVERAGE('16.08 Tororo-Malaba-24h'!M80,'17.08 Tororo-Malaba-24h'!M80)</f>
        <v>2</v>
      </c>
      <c r="N80" s="49">
        <f>AVERAGE('16.08 Tororo-Malaba-24h'!N80,'17.08 Tororo-Malaba-24h'!N80)</f>
        <v>0</v>
      </c>
      <c r="O80" s="15">
        <f t="shared" si="35"/>
        <v>2</v>
      </c>
      <c r="P80" s="15">
        <f t="shared" si="36"/>
        <v>4</v>
      </c>
      <c r="R80" s="8"/>
      <c r="T80"/>
    </row>
    <row r="81" spans="2:20" ht="23.1" customHeight="1" x14ac:dyDescent="0.25">
      <c r="B81" s="23" t="s">
        <v>121</v>
      </c>
      <c r="C81" s="49">
        <f>AVERAGE('16.08 Tororo-Malaba-24h'!C81,'17.08 Tororo-Malaba-24h'!C81)</f>
        <v>0</v>
      </c>
      <c r="D81" s="49">
        <f>AVERAGE('16.08 Tororo-Malaba-24h'!D81,'17.08 Tororo-Malaba-24h'!D81)</f>
        <v>0</v>
      </c>
      <c r="E81" s="49">
        <f>AVERAGE('16.08 Tororo-Malaba-24h'!E81,'17.08 Tororo-Malaba-24h'!E81)</f>
        <v>0</v>
      </c>
      <c r="F81" s="49">
        <f>AVERAGE('16.08 Tororo-Malaba-24h'!F81,'17.08 Tororo-Malaba-24h'!F81)</f>
        <v>0</v>
      </c>
      <c r="G81" s="49">
        <f>AVERAGE('16.08 Tororo-Malaba-24h'!G81,'17.08 Tororo-Malaba-24h'!G81)</f>
        <v>0</v>
      </c>
      <c r="H81" s="49">
        <f>AVERAGE('16.08 Tororo-Malaba-24h'!H81,'17.08 Tororo-Malaba-24h'!H81)</f>
        <v>0</v>
      </c>
      <c r="I81" s="49">
        <f>AVERAGE('16.08 Tororo-Malaba-24h'!I81,'17.08 Tororo-Malaba-24h'!I81)</f>
        <v>0</v>
      </c>
      <c r="J81" s="49">
        <f>AVERAGE('16.08 Tororo-Malaba-24h'!J81,'17.08 Tororo-Malaba-24h'!J81)</f>
        <v>0</v>
      </c>
      <c r="K81" s="49">
        <f>AVERAGE('16.08 Tororo-Malaba-24h'!K81,'17.08 Tororo-Malaba-24h'!K81)</f>
        <v>0</v>
      </c>
      <c r="L81" s="49">
        <f>AVERAGE('16.08 Tororo-Malaba-24h'!L81,'17.08 Tororo-Malaba-24h'!L81)</f>
        <v>0</v>
      </c>
      <c r="M81" s="49">
        <f>AVERAGE('16.08 Tororo-Malaba-24h'!M81,'17.08 Tororo-Malaba-24h'!M81)</f>
        <v>3</v>
      </c>
      <c r="N81" s="49">
        <f>AVERAGE('16.08 Tororo-Malaba-24h'!N81,'17.08 Tororo-Malaba-24h'!N81)</f>
        <v>0</v>
      </c>
      <c r="O81" s="15">
        <f t="shared" si="35"/>
        <v>0</v>
      </c>
      <c r="P81" s="15">
        <f t="shared" si="36"/>
        <v>3</v>
      </c>
      <c r="R81" s="8"/>
      <c r="T81"/>
    </row>
    <row r="82" spans="2:20" ht="23.1" customHeight="1" x14ac:dyDescent="0.25">
      <c r="B82" s="24" t="s">
        <v>122</v>
      </c>
      <c r="C82" s="49">
        <f>AVERAGE('16.08 Tororo-Malaba-24h'!C82,'17.08 Tororo-Malaba-24h'!C82)</f>
        <v>0</v>
      </c>
      <c r="D82" s="49">
        <f>AVERAGE('16.08 Tororo-Malaba-24h'!D82,'17.08 Tororo-Malaba-24h'!D82)</f>
        <v>0</v>
      </c>
      <c r="E82" s="49">
        <f>AVERAGE('16.08 Tororo-Malaba-24h'!E82,'17.08 Tororo-Malaba-24h'!E82)</f>
        <v>0</v>
      </c>
      <c r="F82" s="49">
        <f>AVERAGE('16.08 Tororo-Malaba-24h'!F82,'17.08 Tororo-Malaba-24h'!F82)</f>
        <v>0.5</v>
      </c>
      <c r="G82" s="49">
        <f>AVERAGE('16.08 Tororo-Malaba-24h'!G82,'17.08 Tororo-Malaba-24h'!G82)</f>
        <v>0</v>
      </c>
      <c r="H82" s="49">
        <f>AVERAGE('16.08 Tororo-Malaba-24h'!H82,'17.08 Tororo-Malaba-24h'!H82)</f>
        <v>0.5</v>
      </c>
      <c r="I82" s="49">
        <f>AVERAGE('16.08 Tororo-Malaba-24h'!I82,'17.08 Tororo-Malaba-24h'!I82)</f>
        <v>0</v>
      </c>
      <c r="J82" s="49">
        <f>AVERAGE('16.08 Tororo-Malaba-24h'!J82,'17.08 Tororo-Malaba-24h'!J82)</f>
        <v>0</v>
      </c>
      <c r="K82" s="49">
        <f>AVERAGE('16.08 Tororo-Malaba-24h'!K82,'17.08 Tororo-Malaba-24h'!K82)</f>
        <v>0</v>
      </c>
      <c r="L82" s="49">
        <f>AVERAGE('16.08 Tororo-Malaba-24h'!L82,'17.08 Tororo-Malaba-24h'!L82)</f>
        <v>0</v>
      </c>
      <c r="M82" s="49">
        <f>AVERAGE('16.08 Tororo-Malaba-24h'!M82,'17.08 Tororo-Malaba-24h'!M82)</f>
        <v>0.5</v>
      </c>
      <c r="N82" s="49">
        <f>AVERAGE('16.08 Tororo-Malaba-24h'!N82,'17.08 Tororo-Malaba-24h'!N82)</f>
        <v>0</v>
      </c>
      <c r="O82" s="15">
        <f t="shared" si="35"/>
        <v>1</v>
      </c>
      <c r="P82" s="15">
        <f t="shared" si="36"/>
        <v>1.5</v>
      </c>
      <c r="R82" s="8"/>
      <c r="T82"/>
    </row>
    <row r="83" spans="2:20" ht="23.1" customHeight="1" x14ac:dyDescent="0.25">
      <c r="B83" s="23" t="s">
        <v>123</v>
      </c>
      <c r="C83" s="49">
        <f>AVERAGE('16.08 Tororo-Malaba-24h'!C83,'17.08 Tororo-Malaba-24h'!C83)</f>
        <v>0</v>
      </c>
      <c r="D83" s="49">
        <f>AVERAGE('16.08 Tororo-Malaba-24h'!D83,'17.08 Tororo-Malaba-24h'!D83)</f>
        <v>0</v>
      </c>
      <c r="E83" s="49">
        <f>AVERAGE('16.08 Tororo-Malaba-24h'!E83,'17.08 Tororo-Malaba-24h'!E83)</f>
        <v>0.5</v>
      </c>
      <c r="F83" s="49">
        <f>AVERAGE('16.08 Tororo-Malaba-24h'!F83,'17.08 Tororo-Malaba-24h'!F83)</f>
        <v>0.5</v>
      </c>
      <c r="G83" s="49">
        <f>AVERAGE('16.08 Tororo-Malaba-24h'!G83,'17.08 Tororo-Malaba-24h'!G83)</f>
        <v>0</v>
      </c>
      <c r="H83" s="49">
        <f>AVERAGE('16.08 Tororo-Malaba-24h'!H83,'17.08 Tororo-Malaba-24h'!H83)</f>
        <v>0.5</v>
      </c>
      <c r="I83" s="49">
        <f>AVERAGE('16.08 Tororo-Malaba-24h'!I83,'17.08 Tororo-Malaba-24h'!I83)</f>
        <v>0</v>
      </c>
      <c r="J83" s="49">
        <f>AVERAGE('16.08 Tororo-Malaba-24h'!J83,'17.08 Tororo-Malaba-24h'!J83)</f>
        <v>0</v>
      </c>
      <c r="K83" s="49">
        <f>AVERAGE('16.08 Tororo-Malaba-24h'!K83,'17.08 Tororo-Malaba-24h'!K83)</f>
        <v>0</v>
      </c>
      <c r="L83" s="49">
        <f>AVERAGE('16.08 Tororo-Malaba-24h'!L83,'17.08 Tororo-Malaba-24h'!L83)</f>
        <v>0</v>
      </c>
      <c r="M83" s="49">
        <f>AVERAGE('16.08 Tororo-Malaba-24h'!M83,'17.08 Tororo-Malaba-24h'!M83)</f>
        <v>0.5</v>
      </c>
      <c r="N83" s="49">
        <f>AVERAGE('16.08 Tororo-Malaba-24h'!N83,'17.08 Tororo-Malaba-24h'!N83)</f>
        <v>0</v>
      </c>
      <c r="O83" s="15">
        <f t="shared" si="35"/>
        <v>1.5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AVERAGE('16.08 Tororo-Malaba-24h'!C84,'17.08 Tororo-Malaba-24h'!C84)</f>
        <v>0</v>
      </c>
      <c r="D84" s="49">
        <f>AVERAGE('16.08 Tororo-Malaba-24h'!D84,'17.08 Tororo-Malaba-24h'!D84)</f>
        <v>0</v>
      </c>
      <c r="E84" s="49">
        <f>AVERAGE('16.08 Tororo-Malaba-24h'!E84,'17.08 Tororo-Malaba-24h'!E84)</f>
        <v>0</v>
      </c>
      <c r="F84" s="49">
        <f>AVERAGE('16.08 Tororo-Malaba-24h'!F84,'17.08 Tororo-Malaba-24h'!F84)</f>
        <v>0</v>
      </c>
      <c r="G84" s="49">
        <f>AVERAGE('16.08 Tororo-Malaba-24h'!G84,'17.08 Tororo-Malaba-24h'!G84)</f>
        <v>0</v>
      </c>
      <c r="H84" s="49">
        <f>AVERAGE('16.08 Tororo-Malaba-24h'!H84,'17.08 Tororo-Malaba-24h'!H84)</f>
        <v>0.5</v>
      </c>
      <c r="I84" s="49">
        <f>AVERAGE('16.08 Tororo-Malaba-24h'!I84,'17.08 Tororo-Malaba-24h'!I84)</f>
        <v>0</v>
      </c>
      <c r="J84" s="49">
        <f>AVERAGE('16.08 Tororo-Malaba-24h'!J84,'17.08 Tororo-Malaba-24h'!J84)</f>
        <v>0</v>
      </c>
      <c r="K84" s="49">
        <f>AVERAGE('16.08 Tororo-Malaba-24h'!K84,'17.08 Tororo-Malaba-24h'!K84)</f>
        <v>0</v>
      </c>
      <c r="L84" s="49">
        <f>AVERAGE('16.08 Tororo-Malaba-24h'!L84,'17.08 Tororo-Malaba-24h'!L84)</f>
        <v>0</v>
      </c>
      <c r="M84" s="49">
        <f>AVERAGE('16.08 Tororo-Malaba-24h'!M84,'17.08 Tororo-Malaba-24h'!M84)</f>
        <v>0</v>
      </c>
      <c r="N84" s="49">
        <f>AVERAGE('16.08 Tororo-Malaba-24h'!N84,'17.08 Tororo-Malaba-24h'!N84)</f>
        <v>0</v>
      </c>
      <c r="O84" s="15">
        <f t="shared" si="35"/>
        <v>0.5</v>
      </c>
      <c r="P84" s="15">
        <f t="shared" si="36"/>
        <v>0.5</v>
      </c>
      <c r="R84" s="8"/>
      <c r="T84"/>
    </row>
    <row r="85" spans="2:20" ht="23.1" customHeight="1" x14ac:dyDescent="0.25">
      <c r="B85" s="23" t="s">
        <v>125</v>
      </c>
      <c r="C85" s="49">
        <f>AVERAGE('16.08 Tororo-Malaba-24h'!C85,'17.08 Tororo-Malaba-24h'!C85)</f>
        <v>0.5</v>
      </c>
      <c r="D85" s="49">
        <f>AVERAGE('16.08 Tororo-Malaba-24h'!D85,'17.08 Tororo-Malaba-24h'!D85)</f>
        <v>0</v>
      </c>
      <c r="E85" s="49">
        <f>AVERAGE('16.08 Tororo-Malaba-24h'!E85,'17.08 Tororo-Malaba-24h'!E85)</f>
        <v>1.5</v>
      </c>
      <c r="F85" s="49">
        <f>AVERAGE('16.08 Tororo-Malaba-24h'!F85,'17.08 Tororo-Malaba-24h'!F85)</f>
        <v>0</v>
      </c>
      <c r="G85" s="49">
        <f>AVERAGE('16.08 Tororo-Malaba-24h'!G85,'17.08 Tororo-Malaba-24h'!G85)</f>
        <v>0</v>
      </c>
      <c r="H85" s="49">
        <f>AVERAGE('16.08 Tororo-Malaba-24h'!H85,'17.08 Tororo-Malaba-24h'!H85)</f>
        <v>0</v>
      </c>
      <c r="I85" s="49">
        <f>AVERAGE('16.08 Tororo-Malaba-24h'!I85,'17.08 Tororo-Malaba-24h'!I85)</f>
        <v>0</v>
      </c>
      <c r="J85" s="49">
        <f>AVERAGE('16.08 Tororo-Malaba-24h'!J85,'17.08 Tororo-Malaba-24h'!J85)</f>
        <v>0.5</v>
      </c>
      <c r="K85" s="49">
        <f>AVERAGE('16.08 Tororo-Malaba-24h'!K85,'17.08 Tororo-Malaba-24h'!K85)</f>
        <v>0</v>
      </c>
      <c r="L85" s="49">
        <f>AVERAGE('16.08 Tororo-Malaba-24h'!L85,'17.08 Tororo-Malaba-24h'!L85)</f>
        <v>0</v>
      </c>
      <c r="M85" s="49">
        <f>AVERAGE('16.08 Tororo-Malaba-24h'!M85,'17.08 Tororo-Malaba-24h'!M85)</f>
        <v>0</v>
      </c>
      <c r="N85" s="49">
        <f>AVERAGE('16.08 Tororo-Malaba-24h'!N85,'17.08 Tororo-Malaba-24h'!N85)</f>
        <v>0</v>
      </c>
      <c r="O85" s="15">
        <f t="shared" si="35"/>
        <v>2.5</v>
      </c>
      <c r="P85" s="15">
        <f t="shared" si="36"/>
        <v>2.5</v>
      </c>
      <c r="R85" s="8"/>
      <c r="T85"/>
    </row>
    <row r="86" spans="2:20" ht="23.1" customHeight="1" x14ac:dyDescent="0.25">
      <c r="B86" s="24" t="s">
        <v>126</v>
      </c>
      <c r="C86" s="49">
        <f>AVERAGE('16.08 Tororo-Malaba-24h'!C86,'17.08 Tororo-Malaba-24h'!C86)</f>
        <v>1.5</v>
      </c>
      <c r="D86" s="49">
        <f>AVERAGE('16.08 Tororo-Malaba-24h'!D86,'17.08 Tororo-Malaba-24h'!D86)</f>
        <v>0</v>
      </c>
      <c r="E86" s="49">
        <f>AVERAGE('16.08 Tororo-Malaba-24h'!E86,'17.08 Tororo-Malaba-24h'!E86)</f>
        <v>0.5</v>
      </c>
      <c r="F86" s="49">
        <f>AVERAGE('16.08 Tororo-Malaba-24h'!F86,'17.08 Tororo-Malaba-24h'!F86)</f>
        <v>0</v>
      </c>
      <c r="G86" s="49">
        <f>AVERAGE('16.08 Tororo-Malaba-24h'!G86,'17.08 Tororo-Malaba-24h'!G86)</f>
        <v>0</v>
      </c>
      <c r="H86" s="49">
        <f>AVERAGE('16.08 Tororo-Malaba-24h'!H86,'17.08 Tororo-Malaba-24h'!H86)</f>
        <v>0</v>
      </c>
      <c r="I86" s="49">
        <f>AVERAGE('16.08 Tororo-Malaba-24h'!I86,'17.08 Tororo-Malaba-24h'!I86)</f>
        <v>0.5</v>
      </c>
      <c r="J86" s="49">
        <f>AVERAGE('16.08 Tororo-Malaba-24h'!J86,'17.08 Tororo-Malaba-24h'!J86)</f>
        <v>0</v>
      </c>
      <c r="K86" s="49">
        <f>AVERAGE('16.08 Tororo-Malaba-24h'!K86,'17.08 Tororo-Malaba-24h'!K86)</f>
        <v>0</v>
      </c>
      <c r="L86" s="49">
        <f>AVERAGE('16.08 Tororo-Malaba-24h'!L86,'17.08 Tororo-Malaba-24h'!L86)</f>
        <v>0</v>
      </c>
      <c r="M86" s="49">
        <f>AVERAGE('16.08 Tororo-Malaba-24h'!M86,'17.08 Tororo-Malaba-24h'!M86)</f>
        <v>0</v>
      </c>
      <c r="N86" s="49">
        <f>AVERAGE('16.08 Tororo-Malaba-24h'!N86,'17.08 Tororo-Malaba-24h'!N86)</f>
        <v>0</v>
      </c>
      <c r="O86" s="15">
        <f t="shared" si="35"/>
        <v>2.5</v>
      </c>
      <c r="P86" s="15">
        <f t="shared" si="36"/>
        <v>2.5</v>
      </c>
      <c r="R86" s="8"/>
      <c r="T86"/>
    </row>
    <row r="87" spans="2:20" ht="23.1" customHeight="1" x14ac:dyDescent="0.25">
      <c r="B87" s="23" t="s">
        <v>127</v>
      </c>
      <c r="C87" s="49">
        <f>AVERAGE('16.08 Tororo-Malaba-24h'!C87,'17.08 Tororo-Malaba-24h'!C87)</f>
        <v>1</v>
      </c>
      <c r="D87" s="49">
        <f>AVERAGE('16.08 Tororo-Malaba-24h'!D87,'17.08 Tororo-Malaba-24h'!D87)</f>
        <v>0</v>
      </c>
      <c r="E87" s="49">
        <f>AVERAGE('16.08 Tororo-Malaba-24h'!E87,'17.08 Tororo-Malaba-24h'!E87)</f>
        <v>1</v>
      </c>
      <c r="F87" s="49">
        <f>AVERAGE('16.08 Tororo-Malaba-24h'!F87,'17.08 Tororo-Malaba-24h'!F87)</f>
        <v>0</v>
      </c>
      <c r="G87" s="49">
        <f>AVERAGE('16.08 Tororo-Malaba-24h'!G87,'17.08 Tororo-Malaba-24h'!G87)</f>
        <v>0</v>
      </c>
      <c r="H87" s="49">
        <f>AVERAGE('16.08 Tororo-Malaba-24h'!H87,'17.08 Tororo-Malaba-24h'!H87)</f>
        <v>0</v>
      </c>
      <c r="I87" s="49">
        <f>AVERAGE('16.08 Tororo-Malaba-24h'!I87,'17.08 Tororo-Malaba-24h'!I87)</f>
        <v>0</v>
      </c>
      <c r="J87" s="49">
        <f>AVERAGE('16.08 Tororo-Malaba-24h'!J87,'17.08 Tororo-Malaba-24h'!J87)</f>
        <v>0</v>
      </c>
      <c r="K87" s="49">
        <f>AVERAGE('16.08 Tororo-Malaba-24h'!K87,'17.08 Tororo-Malaba-24h'!K87)</f>
        <v>0</v>
      </c>
      <c r="L87" s="49">
        <f>AVERAGE('16.08 Tororo-Malaba-24h'!L87,'17.08 Tororo-Malaba-24h'!L87)</f>
        <v>0</v>
      </c>
      <c r="M87" s="49">
        <f>AVERAGE('16.08 Tororo-Malaba-24h'!M87,'17.08 Tororo-Malaba-24h'!M87)</f>
        <v>0</v>
      </c>
      <c r="N87" s="49">
        <f>AVERAGE('16.08 Tororo-Malaba-24h'!N87,'17.08 Tororo-Malaba-24h'!N87)</f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25" t="s">
        <v>128</v>
      </c>
      <c r="C88" s="49">
        <f>AVERAGE('16.08 Tororo-Malaba-24h'!C88,'17.08 Tororo-Malaba-24h'!C88)</f>
        <v>0.5</v>
      </c>
      <c r="D88" s="49">
        <f>AVERAGE('16.08 Tororo-Malaba-24h'!D88,'17.08 Tororo-Malaba-24h'!D88)</f>
        <v>0</v>
      </c>
      <c r="E88" s="49">
        <f>AVERAGE('16.08 Tororo-Malaba-24h'!E88,'17.08 Tororo-Malaba-24h'!E88)</f>
        <v>0</v>
      </c>
      <c r="F88" s="49">
        <f>AVERAGE('16.08 Tororo-Malaba-24h'!F88,'17.08 Tororo-Malaba-24h'!F88)</f>
        <v>0</v>
      </c>
      <c r="G88" s="49">
        <f>AVERAGE('16.08 Tororo-Malaba-24h'!G88,'17.08 Tororo-Malaba-24h'!G88)</f>
        <v>0</v>
      </c>
      <c r="H88" s="49">
        <f>AVERAGE('16.08 Tororo-Malaba-24h'!H88,'17.08 Tororo-Malaba-24h'!H88)</f>
        <v>0</v>
      </c>
      <c r="I88" s="49">
        <f>AVERAGE('16.08 Tororo-Malaba-24h'!I88,'17.08 Tororo-Malaba-24h'!I88)</f>
        <v>0.5</v>
      </c>
      <c r="J88" s="49">
        <f>AVERAGE('16.08 Tororo-Malaba-24h'!J88,'17.08 Tororo-Malaba-24h'!J88)</f>
        <v>0</v>
      </c>
      <c r="K88" s="49">
        <f>AVERAGE('16.08 Tororo-Malaba-24h'!K88,'17.08 Tororo-Malaba-24h'!K88)</f>
        <v>0</v>
      </c>
      <c r="L88" s="49">
        <f>AVERAGE('16.08 Tororo-Malaba-24h'!L88,'17.08 Tororo-Malaba-24h'!L88)</f>
        <v>0</v>
      </c>
      <c r="M88" s="49">
        <f>AVERAGE('16.08 Tororo-Malaba-24h'!M88,'17.08 Tororo-Malaba-24h'!M88)</f>
        <v>0</v>
      </c>
      <c r="N88" s="49">
        <f>AVERAGE('16.08 Tororo-Malaba-24h'!N88,'17.08 Tororo-Malaba-24h'!N88)</f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23" t="s">
        <v>129</v>
      </c>
      <c r="C89" s="49">
        <f>AVERAGE('16.08 Tororo-Malaba-24h'!C89,'17.08 Tororo-Malaba-24h'!C89)</f>
        <v>0</v>
      </c>
      <c r="D89" s="49">
        <f>AVERAGE('16.08 Tororo-Malaba-24h'!D89,'17.08 Tororo-Malaba-24h'!D89)</f>
        <v>0</v>
      </c>
      <c r="E89" s="49">
        <f>AVERAGE('16.08 Tororo-Malaba-24h'!E89,'17.08 Tororo-Malaba-24h'!E89)</f>
        <v>0</v>
      </c>
      <c r="F89" s="49">
        <f>AVERAGE('16.08 Tororo-Malaba-24h'!F89,'17.08 Tororo-Malaba-24h'!F89)</f>
        <v>0</v>
      </c>
      <c r="G89" s="49">
        <f>AVERAGE('16.08 Tororo-Malaba-24h'!G89,'17.08 Tororo-Malaba-24h'!G89)</f>
        <v>0</v>
      </c>
      <c r="H89" s="49">
        <f>AVERAGE('16.08 Tororo-Malaba-24h'!H89,'17.08 Tororo-Malaba-24h'!H89)</f>
        <v>0</v>
      </c>
      <c r="I89" s="49">
        <f>AVERAGE('16.08 Tororo-Malaba-24h'!I89,'17.08 Tororo-Malaba-24h'!I89)</f>
        <v>0.5</v>
      </c>
      <c r="J89" s="49">
        <f>AVERAGE('16.08 Tororo-Malaba-24h'!J89,'17.08 Tororo-Malaba-24h'!J89)</f>
        <v>0</v>
      </c>
      <c r="K89" s="49">
        <f>AVERAGE('16.08 Tororo-Malaba-24h'!K89,'17.08 Tororo-Malaba-24h'!K89)</f>
        <v>0</v>
      </c>
      <c r="L89" s="49">
        <f>AVERAGE('16.08 Tororo-Malaba-24h'!L89,'17.08 Tororo-Malaba-24h'!L89)</f>
        <v>0</v>
      </c>
      <c r="M89" s="49">
        <f>AVERAGE('16.08 Tororo-Malaba-24h'!M89,'17.08 Tororo-Malaba-24h'!M89)</f>
        <v>0</v>
      </c>
      <c r="N89" s="49">
        <f>AVERAGE('16.08 Tororo-Malaba-24h'!N89,'17.08 Tororo-Malaba-24h'!N89)</f>
        <v>0</v>
      </c>
      <c r="O89" s="15">
        <f t="shared" si="35"/>
        <v>0.5</v>
      </c>
      <c r="P89" s="15">
        <f t="shared" si="36"/>
        <v>0.5</v>
      </c>
      <c r="R89" s="8"/>
      <c r="T89"/>
    </row>
    <row r="90" spans="2:20" ht="23.1" customHeight="1" x14ac:dyDescent="0.25">
      <c r="B90" s="24" t="s">
        <v>130</v>
      </c>
      <c r="C90" s="49">
        <f>AVERAGE('16.08 Tororo-Malaba-24h'!C90,'17.08 Tororo-Malaba-24h'!C90)</f>
        <v>0</v>
      </c>
      <c r="D90" s="49">
        <f>AVERAGE('16.08 Tororo-Malaba-24h'!D90,'17.08 Tororo-Malaba-24h'!D90)</f>
        <v>0</v>
      </c>
      <c r="E90" s="49">
        <f>AVERAGE('16.08 Tororo-Malaba-24h'!E90,'17.08 Tororo-Malaba-24h'!E90)</f>
        <v>0</v>
      </c>
      <c r="F90" s="49">
        <f>AVERAGE('16.08 Tororo-Malaba-24h'!F90,'17.08 Tororo-Malaba-24h'!F90)</f>
        <v>0.5</v>
      </c>
      <c r="G90" s="49">
        <f>AVERAGE('16.08 Tororo-Malaba-24h'!G90,'17.08 Tororo-Malaba-24h'!G90)</f>
        <v>0</v>
      </c>
      <c r="H90" s="49">
        <f>AVERAGE('16.08 Tororo-Malaba-24h'!H90,'17.08 Tororo-Malaba-24h'!H90)</f>
        <v>0</v>
      </c>
      <c r="I90" s="49">
        <f>AVERAGE('16.08 Tororo-Malaba-24h'!I90,'17.08 Tororo-Malaba-24h'!I90)</f>
        <v>0.5</v>
      </c>
      <c r="J90" s="49">
        <f>AVERAGE('16.08 Tororo-Malaba-24h'!J90,'17.08 Tororo-Malaba-24h'!J90)</f>
        <v>0</v>
      </c>
      <c r="K90" s="49">
        <f>AVERAGE('16.08 Tororo-Malaba-24h'!K90,'17.08 Tororo-Malaba-24h'!K90)</f>
        <v>0</v>
      </c>
      <c r="L90" s="49">
        <f>AVERAGE('16.08 Tororo-Malaba-24h'!L90,'17.08 Tororo-Malaba-24h'!L90)</f>
        <v>0</v>
      </c>
      <c r="M90" s="49">
        <f>AVERAGE('16.08 Tororo-Malaba-24h'!M90,'17.08 Tororo-Malaba-24h'!M90)</f>
        <v>4</v>
      </c>
      <c r="N90" s="49">
        <f>AVERAGE('16.08 Tororo-Malaba-24h'!N90,'17.08 Tororo-Malaba-24h'!N90)</f>
        <v>0</v>
      </c>
      <c r="O90" s="15">
        <f t="shared" si="35"/>
        <v>1</v>
      </c>
      <c r="P90" s="15">
        <f t="shared" si="36"/>
        <v>5</v>
      </c>
      <c r="R90" s="8"/>
      <c r="T90"/>
    </row>
    <row r="91" spans="2:20" ht="23.1" customHeight="1" x14ac:dyDescent="0.25">
      <c r="B91" s="23" t="s">
        <v>131</v>
      </c>
      <c r="C91" s="49">
        <f>AVERAGE('16.08 Tororo-Malaba-24h'!C91,'17.08 Tororo-Malaba-24h'!C91)</f>
        <v>0</v>
      </c>
      <c r="D91" s="49">
        <f>AVERAGE('16.08 Tororo-Malaba-24h'!D91,'17.08 Tororo-Malaba-24h'!D91)</f>
        <v>0</v>
      </c>
      <c r="E91" s="49">
        <f>AVERAGE('16.08 Tororo-Malaba-24h'!E91,'17.08 Tororo-Malaba-24h'!E91)</f>
        <v>0</v>
      </c>
      <c r="F91" s="49">
        <f>AVERAGE('16.08 Tororo-Malaba-24h'!F91,'17.08 Tororo-Malaba-24h'!F91)</f>
        <v>0</v>
      </c>
      <c r="G91" s="49">
        <f>AVERAGE('16.08 Tororo-Malaba-24h'!G91,'17.08 Tororo-Malaba-24h'!G91)</f>
        <v>0</v>
      </c>
      <c r="H91" s="49">
        <f>AVERAGE('16.08 Tororo-Malaba-24h'!H91,'17.08 Tororo-Malaba-24h'!H91)</f>
        <v>0</v>
      </c>
      <c r="I91" s="49">
        <f>AVERAGE('16.08 Tororo-Malaba-24h'!I91,'17.08 Tororo-Malaba-24h'!I91)</f>
        <v>0</v>
      </c>
      <c r="J91" s="49">
        <f>AVERAGE('16.08 Tororo-Malaba-24h'!J91,'17.08 Tororo-Malaba-24h'!J91)</f>
        <v>0.5</v>
      </c>
      <c r="K91" s="49">
        <f>AVERAGE('16.08 Tororo-Malaba-24h'!K91,'17.08 Tororo-Malaba-24h'!K91)</f>
        <v>0</v>
      </c>
      <c r="L91" s="49">
        <f>AVERAGE('16.08 Tororo-Malaba-24h'!L91,'17.08 Tororo-Malaba-24h'!L91)</f>
        <v>0</v>
      </c>
      <c r="M91" s="49">
        <f>AVERAGE('16.08 Tororo-Malaba-24h'!M91,'17.08 Tororo-Malaba-24h'!M91)</f>
        <v>7</v>
      </c>
      <c r="N91" s="49">
        <f>AVERAGE('16.08 Tororo-Malaba-24h'!N91,'17.08 Tororo-Malaba-24h'!N91)</f>
        <v>0</v>
      </c>
      <c r="O91" s="15">
        <f t="shared" si="35"/>
        <v>0.5</v>
      </c>
      <c r="P91" s="15">
        <f t="shared" si="36"/>
        <v>7.5</v>
      </c>
      <c r="R91" s="8"/>
      <c r="T91"/>
    </row>
    <row r="92" spans="2:20" ht="23.1" customHeight="1" x14ac:dyDescent="0.25">
      <c r="B92" s="25" t="s">
        <v>132</v>
      </c>
      <c r="C92" s="49">
        <f>AVERAGE('16.08 Tororo-Malaba-24h'!C92,'17.08 Tororo-Malaba-24h'!C92)</f>
        <v>0</v>
      </c>
      <c r="D92" s="49">
        <f>AVERAGE('16.08 Tororo-Malaba-24h'!D92,'17.08 Tororo-Malaba-24h'!D92)</f>
        <v>0</v>
      </c>
      <c r="E92" s="49">
        <f>AVERAGE('16.08 Tororo-Malaba-24h'!E92,'17.08 Tororo-Malaba-24h'!E92)</f>
        <v>0</v>
      </c>
      <c r="F92" s="49">
        <f>AVERAGE('16.08 Tororo-Malaba-24h'!F92,'17.08 Tororo-Malaba-24h'!F92)</f>
        <v>0.5</v>
      </c>
      <c r="G92" s="49">
        <f>AVERAGE('16.08 Tororo-Malaba-24h'!G92,'17.08 Tororo-Malaba-24h'!G92)</f>
        <v>0</v>
      </c>
      <c r="H92" s="49">
        <f>AVERAGE('16.08 Tororo-Malaba-24h'!H92,'17.08 Tororo-Malaba-24h'!H92)</f>
        <v>0.5</v>
      </c>
      <c r="I92" s="49">
        <f>AVERAGE('16.08 Tororo-Malaba-24h'!I92,'17.08 Tororo-Malaba-24h'!I92)</f>
        <v>0</v>
      </c>
      <c r="J92" s="49">
        <f>AVERAGE('16.08 Tororo-Malaba-24h'!J92,'17.08 Tororo-Malaba-24h'!J92)</f>
        <v>0</v>
      </c>
      <c r="K92" s="49">
        <f>AVERAGE('16.08 Tororo-Malaba-24h'!K92,'17.08 Tororo-Malaba-24h'!K92)</f>
        <v>0</v>
      </c>
      <c r="L92" s="49">
        <f>AVERAGE('16.08 Tororo-Malaba-24h'!L92,'17.08 Tororo-Malaba-24h'!L92)</f>
        <v>0</v>
      </c>
      <c r="M92" s="49">
        <f>AVERAGE('16.08 Tororo-Malaba-24h'!M92,'17.08 Tororo-Malaba-24h'!M92)</f>
        <v>5.5</v>
      </c>
      <c r="N92" s="49">
        <f>AVERAGE('16.08 Tororo-Malaba-24h'!N92,'17.08 Tororo-Malaba-24h'!N92)</f>
        <v>0</v>
      </c>
      <c r="O92" s="15">
        <f t="shared" si="35"/>
        <v>1</v>
      </c>
      <c r="P92" s="15">
        <f t="shared" si="36"/>
        <v>6.5</v>
      </c>
      <c r="R92" s="8"/>
      <c r="T92"/>
    </row>
    <row r="93" spans="2:20" ht="23.1" customHeight="1" x14ac:dyDescent="0.25">
      <c r="B93" s="23" t="s">
        <v>133</v>
      </c>
      <c r="C93" s="49">
        <f>AVERAGE('16.08 Tororo-Malaba-24h'!C93,'17.08 Tororo-Malaba-24h'!C93)</f>
        <v>1.5</v>
      </c>
      <c r="D93" s="49">
        <f>AVERAGE('16.08 Tororo-Malaba-24h'!D93,'17.08 Tororo-Malaba-24h'!D93)</f>
        <v>0</v>
      </c>
      <c r="E93" s="49">
        <f>AVERAGE('16.08 Tororo-Malaba-24h'!E93,'17.08 Tororo-Malaba-24h'!E93)</f>
        <v>0.5</v>
      </c>
      <c r="F93" s="49">
        <f>AVERAGE('16.08 Tororo-Malaba-24h'!F93,'17.08 Tororo-Malaba-24h'!F93)</f>
        <v>0.5</v>
      </c>
      <c r="G93" s="49">
        <f>AVERAGE('16.08 Tororo-Malaba-24h'!G93,'17.08 Tororo-Malaba-24h'!G93)</f>
        <v>0</v>
      </c>
      <c r="H93" s="49">
        <f>AVERAGE('16.08 Tororo-Malaba-24h'!H93,'17.08 Tororo-Malaba-24h'!H93)</f>
        <v>0</v>
      </c>
      <c r="I93" s="49">
        <f>AVERAGE('16.08 Tororo-Malaba-24h'!I93,'17.08 Tororo-Malaba-24h'!I93)</f>
        <v>0.5</v>
      </c>
      <c r="J93" s="49">
        <f>AVERAGE('16.08 Tororo-Malaba-24h'!J93,'17.08 Tororo-Malaba-24h'!J93)</f>
        <v>0</v>
      </c>
      <c r="K93" s="49">
        <f>AVERAGE('16.08 Tororo-Malaba-24h'!K93,'17.08 Tororo-Malaba-24h'!K93)</f>
        <v>0</v>
      </c>
      <c r="L93" s="49">
        <f>AVERAGE('16.08 Tororo-Malaba-24h'!L93,'17.08 Tororo-Malaba-24h'!L93)</f>
        <v>0</v>
      </c>
      <c r="M93" s="49">
        <f>AVERAGE('16.08 Tororo-Malaba-24h'!M93,'17.08 Tororo-Malaba-24h'!M93)</f>
        <v>5.5</v>
      </c>
      <c r="N93" s="49">
        <f>AVERAGE('16.08 Tororo-Malaba-24h'!N93,'17.08 Tororo-Malaba-24h'!N93)</f>
        <v>0</v>
      </c>
      <c r="O93" s="15">
        <f t="shared" si="35"/>
        <v>3</v>
      </c>
      <c r="P93" s="15">
        <f t="shared" si="36"/>
        <v>8.5</v>
      </c>
      <c r="R93" s="8"/>
      <c r="T93"/>
    </row>
    <row r="94" spans="2:20" ht="23.1" customHeight="1" x14ac:dyDescent="0.25">
      <c r="B94" s="24" t="s">
        <v>134</v>
      </c>
      <c r="C94" s="49">
        <f>AVERAGE('16.08 Tororo-Malaba-24h'!C94,'17.08 Tororo-Malaba-24h'!C94)</f>
        <v>0</v>
      </c>
      <c r="D94" s="49">
        <f>AVERAGE('16.08 Tororo-Malaba-24h'!D94,'17.08 Tororo-Malaba-24h'!D94)</f>
        <v>0</v>
      </c>
      <c r="E94" s="49">
        <f>AVERAGE('16.08 Tororo-Malaba-24h'!E94,'17.08 Tororo-Malaba-24h'!E94)</f>
        <v>0.5</v>
      </c>
      <c r="F94" s="49">
        <f>AVERAGE('16.08 Tororo-Malaba-24h'!F94,'17.08 Tororo-Malaba-24h'!F94)</f>
        <v>0.5</v>
      </c>
      <c r="G94" s="49">
        <f>AVERAGE('16.08 Tororo-Malaba-24h'!G94,'17.08 Tororo-Malaba-24h'!G94)</f>
        <v>0</v>
      </c>
      <c r="H94" s="49">
        <f>AVERAGE('16.08 Tororo-Malaba-24h'!H94,'17.08 Tororo-Malaba-24h'!H94)</f>
        <v>0</v>
      </c>
      <c r="I94" s="49">
        <f>AVERAGE('16.08 Tororo-Malaba-24h'!I94,'17.08 Tororo-Malaba-24h'!I94)</f>
        <v>0.5</v>
      </c>
      <c r="J94" s="49">
        <f>AVERAGE('16.08 Tororo-Malaba-24h'!J94,'17.08 Tororo-Malaba-24h'!J94)</f>
        <v>0</v>
      </c>
      <c r="K94" s="49">
        <f>AVERAGE('16.08 Tororo-Malaba-24h'!K94,'17.08 Tororo-Malaba-24h'!K94)</f>
        <v>0</v>
      </c>
      <c r="L94" s="49">
        <f>AVERAGE('16.08 Tororo-Malaba-24h'!L94,'17.08 Tororo-Malaba-24h'!L94)</f>
        <v>0</v>
      </c>
      <c r="M94" s="49">
        <f>AVERAGE('16.08 Tororo-Malaba-24h'!M94,'17.08 Tororo-Malaba-24h'!M94)</f>
        <v>3</v>
      </c>
      <c r="N94" s="49">
        <f>AVERAGE('16.08 Tororo-Malaba-24h'!N94,'17.08 Tororo-Malaba-24h'!N94)</f>
        <v>0</v>
      </c>
      <c r="O94" s="15">
        <f t="shared" si="35"/>
        <v>1.5</v>
      </c>
      <c r="P94" s="15">
        <f t="shared" si="36"/>
        <v>4.5</v>
      </c>
      <c r="R94" s="8"/>
      <c r="T94"/>
    </row>
    <row r="95" spans="2:20" ht="23.1" customHeight="1" x14ac:dyDescent="0.25">
      <c r="B95" s="23" t="s">
        <v>135</v>
      </c>
      <c r="C95" s="49">
        <f>AVERAGE('16.08 Tororo-Malaba-24h'!C95,'17.08 Tororo-Malaba-24h'!C95)</f>
        <v>0.5</v>
      </c>
      <c r="D95" s="49">
        <f>AVERAGE('16.08 Tororo-Malaba-24h'!D95,'17.08 Tororo-Malaba-24h'!D95)</f>
        <v>0</v>
      </c>
      <c r="E95" s="49">
        <f>AVERAGE('16.08 Tororo-Malaba-24h'!E95,'17.08 Tororo-Malaba-24h'!E95)</f>
        <v>0</v>
      </c>
      <c r="F95" s="49">
        <f>AVERAGE('16.08 Tororo-Malaba-24h'!F95,'17.08 Tororo-Malaba-24h'!F95)</f>
        <v>0</v>
      </c>
      <c r="G95" s="49">
        <f>AVERAGE('16.08 Tororo-Malaba-24h'!G95,'17.08 Tororo-Malaba-24h'!G95)</f>
        <v>0</v>
      </c>
      <c r="H95" s="49">
        <f>AVERAGE('16.08 Tororo-Malaba-24h'!H95,'17.08 Tororo-Malaba-24h'!H95)</f>
        <v>0</v>
      </c>
      <c r="I95" s="49">
        <f>AVERAGE('16.08 Tororo-Malaba-24h'!I95,'17.08 Tororo-Malaba-24h'!I95)</f>
        <v>0.5</v>
      </c>
      <c r="J95" s="49">
        <f>AVERAGE('16.08 Tororo-Malaba-24h'!J95,'17.08 Tororo-Malaba-24h'!J95)</f>
        <v>0</v>
      </c>
      <c r="K95" s="49">
        <f>AVERAGE('16.08 Tororo-Malaba-24h'!K95,'17.08 Tororo-Malaba-24h'!K95)</f>
        <v>0</v>
      </c>
      <c r="L95" s="49">
        <f>AVERAGE('16.08 Tororo-Malaba-24h'!L95,'17.08 Tororo-Malaba-24h'!L95)</f>
        <v>0</v>
      </c>
      <c r="M95" s="49">
        <f>AVERAGE('16.08 Tororo-Malaba-24h'!M95,'17.08 Tororo-Malaba-24h'!M95)</f>
        <v>5.5</v>
      </c>
      <c r="N95" s="49">
        <f>AVERAGE('16.08 Tororo-Malaba-24h'!N95,'17.08 Tororo-Malaba-24h'!N95)</f>
        <v>0</v>
      </c>
      <c r="O95" s="15">
        <f t="shared" si="35"/>
        <v>1</v>
      </c>
      <c r="P95" s="15">
        <f t="shared" si="36"/>
        <v>6.5</v>
      </c>
      <c r="R95" s="8"/>
      <c r="T95"/>
    </row>
    <row r="96" spans="2:20" ht="23.1" customHeight="1" x14ac:dyDescent="0.25">
      <c r="B96" s="25" t="s">
        <v>136</v>
      </c>
      <c r="C96" s="49">
        <f>AVERAGE('16.08 Tororo-Malaba-24h'!C96,'17.08 Tororo-Malaba-24h'!C96)</f>
        <v>0</v>
      </c>
      <c r="D96" s="49">
        <f>AVERAGE('16.08 Tororo-Malaba-24h'!D96,'17.08 Tororo-Malaba-24h'!D96)</f>
        <v>0</v>
      </c>
      <c r="E96" s="49">
        <f>AVERAGE('16.08 Tororo-Malaba-24h'!E96,'17.08 Tororo-Malaba-24h'!E96)</f>
        <v>0</v>
      </c>
      <c r="F96" s="49">
        <f>AVERAGE('16.08 Tororo-Malaba-24h'!F96,'17.08 Tororo-Malaba-24h'!F96)</f>
        <v>0.5</v>
      </c>
      <c r="G96" s="49">
        <f>AVERAGE('16.08 Tororo-Malaba-24h'!G96,'17.08 Tororo-Malaba-24h'!G96)</f>
        <v>0</v>
      </c>
      <c r="H96" s="49">
        <f>AVERAGE('16.08 Tororo-Malaba-24h'!H96,'17.08 Tororo-Malaba-24h'!H96)</f>
        <v>0</v>
      </c>
      <c r="I96" s="49">
        <f>AVERAGE('16.08 Tororo-Malaba-24h'!I96,'17.08 Tororo-Malaba-24h'!I96)</f>
        <v>1</v>
      </c>
      <c r="J96" s="49">
        <f>AVERAGE('16.08 Tororo-Malaba-24h'!J96,'17.08 Tororo-Malaba-24h'!J96)</f>
        <v>0</v>
      </c>
      <c r="K96" s="49">
        <f>AVERAGE('16.08 Tororo-Malaba-24h'!K96,'17.08 Tororo-Malaba-24h'!K96)</f>
        <v>0</v>
      </c>
      <c r="L96" s="49">
        <f>AVERAGE('16.08 Tororo-Malaba-24h'!L96,'17.08 Tororo-Malaba-24h'!L96)</f>
        <v>0</v>
      </c>
      <c r="M96" s="49">
        <f>AVERAGE('16.08 Tororo-Malaba-24h'!M96,'17.08 Tororo-Malaba-24h'!M96)</f>
        <v>5</v>
      </c>
      <c r="N96" s="49">
        <f>AVERAGE('16.08 Tororo-Malaba-24h'!N96,'17.08 Tororo-Malaba-24h'!N96)</f>
        <v>0</v>
      </c>
      <c r="O96" s="15">
        <f t="shared" si="35"/>
        <v>1.5</v>
      </c>
      <c r="P96" s="15">
        <f t="shared" si="36"/>
        <v>6.5</v>
      </c>
      <c r="R96" s="8"/>
      <c r="T96"/>
    </row>
    <row r="97" spans="2:20" ht="23.1" customHeight="1" x14ac:dyDescent="0.25">
      <c r="B97" s="23" t="s">
        <v>137</v>
      </c>
      <c r="C97" s="49">
        <f>AVERAGE('16.08 Tororo-Malaba-24h'!C97,'17.08 Tororo-Malaba-24h'!C97)</f>
        <v>0</v>
      </c>
      <c r="D97" s="49">
        <f>AVERAGE('16.08 Tororo-Malaba-24h'!D97,'17.08 Tororo-Malaba-24h'!D97)</f>
        <v>0</v>
      </c>
      <c r="E97" s="49">
        <f>AVERAGE('16.08 Tororo-Malaba-24h'!E97,'17.08 Tororo-Malaba-24h'!E97)</f>
        <v>0.5</v>
      </c>
      <c r="F97" s="49">
        <f>AVERAGE('16.08 Tororo-Malaba-24h'!F97,'17.08 Tororo-Malaba-24h'!F97)</f>
        <v>0</v>
      </c>
      <c r="G97" s="49">
        <f>AVERAGE('16.08 Tororo-Malaba-24h'!G97,'17.08 Tororo-Malaba-24h'!G97)</f>
        <v>0</v>
      </c>
      <c r="H97" s="49">
        <f>AVERAGE('16.08 Tororo-Malaba-24h'!H97,'17.08 Tororo-Malaba-24h'!H97)</f>
        <v>0</v>
      </c>
      <c r="I97" s="49">
        <f>AVERAGE('16.08 Tororo-Malaba-24h'!I97,'17.08 Tororo-Malaba-24h'!I97)</f>
        <v>0</v>
      </c>
      <c r="J97" s="49">
        <f>AVERAGE('16.08 Tororo-Malaba-24h'!J97,'17.08 Tororo-Malaba-24h'!J97)</f>
        <v>0</v>
      </c>
      <c r="K97" s="49">
        <f>AVERAGE('16.08 Tororo-Malaba-24h'!K97,'17.08 Tororo-Malaba-24h'!K97)</f>
        <v>0</v>
      </c>
      <c r="L97" s="49">
        <f>AVERAGE('16.08 Tororo-Malaba-24h'!L97,'17.08 Tororo-Malaba-24h'!L97)</f>
        <v>0</v>
      </c>
      <c r="M97" s="49">
        <f>AVERAGE('16.08 Tororo-Malaba-24h'!M97,'17.08 Tororo-Malaba-24h'!M97)</f>
        <v>9.5</v>
      </c>
      <c r="N97" s="49">
        <f>AVERAGE('16.08 Tororo-Malaba-24h'!N97,'17.08 Tororo-Malaba-24h'!N97)</f>
        <v>0</v>
      </c>
      <c r="O97" s="15">
        <f t="shared" si="35"/>
        <v>0.5</v>
      </c>
      <c r="P97" s="15">
        <f t="shared" si="36"/>
        <v>10</v>
      </c>
      <c r="R97" s="8"/>
      <c r="T97"/>
    </row>
    <row r="98" spans="2:20" ht="23.1" customHeight="1" x14ac:dyDescent="0.25">
      <c r="B98" s="24" t="s">
        <v>138</v>
      </c>
      <c r="C98" s="49">
        <f>AVERAGE('16.08 Tororo-Malaba-24h'!C98,'17.08 Tororo-Malaba-24h'!C98)</f>
        <v>0</v>
      </c>
      <c r="D98" s="49">
        <f>AVERAGE('16.08 Tororo-Malaba-24h'!D98,'17.08 Tororo-Malaba-24h'!D98)</f>
        <v>0</v>
      </c>
      <c r="E98" s="49">
        <f>AVERAGE('16.08 Tororo-Malaba-24h'!E98,'17.08 Tororo-Malaba-24h'!E98)</f>
        <v>0</v>
      </c>
      <c r="F98" s="49">
        <f>AVERAGE('16.08 Tororo-Malaba-24h'!F98,'17.08 Tororo-Malaba-24h'!F98)</f>
        <v>0.5</v>
      </c>
      <c r="G98" s="49">
        <f>AVERAGE('16.08 Tororo-Malaba-24h'!G98,'17.08 Tororo-Malaba-24h'!G98)</f>
        <v>0</v>
      </c>
      <c r="H98" s="49">
        <f>AVERAGE('16.08 Tororo-Malaba-24h'!H98,'17.08 Tororo-Malaba-24h'!H98)</f>
        <v>0</v>
      </c>
      <c r="I98" s="49">
        <f>AVERAGE('16.08 Tororo-Malaba-24h'!I98,'17.08 Tororo-Malaba-24h'!I98)</f>
        <v>0</v>
      </c>
      <c r="J98" s="49">
        <f>AVERAGE('16.08 Tororo-Malaba-24h'!J98,'17.08 Tororo-Malaba-24h'!J98)</f>
        <v>0.5</v>
      </c>
      <c r="K98" s="49">
        <f>AVERAGE('16.08 Tororo-Malaba-24h'!K98,'17.08 Tororo-Malaba-24h'!K98)</f>
        <v>0</v>
      </c>
      <c r="L98" s="49">
        <f>AVERAGE('16.08 Tororo-Malaba-24h'!L98,'17.08 Tororo-Malaba-24h'!L98)</f>
        <v>0</v>
      </c>
      <c r="M98" s="49">
        <f>AVERAGE('16.08 Tororo-Malaba-24h'!M98,'17.08 Tororo-Malaba-24h'!M98)</f>
        <v>2.5</v>
      </c>
      <c r="N98" s="49">
        <f>AVERAGE('16.08 Tororo-Malaba-24h'!N98,'17.08 Tororo-Malaba-24h'!N98)</f>
        <v>0</v>
      </c>
      <c r="O98" s="15">
        <f t="shared" si="35"/>
        <v>1</v>
      </c>
      <c r="P98" s="15">
        <f t="shared" si="36"/>
        <v>3.5</v>
      </c>
      <c r="R98" s="8"/>
      <c r="T98"/>
    </row>
    <row r="99" spans="2:20" ht="23.1" customHeight="1" x14ac:dyDescent="0.25">
      <c r="B99" s="23" t="s">
        <v>139</v>
      </c>
      <c r="C99" s="49">
        <f>AVERAGE('16.08 Tororo-Malaba-24h'!C99,'17.08 Tororo-Malaba-24h'!C99)</f>
        <v>0</v>
      </c>
      <c r="D99" s="49">
        <f>AVERAGE('16.08 Tororo-Malaba-24h'!D99,'17.08 Tororo-Malaba-24h'!D99)</f>
        <v>0</v>
      </c>
      <c r="E99" s="49">
        <f>AVERAGE('16.08 Tororo-Malaba-24h'!E99,'17.08 Tororo-Malaba-24h'!E99)</f>
        <v>0</v>
      </c>
      <c r="F99" s="49">
        <f>AVERAGE('16.08 Tororo-Malaba-24h'!F99,'17.08 Tororo-Malaba-24h'!F99)</f>
        <v>0</v>
      </c>
      <c r="G99" s="49">
        <f>AVERAGE('16.08 Tororo-Malaba-24h'!G99,'17.08 Tororo-Malaba-24h'!G99)</f>
        <v>0</v>
      </c>
      <c r="H99" s="49">
        <f>AVERAGE('16.08 Tororo-Malaba-24h'!H99,'17.08 Tororo-Malaba-24h'!H99)</f>
        <v>0</v>
      </c>
      <c r="I99" s="49">
        <f>AVERAGE('16.08 Tororo-Malaba-24h'!I99,'17.08 Tororo-Malaba-24h'!I99)</f>
        <v>0.5</v>
      </c>
      <c r="J99" s="49">
        <f>AVERAGE('16.08 Tororo-Malaba-24h'!J99,'17.08 Tororo-Malaba-24h'!J99)</f>
        <v>0</v>
      </c>
      <c r="K99" s="49">
        <f>AVERAGE('16.08 Tororo-Malaba-24h'!K99,'17.08 Tororo-Malaba-24h'!K99)</f>
        <v>0</v>
      </c>
      <c r="L99" s="49">
        <f>AVERAGE('16.08 Tororo-Malaba-24h'!L99,'17.08 Tororo-Malaba-24h'!L99)</f>
        <v>0</v>
      </c>
      <c r="M99" s="49">
        <f>AVERAGE('16.08 Tororo-Malaba-24h'!M99,'17.08 Tororo-Malaba-24h'!M99)</f>
        <v>3</v>
      </c>
      <c r="N99" s="49">
        <f>AVERAGE('16.08 Tororo-Malaba-24h'!N99,'17.08 Tororo-Malaba-24h'!N99)</f>
        <v>0</v>
      </c>
      <c r="O99" s="15">
        <f t="shared" si="35"/>
        <v>0.5</v>
      </c>
      <c r="P99" s="15">
        <f t="shared" si="36"/>
        <v>3.5</v>
      </c>
      <c r="R99" s="8"/>
      <c r="T99"/>
    </row>
    <row r="100" spans="2:20" ht="23.1" customHeight="1" x14ac:dyDescent="0.25">
      <c r="B100" s="25" t="s">
        <v>140</v>
      </c>
      <c r="C100" s="49">
        <f>AVERAGE('16.08 Tororo-Malaba-24h'!C100,'17.08 Tororo-Malaba-24h'!C100)</f>
        <v>0.5</v>
      </c>
      <c r="D100" s="49">
        <f>AVERAGE('16.08 Tororo-Malaba-24h'!D100,'17.08 Tororo-Malaba-24h'!D100)</f>
        <v>0</v>
      </c>
      <c r="E100" s="49">
        <f>AVERAGE('16.08 Tororo-Malaba-24h'!E100,'17.08 Tororo-Malaba-24h'!E100)</f>
        <v>0</v>
      </c>
      <c r="F100" s="49">
        <f>AVERAGE('16.08 Tororo-Malaba-24h'!F100,'17.08 Tororo-Malaba-24h'!F100)</f>
        <v>2</v>
      </c>
      <c r="G100" s="49">
        <f>AVERAGE('16.08 Tororo-Malaba-24h'!G100,'17.08 Tororo-Malaba-24h'!G100)</f>
        <v>0</v>
      </c>
      <c r="H100" s="49">
        <f>AVERAGE('16.08 Tororo-Malaba-24h'!H100,'17.08 Tororo-Malaba-24h'!H100)</f>
        <v>0.5</v>
      </c>
      <c r="I100" s="49">
        <f>AVERAGE('16.08 Tororo-Malaba-24h'!I100,'17.08 Tororo-Malaba-24h'!I100)</f>
        <v>0</v>
      </c>
      <c r="J100" s="49">
        <f>AVERAGE('16.08 Tororo-Malaba-24h'!J100,'17.08 Tororo-Malaba-24h'!J100)</f>
        <v>0</v>
      </c>
      <c r="K100" s="49">
        <f>AVERAGE('16.08 Tororo-Malaba-24h'!K100,'17.08 Tororo-Malaba-24h'!K100)</f>
        <v>0</v>
      </c>
      <c r="L100" s="49">
        <f>AVERAGE('16.08 Tororo-Malaba-24h'!L100,'17.08 Tororo-Malaba-24h'!L100)</f>
        <v>0</v>
      </c>
      <c r="M100" s="49">
        <f>AVERAGE('16.08 Tororo-Malaba-24h'!M100,'17.08 Tororo-Malaba-24h'!M100)</f>
        <v>6.5</v>
      </c>
      <c r="N100" s="49">
        <f>AVERAGE('16.08 Tororo-Malaba-24h'!N100,'17.08 Tororo-Malaba-24h'!N100)</f>
        <v>0</v>
      </c>
      <c r="O100" s="15">
        <f t="shared" si="35"/>
        <v>3</v>
      </c>
      <c r="P100" s="15">
        <f t="shared" si="36"/>
        <v>9.5</v>
      </c>
      <c r="R100" s="8"/>
      <c r="T100"/>
    </row>
    <row r="101" spans="2:20" ht="23.1" customHeight="1" x14ac:dyDescent="0.25">
      <c r="B101" s="23" t="s">
        <v>141</v>
      </c>
      <c r="C101" s="49">
        <f>AVERAGE('16.08 Tororo-Malaba-24h'!C101,'17.08 Tororo-Malaba-24h'!C101)</f>
        <v>0</v>
      </c>
      <c r="D101" s="49">
        <f>AVERAGE('16.08 Tororo-Malaba-24h'!D101,'17.08 Tororo-Malaba-24h'!D101)</f>
        <v>0</v>
      </c>
      <c r="E101" s="49">
        <f>AVERAGE('16.08 Tororo-Malaba-24h'!E101,'17.08 Tororo-Malaba-24h'!E101)</f>
        <v>0</v>
      </c>
      <c r="F101" s="49">
        <f>AVERAGE('16.08 Tororo-Malaba-24h'!F101,'17.08 Tororo-Malaba-24h'!F101)</f>
        <v>0.5</v>
      </c>
      <c r="G101" s="49">
        <f>AVERAGE('16.08 Tororo-Malaba-24h'!G101,'17.08 Tororo-Malaba-24h'!G101)</f>
        <v>0</v>
      </c>
      <c r="H101" s="49">
        <f>AVERAGE('16.08 Tororo-Malaba-24h'!H101,'17.08 Tororo-Malaba-24h'!H101)</f>
        <v>0</v>
      </c>
      <c r="I101" s="49">
        <f>AVERAGE('16.08 Tororo-Malaba-24h'!I101,'17.08 Tororo-Malaba-24h'!I101)</f>
        <v>0</v>
      </c>
      <c r="J101" s="49">
        <f>AVERAGE('16.08 Tororo-Malaba-24h'!J101,'17.08 Tororo-Malaba-24h'!J101)</f>
        <v>0</v>
      </c>
      <c r="K101" s="49">
        <f>AVERAGE('16.08 Tororo-Malaba-24h'!K101,'17.08 Tororo-Malaba-24h'!K101)</f>
        <v>0</v>
      </c>
      <c r="L101" s="49">
        <f>AVERAGE('16.08 Tororo-Malaba-24h'!L101,'17.08 Tororo-Malaba-24h'!L101)</f>
        <v>0</v>
      </c>
      <c r="M101" s="49">
        <f>AVERAGE('16.08 Tororo-Malaba-24h'!M101,'17.08 Tororo-Malaba-24h'!M101)</f>
        <v>8</v>
      </c>
      <c r="N101" s="49">
        <f>AVERAGE('16.08 Tororo-Malaba-24h'!N101,'17.08 Tororo-Malaba-24h'!N101)</f>
        <v>0</v>
      </c>
      <c r="O101" s="15">
        <f t="shared" si="35"/>
        <v>0.5</v>
      </c>
      <c r="P101" s="15">
        <f t="shared" si="36"/>
        <v>8.5</v>
      </c>
      <c r="R101" s="8"/>
      <c r="T101"/>
    </row>
    <row r="102" spans="2:20" ht="23.1" customHeight="1" x14ac:dyDescent="0.25">
      <c r="B102" s="24" t="s">
        <v>142</v>
      </c>
      <c r="C102" s="49">
        <f>AVERAGE('16.08 Tororo-Malaba-24h'!C102,'17.08 Tororo-Malaba-24h'!C102)</f>
        <v>0.5</v>
      </c>
      <c r="D102" s="49">
        <f>AVERAGE('16.08 Tororo-Malaba-24h'!D102,'17.08 Tororo-Malaba-24h'!D102)</f>
        <v>0</v>
      </c>
      <c r="E102" s="49">
        <f>AVERAGE('16.08 Tororo-Malaba-24h'!E102,'17.08 Tororo-Malaba-24h'!E102)</f>
        <v>0.5</v>
      </c>
      <c r="F102" s="49">
        <f>AVERAGE('16.08 Tororo-Malaba-24h'!F102,'17.08 Tororo-Malaba-24h'!F102)</f>
        <v>0.5</v>
      </c>
      <c r="G102" s="49">
        <f>AVERAGE('16.08 Tororo-Malaba-24h'!G102,'17.08 Tororo-Malaba-24h'!G102)</f>
        <v>0</v>
      </c>
      <c r="H102" s="49">
        <f>AVERAGE('16.08 Tororo-Malaba-24h'!H102,'17.08 Tororo-Malaba-24h'!H102)</f>
        <v>0</v>
      </c>
      <c r="I102" s="49">
        <f>AVERAGE('16.08 Tororo-Malaba-24h'!I102,'17.08 Tororo-Malaba-24h'!I102)</f>
        <v>1</v>
      </c>
      <c r="J102" s="49">
        <f>AVERAGE('16.08 Tororo-Malaba-24h'!J102,'17.08 Tororo-Malaba-24h'!J102)</f>
        <v>0</v>
      </c>
      <c r="K102" s="49">
        <f>AVERAGE('16.08 Tororo-Malaba-24h'!K102,'17.08 Tororo-Malaba-24h'!K102)</f>
        <v>0</v>
      </c>
      <c r="L102" s="49">
        <f>AVERAGE('16.08 Tororo-Malaba-24h'!L102,'17.08 Tororo-Malaba-24h'!L102)</f>
        <v>0</v>
      </c>
      <c r="M102" s="49">
        <f>AVERAGE('16.08 Tororo-Malaba-24h'!M102,'17.08 Tororo-Malaba-24h'!M102)</f>
        <v>11.5</v>
      </c>
      <c r="N102" s="49">
        <f>AVERAGE('16.08 Tororo-Malaba-24h'!N102,'17.08 Tororo-Malaba-24h'!N102)</f>
        <v>0</v>
      </c>
      <c r="O102" s="15">
        <f t="shared" si="35"/>
        <v>2.5</v>
      </c>
      <c r="P102" s="15">
        <f t="shared" si="36"/>
        <v>14</v>
      </c>
      <c r="R102" s="8"/>
      <c r="T102"/>
    </row>
    <row r="103" spans="2:20" ht="23.1" customHeight="1" x14ac:dyDescent="0.25">
      <c r="B103" s="23" t="s">
        <v>143</v>
      </c>
      <c r="C103" s="49">
        <f>AVERAGE('16.08 Tororo-Malaba-24h'!C103,'17.08 Tororo-Malaba-24h'!C103)</f>
        <v>1.5</v>
      </c>
      <c r="D103" s="49">
        <f>AVERAGE('16.08 Tororo-Malaba-24h'!D103,'17.08 Tororo-Malaba-24h'!D103)</f>
        <v>0</v>
      </c>
      <c r="E103" s="49">
        <f>AVERAGE('16.08 Tororo-Malaba-24h'!E103,'17.08 Tororo-Malaba-24h'!E103)</f>
        <v>0</v>
      </c>
      <c r="F103" s="49">
        <f>AVERAGE('16.08 Tororo-Malaba-24h'!F103,'17.08 Tororo-Malaba-24h'!F103)</f>
        <v>0</v>
      </c>
      <c r="G103" s="49">
        <f>AVERAGE('16.08 Tororo-Malaba-24h'!G103,'17.08 Tororo-Malaba-24h'!G103)</f>
        <v>0</v>
      </c>
      <c r="H103" s="49">
        <f>AVERAGE('16.08 Tororo-Malaba-24h'!H103,'17.08 Tororo-Malaba-24h'!H103)</f>
        <v>0</v>
      </c>
      <c r="I103" s="49">
        <f>AVERAGE('16.08 Tororo-Malaba-24h'!I103,'17.08 Tororo-Malaba-24h'!I103)</f>
        <v>0</v>
      </c>
      <c r="J103" s="49">
        <f>AVERAGE('16.08 Tororo-Malaba-24h'!J103,'17.08 Tororo-Malaba-24h'!J103)</f>
        <v>0</v>
      </c>
      <c r="K103" s="49">
        <f>AVERAGE('16.08 Tororo-Malaba-24h'!K103,'17.08 Tororo-Malaba-24h'!K103)</f>
        <v>0</v>
      </c>
      <c r="L103" s="49">
        <f>AVERAGE('16.08 Tororo-Malaba-24h'!L103,'17.08 Tororo-Malaba-24h'!L103)</f>
        <v>0</v>
      </c>
      <c r="M103" s="49">
        <f>AVERAGE('16.08 Tororo-Malaba-24h'!M103,'17.08 Tororo-Malaba-24h'!M103)</f>
        <v>8</v>
      </c>
      <c r="N103" s="49">
        <f>AVERAGE('16.08 Tororo-Malaba-24h'!N103,'17.08 Tororo-Malaba-24h'!N103)</f>
        <v>0</v>
      </c>
      <c r="O103" s="15">
        <f t="shared" si="35"/>
        <v>1.5</v>
      </c>
      <c r="P103" s="15">
        <f t="shared" si="36"/>
        <v>9.5</v>
      </c>
      <c r="R103" s="8"/>
      <c r="T103"/>
    </row>
    <row r="104" spans="2:20" ht="23.1" customHeight="1" x14ac:dyDescent="0.25">
      <c r="B104" s="25" t="s">
        <v>144</v>
      </c>
      <c r="C104" s="49">
        <f>AVERAGE('16.08 Tororo-Malaba-24h'!C104,'17.08 Tororo-Malaba-24h'!C104)</f>
        <v>2</v>
      </c>
      <c r="D104" s="49">
        <f>AVERAGE('16.08 Tororo-Malaba-24h'!D104,'17.08 Tororo-Malaba-24h'!D104)</f>
        <v>0</v>
      </c>
      <c r="E104" s="49">
        <f>AVERAGE('16.08 Tororo-Malaba-24h'!E104,'17.08 Tororo-Malaba-24h'!E104)</f>
        <v>0</v>
      </c>
      <c r="F104" s="49">
        <f>AVERAGE('16.08 Tororo-Malaba-24h'!F104,'17.08 Tororo-Malaba-24h'!F104)</f>
        <v>1.5</v>
      </c>
      <c r="G104" s="49">
        <f>AVERAGE('16.08 Tororo-Malaba-24h'!G104,'17.08 Tororo-Malaba-24h'!G104)</f>
        <v>0</v>
      </c>
      <c r="H104" s="49">
        <f>AVERAGE('16.08 Tororo-Malaba-24h'!H104,'17.08 Tororo-Malaba-24h'!H104)</f>
        <v>0</v>
      </c>
      <c r="I104" s="49">
        <f>AVERAGE('16.08 Tororo-Malaba-24h'!I104,'17.08 Tororo-Malaba-24h'!I104)</f>
        <v>0.5</v>
      </c>
      <c r="J104" s="49">
        <f>AVERAGE('16.08 Tororo-Malaba-24h'!J104,'17.08 Tororo-Malaba-24h'!J104)</f>
        <v>0.5</v>
      </c>
      <c r="K104" s="49">
        <f>AVERAGE('16.08 Tororo-Malaba-24h'!K104,'17.08 Tororo-Malaba-24h'!K104)</f>
        <v>0</v>
      </c>
      <c r="L104" s="49">
        <f>AVERAGE('16.08 Tororo-Malaba-24h'!L104,'17.08 Tororo-Malaba-24h'!L104)</f>
        <v>0</v>
      </c>
      <c r="M104" s="49">
        <f>AVERAGE('16.08 Tororo-Malaba-24h'!M104,'17.08 Tororo-Malaba-24h'!M104)</f>
        <v>17</v>
      </c>
      <c r="N104" s="49">
        <f>AVERAGE('16.08 Tororo-Malaba-24h'!N104,'17.08 Tororo-Malaba-24h'!N104)</f>
        <v>0</v>
      </c>
      <c r="O104" s="15">
        <f t="shared" si="35"/>
        <v>4.5</v>
      </c>
      <c r="P104" s="15">
        <f t="shared" si="36"/>
        <v>21.5</v>
      </c>
      <c r="R104" s="8"/>
      <c r="T104"/>
    </row>
    <row r="105" spans="2:20" ht="23.1" customHeight="1" x14ac:dyDescent="0.25">
      <c r="B105" s="23" t="s">
        <v>145</v>
      </c>
      <c r="C105" s="49">
        <f>AVERAGE('16.08 Tororo-Malaba-24h'!C105,'17.08 Tororo-Malaba-24h'!C105)</f>
        <v>0.5</v>
      </c>
      <c r="D105" s="49">
        <f>AVERAGE('16.08 Tororo-Malaba-24h'!D105,'17.08 Tororo-Malaba-24h'!D105)</f>
        <v>0</v>
      </c>
      <c r="E105" s="49">
        <f>AVERAGE('16.08 Tororo-Malaba-24h'!E105,'17.08 Tororo-Malaba-24h'!E105)</f>
        <v>0</v>
      </c>
      <c r="F105" s="49">
        <f>AVERAGE('16.08 Tororo-Malaba-24h'!F105,'17.08 Tororo-Malaba-24h'!F105)</f>
        <v>1</v>
      </c>
      <c r="G105" s="49">
        <f>AVERAGE('16.08 Tororo-Malaba-24h'!G105,'17.08 Tororo-Malaba-24h'!G105)</f>
        <v>0</v>
      </c>
      <c r="H105" s="49">
        <f>AVERAGE('16.08 Tororo-Malaba-24h'!H105,'17.08 Tororo-Malaba-24h'!H105)</f>
        <v>0</v>
      </c>
      <c r="I105" s="49">
        <f>AVERAGE('16.08 Tororo-Malaba-24h'!I105,'17.08 Tororo-Malaba-24h'!I105)</f>
        <v>0</v>
      </c>
      <c r="J105" s="49">
        <f>AVERAGE('16.08 Tororo-Malaba-24h'!J105,'17.08 Tororo-Malaba-24h'!J105)</f>
        <v>0</v>
      </c>
      <c r="K105" s="49">
        <f>AVERAGE('16.08 Tororo-Malaba-24h'!K105,'17.08 Tororo-Malaba-24h'!K105)</f>
        <v>0</v>
      </c>
      <c r="L105" s="49">
        <f>AVERAGE('16.08 Tororo-Malaba-24h'!L105,'17.08 Tororo-Malaba-24h'!L105)</f>
        <v>0</v>
      </c>
      <c r="M105" s="49">
        <f>AVERAGE('16.08 Tororo-Malaba-24h'!M105,'17.08 Tororo-Malaba-24h'!M105)</f>
        <v>17</v>
      </c>
      <c r="N105" s="49">
        <f>AVERAGE('16.08 Tororo-Malaba-24h'!N105,'17.08 Tororo-Malaba-24h'!N105)</f>
        <v>0</v>
      </c>
      <c r="O105" s="15">
        <f t="shared" si="35"/>
        <v>1.5</v>
      </c>
      <c r="P105" s="15">
        <f t="shared" si="36"/>
        <v>18.5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188.14285714285717</v>
      </c>
      <c r="D106" s="16">
        <f t="shared" ref="D106:P106" si="37">SUM(D10:D105)</f>
        <v>8.9285714285714306</v>
      </c>
      <c r="E106" s="16">
        <f t="shared" si="37"/>
        <v>114.71428571428571</v>
      </c>
      <c r="F106" s="16">
        <f t="shared" si="37"/>
        <v>151.71428571428572</v>
      </c>
      <c r="G106" s="16">
        <f t="shared" si="37"/>
        <v>4.2857142857142847</v>
      </c>
      <c r="H106" s="16">
        <f t="shared" si="37"/>
        <v>9.7857142857142847</v>
      </c>
      <c r="I106" s="16">
        <f t="shared" si="37"/>
        <v>52.000000000000007</v>
      </c>
      <c r="J106" s="16">
        <f t="shared" si="37"/>
        <v>8.8571428571428559</v>
      </c>
      <c r="K106" s="16">
        <f t="shared" si="37"/>
        <v>0.7857142857142857</v>
      </c>
      <c r="L106" s="16">
        <f t="shared" si="37"/>
        <v>0</v>
      </c>
      <c r="M106" s="16">
        <f t="shared" si="37"/>
        <v>1460.5000000000005</v>
      </c>
      <c r="N106" s="16">
        <f t="shared" si="37"/>
        <v>0.99999999999999978</v>
      </c>
      <c r="O106" s="16">
        <f t="shared" si="37"/>
        <v>540.21428571428578</v>
      </c>
      <c r="P106" s="16">
        <f t="shared" si="37"/>
        <v>2000.7142857142862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9.4037843627275963E-2</v>
      </c>
      <c r="D107" s="43">
        <f t="shared" si="38"/>
        <v>4.4626918957515168E-3</v>
      </c>
      <c r="E107" s="43">
        <f t="shared" si="38"/>
        <v>5.7336665476615478E-2</v>
      </c>
      <c r="F107" s="43">
        <f t="shared" si="38"/>
        <v>7.5830060692609766E-2</v>
      </c>
      <c r="G107" s="43">
        <f t="shared" si="38"/>
        <v>2.1420921099607271E-3</v>
      </c>
      <c r="H107" s="43">
        <f t="shared" si="38"/>
        <v>4.891110317743661E-3</v>
      </c>
      <c r="I107" s="43">
        <f t="shared" si="38"/>
        <v>2.5990717600856833E-2</v>
      </c>
      <c r="J107" s="43">
        <f t="shared" si="38"/>
        <v>4.4269903605855037E-3</v>
      </c>
      <c r="K107" s="43">
        <f t="shared" si="38"/>
        <v>3.927168868261334E-4</v>
      </c>
      <c r="L107" s="43">
        <f t="shared" si="38"/>
        <v>0</v>
      </c>
      <c r="M107" s="43">
        <f t="shared" si="38"/>
        <v>0.72998928953945019</v>
      </c>
      <c r="N107" s="43">
        <f t="shared" si="38"/>
        <v>4.9982149232416972E-4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0.34827449424831414</v>
      </c>
      <c r="D108" s="44">
        <f t="shared" ref="D108:N108" si="39">D106/$O$106</f>
        <v>1.6527832870554014E-2</v>
      </c>
      <c r="E108" s="44">
        <f t="shared" si="39"/>
        <v>0.21234959672087791</v>
      </c>
      <c r="F108" s="44">
        <f t="shared" si="39"/>
        <v>0.28084093613645378</v>
      </c>
      <c r="G108" s="44">
        <f t="shared" si="39"/>
        <v>7.9333597778659237E-3</v>
      </c>
      <c r="H108" s="44">
        <f t="shared" si="39"/>
        <v>1.8114504826127194E-2</v>
      </c>
      <c r="I108" s="44">
        <f t="shared" si="39"/>
        <v>9.6258098638106568E-2</v>
      </c>
      <c r="J108" s="44">
        <f t="shared" si="39"/>
        <v>1.6395610207589575E-2</v>
      </c>
      <c r="K108" s="44">
        <f t="shared" si="39"/>
        <v>1.454449292608753E-3</v>
      </c>
      <c r="L108" s="44">
        <f t="shared" si="39"/>
        <v>0</v>
      </c>
      <c r="M108" s="44"/>
      <c r="N108" s="44">
        <f t="shared" si="39"/>
        <v>1.8511172815020489E-3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zoomScale="60" workbookViewId="0">
      <selection activeCell="E96" sqref="E9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'18.08 Tororo-Malaba'!C3:G3</f>
        <v>MCC - C3b- STN143 - TORORO-MALABA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'Avg Week Tororo-Malaba'!G5:H5</f>
        <v>xxx</v>
      </c>
      <c r="H5" s="64"/>
      <c r="I5" s="14"/>
      <c r="J5" s="2" t="s">
        <v>5</v>
      </c>
      <c r="K5" s="63" t="str">
        <f>'Avg Week Tororo-Malaba'!K5:L5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Tororo-Malaba'!K6:L6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Malaba-Tororo'!C10+'Avg Week Tororo-Malaba'!C10</f>
        <v>2</v>
      </c>
      <c r="D10" s="49">
        <f>'Avg Week Malaba-Tororo'!D10+'Avg Week Tororo-Malaba'!D10</f>
        <v>0.2857142857142857</v>
      </c>
      <c r="E10" s="49">
        <f>'Avg Week Malaba-Tororo'!E10+'Avg Week Tororo-Malaba'!E10</f>
        <v>2.7142857142857144</v>
      </c>
      <c r="F10" s="49">
        <f>'Avg Week Malaba-Tororo'!F10+'Avg Week Tororo-Malaba'!F10</f>
        <v>2.8571428571428572</v>
      </c>
      <c r="G10" s="49">
        <f>'Avg Week Malaba-Tororo'!G10+'Avg Week Tororo-Malaba'!G10</f>
        <v>0.2857142857142857</v>
      </c>
      <c r="H10" s="49">
        <f>'Avg Week Malaba-Tororo'!H10+'Avg Week Tororo-Malaba'!H10</f>
        <v>0.5714285714285714</v>
      </c>
      <c r="I10" s="49">
        <f>'Avg Week Malaba-Tororo'!I10+'Avg Week Tororo-Malaba'!I10</f>
        <v>0.42857142857142855</v>
      </c>
      <c r="J10" s="49">
        <f>'Avg Week Malaba-Tororo'!J10+'Avg Week Tororo-Malaba'!J10</f>
        <v>0</v>
      </c>
      <c r="K10" s="49">
        <f>'Avg Week Malaba-Tororo'!K10+'Avg Week Tororo-Malaba'!K10</f>
        <v>0</v>
      </c>
      <c r="L10" s="49">
        <f>'Avg Week Malaba-Tororo'!L10+'Avg Week Tororo-Malaba'!L10</f>
        <v>0</v>
      </c>
      <c r="M10" s="49">
        <f>'Avg Week Malaba-Tororo'!M10+'Avg Week Tororo-Malaba'!M10</f>
        <v>25.142857142857142</v>
      </c>
      <c r="N10" s="49">
        <f>'Avg Week Malaba-Tororo'!N10+'Avg Week Tororo-Malaba'!N10</f>
        <v>0</v>
      </c>
      <c r="O10" s="15">
        <f t="shared" ref="O10:O73" si="0">SUM(C10:L10,N10)</f>
        <v>9.1428571428571441</v>
      </c>
      <c r="P10" s="15">
        <f t="shared" ref="P10:P73" si="1">SUM(C10:N10)</f>
        <v>34.285714285714285</v>
      </c>
      <c r="R10" s="1" t="s">
        <v>6</v>
      </c>
      <c r="S10" s="17">
        <f t="shared" ref="S10:AF10" si="2">SUM(C10:C13)</f>
        <v>9.4285714285714288</v>
      </c>
      <c r="T10" s="17">
        <f t="shared" si="2"/>
        <v>0.5714285714285714</v>
      </c>
      <c r="U10" s="17">
        <f t="shared" si="2"/>
        <v>7.7142857142857135</v>
      </c>
      <c r="V10" s="17">
        <f t="shared" si="2"/>
        <v>11.571428571428571</v>
      </c>
      <c r="W10" s="17">
        <f t="shared" si="2"/>
        <v>1.1428571428571428</v>
      </c>
      <c r="X10" s="17">
        <f t="shared" si="2"/>
        <v>1.4285714285714284</v>
      </c>
      <c r="Y10" s="17">
        <f t="shared" si="2"/>
        <v>5.2857142857142847</v>
      </c>
      <c r="Z10" s="17">
        <f t="shared" si="2"/>
        <v>0.2857142857142857</v>
      </c>
      <c r="AA10" s="17">
        <f t="shared" si="2"/>
        <v>0</v>
      </c>
      <c r="AB10" s="17">
        <f t="shared" si="2"/>
        <v>0</v>
      </c>
      <c r="AC10" s="17">
        <f t="shared" si="2"/>
        <v>145.57142857142856</v>
      </c>
      <c r="AD10" s="17">
        <f t="shared" si="2"/>
        <v>0</v>
      </c>
      <c r="AE10" s="31">
        <f t="shared" si="2"/>
        <v>37.428571428571431</v>
      </c>
      <c r="AF10" s="31">
        <f t="shared" si="2"/>
        <v>183</v>
      </c>
    </row>
    <row r="11" spans="2:32" s="6" customFormat="1" ht="23.1" customHeight="1" x14ac:dyDescent="0.25">
      <c r="B11" s="23" t="s">
        <v>38</v>
      </c>
      <c r="C11" s="49">
        <f>'Avg Week Malaba-Tororo'!C11+'Avg Week Tororo-Malaba'!C11</f>
        <v>2.4285714285714284</v>
      </c>
      <c r="D11" s="49">
        <f>'Avg Week Malaba-Tororo'!D11+'Avg Week Tororo-Malaba'!D11</f>
        <v>0.14285714285714285</v>
      </c>
      <c r="E11" s="49">
        <f>'Avg Week Malaba-Tororo'!E11+'Avg Week Tororo-Malaba'!E11</f>
        <v>1.8571428571428572</v>
      </c>
      <c r="F11" s="49">
        <f>'Avg Week Malaba-Tororo'!F11+'Avg Week Tororo-Malaba'!F11</f>
        <v>3</v>
      </c>
      <c r="G11" s="49">
        <f>'Avg Week Malaba-Tororo'!G11+'Avg Week Tororo-Malaba'!G11</f>
        <v>0</v>
      </c>
      <c r="H11" s="49">
        <f>'Avg Week Malaba-Tororo'!H11+'Avg Week Tororo-Malaba'!H11</f>
        <v>0.5714285714285714</v>
      </c>
      <c r="I11" s="49">
        <f>'Avg Week Malaba-Tororo'!I11+'Avg Week Tororo-Malaba'!I11</f>
        <v>2.2857142857142856</v>
      </c>
      <c r="J11" s="49">
        <f>'Avg Week Malaba-Tororo'!J11+'Avg Week Tororo-Malaba'!J11</f>
        <v>0.14285714285714285</v>
      </c>
      <c r="K11" s="49">
        <f>'Avg Week Malaba-Tororo'!K11+'Avg Week Tororo-Malaba'!K11</f>
        <v>0</v>
      </c>
      <c r="L11" s="49">
        <f>'Avg Week Malaba-Tororo'!L11+'Avg Week Tororo-Malaba'!L11</f>
        <v>0</v>
      </c>
      <c r="M11" s="49">
        <f>'Avg Week Malaba-Tororo'!M11+'Avg Week Tororo-Malaba'!M11</f>
        <v>37</v>
      </c>
      <c r="N11" s="49">
        <f>'Avg Week Malaba-Tororo'!N11+'Avg Week Tororo-Malaba'!N11</f>
        <v>0</v>
      </c>
      <c r="O11" s="15">
        <f t="shared" si="0"/>
        <v>10.428571428571427</v>
      </c>
      <c r="P11" s="15">
        <f t="shared" si="1"/>
        <v>47.428571428571431</v>
      </c>
      <c r="R11" s="1" t="s">
        <v>7</v>
      </c>
      <c r="S11" s="17">
        <f t="shared" ref="S11:AF11" si="3">SUM(C14:C17)</f>
        <v>12</v>
      </c>
      <c r="T11" s="17">
        <f t="shared" si="3"/>
        <v>0.71428571428571419</v>
      </c>
      <c r="U11" s="17">
        <f t="shared" si="3"/>
        <v>10.714285714285714</v>
      </c>
      <c r="V11" s="17">
        <f t="shared" si="3"/>
        <v>12.999999999999998</v>
      </c>
      <c r="W11" s="17">
        <f t="shared" si="3"/>
        <v>0</v>
      </c>
      <c r="X11" s="17">
        <f t="shared" si="3"/>
        <v>1.1428571428571428</v>
      </c>
      <c r="Y11" s="17">
        <f t="shared" si="3"/>
        <v>4.5714285714285712</v>
      </c>
      <c r="Z11" s="17">
        <f t="shared" si="3"/>
        <v>0.2857142857142857</v>
      </c>
      <c r="AA11" s="17">
        <f t="shared" si="3"/>
        <v>0</v>
      </c>
      <c r="AB11" s="17">
        <f t="shared" si="3"/>
        <v>0</v>
      </c>
      <c r="AC11" s="17">
        <f t="shared" si="3"/>
        <v>197.71428571428572</v>
      </c>
      <c r="AD11" s="17">
        <f t="shared" si="3"/>
        <v>0.14285714285714285</v>
      </c>
      <c r="AE11" s="31">
        <f t="shared" si="3"/>
        <v>42.571428571428569</v>
      </c>
      <c r="AF11" s="31">
        <f t="shared" si="3"/>
        <v>240.28571428571428</v>
      </c>
    </row>
    <row r="12" spans="2:32" ht="23.1" customHeight="1" x14ac:dyDescent="0.25">
      <c r="B12" s="23" t="s">
        <v>39</v>
      </c>
      <c r="C12" s="49">
        <f>'Avg Week Malaba-Tororo'!C12+'Avg Week Tororo-Malaba'!C12</f>
        <v>3</v>
      </c>
      <c r="D12" s="49">
        <f>'Avg Week Malaba-Tororo'!D12+'Avg Week Tororo-Malaba'!D12</f>
        <v>0</v>
      </c>
      <c r="E12" s="49">
        <f>'Avg Week Malaba-Tororo'!E12+'Avg Week Tororo-Malaba'!E12</f>
        <v>0.8571428571428571</v>
      </c>
      <c r="F12" s="49">
        <f>'Avg Week Malaba-Tororo'!F12+'Avg Week Tororo-Malaba'!F12</f>
        <v>3.5714285714285716</v>
      </c>
      <c r="G12" s="49">
        <f>'Avg Week Malaba-Tororo'!G12+'Avg Week Tororo-Malaba'!G12</f>
        <v>0.42857142857142855</v>
      </c>
      <c r="H12" s="49">
        <f>'Avg Week Malaba-Tororo'!H12+'Avg Week Tororo-Malaba'!H12</f>
        <v>0.2857142857142857</v>
      </c>
      <c r="I12" s="49">
        <f>'Avg Week Malaba-Tororo'!I12+'Avg Week Tororo-Malaba'!I12</f>
        <v>1.1428571428571428</v>
      </c>
      <c r="J12" s="49">
        <f>'Avg Week Malaba-Tororo'!J12+'Avg Week Tororo-Malaba'!J12</f>
        <v>0.14285714285714285</v>
      </c>
      <c r="K12" s="49">
        <f>'Avg Week Malaba-Tororo'!K12+'Avg Week Tororo-Malaba'!K12</f>
        <v>0</v>
      </c>
      <c r="L12" s="49">
        <f>'Avg Week Malaba-Tororo'!L12+'Avg Week Tororo-Malaba'!L12</f>
        <v>0</v>
      </c>
      <c r="M12" s="49">
        <f>'Avg Week Malaba-Tororo'!M12+'Avg Week Tororo-Malaba'!M12</f>
        <v>36.142857142857139</v>
      </c>
      <c r="N12" s="49">
        <f>'Avg Week Malaba-Tororo'!N12+'Avg Week Tororo-Malaba'!N12</f>
        <v>0</v>
      </c>
      <c r="O12" s="15">
        <f t="shared" si="0"/>
        <v>9.4285714285714288</v>
      </c>
      <c r="P12" s="15">
        <f t="shared" si="1"/>
        <v>45.571428571428569</v>
      </c>
      <c r="R12" s="1" t="s">
        <v>8</v>
      </c>
      <c r="S12" s="17">
        <f t="shared" ref="S12:AF12" si="4">SUM(C18:C21)</f>
        <v>18.142857142857142</v>
      </c>
      <c r="T12" s="17">
        <f t="shared" si="4"/>
        <v>1.5714285714285712</v>
      </c>
      <c r="U12" s="17">
        <f t="shared" si="4"/>
        <v>16.428571428571427</v>
      </c>
      <c r="V12" s="17">
        <f t="shared" si="4"/>
        <v>14.428571428571427</v>
      </c>
      <c r="W12" s="17">
        <f t="shared" si="4"/>
        <v>0</v>
      </c>
      <c r="X12" s="17">
        <f t="shared" si="4"/>
        <v>0.2857142857142857</v>
      </c>
      <c r="Y12" s="17">
        <f t="shared" si="4"/>
        <v>6.2857142857142856</v>
      </c>
      <c r="Z12" s="17">
        <f t="shared" si="4"/>
        <v>0.2857142857142857</v>
      </c>
      <c r="AA12" s="17">
        <f t="shared" si="4"/>
        <v>0</v>
      </c>
      <c r="AB12" s="17">
        <f t="shared" si="4"/>
        <v>0</v>
      </c>
      <c r="AC12" s="17">
        <f t="shared" si="4"/>
        <v>209.42857142857144</v>
      </c>
      <c r="AD12" s="17">
        <f t="shared" si="4"/>
        <v>0.8571428571428571</v>
      </c>
      <c r="AE12" s="31">
        <f t="shared" si="4"/>
        <v>58.285714285714278</v>
      </c>
      <c r="AF12" s="31">
        <f t="shared" si="4"/>
        <v>267.71428571428572</v>
      </c>
    </row>
    <row r="13" spans="2:32" ht="23.1" customHeight="1" x14ac:dyDescent="0.25">
      <c r="B13" s="23" t="s">
        <v>40</v>
      </c>
      <c r="C13" s="49">
        <f>'Avg Week Malaba-Tororo'!C13+'Avg Week Tororo-Malaba'!C13</f>
        <v>2</v>
      </c>
      <c r="D13" s="49">
        <f>'Avg Week Malaba-Tororo'!D13+'Avg Week Tororo-Malaba'!D13</f>
        <v>0.14285714285714285</v>
      </c>
      <c r="E13" s="49">
        <f>'Avg Week Malaba-Tororo'!E13+'Avg Week Tororo-Malaba'!E13</f>
        <v>2.2857142857142856</v>
      </c>
      <c r="F13" s="49">
        <f>'Avg Week Malaba-Tororo'!F13+'Avg Week Tororo-Malaba'!F13</f>
        <v>2.1428571428571428</v>
      </c>
      <c r="G13" s="49">
        <f>'Avg Week Malaba-Tororo'!G13+'Avg Week Tororo-Malaba'!G13</f>
        <v>0.42857142857142855</v>
      </c>
      <c r="H13" s="49">
        <f>'Avg Week Malaba-Tororo'!H13+'Avg Week Tororo-Malaba'!H13</f>
        <v>0</v>
      </c>
      <c r="I13" s="49">
        <f>'Avg Week Malaba-Tororo'!I13+'Avg Week Tororo-Malaba'!I13</f>
        <v>1.4285714285714284</v>
      </c>
      <c r="J13" s="49">
        <f>'Avg Week Malaba-Tororo'!J13+'Avg Week Tororo-Malaba'!J13</f>
        <v>0</v>
      </c>
      <c r="K13" s="49">
        <f>'Avg Week Malaba-Tororo'!K13+'Avg Week Tororo-Malaba'!K13</f>
        <v>0</v>
      </c>
      <c r="L13" s="49">
        <f>'Avg Week Malaba-Tororo'!L13+'Avg Week Tororo-Malaba'!L13</f>
        <v>0</v>
      </c>
      <c r="M13" s="49">
        <f>'Avg Week Malaba-Tororo'!M13+'Avg Week Tororo-Malaba'!M13</f>
        <v>47.285714285714285</v>
      </c>
      <c r="N13" s="49">
        <f>'Avg Week Malaba-Tororo'!N13+'Avg Week Tororo-Malaba'!N13</f>
        <v>0</v>
      </c>
      <c r="O13" s="15">
        <f t="shared" si="0"/>
        <v>8.4285714285714288</v>
      </c>
      <c r="P13" s="15">
        <f t="shared" si="1"/>
        <v>55.714285714285715</v>
      </c>
      <c r="R13" s="1" t="s">
        <v>9</v>
      </c>
      <c r="S13" s="17">
        <f t="shared" ref="S13:AF13" si="5">SUM(C22:C25)</f>
        <v>23.142857142857142</v>
      </c>
      <c r="T13" s="17">
        <f t="shared" si="5"/>
        <v>1.5714285714285714</v>
      </c>
      <c r="U13" s="17">
        <f t="shared" si="5"/>
        <v>17.714285714285715</v>
      </c>
      <c r="V13" s="17">
        <f t="shared" si="5"/>
        <v>15.714285714285714</v>
      </c>
      <c r="W13" s="17">
        <f t="shared" si="5"/>
        <v>0.99999999999999989</v>
      </c>
      <c r="X13" s="17">
        <f t="shared" si="5"/>
        <v>0.5714285714285714</v>
      </c>
      <c r="Y13" s="17">
        <f t="shared" si="5"/>
        <v>6.4285714285714279</v>
      </c>
      <c r="Z13" s="17">
        <f t="shared" si="5"/>
        <v>5.4285714285714288</v>
      </c>
      <c r="AA13" s="17">
        <f t="shared" si="5"/>
        <v>0.42857142857142855</v>
      </c>
      <c r="AB13" s="17">
        <f t="shared" si="5"/>
        <v>0</v>
      </c>
      <c r="AC13" s="17">
        <f t="shared" si="5"/>
        <v>216.28571428571431</v>
      </c>
      <c r="AD13" s="17">
        <f t="shared" si="5"/>
        <v>0.14285714285714285</v>
      </c>
      <c r="AE13" s="31">
        <f t="shared" si="5"/>
        <v>72.142857142857153</v>
      </c>
      <c r="AF13" s="31">
        <f t="shared" si="5"/>
        <v>288.42857142857144</v>
      </c>
    </row>
    <row r="14" spans="2:32" ht="23.1" customHeight="1" x14ac:dyDescent="0.25">
      <c r="B14" s="23" t="s">
        <v>41</v>
      </c>
      <c r="C14" s="49">
        <f>'Avg Week Malaba-Tororo'!C14+'Avg Week Tororo-Malaba'!C14</f>
        <v>2.4285714285714288</v>
      </c>
      <c r="D14" s="49">
        <f>'Avg Week Malaba-Tororo'!D14+'Avg Week Tororo-Malaba'!D14</f>
        <v>0.2857142857142857</v>
      </c>
      <c r="E14" s="49">
        <f>'Avg Week Malaba-Tororo'!E14+'Avg Week Tororo-Malaba'!E14</f>
        <v>3.1428571428571428</v>
      </c>
      <c r="F14" s="49">
        <f>'Avg Week Malaba-Tororo'!F14+'Avg Week Tororo-Malaba'!F14</f>
        <v>2.8571428571428572</v>
      </c>
      <c r="G14" s="49">
        <f>'Avg Week Malaba-Tororo'!G14+'Avg Week Tororo-Malaba'!G14</f>
        <v>0</v>
      </c>
      <c r="H14" s="49">
        <f>'Avg Week Malaba-Tororo'!H14+'Avg Week Tororo-Malaba'!H14</f>
        <v>0.42857142857142855</v>
      </c>
      <c r="I14" s="49">
        <f>'Avg Week Malaba-Tororo'!I14+'Avg Week Tororo-Malaba'!I14</f>
        <v>0.8571428571428571</v>
      </c>
      <c r="J14" s="49">
        <f>'Avg Week Malaba-Tororo'!J14+'Avg Week Tororo-Malaba'!J14</f>
        <v>0</v>
      </c>
      <c r="K14" s="49">
        <f>'Avg Week Malaba-Tororo'!K14+'Avg Week Tororo-Malaba'!K14</f>
        <v>0</v>
      </c>
      <c r="L14" s="49">
        <f>'Avg Week Malaba-Tororo'!L14+'Avg Week Tororo-Malaba'!L14</f>
        <v>0</v>
      </c>
      <c r="M14" s="49">
        <f>'Avg Week Malaba-Tororo'!M14+'Avg Week Tororo-Malaba'!M14</f>
        <v>46.714285714285715</v>
      </c>
      <c r="N14" s="49">
        <f>'Avg Week Malaba-Tororo'!N14+'Avg Week Tororo-Malaba'!N14</f>
        <v>0</v>
      </c>
      <c r="O14" s="15">
        <f t="shared" si="0"/>
        <v>10.000000000000002</v>
      </c>
      <c r="P14" s="15">
        <f t="shared" si="1"/>
        <v>56.714285714285715</v>
      </c>
      <c r="R14" s="1" t="s">
        <v>10</v>
      </c>
      <c r="S14" s="17">
        <f t="shared" ref="S14:AF14" si="6">SUM(C26:C29)</f>
        <v>27.714285714285715</v>
      </c>
      <c r="T14" s="17">
        <f t="shared" si="6"/>
        <v>1.5714285714285714</v>
      </c>
      <c r="U14" s="17">
        <f t="shared" si="6"/>
        <v>19</v>
      </c>
      <c r="V14" s="17">
        <f t="shared" si="6"/>
        <v>20.428571428571427</v>
      </c>
      <c r="W14" s="17">
        <f t="shared" si="6"/>
        <v>0.8571428571428571</v>
      </c>
      <c r="X14" s="17">
        <f t="shared" si="6"/>
        <v>0.14285714285714285</v>
      </c>
      <c r="Y14" s="17">
        <f t="shared" si="6"/>
        <v>7.7142857142857144</v>
      </c>
      <c r="Z14" s="17">
        <f t="shared" si="6"/>
        <v>0.5714285714285714</v>
      </c>
      <c r="AA14" s="17">
        <f t="shared" si="6"/>
        <v>0</v>
      </c>
      <c r="AB14" s="17">
        <f t="shared" si="6"/>
        <v>0</v>
      </c>
      <c r="AC14" s="17">
        <f t="shared" si="6"/>
        <v>223.28571428571428</v>
      </c>
      <c r="AD14" s="17">
        <f t="shared" si="6"/>
        <v>0</v>
      </c>
      <c r="AE14" s="31">
        <f t="shared" si="6"/>
        <v>78</v>
      </c>
      <c r="AF14" s="31">
        <f t="shared" si="6"/>
        <v>301.28571428571428</v>
      </c>
    </row>
    <row r="15" spans="2:32" ht="23.1" customHeight="1" x14ac:dyDescent="0.25">
      <c r="B15" s="23" t="s">
        <v>42</v>
      </c>
      <c r="C15" s="49">
        <f>'Avg Week Malaba-Tororo'!C15+'Avg Week Tororo-Malaba'!C15</f>
        <v>3.1428571428571428</v>
      </c>
      <c r="D15" s="49">
        <f>'Avg Week Malaba-Tororo'!D15+'Avg Week Tororo-Malaba'!D15</f>
        <v>0.2857142857142857</v>
      </c>
      <c r="E15" s="49">
        <f>'Avg Week Malaba-Tororo'!E15+'Avg Week Tororo-Malaba'!E15</f>
        <v>2.2857142857142856</v>
      </c>
      <c r="F15" s="49">
        <f>'Avg Week Malaba-Tororo'!F15+'Avg Week Tororo-Malaba'!F15</f>
        <v>3.2857142857142856</v>
      </c>
      <c r="G15" s="49">
        <f>'Avg Week Malaba-Tororo'!G15+'Avg Week Tororo-Malaba'!G15</f>
        <v>0</v>
      </c>
      <c r="H15" s="49">
        <f>'Avg Week Malaba-Tororo'!H15+'Avg Week Tororo-Malaba'!H15</f>
        <v>0.2857142857142857</v>
      </c>
      <c r="I15" s="49">
        <f>'Avg Week Malaba-Tororo'!I15+'Avg Week Tororo-Malaba'!I15</f>
        <v>1.5714285714285714</v>
      </c>
      <c r="J15" s="49">
        <f>'Avg Week Malaba-Tororo'!J15+'Avg Week Tororo-Malaba'!J15</f>
        <v>0.14285714285714285</v>
      </c>
      <c r="K15" s="49">
        <f>'Avg Week Malaba-Tororo'!K15+'Avg Week Tororo-Malaba'!K15</f>
        <v>0</v>
      </c>
      <c r="L15" s="49">
        <f>'Avg Week Malaba-Tororo'!L15+'Avg Week Tororo-Malaba'!L15</f>
        <v>0</v>
      </c>
      <c r="M15" s="49">
        <f>'Avg Week Malaba-Tororo'!M15+'Avg Week Tororo-Malaba'!M15</f>
        <v>46.714285714285715</v>
      </c>
      <c r="N15" s="49">
        <f>'Avg Week Malaba-Tororo'!N15+'Avg Week Tororo-Malaba'!N15</f>
        <v>0</v>
      </c>
      <c r="O15" s="15">
        <f t="shared" si="0"/>
        <v>11</v>
      </c>
      <c r="P15" s="15">
        <f t="shared" si="1"/>
        <v>57.714285714285715</v>
      </c>
      <c r="R15" s="1" t="s">
        <v>11</v>
      </c>
      <c r="S15" s="17">
        <f t="shared" ref="S15:AF15" si="7">SUM(C30:C33)</f>
        <v>21.857142857142861</v>
      </c>
      <c r="T15" s="17">
        <f t="shared" si="7"/>
        <v>1.9999999999999998</v>
      </c>
      <c r="U15" s="17">
        <f t="shared" si="7"/>
        <v>17.571428571428573</v>
      </c>
      <c r="V15" s="17">
        <f t="shared" si="7"/>
        <v>18</v>
      </c>
      <c r="W15" s="17">
        <f t="shared" si="7"/>
        <v>0.5714285714285714</v>
      </c>
      <c r="X15" s="17">
        <f t="shared" si="7"/>
        <v>0.42857142857142855</v>
      </c>
      <c r="Y15" s="17">
        <f t="shared" si="7"/>
        <v>8.571428571428573</v>
      </c>
      <c r="Z15" s="17">
        <f t="shared" si="7"/>
        <v>0.8571428571428571</v>
      </c>
      <c r="AA15" s="17">
        <f t="shared" si="7"/>
        <v>0.2857142857142857</v>
      </c>
      <c r="AB15" s="17">
        <f t="shared" si="7"/>
        <v>0</v>
      </c>
      <c r="AC15" s="17">
        <f t="shared" si="7"/>
        <v>216.14285714285711</v>
      </c>
      <c r="AD15" s="17">
        <f t="shared" si="7"/>
        <v>0.2857142857142857</v>
      </c>
      <c r="AE15" s="31">
        <f t="shared" si="7"/>
        <v>70.428571428571431</v>
      </c>
      <c r="AF15" s="31">
        <f t="shared" si="7"/>
        <v>286.57142857142861</v>
      </c>
    </row>
    <row r="16" spans="2:32" ht="23.1" customHeight="1" x14ac:dyDescent="0.25">
      <c r="B16" s="23" t="s">
        <v>43</v>
      </c>
      <c r="C16" s="49">
        <f>'Avg Week Malaba-Tororo'!C16+'Avg Week Tororo-Malaba'!C16</f>
        <v>4</v>
      </c>
      <c r="D16" s="49">
        <f>'Avg Week Malaba-Tororo'!D16+'Avg Week Tororo-Malaba'!D16</f>
        <v>0.14285714285714285</v>
      </c>
      <c r="E16" s="49">
        <f>'Avg Week Malaba-Tororo'!E16+'Avg Week Tororo-Malaba'!E16</f>
        <v>2.7142857142857144</v>
      </c>
      <c r="F16" s="49">
        <f>'Avg Week Malaba-Tororo'!F16+'Avg Week Tororo-Malaba'!F16</f>
        <v>2.2857142857142856</v>
      </c>
      <c r="G16" s="49">
        <f>'Avg Week Malaba-Tororo'!G16+'Avg Week Tororo-Malaba'!G16</f>
        <v>0</v>
      </c>
      <c r="H16" s="49">
        <f>'Avg Week Malaba-Tororo'!H16+'Avg Week Tororo-Malaba'!H16</f>
        <v>0.2857142857142857</v>
      </c>
      <c r="I16" s="49">
        <f>'Avg Week Malaba-Tororo'!I16+'Avg Week Tororo-Malaba'!I16</f>
        <v>1</v>
      </c>
      <c r="J16" s="49">
        <f>'Avg Week Malaba-Tororo'!J16+'Avg Week Tororo-Malaba'!J16</f>
        <v>0</v>
      </c>
      <c r="K16" s="49">
        <f>'Avg Week Malaba-Tororo'!K16+'Avg Week Tororo-Malaba'!K16</f>
        <v>0</v>
      </c>
      <c r="L16" s="49">
        <f>'Avg Week Malaba-Tororo'!L16+'Avg Week Tororo-Malaba'!L16</f>
        <v>0</v>
      </c>
      <c r="M16" s="49">
        <f>'Avg Week Malaba-Tororo'!M16+'Avg Week Tororo-Malaba'!M16</f>
        <v>50.857142857142861</v>
      </c>
      <c r="N16" s="49">
        <f>'Avg Week Malaba-Tororo'!N16+'Avg Week Tororo-Malaba'!N16</f>
        <v>0.14285714285714285</v>
      </c>
      <c r="O16" s="15">
        <f t="shared" si="0"/>
        <v>10.571428571428571</v>
      </c>
      <c r="P16" s="15">
        <f t="shared" si="1"/>
        <v>61.428571428571438</v>
      </c>
      <c r="R16" s="1" t="s">
        <v>12</v>
      </c>
      <c r="S16" s="17">
        <f t="shared" ref="S16:AF16" si="8">SUM(C34:C37)</f>
        <v>26.714285714285715</v>
      </c>
      <c r="T16" s="17">
        <f t="shared" si="8"/>
        <v>2.2857142857142856</v>
      </c>
      <c r="U16" s="17">
        <f t="shared" si="8"/>
        <v>21</v>
      </c>
      <c r="V16" s="17">
        <f t="shared" si="8"/>
        <v>22.857142857142854</v>
      </c>
      <c r="W16" s="17">
        <f t="shared" si="8"/>
        <v>0.5714285714285714</v>
      </c>
      <c r="X16" s="17">
        <f t="shared" si="8"/>
        <v>0</v>
      </c>
      <c r="Y16" s="17">
        <f t="shared" si="8"/>
        <v>7</v>
      </c>
      <c r="Z16" s="17">
        <f t="shared" si="8"/>
        <v>1.4285714285714284</v>
      </c>
      <c r="AA16" s="17">
        <f t="shared" si="8"/>
        <v>1</v>
      </c>
      <c r="AB16" s="17">
        <f t="shared" si="8"/>
        <v>0</v>
      </c>
      <c r="AC16" s="17">
        <f t="shared" si="8"/>
        <v>201.71428571428572</v>
      </c>
      <c r="AD16" s="17">
        <f t="shared" si="8"/>
        <v>0</v>
      </c>
      <c r="AE16" s="31">
        <f t="shared" si="8"/>
        <v>82.857142857142861</v>
      </c>
      <c r="AF16" s="31">
        <f t="shared" si="8"/>
        <v>284.57142857142861</v>
      </c>
    </row>
    <row r="17" spans="2:32" ht="23.1" customHeight="1" x14ac:dyDescent="0.25">
      <c r="B17" s="23" t="s">
        <v>44</v>
      </c>
      <c r="C17" s="49">
        <f>'Avg Week Malaba-Tororo'!C17+'Avg Week Tororo-Malaba'!C17</f>
        <v>2.4285714285714288</v>
      </c>
      <c r="D17" s="49">
        <f>'Avg Week Malaba-Tororo'!D17+'Avg Week Tororo-Malaba'!D17</f>
        <v>0</v>
      </c>
      <c r="E17" s="49">
        <f>'Avg Week Malaba-Tororo'!E17+'Avg Week Tororo-Malaba'!E17</f>
        <v>2.5714285714285712</v>
      </c>
      <c r="F17" s="49">
        <f>'Avg Week Malaba-Tororo'!F17+'Avg Week Tororo-Malaba'!F17</f>
        <v>4.5714285714285712</v>
      </c>
      <c r="G17" s="49">
        <f>'Avg Week Malaba-Tororo'!G17+'Avg Week Tororo-Malaba'!G17</f>
        <v>0</v>
      </c>
      <c r="H17" s="49">
        <f>'Avg Week Malaba-Tororo'!H17+'Avg Week Tororo-Malaba'!H17</f>
        <v>0.14285714285714285</v>
      </c>
      <c r="I17" s="49">
        <f>'Avg Week Malaba-Tororo'!I17+'Avg Week Tororo-Malaba'!I17</f>
        <v>1.1428571428571428</v>
      </c>
      <c r="J17" s="49">
        <f>'Avg Week Malaba-Tororo'!J17+'Avg Week Tororo-Malaba'!J17</f>
        <v>0.14285714285714285</v>
      </c>
      <c r="K17" s="49">
        <f>'Avg Week Malaba-Tororo'!K17+'Avg Week Tororo-Malaba'!K17</f>
        <v>0</v>
      </c>
      <c r="L17" s="49">
        <f>'Avg Week Malaba-Tororo'!L17+'Avg Week Tororo-Malaba'!L17</f>
        <v>0</v>
      </c>
      <c r="M17" s="49">
        <f>'Avg Week Malaba-Tororo'!M17+'Avg Week Tororo-Malaba'!M17</f>
        <v>53.428571428571431</v>
      </c>
      <c r="N17" s="49">
        <f>'Avg Week Malaba-Tororo'!N17+'Avg Week Tororo-Malaba'!N17</f>
        <v>0</v>
      </c>
      <c r="O17" s="15">
        <f t="shared" si="0"/>
        <v>10.999999999999998</v>
      </c>
      <c r="P17" s="15">
        <f t="shared" si="1"/>
        <v>64.428571428571431</v>
      </c>
      <c r="R17" s="1" t="s">
        <v>13</v>
      </c>
      <c r="S17" s="17">
        <f t="shared" ref="S17:AF17" si="9">SUM(C38:C41)</f>
        <v>23.285714285714285</v>
      </c>
      <c r="T17" s="17">
        <f t="shared" si="9"/>
        <v>2.4285714285714284</v>
      </c>
      <c r="U17" s="17">
        <f t="shared" si="9"/>
        <v>20.285714285714285</v>
      </c>
      <c r="V17" s="17">
        <f t="shared" si="9"/>
        <v>19</v>
      </c>
      <c r="W17" s="17">
        <f t="shared" si="9"/>
        <v>1.4285714285714284</v>
      </c>
      <c r="X17" s="17">
        <f t="shared" si="9"/>
        <v>0.14285714285714285</v>
      </c>
      <c r="Y17" s="17">
        <f t="shared" si="9"/>
        <v>7.2857142857142865</v>
      </c>
      <c r="Z17" s="17">
        <f t="shared" si="9"/>
        <v>3</v>
      </c>
      <c r="AA17" s="17">
        <f t="shared" si="9"/>
        <v>0.14285714285714285</v>
      </c>
      <c r="AB17" s="17">
        <f t="shared" si="9"/>
        <v>0</v>
      </c>
      <c r="AC17" s="17">
        <f t="shared" si="9"/>
        <v>184</v>
      </c>
      <c r="AD17" s="17">
        <f t="shared" si="9"/>
        <v>0</v>
      </c>
      <c r="AE17" s="31">
        <f t="shared" si="9"/>
        <v>77</v>
      </c>
      <c r="AF17" s="31">
        <f t="shared" si="9"/>
        <v>261</v>
      </c>
    </row>
    <row r="18" spans="2:32" ht="23.1" customHeight="1" x14ac:dyDescent="0.25">
      <c r="B18" s="23" t="s">
        <v>45</v>
      </c>
      <c r="C18" s="49">
        <f>'Avg Week Malaba-Tororo'!C18+'Avg Week Tororo-Malaba'!C18</f>
        <v>5.1428571428571423</v>
      </c>
      <c r="D18" s="49">
        <f>'Avg Week Malaba-Tororo'!D18+'Avg Week Tororo-Malaba'!D18</f>
        <v>0</v>
      </c>
      <c r="E18" s="49">
        <f>'Avg Week Malaba-Tororo'!E18+'Avg Week Tororo-Malaba'!E18</f>
        <v>3.1428571428571428</v>
      </c>
      <c r="F18" s="49">
        <f>'Avg Week Malaba-Tororo'!F18+'Avg Week Tororo-Malaba'!F18</f>
        <v>3</v>
      </c>
      <c r="G18" s="49">
        <f>'Avg Week Malaba-Tororo'!G18+'Avg Week Tororo-Malaba'!G18</f>
        <v>0</v>
      </c>
      <c r="H18" s="49">
        <f>'Avg Week Malaba-Tororo'!H18+'Avg Week Tororo-Malaba'!H18</f>
        <v>0.2857142857142857</v>
      </c>
      <c r="I18" s="49">
        <f>'Avg Week Malaba-Tororo'!I18+'Avg Week Tororo-Malaba'!I18</f>
        <v>0.7142857142857143</v>
      </c>
      <c r="J18" s="49">
        <f>'Avg Week Malaba-Tororo'!J18+'Avg Week Tororo-Malaba'!J18</f>
        <v>0</v>
      </c>
      <c r="K18" s="49">
        <f>'Avg Week Malaba-Tororo'!K18+'Avg Week Tororo-Malaba'!K18</f>
        <v>0</v>
      </c>
      <c r="L18" s="49">
        <f>'Avg Week Malaba-Tororo'!L18+'Avg Week Tororo-Malaba'!L18</f>
        <v>0</v>
      </c>
      <c r="M18" s="49">
        <f>'Avg Week Malaba-Tororo'!M18+'Avg Week Tororo-Malaba'!M18</f>
        <v>49.428571428571431</v>
      </c>
      <c r="N18" s="49">
        <f>'Avg Week Malaba-Tororo'!N18+'Avg Week Tororo-Malaba'!N18</f>
        <v>0</v>
      </c>
      <c r="O18" s="15">
        <f t="shared" si="0"/>
        <v>12.285714285714285</v>
      </c>
      <c r="P18" s="15">
        <f t="shared" si="1"/>
        <v>61.714285714285715</v>
      </c>
      <c r="R18" s="1" t="s">
        <v>14</v>
      </c>
      <c r="S18" s="17">
        <f t="shared" ref="S18:AF18" si="10">SUM(C42:C45)</f>
        <v>22</v>
      </c>
      <c r="T18" s="17">
        <f t="shared" si="10"/>
        <v>1.2857142857142856</v>
      </c>
      <c r="U18" s="17">
        <f t="shared" si="10"/>
        <v>16.857142857142858</v>
      </c>
      <c r="V18" s="17">
        <f t="shared" si="10"/>
        <v>19</v>
      </c>
      <c r="W18" s="17">
        <f t="shared" si="10"/>
        <v>0.5714285714285714</v>
      </c>
      <c r="X18" s="17">
        <f t="shared" si="10"/>
        <v>0.14285714285714285</v>
      </c>
      <c r="Y18" s="17">
        <f t="shared" si="10"/>
        <v>8.2857142857142847</v>
      </c>
      <c r="Z18" s="17">
        <f t="shared" si="10"/>
        <v>0.8571428571428571</v>
      </c>
      <c r="AA18" s="17">
        <f t="shared" si="10"/>
        <v>0</v>
      </c>
      <c r="AB18" s="17">
        <f t="shared" si="10"/>
        <v>0</v>
      </c>
      <c r="AC18" s="17">
        <f t="shared" si="10"/>
        <v>191.71428571428572</v>
      </c>
      <c r="AD18" s="17">
        <f t="shared" si="10"/>
        <v>0.14285714285714285</v>
      </c>
      <c r="AE18" s="31">
        <f t="shared" si="10"/>
        <v>69.142857142857139</v>
      </c>
      <c r="AF18" s="31">
        <f t="shared" si="10"/>
        <v>260.85714285714289</v>
      </c>
    </row>
    <row r="19" spans="2:32" ht="23.1" customHeight="1" x14ac:dyDescent="0.25">
      <c r="B19" s="23" t="s">
        <v>46</v>
      </c>
      <c r="C19" s="49">
        <f>'Avg Week Malaba-Tororo'!C19+'Avg Week Tororo-Malaba'!C19</f>
        <v>5.1428571428571423</v>
      </c>
      <c r="D19" s="49">
        <f>'Avg Week Malaba-Tororo'!D19+'Avg Week Tororo-Malaba'!D19</f>
        <v>0.42857142857142855</v>
      </c>
      <c r="E19" s="49">
        <f>'Avg Week Malaba-Tororo'!E19+'Avg Week Tororo-Malaba'!E19</f>
        <v>3.5714285714285712</v>
      </c>
      <c r="F19" s="49">
        <f>'Avg Week Malaba-Tororo'!F19+'Avg Week Tororo-Malaba'!F19</f>
        <v>3.7142857142857144</v>
      </c>
      <c r="G19" s="49">
        <f>'Avg Week Malaba-Tororo'!G19+'Avg Week Tororo-Malaba'!G19</f>
        <v>0</v>
      </c>
      <c r="H19" s="49">
        <f>'Avg Week Malaba-Tororo'!H19+'Avg Week Tororo-Malaba'!H19</f>
        <v>0</v>
      </c>
      <c r="I19" s="49">
        <f>'Avg Week Malaba-Tororo'!I19+'Avg Week Tororo-Malaba'!I19</f>
        <v>1.1428571428571428</v>
      </c>
      <c r="J19" s="49">
        <f>'Avg Week Malaba-Tororo'!J19+'Avg Week Tororo-Malaba'!J19</f>
        <v>0</v>
      </c>
      <c r="K19" s="49">
        <f>'Avg Week Malaba-Tororo'!K19+'Avg Week Tororo-Malaba'!K19</f>
        <v>0</v>
      </c>
      <c r="L19" s="49">
        <f>'Avg Week Malaba-Tororo'!L19+'Avg Week Tororo-Malaba'!L19</f>
        <v>0</v>
      </c>
      <c r="M19" s="49">
        <f>'Avg Week Malaba-Tororo'!M19+'Avg Week Tororo-Malaba'!M19</f>
        <v>49.714285714285715</v>
      </c>
      <c r="N19" s="49">
        <f>'Avg Week Malaba-Tororo'!N19+'Avg Week Tororo-Malaba'!N19</f>
        <v>0.14285714285714285</v>
      </c>
      <c r="O19" s="15">
        <f t="shared" si="0"/>
        <v>14.142857142857142</v>
      </c>
      <c r="P19" s="15">
        <f t="shared" si="1"/>
        <v>63.857142857142861</v>
      </c>
      <c r="R19" s="1" t="s">
        <v>15</v>
      </c>
      <c r="S19" s="17">
        <f t="shared" ref="S19:AF19" si="11">SUM(C46:C49)</f>
        <v>28.857142857142858</v>
      </c>
      <c r="T19" s="17">
        <f t="shared" si="11"/>
        <v>2.5714285714285712</v>
      </c>
      <c r="U19" s="17">
        <f t="shared" si="11"/>
        <v>18.571428571428569</v>
      </c>
      <c r="V19" s="17">
        <f t="shared" si="11"/>
        <v>24.142857142857146</v>
      </c>
      <c r="W19" s="17">
        <f t="shared" si="11"/>
        <v>1.4285714285714286</v>
      </c>
      <c r="X19" s="17">
        <f t="shared" si="11"/>
        <v>0.14285714285714285</v>
      </c>
      <c r="Y19" s="17">
        <f t="shared" si="11"/>
        <v>9.8571428571428577</v>
      </c>
      <c r="Z19" s="17">
        <f t="shared" si="11"/>
        <v>1.5714285714285714</v>
      </c>
      <c r="AA19" s="17">
        <f t="shared" si="11"/>
        <v>0.14285714285714285</v>
      </c>
      <c r="AB19" s="17">
        <f t="shared" si="11"/>
        <v>0</v>
      </c>
      <c r="AC19" s="17">
        <f t="shared" si="11"/>
        <v>194.85714285714286</v>
      </c>
      <c r="AD19" s="17">
        <f t="shared" si="11"/>
        <v>0</v>
      </c>
      <c r="AE19" s="31">
        <f t="shared" si="11"/>
        <v>87.285714285714263</v>
      </c>
      <c r="AF19" s="31">
        <f t="shared" si="11"/>
        <v>282.14285714285711</v>
      </c>
    </row>
    <row r="20" spans="2:32" ht="23.1" customHeight="1" x14ac:dyDescent="0.25">
      <c r="B20" s="23" t="s">
        <v>47</v>
      </c>
      <c r="C20" s="49">
        <f>'Avg Week Malaba-Tororo'!C20+'Avg Week Tororo-Malaba'!C20</f>
        <v>4.1428571428571432</v>
      </c>
      <c r="D20" s="49">
        <f>'Avg Week Malaba-Tororo'!D20+'Avg Week Tororo-Malaba'!D20</f>
        <v>0.42857142857142855</v>
      </c>
      <c r="E20" s="49">
        <f>'Avg Week Malaba-Tororo'!E20+'Avg Week Tororo-Malaba'!E20</f>
        <v>4.7142857142857144</v>
      </c>
      <c r="F20" s="49">
        <f>'Avg Week Malaba-Tororo'!F20+'Avg Week Tororo-Malaba'!F20</f>
        <v>3.4285714285714288</v>
      </c>
      <c r="G20" s="49">
        <f>'Avg Week Malaba-Tororo'!G20+'Avg Week Tororo-Malaba'!G20</f>
        <v>0</v>
      </c>
      <c r="H20" s="49">
        <f>'Avg Week Malaba-Tororo'!H20+'Avg Week Tororo-Malaba'!H20</f>
        <v>0</v>
      </c>
      <c r="I20" s="49">
        <f>'Avg Week Malaba-Tororo'!I20+'Avg Week Tororo-Malaba'!I20</f>
        <v>1.8571428571428572</v>
      </c>
      <c r="J20" s="49">
        <f>'Avg Week Malaba-Tororo'!J20+'Avg Week Tororo-Malaba'!J20</f>
        <v>0.14285714285714285</v>
      </c>
      <c r="K20" s="49">
        <f>'Avg Week Malaba-Tororo'!K20+'Avg Week Tororo-Malaba'!K20</f>
        <v>0</v>
      </c>
      <c r="L20" s="49">
        <f>'Avg Week Malaba-Tororo'!L20+'Avg Week Tororo-Malaba'!L20</f>
        <v>0</v>
      </c>
      <c r="M20" s="49">
        <f>'Avg Week Malaba-Tororo'!M20+'Avg Week Tororo-Malaba'!M20</f>
        <v>55.714285714285715</v>
      </c>
      <c r="N20" s="49">
        <f>'Avg Week Malaba-Tororo'!N20+'Avg Week Tororo-Malaba'!N20</f>
        <v>0.42857142857142855</v>
      </c>
      <c r="O20" s="15">
        <f t="shared" si="0"/>
        <v>15.142857142857144</v>
      </c>
      <c r="P20" s="15">
        <f t="shared" si="1"/>
        <v>70.857142857142861</v>
      </c>
      <c r="R20" s="1" t="s">
        <v>16</v>
      </c>
      <c r="S20" s="17">
        <f t="shared" ref="S20:AF20" si="12">SUM(C50:C53)</f>
        <v>23.428571428571431</v>
      </c>
      <c r="T20" s="17">
        <f t="shared" si="12"/>
        <v>2.8571428571428568</v>
      </c>
      <c r="U20" s="17">
        <f t="shared" si="12"/>
        <v>21.714285714285715</v>
      </c>
      <c r="V20" s="17">
        <f t="shared" si="12"/>
        <v>23</v>
      </c>
      <c r="W20" s="17">
        <f t="shared" si="12"/>
        <v>0.99999999999999978</v>
      </c>
      <c r="X20" s="17">
        <f t="shared" si="12"/>
        <v>0</v>
      </c>
      <c r="Y20" s="17">
        <f t="shared" si="12"/>
        <v>8.7142857142857153</v>
      </c>
      <c r="Z20" s="17">
        <f t="shared" si="12"/>
        <v>2.2857142857142856</v>
      </c>
      <c r="AA20" s="17">
        <f t="shared" si="12"/>
        <v>0.42857142857142855</v>
      </c>
      <c r="AB20" s="17">
        <f t="shared" si="12"/>
        <v>0</v>
      </c>
      <c r="AC20" s="17">
        <f t="shared" si="12"/>
        <v>174</v>
      </c>
      <c r="AD20" s="17">
        <f t="shared" si="12"/>
        <v>0.42857142857142855</v>
      </c>
      <c r="AE20" s="31">
        <f t="shared" si="12"/>
        <v>83.857142857142861</v>
      </c>
      <c r="AF20" s="31">
        <f t="shared" si="12"/>
        <v>257.85714285714289</v>
      </c>
    </row>
    <row r="21" spans="2:32" ht="23.1" customHeight="1" x14ac:dyDescent="0.25">
      <c r="B21" s="23" t="s">
        <v>48</v>
      </c>
      <c r="C21" s="49">
        <f>'Avg Week Malaba-Tororo'!C21+'Avg Week Tororo-Malaba'!C21</f>
        <v>3.7142857142857144</v>
      </c>
      <c r="D21" s="49">
        <f>'Avg Week Malaba-Tororo'!D21+'Avg Week Tororo-Malaba'!D21</f>
        <v>0.71428571428571419</v>
      </c>
      <c r="E21" s="49">
        <f>'Avg Week Malaba-Tororo'!E21+'Avg Week Tororo-Malaba'!E21</f>
        <v>5</v>
      </c>
      <c r="F21" s="49">
        <f>'Avg Week Malaba-Tororo'!F21+'Avg Week Tororo-Malaba'!F21</f>
        <v>4.2857142857142856</v>
      </c>
      <c r="G21" s="49">
        <f>'Avg Week Malaba-Tororo'!G21+'Avg Week Tororo-Malaba'!G21</f>
        <v>0</v>
      </c>
      <c r="H21" s="49">
        <f>'Avg Week Malaba-Tororo'!H21+'Avg Week Tororo-Malaba'!H21</f>
        <v>0</v>
      </c>
      <c r="I21" s="49">
        <f>'Avg Week Malaba-Tororo'!I21+'Avg Week Tororo-Malaba'!I21</f>
        <v>2.5714285714285712</v>
      </c>
      <c r="J21" s="49">
        <f>'Avg Week Malaba-Tororo'!J21+'Avg Week Tororo-Malaba'!J21</f>
        <v>0.14285714285714285</v>
      </c>
      <c r="K21" s="49">
        <f>'Avg Week Malaba-Tororo'!K21+'Avg Week Tororo-Malaba'!K21</f>
        <v>0</v>
      </c>
      <c r="L21" s="49">
        <f>'Avg Week Malaba-Tororo'!L21+'Avg Week Tororo-Malaba'!L21</f>
        <v>0</v>
      </c>
      <c r="M21" s="49">
        <f>'Avg Week Malaba-Tororo'!M21+'Avg Week Tororo-Malaba'!M21</f>
        <v>54.571428571428569</v>
      </c>
      <c r="N21" s="49">
        <f>'Avg Week Malaba-Tororo'!N21+'Avg Week Tororo-Malaba'!N21</f>
        <v>0.2857142857142857</v>
      </c>
      <c r="O21" s="15">
        <f t="shared" si="0"/>
        <v>16.714285714285712</v>
      </c>
      <c r="P21" s="15">
        <f t="shared" si="1"/>
        <v>71.285714285714292</v>
      </c>
      <c r="R21" s="36" t="s">
        <v>20</v>
      </c>
      <c r="S21" s="34">
        <f t="shared" ref="S21:AF21" si="13">SUM(C54:C57)</f>
        <v>29</v>
      </c>
      <c r="T21" s="17">
        <f t="shared" si="13"/>
        <v>1.8571428571428572</v>
      </c>
      <c r="U21" s="17">
        <f t="shared" si="13"/>
        <v>17.142857142857142</v>
      </c>
      <c r="V21" s="17">
        <f t="shared" si="13"/>
        <v>20.285714285714285</v>
      </c>
      <c r="W21" s="17">
        <f t="shared" si="13"/>
        <v>1.2857142857142856</v>
      </c>
      <c r="X21" s="17">
        <f t="shared" si="13"/>
        <v>2.1428571428571428</v>
      </c>
      <c r="Y21" s="17">
        <f t="shared" si="13"/>
        <v>8.1428571428571423</v>
      </c>
      <c r="Z21" s="17">
        <f t="shared" si="13"/>
        <v>1.7142857142857144</v>
      </c>
      <c r="AA21" s="17">
        <f t="shared" si="13"/>
        <v>0.14285714285714285</v>
      </c>
      <c r="AB21" s="17">
        <f t="shared" si="13"/>
        <v>0</v>
      </c>
      <c r="AC21" s="17">
        <f t="shared" si="13"/>
        <v>191</v>
      </c>
      <c r="AD21" s="17">
        <f t="shared" si="13"/>
        <v>0.14285714285714285</v>
      </c>
      <c r="AE21" s="31">
        <f t="shared" si="13"/>
        <v>81.857142857142861</v>
      </c>
      <c r="AF21" s="31">
        <f t="shared" si="13"/>
        <v>272.85714285714283</v>
      </c>
    </row>
    <row r="22" spans="2:32" ht="23.1" customHeight="1" x14ac:dyDescent="0.25">
      <c r="B22" s="23" t="s">
        <v>49</v>
      </c>
      <c r="C22" s="49">
        <f>'Avg Week Malaba-Tororo'!C22+'Avg Week Tororo-Malaba'!C22</f>
        <v>5</v>
      </c>
      <c r="D22" s="49">
        <f>'Avg Week Malaba-Tororo'!D22+'Avg Week Tororo-Malaba'!D22</f>
        <v>0.2857142857142857</v>
      </c>
      <c r="E22" s="49">
        <f>'Avg Week Malaba-Tororo'!E22+'Avg Week Tororo-Malaba'!E22</f>
        <v>3.4285714285714288</v>
      </c>
      <c r="F22" s="49">
        <f>'Avg Week Malaba-Tororo'!F22+'Avg Week Tororo-Malaba'!F22</f>
        <v>4</v>
      </c>
      <c r="G22" s="49">
        <f>'Avg Week Malaba-Tororo'!G22+'Avg Week Tororo-Malaba'!G22</f>
        <v>0.2857142857142857</v>
      </c>
      <c r="H22" s="49">
        <f>'Avg Week Malaba-Tororo'!H22+'Avg Week Tororo-Malaba'!H22</f>
        <v>0</v>
      </c>
      <c r="I22" s="49">
        <f>'Avg Week Malaba-Tororo'!I22+'Avg Week Tororo-Malaba'!I22</f>
        <v>1.2857142857142856</v>
      </c>
      <c r="J22" s="49">
        <f>'Avg Week Malaba-Tororo'!J22+'Avg Week Tororo-Malaba'!J22</f>
        <v>0.85714285714285721</v>
      </c>
      <c r="K22" s="49">
        <f>'Avg Week Malaba-Tororo'!K22+'Avg Week Tororo-Malaba'!K22</f>
        <v>0</v>
      </c>
      <c r="L22" s="49">
        <f>'Avg Week Malaba-Tororo'!L22+'Avg Week Tororo-Malaba'!L22</f>
        <v>0</v>
      </c>
      <c r="M22" s="49">
        <f>'Avg Week Malaba-Tororo'!M22+'Avg Week Tororo-Malaba'!M22</f>
        <v>56.714285714285715</v>
      </c>
      <c r="N22" s="49">
        <f>'Avg Week Malaba-Tororo'!N22+'Avg Week Tororo-Malaba'!N22</f>
        <v>0.14285714285714285</v>
      </c>
      <c r="O22" s="15">
        <f t="shared" si="0"/>
        <v>15.285714285714288</v>
      </c>
      <c r="P22" s="15">
        <f t="shared" si="1"/>
        <v>72</v>
      </c>
      <c r="R22" s="1" t="s">
        <v>146</v>
      </c>
      <c r="S22" s="34">
        <f>SUM(C58:C61)</f>
        <v>27.5</v>
      </c>
      <c r="T22" s="34">
        <f t="shared" ref="T22:AF22" si="14">SUM(D58:D61)</f>
        <v>3</v>
      </c>
      <c r="U22" s="34">
        <f t="shared" si="14"/>
        <v>17.5</v>
      </c>
      <c r="V22" s="34">
        <f t="shared" si="14"/>
        <v>18.5</v>
      </c>
      <c r="W22" s="34">
        <f t="shared" si="14"/>
        <v>1</v>
      </c>
      <c r="X22" s="34">
        <f t="shared" si="14"/>
        <v>0</v>
      </c>
      <c r="Y22" s="34">
        <f t="shared" si="14"/>
        <v>9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147.5</v>
      </c>
      <c r="AD22" s="34">
        <f t="shared" si="14"/>
        <v>0</v>
      </c>
      <c r="AE22" s="31">
        <f t="shared" si="14"/>
        <v>78.5</v>
      </c>
      <c r="AF22" s="31">
        <f t="shared" si="14"/>
        <v>226</v>
      </c>
    </row>
    <row r="23" spans="2:32" ht="23.1" customHeight="1" x14ac:dyDescent="0.25">
      <c r="B23" s="23" t="s">
        <v>50</v>
      </c>
      <c r="C23" s="49">
        <f>'Avg Week Malaba-Tororo'!C23+'Avg Week Tororo-Malaba'!C23</f>
        <v>6.2857142857142865</v>
      </c>
      <c r="D23" s="49">
        <f>'Avg Week Malaba-Tororo'!D23+'Avg Week Tororo-Malaba'!D23</f>
        <v>0.71428571428571419</v>
      </c>
      <c r="E23" s="49">
        <f>'Avg Week Malaba-Tororo'!E23+'Avg Week Tororo-Malaba'!E23</f>
        <v>5.7142857142857144</v>
      </c>
      <c r="F23" s="49">
        <f>'Avg Week Malaba-Tororo'!F23+'Avg Week Tororo-Malaba'!F23</f>
        <v>4</v>
      </c>
      <c r="G23" s="49">
        <f>'Avg Week Malaba-Tororo'!G23+'Avg Week Tororo-Malaba'!G23</f>
        <v>0.14285714285714285</v>
      </c>
      <c r="H23" s="49">
        <f>'Avg Week Malaba-Tororo'!H23+'Avg Week Tororo-Malaba'!H23</f>
        <v>0</v>
      </c>
      <c r="I23" s="49">
        <f>'Avg Week Malaba-Tororo'!I23+'Avg Week Tororo-Malaba'!I23</f>
        <v>2</v>
      </c>
      <c r="J23" s="49">
        <f>'Avg Week Malaba-Tororo'!J23+'Avg Week Tororo-Malaba'!J23</f>
        <v>0.5714285714285714</v>
      </c>
      <c r="K23" s="49">
        <f>'Avg Week Malaba-Tororo'!K23+'Avg Week Tororo-Malaba'!K23</f>
        <v>0.14285714285714285</v>
      </c>
      <c r="L23" s="49">
        <f>'Avg Week Malaba-Tororo'!L23+'Avg Week Tororo-Malaba'!L23</f>
        <v>0</v>
      </c>
      <c r="M23" s="49">
        <f>'Avg Week Malaba-Tororo'!M23+'Avg Week Tororo-Malaba'!M23</f>
        <v>47.285714285714292</v>
      </c>
      <c r="N23" s="49">
        <f>'Avg Week Malaba-Tororo'!N23+'Avg Week Tororo-Malaba'!N23</f>
        <v>0</v>
      </c>
      <c r="O23" s="15">
        <f t="shared" si="0"/>
        <v>19.571428571428573</v>
      </c>
      <c r="P23" s="15">
        <f t="shared" si="1"/>
        <v>66.857142857142861</v>
      </c>
      <c r="R23" s="1" t="s">
        <v>147</v>
      </c>
      <c r="S23" s="34">
        <f>SUM(C62:C65)</f>
        <v>20</v>
      </c>
      <c r="T23" s="34">
        <f t="shared" ref="T23:AF23" si="15">SUM(D62:D65)</f>
        <v>2</v>
      </c>
      <c r="U23" s="34">
        <f t="shared" si="15"/>
        <v>16.5</v>
      </c>
      <c r="V23" s="34">
        <f t="shared" si="15"/>
        <v>12.5</v>
      </c>
      <c r="W23" s="34">
        <f t="shared" si="15"/>
        <v>0.5</v>
      </c>
      <c r="X23" s="34">
        <f t="shared" si="15"/>
        <v>0</v>
      </c>
      <c r="Y23" s="34">
        <f t="shared" si="15"/>
        <v>8.5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68</v>
      </c>
      <c r="AD23" s="34">
        <f t="shared" si="15"/>
        <v>0</v>
      </c>
      <c r="AE23" s="31">
        <f t="shared" si="15"/>
        <v>61</v>
      </c>
      <c r="AF23" s="31">
        <f t="shared" si="15"/>
        <v>129</v>
      </c>
    </row>
    <row r="24" spans="2:32" ht="23.1" customHeight="1" x14ac:dyDescent="0.25">
      <c r="B24" s="23" t="s">
        <v>51</v>
      </c>
      <c r="C24" s="49">
        <f>'Avg Week Malaba-Tororo'!C24+'Avg Week Tororo-Malaba'!C24</f>
        <v>6.5714285714285712</v>
      </c>
      <c r="D24" s="49">
        <f>'Avg Week Malaba-Tororo'!D24+'Avg Week Tororo-Malaba'!D24</f>
        <v>0.14285714285714285</v>
      </c>
      <c r="E24" s="49">
        <f>'Avg Week Malaba-Tororo'!E24+'Avg Week Tororo-Malaba'!E24</f>
        <v>4</v>
      </c>
      <c r="F24" s="49">
        <f>'Avg Week Malaba-Tororo'!F24+'Avg Week Tororo-Malaba'!F24</f>
        <v>4.2857142857142856</v>
      </c>
      <c r="G24" s="49">
        <f>'Avg Week Malaba-Tororo'!G24+'Avg Week Tororo-Malaba'!G24</f>
        <v>0.2857142857142857</v>
      </c>
      <c r="H24" s="49">
        <f>'Avg Week Malaba-Tororo'!H24+'Avg Week Tororo-Malaba'!H24</f>
        <v>0.14285714285714285</v>
      </c>
      <c r="I24" s="49">
        <f>'Avg Week Malaba-Tororo'!I24+'Avg Week Tororo-Malaba'!I24</f>
        <v>1.8571428571428572</v>
      </c>
      <c r="J24" s="49">
        <f>'Avg Week Malaba-Tororo'!J24+'Avg Week Tororo-Malaba'!J24</f>
        <v>3.8571428571428572</v>
      </c>
      <c r="K24" s="49">
        <f>'Avg Week Malaba-Tororo'!K24+'Avg Week Tororo-Malaba'!K24</f>
        <v>0.2857142857142857</v>
      </c>
      <c r="L24" s="49">
        <f>'Avg Week Malaba-Tororo'!L24+'Avg Week Tororo-Malaba'!L24</f>
        <v>0</v>
      </c>
      <c r="M24" s="49">
        <f>'Avg Week Malaba-Tororo'!M24+'Avg Week Tororo-Malaba'!M24</f>
        <v>53.428571428571431</v>
      </c>
      <c r="N24" s="49">
        <f>'Avg Week Malaba-Tororo'!N24+'Avg Week Tororo-Malaba'!N24</f>
        <v>0</v>
      </c>
      <c r="O24" s="15">
        <f t="shared" si="0"/>
        <v>21.428571428571427</v>
      </c>
      <c r="P24" s="15">
        <f t="shared" si="1"/>
        <v>74.857142857142861</v>
      </c>
      <c r="R24" s="1" t="s">
        <v>148</v>
      </c>
      <c r="S24" s="34">
        <f>SUM(C66:C69)</f>
        <v>18</v>
      </c>
      <c r="T24" s="34">
        <f t="shared" ref="T24:AF24" si="16">SUM(D66:D69)</f>
        <v>0</v>
      </c>
      <c r="U24" s="34">
        <f t="shared" si="16"/>
        <v>9.5</v>
      </c>
      <c r="V24" s="34">
        <f t="shared" si="16"/>
        <v>10.5</v>
      </c>
      <c r="W24" s="34">
        <f t="shared" si="16"/>
        <v>0</v>
      </c>
      <c r="X24" s="34">
        <f t="shared" si="16"/>
        <v>0</v>
      </c>
      <c r="Y24" s="34">
        <f t="shared" si="16"/>
        <v>5</v>
      </c>
      <c r="Z24" s="34">
        <f t="shared" si="16"/>
        <v>1</v>
      </c>
      <c r="AA24" s="34">
        <f t="shared" si="16"/>
        <v>0.5</v>
      </c>
      <c r="AB24" s="34">
        <f t="shared" si="16"/>
        <v>0</v>
      </c>
      <c r="AC24" s="34">
        <f t="shared" si="16"/>
        <v>46.5</v>
      </c>
      <c r="AD24" s="34">
        <f t="shared" si="16"/>
        <v>0</v>
      </c>
      <c r="AE24" s="31">
        <f t="shared" si="16"/>
        <v>44.5</v>
      </c>
      <c r="AF24" s="31">
        <f t="shared" si="16"/>
        <v>91</v>
      </c>
    </row>
    <row r="25" spans="2:32" ht="23.1" customHeight="1" x14ac:dyDescent="0.25">
      <c r="B25" s="23" t="s">
        <v>52</v>
      </c>
      <c r="C25" s="49">
        <f>'Avg Week Malaba-Tororo'!C25+'Avg Week Tororo-Malaba'!C25</f>
        <v>5.2857142857142856</v>
      </c>
      <c r="D25" s="49">
        <f>'Avg Week Malaba-Tororo'!D25+'Avg Week Tororo-Malaba'!D25</f>
        <v>0.42857142857142855</v>
      </c>
      <c r="E25" s="49">
        <f>'Avg Week Malaba-Tororo'!E25+'Avg Week Tororo-Malaba'!E25</f>
        <v>4.5714285714285712</v>
      </c>
      <c r="F25" s="49">
        <f>'Avg Week Malaba-Tororo'!F25+'Avg Week Tororo-Malaba'!F25</f>
        <v>3.4285714285714288</v>
      </c>
      <c r="G25" s="49">
        <f>'Avg Week Malaba-Tororo'!G25+'Avg Week Tororo-Malaba'!G25</f>
        <v>0.2857142857142857</v>
      </c>
      <c r="H25" s="49">
        <f>'Avg Week Malaba-Tororo'!H25+'Avg Week Tororo-Malaba'!H25</f>
        <v>0.42857142857142855</v>
      </c>
      <c r="I25" s="49">
        <f>'Avg Week Malaba-Tororo'!I25+'Avg Week Tororo-Malaba'!I25</f>
        <v>1.2857142857142856</v>
      </c>
      <c r="J25" s="49">
        <f>'Avg Week Malaba-Tororo'!J25+'Avg Week Tororo-Malaba'!J25</f>
        <v>0.14285714285714285</v>
      </c>
      <c r="K25" s="49">
        <f>'Avg Week Malaba-Tororo'!K25+'Avg Week Tororo-Malaba'!K25</f>
        <v>0</v>
      </c>
      <c r="L25" s="49">
        <f>'Avg Week Malaba-Tororo'!L25+'Avg Week Tororo-Malaba'!L25</f>
        <v>0</v>
      </c>
      <c r="M25" s="49">
        <f>'Avg Week Malaba-Tororo'!M25+'Avg Week Tororo-Malaba'!M25</f>
        <v>58.857142857142861</v>
      </c>
      <c r="N25" s="49">
        <f>'Avg Week Malaba-Tororo'!N25+'Avg Week Tororo-Malaba'!N25</f>
        <v>0</v>
      </c>
      <c r="O25" s="15">
        <f t="shared" si="0"/>
        <v>15.857142857142858</v>
      </c>
      <c r="P25" s="15">
        <f t="shared" si="1"/>
        <v>74.714285714285722</v>
      </c>
      <c r="R25" s="1" t="s">
        <v>149</v>
      </c>
      <c r="S25" s="34">
        <f>SUM(C70:C73)</f>
        <v>14</v>
      </c>
      <c r="T25" s="34">
        <f t="shared" ref="T25:AF25" si="17">SUM(D70:D73)</f>
        <v>0</v>
      </c>
      <c r="U25" s="34">
        <f t="shared" si="17"/>
        <v>6.5</v>
      </c>
      <c r="V25" s="34">
        <f t="shared" si="17"/>
        <v>6</v>
      </c>
      <c r="W25" s="34">
        <f t="shared" si="17"/>
        <v>0</v>
      </c>
      <c r="X25" s="34">
        <f t="shared" si="17"/>
        <v>2</v>
      </c>
      <c r="Y25" s="34">
        <f t="shared" si="17"/>
        <v>4.5</v>
      </c>
      <c r="Z25" s="34">
        <f t="shared" si="17"/>
        <v>0.5</v>
      </c>
      <c r="AA25" s="34">
        <f t="shared" si="17"/>
        <v>0</v>
      </c>
      <c r="AB25" s="34">
        <f t="shared" si="17"/>
        <v>0</v>
      </c>
      <c r="AC25" s="34">
        <f t="shared" si="17"/>
        <v>37</v>
      </c>
      <c r="AD25" s="34">
        <f t="shared" si="17"/>
        <v>0</v>
      </c>
      <c r="AE25" s="31">
        <f t="shared" si="17"/>
        <v>33.5</v>
      </c>
      <c r="AF25" s="31">
        <f t="shared" si="17"/>
        <v>70.5</v>
      </c>
    </row>
    <row r="26" spans="2:32" ht="23.1" customHeight="1" x14ac:dyDescent="0.25">
      <c r="B26" s="23" t="s">
        <v>53</v>
      </c>
      <c r="C26" s="49">
        <f>'Avg Week Malaba-Tororo'!C26+'Avg Week Tororo-Malaba'!C26</f>
        <v>7.2857142857142856</v>
      </c>
      <c r="D26" s="49">
        <f>'Avg Week Malaba-Tororo'!D26+'Avg Week Tororo-Malaba'!D26</f>
        <v>0.5714285714285714</v>
      </c>
      <c r="E26" s="49">
        <f>'Avg Week Malaba-Tororo'!E26+'Avg Week Tororo-Malaba'!E26</f>
        <v>5.1428571428571423</v>
      </c>
      <c r="F26" s="49">
        <f>'Avg Week Malaba-Tororo'!F26+'Avg Week Tororo-Malaba'!F26</f>
        <v>4.4285714285714288</v>
      </c>
      <c r="G26" s="49">
        <f>'Avg Week Malaba-Tororo'!G26+'Avg Week Tororo-Malaba'!G26</f>
        <v>0.14285714285714285</v>
      </c>
      <c r="H26" s="49">
        <f>'Avg Week Malaba-Tororo'!H26+'Avg Week Tororo-Malaba'!H26</f>
        <v>0</v>
      </c>
      <c r="I26" s="49">
        <f>'Avg Week Malaba-Tororo'!I26+'Avg Week Tororo-Malaba'!I26</f>
        <v>1.857142857142857</v>
      </c>
      <c r="J26" s="49">
        <f>'Avg Week Malaba-Tororo'!J26+'Avg Week Tororo-Malaba'!J26</f>
        <v>0</v>
      </c>
      <c r="K26" s="49">
        <f>'Avg Week Malaba-Tororo'!K26+'Avg Week Tororo-Malaba'!K26</f>
        <v>0</v>
      </c>
      <c r="L26" s="49">
        <f>'Avg Week Malaba-Tororo'!L26+'Avg Week Tororo-Malaba'!L26</f>
        <v>0</v>
      </c>
      <c r="M26" s="49">
        <f>'Avg Week Malaba-Tororo'!M26+'Avg Week Tororo-Malaba'!M26</f>
        <v>55.571428571428569</v>
      </c>
      <c r="N26" s="49">
        <f>'Avg Week Malaba-Tororo'!N26+'Avg Week Tororo-Malaba'!N26</f>
        <v>0</v>
      </c>
      <c r="O26" s="15">
        <f t="shared" si="0"/>
        <v>19.428571428571431</v>
      </c>
      <c r="P26" s="15">
        <f t="shared" si="1"/>
        <v>75</v>
      </c>
      <c r="R26" s="1" t="s">
        <v>150</v>
      </c>
      <c r="S26" s="34">
        <f>SUM(C74:C77)</f>
        <v>7</v>
      </c>
      <c r="T26" s="34">
        <f t="shared" ref="T26:AF26" si="18">SUM(D74:D77)</f>
        <v>0.5</v>
      </c>
      <c r="U26" s="34">
        <f t="shared" si="18"/>
        <v>7</v>
      </c>
      <c r="V26" s="34">
        <f t="shared" si="18"/>
        <v>4</v>
      </c>
      <c r="W26" s="34">
        <f t="shared" si="18"/>
        <v>0</v>
      </c>
      <c r="X26" s="34">
        <f t="shared" si="18"/>
        <v>1</v>
      </c>
      <c r="Y26" s="34">
        <f t="shared" si="18"/>
        <v>1.5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23.5</v>
      </c>
      <c r="AD26" s="34">
        <f t="shared" si="18"/>
        <v>0</v>
      </c>
      <c r="AE26" s="31">
        <f t="shared" si="18"/>
        <v>21</v>
      </c>
      <c r="AF26" s="31">
        <f t="shared" si="18"/>
        <v>44.5</v>
      </c>
    </row>
    <row r="27" spans="2:32" ht="23.1" customHeight="1" x14ac:dyDescent="0.25">
      <c r="B27" s="23" t="s">
        <v>54</v>
      </c>
      <c r="C27" s="49">
        <f>'Avg Week Malaba-Tororo'!C27+'Avg Week Tororo-Malaba'!C27</f>
        <v>6.2857142857142856</v>
      </c>
      <c r="D27" s="49">
        <f>'Avg Week Malaba-Tororo'!D27+'Avg Week Tororo-Malaba'!D27</f>
        <v>0.42857142857142855</v>
      </c>
      <c r="E27" s="49">
        <f>'Avg Week Malaba-Tororo'!E27+'Avg Week Tororo-Malaba'!E27</f>
        <v>4.2857142857142856</v>
      </c>
      <c r="F27" s="49">
        <f>'Avg Week Malaba-Tororo'!F27+'Avg Week Tororo-Malaba'!F27</f>
        <v>6.7142857142857135</v>
      </c>
      <c r="G27" s="49">
        <f>'Avg Week Malaba-Tororo'!G27+'Avg Week Tororo-Malaba'!G27</f>
        <v>0.2857142857142857</v>
      </c>
      <c r="H27" s="49">
        <f>'Avg Week Malaba-Tororo'!H27+'Avg Week Tororo-Malaba'!H27</f>
        <v>0</v>
      </c>
      <c r="I27" s="49">
        <f>'Avg Week Malaba-Tororo'!I27+'Avg Week Tororo-Malaba'!I27</f>
        <v>1.8571428571428572</v>
      </c>
      <c r="J27" s="49">
        <f>'Avg Week Malaba-Tororo'!J27+'Avg Week Tororo-Malaba'!J27</f>
        <v>0.14285714285714285</v>
      </c>
      <c r="K27" s="49">
        <f>'Avg Week Malaba-Tororo'!K27+'Avg Week Tororo-Malaba'!K27</f>
        <v>0</v>
      </c>
      <c r="L27" s="49">
        <f>'Avg Week Malaba-Tororo'!L27+'Avg Week Tororo-Malaba'!L27</f>
        <v>0</v>
      </c>
      <c r="M27" s="49">
        <f>'Avg Week Malaba-Tororo'!M27+'Avg Week Tororo-Malaba'!M27</f>
        <v>51.142857142857139</v>
      </c>
      <c r="N27" s="49">
        <f>'Avg Week Malaba-Tororo'!N27+'Avg Week Tororo-Malaba'!N27</f>
        <v>0</v>
      </c>
      <c r="O27" s="15">
        <f t="shared" si="0"/>
        <v>20</v>
      </c>
      <c r="P27" s="15">
        <f t="shared" si="1"/>
        <v>71.142857142857139</v>
      </c>
      <c r="R27" s="1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2.5</v>
      </c>
      <c r="W27" s="34">
        <f t="shared" si="19"/>
        <v>0</v>
      </c>
      <c r="X27" s="34">
        <f t="shared" si="19"/>
        <v>1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12</v>
      </c>
      <c r="AD27" s="34">
        <f t="shared" si="19"/>
        <v>0</v>
      </c>
      <c r="AE27" s="31">
        <f t="shared" si="19"/>
        <v>7.5</v>
      </c>
      <c r="AF27" s="31">
        <f t="shared" si="19"/>
        <v>19.5</v>
      </c>
    </row>
    <row r="28" spans="2:32" ht="23.1" customHeight="1" x14ac:dyDescent="0.25">
      <c r="B28" s="23" t="s">
        <v>55</v>
      </c>
      <c r="C28" s="49">
        <f>'Avg Week Malaba-Tororo'!C28+'Avg Week Tororo-Malaba'!C28</f>
        <v>5.8571428571428577</v>
      </c>
      <c r="D28" s="49">
        <f>'Avg Week Malaba-Tororo'!D28+'Avg Week Tororo-Malaba'!D28</f>
        <v>0.42857142857142855</v>
      </c>
      <c r="E28" s="49">
        <f>'Avg Week Malaba-Tororo'!E28+'Avg Week Tororo-Malaba'!E28</f>
        <v>5.8571428571428577</v>
      </c>
      <c r="F28" s="49">
        <f>'Avg Week Malaba-Tororo'!F28+'Avg Week Tororo-Malaba'!F28</f>
        <v>5</v>
      </c>
      <c r="G28" s="49">
        <f>'Avg Week Malaba-Tororo'!G28+'Avg Week Tororo-Malaba'!G28</f>
        <v>0</v>
      </c>
      <c r="H28" s="49">
        <f>'Avg Week Malaba-Tororo'!H28+'Avg Week Tororo-Malaba'!H28</f>
        <v>0</v>
      </c>
      <c r="I28" s="49">
        <f>'Avg Week Malaba-Tororo'!I28+'Avg Week Tororo-Malaba'!I28</f>
        <v>2</v>
      </c>
      <c r="J28" s="49">
        <f>'Avg Week Malaba-Tororo'!J28+'Avg Week Tororo-Malaba'!J28</f>
        <v>0</v>
      </c>
      <c r="K28" s="49">
        <f>'Avg Week Malaba-Tororo'!K28+'Avg Week Tororo-Malaba'!K28</f>
        <v>0</v>
      </c>
      <c r="L28" s="49">
        <f>'Avg Week Malaba-Tororo'!L28+'Avg Week Tororo-Malaba'!L28</f>
        <v>0</v>
      </c>
      <c r="M28" s="49">
        <f>'Avg Week Malaba-Tororo'!M28+'Avg Week Tororo-Malaba'!M28</f>
        <v>62</v>
      </c>
      <c r="N28" s="49">
        <f>'Avg Week Malaba-Tororo'!N28+'Avg Week Tororo-Malaba'!N28</f>
        <v>0</v>
      </c>
      <c r="O28" s="15">
        <f t="shared" si="0"/>
        <v>19.142857142857146</v>
      </c>
      <c r="P28" s="15">
        <f t="shared" si="1"/>
        <v>81.142857142857139</v>
      </c>
      <c r="R28" s="1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1.5</v>
      </c>
      <c r="Y28" s="34">
        <f t="shared" si="20"/>
        <v>0.5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8.5</v>
      </c>
      <c r="AF28" s="31">
        <f t="shared" si="20"/>
        <v>10.5</v>
      </c>
    </row>
    <row r="29" spans="2:32" ht="23.1" customHeight="1" x14ac:dyDescent="0.25">
      <c r="B29" s="23" t="s">
        <v>56</v>
      </c>
      <c r="C29" s="49">
        <f>'Avg Week Malaba-Tororo'!C29+'Avg Week Tororo-Malaba'!C29</f>
        <v>8.2857142857142847</v>
      </c>
      <c r="D29" s="49">
        <f>'Avg Week Malaba-Tororo'!D29+'Avg Week Tororo-Malaba'!D29</f>
        <v>0.14285714285714285</v>
      </c>
      <c r="E29" s="49">
        <f>'Avg Week Malaba-Tororo'!E29+'Avg Week Tororo-Malaba'!E29</f>
        <v>3.7142857142857144</v>
      </c>
      <c r="F29" s="49">
        <f>'Avg Week Malaba-Tororo'!F29+'Avg Week Tororo-Malaba'!F29</f>
        <v>4.2857142857142856</v>
      </c>
      <c r="G29" s="49">
        <f>'Avg Week Malaba-Tororo'!G29+'Avg Week Tororo-Malaba'!G29</f>
        <v>0.42857142857142855</v>
      </c>
      <c r="H29" s="49">
        <f>'Avg Week Malaba-Tororo'!H29+'Avg Week Tororo-Malaba'!H29</f>
        <v>0.14285714285714285</v>
      </c>
      <c r="I29" s="49">
        <f>'Avg Week Malaba-Tororo'!I29+'Avg Week Tororo-Malaba'!I29</f>
        <v>2</v>
      </c>
      <c r="J29" s="49">
        <f>'Avg Week Malaba-Tororo'!J29+'Avg Week Tororo-Malaba'!J29</f>
        <v>0.42857142857142855</v>
      </c>
      <c r="K29" s="49">
        <f>'Avg Week Malaba-Tororo'!K29+'Avg Week Tororo-Malaba'!K29</f>
        <v>0</v>
      </c>
      <c r="L29" s="49">
        <f>'Avg Week Malaba-Tororo'!L29+'Avg Week Tororo-Malaba'!L29</f>
        <v>0</v>
      </c>
      <c r="M29" s="49">
        <f>'Avg Week Malaba-Tororo'!M29+'Avg Week Tororo-Malaba'!M29</f>
        <v>54.571428571428569</v>
      </c>
      <c r="N29" s="49">
        <f>'Avg Week Malaba-Tororo'!N29+'Avg Week Tororo-Malaba'!N29</f>
        <v>0</v>
      </c>
      <c r="O29" s="15">
        <f t="shared" si="0"/>
        <v>19.428571428571423</v>
      </c>
      <c r="P29" s="15">
        <f t="shared" si="1"/>
        <v>74</v>
      </c>
      <c r="R29" s="1" t="s">
        <v>153</v>
      </c>
      <c r="S29" s="34">
        <f>SUM(C86:C89)</f>
        <v>5.5</v>
      </c>
      <c r="T29" s="34">
        <f t="shared" ref="T29:AF29" si="21">SUM(D86:D89)</f>
        <v>0</v>
      </c>
      <c r="U29" s="34">
        <f t="shared" si="21"/>
        <v>4.5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0.5</v>
      </c>
      <c r="AD29" s="34">
        <f t="shared" si="21"/>
        <v>0</v>
      </c>
      <c r="AE29" s="31">
        <f t="shared" si="21"/>
        <v>13</v>
      </c>
      <c r="AF29" s="31">
        <f t="shared" si="21"/>
        <v>13.5</v>
      </c>
    </row>
    <row r="30" spans="2:32" ht="23.1" customHeight="1" x14ac:dyDescent="0.25">
      <c r="B30" s="23" t="s">
        <v>57</v>
      </c>
      <c r="C30" s="49">
        <f>'Avg Week Malaba-Tororo'!C30+'Avg Week Tororo-Malaba'!C30</f>
        <v>5.8571428571428577</v>
      </c>
      <c r="D30" s="49">
        <f>'Avg Week Malaba-Tororo'!D30+'Avg Week Tororo-Malaba'!D30</f>
        <v>0.8571428571428571</v>
      </c>
      <c r="E30" s="49">
        <f>'Avg Week Malaba-Tororo'!E30+'Avg Week Tororo-Malaba'!E30</f>
        <v>5.7142857142857144</v>
      </c>
      <c r="F30" s="49">
        <f>'Avg Week Malaba-Tororo'!F30+'Avg Week Tororo-Malaba'!F30</f>
        <v>5.1428571428571423</v>
      </c>
      <c r="G30" s="49">
        <f>'Avg Week Malaba-Tororo'!G30+'Avg Week Tororo-Malaba'!G30</f>
        <v>0</v>
      </c>
      <c r="H30" s="49">
        <f>'Avg Week Malaba-Tororo'!H30+'Avg Week Tororo-Malaba'!H30</f>
        <v>0</v>
      </c>
      <c r="I30" s="49">
        <f>'Avg Week Malaba-Tororo'!I30+'Avg Week Tororo-Malaba'!I30</f>
        <v>2.714285714285714</v>
      </c>
      <c r="J30" s="49">
        <f>'Avg Week Malaba-Tororo'!J30+'Avg Week Tororo-Malaba'!J30</f>
        <v>0.2857142857142857</v>
      </c>
      <c r="K30" s="49">
        <f>'Avg Week Malaba-Tororo'!K30+'Avg Week Tororo-Malaba'!K30</f>
        <v>0</v>
      </c>
      <c r="L30" s="49">
        <f>'Avg Week Malaba-Tororo'!L30+'Avg Week Tororo-Malaba'!L30</f>
        <v>0</v>
      </c>
      <c r="M30" s="49">
        <f>'Avg Week Malaba-Tororo'!M30+'Avg Week Tororo-Malaba'!M30</f>
        <v>59.142857142857139</v>
      </c>
      <c r="N30" s="49">
        <f>'Avg Week Malaba-Tororo'!N30+'Avg Week Tororo-Malaba'!N30</f>
        <v>0</v>
      </c>
      <c r="O30" s="15">
        <f t="shared" si="0"/>
        <v>20.571428571428569</v>
      </c>
      <c r="P30" s="15">
        <f t="shared" si="1"/>
        <v>79.714285714285708</v>
      </c>
      <c r="R30" s="1" t="s">
        <v>154</v>
      </c>
      <c r="S30" s="34">
        <f>SUM(C90:C93)</f>
        <v>3.5</v>
      </c>
      <c r="T30" s="34">
        <f t="shared" ref="T30:AF30" si="22">SUM(D90:D93)</f>
        <v>0</v>
      </c>
      <c r="U30" s="34">
        <f t="shared" si="22"/>
        <v>2.5</v>
      </c>
      <c r="V30" s="34">
        <f t="shared" si="22"/>
        <v>4.5</v>
      </c>
      <c r="W30" s="34">
        <f t="shared" si="22"/>
        <v>0</v>
      </c>
      <c r="X30" s="34">
        <f t="shared" si="22"/>
        <v>1</v>
      </c>
      <c r="Y30" s="34">
        <f t="shared" si="22"/>
        <v>2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43.5</v>
      </c>
      <c r="AD30" s="34">
        <f t="shared" si="22"/>
        <v>0</v>
      </c>
      <c r="AE30" s="31">
        <f t="shared" si="22"/>
        <v>14</v>
      </c>
      <c r="AF30" s="31">
        <f t="shared" si="22"/>
        <v>57.5</v>
      </c>
    </row>
    <row r="31" spans="2:32" ht="23.1" customHeight="1" x14ac:dyDescent="0.25">
      <c r="B31" s="24" t="s">
        <v>58</v>
      </c>
      <c r="C31" s="49">
        <f>'Avg Week Malaba-Tororo'!C31+'Avg Week Tororo-Malaba'!C31</f>
        <v>4.7142857142857144</v>
      </c>
      <c r="D31" s="49">
        <f>'Avg Week Malaba-Tororo'!D31+'Avg Week Tororo-Malaba'!D31</f>
        <v>0.5714285714285714</v>
      </c>
      <c r="E31" s="49">
        <f>'Avg Week Malaba-Tororo'!E31+'Avg Week Tororo-Malaba'!E31</f>
        <v>4.7142857142857144</v>
      </c>
      <c r="F31" s="49">
        <f>'Avg Week Malaba-Tororo'!F31+'Avg Week Tororo-Malaba'!F31</f>
        <v>4.7142857142857144</v>
      </c>
      <c r="G31" s="49">
        <f>'Avg Week Malaba-Tororo'!G31+'Avg Week Tororo-Malaba'!G31</f>
        <v>0.2857142857142857</v>
      </c>
      <c r="H31" s="49">
        <f>'Avg Week Malaba-Tororo'!H31+'Avg Week Tororo-Malaba'!H31</f>
        <v>0</v>
      </c>
      <c r="I31" s="49">
        <f>'Avg Week Malaba-Tororo'!I31+'Avg Week Tororo-Malaba'!I31</f>
        <v>1.7142857142857144</v>
      </c>
      <c r="J31" s="49">
        <f>'Avg Week Malaba-Tororo'!J31+'Avg Week Tororo-Malaba'!J31</f>
        <v>0</v>
      </c>
      <c r="K31" s="49">
        <f>'Avg Week Malaba-Tororo'!K31+'Avg Week Tororo-Malaba'!K31</f>
        <v>0</v>
      </c>
      <c r="L31" s="49">
        <f>'Avg Week Malaba-Tororo'!L31+'Avg Week Tororo-Malaba'!L31</f>
        <v>0</v>
      </c>
      <c r="M31" s="49">
        <f>'Avg Week Malaba-Tororo'!M31+'Avg Week Tororo-Malaba'!M31</f>
        <v>51.571428571428569</v>
      </c>
      <c r="N31" s="49">
        <f>'Avg Week Malaba-Tororo'!N31+'Avg Week Tororo-Malaba'!N31</f>
        <v>0</v>
      </c>
      <c r="O31" s="15">
        <f t="shared" si="0"/>
        <v>16.714285714285715</v>
      </c>
      <c r="P31" s="15">
        <f t="shared" si="1"/>
        <v>68.285714285714278</v>
      </c>
      <c r="R31" s="1" t="s">
        <v>155</v>
      </c>
      <c r="S31" s="34">
        <f>SUM(C94:C97)</f>
        <v>4.5</v>
      </c>
      <c r="T31" s="34">
        <f t="shared" ref="T31:AF31" si="23">SUM(D94:D97)</f>
        <v>0</v>
      </c>
      <c r="U31" s="34">
        <f t="shared" si="23"/>
        <v>2.5</v>
      </c>
      <c r="V31" s="34">
        <f t="shared" si="23"/>
        <v>2.5</v>
      </c>
      <c r="W31" s="34">
        <f t="shared" si="23"/>
        <v>0</v>
      </c>
      <c r="X31" s="34">
        <f t="shared" si="23"/>
        <v>1</v>
      </c>
      <c r="Y31" s="34">
        <f t="shared" si="23"/>
        <v>3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41</v>
      </c>
      <c r="AD31" s="34">
        <f t="shared" si="23"/>
        <v>0</v>
      </c>
      <c r="AE31" s="31">
        <f t="shared" si="23"/>
        <v>13.5</v>
      </c>
      <c r="AF31" s="31">
        <f t="shared" si="23"/>
        <v>54.5</v>
      </c>
    </row>
    <row r="32" spans="2:32" ht="23.1" customHeight="1" x14ac:dyDescent="0.25">
      <c r="B32" s="24" t="s">
        <v>59</v>
      </c>
      <c r="C32" s="49">
        <f>'Avg Week Malaba-Tororo'!C32+'Avg Week Tororo-Malaba'!C32</f>
        <v>5.8571428571428577</v>
      </c>
      <c r="D32" s="49">
        <f>'Avg Week Malaba-Tororo'!D32+'Avg Week Tororo-Malaba'!D32</f>
        <v>0.5714285714285714</v>
      </c>
      <c r="E32" s="49">
        <f>'Avg Week Malaba-Tororo'!E32+'Avg Week Tororo-Malaba'!E32</f>
        <v>5</v>
      </c>
      <c r="F32" s="49">
        <f>'Avg Week Malaba-Tororo'!F32+'Avg Week Tororo-Malaba'!F32</f>
        <v>4.4285714285714288</v>
      </c>
      <c r="G32" s="49">
        <f>'Avg Week Malaba-Tororo'!G32+'Avg Week Tororo-Malaba'!G32</f>
        <v>0.14285714285714285</v>
      </c>
      <c r="H32" s="49">
        <f>'Avg Week Malaba-Tororo'!H32+'Avg Week Tororo-Malaba'!H32</f>
        <v>0</v>
      </c>
      <c r="I32" s="49">
        <f>'Avg Week Malaba-Tororo'!I32+'Avg Week Tororo-Malaba'!I32</f>
        <v>2.4285714285714284</v>
      </c>
      <c r="J32" s="49">
        <f>'Avg Week Malaba-Tororo'!J32+'Avg Week Tororo-Malaba'!J32</f>
        <v>0.2857142857142857</v>
      </c>
      <c r="K32" s="49">
        <f>'Avg Week Malaba-Tororo'!K32+'Avg Week Tororo-Malaba'!K32</f>
        <v>0.2857142857142857</v>
      </c>
      <c r="L32" s="49">
        <f>'Avg Week Malaba-Tororo'!L32+'Avg Week Tororo-Malaba'!L32</f>
        <v>0</v>
      </c>
      <c r="M32" s="49">
        <f>'Avg Week Malaba-Tororo'!M32+'Avg Week Tororo-Malaba'!M32</f>
        <v>53.857142857142861</v>
      </c>
      <c r="N32" s="49">
        <f>'Avg Week Malaba-Tororo'!N32+'Avg Week Tororo-Malaba'!N32</f>
        <v>0.2857142857142857</v>
      </c>
      <c r="O32" s="15">
        <f t="shared" si="0"/>
        <v>19.285714285714281</v>
      </c>
      <c r="P32" s="15">
        <f t="shared" si="1"/>
        <v>73.142857142857153</v>
      </c>
      <c r="R32" s="1" t="s">
        <v>156</v>
      </c>
      <c r="S32" s="34">
        <f>SUM(C98:C101)</f>
        <v>1.5</v>
      </c>
      <c r="T32" s="34">
        <f t="shared" ref="T32:AF32" si="24">SUM(D98:D101)</f>
        <v>0</v>
      </c>
      <c r="U32" s="34">
        <f t="shared" si="24"/>
        <v>0.5</v>
      </c>
      <c r="V32" s="34">
        <f t="shared" si="24"/>
        <v>5.5</v>
      </c>
      <c r="W32" s="34">
        <f t="shared" si="24"/>
        <v>0</v>
      </c>
      <c r="X32" s="34">
        <f t="shared" si="24"/>
        <v>3</v>
      </c>
      <c r="Y32" s="34">
        <f t="shared" si="24"/>
        <v>1.5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36</v>
      </c>
      <c r="AD32" s="34">
        <f t="shared" si="24"/>
        <v>0</v>
      </c>
      <c r="AE32" s="31">
        <f t="shared" si="24"/>
        <v>12.5</v>
      </c>
      <c r="AF32" s="31">
        <f t="shared" si="24"/>
        <v>48.5</v>
      </c>
    </row>
    <row r="33" spans="2:32" ht="23.1" customHeight="1" x14ac:dyDescent="0.25">
      <c r="B33" s="23" t="s">
        <v>60</v>
      </c>
      <c r="C33" s="49">
        <f>'Avg Week Malaba-Tororo'!C33+'Avg Week Tororo-Malaba'!C33</f>
        <v>5.4285714285714288</v>
      </c>
      <c r="D33" s="49">
        <f>'Avg Week Malaba-Tororo'!D33+'Avg Week Tororo-Malaba'!D33</f>
        <v>0</v>
      </c>
      <c r="E33" s="49">
        <f>'Avg Week Malaba-Tororo'!E33+'Avg Week Tororo-Malaba'!E33</f>
        <v>2.1428571428571428</v>
      </c>
      <c r="F33" s="49">
        <f>'Avg Week Malaba-Tororo'!F33+'Avg Week Tororo-Malaba'!F33</f>
        <v>3.7142857142857144</v>
      </c>
      <c r="G33" s="49">
        <f>'Avg Week Malaba-Tororo'!G33+'Avg Week Tororo-Malaba'!G33</f>
        <v>0.14285714285714285</v>
      </c>
      <c r="H33" s="49">
        <f>'Avg Week Malaba-Tororo'!H33+'Avg Week Tororo-Malaba'!H33</f>
        <v>0.42857142857142855</v>
      </c>
      <c r="I33" s="49">
        <f>'Avg Week Malaba-Tororo'!I33+'Avg Week Tororo-Malaba'!I33</f>
        <v>1.7142857142857144</v>
      </c>
      <c r="J33" s="49">
        <f>'Avg Week Malaba-Tororo'!J33+'Avg Week Tororo-Malaba'!J33</f>
        <v>0.2857142857142857</v>
      </c>
      <c r="K33" s="49">
        <f>'Avg Week Malaba-Tororo'!K33+'Avg Week Tororo-Malaba'!K33</f>
        <v>0</v>
      </c>
      <c r="L33" s="49">
        <f>'Avg Week Malaba-Tororo'!L33+'Avg Week Tororo-Malaba'!L33</f>
        <v>0</v>
      </c>
      <c r="M33" s="49">
        <f>'Avg Week Malaba-Tororo'!M33+'Avg Week Tororo-Malaba'!M33</f>
        <v>51.571428571428569</v>
      </c>
      <c r="N33" s="49">
        <f>'Avg Week Malaba-Tororo'!N33+'Avg Week Tororo-Malaba'!N33</f>
        <v>0</v>
      </c>
      <c r="O33" s="15">
        <f t="shared" si="0"/>
        <v>13.857142857142856</v>
      </c>
      <c r="P33" s="15">
        <f t="shared" si="1"/>
        <v>65.428571428571431</v>
      </c>
      <c r="R33" s="1" t="s">
        <v>157</v>
      </c>
      <c r="S33" s="34">
        <f>SUM(C102:C105)</f>
        <v>8</v>
      </c>
      <c r="T33" s="34">
        <f t="shared" ref="T33:AF33" si="25">SUM(D102:D105)</f>
        <v>0</v>
      </c>
      <c r="U33" s="34">
        <f t="shared" si="25"/>
        <v>3</v>
      </c>
      <c r="V33" s="34">
        <f t="shared" si="25"/>
        <v>13</v>
      </c>
      <c r="W33" s="34">
        <f t="shared" si="25"/>
        <v>1</v>
      </c>
      <c r="X33" s="34">
        <f t="shared" si="25"/>
        <v>2</v>
      </c>
      <c r="Y33" s="34">
        <f t="shared" si="25"/>
        <v>2.5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95.5</v>
      </c>
      <c r="AD33" s="34">
        <f t="shared" si="25"/>
        <v>0</v>
      </c>
      <c r="AE33" s="31">
        <f t="shared" si="25"/>
        <v>30</v>
      </c>
      <c r="AF33" s="31">
        <f t="shared" si="25"/>
        <v>125.5</v>
      </c>
    </row>
    <row r="34" spans="2:32" ht="23.1" customHeight="1" x14ac:dyDescent="0.25">
      <c r="B34" s="24" t="s">
        <v>61</v>
      </c>
      <c r="C34" s="49">
        <f>'Avg Week Malaba-Tororo'!C34+'Avg Week Tororo-Malaba'!C34</f>
        <v>6.7142857142857135</v>
      </c>
      <c r="D34" s="49">
        <f>'Avg Week Malaba-Tororo'!D34+'Avg Week Tororo-Malaba'!D34</f>
        <v>0.5714285714285714</v>
      </c>
      <c r="E34" s="49">
        <f>'Avg Week Malaba-Tororo'!E34+'Avg Week Tororo-Malaba'!E34</f>
        <v>5</v>
      </c>
      <c r="F34" s="49">
        <f>'Avg Week Malaba-Tororo'!F34+'Avg Week Tororo-Malaba'!F34</f>
        <v>6.8571428571428577</v>
      </c>
      <c r="G34" s="49">
        <f>'Avg Week Malaba-Tororo'!G34+'Avg Week Tororo-Malaba'!G34</f>
        <v>0.5714285714285714</v>
      </c>
      <c r="H34" s="49">
        <f>'Avg Week Malaba-Tororo'!H34+'Avg Week Tororo-Malaba'!H34</f>
        <v>0</v>
      </c>
      <c r="I34" s="49">
        <f>'Avg Week Malaba-Tororo'!I34+'Avg Week Tororo-Malaba'!I34</f>
        <v>0.71428571428571419</v>
      </c>
      <c r="J34" s="49">
        <f>'Avg Week Malaba-Tororo'!J34+'Avg Week Tororo-Malaba'!J34</f>
        <v>0.42857142857142855</v>
      </c>
      <c r="K34" s="49">
        <f>'Avg Week Malaba-Tororo'!K34+'Avg Week Tororo-Malaba'!K34</f>
        <v>0.42857142857142855</v>
      </c>
      <c r="L34" s="49">
        <f>'Avg Week Malaba-Tororo'!L34+'Avg Week Tororo-Malaba'!L34</f>
        <v>0</v>
      </c>
      <c r="M34" s="49">
        <f>'Avg Week Malaba-Tororo'!M34+'Avg Week Tororo-Malaba'!M34</f>
        <v>51.428571428571431</v>
      </c>
      <c r="N34" s="49">
        <f>'Avg Week Malaba-Tororo'!N34+'Avg Week Tororo-Malaba'!N34</f>
        <v>0</v>
      </c>
      <c r="O34" s="15">
        <f t="shared" si="0"/>
        <v>21.285714285714285</v>
      </c>
      <c r="P34" s="15">
        <f t="shared" si="1"/>
        <v>72.714285714285722</v>
      </c>
      <c r="R34" s="38" t="s">
        <v>90</v>
      </c>
      <c r="S34" s="39">
        <f t="shared" ref="S34:AF34" si="26">MAX(S10:S12)</f>
        <v>18.142857142857142</v>
      </c>
      <c r="T34" s="39">
        <f t="shared" si="26"/>
        <v>1.5714285714285712</v>
      </c>
      <c r="U34" s="39">
        <f t="shared" si="26"/>
        <v>16.428571428571427</v>
      </c>
      <c r="V34" s="39">
        <f t="shared" si="26"/>
        <v>14.428571428571427</v>
      </c>
      <c r="W34" s="39">
        <f t="shared" si="26"/>
        <v>1.1428571428571428</v>
      </c>
      <c r="X34" s="39">
        <f t="shared" si="26"/>
        <v>1.4285714285714284</v>
      </c>
      <c r="Y34" s="39">
        <f t="shared" si="26"/>
        <v>6.2857142857142856</v>
      </c>
      <c r="Z34" s="39">
        <f t="shared" si="26"/>
        <v>0.2857142857142857</v>
      </c>
      <c r="AA34" s="39">
        <f t="shared" si="26"/>
        <v>0</v>
      </c>
      <c r="AB34" s="39">
        <f t="shared" si="26"/>
        <v>0</v>
      </c>
      <c r="AC34" s="39">
        <f t="shared" si="26"/>
        <v>209.42857142857144</v>
      </c>
      <c r="AD34" s="39">
        <f t="shared" si="26"/>
        <v>0.8571428571428571</v>
      </c>
      <c r="AE34" s="40">
        <f t="shared" si="26"/>
        <v>58.285714285714278</v>
      </c>
      <c r="AF34" s="40">
        <f t="shared" si="26"/>
        <v>267.71428571428572</v>
      </c>
    </row>
    <row r="35" spans="2:32" ht="23.1" customHeight="1" x14ac:dyDescent="0.25">
      <c r="B35" s="24" t="s">
        <v>62</v>
      </c>
      <c r="C35" s="49">
        <f>'Avg Week Malaba-Tororo'!C35+'Avg Week Tororo-Malaba'!C35</f>
        <v>7.4285714285714288</v>
      </c>
      <c r="D35" s="49">
        <f>'Avg Week Malaba-Tororo'!D35+'Avg Week Tororo-Malaba'!D35</f>
        <v>0.5714285714285714</v>
      </c>
      <c r="E35" s="49">
        <f>'Avg Week Malaba-Tororo'!E35+'Avg Week Tororo-Malaba'!E35</f>
        <v>6</v>
      </c>
      <c r="F35" s="49">
        <f>'Avg Week Malaba-Tororo'!F35+'Avg Week Tororo-Malaba'!F35</f>
        <v>5.7142857142857135</v>
      </c>
      <c r="G35" s="49">
        <f>'Avg Week Malaba-Tororo'!G35+'Avg Week Tororo-Malaba'!G35</f>
        <v>0</v>
      </c>
      <c r="H35" s="49">
        <f>'Avg Week Malaba-Tororo'!H35+'Avg Week Tororo-Malaba'!H35</f>
        <v>0</v>
      </c>
      <c r="I35" s="49">
        <f>'Avg Week Malaba-Tororo'!I35+'Avg Week Tororo-Malaba'!I35</f>
        <v>0.5714285714285714</v>
      </c>
      <c r="J35" s="49">
        <f>'Avg Week Malaba-Tororo'!J35+'Avg Week Tororo-Malaba'!J35</f>
        <v>0.14285714285714285</v>
      </c>
      <c r="K35" s="49">
        <f>'Avg Week Malaba-Tororo'!K35+'Avg Week Tororo-Malaba'!K35</f>
        <v>0.42857142857142855</v>
      </c>
      <c r="L35" s="49">
        <f>'Avg Week Malaba-Tororo'!L35+'Avg Week Tororo-Malaba'!L35</f>
        <v>0</v>
      </c>
      <c r="M35" s="49">
        <f>'Avg Week Malaba-Tororo'!M35+'Avg Week Tororo-Malaba'!M35</f>
        <v>56.285714285714292</v>
      </c>
      <c r="N35" s="49">
        <f>'Avg Week Malaba-Tororo'!N35+'Avg Week Tororo-Malaba'!N35</f>
        <v>0</v>
      </c>
      <c r="O35" s="15">
        <f t="shared" si="0"/>
        <v>20.857142857142858</v>
      </c>
      <c r="P35" s="15">
        <f t="shared" si="1"/>
        <v>77.142857142857153</v>
      </c>
      <c r="R35" s="38" t="s">
        <v>91</v>
      </c>
      <c r="S35" s="39">
        <f t="shared" ref="S35:AF35" si="27">MAX(S13:S18)</f>
        <v>27.714285714285715</v>
      </c>
      <c r="T35" s="39">
        <f t="shared" si="27"/>
        <v>2.4285714285714284</v>
      </c>
      <c r="U35" s="39">
        <f t="shared" si="27"/>
        <v>21</v>
      </c>
      <c r="V35" s="39">
        <f t="shared" si="27"/>
        <v>22.857142857142854</v>
      </c>
      <c r="W35" s="39">
        <f t="shared" si="27"/>
        <v>1.4285714285714284</v>
      </c>
      <c r="X35" s="39">
        <f t="shared" si="27"/>
        <v>0.5714285714285714</v>
      </c>
      <c r="Y35" s="39">
        <f t="shared" si="27"/>
        <v>8.571428571428573</v>
      </c>
      <c r="Z35" s="39">
        <f t="shared" si="27"/>
        <v>5.4285714285714288</v>
      </c>
      <c r="AA35" s="39">
        <f t="shared" si="27"/>
        <v>1</v>
      </c>
      <c r="AB35" s="39">
        <f t="shared" si="27"/>
        <v>0</v>
      </c>
      <c r="AC35" s="39">
        <f t="shared" si="27"/>
        <v>223.28571428571428</v>
      </c>
      <c r="AD35" s="39">
        <f t="shared" si="27"/>
        <v>0.2857142857142857</v>
      </c>
      <c r="AE35" s="40">
        <f t="shared" si="27"/>
        <v>82.857142857142861</v>
      </c>
      <c r="AF35" s="40">
        <f t="shared" si="27"/>
        <v>301.28571428571428</v>
      </c>
    </row>
    <row r="36" spans="2:32" ht="23.1" customHeight="1" x14ac:dyDescent="0.25">
      <c r="B36" s="24" t="s">
        <v>63</v>
      </c>
      <c r="C36" s="49">
        <f>'Avg Week Malaba-Tororo'!C36+'Avg Week Tororo-Malaba'!C36</f>
        <v>7.5714285714285712</v>
      </c>
      <c r="D36" s="49">
        <f>'Avg Week Malaba-Tororo'!D36+'Avg Week Tororo-Malaba'!D36</f>
        <v>1</v>
      </c>
      <c r="E36" s="49">
        <f>'Avg Week Malaba-Tororo'!E36+'Avg Week Tororo-Malaba'!E36</f>
        <v>6.1428571428571423</v>
      </c>
      <c r="F36" s="49">
        <f>'Avg Week Malaba-Tororo'!F36+'Avg Week Tororo-Malaba'!F36</f>
        <v>6</v>
      </c>
      <c r="G36" s="49">
        <f>'Avg Week Malaba-Tororo'!G36+'Avg Week Tororo-Malaba'!G36</f>
        <v>0</v>
      </c>
      <c r="H36" s="49">
        <f>'Avg Week Malaba-Tororo'!H36+'Avg Week Tororo-Malaba'!H36</f>
        <v>0</v>
      </c>
      <c r="I36" s="49">
        <f>'Avg Week Malaba-Tororo'!I36+'Avg Week Tororo-Malaba'!I36</f>
        <v>2.7142857142857144</v>
      </c>
      <c r="J36" s="49">
        <f>'Avg Week Malaba-Tororo'!J36+'Avg Week Tororo-Malaba'!J36</f>
        <v>0.2857142857142857</v>
      </c>
      <c r="K36" s="49">
        <f>'Avg Week Malaba-Tororo'!K36+'Avg Week Tororo-Malaba'!K36</f>
        <v>0</v>
      </c>
      <c r="L36" s="49">
        <f>'Avg Week Malaba-Tororo'!L36+'Avg Week Tororo-Malaba'!L36</f>
        <v>0</v>
      </c>
      <c r="M36" s="49">
        <f>'Avg Week Malaba-Tororo'!M36+'Avg Week Tororo-Malaba'!M36</f>
        <v>40.714285714285715</v>
      </c>
      <c r="N36" s="49">
        <f>'Avg Week Malaba-Tororo'!N36+'Avg Week Tororo-Malaba'!N36</f>
        <v>0</v>
      </c>
      <c r="O36" s="15">
        <f t="shared" si="0"/>
        <v>23.714285714285715</v>
      </c>
      <c r="P36" s="15">
        <f t="shared" si="1"/>
        <v>64.428571428571431</v>
      </c>
      <c r="R36" s="38" t="s">
        <v>92</v>
      </c>
      <c r="S36" s="39">
        <f t="shared" ref="S36:AF36" si="28">MAX(S19:S21)</f>
        <v>29</v>
      </c>
      <c r="T36" s="39">
        <f t="shared" si="28"/>
        <v>2.8571428571428568</v>
      </c>
      <c r="U36" s="39">
        <f t="shared" si="28"/>
        <v>21.714285714285715</v>
      </c>
      <c r="V36" s="39">
        <f t="shared" si="28"/>
        <v>24.142857142857146</v>
      </c>
      <c r="W36" s="39">
        <f t="shared" si="28"/>
        <v>1.4285714285714286</v>
      </c>
      <c r="X36" s="39">
        <f t="shared" si="28"/>
        <v>2.1428571428571428</v>
      </c>
      <c r="Y36" s="39">
        <f t="shared" si="28"/>
        <v>9.8571428571428577</v>
      </c>
      <c r="Z36" s="39">
        <f t="shared" si="28"/>
        <v>2.2857142857142856</v>
      </c>
      <c r="AA36" s="39">
        <f t="shared" si="28"/>
        <v>0.42857142857142855</v>
      </c>
      <c r="AB36" s="39">
        <f t="shared" si="28"/>
        <v>0</v>
      </c>
      <c r="AC36" s="39">
        <f t="shared" si="28"/>
        <v>194.85714285714286</v>
      </c>
      <c r="AD36" s="39">
        <f t="shared" si="28"/>
        <v>0.42857142857142855</v>
      </c>
      <c r="AE36" s="40">
        <f t="shared" si="28"/>
        <v>87.285714285714263</v>
      </c>
      <c r="AF36" s="40">
        <f t="shared" si="28"/>
        <v>282.14285714285711</v>
      </c>
    </row>
    <row r="37" spans="2:32" ht="23.1" customHeight="1" x14ac:dyDescent="0.25">
      <c r="B37" s="23" t="s">
        <v>64</v>
      </c>
      <c r="C37" s="49">
        <f>'Avg Week Malaba-Tororo'!C37+'Avg Week Tororo-Malaba'!C37</f>
        <v>5</v>
      </c>
      <c r="D37" s="49">
        <f>'Avg Week Malaba-Tororo'!D37+'Avg Week Tororo-Malaba'!D37</f>
        <v>0.14285714285714285</v>
      </c>
      <c r="E37" s="49">
        <f>'Avg Week Malaba-Tororo'!E37+'Avg Week Tororo-Malaba'!E37</f>
        <v>3.8571428571428568</v>
      </c>
      <c r="F37" s="49">
        <f>'Avg Week Malaba-Tororo'!F37+'Avg Week Tororo-Malaba'!F37</f>
        <v>4.2857142857142856</v>
      </c>
      <c r="G37" s="49">
        <f>'Avg Week Malaba-Tororo'!G37+'Avg Week Tororo-Malaba'!G37</f>
        <v>0</v>
      </c>
      <c r="H37" s="49">
        <f>'Avg Week Malaba-Tororo'!H37+'Avg Week Tororo-Malaba'!H37</f>
        <v>0</v>
      </c>
      <c r="I37" s="49">
        <f>'Avg Week Malaba-Tororo'!I37+'Avg Week Tororo-Malaba'!I37</f>
        <v>3</v>
      </c>
      <c r="J37" s="49">
        <f>'Avg Week Malaba-Tororo'!J37+'Avg Week Tororo-Malaba'!J37</f>
        <v>0.5714285714285714</v>
      </c>
      <c r="K37" s="49">
        <f>'Avg Week Malaba-Tororo'!K37+'Avg Week Tororo-Malaba'!K37</f>
        <v>0.14285714285714285</v>
      </c>
      <c r="L37" s="49">
        <f>'Avg Week Malaba-Tororo'!L37+'Avg Week Tororo-Malaba'!L37</f>
        <v>0</v>
      </c>
      <c r="M37" s="49">
        <f>'Avg Week Malaba-Tororo'!M37+'Avg Week Tororo-Malaba'!M37</f>
        <v>53.285714285714285</v>
      </c>
      <c r="N37" s="49">
        <f>'Avg Week Malaba-Tororo'!N37+'Avg Week Tororo-Malaba'!N37</f>
        <v>0</v>
      </c>
      <c r="O37" s="15">
        <f t="shared" si="0"/>
        <v>17</v>
      </c>
      <c r="P37" s="15">
        <f t="shared" si="1"/>
        <v>70.285714285714278</v>
      </c>
      <c r="R37" s="37" t="s">
        <v>85</v>
      </c>
      <c r="S37" s="35">
        <f t="shared" ref="S37:AF37" si="29">SUM(S10:S12)</f>
        <v>39.571428571428569</v>
      </c>
      <c r="T37" s="16">
        <f t="shared" si="29"/>
        <v>2.8571428571428568</v>
      </c>
      <c r="U37" s="16">
        <f t="shared" si="29"/>
        <v>34.857142857142854</v>
      </c>
      <c r="V37" s="16">
        <f t="shared" si="29"/>
        <v>39</v>
      </c>
      <c r="W37" s="16">
        <f t="shared" si="29"/>
        <v>1.1428571428571428</v>
      </c>
      <c r="X37" s="16">
        <f t="shared" si="29"/>
        <v>2.8571428571428568</v>
      </c>
      <c r="Y37" s="16">
        <f t="shared" si="29"/>
        <v>16.142857142857142</v>
      </c>
      <c r="Z37" s="16">
        <f t="shared" si="29"/>
        <v>0.8571428571428571</v>
      </c>
      <c r="AA37" s="16">
        <f t="shared" si="29"/>
        <v>0</v>
      </c>
      <c r="AB37" s="16">
        <f t="shared" si="29"/>
        <v>0</v>
      </c>
      <c r="AC37" s="16">
        <f t="shared" si="29"/>
        <v>552.71428571428578</v>
      </c>
      <c r="AD37" s="16">
        <f t="shared" si="29"/>
        <v>1</v>
      </c>
      <c r="AE37" s="32">
        <f t="shared" si="29"/>
        <v>138.28571428571428</v>
      </c>
      <c r="AF37" s="32">
        <f t="shared" si="29"/>
        <v>691</v>
      </c>
    </row>
    <row r="38" spans="2:32" ht="23.1" customHeight="1" x14ac:dyDescent="0.25">
      <c r="B38" s="24" t="s">
        <v>65</v>
      </c>
      <c r="C38" s="49">
        <f>'Avg Week Malaba-Tororo'!C38+'Avg Week Tororo-Malaba'!C38</f>
        <v>5</v>
      </c>
      <c r="D38" s="49">
        <f>'Avg Week Malaba-Tororo'!D38+'Avg Week Tororo-Malaba'!D38</f>
        <v>0.5714285714285714</v>
      </c>
      <c r="E38" s="49">
        <f>'Avg Week Malaba-Tororo'!E38+'Avg Week Tororo-Malaba'!E38</f>
        <v>4.8571428571428577</v>
      </c>
      <c r="F38" s="49">
        <f>'Avg Week Malaba-Tororo'!F38+'Avg Week Tororo-Malaba'!F38</f>
        <v>4.7142857142857135</v>
      </c>
      <c r="G38" s="49">
        <f>'Avg Week Malaba-Tororo'!G38+'Avg Week Tororo-Malaba'!G38</f>
        <v>0.14285714285714285</v>
      </c>
      <c r="H38" s="49">
        <f>'Avg Week Malaba-Tororo'!H38+'Avg Week Tororo-Malaba'!H38</f>
        <v>0</v>
      </c>
      <c r="I38" s="49">
        <f>'Avg Week Malaba-Tororo'!I38+'Avg Week Tororo-Malaba'!I38</f>
        <v>2</v>
      </c>
      <c r="J38" s="49">
        <f>'Avg Week Malaba-Tororo'!J38+'Avg Week Tororo-Malaba'!J38</f>
        <v>0.8571428571428571</v>
      </c>
      <c r="K38" s="49">
        <f>'Avg Week Malaba-Tororo'!K38+'Avg Week Tororo-Malaba'!K38</f>
        <v>0</v>
      </c>
      <c r="L38" s="49">
        <f>'Avg Week Malaba-Tororo'!L38+'Avg Week Tororo-Malaba'!L38</f>
        <v>0</v>
      </c>
      <c r="M38" s="49">
        <f>'Avg Week Malaba-Tororo'!M38+'Avg Week Tororo-Malaba'!M38</f>
        <v>47.285714285714285</v>
      </c>
      <c r="N38" s="49">
        <f>'Avg Week Malaba-Tororo'!N38+'Avg Week Tororo-Malaba'!N38</f>
        <v>0</v>
      </c>
      <c r="O38" s="15">
        <f t="shared" si="0"/>
        <v>18.142857142857142</v>
      </c>
      <c r="P38" s="15">
        <f t="shared" si="1"/>
        <v>65.428571428571431</v>
      </c>
      <c r="R38" s="28" t="s">
        <v>86</v>
      </c>
      <c r="S38" s="16">
        <f t="shared" ref="S38:AF38" si="30">SUM(S13:S18)</f>
        <v>144.71428571428572</v>
      </c>
      <c r="T38" s="16">
        <f t="shared" si="30"/>
        <v>11.142857142857142</v>
      </c>
      <c r="U38" s="16">
        <f t="shared" si="30"/>
        <v>112.42857142857144</v>
      </c>
      <c r="V38" s="16">
        <f t="shared" si="30"/>
        <v>115</v>
      </c>
      <c r="W38" s="16">
        <f t="shared" si="30"/>
        <v>5</v>
      </c>
      <c r="X38" s="16">
        <f t="shared" si="30"/>
        <v>1.4285714285714284</v>
      </c>
      <c r="Y38" s="16">
        <f t="shared" si="30"/>
        <v>45.285714285714285</v>
      </c>
      <c r="Z38" s="16">
        <f t="shared" si="30"/>
        <v>12.142857142857142</v>
      </c>
      <c r="AA38" s="16">
        <f t="shared" si="30"/>
        <v>1.857142857142857</v>
      </c>
      <c r="AB38" s="16">
        <f t="shared" si="30"/>
        <v>0</v>
      </c>
      <c r="AC38" s="16">
        <f t="shared" si="30"/>
        <v>1233.1428571428571</v>
      </c>
      <c r="AD38" s="16">
        <f t="shared" si="30"/>
        <v>0.5714285714285714</v>
      </c>
      <c r="AE38" s="32">
        <f t="shared" si="30"/>
        <v>449.57142857142856</v>
      </c>
      <c r="AF38" s="32">
        <f t="shared" si="30"/>
        <v>1682.714285714286</v>
      </c>
    </row>
    <row r="39" spans="2:32" ht="23.1" customHeight="1" x14ac:dyDescent="0.25">
      <c r="B39" s="24" t="s">
        <v>66</v>
      </c>
      <c r="C39" s="49">
        <f>'Avg Week Malaba-Tororo'!C39+'Avg Week Tororo-Malaba'!C39</f>
        <v>7.1428571428571423</v>
      </c>
      <c r="D39" s="49">
        <f>'Avg Week Malaba-Tororo'!D39+'Avg Week Tororo-Malaba'!D39</f>
        <v>0.42857142857142855</v>
      </c>
      <c r="E39" s="49">
        <f>'Avg Week Malaba-Tororo'!E39+'Avg Week Tororo-Malaba'!E39</f>
        <v>4.7142857142857144</v>
      </c>
      <c r="F39" s="49">
        <f>'Avg Week Malaba-Tororo'!F39+'Avg Week Tororo-Malaba'!F39</f>
        <v>5.5714285714285712</v>
      </c>
      <c r="G39" s="49">
        <f>'Avg Week Malaba-Tororo'!G39+'Avg Week Tororo-Malaba'!G39</f>
        <v>0.14285714285714285</v>
      </c>
      <c r="H39" s="49">
        <f>'Avg Week Malaba-Tororo'!H39+'Avg Week Tororo-Malaba'!H39</f>
        <v>0.14285714285714285</v>
      </c>
      <c r="I39" s="49">
        <f>'Avg Week Malaba-Tororo'!I39+'Avg Week Tororo-Malaba'!I39</f>
        <v>1.7142857142857144</v>
      </c>
      <c r="J39" s="49">
        <f>'Avg Week Malaba-Tororo'!J39+'Avg Week Tororo-Malaba'!J39</f>
        <v>1</v>
      </c>
      <c r="K39" s="49">
        <f>'Avg Week Malaba-Tororo'!K39+'Avg Week Tororo-Malaba'!K39</f>
        <v>0</v>
      </c>
      <c r="L39" s="49">
        <f>'Avg Week Malaba-Tororo'!L39+'Avg Week Tororo-Malaba'!L39</f>
        <v>0</v>
      </c>
      <c r="M39" s="49">
        <f>'Avg Week Malaba-Tororo'!M39+'Avg Week Tororo-Malaba'!M39</f>
        <v>46</v>
      </c>
      <c r="N39" s="49">
        <f>'Avg Week Malaba-Tororo'!N39+'Avg Week Tororo-Malaba'!N39</f>
        <v>0</v>
      </c>
      <c r="O39" s="15">
        <f t="shared" si="0"/>
        <v>20.857142857142854</v>
      </c>
      <c r="P39" s="15">
        <f t="shared" si="1"/>
        <v>66.857142857142861</v>
      </c>
      <c r="R39" s="29" t="s">
        <v>87</v>
      </c>
      <c r="S39" s="16">
        <f t="shared" ref="S39:AF39" si="31">SUM(S19:S21)</f>
        <v>81.285714285714292</v>
      </c>
      <c r="T39" s="16">
        <f t="shared" si="31"/>
        <v>7.2857142857142847</v>
      </c>
      <c r="U39" s="16">
        <f t="shared" si="31"/>
        <v>57.428571428571431</v>
      </c>
      <c r="V39" s="16">
        <f t="shared" si="31"/>
        <v>67.428571428571431</v>
      </c>
      <c r="W39" s="16">
        <f t="shared" si="31"/>
        <v>3.714285714285714</v>
      </c>
      <c r="X39" s="16">
        <f t="shared" si="31"/>
        <v>2.2857142857142856</v>
      </c>
      <c r="Y39" s="16">
        <f t="shared" si="31"/>
        <v>26.714285714285715</v>
      </c>
      <c r="Z39" s="16">
        <f t="shared" si="31"/>
        <v>5.5714285714285712</v>
      </c>
      <c r="AA39" s="16">
        <f t="shared" si="31"/>
        <v>0.71428571428571419</v>
      </c>
      <c r="AB39" s="16">
        <f t="shared" si="31"/>
        <v>0</v>
      </c>
      <c r="AC39" s="16">
        <f t="shared" si="31"/>
        <v>559.85714285714289</v>
      </c>
      <c r="AD39" s="16">
        <f t="shared" si="31"/>
        <v>0.5714285714285714</v>
      </c>
      <c r="AE39" s="32">
        <f t="shared" si="31"/>
        <v>252.99999999999997</v>
      </c>
      <c r="AF39" s="32">
        <f t="shared" si="31"/>
        <v>812.85714285714289</v>
      </c>
    </row>
    <row r="40" spans="2:32" ht="23.1" customHeight="1" x14ac:dyDescent="0.25">
      <c r="B40" s="24" t="s">
        <v>67</v>
      </c>
      <c r="C40" s="49">
        <f>'Avg Week Malaba-Tororo'!C40+'Avg Week Tororo-Malaba'!C40</f>
        <v>6.4285714285714288</v>
      </c>
      <c r="D40" s="49">
        <f>'Avg Week Malaba-Tororo'!D40+'Avg Week Tororo-Malaba'!D40</f>
        <v>0.5714285714285714</v>
      </c>
      <c r="E40" s="49">
        <f>'Avg Week Malaba-Tororo'!E40+'Avg Week Tororo-Malaba'!E40</f>
        <v>5.7142857142857135</v>
      </c>
      <c r="F40" s="49">
        <f>'Avg Week Malaba-Tororo'!F40+'Avg Week Tororo-Malaba'!F40</f>
        <v>4.2857142857142856</v>
      </c>
      <c r="G40" s="49">
        <f>'Avg Week Malaba-Tororo'!G40+'Avg Week Tororo-Malaba'!G40</f>
        <v>1</v>
      </c>
      <c r="H40" s="49">
        <f>'Avg Week Malaba-Tororo'!H40+'Avg Week Tororo-Malaba'!H40</f>
        <v>0</v>
      </c>
      <c r="I40" s="49">
        <f>'Avg Week Malaba-Tororo'!I40+'Avg Week Tororo-Malaba'!I40</f>
        <v>1.7142857142857144</v>
      </c>
      <c r="J40" s="49">
        <f>'Avg Week Malaba-Tororo'!J40+'Avg Week Tororo-Malaba'!J40</f>
        <v>0.2857142857142857</v>
      </c>
      <c r="K40" s="49">
        <f>'Avg Week Malaba-Tororo'!K40+'Avg Week Tororo-Malaba'!K40</f>
        <v>0</v>
      </c>
      <c r="L40" s="49">
        <f>'Avg Week Malaba-Tororo'!L40+'Avg Week Tororo-Malaba'!L40</f>
        <v>0</v>
      </c>
      <c r="M40" s="49">
        <f>'Avg Week Malaba-Tororo'!M40+'Avg Week Tororo-Malaba'!M40</f>
        <v>46.142857142857139</v>
      </c>
      <c r="N40" s="49">
        <f>'Avg Week Malaba-Tororo'!N40+'Avg Week Tororo-Malaba'!N40</f>
        <v>0</v>
      </c>
      <c r="O40" s="15">
        <f t="shared" si="0"/>
        <v>20</v>
      </c>
      <c r="P40" s="15">
        <f t="shared" si="1"/>
        <v>66.142857142857139</v>
      </c>
      <c r="R40" s="5" t="s">
        <v>17</v>
      </c>
      <c r="S40" s="16">
        <f t="shared" ref="S40:AF40" si="32">SUM(S10:S21)</f>
        <v>265.57142857142856</v>
      </c>
      <c r="T40" s="16">
        <f t="shared" si="32"/>
        <v>21.285714285714285</v>
      </c>
      <c r="U40" s="16">
        <f t="shared" si="32"/>
        <v>204.71428571428569</v>
      </c>
      <c r="V40" s="16">
        <f t="shared" si="32"/>
        <v>221.42857142857142</v>
      </c>
      <c r="W40" s="16">
        <f t="shared" si="32"/>
        <v>9.8571428571428577</v>
      </c>
      <c r="X40" s="16">
        <f t="shared" si="32"/>
        <v>6.5714285714285712</v>
      </c>
      <c r="Y40" s="16">
        <f t="shared" si="32"/>
        <v>88.142857142857139</v>
      </c>
      <c r="Z40" s="16">
        <f t="shared" si="32"/>
        <v>18.571428571428573</v>
      </c>
      <c r="AA40" s="16">
        <f t="shared" si="32"/>
        <v>2.5714285714285712</v>
      </c>
      <c r="AB40" s="16">
        <f t="shared" si="32"/>
        <v>0</v>
      </c>
      <c r="AC40" s="16">
        <f t="shared" si="32"/>
        <v>2345.7142857142862</v>
      </c>
      <c r="AD40" s="16">
        <f t="shared" si="32"/>
        <v>2.1428571428571428</v>
      </c>
      <c r="AE40" s="32">
        <f t="shared" si="32"/>
        <v>840.85714285714289</v>
      </c>
      <c r="AF40" s="32">
        <f t="shared" si="32"/>
        <v>3186.5714285714289</v>
      </c>
    </row>
    <row r="41" spans="2:32" ht="23.1" customHeight="1" x14ac:dyDescent="0.25">
      <c r="B41" s="23" t="s">
        <v>68</v>
      </c>
      <c r="C41" s="49">
        <f>'Avg Week Malaba-Tororo'!C41+'Avg Week Tororo-Malaba'!C41</f>
        <v>4.7142857142857144</v>
      </c>
      <c r="D41" s="49">
        <f>'Avg Week Malaba-Tororo'!D41+'Avg Week Tororo-Malaba'!D41</f>
        <v>0.8571428571428571</v>
      </c>
      <c r="E41" s="49">
        <f>'Avg Week Malaba-Tororo'!E41+'Avg Week Tororo-Malaba'!E41</f>
        <v>5</v>
      </c>
      <c r="F41" s="49">
        <f>'Avg Week Malaba-Tororo'!F41+'Avg Week Tororo-Malaba'!F41</f>
        <v>4.4285714285714288</v>
      </c>
      <c r="G41" s="49">
        <f>'Avg Week Malaba-Tororo'!G41+'Avg Week Tororo-Malaba'!G41</f>
        <v>0.14285714285714285</v>
      </c>
      <c r="H41" s="49">
        <f>'Avg Week Malaba-Tororo'!H41+'Avg Week Tororo-Malaba'!H41</f>
        <v>0</v>
      </c>
      <c r="I41" s="49">
        <f>'Avg Week Malaba-Tororo'!I41+'Avg Week Tororo-Malaba'!I41</f>
        <v>1.8571428571428572</v>
      </c>
      <c r="J41" s="49">
        <f>'Avg Week Malaba-Tororo'!J41+'Avg Week Tororo-Malaba'!J41</f>
        <v>0.8571428571428571</v>
      </c>
      <c r="K41" s="49">
        <f>'Avg Week Malaba-Tororo'!K41+'Avg Week Tororo-Malaba'!K41</f>
        <v>0.14285714285714285</v>
      </c>
      <c r="L41" s="49">
        <f>'Avg Week Malaba-Tororo'!L41+'Avg Week Tororo-Malaba'!L41</f>
        <v>0</v>
      </c>
      <c r="M41" s="49">
        <f>'Avg Week Malaba-Tororo'!M41+'Avg Week Tororo-Malaba'!M41</f>
        <v>44.571428571428569</v>
      </c>
      <c r="N41" s="49">
        <f>'Avg Week Malaba-Tororo'!N41+'Avg Week Tororo-Malaba'!N41</f>
        <v>0</v>
      </c>
      <c r="O41" s="15">
        <f t="shared" si="0"/>
        <v>18</v>
      </c>
      <c r="P41" s="15">
        <f t="shared" si="1"/>
        <v>62.571428571428569</v>
      </c>
      <c r="R41" s="5" t="s">
        <v>174</v>
      </c>
      <c r="S41" s="52">
        <f>SUM(S10:S33)</f>
        <v>379.07142857142856</v>
      </c>
      <c r="T41" s="52">
        <f t="shared" ref="T41:AD41" si="33">SUM(T10:T33)</f>
        <v>26.785714285714285</v>
      </c>
      <c r="U41" s="52">
        <f t="shared" si="33"/>
        <v>278.71428571428567</v>
      </c>
      <c r="V41" s="52">
        <f t="shared" si="33"/>
        <v>302.92857142857144</v>
      </c>
      <c r="W41" s="52">
        <f t="shared" si="33"/>
        <v>12.357142857142858</v>
      </c>
      <c r="X41" s="52">
        <f t="shared" si="33"/>
        <v>19.071428571428569</v>
      </c>
      <c r="Y41" s="52">
        <f t="shared" si="33"/>
        <v>128.64285714285714</v>
      </c>
      <c r="Z41" s="52">
        <f t="shared" si="33"/>
        <v>25.571428571428573</v>
      </c>
      <c r="AA41" s="52">
        <f t="shared" si="33"/>
        <v>3.0714285714285712</v>
      </c>
      <c r="AB41" s="52">
        <f t="shared" si="33"/>
        <v>0</v>
      </c>
      <c r="AC41" s="52">
        <f t="shared" si="33"/>
        <v>2898.7142857142862</v>
      </c>
      <c r="AD41" s="52">
        <f t="shared" si="33"/>
        <v>2.1428571428571428</v>
      </c>
      <c r="AE41" s="53">
        <f>SUM(AE10:AE33)</f>
        <v>1178.3571428571429</v>
      </c>
      <c r="AF41" s="53">
        <f>SUM(AF10:AF33)</f>
        <v>4077.0714285714289</v>
      </c>
    </row>
    <row r="42" spans="2:32" ht="23.1" customHeight="1" x14ac:dyDescent="0.25">
      <c r="B42" s="24" t="s">
        <v>69</v>
      </c>
      <c r="C42" s="49">
        <f>'Avg Week Malaba-Tororo'!C42+'Avg Week Tororo-Malaba'!C42</f>
        <v>6.2857142857142856</v>
      </c>
      <c r="D42" s="49">
        <f>'Avg Week Malaba-Tororo'!D42+'Avg Week Tororo-Malaba'!D42</f>
        <v>0.2857142857142857</v>
      </c>
      <c r="E42" s="49">
        <f>'Avg Week Malaba-Tororo'!E42+'Avg Week Tororo-Malaba'!E42</f>
        <v>4.1428571428571432</v>
      </c>
      <c r="F42" s="49">
        <f>'Avg Week Malaba-Tororo'!F42+'Avg Week Tororo-Malaba'!F42</f>
        <v>3.7142857142857144</v>
      </c>
      <c r="G42" s="49">
        <f>'Avg Week Malaba-Tororo'!G42+'Avg Week Tororo-Malaba'!G42</f>
        <v>0</v>
      </c>
      <c r="H42" s="49">
        <f>'Avg Week Malaba-Tororo'!H42+'Avg Week Tororo-Malaba'!H42</f>
        <v>0</v>
      </c>
      <c r="I42" s="49">
        <f>'Avg Week Malaba-Tororo'!I42+'Avg Week Tororo-Malaba'!I42</f>
        <v>1.5714285714285714</v>
      </c>
      <c r="J42" s="49">
        <f>'Avg Week Malaba-Tororo'!J42+'Avg Week Tororo-Malaba'!J42</f>
        <v>0.5714285714285714</v>
      </c>
      <c r="K42" s="49">
        <f>'Avg Week Malaba-Tororo'!K42+'Avg Week Tororo-Malaba'!K42</f>
        <v>0</v>
      </c>
      <c r="L42" s="49">
        <f>'Avg Week Malaba-Tororo'!L42+'Avg Week Tororo-Malaba'!L42</f>
        <v>0</v>
      </c>
      <c r="M42" s="49">
        <f>'Avg Week Malaba-Tororo'!M42+'Avg Week Tororo-Malaba'!M42</f>
        <v>41.285714285714285</v>
      </c>
      <c r="N42" s="49">
        <f>'Avg Week Malaba-Tororo'!N42+'Avg Week Tororo-Malaba'!N42</f>
        <v>0.14285714285714285</v>
      </c>
      <c r="O42" s="15">
        <f t="shared" si="0"/>
        <v>16.714285714285719</v>
      </c>
      <c r="P42" s="15">
        <f t="shared" si="1"/>
        <v>58.000000000000007</v>
      </c>
      <c r="R42" s="5" t="s">
        <v>160</v>
      </c>
      <c r="S42" s="48">
        <f>S41/S40</f>
        <v>1.4273803119956967</v>
      </c>
      <c r="T42" s="48">
        <f t="shared" ref="T42:AF42" si="34">T41/T40</f>
        <v>1.2583892617449663</v>
      </c>
      <c r="U42" s="48">
        <f t="shared" si="34"/>
        <v>1.3614794138171666</v>
      </c>
      <c r="V42" s="48">
        <f t="shared" si="34"/>
        <v>1.3680645161290323</v>
      </c>
      <c r="W42" s="48">
        <f t="shared" si="34"/>
        <v>1.2536231884057971</v>
      </c>
      <c r="X42" s="48">
        <f t="shared" si="34"/>
        <v>2.902173913043478</v>
      </c>
      <c r="Y42" s="48">
        <f t="shared" si="34"/>
        <v>1.4594813614262561</v>
      </c>
      <c r="Z42" s="48">
        <f t="shared" si="34"/>
        <v>1.3769230769230769</v>
      </c>
      <c r="AA42" s="48">
        <f t="shared" si="34"/>
        <v>1.1944444444444444</v>
      </c>
      <c r="AB42" s="48" t="e">
        <f t="shared" si="34"/>
        <v>#DIV/0!</v>
      </c>
      <c r="AC42" s="48">
        <f t="shared" si="34"/>
        <v>1.2357490864799026</v>
      </c>
      <c r="AD42" s="48">
        <f t="shared" si="34"/>
        <v>1</v>
      </c>
      <c r="AE42" s="51">
        <f t="shared" si="34"/>
        <v>1.4013761467889909</v>
      </c>
      <c r="AF42" s="51">
        <f t="shared" si="34"/>
        <v>1.2794539585761677</v>
      </c>
    </row>
    <row r="43" spans="2:32" ht="23.1" customHeight="1" x14ac:dyDescent="0.25">
      <c r="B43" s="23" t="s">
        <v>70</v>
      </c>
      <c r="C43" s="49">
        <f>'Avg Week Malaba-Tororo'!C43+'Avg Week Tororo-Malaba'!C43</f>
        <v>5.1428571428571432</v>
      </c>
      <c r="D43" s="49">
        <f>'Avg Week Malaba-Tororo'!D43+'Avg Week Tororo-Malaba'!D43</f>
        <v>0.2857142857142857</v>
      </c>
      <c r="E43" s="49">
        <f>'Avg Week Malaba-Tororo'!E43+'Avg Week Tororo-Malaba'!E43</f>
        <v>3.5714285714285716</v>
      </c>
      <c r="F43" s="49">
        <f>'Avg Week Malaba-Tororo'!F43+'Avg Week Tororo-Malaba'!F43</f>
        <v>6.1428571428571423</v>
      </c>
      <c r="G43" s="49">
        <f>'Avg Week Malaba-Tororo'!G43+'Avg Week Tororo-Malaba'!G43</f>
        <v>0.14285714285714285</v>
      </c>
      <c r="H43" s="49">
        <f>'Avg Week Malaba-Tororo'!H43+'Avg Week Tororo-Malaba'!H43</f>
        <v>0.14285714285714285</v>
      </c>
      <c r="I43" s="49">
        <f>'Avg Week Malaba-Tororo'!I43+'Avg Week Tororo-Malaba'!I43</f>
        <v>1.5714285714285714</v>
      </c>
      <c r="J43" s="49">
        <f>'Avg Week Malaba-Tororo'!J43+'Avg Week Tororo-Malaba'!J43</f>
        <v>0.2857142857142857</v>
      </c>
      <c r="K43" s="49">
        <f>'Avg Week Malaba-Tororo'!K43+'Avg Week Tororo-Malaba'!K43</f>
        <v>0</v>
      </c>
      <c r="L43" s="49">
        <f>'Avg Week Malaba-Tororo'!L43+'Avg Week Tororo-Malaba'!L43</f>
        <v>0</v>
      </c>
      <c r="M43" s="49">
        <f>'Avg Week Malaba-Tororo'!M43+'Avg Week Tororo-Malaba'!M43</f>
        <v>50.571428571428569</v>
      </c>
      <c r="N43" s="49">
        <f>'Avg Week Malaba-Tororo'!N43+'Avg Week Tororo-Malaba'!N43</f>
        <v>0</v>
      </c>
      <c r="O43" s="15">
        <f t="shared" si="0"/>
        <v>17.285714285714285</v>
      </c>
      <c r="P43" s="15">
        <f t="shared" si="1"/>
        <v>67.857142857142861</v>
      </c>
    </row>
    <row r="44" spans="2:32" ht="23.1" customHeight="1" x14ac:dyDescent="0.25">
      <c r="B44" s="25" t="s">
        <v>71</v>
      </c>
      <c r="C44" s="49">
        <f>'Avg Week Malaba-Tororo'!C44+'Avg Week Tororo-Malaba'!C44</f>
        <v>6.2857142857142856</v>
      </c>
      <c r="D44" s="49">
        <f>'Avg Week Malaba-Tororo'!D44+'Avg Week Tororo-Malaba'!D44</f>
        <v>0.42857142857142855</v>
      </c>
      <c r="E44" s="49">
        <f>'Avg Week Malaba-Tororo'!E44+'Avg Week Tororo-Malaba'!E44</f>
        <v>4.2857142857142856</v>
      </c>
      <c r="F44" s="49">
        <f>'Avg Week Malaba-Tororo'!F44+'Avg Week Tororo-Malaba'!F44</f>
        <v>3.8571428571428572</v>
      </c>
      <c r="G44" s="49">
        <f>'Avg Week Malaba-Tororo'!G44+'Avg Week Tororo-Malaba'!G44</f>
        <v>0.2857142857142857</v>
      </c>
      <c r="H44" s="49">
        <f>'Avg Week Malaba-Tororo'!H44+'Avg Week Tororo-Malaba'!H44</f>
        <v>0</v>
      </c>
      <c r="I44" s="49">
        <f>'Avg Week Malaba-Tororo'!I44+'Avg Week Tororo-Malaba'!I44</f>
        <v>2.4285714285714288</v>
      </c>
      <c r="J44" s="49">
        <f>'Avg Week Malaba-Tororo'!J44+'Avg Week Tororo-Malaba'!J44</f>
        <v>0</v>
      </c>
      <c r="K44" s="49">
        <f>'Avg Week Malaba-Tororo'!K44+'Avg Week Tororo-Malaba'!K44</f>
        <v>0</v>
      </c>
      <c r="L44" s="49">
        <f>'Avg Week Malaba-Tororo'!L44+'Avg Week Tororo-Malaba'!L44</f>
        <v>0</v>
      </c>
      <c r="M44" s="49">
        <f>'Avg Week Malaba-Tororo'!M44+'Avg Week Tororo-Malaba'!M44</f>
        <v>54</v>
      </c>
      <c r="N44" s="49">
        <f>'Avg Week Malaba-Tororo'!N44+'Avg Week Tororo-Malaba'!N44</f>
        <v>0</v>
      </c>
      <c r="O44" s="15">
        <f t="shared" si="0"/>
        <v>17.571428571428573</v>
      </c>
      <c r="P44" s="15">
        <f t="shared" si="1"/>
        <v>71.571428571428569</v>
      </c>
    </row>
    <row r="45" spans="2:32" ht="23.1" customHeight="1" x14ac:dyDescent="0.25">
      <c r="B45" s="23" t="s">
        <v>72</v>
      </c>
      <c r="C45" s="49">
        <f>'Avg Week Malaba-Tororo'!C45+'Avg Week Tororo-Malaba'!C45</f>
        <v>4.2857142857142856</v>
      </c>
      <c r="D45" s="49">
        <f>'Avg Week Malaba-Tororo'!D45+'Avg Week Tororo-Malaba'!D45</f>
        <v>0.2857142857142857</v>
      </c>
      <c r="E45" s="49">
        <f>'Avg Week Malaba-Tororo'!E45+'Avg Week Tororo-Malaba'!E45</f>
        <v>4.8571428571428577</v>
      </c>
      <c r="F45" s="49">
        <f>'Avg Week Malaba-Tororo'!F45+'Avg Week Tororo-Malaba'!F45</f>
        <v>5.2857142857142856</v>
      </c>
      <c r="G45" s="49">
        <f>'Avg Week Malaba-Tororo'!G45+'Avg Week Tororo-Malaba'!G45</f>
        <v>0.14285714285714285</v>
      </c>
      <c r="H45" s="49">
        <f>'Avg Week Malaba-Tororo'!H45+'Avg Week Tororo-Malaba'!H45</f>
        <v>0</v>
      </c>
      <c r="I45" s="49">
        <f>'Avg Week Malaba-Tororo'!I45+'Avg Week Tororo-Malaba'!I45</f>
        <v>2.7142857142857144</v>
      </c>
      <c r="J45" s="49">
        <f>'Avg Week Malaba-Tororo'!J45+'Avg Week Tororo-Malaba'!J45</f>
        <v>0</v>
      </c>
      <c r="K45" s="49">
        <f>'Avg Week Malaba-Tororo'!K45+'Avg Week Tororo-Malaba'!K45</f>
        <v>0</v>
      </c>
      <c r="L45" s="49">
        <f>'Avg Week Malaba-Tororo'!L45+'Avg Week Tororo-Malaba'!L45</f>
        <v>0</v>
      </c>
      <c r="M45" s="49">
        <f>'Avg Week Malaba-Tororo'!M45+'Avg Week Tororo-Malaba'!M45</f>
        <v>45.857142857142861</v>
      </c>
      <c r="N45" s="49">
        <f>'Avg Week Malaba-Tororo'!N45+'Avg Week Tororo-Malaba'!N45</f>
        <v>0</v>
      </c>
      <c r="O45" s="15">
        <f t="shared" si="0"/>
        <v>17.571428571428573</v>
      </c>
      <c r="P45" s="15">
        <f t="shared" si="1"/>
        <v>63.428571428571431</v>
      </c>
    </row>
    <row r="46" spans="2:32" ht="23.1" customHeight="1" x14ac:dyDescent="0.25">
      <c r="B46" s="24" t="s">
        <v>73</v>
      </c>
      <c r="C46" s="49">
        <f>'Avg Week Malaba-Tororo'!C46+'Avg Week Tororo-Malaba'!C46</f>
        <v>6.5714285714285712</v>
      </c>
      <c r="D46" s="49">
        <f>'Avg Week Malaba-Tororo'!D46+'Avg Week Tororo-Malaba'!D46</f>
        <v>0.2857142857142857</v>
      </c>
      <c r="E46" s="49">
        <f>'Avg Week Malaba-Tororo'!E46+'Avg Week Tororo-Malaba'!E46</f>
        <v>3.4285714285714288</v>
      </c>
      <c r="F46" s="49">
        <f>'Avg Week Malaba-Tororo'!F46+'Avg Week Tororo-Malaba'!F46</f>
        <v>6.4285714285714288</v>
      </c>
      <c r="G46" s="49">
        <f>'Avg Week Malaba-Tororo'!G46+'Avg Week Tororo-Malaba'!G46</f>
        <v>0.14285714285714285</v>
      </c>
      <c r="H46" s="49">
        <f>'Avg Week Malaba-Tororo'!H46+'Avg Week Tororo-Malaba'!H46</f>
        <v>0</v>
      </c>
      <c r="I46" s="49">
        <f>'Avg Week Malaba-Tororo'!I46+'Avg Week Tororo-Malaba'!I46</f>
        <v>2</v>
      </c>
      <c r="J46" s="49">
        <f>'Avg Week Malaba-Tororo'!J46+'Avg Week Tororo-Malaba'!J46</f>
        <v>0.42857142857142855</v>
      </c>
      <c r="K46" s="49">
        <f>'Avg Week Malaba-Tororo'!K46+'Avg Week Tororo-Malaba'!K46</f>
        <v>0</v>
      </c>
      <c r="L46" s="49">
        <f>'Avg Week Malaba-Tororo'!L46+'Avg Week Tororo-Malaba'!L46</f>
        <v>0</v>
      </c>
      <c r="M46" s="49">
        <f>'Avg Week Malaba-Tororo'!M46+'Avg Week Tororo-Malaba'!M46</f>
        <v>45.428571428571431</v>
      </c>
      <c r="N46" s="49">
        <f>'Avg Week Malaba-Tororo'!N46+'Avg Week Tororo-Malaba'!N46</f>
        <v>0</v>
      </c>
      <c r="O46" s="15">
        <f t="shared" si="0"/>
        <v>19.285714285714285</v>
      </c>
      <c r="P46" s="15">
        <f t="shared" si="1"/>
        <v>64.714285714285722</v>
      </c>
      <c r="R46" s="8"/>
      <c r="T46"/>
    </row>
    <row r="47" spans="2:32" ht="23.1" customHeight="1" x14ac:dyDescent="0.25">
      <c r="B47" s="24" t="s">
        <v>74</v>
      </c>
      <c r="C47" s="49">
        <f>'Avg Week Malaba-Tororo'!C47+'Avg Week Tororo-Malaba'!C47</f>
        <v>9</v>
      </c>
      <c r="D47" s="49">
        <f>'Avg Week Malaba-Tororo'!D47+'Avg Week Tororo-Malaba'!D47</f>
        <v>0.7142857142857143</v>
      </c>
      <c r="E47" s="49">
        <f>'Avg Week Malaba-Tororo'!E47+'Avg Week Tororo-Malaba'!E47</f>
        <v>4.2857142857142856</v>
      </c>
      <c r="F47" s="49">
        <f>'Avg Week Malaba-Tororo'!F47+'Avg Week Tororo-Malaba'!F47</f>
        <v>4</v>
      </c>
      <c r="G47" s="49">
        <f>'Avg Week Malaba-Tororo'!G47+'Avg Week Tororo-Malaba'!G47</f>
        <v>0.42857142857142855</v>
      </c>
      <c r="H47" s="49">
        <f>'Avg Week Malaba-Tororo'!H47+'Avg Week Tororo-Malaba'!H47</f>
        <v>0</v>
      </c>
      <c r="I47" s="49">
        <f>'Avg Week Malaba-Tororo'!I47+'Avg Week Tororo-Malaba'!I47</f>
        <v>2.8571428571428572</v>
      </c>
      <c r="J47" s="49">
        <f>'Avg Week Malaba-Tororo'!J47+'Avg Week Tororo-Malaba'!J47</f>
        <v>0.14285714285714285</v>
      </c>
      <c r="K47" s="49">
        <f>'Avg Week Malaba-Tororo'!K47+'Avg Week Tororo-Malaba'!K47</f>
        <v>0</v>
      </c>
      <c r="L47" s="49">
        <f>'Avg Week Malaba-Tororo'!L47+'Avg Week Tororo-Malaba'!L47</f>
        <v>0</v>
      </c>
      <c r="M47" s="49">
        <f>'Avg Week Malaba-Tororo'!M47+'Avg Week Tororo-Malaba'!M47</f>
        <v>51.285714285714285</v>
      </c>
      <c r="N47" s="49">
        <f>'Avg Week Malaba-Tororo'!N47+'Avg Week Tororo-Malaba'!N47</f>
        <v>0</v>
      </c>
      <c r="O47" s="15">
        <f t="shared" si="0"/>
        <v>21.428571428571427</v>
      </c>
      <c r="P47" s="15">
        <f t="shared" si="1"/>
        <v>72.714285714285708</v>
      </c>
      <c r="R47" s="8"/>
      <c r="T47"/>
    </row>
    <row r="48" spans="2:32" ht="23.1" customHeight="1" x14ac:dyDescent="0.25">
      <c r="B48" s="24" t="s">
        <v>75</v>
      </c>
      <c r="C48" s="49">
        <f>'Avg Week Malaba-Tororo'!C48+'Avg Week Tororo-Malaba'!C48</f>
        <v>7.1428571428571423</v>
      </c>
      <c r="D48" s="49">
        <f>'Avg Week Malaba-Tororo'!D48+'Avg Week Tororo-Malaba'!D48</f>
        <v>1</v>
      </c>
      <c r="E48" s="49">
        <f>'Avg Week Malaba-Tororo'!E48+'Avg Week Tororo-Malaba'!E48</f>
        <v>6.4285714285714279</v>
      </c>
      <c r="F48" s="49">
        <f>'Avg Week Malaba-Tororo'!F48+'Avg Week Tororo-Malaba'!F48</f>
        <v>6.2857142857142865</v>
      </c>
      <c r="G48" s="49">
        <f>'Avg Week Malaba-Tororo'!G48+'Avg Week Tororo-Malaba'!G48</f>
        <v>0.42857142857142855</v>
      </c>
      <c r="H48" s="49">
        <f>'Avg Week Malaba-Tororo'!H48+'Avg Week Tororo-Malaba'!H48</f>
        <v>0</v>
      </c>
      <c r="I48" s="49">
        <f>'Avg Week Malaba-Tororo'!I48+'Avg Week Tororo-Malaba'!I48</f>
        <v>3</v>
      </c>
      <c r="J48" s="49">
        <f>'Avg Week Malaba-Tororo'!J48+'Avg Week Tororo-Malaba'!J48</f>
        <v>1</v>
      </c>
      <c r="K48" s="49">
        <f>'Avg Week Malaba-Tororo'!K48+'Avg Week Tororo-Malaba'!K48</f>
        <v>0</v>
      </c>
      <c r="L48" s="49">
        <f>'Avg Week Malaba-Tororo'!L48+'Avg Week Tororo-Malaba'!L48</f>
        <v>0</v>
      </c>
      <c r="M48" s="49">
        <f>'Avg Week Malaba-Tororo'!M48+'Avg Week Tororo-Malaba'!M48</f>
        <v>49.285714285714292</v>
      </c>
      <c r="N48" s="49">
        <f>'Avg Week Malaba-Tororo'!N48+'Avg Week Tororo-Malaba'!N48</f>
        <v>0</v>
      </c>
      <c r="O48" s="15">
        <f t="shared" si="0"/>
        <v>25.285714285714281</v>
      </c>
      <c r="P48" s="15">
        <f t="shared" si="1"/>
        <v>74.571428571428569</v>
      </c>
      <c r="R48" s="8"/>
      <c r="T48"/>
    </row>
    <row r="49" spans="2:20" ht="23.1" customHeight="1" x14ac:dyDescent="0.25">
      <c r="B49" s="23" t="s">
        <v>76</v>
      </c>
      <c r="C49" s="49">
        <f>'Avg Week Malaba-Tororo'!C49+'Avg Week Tororo-Malaba'!C49</f>
        <v>6.1428571428571423</v>
      </c>
      <c r="D49" s="49">
        <f>'Avg Week Malaba-Tororo'!D49+'Avg Week Tororo-Malaba'!D49</f>
        <v>0.5714285714285714</v>
      </c>
      <c r="E49" s="49">
        <f>'Avg Week Malaba-Tororo'!E49+'Avg Week Tororo-Malaba'!E49</f>
        <v>4.4285714285714288</v>
      </c>
      <c r="F49" s="49">
        <f>'Avg Week Malaba-Tororo'!F49+'Avg Week Tororo-Malaba'!F49</f>
        <v>7.4285714285714288</v>
      </c>
      <c r="G49" s="49">
        <f>'Avg Week Malaba-Tororo'!G49+'Avg Week Tororo-Malaba'!G49</f>
        <v>0.42857142857142855</v>
      </c>
      <c r="H49" s="49">
        <f>'Avg Week Malaba-Tororo'!H49+'Avg Week Tororo-Malaba'!H49</f>
        <v>0.14285714285714285</v>
      </c>
      <c r="I49" s="49">
        <f>'Avg Week Malaba-Tororo'!I49+'Avg Week Tororo-Malaba'!I49</f>
        <v>2</v>
      </c>
      <c r="J49" s="49">
        <f>'Avg Week Malaba-Tororo'!J49+'Avg Week Tororo-Malaba'!J49</f>
        <v>0</v>
      </c>
      <c r="K49" s="49">
        <f>'Avg Week Malaba-Tororo'!K49+'Avg Week Tororo-Malaba'!K49</f>
        <v>0.14285714285714285</v>
      </c>
      <c r="L49" s="49">
        <f>'Avg Week Malaba-Tororo'!L49+'Avg Week Tororo-Malaba'!L49</f>
        <v>0</v>
      </c>
      <c r="M49" s="49">
        <f>'Avg Week Malaba-Tororo'!M49+'Avg Week Tororo-Malaba'!M49</f>
        <v>48.857142857142861</v>
      </c>
      <c r="N49" s="49">
        <f>'Avg Week Malaba-Tororo'!N49+'Avg Week Tororo-Malaba'!N49</f>
        <v>0</v>
      </c>
      <c r="O49" s="15">
        <f t="shared" si="0"/>
        <v>21.285714285714281</v>
      </c>
      <c r="P49" s="15">
        <f t="shared" si="1"/>
        <v>70.142857142857139</v>
      </c>
      <c r="R49" s="8"/>
      <c r="T49"/>
    </row>
    <row r="50" spans="2:20" ht="23.1" customHeight="1" x14ac:dyDescent="0.25">
      <c r="B50" s="24" t="s">
        <v>77</v>
      </c>
      <c r="C50" s="49">
        <f>'Avg Week Malaba-Tororo'!C50+'Avg Week Tororo-Malaba'!C50</f>
        <v>6.2857142857142856</v>
      </c>
      <c r="D50" s="49">
        <f>'Avg Week Malaba-Tororo'!D50+'Avg Week Tororo-Malaba'!D50</f>
        <v>1</v>
      </c>
      <c r="E50" s="49">
        <f>'Avg Week Malaba-Tororo'!E50+'Avg Week Tororo-Malaba'!E50</f>
        <v>6.1428571428571423</v>
      </c>
      <c r="F50" s="49">
        <f>'Avg Week Malaba-Tororo'!F50+'Avg Week Tororo-Malaba'!F50</f>
        <v>7.1428571428571423</v>
      </c>
      <c r="G50" s="49">
        <f>'Avg Week Malaba-Tororo'!G50+'Avg Week Tororo-Malaba'!G50</f>
        <v>0.14285714285714285</v>
      </c>
      <c r="H50" s="49">
        <f>'Avg Week Malaba-Tororo'!H50+'Avg Week Tororo-Malaba'!H50</f>
        <v>0</v>
      </c>
      <c r="I50" s="49">
        <f>'Avg Week Malaba-Tororo'!I50+'Avg Week Tororo-Malaba'!I50</f>
        <v>3</v>
      </c>
      <c r="J50" s="49">
        <f>'Avg Week Malaba-Tororo'!J50+'Avg Week Tororo-Malaba'!J50</f>
        <v>1</v>
      </c>
      <c r="K50" s="49">
        <f>'Avg Week Malaba-Tororo'!K50+'Avg Week Tororo-Malaba'!K50</f>
        <v>0.42857142857142855</v>
      </c>
      <c r="L50" s="49">
        <f>'Avg Week Malaba-Tororo'!L50+'Avg Week Tororo-Malaba'!L50</f>
        <v>0</v>
      </c>
      <c r="M50" s="49">
        <f>'Avg Week Malaba-Tororo'!M50+'Avg Week Tororo-Malaba'!M50</f>
        <v>44.571428571428569</v>
      </c>
      <c r="N50" s="49">
        <f>'Avg Week Malaba-Tororo'!N50+'Avg Week Tororo-Malaba'!N50</f>
        <v>0.14285714285714285</v>
      </c>
      <c r="O50" s="15">
        <f t="shared" si="0"/>
        <v>25.285714285714281</v>
      </c>
      <c r="P50" s="15">
        <f t="shared" si="1"/>
        <v>69.857142857142847</v>
      </c>
      <c r="R50" s="8"/>
      <c r="T50"/>
    </row>
    <row r="51" spans="2:20" ht="23.1" customHeight="1" x14ac:dyDescent="0.25">
      <c r="B51" s="24" t="s">
        <v>78</v>
      </c>
      <c r="C51" s="49">
        <f>'Avg Week Malaba-Tororo'!C51+'Avg Week Tororo-Malaba'!C51</f>
        <v>5</v>
      </c>
      <c r="D51" s="49">
        <f>'Avg Week Malaba-Tororo'!D51+'Avg Week Tororo-Malaba'!D51</f>
        <v>0.71428571428571419</v>
      </c>
      <c r="E51" s="49">
        <f>'Avg Week Malaba-Tororo'!E51+'Avg Week Tororo-Malaba'!E51</f>
        <v>5</v>
      </c>
      <c r="F51" s="49">
        <f>'Avg Week Malaba-Tororo'!F51+'Avg Week Tororo-Malaba'!F51</f>
        <v>5</v>
      </c>
      <c r="G51" s="49">
        <f>'Avg Week Malaba-Tororo'!G51+'Avg Week Tororo-Malaba'!G51</f>
        <v>0.71428571428571419</v>
      </c>
      <c r="H51" s="49">
        <f>'Avg Week Malaba-Tororo'!H51+'Avg Week Tororo-Malaba'!H51</f>
        <v>0</v>
      </c>
      <c r="I51" s="49">
        <f>'Avg Week Malaba-Tororo'!I51+'Avg Week Tororo-Malaba'!I51</f>
        <v>0.85714285714285721</v>
      </c>
      <c r="J51" s="49">
        <f>'Avg Week Malaba-Tororo'!J51+'Avg Week Tororo-Malaba'!J51</f>
        <v>0.2857142857142857</v>
      </c>
      <c r="K51" s="49">
        <f>'Avg Week Malaba-Tororo'!K51+'Avg Week Tororo-Malaba'!K51</f>
        <v>0</v>
      </c>
      <c r="L51" s="49">
        <f>'Avg Week Malaba-Tororo'!L51+'Avg Week Tororo-Malaba'!L51</f>
        <v>0</v>
      </c>
      <c r="M51" s="49">
        <f>'Avg Week Malaba-Tororo'!M51+'Avg Week Tororo-Malaba'!M51</f>
        <v>40.142857142857139</v>
      </c>
      <c r="N51" s="49">
        <f>'Avg Week Malaba-Tororo'!N51+'Avg Week Tororo-Malaba'!N51</f>
        <v>0</v>
      </c>
      <c r="O51" s="15">
        <f t="shared" si="0"/>
        <v>17.571428571428573</v>
      </c>
      <c r="P51" s="15">
        <f t="shared" si="1"/>
        <v>57.714285714285708</v>
      </c>
      <c r="R51" s="8"/>
      <c r="T51"/>
    </row>
    <row r="52" spans="2:20" ht="23.1" customHeight="1" x14ac:dyDescent="0.25">
      <c r="B52" s="24" t="s">
        <v>79</v>
      </c>
      <c r="C52" s="49">
        <f>'Avg Week Malaba-Tororo'!C52+'Avg Week Tororo-Malaba'!C52</f>
        <v>4.4285714285714288</v>
      </c>
      <c r="D52" s="49">
        <f>'Avg Week Malaba-Tororo'!D52+'Avg Week Tororo-Malaba'!D52</f>
        <v>0.5714285714285714</v>
      </c>
      <c r="E52" s="49">
        <f>'Avg Week Malaba-Tororo'!E52+'Avg Week Tororo-Malaba'!E52</f>
        <v>4.7142857142857144</v>
      </c>
      <c r="F52" s="49">
        <f>'Avg Week Malaba-Tororo'!F52+'Avg Week Tororo-Malaba'!F52</f>
        <v>5.4285714285714288</v>
      </c>
      <c r="G52" s="49">
        <f>'Avg Week Malaba-Tororo'!G52+'Avg Week Tororo-Malaba'!G52</f>
        <v>0</v>
      </c>
      <c r="H52" s="49">
        <f>'Avg Week Malaba-Tororo'!H52+'Avg Week Tororo-Malaba'!H52</f>
        <v>0</v>
      </c>
      <c r="I52" s="49">
        <f>'Avg Week Malaba-Tororo'!I52+'Avg Week Tororo-Malaba'!I52</f>
        <v>2</v>
      </c>
      <c r="J52" s="49">
        <f>'Avg Week Malaba-Tororo'!J52+'Avg Week Tororo-Malaba'!J52</f>
        <v>0.42857142857142855</v>
      </c>
      <c r="K52" s="49">
        <f>'Avg Week Malaba-Tororo'!K52+'Avg Week Tororo-Malaba'!K52</f>
        <v>0</v>
      </c>
      <c r="L52" s="49">
        <f>'Avg Week Malaba-Tororo'!L52+'Avg Week Tororo-Malaba'!L52</f>
        <v>0</v>
      </c>
      <c r="M52" s="49">
        <f>'Avg Week Malaba-Tororo'!M52+'Avg Week Tororo-Malaba'!M52</f>
        <v>47.714285714285715</v>
      </c>
      <c r="N52" s="49">
        <f>'Avg Week Malaba-Tororo'!N52+'Avg Week Tororo-Malaba'!N52</f>
        <v>0.2857142857142857</v>
      </c>
      <c r="O52" s="15">
        <f t="shared" si="0"/>
        <v>17.857142857142858</v>
      </c>
      <c r="P52" s="15">
        <f t="shared" si="1"/>
        <v>65.571428571428584</v>
      </c>
      <c r="R52" s="8"/>
      <c r="T52"/>
    </row>
    <row r="53" spans="2:20" ht="23.1" customHeight="1" x14ac:dyDescent="0.25">
      <c r="B53" s="23" t="s">
        <v>80</v>
      </c>
      <c r="C53" s="49">
        <f>'Avg Week Malaba-Tororo'!C53+'Avg Week Tororo-Malaba'!C53</f>
        <v>7.7142857142857153</v>
      </c>
      <c r="D53" s="49">
        <f>'Avg Week Malaba-Tororo'!D53+'Avg Week Tororo-Malaba'!D53</f>
        <v>0.5714285714285714</v>
      </c>
      <c r="E53" s="49">
        <f>'Avg Week Malaba-Tororo'!E53+'Avg Week Tororo-Malaba'!E53</f>
        <v>5.8571428571428577</v>
      </c>
      <c r="F53" s="49">
        <f>'Avg Week Malaba-Tororo'!F53+'Avg Week Tororo-Malaba'!F53</f>
        <v>5.4285714285714288</v>
      </c>
      <c r="G53" s="49">
        <f>'Avg Week Malaba-Tororo'!G53+'Avg Week Tororo-Malaba'!G53</f>
        <v>0.14285714285714285</v>
      </c>
      <c r="H53" s="49">
        <f>'Avg Week Malaba-Tororo'!H53+'Avg Week Tororo-Malaba'!H53</f>
        <v>0</v>
      </c>
      <c r="I53" s="49">
        <f>'Avg Week Malaba-Tororo'!I53+'Avg Week Tororo-Malaba'!I53</f>
        <v>2.8571428571428572</v>
      </c>
      <c r="J53" s="49">
        <f>'Avg Week Malaba-Tororo'!J53+'Avg Week Tororo-Malaba'!J53</f>
        <v>0.5714285714285714</v>
      </c>
      <c r="K53" s="49">
        <f>'Avg Week Malaba-Tororo'!K53+'Avg Week Tororo-Malaba'!K53</f>
        <v>0</v>
      </c>
      <c r="L53" s="49">
        <f>'Avg Week Malaba-Tororo'!L53+'Avg Week Tororo-Malaba'!L53</f>
        <v>0</v>
      </c>
      <c r="M53" s="49">
        <f>'Avg Week Malaba-Tororo'!M53+'Avg Week Tororo-Malaba'!M53</f>
        <v>41.571428571428569</v>
      </c>
      <c r="N53" s="49">
        <f>'Avg Week Malaba-Tororo'!N53+'Avg Week Tororo-Malaba'!N53</f>
        <v>0</v>
      </c>
      <c r="O53" s="15">
        <f t="shared" si="0"/>
        <v>23.142857142857146</v>
      </c>
      <c r="P53" s="15">
        <f t="shared" si="1"/>
        <v>64.714285714285722</v>
      </c>
      <c r="R53" s="8"/>
      <c r="T53"/>
    </row>
    <row r="54" spans="2:20" ht="23.1" customHeight="1" x14ac:dyDescent="0.25">
      <c r="B54" s="23" t="s">
        <v>81</v>
      </c>
      <c r="C54" s="49">
        <f>'Avg Week Malaba-Tororo'!C54+'Avg Week Tororo-Malaba'!C54</f>
        <v>6.7142857142857135</v>
      </c>
      <c r="D54" s="49">
        <f>'Avg Week Malaba-Tororo'!D54+'Avg Week Tororo-Malaba'!D54</f>
        <v>0.7142857142857143</v>
      </c>
      <c r="E54" s="49">
        <f>'Avg Week Malaba-Tororo'!E54+'Avg Week Tororo-Malaba'!E54</f>
        <v>4.8571428571428568</v>
      </c>
      <c r="F54" s="49">
        <f>'Avg Week Malaba-Tororo'!F54+'Avg Week Tororo-Malaba'!F54</f>
        <v>4.5714285714285712</v>
      </c>
      <c r="G54" s="49">
        <f>'Avg Week Malaba-Tororo'!G54+'Avg Week Tororo-Malaba'!G54</f>
        <v>0.14285714285714285</v>
      </c>
      <c r="H54" s="49">
        <f>'Avg Week Malaba-Tororo'!H54+'Avg Week Tororo-Malaba'!H54</f>
        <v>0.14285714285714285</v>
      </c>
      <c r="I54" s="49">
        <f>'Avg Week Malaba-Tororo'!I54+'Avg Week Tororo-Malaba'!I54</f>
        <v>1.2857142857142856</v>
      </c>
      <c r="J54" s="49">
        <f>'Avg Week Malaba-Tororo'!J54+'Avg Week Tororo-Malaba'!J54</f>
        <v>0.14285714285714285</v>
      </c>
      <c r="K54" s="49">
        <f>'Avg Week Malaba-Tororo'!K54+'Avg Week Tororo-Malaba'!K54</f>
        <v>0.14285714285714285</v>
      </c>
      <c r="L54" s="49">
        <f>'Avg Week Malaba-Tororo'!L54+'Avg Week Tororo-Malaba'!L54</f>
        <v>0</v>
      </c>
      <c r="M54" s="49">
        <f>'Avg Week Malaba-Tororo'!M54+'Avg Week Tororo-Malaba'!M54</f>
        <v>50.857142857142861</v>
      </c>
      <c r="N54" s="49">
        <f>'Avg Week Malaba-Tororo'!N54+'Avg Week Tororo-Malaba'!N54</f>
        <v>0</v>
      </c>
      <c r="O54" s="15">
        <f t="shared" si="0"/>
        <v>18.714285714285708</v>
      </c>
      <c r="P54" s="15">
        <f t="shared" si="1"/>
        <v>69.571428571428569</v>
      </c>
      <c r="R54" s="8"/>
      <c r="T54"/>
    </row>
    <row r="55" spans="2:20" ht="23.1" customHeight="1" x14ac:dyDescent="0.25">
      <c r="B55" s="23" t="s">
        <v>82</v>
      </c>
      <c r="C55" s="49">
        <f>'Avg Week Malaba-Tororo'!C55+'Avg Week Tororo-Malaba'!C55</f>
        <v>8</v>
      </c>
      <c r="D55" s="49">
        <f>'Avg Week Malaba-Tororo'!D55+'Avg Week Tororo-Malaba'!D55</f>
        <v>0.2857142857142857</v>
      </c>
      <c r="E55" s="49">
        <f>'Avg Week Malaba-Tororo'!E55+'Avg Week Tororo-Malaba'!E55</f>
        <v>3</v>
      </c>
      <c r="F55" s="49">
        <f>'Avg Week Malaba-Tororo'!F55+'Avg Week Tororo-Malaba'!F55</f>
        <v>6.4285714285714288</v>
      </c>
      <c r="G55" s="49">
        <f>'Avg Week Malaba-Tororo'!G55+'Avg Week Tororo-Malaba'!G55</f>
        <v>0.5714285714285714</v>
      </c>
      <c r="H55" s="49">
        <f>'Avg Week Malaba-Tororo'!H55+'Avg Week Tororo-Malaba'!H55</f>
        <v>0.5714285714285714</v>
      </c>
      <c r="I55" s="49">
        <f>'Avg Week Malaba-Tororo'!I55+'Avg Week Tororo-Malaba'!I55</f>
        <v>1.5714285714285714</v>
      </c>
      <c r="J55" s="49">
        <f>'Avg Week Malaba-Tororo'!J55+'Avg Week Tororo-Malaba'!J55</f>
        <v>0.42857142857142855</v>
      </c>
      <c r="K55" s="49">
        <f>'Avg Week Malaba-Tororo'!K55+'Avg Week Tororo-Malaba'!K55</f>
        <v>0</v>
      </c>
      <c r="L55" s="49">
        <f>'Avg Week Malaba-Tororo'!L55+'Avg Week Tororo-Malaba'!L55</f>
        <v>0</v>
      </c>
      <c r="M55" s="49">
        <f>'Avg Week Malaba-Tororo'!M55+'Avg Week Tororo-Malaba'!M55</f>
        <v>47.428571428571431</v>
      </c>
      <c r="N55" s="49">
        <f>'Avg Week Malaba-Tororo'!N55+'Avg Week Tororo-Malaba'!N55</f>
        <v>0</v>
      </c>
      <c r="O55" s="15">
        <f t="shared" si="0"/>
        <v>20.857142857142861</v>
      </c>
      <c r="P55" s="15">
        <f t="shared" si="1"/>
        <v>68.285714285714292</v>
      </c>
      <c r="R55" s="8"/>
      <c r="T55"/>
    </row>
    <row r="56" spans="2:20" ht="23.1" customHeight="1" x14ac:dyDescent="0.25">
      <c r="B56" s="23" t="s">
        <v>83</v>
      </c>
      <c r="C56" s="49">
        <f>'Avg Week Malaba-Tororo'!C56+'Avg Week Tororo-Malaba'!C56</f>
        <v>6</v>
      </c>
      <c r="D56" s="49">
        <f>'Avg Week Malaba-Tororo'!D56+'Avg Week Tororo-Malaba'!D56</f>
        <v>0.42857142857142855</v>
      </c>
      <c r="E56" s="49">
        <f>'Avg Week Malaba-Tororo'!E56+'Avg Week Tororo-Malaba'!E56</f>
        <v>5</v>
      </c>
      <c r="F56" s="49">
        <f>'Avg Week Malaba-Tororo'!F56+'Avg Week Tororo-Malaba'!F56</f>
        <v>4.1428571428571423</v>
      </c>
      <c r="G56" s="49">
        <f>'Avg Week Malaba-Tororo'!G56+'Avg Week Tororo-Malaba'!G56</f>
        <v>0</v>
      </c>
      <c r="H56" s="49">
        <f>'Avg Week Malaba-Tororo'!H56+'Avg Week Tororo-Malaba'!H56</f>
        <v>0.5714285714285714</v>
      </c>
      <c r="I56" s="49">
        <f>'Avg Week Malaba-Tororo'!I56+'Avg Week Tororo-Malaba'!I56</f>
        <v>2.5714285714285712</v>
      </c>
      <c r="J56" s="49">
        <f>'Avg Week Malaba-Tororo'!J56+'Avg Week Tororo-Malaba'!J56</f>
        <v>0.42857142857142855</v>
      </c>
      <c r="K56" s="49">
        <f>'Avg Week Malaba-Tororo'!K56+'Avg Week Tororo-Malaba'!K56</f>
        <v>0</v>
      </c>
      <c r="L56" s="49">
        <f>'Avg Week Malaba-Tororo'!L56+'Avg Week Tororo-Malaba'!L56</f>
        <v>0</v>
      </c>
      <c r="M56" s="49">
        <f>'Avg Week Malaba-Tororo'!M56+'Avg Week Tororo-Malaba'!M56</f>
        <v>45</v>
      </c>
      <c r="N56" s="49">
        <f>'Avg Week Malaba-Tororo'!N56+'Avg Week Tororo-Malaba'!N56</f>
        <v>0.14285714285714285</v>
      </c>
      <c r="O56" s="15">
        <f t="shared" si="0"/>
        <v>19.285714285714285</v>
      </c>
      <c r="P56" s="15">
        <f t="shared" si="1"/>
        <v>64.285714285714278</v>
      </c>
      <c r="R56" s="8"/>
      <c r="T56"/>
    </row>
    <row r="57" spans="2:20" ht="23.1" customHeight="1" x14ac:dyDescent="0.25">
      <c r="B57" s="23" t="s">
        <v>84</v>
      </c>
      <c r="C57" s="49">
        <f>'Avg Week Malaba-Tororo'!C57+'Avg Week Tororo-Malaba'!C57</f>
        <v>8.2857142857142847</v>
      </c>
      <c r="D57" s="49">
        <f>'Avg Week Malaba-Tororo'!D57+'Avg Week Tororo-Malaba'!D57</f>
        <v>0.42857142857142855</v>
      </c>
      <c r="E57" s="49">
        <f>'Avg Week Malaba-Tororo'!E57+'Avg Week Tororo-Malaba'!E57</f>
        <v>4.2857142857142856</v>
      </c>
      <c r="F57" s="49">
        <f>'Avg Week Malaba-Tororo'!F57+'Avg Week Tororo-Malaba'!F57</f>
        <v>5.1428571428571423</v>
      </c>
      <c r="G57" s="49">
        <f>'Avg Week Malaba-Tororo'!G57+'Avg Week Tororo-Malaba'!G57</f>
        <v>0.5714285714285714</v>
      </c>
      <c r="H57" s="49">
        <f>'Avg Week Malaba-Tororo'!H57+'Avg Week Tororo-Malaba'!H57</f>
        <v>0.8571428571428571</v>
      </c>
      <c r="I57" s="49">
        <f>'Avg Week Malaba-Tororo'!I57+'Avg Week Tororo-Malaba'!I57</f>
        <v>2.7142857142857144</v>
      </c>
      <c r="J57" s="49">
        <f>'Avg Week Malaba-Tororo'!J57+'Avg Week Tororo-Malaba'!J57</f>
        <v>0.7142857142857143</v>
      </c>
      <c r="K57" s="49">
        <f>'Avg Week Malaba-Tororo'!K57+'Avg Week Tororo-Malaba'!K57</f>
        <v>0</v>
      </c>
      <c r="L57" s="49">
        <f>'Avg Week Malaba-Tororo'!L57+'Avg Week Tororo-Malaba'!L57</f>
        <v>0</v>
      </c>
      <c r="M57" s="49">
        <f>'Avg Week Malaba-Tororo'!M57+'Avg Week Tororo-Malaba'!M57</f>
        <v>47.714285714285708</v>
      </c>
      <c r="N57" s="49">
        <f>'Avg Week Malaba-Tororo'!N57+'Avg Week Tororo-Malaba'!N57</f>
        <v>0</v>
      </c>
      <c r="O57" s="15">
        <f t="shared" si="0"/>
        <v>23.000000000000004</v>
      </c>
      <c r="P57" s="15">
        <f t="shared" si="1"/>
        <v>70.714285714285708</v>
      </c>
      <c r="R57" s="8"/>
      <c r="T57"/>
    </row>
    <row r="58" spans="2:20" ht="23.1" customHeight="1" x14ac:dyDescent="0.25">
      <c r="B58" s="23" t="s">
        <v>99</v>
      </c>
      <c r="C58" s="49">
        <f>'Avg Week Malaba-Tororo'!C58+'Avg Week Tororo-Malaba'!C58</f>
        <v>7.5</v>
      </c>
      <c r="D58" s="49">
        <f>'Avg Week Malaba-Tororo'!D58+'Avg Week Tororo-Malaba'!D58</f>
        <v>2</v>
      </c>
      <c r="E58" s="49">
        <f>'Avg Week Malaba-Tororo'!E58+'Avg Week Tororo-Malaba'!E58</f>
        <v>7.5</v>
      </c>
      <c r="F58" s="49">
        <f>'Avg Week Malaba-Tororo'!F58+'Avg Week Tororo-Malaba'!F58</f>
        <v>4</v>
      </c>
      <c r="G58" s="49">
        <f>'Avg Week Malaba-Tororo'!G58+'Avg Week Tororo-Malaba'!G58</f>
        <v>0</v>
      </c>
      <c r="H58" s="49">
        <f>'Avg Week Malaba-Tororo'!H58+'Avg Week Tororo-Malaba'!H58</f>
        <v>0</v>
      </c>
      <c r="I58" s="49">
        <f>'Avg Week Malaba-Tororo'!I58+'Avg Week Tororo-Malaba'!I58</f>
        <v>2</v>
      </c>
      <c r="J58" s="49">
        <f>'Avg Week Malaba-Tororo'!J58+'Avg Week Tororo-Malaba'!J58</f>
        <v>2</v>
      </c>
      <c r="K58" s="49">
        <f>'Avg Week Malaba-Tororo'!K58+'Avg Week Tororo-Malaba'!K58</f>
        <v>0</v>
      </c>
      <c r="L58" s="49">
        <f>'Avg Week Malaba-Tororo'!L58+'Avg Week Tororo-Malaba'!L58</f>
        <v>0</v>
      </c>
      <c r="M58" s="49">
        <f>'Avg Week Malaba-Tororo'!M58+'Avg Week Tororo-Malaba'!M58</f>
        <v>45.5</v>
      </c>
      <c r="N58" s="49">
        <f>'Avg Week Malaba-Tororo'!N58+'Avg Week Tororo-Malaba'!N58</f>
        <v>0</v>
      </c>
      <c r="O58" s="15">
        <f t="shared" si="0"/>
        <v>25</v>
      </c>
      <c r="P58" s="15">
        <f t="shared" si="1"/>
        <v>70.5</v>
      </c>
      <c r="R58" s="8"/>
      <c r="T58"/>
    </row>
    <row r="59" spans="2:20" ht="23.1" customHeight="1" x14ac:dyDescent="0.25">
      <c r="B59" s="23" t="s">
        <v>100</v>
      </c>
      <c r="C59" s="49">
        <f>'Avg Week Malaba-Tororo'!C59+'Avg Week Tororo-Malaba'!C59</f>
        <v>5.5</v>
      </c>
      <c r="D59" s="49">
        <f>'Avg Week Malaba-Tororo'!D59+'Avg Week Tororo-Malaba'!D59</f>
        <v>0.5</v>
      </c>
      <c r="E59" s="49">
        <f>'Avg Week Malaba-Tororo'!E59+'Avg Week Tororo-Malaba'!E59</f>
        <v>3.5</v>
      </c>
      <c r="F59" s="49">
        <f>'Avg Week Malaba-Tororo'!F59+'Avg Week Tororo-Malaba'!F59</f>
        <v>4.5</v>
      </c>
      <c r="G59" s="49">
        <f>'Avg Week Malaba-Tororo'!G59+'Avg Week Tororo-Malaba'!G59</f>
        <v>0</v>
      </c>
      <c r="H59" s="49">
        <f>'Avg Week Malaba-Tororo'!H59+'Avg Week Tororo-Malaba'!H59</f>
        <v>0</v>
      </c>
      <c r="I59" s="49">
        <f>'Avg Week Malaba-Tororo'!I59+'Avg Week Tororo-Malaba'!I59</f>
        <v>2</v>
      </c>
      <c r="J59" s="49">
        <f>'Avg Week Malaba-Tororo'!J59+'Avg Week Tororo-Malaba'!J59</f>
        <v>0</v>
      </c>
      <c r="K59" s="49">
        <f>'Avg Week Malaba-Tororo'!K59+'Avg Week Tororo-Malaba'!K59</f>
        <v>0</v>
      </c>
      <c r="L59" s="49">
        <f>'Avg Week Malaba-Tororo'!L59+'Avg Week Tororo-Malaba'!L59</f>
        <v>0</v>
      </c>
      <c r="M59" s="49">
        <f>'Avg Week Malaba-Tororo'!M59+'Avg Week Tororo-Malaba'!M59</f>
        <v>28</v>
      </c>
      <c r="N59" s="49">
        <f>'Avg Week Malaba-Tororo'!N59+'Avg Week Tororo-Malaba'!N59</f>
        <v>0</v>
      </c>
      <c r="O59" s="15">
        <f t="shared" si="0"/>
        <v>16</v>
      </c>
      <c r="P59" s="15">
        <f t="shared" si="1"/>
        <v>44</v>
      </c>
      <c r="R59" s="8"/>
      <c r="T59"/>
    </row>
    <row r="60" spans="2:20" ht="23.1" customHeight="1" x14ac:dyDescent="0.25">
      <c r="B60" s="23" t="s">
        <v>101</v>
      </c>
      <c r="C60" s="49">
        <f>'Avg Week Malaba-Tororo'!C60+'Avg Week Tororo-Malaba'!C60</f>
        <v>10</v>
      </c>
      <c r="D60" s="49">
        <f>'Avg Week Malaba-Tororo'!D60+'Avg Week Tororo-Malaba'!D60</f>
        <v>0.5</v>
      </c>
      <c r="E60" s="49">
        <f>'Avg Week Malaba-Tororo'!E60+'Avg Week Tororo-Malaba'!E60</f>
        <v>4.5</v>
      </c>
      <c r="F60" s="49">
        <f>'Avg Week Malaba-Tororo'!F60+'Avg Week Tororo-Malaba'!F60</f>
        <v>6.5</v>
      </c>
      <c r="G60" s="49">
        <f>'Avg Week Malaba-Tororo'!G60+'Avg Week Tororo-Malaba'!G60</f>
        <v>0</v>
      </c>
      <c r="H60" s="49">
        <f>'Avg Week Malaba-Tororo'!H60+'Avg Week Tororo-Malaba'!H60</f>
        <v>0</v>
      </c>
      <c r="I60" s="49">
        <f>'Avg Week Malaba-Tororo'!I60+'Avg Week Tororo-Malaba'!I60</f>
        <v>3.5</v>
      </c>
      <c r="J60" s="49">
        <f>'Avg Week Malaba-Tororo'!J60+'Avg Week Tororo-Malaba'!J60</f>
        <v>0</v>
      </c>
      <c r="K60" s="49">
        <f>'Avg Week Malaba-Tororo'!K60+'Avg Week Tororo-Malaba'!K60</f>
        <v>0</v>
      </c>
      <c r="L60" s="49">
        <f>'Avg Week Malaba-Tororo'!L60+'Avg Week Tororo-Malaba'!L60</f>
        <v>0</v>
      </c>
      <c r="M60" s="49">
        <f>'Avg Week Malaba-Tororo'!M60+'Avg Week Tororo-Malaba'!M60</f>
        <v>45.5</v>
      </c>
      <c r="N60" s="49">
        <f>'Avg Week Malaba-Tororo'!N60+'Avg Week Tororo-Malaba'!N60</f>
        <v>0</v>
      </c>
      <c r="O60" s="15">
        <f t="shared" si="0"/>
        <v>25</v>
      </c>
      <c r="P60" s="15">
        <f t="shared" si="1"/>
        <v>70.5</v>
      </c>
      <c r="R60" s="8"/>
      <c r="T60"/>
    </row>
    <row r="61" spans="2:20" ht="23.1" customHeight="1" x14ac:dyDescent="0.25">
      <c r="B61" s="23" t="s">
        <v>102</v>
      </c>
      <c r="C61" s="49">
        <f>'Avg Week Malaba-Tororo'!C61+'Avg Week Tororo-Malaba'!C61</f>
        <v>4.5</v>
      </c>
      <c r="D61" s="49">
        <f>'Avg Week Malaba-Tororo'!D61+'Avg Week Tororo-Malaba'!D61</f>
        <v>0</v>
      </c>
      <c r="E61" s="49">
        <f>'Avg Week Malaba-Tororo'!E61+'Avg Week Tororo-Malaba'!E61</f>
        <v>2</v>
      </c>
      <c r="F61" s="49">
        <f>'Avg Week Malaba-Tororo'!F61+'Avg Week Tororo-Malaba'!F61</f>
        <v>3.5</v>
      </c>
      <c r="G61" s="49">
        <f>'Avg Week Malaba-Tororo'!G61+'Avg Week Tororo-Malaba'!G61</f>
        <v>1</v>
      </c>
      <c r="H61" s="49">
        <f>'Avg Week Malaba-Tororo'!H61+'Avg Week Tororo-Malaba'!H61</f>
        <v>0</v>
      </c>
      <c r="I61" s="49">
        <f>'Avg Week Malaba-Tororo'!I61+'Avg Week Tororo-Malaba'!I61</f>
        <v>1.5</v>
      </c>
      <c r="J61" s="49">
        <f>'Avg Week Malaba-Tororo'!J61+'Avg Week Tororo-Malaba'!J61</f>
        <v>0</v>
      </c>
      <c r="K61" s="49">
        <f>'Avg Week Malaba-Tororo'!K61+'Avg Week Tororo-Malaba'!K61</f>
        <v>0</v>
      </c>
      <c r="L61" s="49">
        <f>'Avg Week Malaba-Tororo'!L61+'Avg Week Tororo-Malaba'!L61</f>
        <v>0</v>
      </c>
      <c r="M61" s="49">
        <f>'Avg Week Malaba-Tororo'!M61+'Avg Week Tororo-Malaba'!M61</f>
        <v>28.5</v>
      </c>
      <c r="N61" s="49">
        <f>'Avg Week Malaba-Tororo'!N61+'Avg Week Tororo-Malaba'!N61</f>
        <v>0</v>
      </c>
      <c r="O61" s="15">
        <f t="shared" si="0"/>
        <v>12.5</v>
      </c>
      <c r="P61" s="15">
        <f t="shared" si="1"/>
        <v>41</v>
      </c>
      <c r="R61" s="8"/>
      <c r="T61"/>
    </row>
    <row r="62" spans="2:20" ht="23.1" customHeight="1" x14ac:dyDescent="0.25">
      <c r="B62" s="23" t="s">
        <v>107</v>
      </c>
      <c r="C62" s="49">
        <f>'Avg Week Malaba-Tororo'!C62+'Avg Week Tororo-Malaba'!C62</f>
        <v>4</v>
      </c>
      <c r="D62" s="49">
        <f>'Avg Week Malaba-Tororo'!D62+'Avg Week Tororo-Malaba'!D62</f>
        <v>0</v>
      </c>
      <c r="E62" s="49">
        <f>'Avg Week Malaba-Tororo'!E62+'Avg Week Tororo-Malaba'!E62</f>
        <v>2.5</v>
      </c>
      <c r="F62" s="49">
        <f>'Avg Week Malaba-Tororo'!F62+'Avg Week Tororo-Malaba'!F62</f>
        <v>5.5</v>
      </c>
      <c r="G62" s="49">
        <f>'Avg Week Malaba-Tororo'!G62+'Avg Week Tororo-Malaba'!G62</f>
        <v>0.5</v>
      </c>
      <c r="H62" s="49">
        <f>'Avg Week Malaba-Tororo'!H62+'Avg Week Tororo-Malaba'!H62</f>
        <v>0</v>
      </c>
      <c r="I62" s="49">
        <f>'Avg Week Malaba-Tororo'!I62+'Avg Week Tororo-Malaba'!I62</f>
        <v>1.5</v>
      </c>
      <c r="J62" s="49">
        <f>'Avg Week Malaba-Tororo'!J62+'Avg Week Tororo-Malaba'!J62</f>
        <v>1</v>
      </c>
      <c r="K62" s="49">
        <f>'Avg Week Malaba-Tororo'!K62+'Avg Week Tororo-Malaba'!K62</f>
        <v>0</v>
      </c>
      <c r="L62" s="49">
        <f>'Avg Week Malaba-Tororo'!L62+'Avg Week Tororo-Malaba'!L62</f>
        <v>0</v>
      </c>
      <c r="M62" s="49">
        <f>'Avg Week Malaba-Tororo'!M62+'Avg Week Tororo-Malaba'!M62</f>
        <v>26</v>
      </c>
      <c r="N62" s="49">
        <f>'Avg Week Malaba-Tororo'!N62+'Avg Week Tororo-Malaba'!N62</f>
        <v>0</v>
      </c>
      <c r="O62" s="15">
        <f t="shared" si="0"/>
        <v>15</v>
      </c>
      <c r="P62" s="15">
        <f t="shared" si="1"/>
        <v>41</v>
      </c>
      <c r="R62" s="8"/>
      <c r="T62"/>
    </row>
    <row r="63" spans="2:20" ht="23.1" customHeight="1" x14ac:dyDescent="0.25">
      <c r="B63" s="23" t="s">
        <v>108</v>
      </c>
      <c r="C63" s="49">
        <f>'Avg Week Malaba-Tororo'!C63+'Avg Week Tororo-Malaba'!C63</f>
        <v>4.5</v>
      </c>
      <c r="D63" s="49">
        <f>'Avg Week Malaba-Tororo'!D63+'Avg Week Tororo-Malaba'!D63</f>
        <v>1</v>
      </c>
      <c r="E63" s="49">
        <f>'Avg Week Malaba-Tororo'!E63+'Avg Week Tororo-Malaba'!E63</f>
        <v>5</v>
      </c>
      <c r="F63" s="49">
        <f>'Avg Week Malaba-Tororo'!F63+'Avg Week Tororo-Malaba'!F63</f>
        <v>1.5</v>
      </c>
      <c r="G63" s="49">
        <f>'Avg Week Malaba-Tororo'!G63+'Avg Week Tororo-Malaba'!G63</f>
        <v>0</v>
      </c>
      <c r="H63" s="49">
        <f>'Avg Week Malaba-Tororo'!H63+'Avg Week Tororo-Malaba'!H63</f>
        <v>0</v>
      </c>
      <c r="I63" s="49">
        <f>'Avg Week Malaba-Tororo'!I63+'Avg Week Tororo-Malaba'!I63</f>
        <v>4.5</v>
      </c>
      <c r="J63" s="49">
        <f>'Avg Week Malaba-Tororo'!J63+'Avg Week Tororo-Malaba'!J63</f>
        <v>0</v>
      </c>
      <c r="K63" s="49">
        <f>'Avg Week Malaba-Tororo'!K63+'Avg Week Tororo-Malaba'!K63</f>
        <v>0</v>
      </c>
      <c r="L63" s="49">
        <f>'Avg Week Malaba-Tororo'!L63+'Avg Week Tororo-Malaba'!L63</f>
        <v>0</v>
      </c>
      <c r="M63" s="49">
        <f>'Avg Week Malaba-Tororo'!M63+'Avg Week Tororo-Malaba'!M63</f>
        <v>18</v>
      </c>
      <c r="N63" s="49">
        <f>'Avg Week Malaba-Tororo'!N63+'Avg Week Tororo-Malaba'!N63</f>
        <v>0</v>
      </c>
      <c r="O63" s="15">
        <f t="shared" si="0"/>
        <v>16.5</v>
      </c>
      <c r="P63" s="15">
        <f t="shared" si="1"/>
        <v>34.5</v>
      </c>
      <c r="R63" s="8"/>
      <c r="T63"/>
    </row>
    <row r="64" spans="2:20" ht="23.1" customHeight="1" x14ac:dyDescent="0.25">
      <c r="B64" s="23" t="s">
        <v>109</v>
      </c>
      <c r="C64" s="49">
        <f>'Avg Week Malaba-Tororo'!C64+'Avg Week Tororo-Malaba'!C64</f>
        <v>8</v>
      </c>
      <c r="D64" s="49">
        <f>'Avg Week Malaba-Tororo'!D64+'Avg Week Tororo-Malaba'!D64</f>
        <v>1</v>
      </c>
      <c r="E64" s="49">
        <f>'Avg Week Malaba-Tororo'!E64+'Avg Week Tororo-Malaba'!E64</f>
        <v>6.5</v>
      </c>
      <c r="F64" s="49">
        <f>'Avg Week Malaba-Tororo'!F64+'Avg Week Tororo-Malaba'!F64</f>
        <v>3</v>
      </c>
      <c r="G64" s="49">
        <f>'Avg Week Malaba-Tororo'!G64+'Avg Week Tororo-Malaba'!G64</f>
        <v>0</v>
      </c>
      <c r="H64" s="49">
        <f>'Avg Week Malaba-Tororo'!H64+'Avg Week Tororo-Malaba'!H64</f>
        <v>0</v>
      </c>
      <c r="I64" s="49">
        <f>'Avg Week Malaba-Tororo'!I64+'Avg Week Tororo-Malaba'!I64</f>
        <v>0.5</v>
      </c>
      <c r="J64" s="49">
        <f>'Avg Week Malaba-Tororo'!J64+'Avg Week Tororo-Malaba'!J64</f>
        <v>0</v>
      </c>
      <c r="K64" s="49">
        <f>'Avg Week Malaba-Tororo'!K64+'Avg Week Tororo-Malaba'!K64</f>
        <v>0</v>
      </c>
      <c r="L64" s="49">
        <f>'Avg Week Malaba-Tororo'!L64+'Avg Week Tororo-Malaba'!L64</f>
        <v>0</v>
      </c>
      <c r="M64" s="49">
        <f>'Avg Week Malaba-Tororo'!M64+'Avg Week Tororo-Malaba'!M64</f>
        <v>14</v>
      </c>
      <c r="N64" s="49">
        <f>'Avg Week Malaba-Tororo'!N64+'Avg Week Tororo-Malaba'!N64</f>
        <v>0</v>
      </c>
      <c r="O64" s="15">
        <f t="shared" si="0"/>
        <v>19</v>
      </c>
      <c r="P64" s="15">
        <f t="shared" si="1"/>
        <v>33</v>
      </c>
      <c r="R64" s="8"/>
      <c r="T64"/>
    </row>
    <row r="65" spans="2:20" ht="23.1" customHeight="1" x14ac:dyDescent="0.25">
      <c r="B65" s="23" t="s">
        <v>158</v>
      </c>
      <c r="C65" s="49">
        <f>'Avg Week Malaba-Tororo'!C65+'Avg Week Tororo-Malaba'!C65</f>
        <v>3.5</v>
      </c>
      <c r="D65" s="49">
        <f>'Avg Week Malaba-Tororo'!D65+'Avg Week Tororo-Malaba'!D65</f>
        <v>0</v>
      </c>
      <c r="E65" s="49">
        <f>'Avg Week Malaba-Tororo'!E65+'Avg Week Tororo-Malaba'!E65</f>
        <v>2.5</v>
      </c>
      <c r="F65" s="49">
        <f>'Avg Week Malaba-Tororo'!F65+'Avg Week Tororo-Malaba'!F65</f>
        <v>2.5</v>
      </c>
      <c r="G65" s="49">
        <f>'Avg Week Malaba-Tororo'!G65+'Avg Week Tororo-Malaba'!G65</f>
        <v>0</v>
      </c>
      <c r="H65" s="49">
        <f>'Avg Week Malaba-Tororo'!H65+'Avg Week Tororo-Malaba'!H65</f>
        <v>0</v>
      </c>
      <c r="I65" s="49">
        <f>'Avg Week Malaba-Tororo'!I65+'Avg Week Tororo-Malaba'!I65</f>
        <v>2</v>
      </c>
      <c r="J65" s="49">
        <f>'Avg Week Malaba-Tororo'!J65+'Avg Week Tororo-Malaba'!J65</f>
        <v>0</v>
      </c>
      <c r="K65" s="49">
        <f>'Avg Week Malaba-Tororo'!K65+'Avg Week Tororo-Malaba'!K65</f>
        <v>0</v>
      </c>
      <c r="L65" s="49">
        <f>'Avg Week Malaba-Tororo'!L65+'Avg Week Tororo-Malaba'!L65</f>
        <v>0</v>
      </c>
      <c r="M65" s="49">
        <f>'Avg Week Malaba-Tororo'!M65+'Avg Week Tororo-Malaba'!M65</f>
        <v>10</v>
      </c>
      <c r="N65" s="49">
        <f>'Avg Week Malaba-Tororo'!N65+'Avg Week Tororo-Malaba'!N65</f>
        <v>0</v>
      </c>
      <c r="O65" s="15">
        <f t="shared" si="0"/>
        <v>10.5</v>
      </c>
      <c r="P65" s="15">
        <f t="shared" si="1"/>
        <v>20.5</v>
      </c>
      <c r="R65" s="8"/>
      <c r="T65"/>
    </row>
    <row r="66" spans="2:20" ht="23.1" customHeight="1" x14ac:dyDescent="0.25">
      <c r="B66" s="23" t="s">
        <v>103</v>
      </c>
      <c r="C66" s="49">
        <f>'Avg Week Malaba-Tororo'!C66+'Avg Week Tororo-Malaba'!C66</f>
        <v>6</v>
      </c>
      <c r="D66" s="49">
        <f>'Avg Week Malaba-Tororo'!D66+'Avg Week Tororo-Malaba'!D66</f>
        <v>0</v>
      </c>
      <c r="E66" s="49">
        <f>'Avg Week Malaba-Tororo'!E66+'Avg Week Tororo-Malaba'!E66</f>
        <v>2.5</v>
      </c>
      <c r="F66" s="49">
        <f>'Avg Week Malaba-Tororo'!F66+'Avg Week Tororo-Malaba'!F66</f>
        <v>2.5</v>
      </c>
      <c r="G66" s="49">
        <f>'Avg Week Malaba-Tororo'!G66+'Avg Week Tororo-Malaba'!G66</f>
        <v>0</v>
      </c>
      <c r="H66" s="49">
        <f>'Avg Week Malaba-Tororo'!H66+'Avg Week Tororo-Malaba'!H66</f>
        <v>0</v>
      </c>
      <c r="I66" s="49">
        <f>'Avg Week Malaba-Tororo'!I66+'Avg Week Tororo-Malaba'!I66</f>
        <v>1</v>
      </c>
      <c r="J66" s="49">
        <f>'Avg Week Malaba-Tororo'!J66+'Avg Week Tororo-Malaba'!J66</f>
        <v>0</v>
      </c>
      <c r="K66" s="49">
        <f>'Avg Week Malaba-Tororo'!K66+'Avg Week Tororo-Malaba'!K66</f>
        <v>0</v>
      </c>
      <c r="L66" s="49">
        <f>'Avg Week Malaba-Tororo'!L66+'Avg Week Tororo-Malaba'!L66</f>
        <v>0</v>
      </c>
      <c r="M66" s="49">
        <f>'Avg Week Malaba-Tororo'!M66+'Avg Week Tororo-Malaba'!M66</f>
        <v>13.5</v>
      </c>
      <c r="N66" s="49">
        <f>'Avg Week Malaba-Tororo'!N66+'Avg Week Tororo-Malaba'!N66</f>
        <v>0</v>
      </c>
      <c r="O66" s="15">
        <f t="shared" si="0"/>
        <v>12</v>
      </c>
      <c r="P66" s="15">
        <f t="shared" si="1"/>
        <v>25.5</v>
      </c>
      <c r="R66" s="8"/>
      <c r="T66"/>
    </row>
    <row r="67" spans="2:20" ht="23.1" customHeight="1" x14ac:dyDescent="0.25">
      <c r="B67" s="23" t="s">
        <v>104</v>
      </c>
      <c r="C67" s="49">
        <f>'Avg Week Malaba-Tororo'!C67+'Avg Week Tororo-Malaba'!C67</f>
        <v>4.5</v>
      </c>
      <c r="D67" s="49">
        <f>'Avg Week Malaba-Tororo'!D67+'Avg Week Tororo-Malaba'!D67</f>
        <v>0</v>
      </c>
      <c r="E67" s="49">
        <f>'Avg Week Malaba-Tororo'!E67+'Avg Week Tororo-Malaba'!E67</f>
        <v>1.5</v>
      </c>
      <c r="F67" s="49">
        <f>'Avg Week Malaba-Tororo'!F67+'Avg Week Tororo-Malaba'!F67</f>
        <v>2</v>
      </c>
      <c r="G67" s="49">
        <f>'Avg Week Malaba-Tororo'!G67+'Avg Week Tororo-Malaba'!G67</f>
        <v>0</v>
      </c>
      <c r="H67" s="49">
        <f>'Avg Week Malaba-Tororo'!H67+'Avg Week Tororo-Malaba'!H67</f>
        <v>0</v>
      </c>
      <c r="I67" s="49">
        <f>'Avg Week Malaba-Tororo'!I67+'Avg Week Tororo-Malaba'!I67</f>
        <v>1.5</v>
      </c>
      <c r="J67" s="49">
        <f>'Avg Week Malaba-Tororo'!J67+'Avg Week Tororo-Malaba'!J67</f>
        <v>0</v>
      </c>
      <c r="K67" s="49">
        <f>'Avg Week Malaba-Tororo'!K67+'Avg Week Tororo-Malaba'!K67</f>
        <v>0</v>
      </c>
      <c r="L67" s="49">
        <f>'Avg Week Malaba-Tororo'!L67+'Avg Week Tororo-Malaba'!L67</f>
        <v>0</v>
      </c>
      <c r="M67" s="49">
        <f>'Avg Week Malaba-Tororo'!M67+'Avg Week Tororo-Malaba'!M67</f>
        <v>12</v>
      </c>
      <c r="N67" s="49">
        <f>'Avg Week Malaba-Tororo'!N67+'Avg Week Tororo-Malaba'!N67</f>
        <v>0</v>
      </c>
      <c r="O67" s="15">
        <f t="shared" si="0"/>
        <v>9.5</v>
      </c>
      <c r="P67" s="15">
        <f t="shared" si="1"/>
        <v>21.5</v>
      </c>
      <c r="R67" s="8"/>
      <c r="T67"/>
    </row>
    <row r="68" spans="2:20" ht="23.1" customHeight="1" x14ac:dyDescent="0.25">
      <c r="B68" s="23" t="s">
        <v>105</v>
      </c>
      <c r="C68" s="49">
        <f>'Avg Week Malaba-Tororo'!C68+'Avg Week Tororo-Malaba'!C68</f>
        <v>3</v>
      </c>
      <c r="D68" s="49">
        <f>'Avg Week Malaba-Tororo'!D68+'Avg Week Tororo-Malaba'!D68</f>
        <v>0</v>
      </c>
      <c r="E68" s="49">
        <f>'Avg Week Malaba-Tororo'!E68+'Avg Week Tororo-Malaba'!E68</f>
        <v>3</v>
      </c>
      <c r="F68" s="49">
        <f>'Avg Week Malaba-Tororo'!F68+'Avg Week Tororo-Malaba'!F68</f>
        <v>3</v>
      </c>
      <c r="G68" s="49">
        <f>'Avg Week Malaba-Tororo'!G68+'Avg Week Tororo-Malaba'!G68</f>
        <v>0</v>
      </c>
      <c r="H68" s="49">
        <f>'Avg Week Malaba-Tororo'!H68+'Avg Week Tororo-Malaba'!H68</f>
        <v>0</v>
      </c>
      <c r="I68" s="49">
        <f>'Avg Week Malaba-Tororo'!I68+'Avg Week Tororo-Malaba'!I68</f>
        <v>0.5</v>
      </c>
      <c r="J68" s="49">
        <f>'Avg Week Malaba-Tororo'!J68+'Avg Week Tororo-Malaba'!J68</f>
        <v>0</v>
      </c>
      <c r="K68" s="49">
        <f>'Avg Week Malaba-Tororo'!K68+'Avg Week Tororo-Malaba'!K68</f>
        <v>0</v>
      </c>
      <c r="L68" s="49">
        <f>'Avg Week Malaba-Tororo'!L68+'Avg Week Tororo-Malaba'!L68</f>
        <v>0</v>
      </c>
      <c r="M68" s="49">
        <f>'Avg Week Malaba-Tororo'!M68+'Avg Week Tororo-Malaba'!M68</f>
        <v>9.5</v>
      </c>
      <c r="N68" s="49">
        <f>'Avg Week Malaba-Tororo'!N68+'Avg Week Tororo-Malaba'!N68</f>
        <v>0</v>
      </c>
      <c r="O68" s="15">
        <f t="shared" si="0"/>
        <v>9.5</v>
      </c>
      <c r="P68" s="15">
        <f t="shared" si="1"/>
        <v>19</v>
      </c>
      <c r="R68" s="8"/>
      <c r="T68"/>
    </row>
    <row r="69" spans="2:20" ht="23.1" customHeight="1" x14ac:dyDescent="0.25">
      <c r="B69" s="23" t="s">
        <v>106</v>
      </c>
      <c r="C69" s="49">
        <f>'Avg Week Malaba-Tororo'!C69+'Avg Week Tororo-Malaba'!C69</f>
        <v>4.5</v>
      </c>
      <c r="D69" s="49">
        <f>'Avg Week Malaba-Tororo'!D69+'Avg Week Tororo-Malaba'!D69</f>
        <v>0</v>
      </c>
      <c r="E69" s="49">
        <f>'Avg Week Malaba-Tororo'!E69+'Avg Week Tororo-Malaba'!E69</f>
        <v>2.5</v>
      </c>
      <c r="F69" s="49">
        <f>'Avg Week Malaba-Tororo'!F69+'Avg Week Tororo-Malaba'!F69</f>
        <v>3</v>
      </c>
      <c r="G69" s="49">
        <f>'Avg Week Malaba-Tororo'!G69+'Avg Week Tororo-Malaba'!G69</f>
        <v>0</v>
      </c>
      <c r="H69" s="49">
        <f>'Avg Week Malaba-Tororo'!H69+'Avg Week Tororo-Malaba'!H69</f>
        <v>0</v>
      </c>
      <c r="I69" s="49">
        <f>'Avg Week Malaba-Tororo'!I69+'Avg Week Tororo-Malaba'!I69</f>
        <v>2</v>
      </c>
      <c r="J69" s="49">
        <f>'Avg Week Malaba-Tororo'!J69+'Avg Week Tororo-Malaba'!J69</f>
        <v>1</v>
      </c>
      <c r="K69" s="49">
        <f>'Avg Week Malaba-Tororo'!K69+'Avg Week Tororo-Malaba'!K69</f>
        <v>0.5</v>
      </c>
      <c r="L69" s="49">
        <f>'Avg Week Malaba-Tororo'!L69+'Avg Week Tororo-Malaba'!L69</f>
        <v>0</v>
      </c>
      <c r="M69" s="49">
        <f>'Avg Week Malaba-Tororo'!M69+'Avg Week Tororo-Malaba'!M69</f>
        <v>11.5</v>
      </c>
      <c r="N69" s="49">
        <f>'Avg Week Malaba-Tororo'!N69+'Avg Week Tororo-Malaba'!N69</f>
        <v>0</v>
      </c>
      <c r="O69" s="15">
        <f t="shared" si="0"/>
        <v>13.5</v>
      </c>
      <c r="P69" s="15">
        <f t="shared" si="1"/>
        <v>25</v>
      </c>
      <c r="R69" s="8"/>
      <c r="T69"/>
    </row>
    <row r="70" spans="2:20" ht="23.1" customHeight="1" x14ac:dyDescent="0.25">
      <c r="B70" s="23" t="s">
        <v>110</v>
      </c>
      <c r="C70" s="49">
        <f>'Avg Week Malaba-Tororo'!C70+'Avg Week Tororo-Malaba'!C70</f>
        <v>4.5</v>
      </c>
      <c r="D70" s="49">
        <f>'Avg Week Malaba-Tororo'!D70+'Avg Week Tororo-Malaba'!D70</f>
        <v>0</v>
      </c>
      <c r="E70" s="49">
        <f>'Avg Week Malaba-Tororo'!E70+'Avg Week Tororo-Malaba'!E70</f>
        <v>1</v>
      </c>
      <c r="F70" s="49">
        <f>'Avg Week Malaba-Tororo'!F70+'Avg Week Tororo-Malaba'!F70</f>
        <v>1.5</v>
      </c>
      <c r="G70" s="49">
        <f>'Avg Week Malaba-Tororo'!G70+'Avg Week Tororo-Malaba'!G70</f>
        <v>0</v>
      </c>
      <c r="H70" s="49">
        <f>'Avg Week Malaba-Tororo'!H70+'Avg Week Tororo-Malaba'!H70</f>
        <v>0</v>
      </c>
      <c r="I70" s="49">
        <f>'Avg Week Malaba-Tororo'!I70+'Avg Week Tororo-Malaba'!I70</f>
        <v>1.5</v>
      </c>
      <c r="J70" s="49">
        <f>'Avg Week Malaba-Tororo'!J70+'Avg Week Tororo-Malaba'!J70</f>
        <v>0</v>
      </c>
      <c r="K70" s="49">
        <f>'Avg Week Malaba-Tororo'!K70+'Avg Week Tororo-Malaba'!K70</f>
        <v>0</v>
      </c>
      <c r="L70" s="49">
        <f>'Avg Week Malaba-Tororo'!L70+'Avg Week Tororo-Malaba'!L70</f>
        <v>0</v>
      </c>
      <c r="M70" s="49">
        <f>'Avg Week Malaba-Tororo'!M70+'Avg Week Tororo-Malaba'!M70</f>
        <v>14</v>
      </c>
      <c r="N70" s="49">
        <f>'Avg Week Malaba-Tororo'!N70+'Avg Week Tororo-Malaba'!N70</f>
        <v>0</v>
      </c>
      <c r="O70" s="15">
        <f t="shared" si="0"/>
        <v>8.5</v>
      </c>
      <c r="P70" s="15">
        <f t="shared" si="1"/>
        <v>22.5</v>
      </c>
      <c r="R70" s="8"/>
      <c r="T70"/>
    </row>
    <row r="71" spans="2:20" ht="23.1" customHeight="1" x14ac:dyDescent="0.25">
      <c r="B71" s="23" t="s">
        <v>111</v>
      </c>
      <c r="C71" s="49">
        <f>'Avg Week Malaba-Tororo'!C71+'Avg Week Tororo-Malaba'!C71</f>
        <v>3.5</v>
      </c>
      <c r="D71" s="49">
        <f>'Avg Week Malaba-Tororo'!D71+'Avg Week Tororo-Malaba'!D71</f>
        <v>0</v>
      </c>
      <c r="E71" s="49">
        <f>'Avg Week Malaba-Tororo'!E71+'Avg Week Tororo-Malaba'!E71</f>
        <v>2</v>
      </c>
      <c r="F71" s="49">
        <f>'Avg Week Malaba-Tororo'!F71+'Avg Week Tororo-Malaba'!F71</f>
        <v>1.5</v>
      </c>
      <c r="G71" s="49">
        <f>'Avg Week Malaba-Tororo'!G71+'Avg Week Tororo-Malaba'!G71</f>
        <v>0</v>
      </c>
      <c r="H71" s="49">
        <f>'Avg Week Malaba-Tororo'!H71+'Avg Week Tororo-Malaba'!H71</f>
        <v>0</v>
      </c>
      <c r="I71" s="49">
        <f>'Avg Week Malaba-Tororo'!I71+'Avg Week Tororo-Malaba'!I71</f>
        <v>1</v>
      </c>
      <c r="J71" s="49">
        <f>'Avg Week Malaba-Tororo'!J71+'Avg Week Tororo-Malaba'!J71</f>
        <v>0.5</v>
      </c>
      <c r="K71" s="49">
        <f>'Avg Week Malaba-Tororo'!K71+'Avg Week Tororo-Malaba'!K71</f>
        <v>0</v>
      </c>
      <c r="L71" s="49">
        <f>'Avg Week Malaba-Tororo'!L71+'Avg Week Tororo-Malaba'!L71</f>
        <v>0</v>
      </c>
      <c r="M71" s="49">
        <f>'Avg Week Malaba-Tororo'!M71+'Avg Week Tororo-Malaba'!M71</f>
        <v>8</v>
      </c>
      <c r="N71" s="49">
        <f>'Avg Week Malaba-Tororo'!N71+'Avg Week Tororo-Malaba'!N71</f>
        <v>0</v>
      </c>
      <c r="O71" s="15">
        <f t="shared" si="0"/>
        <v>8.5</v>
      </c>
      <c r="P71" s="15">
        <f t="shared" si="1"/>
        <v>16.5</v>
      </c>
      <c r="R71" s="8"/>
      <c r="T71"/>
    </row>
    <row r="72" spans="2:20" ht="23.1" customHeight="1" x14ac:dyDescent="0.25">
      <c r="B72" s="23" t="s">
        <v>112</v>
      </c>
      <c r="C72" s="49">
        <f>'Avg Week Malaba-Tororo'!C72+'Avg Week Tororo-Malaba'!C72</f>
        <v>2.5</v>
      </c>
      <c r="D72" s="49">
        <f>'Avg Week Malaba-Tororo'!D72+'Avg Week Tororo-Malaba'!D72</f>
        <v>0</v>
      </c>
      <c r="E72" s="49">
        <f>'Avg Week Malaba-Tororo'!E72+'Avg Week Tororo-Malaba'!E72</f>
        <v>2</v>
      </c>
      <c r="F72" s="49">
        <f>'Avg Week Malaba-Tororo'!F72+'Avg Week Tororo-Malaba'!F72</f>
        <v>3</v>
      </c>
      <c r="G72" s="49">
        <f>'Avg Week Malaba-Tororo'!G72+'Avg Week Tororo-Malaba'!G72</f>
        <v>0</v>
      </c>
      <c r="H72" s="49">
        <f>'Avg Week Malaba-Tororo'!H72+'Avg Week Tororo-Malaba'!H72</f>
        <v>0.5</v>
      </c>
      <c r="I72" s="49">
        <f>'Avg Week Malaba-Tororo'!I72+'Avg Week Tororo-Malaba'!I72</f>
        <v>1</v>
      </c>
      <c r="J72" s="49">
        <f>'Avg Week Malaba-Tororo'!J72+'Avg Week Tororo-Malaba'!J72</f>
        <v>0</v>
      </c>
      <c r="K72" s="49">
        <f>'Avg Week Malaba-Tororo'!K72+'Avg Week Tororo-Malaba'!K72</f>
        <v>0</v>
      </c>
      <c r="L72" s="49">
        <f>'Avg Week Malaba-Tororo'!L72+'Avg Week Tororo-Malaba'!L72</f>
        <v>0</v>
      </c>
      <c r="M72" s="49">
        <f>'Avg Week Malaba-Tororo'!M72+'Avg Week Tororo-Malaba'!M72</f>
        <v>9.5</v>
      </c>
      <c r="N72" s="49">
        <f>'Avg Week Malaba-Tororo'!N72+'Avg Week Tororo-Malaba'!N72</f>
        <v>0</v>
      </c>
      <c r="O72" s="15">
        <f t="shared" si="0"/>
        <v>9</v>
      </c>
      <c r="P72" s="15">
        <f t="shared" si="1"/>
        <v>18.5</v>
      </c>
      <c r="R72" s="8"/>
      <c r="T72"/>
    </row>
    <row r="73" spans="2:20" ht="23.1" customHeight="1" x14ac:dyDescent="0.25">
      <c r="B73" s="23" t="s">
        <v>113</v>
      </c>
      <c r="C73" s="49">
        <f>'Avg Week Malaba-Tororo'!C73+'Avg Week Tororo-Malaba'!C73</f>
        <v>3.5</v>
      </c>
      <c r="D73" s="49">
        <f>'Avg Week Malaba-Tororo'!D73+'Avg Week Tororo-Malaba'!D73</f>
        <v>0</v>
      </c>
      <c r="E73" s="49">
        <f>'Avg Week Malaba-Tororo'!E73+'Avg Week Tororo-Malaba'!E73</f>
        <v>1.5</v>
      </c>
      <c r="F73" s="49">
        <f>'Avg Week Malaba-Tororo'!F73+'Avg Week Tororo-Malaba'!F73</f>
        <v>0</v>
      </c>
      <c r="G73" s="49">
        <f>'Avg Week Malaba-Tororo'!G73+'Avg Week Tororo-Malaba'!G73</f>
        <v>0</v>
      </c>
      <c r="H73" s="49">
        <f>'Avg Week Malaba-Tororo'!H73+'Avg Week Tororo-Malaba'!H73</f>
        <v>1.5</v>
      </c>
      <c r="I73" s="49">
        <f>'Avg Week Malaba-Tororo'!I73+'Avg Week Tororo-Malaba'!I73</f>
        <v>1</v>
      </c>
      <c r="J73" s="49">
        <f>'Avg Week Malaba-Tororo'!J73+'Avg Week Tororo-Malaba'!J73</f>
        <v>0</v>
      </c>
      <c r="K73" s="49">
        <f>'Avg Week Malaba-Tororo'!K73+'Avg Week Tororo-Malaba'!K73</f>
        <v>0</v>
      </c>
      <c r="L73" s="49">
        <f>'Avg Week Malaba-Tororo'!L73+'Avg Week Tororo-Malaba'!L73</f>
        <v>0</v>
      </c>
      <c r="M73" s="49">
        <f>'Avg Week Malaba-Tororo'!M73+'Avg Week Tororo-Malaba'!M73</f>
        <v>5.5</v>
      </c>
      <c r="N73" s="49">
        <f>'Avg Week Malaba-Tororo'!N73+'Avg Week Tororo-Malaba'!N73</f>
        <v>0</v>
      </c>
      <c r="O73" s="15">
        <f t="shared" si="0"/>
        <v>7.5</v>
      </c>
      <c r="P73" s="15">
        <f t="shared" si="1"/>
        <v>13</v>
      </c>
      <c r="R73" s="8"/>
      <c r="T73"/>
    </row>
    <row r="74" spans="2:20" ht="23.1" customHeight="1" x14ac:dyDescent="0.25">
      <c r="B74" s="23" t="s">
        <v>114</v>
      </c>
      <c r="C74" s="49">
        <f>'Avg Week Malaba-Tororo'!C74+'Avg Week Tororo-Malaba'!C74</f>
        <v>4</v>
      </c>
      <c r="D74" s="49">
        <f>'Avg Week Malaba-Tororo'!D74+'Avg Week Tororo-Malaba'!D74</f>
        <v>0.5</v>
      </c>
      <c r="E74" s="49">
        <f>'Avg Week Malaba-Tororo'!E74+'Avg Week Tororo-Malaba'!E74</f>
        <v>3.5</v>
      </c>
      <c r="F74" s="49">
        <f>'Avg Week Malaba-Tororo'!F74+'Avg Week Tororo-Malaba'!F74</f>
        <v>2</v>
      </c>
      <c r="G74" s="49">
        <f>'Avg Week Malaba-Tororo'!G74+'Avg Week Tororo-Malaba'!G74</f>
        <v>0</v>
      </c>
      <c r="H74" s="49">
        <f>'Avg Week Malaba-Tororo'!H74+'Avg Week Tororo-Malaba'!H74</f>
        <v>0</v>
      </c>
      <c r="I74" s="49">
        <f>'Avg Week Malaba-Tororo'!I74+'Avg Week Tororo-Malaba'!I74</f>
        <v>0.5</v>
      </c>
      <c r="J74" s="49">
        <f>'Avg Week Malaba-Tororo'!J74+'Avg Week Tororo-Malaba'!J74</f>
        <v>0</v>
      </c>
      <c r="K74" s="49">
        <f>'Avg Week Malaba-Tororo'!K74+'Avg Week Tororo-Malaba'!K74</f>
        <v>0</v>
      </c>
      <c r="L74" s="49">
        <f>'Avg Week Malaba-Tororo'!L74+'Avg Week Tororo-Malaba'!L74</f>
        <v>0</v>
      </c>
      <c r="M74" s="49">
        <f>'Avg Week Malaba-Tororo'!M74+'Avg Week Tororo-Malaba'!M74</f>
        <v>10</v>
      </c>
      <c r="N74" s="49">
        <f>'Avg Week Malaba-Tororo'!N74+'Avg Week Tororo-Malaba'!N74</f>
        <v>0</v>
      </c>
      <c r="O74" s="15">
        <f t="shared" ref="O74:O105" si="35">SUM(C74:L74,N74)</f>
        <v>10.5</v>
      </c>
      <c r="P74" s="15">
        <f t="shared" ref="P74:P105" si="36">SUM(C74:N74)</f>
        <v>20.5</v>
      </c>
      <c r="R74" s="8"/>
      <c r="T74"/>
    </row>
    <row r="75" spans="2:20" ht="23.1" customHeight="1" x14ac:dyDescent="0.25">
      <c r="B75" s="23" t="s">
        <v>115</v>
      </c>
      <c r="C75" s="49">
        <f>'Avg Week Malaba-Tororo'!C75+'Avg Week Tororo-Malaba'!C75</f>
        <v>0.5</v>
      </c>
      <c r="D75" s="49">
        <f>'Avg Week Malaba-Tororo'!D75+'Avg Week Tororo-Malaba'!D75</f>
        <v>0</v>
      </c>
      <c r="E75" s="49">
        <f>'Avg Week Malaba-Tororo'!E75+'Avg Week Tororo-Malaba'!E75</f>
        <v>0.5</v>
      </c>
      <c r="F75" s="49">
        <f>'Avg Week Malaba-Tororo'!F75+'Avg Week Tororo-Malaba'!F75</f>
        <v>2</v>
      </c>
      <c r="G75" s="49">
        <f>'Avg Week Malaba-Tororo'!G75+'Avg Week Tororo-Malaba'!G75</f>
        <v>0</v>
      </c>
      <c r="H75" s="49">
        <f>'Avg Week Malaba-Tororo'!H75+'Avg Week Tororo-Malaba'!H75</f>
        <v>0</v>
      </c>
      <c r="I75" s="49">
        <f>'Avg Week Malaba-Tororo'!I75+'Avg Week Tororo-Malaba'!I75</f>
        <v>0.5</v>
      </c>
      <c r="J75" s="49">
        <f>'Avg Week Malaba-Tororo'!J75+'Avg Week Tororo-Malaba'!J75</f>
        <v>0</v>
      </c>
      <c r="K75" s="49">
        <f>'Avg Week Malaba-Tororo'!K75+'Avg Week Tororo-Malaba'!K75</f>
        <v>0</v>
      </c>
      <c r="L75" s="49">
        <f>'Avg Week Malaba-Tororo'!L75+'Avg Week Tororo-Malaba'!L75</f>
        <v>0</v>
      </c>
      <c r="M75" s="49">
        <f>'Avg Week Malaba-Tororo'!M75+'Avg Week Tororo-Malaba'!M75</f>
        <v>8</v>
      </c>
      <c r="N75" s="49">
        <f>'Avg Week Malaba-Tororo'!N75+'Avg Week Tororo-Malaba'!N75</f>
        <v>0</v>
      </c>
      <c r="O75" s="15">
        <f t="shared" si="35"/>
        <v>3.5</v>
      </c>
      <c r="P75" s="15">
        <f t="shared" si="36"/>
        <v>11.5</v>
      </c>
      <c r="R75" s="8"/>
      <c r="T75"/>
    </row>
    <row r="76" spans="2:20" ht="23.1" customHeight="1" x14ac:dyDescent="0.25">
      <c r="B76" s="23" t="s">
        <v>116</v>
      </c>
      <c r="C76" s="49">
        <f>'Avg Week Malaba-Tororo'!C76+'Avg Week Tororo-Malaba'!C76</f>
        <v>2</v>
      </c>
      <c r="D76" s="49">
        <f>'Avg Week Malaba-Tororo'!D76+'Avg Week Tororo-Malaba'!D76</f>
        <v>0</v>
      </c>
      <c r="E76" s="49">
        <f>'Avg Week Malaba-Tororo'!E76+'Avg Week Tororo-Malaba'!E76</f>
        <v>3</v>
      </c>
      <c r="F76" s="49">
        <f>'Avg Week Malaba-Tororo'!F76+'Avg Week Tororo-Malaba'!F76</f>
        <v>0</v>
      </c>
      <c r="G76" s="49">
        <f>'Avg Week Malaba-Tororo'!G76+'Avg Week Tororo-Malaba'!G76</f>
        <v>0</v>
      </c>
      <c r="H76" s="49">
        <f>'Avg Week Malaba-Tororo'!H76+'Avg Week Tororo-Malaba'!H76</f>
        <v>0.5</v>
      </c>
      <c r="I76" s="49">
        <f>'Avg Week Malaba-Tororo'!I76+'Avg Week Tororo-Malaba'!I76</f>
        <v>0</v>
      </c>
      <c r="J76" s="49">
        <f>'Avg Week Malaba-Tororo'!J76+'Avg Week Tororo-Malaba'!J76</f>
        <v>0</v>
      </c>
      <c r="K76" s="49">
        <f>'Avg Week Malaba-Tororo'!K76+'Avg Week Tororo-Malaba'!K76</f>
        <v>0</v>
      </c>
      <c r="L76" s="49">
        <f>'Avg Week Malaba-Tororo'!L76+'Avg Week Tororo-Malaba'!L76</f>
        <v>0</v>
      </c>
      <c r="M76" s="49">
        <f>'Avg Week Malaba-Tororo'!M76+'Avg Week Tororo-Malaba'!M76</f>
        <v>5</v>
      </c>
      <c r="N76" s="49">
        <f>'Avg Week Malaba-Tororo'!N76+'Avg Week Tororo-Malaba'!N76</f>
        <v>0</v>
      </c>
      <c r="O76" s="15">
        <f t="shared" si="35"/>
        <v>5.5</v>
      </c>
      <c r="P76" s="15">
        <f t="shared" si="36"/>
        <v>10.5</v>
      </c>
      <c r="R76" s="8"/>
      <c r="T76"/>
    </row>
    <row r="77" spans="2:20" ht="23.1" customHeight="1" x14ac:dyDescent="0.25">
      <c r="B77" s="23" t="s">
        <v>117</v>
      </c>
      <c r="C77" s="49">
        <f>'Avg Week Malaba-Tororo'!C77+'Avg Week Tororo-Malaba'!C77</f>
        <v>0.5</v>
      </c>
      <c r="D77" s="49">
        <f>'Avg Week Malaba-Tororo'!D77+'Avg Week Tororo-Malaba'!D77</f>
        <v>0</v>
      </c>
      <c r="E77" s="49">
        <f>'Avg Week Malaba-Tororo'!E77+'Avg Week Tororo-Malaba'!E77</f>
        <v>0</v>
      </c>
      <c r="F77" s="49">
        <f>'Avg Week Malaba-Tororo'!F77+'Avg Week Tororo-Malaba'!F77</f>
        <v>0</v>
      </c>
      <c r="G77" s="49">
        <f>'Avg Week Malaba-Tororo'!G77+'Avg Week Tororo-Malaba'!G77</f>
        <v>0</v>
      </c>
      <c r="H77" s="49">
        <f>'Avg Week Malaba-Tororo'!H77+'Avg Week Tororo-Malaba'!H77</f>
        <v>0.5</v>
      </c>
      <c r="I77" s="49">
        <f>'Avg Week Malaba-Tororo'!I77+'Avg Week Tororo-Malaba'!I77</f>
        <v>0.5</v>
      </c>
      <c r="J77" s="49">
        <f>'Avg Week Malaba-Tororo'!J77+'Avg Week Tororo-Malaba'!J77</f>
        <v>0</v>
      </c>
      <c r="K77" s="49">
        <f>'Avg Week Malaba-Tororo'!K77+'Avg Week Tororo-Malaba'!K77</f>
        <v>0</v>
      </c>
      <c r="L77" s="49">
        <f>'Avg Week Malaba-Tororo'!L77+'Avg Week Tororo-Malaba'!L77</f>
        <v>0</v>
      </c>
      <c r="M77" s="49">
        <f>'Avg Week Malaba-Tororo'!M77+'Avg Week Tororo-Malaba'!M77</f>
        <v>0.5</v>
      </c>
      <c r="N77" s="49">
        <f>'Avg Week Malaba-Tororo'!N77+'Avg Week Tororo-Malaba'!N77</f>
        <v>0</v>
      </c>
      <c r="O77" s="15">
        <f t="shared" si="35"/>
        <v>1.5</v>
      </c>
      <c r="P77" s="15">
        <f t="shared" si="36"/>
        <v>2</v>
      </c>
      <c r="R77" s="8"/>
      <c r="T77"/>
    </row>
    <row r="78" spans="2:20" ht="23.1" customHeight="1" x14ac:dyDescent="0.25">
      <c r="B78" s="24" t="s">
        <v>118</v>
      </c>
      <c r="C78" s="49">
        <f>'Avg Week Malaba-Tororo'!C78+'Avg Week Tororo-Malaba'!C78</f>
        <v>0</v>
      </c>
      <c r="D78" s="49">
        <f>'Avg Week Malaba-Tororo'!D78+'Avg Week Tororo-Malaba'!D78</f>
        <v>0</v>
      </c>
      <c r="E78" s="49">
        <f>'Avg Week Malaba-Tororo'!E78+'Avg Week Tororo-Malaba'!E78</f>
        <v>0.5</v>
      </c>
      <c r="F78" s="49">
        <f>'Avg Week Malaba-Tororo'!F78+'Avg Week Tororo-Malaba'!F78</f>
        <v>1.5</v>
      </c>
      <c r="G78" s="49">
        <f>'Avg Week Malaba-Tororo'!G78+'Avg Week Tororo-Malaba'!G78</f>
        <v>0</v>
      </c>
      <c r="H78" s="49">
        <f>'Avg Week Malaba-Tororo'!H78+'Avg Week Tororo-Malaba'!H78</f>
        <v>0.5</v>
      </c>
      <c r="I78" s="49">
        <f>'Avg Week Malaba-Tororo'!I78+'Avg Week Tororo-Malaba'!I78</f>
        <v>0</v>
      </c>
      <c r="J78" s="49">
        <f>'Avg Week Malaba-Tororo'!J78+'Avg Week Tororo-Malaba'!J78</f>
        <v>0</v>
      </c>
      <c r="K78" s="49">
        <f>'Avg Week Malaba-Tororo'!K78+'Avg Week Tororo-Malaba'!K78</f>
        <v>0</v>
      </c>
      <c r="L78" s="49">
        <f>'Avg Week Malaba-Tororo'!L78+'Avg Week Tororo-Malaba'!L78</f>
        <v>0</v>
      </c>
      <c r="M78" s="49">
        <f>'Avg Week Malaba-Tororo'!M78+'Avg Week Tororo-Malaba'!M78</f>
        <v>1</v>
      </c>
      <c r="N78" s="49">
        <f>'Avg Week Malaba-Tororo'!N78+'Avg Week Tororo-Malaba'!N78</f>
        <v>0</v>
      </c>
      <c r="O78" s="15">
        <f t="shared" si="35"/>
        <v>2.5</v>
      </c>
      <c r="P78" s="15">
        <f t="shared" si="36"/>
        <v>3.5</v>
      </c>
      <c r="R78" s="8"/>
      <c r="T78"/>
    </row>
    <row r="79" spans="2:20" ht="23.1" customHeight="1" x14ac:dyDescent="0.25">
      <c r="B79" s="23" t="s">
        <v>119</v>
      </c>
      <c r="C79" s="49">
        <f>'Avg Week Malaba-Tororo'!C79+'Avg Week Tororo-Malaba'!C79</f>
        <v>1.5</v>
      </c>
      <c r="D79" s="49">
        <f>'Avg Week Malaba-Tororo'!D79+'Avg Week Tororo-Malaba'!D79</f>
        <v>0</v>
      </c>
      <c r="E79" s="49">
        <f>'Avg Week Malaba-Tororo'!E79+'Avg Week Tororo-Malaba'!E79</f>
        <v>0</v>
      </c>
      <c r="F79" s="49">
        <f>'Avg Week Malaba-Tororo'!F79+'Avg Week Tororo-Malaba'!F79</f>
        <v>0.5</v>
      </c>
      <c r="G79" s="49">
        <f>'Avg Week Malaba-Tororo'!G79+'Avg Week Tororo-Malaba'!G79</f>
        <v>0</v>
      </c>
      <c r="H79" s="49">
        <f>'Avg Week Malaba-Tororo'!H79+'Avg Week Tororo-Malaba'!H79</f>
        <v>0</v>
      </c>
      <c r="I79" s="49">
        <f>'Avg Week Malaba-Tororo'!I79+'Avg Week Tororo-Malaba'!I79</f>
        <v>1</v>
      </c>
      <c r="J79" s="49">
        <f>'Avg Week Malaba-Tororo'!J79+'Avg Week Tororo-Malaba'!J79</f>
        <v>0</v>
      </c>
      <c r="K79" s="49">
        <f>'Avg Week Malaba-Tororo'!K79+'Avg Week Tororo-Malaba'!K79</f>
        <v>0</v>
      </c>
      <c r="L79" s="49">
        <f>'Avg Week Malaba-Tororo'!L79+'Avg Week Tororo-Malaba'!L79</f>
        <v>0</v>
      </c>
      <c r="M79" s="49">
        <f>'Avg Week Malaba-Tororo'!M79+'Avg Week Tororo-Malaba'!M79</f>
        <v>5</v>
      </c>
      <c r="N79" s="49">
        <f>'Avg Week Malaba-Tororo'!N79+'Avg Week Tororo-Malaba'!N79</f>
        <v>0</v>
      </c>
      <c r="O79" s="15">
        <f t="shared" si="35"/>
        <v>3</v>
      </c>
      <c r="P79" s="15">
        <f t="shared" si="36"/>
        <v>8</v>
      </c>
      <c r="R79" s="8"/>
      <c r="T79"/>
    </row>
    <row r="80" spans="2:20" ht="23.1" customHeight="1" x14ac:dyDescent="0.25">
      <c r="B80" s="25" t="s">
        <v>120</v>
      </c>
      <c r="C80" s="49">
        <f>'Avg Week Malaba-Tororo'!C80+'Avg Week Tororo-Malaba'!C80</f>
        <v>0.5</v>
      </c>
      <c r="D80" s="49">
        <f>'Avg Week Malaba-Tororo'!D80+'Avg Week Tororo-Malaba'!D80</f>
        <v>0</v>
      </c>
      <c r="E80" s="49">
        <f>'Avg Week Malaba-Tororo'!E80+'Avg Week Tororo-Malaba'!E80</f>
        <v>0.5</v>
      </c>
      <c r="F80" s="49">
        <f>'Avg Week Malaba-Tororo'!F80+'Avg Week Tororo-Malaba'!F80</f>
        <v>0.5</v>
      </c>
      <c r="G80" s="49">
        <f>'Avg Week Malaba-Tororo'!G80+'Avg Week Tororo-Malaba'!G80</f>
        <v>0</v>
      </c>
      <c r="H80" s="49">
        <f>'Avg Week Malaba-Tororo'!H80+'Avg Week Tororo-Malaba'!H80</f>
        <v>0.5</v>
      </c>
      <c r="I80" s="49">
        <f>'Avg Week Malaba-Tororo'!I80+'Avg Week Tororo-Malaba'!I80</f>
        <v>0</v>
      </c>
      <c r="J80" s="49">
        <f>'Avg Week Malaba-Tororo'!J80+'Avg Week Tororo-Malaba'!J80</f>
        <v>0</v>
      </c>
      <c r="K80" s="49">
        <f>'Avg Week Malaba-Tororo'!K80+'Avg Week Tororo-Malaba'!K80</f>
        <v>0</v>
      </c>
      <c r="L80" s="49">
        <f>'Avg Week Malaba-Tororo'!L80+'Avg Week Tororo-Malaba'!L80</f>
        <v>0</v>
      </c>
      <c r="M80" s="49">
        <f>'Avg Week Malaba-Tororo'!M80+'Avg Week Tororo-Malaba'!M80</f>
        <v>2</v>
      </c>
      <c r="N80" s="49">
        <f>'Avg Week Malaba-Tororo'!N80+'Avg Week Tororo-Malaba'!N80</f>
        <v>0</v>
      </c>
      <c r="O80" s="15">
        <f t="shared" si="35"/>
        <v>2</v>
      </c>
      <c r="P80" s="15">
        <f t="shared" si="36"/>
        <v>4</v>
      </c>
      <c r="R80" s="8"/>
      <c r="T80"/>
    </row>
    <row r="81" spans="2:20" ht="23.1" customHeight="1" x14ac:dyDescent="0.25">
      <c r="B81" s="23" t="s">
        <v>121</v>
      </c>
      <c r="C81" s="49">
        <f>'Avg Week Malaba-Tororo'!C81+'Avg Week Tororo-Malaba'!C81</f>
        <v>0</v>
      </c>
      <c r="D81" s="49">
        <f>'Avg Week Malaba-Tororo'!D81+'Avg Week Tororo-Malaba'!D81</f>
        <v>0</v>
      </c>
      <c r="E81" s="49">
        <f>'Avg Week Malaba-Tororo'!E81+'Avg Week Tororo-Malaba'!E81</f>
        <v>0</v>
      </c>
      <c r="F81" s="49">
        <f>'Avg Week Malaba-Tororo'!F81+'Avg Week Tororo-Malaba'!F81</f>
        <v>0</v>
      </c>
      <c r="G81" s="49">
        <f>'Avg Week Malaba-Tororo'!G81+'Avg Week Tororo-Malaba'!G81</f>
        <v>0</v>
      </c>
      <c r="H81" s="49">
        <f>'Avg Week Malaba-Tororo'!H81+'Avg Week Tororo-Malaba'!H81</f>
        <v>0</v>
      </c>
      <c r="I81" s="49">
        <f>'Avg Week Malaba-Tororo'!I81+'Avg Week Tororo-Malaba'!I81</f>
        <v>0</v>
      </c>
      <c r="J81" s="49">
        <f>'Avg Week Malaba-Tororo'!J81+'Avg Week Tororo-Malaba'!J81</f>
        <v>0</v>
      </c>
      <c r="K81" s="49">
        <f>'Avg Week Malaba-Tororo'!K81+'Avg Week Tororo-Malaba'!K81</f>
        <v>0</v>
      </c>
      <c r="L81" s="49">
        <f>'Avg Week Malaba-Tororo'!L81+'Avg Week Tororo-Malaba'!L81</f>
        <v>0</v>
      </c>
      <c r="M81" s="49">
        <f>'Avg Week Malaba-Tororo'!M81+'Avg Week Tororo-Malaba'!M81</f>
        <v>4</v>
      </c>
      <c r="N81" s="49">
        <f>'Avg Week Malaba-Tororo'!N81+'Avg Week Tororo-Malaba'!N81</f>
        <v>0</v>
      </c>
      <c r="O81" s="15">
        <f t="shared" si="35"/>
        <v>0</v>
      </c>
      <c r="P81" s="15">
        <f t="shared" si="36"/>
        <v>4</v>
      </c>
      <c r="R81" s="8"/>
      <c r="T81"/>
    </row>
    <row r="82" spans="2:20" ht="23.1" customHeight="1" x14ac:dyDescent="0.25">
      <c r="B82" s="24" t="s">
        <v>122</v>
      </c>
      <c r="C82" s="49">
        <f>'Avg Week Malaba-Tororo'!C82+'Avg Week Tororo-Malaba'!C82</f>
        <v>0</v>
      </c>
      <c r="D82" s="49">
        <f>'Avg Week Malaba-Tororo'!D82+'Avg Week Tororo-Malaba'!D82</f>
        <v>0</v>
      </c>
      <c r="E82" s="49">
        <f>'Avg Week Malaba-Tororo'!E82+'Avg Week Tororo-Malaba'!E82</f>
        <v>0.5</v>
      </c>
      <c r="F82" s="49">
        <f>'Avg Week Malaba-Tororo'!F82+'Avg Week Tororo-Malaba'!F82</f>
        <v>0.5</v>
      </c>
      <c r="G82" s="49">
        <f>'Avg Week Malaba-Tororo'!G82+'Avg Week Tororo-Malaba'!G82</f>
        <v>0</v>
      </c>
      <c r="H82" s="49">
        <f>'Avg Week Malaba-Tororo'!H82+'Avg Week Tororo-Malaba'!H82</f>
        <v>0.5</v>
      </c>
      <c r="I82" s="49">
        <f>'Avg Week Malaba-Tororo'!I82+'Avg Week Tororo-Malaba'!I82</f>
        <v>0.5</v>
      </c>
      <c r="J82" s="49">
        <f>'Avg Week Malaba-Tororo'!J82+'Avg Week Tororo-Malaba'!J82</f>
        <v>0</v>
      </c>
      <c r="K82" s="49">
        <f>'Avg Week Malaba-Tororo'!K82+'Avg Week Tororo-Malaba'!K82</f>
        <v>0</v>
      </c>
      <c r="L82" s="49">
        <f>'Avg Week Malaba-Tororo'!L82+'Avg Week Tororo-Malaba'!L82</f>
        <v>0</v>
      </c>
      <c r="M82" s="49">
        <f>'Avg Week Malaba-Tororo'!M82+'Avg Week Tororo-Malaba'!M82</f>
        <v>1</v>
      </c>
      <c r="N82" s="49">
        <f>'Avg Week Malaba-Tororo'!N82+'Avg Week Tororo-Malaba'!N82</f>
        <v>0</v>
      </c>
      <c r="O82" s="15">
        <f t="shared" si="35"/>
        <v>2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'Avg Week Malaba-Tororo'!C83+'Avg Week Tororo-Malaba'!C83</f>
        <v>1</v>
      </c>
      <c r="D83" s="49">
        <f>'Avg Week Malaba-Tororo'!D83+'Avg Week Tororo-Malaba'!D83</f>
        <v>0</v>
      </c>
      <c r="E83" s="49">
        <f>'Avg Week Malaba-Tororo'!E83+'Avg Week Tororo-Malaba'!E83</f>
        <v>0.5</v>
      </c>
      <c r="F83" s="49">
        <f>'Avg Week Malaba-Tororo'!F83+'Avg Week Tororo-Malaba'!F83</f>
        <v>0.5</v>
      </c>
      <c r="G83" s="49">
        <f>'Avg Week Malaba-Tororo'!G83+'Avg Week Tororo-Malaba'!G83</f>
        <v>0</v>
      </c>
      <c r="H83" s="49">
        <f>'Avg Week Malaba-Tororo'!H83+'Avg Week Tororo-Malaba'!H83</f>
        <v>0.5</v>
      </c>
      <c r="I83" s="49">
        <f>'Avg Week Malaba-Tororo'!I83+'Avg Week Tororo-Malaba'!I83</f>
        <v>0</v>
      </c>
      <c r="J83" s="49">
        <f>'Avg Week Malaba-Tororo'!J83+'Avg Week Tororo-Malaba'!J83</f>
        <v>0</v>
      </c>
      <c r="K83" s="49">
        <f>'Avg Week Malaba-Tororo'!K83+'Avg Week Tororo-Malaba'!K83</f>
        <v>0</v>
      </c>
      <c r="L83" s="49">
        <f>'Avg Week Malaba-Tororo'!L83+'Avg Week Tororo-Malaba'!L83</f>
        <v>0</v>
      </c>
      <c r="M83" s="49">
        <f>'Avg Week Malaba-Tororo'!M83+'Avg Week Tororo-Malaba'!M83</f>
        <v>1</v>
      </c>
      <c r="N83" s="49">
        <f>'Avg Week Malaba-Tororo'!N83+'Avg Week Tororo-Malaba'!N83</f>
        <v>0</v>
      </c>
      <c r="O83" s="15">
        <f t="shared" si="35"/>
        <v>2.5</v>
      </c>
      <c r="P83" s="15">
        <f t="shared" si="36"/>
        <v>3.5</v>
      </c>
      <c r="R83" s="8"/>
      <c r="T83"/>
    </row>
    <row r="84" spans="2:20" ht="23.1" customHeight="1" x14ac:dyDescent="0.25">
      <c r="B84" s="25" t="s">
        <v>124</v>
      </c>
      <c r="C84" s="49">
        <f>'Avg Week Malaba-Tororo'!C84+'Avg Week Tororo-Malaba'!C84</f>
        <v>0</v>
      </c>
      <c r="D84" s="49">
        <f>'Avg Week Malaba-Tororo'!D84+'Avg Week Tororo-Malaba'!D84</f>
        <v>0</v>
      </c>
      <c r="E84" s="49">
        <f>'Avg Week Malaba-Tororo'!E84+'Avg Week Tororo-Malaba'!E84</f>
        <v>0</v>
      </c>
      <c r="F84" s="49">
        <f>'Avg Week Malaba-Tororo'!F84+'Avg Week Tororo-Malaba'!F84</f>
        <v>0</v>
      </c>
      <c r="G84" s="49">
        <f>'Avg Week Malaba-Tororo'!G84+'Avg Week Tororo-Malaba'!G84</f>
        <v>0</v>
      </c>
      <c r="H84" s="49">
        <f>'Avg Week Malaba-Tororo'!H84+'Avg Week Tororo-Malaba'!H84</f>
        <v>0.5</v>
      </c>
      <c r="I84" s="49">
        <f>'Avg Week Malaba-Tororo'!I84+'Avg Week Tororo-Malaba'!I84</f>
        <v>0</v>
      </c>
      <c r="J84" s="49">
        <f>'Avg Week Malaba-Tororo'!J84+'Avg Week Tororo-Malaba'!J84</f>
        <v>0</v>
      </c>
      <c r="K84" s="49">
        <f>'Avg Week Malaba-Tororo'!K84+'Avg Week Tororo-Malaba'!K84</f>
        <v>0</v>
      </c>
      <c r="L84" s="49">
        <f>'Avg Week Malaba-Tororo'!L84+'Avg Week Tororo-Malaba'!L84</f>
        <v>0</v>
      </c>
      <c r="M84" s="49">
        <f>'Avg Week Malaba-Tororo'!M84+'Avg Week Tororo-Malaba'!M84</f>
        <v>0</v>
      </c>
      <c r="N84" s="49">
        <f>'Avg Week Malaba-Tororo'!N84+'Avg Week Tororo-Malaba'!N84</f>
        <v>0</v>
      </c>
      <c r="O84" s="15">
        <f t="shared" si="35"/>
        <v>0.5</v>
      </c>
      <c r="P84" s="15">
        <f t="shared" si="36"/>
        <v>0.5</v>
      </c>
      <c r="R84" s="8"/>
      <c r="T84"/>
    </row>
    <row r="85" spans="2:20" ht="23.1" customHeight="1" x14ac:dyDescent="0.25">
      <c r="B85" s="23" t="s">
        <v>125</v>
      </c>
      <c r="C85" s="49">
        <f>'Avg Week Malaba-Tororo'!C85+'Avg Week Tororo-Malaba'!C85</f>
        <v>1</v>
      </c>
      <c r="D85" s="49">
        <f>'Avg Week Malaba-Tororo'!D85+'Avg Week Tororo-Malaba'!D85</f>
        <v>0</v>
      </c>
      <c r="E85" s="49">
        <f>'Avg Week Malaba-Tororo'!E85+'Avg Week Tororo-Malaba'!E85</f>
        <v>2</v>
      </c>
      <c r="F85" s="49">
        <f>'Avg Week Malaba-Tororo'!F85+'Avg Week Tororo-Malaba'!F85</f>
        <v>0</v>
      </c>
      <c r="G85" s="49">
        <f>'Avg Week Malaba-Tororo'!G85+'Avg Week Tororo-Malaba'!G85</f>
        <v>0</v>
      </c>
      <c r="H85" s="49">
        <f>'Avg Week Malaba-Tororo'!H85+'Avg Week Tororo-Malaba'!H85</f>
        <v>0</v>
      </c>
      <c r="I85" s="49">
        <f>'Avg Week Malaba-Tororo'!I85+'Avg Week Tororo-Malaba'!I85</f>
        <v>0</v>
      </c>
      <c r="J85" s="49">
        <f>'Avg Week Malaba-Tororo'!J85+'Avg Week Tororo-Malaba'!J85</f>
        <v>0.5</v>
      </c>
      <c r="K85" s="49">
        <f>'Avg Week Malaba-Tororo'!K85+'Avg Week Tororo-Malaba'!K85</f>
        <v>0</v>
      </c>
      <c r="L85" s="49">
        <f>'Avg Week Malaba-Tororo'!L85+'Avg Week Tororo-Malaba'!L85</f>
        <v>0</v>
      </c>
      <c r="M85" s="49">
        <f>'Avg Week Malaba-Tororo'!M85+'Avg Week Tororo-Malaba'!M85</f>
        <v>0</v>
      </c>
      <c r="N85" s="49">
        <f>'Avg Week Malaba-Tororo'!N85+'Avg Week Tororo-Malaba'!N85</f>
        <v>0</v>
      </c>
      <c r="O85" s="15">
        <f t="shared" si="35"/>
        <v>3.5</v>
      </c>
      <c r="P85" s="15">
        <f t="shared" si="36"/>
        <v>3.5</v>
      </c>
      <c r="R85" s="8"/>
      <c r="T85"/>
    </row>
    <row r="86" spans="2:20" ht="23.1" customHeight="1" x14ac:dyDescent="0.25">
      <c r="B86" s="24" t="s">
        <v>126</v>
      </c>
      <c r="C86" s="49">
        <f>'Avg Week Malaba-Tororo'!C86+'Avg Week Tororo-Malaba'!C86</f>
        <v>2.5</v>
      </c>
      <c r="D86" s="49">
        <f>'Avg Week Malaba-Tororo'!D86+'Avg Week Tororo-Malaba'!D86</f>
        <v>0</v>
      </c>
      <c r="E86" s="49">
        <f>'Avg Week Malaba-Tororo'!E86+'Avg Week Tororo-Malaba'!E86</f>
        <v>1.5</v>
      </c>
      <c r="F86" s="49">
        <f>'Avg Week Malaba-Tororo'!F86+'Avg Week Tororo-Malaba'!F86</f>
        <v>0</v>
      </c>
      <c r="G86" s="49">
        <f>'Avg Week Malaba-Tororo'!G86+'Avg Week Tororo-Malaba'!G86</f>
        <v>0</v>
      </c>
      <c r="H86" s="49">
        <f>'Avg Week Malaba-Tororo'!H86+'Avg Week Tororo-Malaba'!H86</f>
        <v>0</v>
      </c>
      <c r="I86" s="49">
        <f>'Avg Week Malaba-Tororo'!I86+'Avg Week Tororo-Malaba'!I86</f>
        <v>0.5</v>
      </c>
      <c r="J86" s="49">
        <f>'Avg Week Malaba-Tororo'!J86+'Avg Week Tororo-Malaba'!J86</f>
        <v>0</v>
      </c>
      <c r="K86" s="49">
        <f>'Avg Week Malaba-Tororo'!K86+'Avg Week Tororo-Malaba'!K86</f>
        <v>0</v>
      </c>
      <c r="L86" s="49">
        <f>'Avg Week Malaba-Tororo'!L86+'Avg Week Tororo-Malaba'!L86</f>
        <v>0</v>
      </c>
      <c r="M86" s="49">
        <f>'Avg Week Malaba-Tororo'!M86+'Avg Week Tororo-Malaba'!M86</f>
        <v>0.5</v>
      </c>
      <c r="N86" s="49">
        <f>'Avg Week Malaba-Tororo'!N86+'Avg Week Tororo-Malaba'!N86</f>
        <v>0</v>
      </c>
      <c r="O86" s="15">
        <f t="shared" si="35"/>
        <v>4.5</v>
      </c>
      <c r="P86" s="15">
        <f t="shared" si="36"/>
        <v>5</v>
      </c>
      <c r="R86" s="8"/>
      <c r="T86"/>
    </row>
    <row r="87" spans="2:20" ht="23.1" customHeight="1" x14ac:dyDescent="0.25">
      <c r="B87" s="23" t="s">
        <v>127</v>
      </c>
      <c r="C87" s="49">
        <f>'Avg Week Malaba-Tororo'!C87+'Avg Week Tororo-Malaba'!C87</f>
        <v>1.5</v>
      </c>
      <c r="D87" s="49">
        <f>'Avg Week Malaba-Tororo'!D87+'Avg Week Tororo-Malaba'!D87</f>
        <v>0</v>
      </c>
      <c r="E87" s="49">
        <f>'Avg Week Malaba-Tororo'!E87+'Avg Week Tororo-Malaba'!E87</f>
        <v>1</v>
      </c>
      <c r="F87" s="49">
        <f>'Avg Week Malaba-Tororo'!F87+'Avg Week Tororo-Malaba'!F87</f>
        <v>1</v>
      </c>
      <c r="G87" s="49">
        <f>'Avg Week Malaba-Tororo'!G87+'Avg Week Tororo-Malaba'!G87</f>
        <v>0</v>
      </c>
      <c r="H87" s="49">
        <f>'Avg Week Malaba-Tororo'!H87+'Avg Week Tororo-Malaba'!H87</f>
        <v>0</v>
      </c>
      <c r="I87" s="49">
        <f>'Avg Week Malaba-Tororo'!I87+'Avg Week Tororo-Malaba'!I87</f>
        <v>0</v>
      </c>
      <c r="J87" s="49">
        <f>'Avg Week Malaba-Tororo'!J87+'Avg Week Tororo-Malaba'!J87</f>
        <v>0</v>
      </c>
      <c r="K87" s="49">
        <f>'Avg Week Malaba-Tororo'!K87+'Avg Week Tororo-Malaba'!K87</f>
        <v>0</v>
      </c>
      <c r="L87" s="49">
        <f>'Avg Week Malaba-Tororo'!L87+'Avg Week Tororo-Malaba'!L87</f>
        <v>0</v>
      </c>
      <c r="M87" s="49">
        <f>'Avg Week Malaba-Tororo'!M87+'Avg Week Tororo-Malaba'!M87</f>
        <v>0</v>
      </c>
      <c r="N87" s="49">
        <f>'Avg Week Malaba-Tororo'!N87+'Avg Week Tororo-Malaba'!N87</f>
        <v>0</v>
      </c>
      <c r="O87" s="15">
        <f t="shared" si="35"/>
        <v>3.5</v>
      </c>
      <c r="P87" s="15">
        <f t="shared" si="36"/>
        <v>3.5</v>
      </c>
      <c r="R87" s="8"/>
      <c r="T87"/>
    </row>
    <row r="88" spans="2:20" ht="23.1" customHeight="1" x14ac:dyDescent="0.25">
      <c r="B88" s="25" t="s">
        <v>128</v>
      </c>
      <c r="C88" s="49">
        <f>'Avg Week Malaba-Tororo'!C88+'Avg Week Tororo-Malaba'!C88</f>
        <v>1.5</v>
      </c>
      <c r="D88" s="49">
        <f>'Avg Week Malaba-Tororo'!D88+'Avg Week Tororo-Malaba'!D88</f>
        <v>0</v>
      </c>
      <c r="E88" s="49">
        <f>'Avg Week Malaba-Tororo'!E88+'Avg Week Tororo-Malaba'!E88</f>
        <v>1.5</v>
      </c>
      <c r="F88" s="49">
        <f>'Avg Week Malaba-Tororo'!F88+'Avg Week Tororo-Malaba'!F88</f>
        <v>0</v>
      </c>
      <c r="G88" s="49">
        <f>'Avg Week Malaba-Tororo'!G88+'Avg Week Tororo-Malaba'!G88</f>
        <v>0</v>
      </c>
      <c r="H88" s="49">
        <f>'Avg Week Malaba-Tororo'!H88+'Avg Week Tororo-Malaba'!H88</f>
        <v>0</v>
      </c>
      <c r="I88" s="49">
        <f>'Avg Week Malaba-Tororo'!I88+'Avg Week Tororo-Malaba'!I88</f>
        <v>0.5</v>
      </c>
      <c r="J88" s="49">
        <f>'Avg Week Malaba-Tororo'!J88+'Avg Week Tororo-Malaba'!J88</f>
        <v>0</v>
      </c>
      <c r="K88" s="49">
        <f>'Avg Week Malaba-Tororo'!K88+'Avg Week Tororo-Malaba'!K88</f>
        <v>0</v>
      </c>
      <c r="L88" s="49">
        <f>'Avg Week Malaba-Tororo'!L88+'Avg Week Tororo-Malaba'!L88</f>
        <v>0</v>
      </c>
      <c r="M88" s="49">
        <f>'Avg Week Malaba-Tororo'!M88+'Avg Week Tororo-Malaba'!M88</f>
        <v>0</v>
      </c>
      <c r="N88" s="49">
        <f>'Avg Week Malaba-Tororo'!N88+'Avg Week Tororo-Malaba'!N88</f>
        <v>0</v>
      </c>
      <c r="O88" s="15">
        <f t="shared" si="35"/>
        <v>3.5</v>
      </c>
      <c r="P88" s="15">
        <f t="shared" si="36"/>
        <v>3.5</v>
      </c>
      <c r="R88" s="8"/>
      <c r="T88"/>
    </row>
    <row r="89" spans="2:20" ht="23.1" customHeight="1" x14ac:dyDescent="0.25">
      <c r="B89" s="23" t="s">
        <v>129</v>
      </c>
      <c r="C89" s="49">
        <f>'Avg Week Malaba-Tororo'!C89+'Avg Week Tororo-Malaba'!C89</f>
        <v>0</v>
      </c>
      <c r="D89" s="49">
        <f>'Avg Week Malaba-Tororo'!D89+'Avg Week Tororo-Malaba'!D89</f>
        <v>0</v>
      </c>
      <c r="E89" s="49">
        <f>'Avg Week Malaba-Tororo'!E89+'Avg Week Tororo-Malaba'!E89</f>
        <v>0.5</v>
      </c>
      <c r="F89" s="49">
        <f>'Avg Week Malaba-Tororo'!F89+'Avg Week Tororo-Malaba'!F89</f>
        <v>0</v>
      </c>
      <c r="G89" s="49">
        <f>'Avg Week Malaba-Tororo'!G89+'Avg Week Tororo-Malaba'!G89</f>
        <v>0</v>
      </c>
      <c r="H89" s="49">
        <f>'Avg Week Malaba-Tororo'!H89+'Avg Week Tororo-Malaba'!H89</f>
        <v>0</v>
      </c>
      <c r="I89" s="49">
        <f>'Avg Week Malaba-Tororo'!I89+'Avg Week Tororo-Malaba'!I89</f>
        <v>0.5</v>
      </c>
      <c r="J89" s="49">
        <f>'Avg Week Malaba-Tororo'!J89+'Avg Week Tororo-Malaba'!J89</f>
        <v>0.5</v>
      </c>
      <c r="K89" s="49">
        <f>'Avg Week Malaba-Tororo'!K89+'Avg Week Tororo-Malaba'!K89</f>
        <v>0</v>
      </c>
      <c r="L89" s="49">
        <f>'Avg Week Malaba-Tororo'!L89+'Avg Week Tororo-Malaba'!L89</f>
        <v>0</v>
      </c>
      <c r="M89" s="49">
        <f>'Avg Week Malaba-Tororo'!M89+'Avg Week Tororo-Malaba'!M89</f>
        <v>0</v>
      </c>
      <c r="N89" s="49">
        <f>'Avg Week Malaba-Tororo'!N89+'Avg Week Tororo-Malaba'!N89</f>
        <v>0</v>
      </c>
      <c r="O89" s="15">
        <f t="shared" si="35"/>
        <v>1.5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'Avg Week Malaba-Tororo'!C90+'Avg Week Tororo-Malaba'!C90</f>
        <v>0</v>
      </c>
      <c r="D90" s="49">
        <f>'Avg Week Malaba-Tororo'!D90+'Avg Week Tororo-Malaba'!D90</f>
        <v>0</v>
      </c>
      <c r="E90" s="49">
        <f>'Avg Week Malaba-Tororo'!E90+'Avg Week Tororo-Malaba'!E90</f>
        <v>1</v>
      </c>
      <c r="F90" s="49">
        <f>'Avg Week Malaba-Tororo'!F90+'Avg Week Tororo-Malaba'!F90</f>
        <v>1</v>
      </c>
      <c r="G90" s="49">
        <f>'Avg Week Malaba-Tororo'!G90+'Avg Week Tororo-Malaba'!G90</f>
        <v>0</v>
      </c>
      <c r="H90" s="49">
        <f>'Avg Week Malaba-Tororo'!H90+'Avg Week Tororo-Malaba'!H90</f>
        <v>0.5</v>
      </c>
      <c r="I90" s="49">
        <f>'Avg Week Malaba-Tororo'!I90+'Avg Week Tororo-Malaba'!I90</f>
        <v>1.5</v>
      </c>
      <c r="J90" s="49">
        <f>'Avg Week Malaba-Tororo'!J90+'Avg Week Tororo-Malaba'!J90</f>
        <v>0</v>
      </c>
      <c r="K90" s="49">
        <f>'Avg Week Malaba-Tororo'!K90+'Avg Week Tororo-Malaba'!K90</f>
        <v>0</v>
      </c>
      <c r="L90" s="49">
        <f>'Avg Week Malaba-Tororo'!L90+'Avg Week Tororo-Malaba'!L90</f>
        <v>0</v>
      </c>
      <c r="M90" s="49">
        <f>'Avg Week Malaba-Tororo'!M90+'Avg Week Tororo-Malaba'!M90</f>
        <v>8.5</v>
      </c>
      <c r="N90" s="49">
        <f>'Avg Week Malaba-Tororo'!N90+'Avg Week Tororo-Malaba'!N90</f>
        <v>0</v>
      </c>
      <c r="O90" s="15">
        <f t="shared" si="35"/>
        <v>4</v>
      </c>
      <c r="P90" s="15">
        <f t="shared" si="36"/>
        <v>12.5</v>
      </c>
      <c r="R90" s="8"/>
      <c r="T90"/>
    </row>
    <row r="91" spans="2:20" ht="23.1" customHeight="1" x14ac:dyDescent="0.25">
      <c r="B91" s="23" t="s">
        <v>131</v>
      </c>
      <c r="C91" s="49">
        <f>'Avg Week Malaba-Tororo'!C91+'Avg Week Tororo-Malaba'!C91</f>
        <v>1.5</v>
      </c>
      <c r="D91" s="49">
        <f>'Avg Week Malaba-Tororo'!D91+'Avg Week Tororo-Malaba'!D91</f>
        <v>0</v>
      </c>
      <c r="E91" s="49">
        <f>'Avg Week Malaba-Tororo'!E91+'Avg Week Tororo-Malaba'!E91</f>
        <v>0.5</v>
      </c>
      <c r="F91" s="49">
        <f>'Avg Week Malaba-Tororo'!F91+'Avg Week Tororo-Malaba'!F91</f>
        <v>0.5</v>
      </c>
      <c r="G91" s="49">
        <f>'Avg Week Malaba-Tororo'!G91+'Avg Week Tororo-Malaba'!G91</f>
        <v>0</v>
      </c>
      <c r="H91" s="49">
        <f>'Avg Week Malaba-Tororo'!H91+'Avg Week Tororo-Malaba'!H91</f>
        <v>0</v>
      </c>
      <c r="I91" s="49">
        <f>'Avg Week Malaba-Tororo'!I91+'Avg Week Tororo-Malaba'!I91</f>
        <v>0</v>
      </c>
      <c r="J91" s="49">
        <f>'Avg Week Malaba-Tororo'!J91+'Avg Week Tororo-Malaba'!J91</f>
        <v>0.5</v>
      </c>
      <c r="K91" s="49">
        <f>'Avg Week Malaba-Tororo'!K91+'Avg Week Tororo-Malaba'!K91</f>
        <v>0</v>
      </c>
      <c r="L91" s="49">
        <f>'Avg Week Malaba-Tororo'!L91+'Avg Week Tororo-Malaba'!L91</f>
        <v>0</v>
      </c>
      <c r="M91" s="49">
        <f>'Avg Week Malaba-Tororo'!M91+'Avg Week Tororo-Malaba'!M91</f>
        <v>14.5</v>
      </c>
      <c r="N91" s="49">
        <f>'Avg Week Malaba-Tororo'!N91+'Avg Week Tororo-Malaba'!N91</f>
        <v>0</v>
      </c>
      <c r="O91" s="15">
        <f t="shared" si="35"/>
        <v>3</v>
      </c>
      <c r="P91" s="15">
        <f t="shared" si="36"/>
        <v>17.5</v>
      </c>
      <c r="R91" s="8"/>
      <c r="T91"/>
    </row>
    <row r="92" spans="2:20" ht="23.1" customHeight="1" x14ac:dyDescent="0.25">
      <c r="B92" s="25" t="s">
        <v>132</v>
      </c>
      <c r="C92" s="49">
        <f>'Avg Week Malaba-Tororo'!C92+'Avg Week Tororo-Malaba'!C92</f>
        <v>0</v>
      </c>
      <c r="D92" s="49">
        <f>'Avg Week Malaba-Tororo'!D92+'Avg Week Tororo-Malaba'!D92</f>
        <v>0</v>
      </c>
      <c r="E92" s="49">
        <f>'Avg Week Malaba-Tororo'!E92+'Avg Week Tororo-Malaba'!E92</f>
        <v>0.5</v>
      </c>
      <c r="F92" s="49">
        <f>'Avg Week Malaba-Tororo'!F92+'Avg Week Tororo-Malaba'!F92</f>
        <v>2.5</v>
      </c>
      <c r="G92" s="49">
        <f>'Avg Week Malaba-Tororo'!G92+'Avg Week Tororo-Malaba'!G92</f>
        <v>0</v>
      </c>
      <c r="H92" s="49">
        <f>'Avg Week Malaba-Tororo'!H92+'Avg Week Tororo-Malaba'!H92</f>
        <v>0.5</v>
      </c>
      <c r="I92" s="49">
        <f>'Avg Week Malaba-Tororo'!I92+'Avg Week Tororo-Malaba'!I92</f>
        <v>0</v>
      </c>
      <c r="J92" s="49">
        <f>'Avg Week Malaba-Tororo'!J92+'Avg Week Tororo-Malaba'!J92</f>
        <v>0</v>
      </c>
      <c r="K92" s="49">
        <f>'Avg Week Malaba-Tororo'!K92+'Avg Week Tororo-Malaba'!K92</f>
        <v>0</v>
      </c>
      <c r="L92" s="49">
        <f>'Avg Week Malaba-Tororo'!L92+'Avg Week Tororo-Malaba'!L92</f>
        <v>0</v>
      </c>
      <c r="M92" s="49">
        <f>'Avg Week Malaba-Tororo'!M92+'Avg Week Tororo-Malaba'!M92</f>
        <v>10.5</v>
      </c>
      <c r="N92" s="49">
        <f>'Avg Week Malaba-Tororo'!N92+'Avg Week Tororo-Malaba'!N92</f>
        <v>0</v>
      </c>
      <c r="O92" s="15">
        <f t="shared" si="35"/>
        <v>3.5</v>
      </c>
      <c r="P92" s="15">
        <f t="shared" si="36"/>
        <v>14</v>
      </c>
      <c r="R92" s="8"/>
      <c r="T92"/>
    </row>
    <row r="93" spans="2:20" ht="23.1" customHeight="1" x14ac:dyDescent="0.25">
      <c r="B93" s="23" t="s">
        <v>133</v>
      </c>
      <c r="C93" s="49">
        <f>'Avg Week Malaba-Tororo'!C93+'Avg Week Tororo-Malaba'!C93</f>
        <v>2</v>
      </c>
      <c r="D93" s="49">
        <f>'Avg Week Malaba-Tororo'!D93+'Avg Week Tororo-Malaba'!D93</f>
        <v>0</v>
      </c>
      <c r="E93" s="49">
        <f>'Avg Week Malaba-Tororo'!E93+'Avg Week Tororo-Malaba'!E93</f>
        <v>0.5</v>
      </c>
      <c r="F93" s="49">
        <f>'Avg Week Malaba-Tororo'!F93+'Avg Week Tororo-Malaba'!F93</f>
        <v>0.5</v>
      </c>
      <c r="G93" s="49">
        <f>'Avg Week Malaba-Tororo'!G93+'Avg Week Tororo-Malaba'!G93</f>
        <v>0</v>
      </c>
      <c r="H93" s="49">
        <f>'Avg Week Malaba-Tororo'!H93+'Avg Week Tororo-Malaba'!H93</f>
        <v>0</v>
      </c>
      <c r="I93" s="49">
        <f>'Avg Week Malaba-Tororo'!I93+'Avg Week Tororo-Malaba'!I93</f>
        <v>0.5</v>
      </c>
      <c r="J93" s="49">
        <f>'Avg Week Malaba-Tororo'!J93+'Avg Week Tororo-Malaba'!J93</f>
        <v>0</v>
      </c>
      <c r="K93" s="49">
        <f>'Avg Week Malaba-Tororo'!K93+'Avg Week Tororo-Malaba'!K93</f>
        <v>0</v>
      </c>
      <c r="L93" s="49">
        <f>'Avg Week Malaba-Tororo'!L93+'Avg Week Tororo-Malaba'!L93</f>
        <v>0</v>
      </c>
      <c r="M93" s="49">
        <f>'Avg Week Malaba-Tororo'!M93+'Avg Week Tororo-Malaba'!M93</f>
        <v>10</v>
      </c>
      <c r="N93" s="49">
        <f>'Avg Week Malaba-Tororo'!N93+'Avg Week Tororo-Malaba'!N93</f>
        <v>0</v>
      </c>
      <c r="O93" s="15">
        <f t="shared" si="35"/>
        <v>3.5</v>
      </c>
      <c r="P93" s="15">
        <f t="shared" si="36"/>
        <v>13.5</v>
      </c>
      <c r="R93" s="8"/>
      <c r="T93"/>
    </row>
    <row r="94" spans="2:20" ht="23.1" customHeight="1" x14ac:dyDescent="0.25">
      <c r="B94" s="24" t="s">
        <v>134</v>
      </c>
      <c r="C94" s="49">
        <f>'Avg Week Malaba-Tororo'!C94+'Avg Week Tororo-Malaba'!C94</f>
        <v>1</v>
      </c>
      <c r="D94" s="49">
        <f>'Avg Week Malaba-Tororo'!D94+'Avg Week Tororo-Malaba'!D94</f>
        <v>0</v>
      </c>
      <c r="E94" s="49">
        <f>'Avg Week Malaba-Tororo'!E94+'Avg Week Tororo-Malaba'!E94</f>
        <v>0.5</v>
      </c>
      <c r="F94" s="49">
        <f>'Avg Week Malaba-Tororo'!F94+'Avg Week Tororo-Malaba'!F94</f>
        <v>1.5</v>
      </c>
      <c r="G94" s="49">
        <f>'Avg Week Malaba-Tororo'!G94+'Avg Week Tororo-Malaba'!G94</f>
        <v>0</v>
      </c>
      <c r="H94" s="49">
        <f>'Avg Week Malaba-Tororo'!H94+'Avg Week Tororo-Malaba'!H94</f>
        <v>0.5</v>
      </c>
      <c r="I94" s="49">
        <f>'Avg Week Malaba-Tororo'!I94+'Avg Week Tororo-Malaba'!I94</f>
        <v>1</v>
      </c>
      <c r="J94" s="49">
        <f>'Avg Week Malaba-Tororo'!J94+'Avg Week Tororo-Malaba'!J94</f>
        <v>0</v>
      </c>
      <c r="K94" s="49">
        <f>'Avg Week Malaba-Tororo'!K94+'Avg Week Tororo-Malaba'!K94</f>
        <v>0</v>
      </c>
      <c r="L94" s="49">
        <f>'Avg Week Malaba-Tororo'!L94+'Avg Week Tororo-Malaba'!L94</f>
        <v>0</v>
      </c>
      <c r="M94" s="49">
        <f>'Avg Week Malaba-Tororo'!M94+'Avg Week Tororo-Malaba'!M94</f>
        <v>7.5</v>
      </c>
      <c r="N94" s="49">
        <f>'Avg Week Malaba-Tororo'!N94+'Avg Week Tororo-Malaba'!N94</f>
        <v>0</v>
      </c>
      <c r="O94" s="15">
        <f t="shared" si="35"/>
        <v>4.5</v>
      </c>
      <c r="P94" s="15">
        <f t="shared" si="36"/>
        <v>12</v>
      </c>
      <c r="R94" s="8"/>
      <c r="T94"/>
    </row>
    <row r="95" spans="2:20" ht="23.1" customHeight="1" x14ac:dyDescent="0.25">
      <c r="B95" s="23" t="s">
        <v>135</v>
      </c>
      <c r="C95" s="49">
        <f>'Avg Week Malaba-Tororo'!C95+'Avg Week Tororo-Malaba'!C95</f>
        <v>1.5</v>
      </c>
      <c r="D95" s="49">
        <f>'Avg Week Malaba-Tororo'!D95+'Avg Week Tororo-Malaba'!D95</f>
        <v>0</v>
      </c>
      <c r="E95" s="49">
        <f>'Avg Week Malaba-Tororo'!E95+'Avg Week Tororo-Malaba'!E95</f>
        <v>0.5</v>
      </c>
      <c r="F95" s="49">
        <f>'Avg Week Malaba-Tororo'!F95+'Avg Week Tororo-Malaba'!F95</f>
        <v>0</v>
      </c>
      <c r="G95" s="49">
        <f>'Avg Week Malaba-Tororo'!G95+'Avg Week Tororo-Malaba'!G95</f>
        <v>0</v>
      </c>
      <c r="H95" s="49">
        <f>'Avg Week Malaba-Tororo'!H95+'Avg Week Tororo-Malaba'!H95</f>
        <v>0.5</v>
      </c>
      <c r="I95" s="49">
        <f>'Avg Week Malaba-Tororo'!I95+'Avg Week Tororo-Malaba'!I95</f>
        <v>0.5</v>
      </c>
      <c r="J95" s="49">
        <f>'Avg Week Malaba-Tororo'!J95+'Avg Week Tororo-Malaba'!J95</f>
        <v>0</v>
      </c>
      <c r="K95" s="49">
        <f>'Avg Week Malaba-Tororo'!K95+'Avg Week Tororo-Malaba'!K95</f>
        <v>0</v>
      </c>
      <c r="L95" s="49">
        <f>'Avg Week Malaba-Tororo'!L95+'Avg Week Tororo-Malaba'!L95</f>
        <v>0</v>
      </c>
      <c r="M95" s="49">
        <f>'Avg Week Malaba-Tororo'!M95+'Avg Week Tororo-Malaba'!M95</f>
        <v>9.5</v>
      </c>
      <c r="N95" s="49">
        <f>'Avg Week Malaba-Tororo'!N95+'Avg Week Tororo-Malaba'!N95</f>
        <v>0</v>
      </c>
      <c r="O95" s="15">
        <f t="shared" si="35"/>
        <v>3</v>
      </c>
      <c r="P95" s="15">
        <f t="shared" si="36"/>
        <v>12.5</v>
      </c>
      <c r="R95" s="8"/>
      <c r="T95"/>
    </row>
    <row r="96" spans="2:20" ht="23.1" customHeight="1" x14ac:dyDescent="0.25">
      <c r="B96" s="25" t="s">
        <v>136</v>
      </c>
      <c r="C96" s="49">
        <f>'Avg Week Malaba-Tororo'!C96+'Avg Week Tororo-Malaba'!C96</f>
        <v>1.5</v>
      </c>
      <c r="D96" s="49">
        <f>'Avg Week Malaba-Tororo'!D96+'Avg Week Tororo-Malaba'!D96</f>
        <v>0</v>
      </c>
      <c r="E96" s="49">
        <f>'Avg Week Malaba-Tororo'!E96+'Avg Week Tororo-Malaba'!E96</f>
        <v>0</v>
      </c>
      <c r="F96" s="49">
        <f>'Avg Week Malaba-Tororo'!F96+'Avg Week Tororo-Malaba'!F96</f>
        <v>0.5</v>
      </c>
      <c r="G96" s="49">
        <f>'Avg Week Malaba-Tororo'!G96+'Avg Week Tororo-Malaba'!G96</f>
        <v>0</v>
      </c>
      <c r="H96" s="49">
        <f>'Avg Week Malaba-Tororo'!H96+'Avg Week Tororo-Malaba'!H96</f>
        <v>0</v>
      </c>
      <c r="I96" s="49">
        <f>'Avg Week Malaba-Tororo'!I96+'Avg Week Tororo-Malaba'!I96</f>
        <v>1.5</v>
      </c>
      <c r="J96" s="49">
        <f>'Avg Week Malaba-Tororo'!J96+'Avg Week Tororo-Malaba'!J96</f>
        <v>0</v>
      </c>
      <c r="K96" s="49">
        <f>'Avg Week Malaba-Tororo'!K96+'Avg Week Tororo-Malaba'!K96</f>
        <v>0</v>
      </c>
      <c r="L96" s="49">
        <f>'Avg Week Malaba-Tororo'!L96+'Avg Week Tororo-Malaba'!L96</f>
        <v>0</v>
      </c>
      <c r="M96" s="49">
        <f>'Avg Week Malaba-Tororo'!M96+'Avg Week Tororo-Malaba'!M96</f>
        <v>9.5</v>
      </c>
      <c r="N96" s="49">
        <f>'Avg Week Malaba-Tororo'!N96+'Avg Week Tororo-Malaba'!N96</f>
        <v>0</v>
      </c>
      <c r="O96" s="15">
        <f t="shared" si="35"/>
        <v>3.5</v>
      </c>
      <c r="P96" s="15">
        <f t="shared" si="36"/>
        <v>13</v>
      </c>
      <c r="R96" s="8"/>
      <c r="T96"/>
    </row>
    <row r="97" spans="2:20" ht="23.1" customHeight="1" x14ac:dyDescent="0.25">
      <c r="B97" s="23" t="s">
        <v>137</v>
      </c>
      <c r="C97" s="49">
        <f>'Avg Week Malaba-Tororo'!C97+'Avg Week Tororo-Malaba'!C97</f>
        <v>0.5</v>
      </c>
      <c r="D97" s="49">
        <f>'Avg Week Malaba-Tororo'!D97+'Avg Week Tororo-Malaba'!D97</f>
        <v>0</v>
      </c>
      <c r="E97" s="49">
        <f>'Avg Week Malaba-Tororo'!E97+'Avg Week Tororo-Malaba'!E97</f>
        <v>1.5</v>
      </c>
      <c r="F97" s="49">
        <f>'Avg Week Malaba-Tororo'!F97+'Avg Week Tororo-Malaba'!F97</f>
        <v>0.5</v>
      </c>
      <c r="G97" s="49">
        <f>'Avg Week Malaba-Tororo'!G97+'Avg Week Tororo-Malaba'!G97</f>
        <v>0</v>
      </c>
      <c r="H97" s="49">
        <f>'Avg Week Malaba-Tororo'!H97+'Avg Week Tororo-Malaba'!H97</f>
        <v>0</v>
      </c>
      <c r="I97" s="49">
        <f>'Avg Week Malaba-Tororo'!I97+'Avg Week Tororo-Malaba'!I97</f>
        <v>0</v>
      </c>
      <c r="J97" s="49">
        <f>'Avg Week Malaba-Tororo'!J97+'Avg Week Tororo-Malaba'!J97</f>
        <v>0</v>
      </c>
      <c r="K97" s="49">
        <f>'Avg Week Malaba-Tororo'!K97+'Avg Week Tororo-Malaba'!K97</f>
        <v>0</v>
      </c>
      <c r="L97" s="49">
        <f>'Avg Week Malaba-Tororo'!L97+'Avg Week Tororo-Malaba'!L97</f>
        <v>0</v>
      </c>
      <c r="M97" s="49">
        <f>'Avg Week Malaba-Tororo'!M97+'Avg Week Tororo-Malaba'!M97</f>
        <v>14.5</v>
      </c>
      <c r="N97" s="49">
        <f>'Avg Week Malaba-Tororo'!N97+'Avg Week Tororo-Malaba'!N97</f>
        <v>0</v>
      </c>
      <c r="O97" s="15">
        <f t="shared" si="35"/>
        <v>2.5</v>
      </c>
      <c r="P97" s="15">
        <f t="shared" si="36"/>
        <v>17</v>
      </c>
      <c r="R97" s="8"/>
      <c r="T97"/>
    </row>
    <row r="98" spans="2:20" ht="23.1" customHeight="1" x14ac:dyDescent="0.25">
      <c r="B98" s="24" t="s">
        <v>138</v>
      </c>
      <c r="C98" s="49">
        <f>'Avg Week Malaba-Tororo'!C98+'Avg Week Tororo-Malaba'!C98</f>
        <v>0</v>
      </c>
      <c r="D98" s="49">
        <f>'Avg Week Malaba-Tororo'!D98+'Avg Week Tororo-Malaba'!D98</f>
        <v>0</v>
      </c>
      <c r="E98" s="49">
        <f>'Avg Week Malaba-Tororo'!E98+'Avg Week Tororo-Malaba'!E98</f>
        <v>0.5</v>
      </c>
      <c r="F98" s="49">
        <f>'Avg Week Malaba-Tororo'!F98+'Avg Week Tororo-Malaba'!F98</f>
        <v>1</v>
      </c>
      <c r="G98" s="49">
        <f>'Avg Week Malaba-Tororo'!G98+'Avg Week Tororo-Malaba'!G98</f>
        <v>0</v>
      </c>
      <c r="H98" s="49">
        <f>'Avg Week Malaba-Tororo'!H98+'Avg Week Tororo-Malaba'!H98</f>
        <v>0.5</v>
      </c>
      <c r="I98" s="49">
        <f>'Avg Week Malaba-Tororo'!I98+'Avg Week Tororo-Malaba'!I98</f>
        <v>0.5</v>
      </c>
      <c r="J98" s="49">
        <f>'Avg Week Malaba-Tororo'!J98+'Avg Week Tororo-Malaba'!J98</f>
        <v>0.5</v>
      </c>
      <c r="K98" s="49">
        <f>'Avg Week Malaba-Tororo'!K98+'Avg Week Tororo-Malaba'!K98</f>
        <v>0</v>
      </c>
      <c r="L98" s="49">
        <f>'Avg Week Malaba-Tororo'!L98+'Avg Week Tororo-Malaba'!L98</f>
        <v>0</v>
      </c>
      <c r="M98" s="49">
        <f>'Avg Week Malaba-Tororo'!M98+'Avg Week Tororo-Malaba'!M98</f>
        <v>5.5</v>
      </c>
      <c r="N98" s="49">
        <f>'Avg Week Malaba-Tororo'!N98+'Avg Week Tororo-Malaba'!N98</f>
        <v>0</v>
      </c>
      <c r="O98" s="15">
        <f t="shared" si="35"/>
        <v>3</v>
      </c>
      <c r="P98" s="15">
        <f t="shared" si="36"/>
        <v>8.5</v>
      </c>
      <c r="R98" s="8"/>
      <c r="T98"/>
    </row>
    <row r="99" spans="2:20" ht="23.1" customHeight="1" x14ac:dyDescent="0.25">
      <c r="B99" s="23" t="s">
        <v>139</v>
      </c>
      <c r="C99" s="49">
        <f>'Avg Week Malaba-Tororo'!C99+'Avg Week Tororo-Malaba'!C99</f>
        <v>0.5</v>
      </c>
      <c r="D99" s="49">
        <f>'Avg Week Malaba-Tororo'!D99+'Avg Week Tororo-Malaba'!D99</f>
        <v>0</v>
      </c>
      <c r="E99" s="49">
        <f>'Avg Week Malaba-Tororo'!E99+'Avg Week Tororo-Malaba'!E99</f>
        <v>0</v>
      </c>
      <c r="F99" s="49">
        <f>'Avg Week Malaba-Tororo'!F99+'Avg Week Tororo-Malaba'!F99</f>
        <v>0.5</v>
      </c>
      <c r="G99" s="49">
        <f>'Avg Week Malaba-Tororo'!G99+'Avg Week Tororo-Malaba'!G99</f>
        <v>0</v>
      </c>
      <c r="H99" s="49">
        <f>'Avg Week Malaba-Tororo'!H99+'Avg Week Tororo-Malaba'!H99</f>
        <v>0.5</v>
      </c>
      <c r="I99" s="49">
        <f>'Avg Week Malaba-Tororo'!I99+'Avg Week Tororo-Malaba'!I99</f>
        <v>0.5</v>
      </c>
      <c r="J99" s="49">
        <f>'Avg Week Malaba-Tororo'!J99+'Avg Week Tororo-Malaba'!J99</f>
        <v>0</v>
      </c>
      <c r="K99" s="49">
        <f>'Avg Week Malaba-Tororo'!K99+'Avg Week Tororo-Malaba'!K99</f>
        <v>0</v>
      </c>
      <c r="L99" s="49">
        <f>'Avg Week Malaba-Tororo'!L99+'Avg Week Tororo-Malaba'!L99</f>
        <v>0</v>
      </c>
      <c r="M99" s="49">
        <f>'Avg Week Malaba-Tororo'!M99+'Avg Week Tororo-Malaba'!M99</f>
        <v>6.5</v>
      </c>
      <c r="N99" s="49">
        <f>'Avg Week Malaba-Tororo'!N99+'Avg Week Tororo-Malaba'!N99</f>
        <v>0</v>
      </c>
      <c r="O99" s="15">
        <f t="shared" si="35"/>
        <v>2</v>
      </c>
      <c r="P99" s="15">
        <f t="shared" si="36"/>
        <v>8.5</v>
      </c>
      <c r="R99" s="8"/>
      <c r="T99"/>
    </row>
    <row r="100" spans="2:20" ht="23.1" customHeight="1" x14ac:dyDescent="0.25">
      <c r="B100" s="25" t="s">
        <v>140</v>
      </c>
      <c r="C100" s="49">
        <f>'Avg Week Malaba-Tororo'!C100+'Avg Week Tororo-Malaba'!C100</f>
        <v>0.5</v>
      </c>
      <c r="D100" s="49">
        <f>'Avg Week Malaba-Tororo'!D100+'Avg Week Tororo-Malaba'!D100</f>
        <v>0</v>
      </c>
      <c r="E100" s="49">
        <f>'Avg Week Malaba-Tororo'!E100+'Avg Week Tororo-Malaba'!E100</f>
        <v>0</v>
      </c>
      <c r="F100" s="49">
        <f>'Avg Week Malaba-Tororo'!F100+'Avg Week Tororo-Malaba'!F100</f>
        <v>2.5</v>
      </c>
      <c r="G100" s="49">
        <f>'Avg Week Malaba-Tororo'!G100+'Avg Week Tororo-Malaba'!G100</f>
        <v>0</v>
      </c>
      <c r="H100" s="49">
        <f>'Avg Week Malaba-Tororo'!H100+'Avg Week Tororo-Malaba'!H100</f>
        <v>1.5</v>
      </c>
      <c r="I100" s="49">
        <f>'Avg Week Malaba-Tororo'!I100+'Avg Week Tororo-Malaba'!I100</f>
        <v>0.5</v>
      </c>
      <c r="J100" s="49">
        <f>'Avg Week Malaba-Tororo'!J100+'Avg Week Tororo-Malaba'!J100</f>
        <v>0</v>
      </c>
      <c r="K100" s="49">
        <f>'Avg Week Malaba-Tororo'!K100+'Avg Week Tororo-Malaba'!K100</f>
        <v>0</v>
      </c>
      <c r="L100" s="49">
        <f>'Avg Week Malaba-Tororo'!L100+'Avg Week Tororo-Malaba'!L100</f>
        <v>0</v>
      </c>
      <c r="M100" s="49">
        <f>'Avg Week Malaba-Tororo'!M100+'Avg Week Tororo-Malaba'!M100</f>
        <v>10.5</v>
      </c>
      <c r="N100" s="49">
        <f>'Avg Week Malaba-Tororo'!N100+'Avg Week Tororo-Malaba'!N100</f>
        <v>0</v>
      </c>
      <c r="O100" s="15">
        <f t="shared" si="35"/>
        <v>5</v>
      </c>
      <c r="P100" s="15">
        <f t="shared" si="36"/>
        <v>15.5</v>
      </c>
      <c r="R100" s="8"/>
      <c r="T100"/>
    </row>
    <row r="101" spans="2:20" ht="23.1" customHeight="1" x14ac:dyDescent="0.25">
      <c r="B101" s="23" t="s">
        <v>141</v>
      </c>
      <c r="C101" s="49">
        <f>'Avg Week Malaba-Tororo'!C101+'Avg Week Tororo-Malaba'!C101</f>
        <v>0.5</v>
      </c>
      <c r="D101" s="49">
        <f>'Avg Week Malaba-Tororo'!D101+'Avg Week Tororo-Malaba'!D101</f>
        <v>0</v>
      </c>
      <c r="E101" s="49">
        <f>'Avg Week Malaba-Tororo'!E101+'Avg Week Tororo-Malaba'!E101</f>
        <v>0</v>
      </c>
      <c r="F101" s="49">
        <f>'Avg Week Malaba-Tororo'!F101+'Avg Week Tororo-Malaba'!F101</f>
        <v>1.5</v>
      </c>
      <c r="G101" s="49">
        <f>'Avg Week Malaba-Tororo'!G101+'Avg Week Tororo-Malaba'!G101</f>
        <v>0</v>
      </c>
      <c r="H101" s="49">
        <f>'Avg Week Malaba-Tororo'!H101+'Avg Week Tororo-Malaba'!H101</f>
        <v>0.5</v>
      </c>
      <c r="I101" s="49">
        <f>'Avg Week Malaba-Tororo'!I101+'Avg Week Tororo-Malaba'!I101</f>
        <v>0</v>
      </c>
      <c r="J101" s="49">
        <f>'Avg Week Malaba-Tororo'!J101+'Avg Week Tororo-Malaba'!J101</f>
        <v>0</v>
      </c>
      <c r="K101" s="49">
        <f>'Avg Week Malaba-Tororo'!K101+'Avg Week Tororo-Malaba'!K101</f>
        <v>0</v>
      </c>
      <c r="L101" s="49">
        <f>'Avg Week Malaba-Tororo'!L101+'Avg Week Tororo-Malaba'!L101</f>
        <v>0</v>
      </c>
      <c r="M101" s="49">
        <f>'Avg Week Malaba-Tororo'!M101+'Avg Week Tororo-Malaba'!M101</f>
        <v>13.5</v>
      </c>
      <c r="N101" s="49">
        <f>'Avg Week Malaba-Tororo'!N101+'Avg Week Tororo-Malaba'!N101</f>
        <v>0</v>
      </c>
      <c r="O101" s="15">
        <f t="shared" si="35"/>
        <v>2.5</v>
      </c>
      <c r="P101" s="15">
        <f t="shared" si="36"/>
        <v>16</v>
      </c>
      <c r="R101" s="8"/>
      <c r="T101"/>
    </row>
    <row r="102" spans="2:20" ht="23.1" customHeight="1" x14ac:dyDescent="0.25">
      <c r="B102" s="24" t="s">
        <v>142</v>
      </c>
      <c r="C102" s="49">
        <f>'Avg Week Malaba-Tororo'!C102+'Avg Week Tororo-Malaba'!C102</f>
        <v>2</v>
      </c>
      <c r="D102" s="49">
        <f>'Avg Week Malaba-Tororo'!D102+'Avg Week Tororo-Malaba'!D102</f>
        <v>0</v>
      </c>
      <c r="E102" s="49">
        <f>'Avg Week Malaba-Tororo'!E102+'Avg Week Tororo-Malaba'!E102</f>
        <v>1.5</v>
      </c>
      <c r="F102" s="49">
        <f>'Avg Week Malaba-Tororo'!F102+'Avg Week Tororo-Malaba'!F102</f>
        <v>4</v>
      </c>
      <c r="G102" s="49">
        <f>'Avg Week Malaba-Tororo'!G102+'Avg Week Tororo-Malaba'!G102</f>
        <v>0</v>
      </c>
      <c r="H102" s="49">
        <f>'Avg Week Malaba-Tororo'!H102+'Avg Week Tororo-Malaba'!H102</f>
        <v>0.5</v>
      </c>
      <c r="I102" s="49">
        <f>'Avg Week Malaba-Tororo'!I102+'Avg Week Tororo-Malaba'!I102</f>
        <v>1</v>
      </c>
      <c r="J102" s="49">
        <f>'Avg Week Malaba-Tororo'!J102+'Avg Week Tororo-Malaba'!J102</f>
        <v>0</v>
      </c>
      <c r="K102" s="49">
        <f>'Avg Week Malaba-Tororo'!K102+'Avg Week Tororo-Malaba'!K102</f>
        <v>0</v>
      </c>
      <c r="L102" s="49">
        <f>'Avg Week Malaba-Tororo'!L102+'Avg Week Tororo-Malaba'!L102</f>
        <v>0</v>
      </c>
      <c r="M102" s="49">
        <f>'Avg Week Malaba-Tororo'!M102+'Avg Week Tororo-Malaba'!M102</f>
        <v>19</v>
      </c>
      <c r="N102" s="49">
        <f>'Avg Week Malaba-Tororo'!N102+'Avg Week Tororo-Malaba'!N102</f>
        <v>0</v>
      </c>
      <c r="O102" s="15">
        <f t="shared" si="35"/>
        <v>9</v>
      </c>
      <c r="P102" s="15">
        <f t="shared" si="36"/>
        <v>28</v>
      </c>
      <c r="R102" s="8"/>
      <c r="T102"/>
    </row>
    <row r="103" spans="2:20" ht="23.1" customHeight="1" x14ac:dyDescent="0.25">
      <c r="B103" s="23" t="s">
        <v>143</v>
      </c>
      <c r="C103" s="49">
        <f>'Avg Week Malaba-Tororo'!C103+'Avg Week Tororo-Malaba'!C103</f>
        <v>1.5</v>
      </c>
      <c r="D103" s="49">
        <f>'Avg Week Malaba-Tororo'!D103+'Avg Week Tororo-Malaba'!D103</f>
        <v>0</v>
      </c>
      <c r="E103" s="49">
        <f>'Avg Week Malaba-Tororo'!E103+'Avg Week Tororo-Malaba'!E103</f>
        <v>0</v>
      </c>
      <c r="F103" s="49">
        <f>'Avg Week Malaba-Tororo'!F103+'Avg Week Tororo-Malaba'!F103</f>
        <v>1</v>
      </c>
      <c r="G103" s="49">
        <f>'Avg Week Malaba-Tororo'!G103+'Avg Week Tororo-Malaba'!G103</f>
        <v>0</v>
      </c>
      <c r="H103" s="49">
        <f>'Avg Week Malaba-Tororo'!H103+'Avg Week Tororo-Malaba'!H103</f>
        <v>0.5</v>
      </c>
      <c r="I103" s="49">
        <f>'Avg Week Malaba-Tororo'!I103+'Avg Week Tororo-Malaba'!I103</f>
        <v>0</v>
      </c>
      <c r="J103" s="49">
        <f>'Avg Week Malaba-Tororo'!J103+'Avg Week Tororo-Malaba'!J103</f>
        <v>0</v>
      </c>
      <c r="K103" s="49">
        <f>'Avg Week Malaba-Tororo'!K103+'Avg Week Tororo-Malaba'!K103</f>
        <v>0</v>
      </c>
      <c r="L103" s="49">
        <f>'Avg Week Malaba-Tororo'!L103+'Avg Week Tororo-Malaba'!L103</f>
        <v>0</v>
      </c>
      <c r="M103" s="49">
        <f>'Avg Week Malaba-Tororo'!M103+'Avg Week Tororo-Malaba'!M103</f>
        <v>16.5</v>
      </c>
      <c r="N103" s="49">
        <f>'Avg Week Malaba-Tororo'!N103+'Avg Week Tororo-Malaba'!N103</f>
        <v>0</v>
      </c>
      <c r="O103" s="15">
        <f t="shared" si="35"/>
        <v>3</v>
      </c>
      <c r="P103" s="15">
        <f t="shared" si="36"/>
        <v>19.5</v>
      </c>
      <c r="R103" s="8"/>
      <c r="T103"/>
    </row>
    <row r="104" spans="2:20" ht="23.1" customHeight="1" x14ac:dyDescent="0.25">
      <c r="B104" s="25" t="s">
        <v>144</v>
      </c>
      <c r="C104" s="49">
        <f>'Avg Week Malaba-Tororo'!C104+'Avg Week Tororo-Malaba'!C104</f>
        <v>2.5</v>
      </c>
      <c r="D104" s="49">
        <f>'Avg Week Malaba-Tororo'!D104+'Avg Week Tororo-Malaba'!D104</f>
        <v>0</v>
      </c>
      <c r="E104" s="49">
        <f>'Avg Week Malaba-Tororo'!E104+'Avg Week Tororo-Malaba'!E104</f>
        <v>0.5</v>
      </c>
      <c r="F104" s="49">
        <f>'Avg Week Malaba-Tororo'!F104+'Avg Week Tororo-Malaba'!F104</f>
        <v>6</v>
      </c>
      <c r="G104" s="49">
        <f>'Avg Week Malaba-Tororo'!G104+'Avg Week Tororo-Malaba'!G104</f>
        <v>0.5</v>
      </c>
      <c r="H104" s="49">
        <f>'Avg Week Malaba-Tororo'!H104+'Avg Week Tororo-Malaba'!H104</f>
        <v>0.5</v>
      </c>
      <c r="I104" s="49">
        <f>'Avg Week Malaba-Tororo'!I104+'Avg Week Tororo-Malaba'!I104</f>
        <v>1.5</v>
      </c>
      <c r="J104" s="49">
        <f>'Avg Week Malaba-Tororo'!J104+'Avg Week Tororo-Malaba'!J104</f>
        <v>0.5</v>
      </c>
      <c r="K104" s="49">
        <f>'Avg Week Malaba-Tororo'!K104+'Avg Week Tororo-Malaba'!K104</f>
        <v>0</v>
      </c>
      <c r="L104" s="49">
        <f>'Avg Week Malaba-Tororo'!L104+'Avg Week Tororo-Malaba'!L104</f>
        <v>0</v>
      </c>
      <c r="M104" s="49">
        <f>'Avg Week Malaba-Tororo'!M104+'Avg Week Tororo-Malaba'!M104</f>
        <v>26</v>
      </c>
      <c r="N104" s="49">
        <f>'Avg Week Malaba-Tororo'!N104+'Avg Week Tororo-Malaba'!N104</f>
        <v>0</v>
      </c>
      <c r="O104" s="15">
        <f t="shared" si="35"/>
        <v>12</v>
      </c>
      <c r="P104" s="15">
        <f t="shared" si="36"/>
        <v>38</v>
      </c>
      <c r="R104" s="8"/>
      <c r="T104"/>
    </row>
    <row r="105" spans="2:20" ht="23.1" customHeight="1" x14ac:dyDescent="0.25">
      <c r="B105" s="23" t="s">
        <v>145</v>
      </c>
      <c r="C105" s="49">
        <f>'Avg Week Malaba-Tororo'!C105+'Avg Week Tororo-Malaba'!C105</f>
        <v>2</v>
      </c>
      <c r="D105" s="49">
        <f>'Avg Week Malaba-Tororo'!D105+'Avg Week Tororo-Malaba'!D105</f>
        <v>0</v>
      </c>
      <c r="E105" s="49">
        <f>'Avg Week Malaba-Tororo'!E105+'Avg Week Tororo-Malaba'!E105</f>
        <v>1</v>
      </c>
      <c r="F105" s="49">
        <f>'Avg Week Malaba-Tororo'!F105+'Avg Week Tororo-Malaba'!F105</f>
        <v>2</v>
      </c>
      <c r="G105" s="49">
        <f>'Avg Week Malaba-Tororo'!G105+'Avg Week Tororo-Malaba'!G105</f>
        <v>0.5</v>
      </c>
      <c r="H105" s="49">
        <f>'Avg Week Malaba-Tororo'!H105+'Avg Week Tororo-Malaba'!H105</f>
        <v>0.5</v>
      </c>
      <c r="I105" s="49">
        <f>'Avg Week Malaba-Tororo'!I105+'Avg Week Tororo-Malaba'!I105</f>
        <v>0</v>
      </c>
      <c r="J105" s="49">
        <f>'Avg Week Malaba-Tororo'!J105+'Avg Week Tororo-Malaba'!J105</f>
        <v>0</v>
      </c>
      <c r="K105" s="49">
        <f>'Avg Week Malaba-Tororo'!K105+'Avg Week Tororo-Malaba'!K105</f>
        <v>0</v>
      </c>
      <c r="L105" s="49">
        <f>'Avg Week Malaba-Tororo'!L105+'Avg Week Tororo-Malaba'!L105</f>
        <v>0</v>
      </c>
      <c r="M105" s="49">
        <f>'Avg Week Malaba-Tororo'!M105+'Avg Week Tororo-Malaba'!M105</f>
        <v>34</v>
      </c>
      <c r="N105" s="49">
        <f>'Avg Week Malaba-Tororo'!N105+'Avg Week Tororo-Malaba'!N105</f>
        <v>0</v>
      </c>
      <c r="O105" s="15">
        <f t="shared" si="35"/>
        <v>6</v>
      </c>
      <c r="P105" s="15">
        <f t="shared" si="36"/>
        <v>40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379.07142857142856</v>
      </c>
      <c r="D106" s="16">
        <f t="shared" ref="D106:P106" si="37">SUM(D10:D105)</f>
        <v>26.785714285714288</v>
      </c>
      <c r="E106" s="16">
        <f t="shared" si="37"/>
        <v>278.71428571428567</v>
      </c>
      <c r="F106" s="16">
        <f t="shared" si="37"/>
        <v>302.92857142857133</v>
      </c>
      <c r="G106" s="16">
        <f t="shared" si="37"/>
        <v>12.357142857142858</v>
      </c>
      <c r="H106" s="16">
        <f t="shared" si="37"/>
        <v>19.071428571428569</v>
      </c>
      <c r="I106" s="16">
        <f t="shared" si="37"/>
        <v>128.64285714285714</v>
      </c>
      <c r="J106" s="16">
        <f t="shared" si="37"/>
        <v>25.571428571428573</v>
      </c>
      <c r="K106" s="16">
        <f t="shared" si="37"/>
        <v>3.0714285714285712</v>
      </c>
      <c r="L106" s="16">
        <f t="shared" si="37"/>
        <v>0</v>
      </c>
      <c r="M106" s="16">
        <f t="shared" si="37"/>
        <v>2898.7142857142858</v>
      </c>
      <c r="N106" s="16">
        <f t="shared" si="37"/>
        <v>2.1428571428571423</v>
      </c>
      <c r="O106" s="16">
        <f t="shared" si="37"/>
        <v>1178.3571428571431</v>
      </c>
      <c r="P106" s="16">
        <f t="shared" si="37"/>
        <v>4077.071428571428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9.2976401128260847E-2</v>
      </c>
      <c r="D107" s="43">
        <f t="shared" si="38"/>
        <v>6.569841798209501E-3</v>
      </c>
      <c r="E107" s="43">
        <f t="shared" si="38"/>
        <v>6.8361393857635899E-2</v>
      </c>
      <c r="F107" s="43">
        <f t="shared" si="38"/>
        <v>7.4300530843217277E-2</v>
      </c>
      <c r="G107" s="43">
        <f t="shared" si="38"/>
        <v>3.0308870162406494E-3</v>
      </c>
      <c r="H107" s="43">
        <f t="shared" si="38"/>
        <v>4.6777273603251634E-3</v>
      </c>
      <c r="I107" s="43">
        <f t="shared" si="38"/>
        <v>3.155276020953416E-2</v>
      </c>
      <c r="J107" s="43">
        <f t="shared" si="38"/>
        <v>6.2720089700240029E-3</v>
      </c>
      <c r="K107" s="43">
        <f t="shared" si="38"/>
        <v>7.5334185952802258E-4</v>
      </c>
      <c r="L107" s="43">
        <f t="shared" si="38"/>
        <v>0</v>
      </c>
      <c r="M107" s="43">
        <f t="shared" si="38"/>
        <v>0.71097951961316785</v>
      </c>
      <c r="N107" s="43">
        <f t="shared" si="38"/>
        <v>5.255873438567599E-4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0.32169485360974714</v>
      </c>
      <c r="D108" s="44">
        <f t="shared" ref="D108:N108" si="39">D106/$O$106</f>
        <v>2.2731405710129111E-2</v>
      </c>
      <c r="E108" s="44">
        <f t="shared" si="39"/>
        <v>0.23652785354913006</v>
      </c>
      <c r="F108" s="44">
        <f t="shared" si="39"/>
        <v>0.25707704431108674</v>
      </c>
      <c r="G108" s="44">
        <f t="shared" si="39"/>
        <v>1.048675516760623E-2</v>
      </c>
      <c r="H108" s="44">
        <f t="shared" si="39"/>
        <v>1.6184760865611925E-2</v>
      </c>
      <c r="I108" s="44">
        <f t="shared" si="39"/>
        <v>0.1091713644905134</v>
      </c>
      <c r="J108" s="44">
        <f t="shared" si="39"/>
        <v>2.1700915317936591E-2</v>
      </c>
      <c r="K108" s="44">
        <f t="shared" si="39"/>
        <v>2.6065345214281378E-3</v>
      </c>
      <c r="L108" s="44">
        <f t="shared" si="39"/>
        <v>0</v>
      </c>
      <c r="M108" s="44"/>
      <c r="N108" s="44">
        <f t="shared" si="39"/>
        <v>1.8185124568103283E-3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12.08 Malaba-Tororo</vt:lpstr>
      <vt:lpstr>12.08 Tororo-Malaba</vt:lpstr>
      <vt:lpstr>13.08 Malaba-Tororo</vt:lpstr>
      <vt:lpstr>13.08 Tororo-Malaba</vt:lpstr>
      <vt:lpstr>14.08 Malaba-Tororo</vt:lpstr>
      <vt:lpstr>14.08 Tororo-Malaba</vt:lpstr>
      <vt:lpstr>15.08 Malaba-Tororo</vt:lpstr>
      <vt:lpstr>15.08 Tororo-Malaba</vt:lpstr>
      <vt:lpstr>16.08 Malaba-Tororo-24h</vt:lpstr>
      <vt:lpstr>16.08 Tororo-Malaba-24h</vt:lpstr>
      <vt:lpstr>17.08 Malaba-Tororo-24h</vt:lpstr>
      <vt:lpstr>17.08 Tororo-Malaba-24h</vt:lpstr>
      <vt:lpstr>18.08 Malaba-Tororo</vt:lpstr>
      <vt:lpstr>18.08 Tororo-Malaba</vt:lpstr>
      <vt:lpstr>Avg Week Malaba-Tororo</vt:lpstr>
      <vt:lpstr>Avg Week Tororo-Malaba</vt:lpstr>
      <vt:lpstr>Avg Week Malaba-Tororo-2Dir</vt:lpstr>
      <vt:lpstr>'12.08 Malaba-Tororo'!Print_Area</vt:lpstr>
      <vt:lpstr>'12.08 Tororo-Malaba'!Print_Area</vt:lpstr>
      <vt:lpstr>'13.08 Malaba-Tororo'!Print_Area</vt:lpstr>
      <vt:lpstr>'13.08 Tororo-Malaba'!Print_Area</vt:lpstr>
      <vt:lpstr>'14.08 Malaba-Tororo'!Print_Area</vt:lpstr>
      <vt:lpstr>'14.08 Tororo-Malaba'!Print_Area</vt:lpstr>
      <vt:lpstr>'15.08 Malaba-Tororo'!Print_Area</vt:lpstr>
      <vt:lpstr>'15.08 Tororo-Malaba'!Print_Area</vt:lpstr>
      <vt:lpstr>'16.08 Malaba-Tororo-24h'!Print_Area</vt:lpstr>
      <vt:lpstr>'16.08 Tororo-Malaba-24h'!Print_Area</vt:lpstr>
      <vt:lpstr>'17.08 Malaba-Tororo-24h'!Print_Area</vt:lpstr>
      <vt:lpstr>'17.08 Tororo-Malaba-24h'!Print_Area</vt:lpstr>
      <vt:lpstr>'18.08 Malaba-Tororo'!Print_Area</vt:lpstr>
      <vt:lpstr>'18.08 Tororo-Malaba'!Print_Area</vt:lpstr>
      <vt:lpstr>'Avg Week Malaba-Tororo'!Print_Area</vt:lpstr>
      <vt:lpstr>'Avg Week Malaba-Tororo-2Dir'!Print_Area</vt:lpstr>
      <vt:lpstr>'Avg Week Tororo-Malaba'!Print_Area</vt:lpstr>
      <vt:lpstr>'12.08 Malaba-Tororo'!Print_Titles</vt:lpstr>
      <vt:lpstr>'12.08 Tororo-Malaba'!Print_Titles</vt:lpstr>
      <vt:lpstr>'13.08 Malaba-Tororo'!Print_Titles</vt:lpstr>
      <vt:lpstr>'13.08 Tororo-Malaba'!Print_Titles</vt:lpstr>
      <vt:lpstr>'14.08 Malaba-Tororo'!Print_Titles</vt:lpstr>
      <vt:lpstr>'14.08 Tororo-Malaba'!Print_Titles</vt:lpstr>
      <vt:lpstr>'15.08 Malaba-Tororo'!Print_Titles</vt:lpstr>
      <vt:lpstr>'15.08 Tororo-Malaba'!Print_Titles</vt:lpstr>
      <vt:lpstr>'16.08 Malaba-Tororo-24h'!Print_Titles</vt:lpstr>
      <vt:lpstr>'16.08 Tororo-Malaba-24h'!Print_Titles</vt:lpstr>
      <vt:lpstr>'17.08 Malaba-Tororo-24h'!Print_Titles</vt:lpstr>
      <vt:lpstr>'17.08 Tororo-Malaba-24h'!Print_Titles</vt:lpstr>
      <vt:lpstr>'18.08 Malaba-Tororo'!Print_Titles</vt:lpstr>
      <vt:lpstr>'18.08 Tororo-Malaba'!Print_Titles</vt:lpstr>
      <vt:lpstr>'Avg Week Malaba-Tororo'!Print_Titles</vt:lpstr>
      <vt:lpstr>'Avg Week Malaba-Tororo-2Dir'!Print_Titles</vt:lpstr>
      <vt:lpstr>'Avg Week Tororo-Malaba'!Print_Titles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</cp:lastModifiedBy>
  <cp:lastPrinted>2019-07-25T18:18:41Z</cp:lastPrinted>
  <dcterms:created xsi:type="dcterms:W3CDTF">2010-07-06T07:39:49Z</dcterms:created>
  <dcterms:modified xsi:type="dcterms:W3CDTF">2019-11-29T07:05:13Z</dcterms:modified>
</cp:coreProperties>
</file>